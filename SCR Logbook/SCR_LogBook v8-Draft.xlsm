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sfs.corp\Projects\PROCUREMENT\PESD\SUPPLIER_CONTROL\SUPPLIERS FOLLOW UP\"/>
    </mc:Choice>
  </mc:AlternateContent>
  <bookViews>
    <workbookView xWindow="-20" yWindow="1610" windowWidth="15140" windowHeight="3300" tabRatio="842"/>
  </bookViews>
  <sheets>
    <sheet name="Menu" sheetId="15" r:id="rId1"/>
    <sheet name="Supplier Control Review" sheetId="10" r:id="rId2"/>
    <sheet name="QMS Data" sheetId="839" r:id="rId3"/>
    <sheet name="NAA Data" sheetId="837" r:id="rId4"/>
    <sheet name="QMS Analysis" sheetId="840" r:id="rId5"/>
    <sheet name="NAA Analysis" sheetId="838" r:id="rId6"/>
    <sheet name="Feuil1" sheetId="384" r:id="rId7"/>
    <sheet name="GROUP Data" sheetId="841" r:id="rId8"/>
    <sheet name="Supplier Control Review Report" sheetId="842" r:id="rId9"/>
    <sheet name="Synchro and Block" sheetId="133" r:id="rId10"/>
    <sheet name="Fixed Parameters" sheetId="11" r:id="rId11"/>
    <sheet name="People" sheetId="7" r:id="rId12"/>
    <sheet name="Calculation" sheetId="13" r:id="rId13"/>
    <sheet name="SCR Format" sheetId="227" r:id="rId14"/>
    <sheet name="QMS Format" sheetId="140" r:id="rId15"/>
    <sheet name="NAA Format" sheetId="141" r:id="rId16"/>
    <sheet name="Update Log" sheetId="18" r:id="rId17"/>
    <sheet name="Block Format" sheetId="142" r:id="rId18"/>
  </sheets>
  <functionGroups builtInGroupCount="18"/>
  <externalReferences>
    <externalReference r:id="rId19"/>
    <externalReference r:id="rId20"/>
  </externalReferences>
  <definedNames>
    <definedName name="_xlnm._FilterDatabase" localSheetId="0" hidden="1">Menu!$B$3:$BN$3</definedName>
    <definedName name="_xlnm._FilterDatabase" localSheetId="5" hidden="1">'NAA Analysis'!$A$1:$M$1</definedName>
    <definedName name="_xlnm._FilterDatabase" localSheetId="15" hidden="1">'NAA Format'!$A$1:$L$1</definedName>
    <definedName name="_xlnm._FilterDatabase" localSheetId="11" hidden="1">People!$D$4:$F$17</definedName>
    <definedName name="_xlnm._FilterDatabase" localSheetId="4" hidden="1">'QMS Analysis'!$A$1:$O$1</definedName>
    <definedName name="_xlnm._FilterDatabase" localSheetId="14" hidden="1">'QMS Format'!$A$1:$O$2</definedName>
    <definedName name="_xlnm._FilterDatabase" localSheetId="13" hidden="1">'SCR Format'!$A$1:$AK$1</definedName>
    <definedName name="_xlnm._FilterDatabase" localSheetId="1" hidden="1">'Supplier Control Review'!$A$1:$AN$1</definedName>
    <definedName name="Actionnees">People!$D$5:$D$39</definedName>
    <definedName name="Alert_LD">'Fixed Parameters'!$B$24</definedName>
    <definedName name="ARP_Extract_Date">Menu!$N$1</definedName>
    <definedName name="Calc_History">Calculation!$R$2</definedName>
    <definedName name="Calc_Origin">Calculation!$I$2</definedName>
    <definedName name="Calc_Origin_Data">Calculation!$I$3:$M$37</definedName>
    <definedName name="Calc_Person" localSheetId="15">[1]Calculation!$A$2</definedName>
    <definedName name="Calc_Person" localSheetId="14">[1]Calculation!$A$2</definedName>
    <definedName name="Calc_Person">Calculation!$A$2</definedName>
    <definedName name="Calc_Person_Data">Calculation!$A$3:$E$37</definedName>
    <definedName name="Chart_3M" localSheetId="15">[1]Menu!$F$17</definedName>
    <definedName name="Chart_3M" localSheetId="14">[1]Menu!$F$17</definedName>
    <definedName name="Chart_3M">Menu!$F$14</definedName>
    <definedName name="Chart_Interval" localSheetId="15">[1]Menu!$E$17</definedName>
    <definedName name="Chart_Interval" localSheetId="14">[1]Menu!$E$17</definedName>
    <definedName name="Chart_Interval">Menu!$E$14</definedName>
    <definedName name="Chart_Start" localSheetId="15">[1]Menu!$B$17</definedName>
    <definedName name="Chart_Start" localSheetId="14">[1]Menu!$B$17</definedName>
    <definedName name="Chart_Start">Menu!$B$14</definedName>
    <definedName name="Country_Region">[2]!Table1[#Data]</definedName>
    <definedName name="_xlnm.Print_Titles" localSheetId="0">Menu!$3:$3</definedName>
    <definedName name="Legend">"Zone de texte 2"</definedName>
    <definedName name="MRO_Table" localSheetId="17">#REF!</definedName>
    <definedName name="MRO_Table" localSheetId="15">#REF!</definedName>
    <definedName name="MRO_Table" localSheetId="14">#REF!</definedName>
    <definedName name="MRO_Table" localSheetId="13">#REF!</definedName>
    <definedName name="MRO_Table">#REF!</definedName>
    <definedName name="Project">Menu!$A$1</definedName>
    <definedName name="Red_Overdue">'Fixed Parameters'!$B$27</definedName>
    <definedName name="Severity" localSheetId="15">'[1]Fixed Parameters'!$B$4:$B$20</definedName>
    <definedName name="Severity" localSheetId="14">'[1]Fixed Parameters'!$B$4:$B$20</definedName>
    <definedName name="Severity">'Fixed Parameters'!$B$4:$B$20</definedName>
    <definedName name="Test">Calculation!$A$3:$E$13</definedName>
    <definedName name="_xlnm.Print_Area" localSheetId="13">'SCR Format'!$A$1:$X$1</definedName>
    <definedName name="_xlnm.Print_Area" localSheetId="1">'Supplier Control Review'!$A$1:$X$1</definedName>
  </definedNames>
  <calcPr calcId="152511"/>
  <customWorkbookViews>
    <customWorkbookView name="TO07001 - Affichage personnalisé" guid="{4A7DD4CE-7405-4DBF-BB59-52D103A5FA38}" mergeInterval="0" personalView="1" maximized="1" windowWidth="1007" windowHeight="565" tabRatio="747" activeSheetId="4"/>
    <customWorkbookView name="TO23813 - Affichage personnalisé" guid="{2B47F617-0B31-11D6-A8AE-00B0D0BEC4C3}" mergeInterval="0" personalView="1" maximized="1" windowWidth="1148" windowHeight="730" activeSheetId="2"/>
    <customWorkbookView name="AEROSPATIALE43 - Affichage personnalisé" guid="{60C202C1-0442-11D6-A8B2-00B0D017CE46}" mergeInterval="0" personalView="1" maximized="1" windowWidth="1010" windowHeight="546" activeSheetId="2"/>
    <customWorkbookView name="Patrick Hagelauer - Affichage personnalisé" guid="{533D31E3-04E7-11D6-A8AD-00B0D0BEC4C3}" mergeInterval="0" personalView="1" maximized="1" windowWidth="1020" windowHeight="607" activeSheetId="1"/>
    <customWorkbookView name="AEROSPATIALE - Affichage personnalisé" guid="{EA5D6162-0AA3-11D6-A8C1-00B0D033D800}" mergeInterval="0" personalView="1" maximized="1" windowWidth="1148" windowHeight="638" activeSheetId="1"/>
    <customWorkbookView name="Didier LAJUS - Affichage personnalisé" guid="{456FA9C2-069B-11D6-A002-00105A8A3AE9}" mergeInterval="0" personalView="1" maximized="1" windowWidth="1020" windowHeight="579" activeSheetId="4"/>
    <customWorkbookView name="O. COUSSAT - Affichage personnalisé" guid="{49477136-0F19-11D6-BE8E-00B0D033D800}" mergeInterval="0" personalView="1" maximized="1" windowWidth="1020" windowHeight="607" activeSheetId="4"/>
  </customWorkbookViews>
</workbook>
</file>

<file path=xl/calcChain.xml><?xml version="1.0" encoding="utf-8"?>
<calcChain xmlns="http://schemas.openxmlformats.org/spreadsheetml/2006/main">
  <c r="H33" i="15" l="1"/>
  <c r="H34" i="15"/>
  <c r="H35" i="15"/>
  <c r="H36" i="15"/>
  <c r="H37" i="15"/>
  <c r="H38" i="15"/>
  <c r="H39" i="15"/>
  <c r="H40" i="15"/>
  <c r="H41" i="15"/>
  <c r="H42" i="15"/>
  <c r="H43" i="15"/>
  <c r="H44" i="15"/>
  <c r="H45" i="15"/>
  <c r="H46" i="15"/>
  <c r="H47" i="15"/>
  <c r="H48" i="15"/>
  <c r="H49" i="15"/>
  <c r="H50" i="15"/>
  <c r="H51" i="15"/>
  <c r="I33" i="15"/>
  <c r="K33" i="15"/>
  <c r="L33" i="15"/>
  <c r="M33" i="15"/>
  <c r="N33" i="15"/>
  <c r="I34" i="15"/>
  <c r="K34" i="15"/>
  <c r="L34" i="15"/>
  <c r="M34" i="15"/>
  <c r="N34" i="15"/>
  <c r="I35" i="15"/>
  <c r="K35" i="15"/>
  <c r="L35" i="15"/>
  <c r="M35" i="15"/>
  <c r="N35" i="15"/>
  <c r="I36" i="15"/>
  <c r="K36" i="15"/>
  <c r="L36" i="15"/>
  <c r="M36" i="15"/>
  <c r="N36" i="15"/>
  <c r="I37" i="15"/>
  <c r="K37" i="15"/>
  <c r="L37" i="15"/>
  <c r="M37" i="15"/>
  <c r="N37" i="15"/>
  <c r="I38" i="15"/>
  <c r="K38" i="15"/>
  <c r="L38" i="15"/>
  <c r="M38" i="15"/>
  <c r="N38" i="15"/>
  <c r="I39" i="15"/>
  <c r="K39" i="15"/>
  <c r="L39" i="15"/>
  <c r="M39" i="15"/>
  <c r="N39" i="15"/>
  <c r="I40" i="15"/>
  <c r="K40" i="15"/>
  <c r="L40" i="15"/>
  <c r="M40" i="15"/>
  <c r="N40" i="15"/>
  <c r="I41" i="15"/>
  <c r="K41" i="15"/>
  <c r="L41" i="15"/>
  <c r="M41" i="15"/>
  <c r="N41" i="15"/>
  <c r="I42" i="15"/>
  <c r="K42" i="15"/>
  <c r="L42" i="15"/>
  <c r="M42" i="15"/>
  <c r="N42" i="15"/>
  <c r="I43" i="15"/>
  <c r="K43" i="15"/>
  <c r="L43" i="15"/>
  <c r="M43" i="15"/>
  <c r="N43" i="15"/>
  <c r="I44" i="15"/>
  <c r="K44" i="15"/>
  <c r="L44" i="15"/>
  <c r="M44" i="15"/>
  <c r="N44" i="15"/>
  <c r="I45" i="15"/>
  <c r="K45" i="15"/>
  <c r="L45" i="15"/>
  <c r="M45" i="15"/>
  <c r="N45" i="15"/>
  <c r="I46" i="15"/>
  <c r="K46" i="15"/>
  <c r="L46" i="15"/>
  <c r="M46" i="15"/>
  <c r="N46" i="15"/>
  <c r="I47" i="15"/>
  <c r="K47" i="15"/>
  <c r="L47" i="15"/>
  <c r="M47" i="15"/>
  <c r="N47" i="15"/>
  <c r="I48" i="15"/>
  <c r="K48" i="15"/>
  <c r="L48" i="15"/>
  <c r="M48" i="15"/>
  <c r="N48" i="15"/>
  <c r="I49" i="15"/>
  <c r="K49" i="15"/>
  <c r="L49" i="15"/>
  <c r="M49" i="15"/>
  <c r="N49" i="15"/>
  <c r="I50" i="15"/>
  <c r="K50" i="15"/>
  <c r="L50" i="15"/>
  <c r="M50" i="15"/>
  <c r="N50" i="15"/>
  <c r="I51" i="15"/>
  <c r="K51" i="15"/>
  <c r="L51" i="15"/>
  <c r="M51" i="15"/>
  <c r="N51" i="15"/>
  <c r="D4" i="7"/>
  <c r="H25" i="15" l="1"/>
  <c r="AB65" i="13" l="1"/>
  <c r="AB66" i="13"/>
  <c r="AB67" i="13"/>
  <c r="AB68" i="13"/>
  <c r="AB69" i="13"/>
  <c r="AB70" i="13"/>
  <c r="AB71" i="13"/>
  <c r="AB72" i="13"/>
  <c r="AB73" i="13"/>
  <c r="AB74" i="13"/>
  <c r="AB75" i="13"/>
  <c r="AB76" i="13"/>
  <c r="AB77" i="13"/>
  <c r="AB78" i="13"/>
  <c r="AB79" i="13"/>
  <c r="AB80" i="13"/>
  <c r="AB81" i="13"/>
  <c r="AB82" i="13"/>
  <c r="AB83" i="13"/>
  <c r="AB84" i="13"/>
  <c r="AB85" i="13"/>
  <c r="AB86" i="13"/>
  <c r="AB87" i="13"/>
  <c r="AB88" i="13"/>
  <c r="AB89" i="13"/>
  <c r="AB90" i="13"/>
  <c r="AB91" i="13"/>
  <c r="AB92" i="13"/>
  <c r="AB93" i="13"/>
  <c r="AB94" i="13"/>
  <c r="AB95" i="13"/>
  <c r="AB96" i="13"/>
  <c r="AB97" i="13"/>
  <c r="AB98" i="13"/>
  <c r="AB99" i="13"/>
  <c r="AB100" i="13"/>
  <c r="AB101" i="13"/>
  <c r="AB102" i="13"/>
  <c r="AB103" i="13"/>
  <c r="AB104" i="13"/>
  <c r="AB105" i="13"/>
  <c r="AB106" i="13"/>
  <c r="AB107" i="13"/>
  <c r="AB108" i="13"/>
  <c r="AB109" i="13"/>
  <c r="AB110" i="13"/>
  <c r="AB111" i="13"/>
  <c r="AB112" i="13"/>
  <c r="AB113" i="13"/>
  <c r="AB114" i="13"/>
  <c r="AB115" i="13"/>
  <c r="AB116" i="13"/>
  <c r="AB117" i="13"/>
  <c r="AB118" i="13"/>
  <c r="AB119" i="13"/>
  <c r="AB120" i="13"/>
  <c r="AB121" i="13"/>
  <c r="AB122" i="13"/>
  <c r="AB123" i="13"/>
  <c r="AB124" i="13"/>
  <c r="AB125" i="13"/>
  <c r="AB126" i="13"/>
  <c r="AB127" i="13"/>
  <c r="AB128" i="13"/>
  <c r="S65" i="13"/>
  <c r="AD65" i="13" s="1"/>
  <c r="T65" i="13"/>
  <c r="AG65" i="13" s="1"/>
  <c r="U65" i="13"/>
  <c r="V65" i="13"/>
  <c r="W65" i="13"/>
  <c r="X65" i="13"/>
  <c r="Y65" i="13"/>
  <c r="AE65" i="13" s="1"/>
  <c r="S66" i="13"/>
  <c r="AD66" i="13" s="1"/>
  <c r="T66" i="13"/>
  <c r="AG66" i="13" s="1"/>
  <c r="U66" i="13"/>
  <c r="V66" i="13"/>
  <c r="W66" i="13"/>
  <c r="X66" i="13"/>
  <c r="Y66" i="13"/>
  <c r="AE66" i="13" s="1"/>
  <c r="S67" i="13"/>
  <c r="AD67" i="13" s="1"/>
  <c r="T67" i="13"/>
  <c r="AG67" i="13" s="1"/>
  <c r="U67" i="13"/>
  <c r="V67" i="13"/>
  <c r="W67" i="13"/>
  <c r="X67" i="13"/>
  <c r="Y67" i="13"/>
  <c r="AE67" i="13" s="1"/>
  <c r="S68" i="13"/>
  <c r="AD68" i="13" s="1"/>
  <c r="T68" i="13"/>
  <c r="AG68" i="13" s="1"/>
  <c r="U68" i="13"/>
  <c r="V68" i="13"/>
  <c r="W68" i="13"/>
  <c r="X68" i="13"/>
  <c r="Y68" i="13"/>
  <c r="AE68" i="13" s="1"/>
  <c r="S69" i="13"/>
  <c r="AD69" i="13" s="1"/>
  <c r="T69" i="13"/>
  <c r="AG69" i="13" s="1"/>
  <c r="U69" i="13"/>
  <c r="V69" i="13"/>
  <c r="W69" i="13"/>
  <c r="X69" i="13"/>
  <c r="Y69" i="13"/>
  <c r="AE69" i="13" s="1"/>
  <c r="S70" i="13"/>
  <c r="AD70" i="13" s="1"/>
  <c r="T70" i="13"/>
  <c r="AG70" i="13" s="1"/>
  <c r="U70" i="13"/>
  <c r="V70" i="13"/>
  <c r="W70" i="13"/>
  <c r="X70" i="13"/>
  <c r="Y70" i="13"/>
  <c r="AE70" i="13" s="1"/>
  <c r="S71" i="13"/>
  <c r="AD71" i="13" s="1"/>
  <c r="T71" i="13"/>
  <c r="AG71" i="13" s="1"/>
  <c r="U71" i="13"/>
  <c r="V71" i="13"/>
  <c r="W71" i="13"/>
  <c r="X71" i="13"/>
  <c r="Y71" i="13"/>
  <c r="AE71" i="13" s="1"/>
  <c r="S72" i="13"/>
  <c r="AD72" i="13" s="1"/>
  <c r="T72" i="13"/>
  <c r="AG72" i="13" s="1"/>
  <c r="U72" i="13"/>
  <c r="V72" i="13"/>
  <c r="W72" i="13"/>
  <c r="X72" i="13"/>
  <c r="Y72" i="13"/>
  <c r="AE72" i="13" s="1"/>
  <c r="S73" i="13"/>
  <c r="AD73" i="13" s="1"/>
  <c r="T73" i="13"/>
  <c r="AG73" i="13" s="1"/>
  <c r="U73" i="13"/>
  <c r="V73" i="13"/>
  <c r="W73" i="13"/>
  <c r="X73" i="13"/>
  <c r="Y73" i="13"/>
  <c r="AE73" i="13" s="1"/>
  <c r="S74" i="13"/>
  <c r="AD74" i="13" s="1"/>
  <c r="T74" i="13"/>
  <c r="AG74" i="13" s="1"/>
  <c r="U74" i="13"/>
  <c r="V74" i="13"/>
  <c r="W74" i="13"/>
  <c r="X74" i="13"/>
  <c r="Y74" i="13"/>
  <c r="AE74" i="13" s="1"/>
  <c r="S75" i="13"/>
  <c r="AD75" i="13" s="1"/>
  <c r="T75" i="13"/>
  <c r="AG75" i="13" s="1"/>
  <c r="U75" i="13"/>
  <c r="V75" i="13"/>
  <c r="W75" i="13"/>
  <c r="X75" i="13"/>
  <c r="Y75" i="13"/>
  <c r="AE75" i="13" s="1"/>
  <c r="S76" i="13"/>
  <c r="AD76" i="13" s="1"/>
  <c r="T76" i="13"/>
  <c r="AG76" i="13" s="1"/>
  <c r="U76" i="13"/>
  <c r="V76" i="13"/>
  <c r="W76" i="13"/>
  <c r="X76" i="13"/>
  <c r="Y76" i="13"/>
  <c r="AE76" i="13" s="1"/>
  <c r="S77" i="13"/>
  <c r="AD77" i="13" s="1"/>
  <c r="T77" i="13"/>
  <c r="AG77" i="13" s="1"/>
  <c r="U77" i="13"/>
  <c r="V77" i="13"/>
  <c r="W77" i="13"/>
  <c r="X77" i="13"/>
  <c r="Y77" i="13"/>
  <c r="AE77" i="13" s="1"/>
  <c r="S78" i="13"/>
  <c r="AD78" i="13" s="1"/>
  <c r="T78" i="13"/>
  <c r="AG78" i="13" s="1"/>
  <c r="U78" i="13"/>
  <c r="V78" i="13"/>
  <c r="W78" i="13"/>
  <c r="X78" i="13"/>
  <c r="Y78" i="13"/>
  <c r="AE78" i="13" s="1"/>
  <c r="S79" i="13"/>
  <c r="AD79" i="13" s="1"/>
  <c r="T79" i="13"/>
  <c r="AG79" i="13" s="1"/>
  <c r="U79" i="13"/>
  <c r="V79" i="13"/>
  <c r="W79" i="13"/>
  <c r="X79" i="13"/>
  <c r="Y79" i="13"/>
  <c r="AE79" i="13" s="1"/>
  <c r="S80" i="13"/>
  <c r="AD80" i="13" s="1"/>
  <c r="T80" i="13"/>
  <c r="AG80" i="13" s="1"/>
  <c r="U80" i="13"/>
  <c r="V80" i="13"/>
  <c r="W80" i="13"/>
  <c r="X80" i="13"/>
  <c r="Y80" i="13"/>
  <c r="AE80" i="13" s="1"/>
  <c r="S81" i="13"/>
  <c r="AD81" i="13" s="1"/>
  <c r="T81" i="13"/>
  <c r="AG81" i="13" s="1"/>
  <c r="U81" i="13"/>
  <c r="V81" i="13"/>
  <c r="W81" i="13"/>
  <c r="X81" i="13"/>
  <c r="Y81" i="13"/>
  <c r="AE81" i="13" s="1"/>
  <c r="S82" i="13"/>
  <c r="AD82" i="13" s="1"/>
  <c r="T82" i="13"/>
  <c r="AG82" i="13" s="1"/>
  <c r="U82" i="13"/>
  <c r="V82" i="13"/>
  <c r="W82" i="13"/>
  <c r="X82" i="13"/>
  <c r="Y82" i="13"/>
  <c r="AE82" i="13" s="1"/>
  <c r="S83" i="13"/>
  <c r="AD83" i="13" s="1"/>
  <c r="T83" i="13"/>
  <c r="AG83" i="13" s="1"/>
  <c r="U83" i="13"/>
  <c r="V83" i="13"/>
  <c r="W83" i="13"/>
  <c r="X83" i="13"/>
  <c r="Y83" i="13"/>
  <c r="AE83" i="13" s="1"/>
  <c r="S84" i="13"/>
  <c r="AD84" i="13" s="1"/>
  <c r="T84" i="13"/>
  <c r="AG84" i="13" s="1"/>
  <c r="U84" i="13"/>
  <c r="V84" i="13"/>
  <c r="W84" i="13"/>
  <c r="X84" i="13"/>
  <c r="Y84" i="13"/>
  <c r="AE84" i="13" s="1"/>
  <c r="S85" i="13"/>
  <c r="AD85" i="13" s="1"/>
  <c r="T85" i="13"/>
  <c r="AG85" i="13" s="1"/>
  <c r="U85" i="13"/>
  <c r="V85" i="13"/>
  <c r="W85" i="13"/>
  <c r="X85" i="13"/>
  <c r="Y85" i="13"/>
  <c r="AE85" i="13" s="1"/>
  <c r="S86" i="13"/>
  <c r="AD86" i="13" s="1"/>
  <c r="T86" i="13"/>
  <c r="AG86" i="13" s="1"/>
  <c r="U86" i="13"/>
  <c r="V86" i="13"/>
  <c r="W86" i="13"/>
  <c r="X86" i="13"/>
  <c r="Y86" i="13"/>
  <c r="AE86" i="13" s="1"/>
  <c r="S87" i="13"/>
  <c r="AD87" i="13" s="1"/>
  <c r="T87" i="13"/>
  <c r="AG87" i="13" s="1"/>
  <c r="U87" i="13"/>
  <c r="V87" i="13"/>
  <c r="W87" i="13"/>
  <c r="X87" i="13"/>
  <c r="Y87" i="13"/>
  <c r="AE87" i="13" s="1"/>
  <c r="S88" i="13"/>
  <c r="AD88" i="13" s="1"/>
  <c r="T88" i="13"/>
  <c r="AG88" i="13" s="1"/>
  <c r="U88" i="13"/>
  <c r="V88" i="13"/>
  <c r="W88" i="13"/>
  <c r="X88" i="13"/>
  <c r="Y88" i="13"/>
  <c r="AE88" i="13" s="1"/>
  <c r="S89" i="13"/>
  <c r="AD89" i="13" s="1"/>
  <c r="T89" i="13"/>
  <c r="AG89" i="13" s="1"/>
  <c r="U89" i="13"/>
  <c r="V89" i="13"/>
  <c r="W89" i="13"/>
  <c r="X89" i="13"/>
  <c r="Y89" i="13"/>
  <c r="AE89" i="13" s="1"/>
  <c r="S90" i="13"/>
  <c r="AD90" i="13" s="1"/>
  <c r="T90" i="13"/>
  <c r="AG90" i="13" s="1"/>
  <c r="U90" i="13"/>
  <c r="V90" i="13"/>
  <c r="W90" i="13"/>
  <c r="X90" i="13"/>
  <c r="Y90" i="13"/>
  <c r="AE90" i="13" s="1"/>
  <c r="S91" i="13"/>
  <c r="AD91" i="13" s="1"/>
  <c r="T91" i="13"/>
  <c r="AG91" i="13" s="1"/>
  <c r="U91" i="13"/>
  <c r="V91" i="13"/>
  <c r="W91" i="13"/>
  <c r="X91" i="13"/>
  <c r="Y91" i="13"/>
  <c r="AE91" i="13" s="1"/>
  <c r="S92" i="13"/>
  <c r="AD92" i="13" s="1"/>
  <c r="T92" i="13"/>
  <c r="AG92" i="13" s="1"/>
  <c r="U92" i="13"/>
  <c r="V92" i="13"/>
  <c r="W92" i="13"/>
  <c r="X92" i="13"/>
  <c r="Y92" i="13"/>
  <c r="AE92" i="13" s="1"/>
  <c r="S93" i="13"/>
  <c r="AD93" i="13" s="1"/>
  <c r="T93" i="13"/>
  <c r="AG93" i="13" s="1"/>
  <c r="U93" i="13"/>
  <c r="V93" i="13"/>
  <c r="W93" i="13"/>
  <c r="X93" i="13"/>
  <c r="Y93" i="13"/>
  <c r="AE93" i="13" s="1"/>
  <c r="S94" i="13"/>
  <c r="AD94" i="13" s="1"/>
  <c r="T94" i="13"/>
  <c r="AG94" i="13" s="1"/>
  <c r="U94" i="13"/>
  <c r="V94" i="13"/>
  <c r="W94" i="13"/>
  <c r="X94" i="13"/>
  <c r="Y94" i="13"/>
  <c r="AE94" i="13" s="1"/>
  <c r="S95" i="13"/>
  <c r="AD95" i="13" s="1"/>
  <c r="T95" i="13"/>
  <c r="AG95" i="13" s="1"/>
  <c r="U95" i="13"/>
  <c r="V95" i="13"/>
  <c r="W95" i="13"/>
  <c r="X95" i="13"/>
  <c r="Y95" i="13"/>
  <c r="AE95" i="13" s="1"/>
  <c r="S96" i="13"/>
  <c r="AD96" i="13" s="1"/>
  <c r="T96" i="13"/>
  <c r="AG96" i="13" s="1"/>
  <c r="U96" i="13"/>
  <c r="V96" i="13"/>
  <c r="W96" i="13"/>
  <c r="X96" i="13"/>
  <c r="Y96" i="13"/>
  <c r="AE96" i="13" s="1"/>
  <c r="S97" i="13"/>
  <c r="AD97" i="13" s="1"/>
  <c r="T97" i="13"/>
  <c r="AG97" i="13" s="1"/>
  <c r="U97" i="13"/>
  <c r="V97" i="13"/>
  <c r="W97" i="13"/>
  <c r="X97" i="13"/>
  <c r="Y97" i="13"/>
  <c r="AE97" i="13" s="1"/>
  <c r="S98" i="13"/>
  <c r="AD98" i="13" s="1"/>
  <c r="T98" i="13"/>
  <c r="AG98" i="13" s="1"/>
  <c r="U98" i="13"/>
  <c r="V98" i="13"/>
  <c r="W98" i="13"/>
  <c r="X98" i="13"/>
  <c r="Y98" i="13"/>
  <c r="AE98" i="13" s="1"/>
  <c r="S99" i="13"/>
  <c r="AD99" i="13" s="1"/>
  <c r="T99" i="13"/>
  <c r="AG99" i="13" s="1"/>
  <c r="U99" i="13"/>
  <c r="V99" i="13"/>
  <c r="W99" i="13"/>
  <c r="X99" i="13"/>
  <c r="Y99" i="13"/>
  <c r="AE99" i="13" s="1"/>
  <c r="S100" i="13"/>
  <c r="AD100" i="13" s="1"/>
  <c r="T100" i="13"/>
  <c r="AG100" i="13" s="1"/>
  <c r="U100" i="13"/>
  <c r="V100" i="13"/>
  <c r="W100" i="13"/>
  <c r="X100" i="13"/>
  <c r="Y100" i="13"/>
  <c r="AE100" i="13" s="1"/>
  <c r="S101" i="13"/>
  <c r="AD101" i="13" s="1"/>
  <c r="T101" i="13"/>
  <c r="AG101" i="13" s="1"/>
  <c r="U101" i="13"/>
  <c r="V101" i="13"/>
  <c r="W101" i="13"/>
  <c r="X101" i="13"/>
  <c r="Y101" i="13"/>
  <c r="AE101" i="13" s="1"/>
  <c r="S102" i="13"/>
  <c r="AD102" i="13" s="1"/>
  <c r="T102" i="13"/>
  <c r="AG102" i="13" s="1"/>
  <c r="U102" i="13"/>
  <c r="V102" i="13"/>
  <c r="W102" i="13"/>
  <c r="X102" i="13"/>
  <c r="Y102" i="13"/>
  <c r="AE102" i="13" s="1"/>
  <c r="S103" i="13"/>
  <c r="AD103" i="13" s="1"/>
  <c r="T103" i="13"/>
  <c r="AG103" i="13" s="1"/>
  <c r="U103" i="13"/>
  <c r="V103" i="13"/>
  <c r="W103" i="13"/>
  <c r="X103" i="13"/>
  <c r="Y103" i="13"/>
  <c r="AE103" i="13" s="1"/>
  <c r="S104" i="13"/>
  <c r="AD104" i="13" s="1"/>
  <c r="T104" i="13"/>
  <c r="AG104" i="13" s="1"/>
  <c r="U104" i="13"/>
  <c r="V104" i="13"/>
  <c r="W104" i="13"/>
  <c r="X104" i="13"/>
  <c r="Y104" i="13"/>
  <c r="AE104" i="13" s="1"/>
  <c r="S105" i="13"/>
  <c r="AD105" i="13" s="1"/>
  <c r="T105" i="13"/>
  <c r="AG105" i="13" s="1"/>
  <c r="U105" i="13"/>
  <c r="V105" i="13"/>
  <c r="W105" i="13"/>
  <c r="AH105" i="13" s="1"/>
  <c r="X105" i="13"/>
  <c r="Y105" i="13"/>
  <c r="AE105" i="13" s="1"/>
  <c r="S106" i="13"/>
  <c r="AD106" i="13" s="1"/>
  <c r="T106" i="13"/>
  <c r="AG106" i="13" s="1"/>
  <c r="U106" i="13"/>
  <c r="V106" i="13"/>
  <c r="W106" i="13"/>
  <c r="X106" i="13"/>
  <c r="Y106" i="13"/>
  <c r="AE106" i="13" s="1"/>
  <c r="S107" i="13"/>
  <c r="AD107" i="13" s="1"/>
  <c r="T107" i="13"/>
  <c r="AG107" i="13" s="1"/>
  <c r="U107" i="13"/>
  <c r="V107" i="13"/>
  <c r="W107" i="13"/>
  <c r="AH107" i="13" s="1"/>
  <c r="X107" i="13"/>
  <c r="Y107" i="13"/>
  <c r="AE107" i="13" s="1"/>
  <c r="S108" i="13"/>
  <c r="AD108" i="13" s="1"/>
  <c r="T108" i="13"/>
  <c r="AG108" i="13" s="1"/>
  <c r="U108" i="13"/>
  <c r="V108" i="13"/>
  <c r="W108" i="13"/>
  <c r="AH108" i="13" s="1"/>
  <c r="X108" i="13"/>
  <c r="Y108" i="13"/>
  <c r="AE108" i="13" s="1"/>
  <c r="S109" i="13"/>
  <c r="AD109" i="13" s="1"/>
  <c r="T109" i="13"/>
  <c r="AG109" i="13" s="1"/>
  <c r="U109" i="13"/>
  <c r="V109" i="13"/>
  <c r="W109" i="13"/>
  <c r="AH109" i="13" s="1"/>
  <c r="X109" i="13"/>
  <c r="Y109" i="13"/>
  <c r="AE109" i="13" s="1"/>
  <c r="S110" i="13"/>
  <c r="AD110" i="13" s="1"/>
  <c r="T110" i="13"/>
  <c r="AG110" i="13" s="1"/>
  <c r="U110" i="13"/>
  <c r="V110" i="13"/>
  <c r="W110" i="13"/>
  <c r="X110" i="13"/>
  <c r="Y110" i="13"/>
  <c r="AE110" i="13" s="1"/>
  <c r="S111" i="13"/>
  <c r="AD111" i="13" s="1"/>
  <c r="T111" i="13"/>
  <c r="AG111" i="13" s="1"/>
  <c r="U111" i="13"/>
  <c r="V111" i="13"/>
  <c r="W111" i="13"/>
  <c r="AH111" i="13" s="1"/>
  <c r="X111" i="13"/>
  <c r="Y111" i="13"/>
  <c r="AE111" i="13" s="1"/>
  <c r="S112" i="13"/>
  <c r="AD112" i="13" s="1"/>
  <c r="T112" i="13"/>
  <c r="AG112" i="13" s="1"/>
  <c r="U112" i="13"/>
  <c r="V112" i="13"/>
  <c r="W112" i="13"/>
  <c r="AH112" i="13" s="1"/>
  <c r="X112" i="13"/>
  <c r="Y112" i="13"/>
  <c r="AE112" i="13" s="1"/>
  <c r="S113" i="13"/>
  <c r="AD113" i="13" s="1"/>
  <c r="T113" i="13"/>
  <c r="AG113" i="13" s="1"/>
  <c r="U113" i="13"/>
  <c r="V113" i="13"/>
  <c r="W113" i="13"/>
  <c r="AH113" i="13" s="1"/>
  <c r="X113" i="13"/>
  <c r="Y113" i="13"/>
  <c r="AE113" i="13" s="1"/>
  <c r="S114" i="13"/>
  <c r="AD114" i="13" s="1"/>
  <c r="T114" i="13"/>
  <c r="AG114" i="13" s="1"/>
  <c r="U114" i="13"/>
  <c r="V114" i="13"/>
  <c r="W114" i="13"/>
  <c r="X114" i="13"/>
  <c r="Y114" i="13"/>
  <c r="AE114" i="13" s="1"/>
  <c r="S115" i="13"/>
  <c r="AD115" i="13" s="1"/>
  <c r="T115" i="13"/>
  <c r="AG115" i="13" s="1"/>
  <c r="U115" i="13"/>
  <c r="V115" i="13"/>
  <c r="W115" i="13"/>
  <c r="AH115" i="13" s="1"/>
  <c r="X115" i="13"/>
  <c r="Y115" i="13"/>
  <c r="AE115" i="13" s="1"/>
  <c r="S116" i="13"/>
  <c r="AD116" i="13" s="1"/>
  <c r="T116" i="13"/>
  <c r="AG116" i="13" s="1"/>
  <c r="U116" i="13"/>
  <c r="V116" i="13"/>
  <c r="W116" i="13"/>
  <c r="AH116" i="13" s="1"/>
  <c r="X116" i="13"/>
  <c r="Y116" i="13"/>
  <c r="AE116" i="13" s="1"/>
  <c r="S117" i="13"/>
  <c r="AD117" i="13" s="1"/>
  <c r="T117" i="13"/>
  <c r="AG117" i="13" s="1"/>
  <c r="U117" i="13"/>
  <c r="V117" i="13"/>
  <c r="W117" i="13"/>
  <c r="AH117" i="13" s="1"/>
  <c r="X117" i="13"/>
  <c r="Y117" i="13"/>
  <c r="AE117" i="13" s="1"/>
  <c r="S118" i="13"/>
  <c r="AD118" i="13" s="1"/>
  <c r="T118" i="13"/>
  <c r="AG118" i="13" s="1"/>
  <c r="U118" i="13"/>
  <c r="V118" i="13"/>
  <c r="W118" i="13"/>
  <c r="X118" i="13"/>
  <c r="Y118" i="13"/>
  <c r="AE118" i="13" s="1"/>
  <c r="S119" i="13"/>
  <c r="AD119" i="13" s="1"/>
  <c r="T119" i="13"/>
  <c r="AG119" i="13" s="1"/>
  <c r="U119" i="13"/>
  <c r="V119" i="13"/>
  <c r="W119" i="13"/>
  <c r="AH119" i="13" s="1"/>
  <c r="X119" i="13"/>
  <c r="Y119" i="13"/>
  <c r="AE119" i="13" s="1"/>
  <c r="S120" i="13"/>
  <c r="AD120" i="13" s="1"/>
  <c r="T120" i="13"/>
  <c r="AG120" i="13" s="1"/>
  <c r="U120" i="13"/>
  <c r="V120" i="13"/>
  <c r="W120" i="13"/>
  <c r="AH120" i="13" s="1"/>
  <c r="X120" i="13"/>
  <c r="Y120" i="13"/>
  <c r="AE120" i="13" s="1"/>
  <c r="S121" i="13"/>
  <c r="AD121" i="13" s="1"/>
  <c r="T121" i="13"/>
  <c r="AG121" i="13" s="1"/>
  <c r="U121" i="13"/>
  <c r="V121" i="13"/>
  <c r="W121" i="13"/>
  <c r="AH121" i="13" s="1"/>
  <c r="X121" i="13"/>
  <c r="Y121" i="13"/>
  <c r="AE121" i="13" s="1"/>
  <c r="S122" i="13"/>
  <c r="AD122" i="13" s="1"/>
  <c r="T122" i="13"/>
  <c r="AG122" i="13" s="1"/>
  <c r="U122" i="13"/>
  <c r="V122" i="13"/>
  <c r="W122" i="13"/>
  <c r="X122" i="13"/>
  <c r="Y122" i="13"/>
  <c r="AE122" i="13" s="1"/>
  <c r="S123" i="13"/>
  <c r="AD123" i="13" s="1"/>
  <c r="T123" i="13"/>
  <c r="AG123" i="13" s="1"/>
  <c r="U123" i="13"/>
  <c r="V123" i="13"/>
  <c r="W123" i="13"/>
  <c r="AH123" i="13" s="1"/>
  <c r="X123" i="13"/>
  <c r="Y123" i="13"/>
  <c r="AE123" i="13" s="1"/>
  <c r="S124" i="13"/>
  <c r="AD124" i="13" s="1"/>
  <c r="T124" i="13"/>
  <c r="AG124" i="13" s="1"/>
  <c r="U124" i="13"/>
  <c r="V124" i="13"/>
  <c r="W124" i="13"/>
  <c r="AH124" i="13" s="1"/>
  <c r="X124" i="13"/>
  <c r="Y124" i="13"/>
  <c r="AE124" i="13" s="1"/>
  <c r="S125" i="13"/>
  <c r="AD125" i="13" s="1"/>
  <c r="T125" i="13"/>
  <c r="AG125" i="13" s="1"/>
  <c r="U125" i="13"/>
  <c r="V125" i="13"/>
  <c r="W125" i="13"/>
  <c r="AH125" i="13" s="1"/>
  <c r="X125" i="13"/>
  <c r="Y125" i="13"/>
  <c r="AE125" i="13" s="1"/>
  <c r="S126" i="13"/>
  <c r="AD126" i="13" s="1"/>
  <c r="T126" i="13"/>
  <c r="AG126" i="13" s="1"/>
  <c r="U126" i="13"/>
  <c r="V126" i="13"/>
  <c r="W126" i="13"/>
  <c r="X126" i="13"/>
  <c r="Y126" i="13"/>
  <c r="AE126" i="13" s="1"/>
  <c r="S127" i="13"/>
  <c r="AD127" i="13" s="1"/>
  <c r="T127" i="13"/>
  <c r="AG127" i="13" s="1"/>
  <c r="U127" i="13"/>
  <c r="V127" i="13"/>
  <c r="W127" i="13"/>
  <c r="AH127" i="13" s="1"/>
  <c r="X127" i="13"/>
  <c r="Y127" i="13"/>
  <c r="AE127" i="13" s="1"/>
  <c r="S128" i="13"/>
  <c r="AD128" i="13" s="1"/>
  <c r="T128" i="13"/>
  <c r="AG128" i="13" s="1"/>
  <c r="U128" i="13"/>
  <c r="V128" i="13"/>
  <c r="W128" i="13"/>
  <c r="AH128" i="13" s="1"/>
  <c r="X128" i="13"/>
  <c r="Y128" i="13"/>
  <c r="AE128" i="13" s="1"/>
  <c r="AB59" i="13"/>
  <c r="AB60" i="13"/>
  <c r="AB61" i="13"/>
  <c r="AB62" i="13"/>
  <c r="AB63" i="13"/>
  <c r="AB64" i="13"/>
  <c r="S59" i="13"/>
  <c r="AD59" i="13" s="1"/>
  <c r="T59" i="13"/>
  <c r="AG59" i="13" s="1"/>
  <c r="U59" i="13"/>
  <c r="V59" i="13"/>
  <c r="W59" i="13"/>
  <c r="AH59" i="13" s="1"/>
  <c r="X59" i="13"/>
  <c r="Y59" i="13"/>
  <c r="AE59" i="13" s="1"/>
  <c r="S60" i="13"/>
  <c r="T60" i="13"/>
  <c r="AG60" i="13" s="1"/>
  <c r="U60" i="13"/>
  <c r="V60" i="13"/>
  <c r="W60" i="13"/>
  <c r="X60" i="13"/>
  <c r="Y60" i="13"/>
  <c r="AE60" i="13" s="1"/>
  <c r="S61" i="13"/>
  <c r="T61" i="13"/>
  <c r="AG61" i="13" s="1"/>
  <c r="U61" i="13"/>
  <c r="V61" i="13"/>
  <c r="W61" i="13"/>
  <c r="X61" i="13"/>
  <c r="Y61" i="13"/>
  <c r="AE61" i="13" s="1"/>
  <c r="S62" i="13"/>
  <c r="AD62" i="13" s="1"/>
  <c r="T62" i="13"/>
  <c r="AG62" i="13" s="1"/>
  <c r="U62" i="13"/>
  <c r="V62" i="13"/>
  <c r="W62" i="13"/>
  <c r="AH62" i="13" s="1"/>
  <c r="X62" i="13"/>
  <c r="Y62" i="13"/>
  <c r="AE62" i="13" s="1"/>
  <c r="S63" i="13"/>
  <c r="AD63" i="13" s="1"/>
  <c r="T63" i="13"/>
  <c r="AG63" i="13" s="1"/>
  <c r="U63" i="13"/>
  <c r="V63" i="13"/>
  <c r="W63" i="13"/>
  <c r="AH63" i="13" s="1"/>
  <c r="X63" i="13"/>
  <c r="Y63" i="13"/>
  <c r="AE63" i="13" s="1"/>
  <c r="S64" i="13"/>
  <c r="T64" i="13"/>
  <c r="AG64" i="13" s="1"/>
  <c r="U64" i="13"/>
  <c r="V64" i="13"/>
  <c r="W64" i="13"/>
  <c r="X64" i="13"/>
  <c r="Y64" i="13"/>
  <c r="AE64" i="13" s="1"/>
  <c r="AC83" i="13" l="1"/>
  <c r="AC79" i="13"/>
  <c r="AC75" i="13"/>
  <c r="AC71" i="13"/>
  <c r="AC103" i="13"/>
  <c r="AC99" i="13"/>
  <c r="AC95" i="13"/>
  <c r="AC91" i="13"/>
  <c r="AC67" i="13"/>
  <c r="AC127" i="13"/>
  <c r="AC87" i="13"/>
  <c r="AC106" i="13"/>
  <c r="AC68" i="13"/>
  <c r="AF117" i="13"/>
  <c r="AF105" i="13"/>
  <c r="AC128" i="13"/>
  <c r="Z125" i="13"/>
  <c r="AI125" i="13" s="1"/>
  <c r="AC124" i="13"/>
  <c r="Z121" i="13"/>
  <c r="AI121" i="13" s="1"/>
  <c r="AC120" i="13"/>
  <c r="Z117" i="13"/>
  <c r="AI117" i="13" s="1"/>
  <c r="AC116" i="13"/>
  <c r="Z113" i="13"/>
  <c r="AI113" i="13" s="1"/>
  <c r="AC112" i="13"/>
  <c r="Z109" i="13"/>
  <c r="AI109" i="13" s="1"/>
  <c r="AC108" i="13"/>
  <c r="Z105" i="13"/>
  <c r="AI105" i="13" s="1"/>
  <c r="AC104" i="13"/>
  <c r="Z101" i="13"/>
  <c r="AI101" i="13" s="1"/>
  <c r="AC100" i="13"/>
  <c r="Z97" i="13"/>
  <c r="AI97" i="13" s="1"/>
  <c r="AC96" i="13"/>
  <c r="Z93" i="13"/>
  <c r="AI93" i="13" s="1"/>
  <c r="AC92" i="13"/>
  <c r="Z89" i="13"/>
  <c r="AI89" i="13" s="1"/>
  <c r="AC88" i="13"/>
  <c r="Z85" i="13"/>
  <c r="AI85" i="13" s="1"/>
  <c r="AC84" i="13"/>
  <c r="Z81" i="13"/>
  <c r="AI81" i="13" s="1"/>
  <c r="AC80" i="13"/>
  <c r="Z77" i="13"/>
  <c r="AI77" i="13" s="1"/>
  <c r="AC76" i="13"/>
  <c r="Z73" i="13"/>
  <c r="AI73" i="13" s="1"/>
  <c r="AC72" i="13"/>
  <c r="AF113" i="13"/>
  <c r="AF124" i="13"/>
  <c r="AF120" i="13"/>
  <c r="AF116" i="13"/>
  <c r="AF112" i="13"/>
  <c r="AF108" i="13"/>
  <c r="Z65" i="13"/>
  <c r="AI65" i="13" s="1"/>
  <c r="AF128" i="13"/>
  <c r="AF125" i="13"/>
  <c r="AF109" i="13"/>
  <c r="AF121" i="13"/>
  <c r="AH126" i="13"/>
  <c r="AF126" i="13"/>
  <c r="AH122" i="13"/>
  <c r="AF122" i="13"/>
  <c r="AH110" i="13"/>
  <c r="AF110" i="13"/>
  <c r="AF102" i="13"/>
  <c r="AH102" i="13"/>
  <c r="AF90" i="13"/>
  <c r="AH90" i="13"/>
  <c r="AF86" i="13"/>
  <c r="AH86" i="13"/>
  <c r="AH118" i="13"/>
  <c r="AF118" i="13"/>
  <c r="AH114" i="13"/>
  <c r="AF114" i="13"/>
  <c r="AH106" i="13"/>
  <c r="AF106" i="13"/>
  <c r="AF98" i="13"/>
  <c r="AH98" i="13"/>
  <c r="AF94" i="13"/>
  <c r="AH94" i="13"/>
  <c r="AF127" i="13"/>
  <c r="AF123" i="13"/>
  <c r="AF119" i="13"/>
  <c r="AF115" i="13"/>
  <c r="AF111" i="13"/>
  <c r="AF107" i="13"/>
  <c r="AF78" i="13"/>
  <c r="AH78" i="13"/>
  <c r="AF69" i="13"/>
  <c r="AH69" i="13"/>
  <c r="AF67" i="13"/>
  <c r="AH67" i="13"/>
  <c r="AF66" i="13"/>
  <c r="AH66" i="13"/>
  <c r="Z126" i="13"/>
  <c r="AI126" i="13" s="1"/>
  <c r="AC125" i="13"/>
  <c r="AC121" i="13"/>
  <c r="Z114" i="13"/>
  <c r="AI114" i="13" s="1"/>
  <c r="AC113" i="13"/>
  <c r="Z106" i="13"/>
  <c r="AI106" i="13" s="1"/>
  <c r="AC105" i="13"/>
  <c r="AF99" i="13"/>
  <c r="AH99" i="13"/>
  <c r="AF95" i="13"/>
  <c r="AH95" i="13"/>
  <c r="Z94" i="13"/>
  <c r="AI94" i="13" s="1"/>
  <c r="AC93" i="13"/>
  <c r="AF87" i="13"/>
  <c r="AH87" i="13"/>
  <c r="Z86" i="13"/>
  <c r="AI86" i="13" s="1"/>
  <c r="AC85" i="13"/>
  <c r="AC81" i="13"/>
  <c r="AF75" i="13"/>
  <c r="AH75" i="13"/>
  <c r="Z74" i="13"/>
  <c r="AI74" i="13" s="1"/>
  <c r="Z66" i="13"/>
  <c r="AI66" i="13" s="1"/>
  <c r="Z127" i="13"/>
  <c r="AI127" i="13" s="1"/>
  <c r="AC126" i="13"/>
  <c r="Z123" i="13"/>
  <c r="AI123" i="13" s="1"/>
  <c r="AC122" i="13"/>
  <c r="Z119" i="13"/>
  <c r="AI119" i="13" s="1"/>
  <c r="AC118" i="13"/>
  <c r="Z115" i="13"/>
  <c r="AI115" i="13" s="1"/>
  <c r="AC114" i="13"/>
  <c r="Z111" i="13"/>
  <c r="AI111" i="13" s="1"/>
  <c r="AC110" i="13"/>
  <c r="Z107" i="13"/>
  <c r="AI107" i="13" s="1"/>
  <c r="AH104" i="13"/>
  <c r="AF104" i="13"/>
  <c r="Z103" i="13"/>
  <c r="AI103" i="13" s="1"/>
  <c r="AC102" i="13"/>
  <c r="AF100" i="13"/>
  <c r="AH100" i="13"/>
  <c r="Z99" i="13"/>
  <c r="AI99" i="13" s="1"/>
  <c r="AC98" i="13"/>
  <c r="AF96" i="13"/>
  <c r="AH96" i="13"/>
  <c r="Z95" i="13"/>
  <c r="AI95" i="13" s="1"/>
  <c r="AC94" i="13"/>
  <c r="AF92" i="13"/>
  <c r="AH92" i="13"/>
  <c r="Z91" i="13"/>
  <c r="AI91" i="13" s="1"/>
  <c r="AC90" i="13"/>
  <c r="AF88" i="13"/>
  <c r="AH88" i="13"/>
  <c r="Z87" i="13"/>
  <c r="AI87" i="13" s="1"/>
  <c r="AC86" i="13"/>
  <c r="AF84" i="13"/>
  <c r="AH84" i="13"/>
  <c r="Z83" i="13"/>
  <c r="AI83" i="13" s="1"/>
  <c r="AC82" i="13"/>
  <c r="AF80" i="13"/>
  <c r="AH80" i="13"/>
  <c r="Z79" i="13"/>
  <c r="AI79" i="13" s="1"/>
  <c r="AC78" i="13"/>
  <c r="AF76" i="13"/>
  <c r="AH76" i="13"/>
  <c r="Z75" i="13"/>
  <c r="AI75" i="13" s="1"/>
  <c r="AC74" i="13"/>
  <c r="AF72" i="13"/>
  <c r="AH72" i="13"/>
  <c r="AF71" i="13"/>
  <c r="AH71" i="13"/>
  <c r="Z70" i="13"/>
  <c r="AI70" i="13" s="1"/>
  <c r="AC69" i="13"/>
  <c r="AC66" i="13"/>
  <c r="AC65" i="13"/>
  <c r="AF82" i="13"/>
  <c r="AH82" i="13"/>
  <c r="AF74" i="13"/>
  <c r="AH74" i="13"/>
  <c r="AF68" i="13"/>
  <c r="AH68" i="13"/>
  <c r="AF65" i="13"/>
  <c r="AH65" i="13"/>
  <c r="Z122" i="13"/>
  <c r="AI122" i="13" s="1"/>
  <c r="Z118" i="13"/>
  <c r="AI118" i="13" s="1"/>
  <c r="AC117" i="13"/>
  <c r="Z110" i="13"/>
  <c r="AI110" i="13" s="1"/>
  <c r="AC109" i="13"/>
  <c r="AF103" i="13"/>
  <c r="AH103" i="13"/>
  <c r="Z102" i="13"/>
  <c r="AI102" i="13" s="1"/>
  <c r="AC101" i="13"/>
  <c r="Z98" i="13"/>
  <c r="AI98" i="13" s="1"/>
  <c r="AC97" i="13"/>
  <c r="AF91" i="13"/>
  <c r="AH91" i="13"/>
  <c r="Z90" i="13"/>
  <c r="AI90" i="13" s="1"/>
  <c r="AC89" i="13"/>
  <c r="AF83" i="13"/>
  <c r="AH83" i="13"/>
  <c r="Z82" i="13"/>
  <c r="AI82" i="13" s="1"/>
  <c r="AF79" i="13"/>
  <c r="AH79" i="13"/>
  <c r="Z78" i="13"/>
  <c r="AI78" i="13" s="1"/>
  <c r="AC77" i="13"/>
  <c r="AC73" i="13"/>
  <c r="AF70" i="13"/>
  <c r="AH70" i="13"/>
  <c r="Z69" i="13"/>
  <c r="AI69" i="13" s="1"/>
  <c r="Z68" i="13"/>
  <c r="AI68" i="13" s="1"/>
  <c r="Z67" i="13"/>
  <c r="AI67" i="13" s="1"/>
  <c r="Z128" i="13"/>
  <c r="AI128" i="13" s="1"/>
  <c r="Z124" i="13"/>
  <c r="AI124" i="13" s="1"/>
  <c r="AC123" i="13"/>
  <c r="Z120" i="13"/>
  <c r="AI120" i="13" s="1"/>
  <c r="AC119" i="13"/>
  <c r="Z116" i="13"/>
  <c r="AI116" i="13" s="1"/>
  <c r="AC115" i="13"/>
  <c r="Z112" i="13"/>
  <c r="AI112" i="13" s="1"/>
  <c r="AC111" i="13"/>
  <c r="Z108" i="13"/>
  <c r="AI108" i="13" s="1"/>
  <c r="AC107" i="13"/>
  <c r="Z104" i="13"/>
  <c r="AI104" i="13" s="1"/>
  <c r="AF101" i="13"/>
  <c r="AH101" i="13"/>
  <c r="Z100" i="13"/>
  <c r="AI100" i="13" s="1"/>
  <c r="AF97" i="13"/>
  <c r="AH97" i="13"/>
  <c r="Z96" i="13"/>
  <c r="AI96" i="13" s="1"/>
  <c r="AF93" i="13"/>
  <c r="AH93" i="13"/>
  <c r="Z92" i="13"/>
  <c r="AI92" i="13" s="1"/>
  <c r="AF89" i="13"/>
  <c r="AH89" i="13"/>
  <c r="Z88" i="13"/>
  <c r="AI88" i="13" s="1"/>
  <c r="AF85" i="13"/>
  <c r="AH85" i="13"/>
  <c r="Z84" i="13"/>
  <c r="AI84" i="13" s="1"/>
  <c r="AF81" i="13"/>
  <c r="AH81" i="13"/>
  <c r="Z80" i="13"/>
  <c r="AI80" i="13" s="1"/>
  <c r="AF77" i="13"/>
  <c r="AH77" i="13"/>
  <c r="Z76" i="13"/>
  <c r="AI76" i="13" s="1"/>
  <c r="AF73" i="13"/>
  <c r="AH73" i="13"/>
  <c r="Z72" i="13"/>
  <c r="AI72" i="13" s="1"/>
  <c r="Z71" i="13"/>
  <c r="AI71" i="13" s="1"/>
  <c r="AC70" i="13"/>
  <c r="AC59" i="13"/>
  <c r="AC63" i="13"/>
  <c r="AF61" i="13"/>
  <c r="AF64" i="13"/>
  <c r="AC64" i="13"/>
  <c r="AC60" i="13"/>
  <c r="AF63" i="13"/>
  <c r="AC61" i="13"/>
  <c r="AF59" i="13"/>
  <c r="AF62" i="13"/>
  <c r="Z64" i="13"/>
  <c r="AI64" i="13" s="1"/>
  <c r="AC62" i="13"/>
  <c r="AF60" i="13"/>
  <c r="Z60" i="13"/>
  <c r="AI60" i="13" s="1"/>
  <c r="Z61" i="13"/>
  <c r="AI61" i="13" s="1"/>
  <c r="AH64" i="13"/>
  <c r="AH61" i="13"/>
  <c r="AD61" i="13"/>
  <c r="AH60" i="13"/>
  <c r="AD60" i="13"/>
  <c r="Z62" i="13"/>
  <c r="AI62" i="13" s="1"/>
  <c r="AD64" i="13"/>
  <c r="Z63" i="13"/>
  <c r="AI63" i="13" s="1"/>
  <c r="Z59" i="13"/>
  <c r="AI59" i="13" s="1"/>
  <c r="H60" i="15"/>
  <c r="H82" i="15"/>
  <c r="H81" i="15"/>
  <c r="A82" i="15"/>
  <c r="A81" i="15"/>
  <c r="H71" i="15"/>
  <c r="H70" i="15"/>
  <c r="A71" i="15"/>
  <c r="A70" i="15"/>
  <c r="J16" i="15" l="1"/>
  <c r="I17" i="15"/>
  <c r="K17" i="15"/>
  <c r="L17" i="15"/>
  <c r="M17" i="15"/>
  <c r="N17" i="15"/>
  <c r="I18" i="15"/>
  <c r="K18" i="15"/>
  <c r="L18" i="15"/>
  <c r="M18" i="15"/>
  <c r="N18" i="15"/>
  <c r="I19" i="15"/>
  <c r="K19" i="15"/>
  <c r="L19" i="15"/>
  <c r="M19" i="15"/>
  <c r="N19" i="15"/>
  <c r="I20" i="15"/>
  <c r="K20" i="15"/>
  <c r="L20" i="15"/>
  <c r="M20" i="15"/>
  <c r="N20" i="15"/>
  <c r="I21" i="15"/>
  <c r="K21" i="15"/>
  <c r="L21" i="15"/>
  <c r="M21" i="15"/>
  <c r="N21" i="15"/>
  <c r="I22" i="15"/>
  <c r="K22" i="15"/>
  <c r="L22" i="15"/>
  <c r="M22" i="15"/>
  <c r="N22" i="15"/>
  <c r="I23" i="15"/>
  <c r="K23" i="15"/>
  <c r="L23" i="15"/>
  <c r="M23" i="15"/>
  <c r="N23" i="15"/>
  <c r="I24" i="15"/>
  <c r="K24" i="15"/>
  <c r="L24" i="15"/>
  <c r="M24" i="15"/>
  <c r="N24" i="15"/>
  <c r="I25" i="15"/>
  <c r="K25" i="15"/>
  <c r="L25" i="15"/>
  <c r="M25" i="15"/>
  <c r="N25" i="15"/>
  <c r="I26" i="15"/>
  <c r="K26" i="15"/>
  <c r="L26" i="15"/>
  <c r="M26" i="15"/>
  <c r="N26" i="15"/>
  <c r="I27" i="15"/>
  <c r="K27" i="15"/>
  <c r="L27" i="15"/>
  <c r="M27" i="15"/>
  <c r="N27" i="15"/>
  <c r="I28" i="15"/>
  <c r="K28" i="15"/>
  <c r="L28" i="15"/>
  <c r="M28" i="15"/>
  <c r="N28" i="15"/>
  <c r="I29" i="15"/>
  <c r="K29" i="15"/>
  <c r="L29" i="15"/>
  <c r="M29" i="15"/>
  <c r="N29" i="15"/>
  <c r="I30" i="15"/>
  <c r="K30" i="15"/>
  <c r="L30" i="15"/>
  <c r="M30" i="15"/>
  <c r="N30" i="15"/>
  <c r="I31" i="15"/>
  <c r="K31" i="15"/>
  <c r="L31" i="15"/>
  <c r="M31" i="15"/>
  <c r="N31" i="15"/>
  <c r="I32" i="15"/>
  <c r="K32" i="15"/>
  <c r="L32" i="15"/>
  <c r="M32" i="15"/>
  <c r="N32" i="15"/>
  <c r="H59" i="15" l="1"/>
  <c r="H58" i="15"/>
  <c r="A60" i="15"/>
  <c r="A59" i="15"/>
  <c r="A58" i="15"/>
  <c r="S20" i="13"/>
  <c r="T20" i="13"/>
  <c r="AG20" i="13" s="1"/>
  <c r="U20" i="13"/>
  <c r="V20" i="13"/>
  <c r="W20" i="13"/>
  <c r="AH20" i="13" s="1"/>
  <c r="X20" i="13"/>
  <c r="Y20" i="13"/>
  <c r="AE20" i="13" s="1"/>
  <c r="S21" i="13"/>
  <c r="T21" i="13"/>
  <c r="AG21" i="13" s="1"/>
  <c r="U21" i="13"/>
  <c r="V21" i="13"/>
  <c r="W21" i="13"/>
  <c r="AH21" i="13" s="1"/>
  <c r="X21" i="13"/>
  <c r="Y21" i="13"/>
  <c r="AE21" i="13" s="1"/>
  <c r="S22" i="13"/>
  <c r="T22" i="13"/>
  <c r="AG22" i="13" s="1"/>
  <c r="U22" i="13"/>
  <c r="V22" i="13"/>
  <c r="W22" i="13"/>
  <c r="AH22" i="13" s="1"/>
  <c r="X22" i="13"/>
  <c r="Y22" i="13"/>
  <c r="AE22" i="13" s="1"/>
  <c r="S23" i="13"/>
  <c r="T23" i="13"/>
  <c r="AG23" i="13" s="1"/>
  <c r="U23" i="13"/>
  <c r="V23" i="13"/>
  <c r="W23" i="13"/>
  <c r="AH23" i="13" s="1"/>
  <c r="X23" i="13"/>
  <c r="Y23" i="13"/>
  <c r="AE23" i="13" s="1"/>
  <c r="S24" i="13"/>
  <c r="T24" i="13"/>
  <c r="AG24" i="13" s="1"/>
  <c r="U24" i="13"/>
  <c r="V24" i="13"/>
  <c r="W24" i="13"/>
  <c r="AH24" i="13" s="1"/>
  <c r="X24" i="13"/>
  <c r="Y24" i="13"/>
  <c r="AE24" i="13" s="1"/>
  <c r="S25" i="13"/>
  <c r="T25" i="13"/>
  <c r="AG25" i="13" s="1"/>
  <c r="U25" i="13"/>
  <c r="V25" i="13"/>
  <c r="W25" i="13"/>
  <c r="AH25" i="13" s="1"/>
  <c r="X25" i="13"/>
  <c r="Y25" i="13"/>
  <c r="AE25" i="13" s="1"/>
  <c r="S26" i="13"/>
  <c r="T26" i="13"/>
  <c r="AG26" i="13" s="1"/>
  <c r="U26" i="13"/>
  <c r="V26" i="13"/>
  <c r="W26" i="13"/>
  <c r="AH26" i="13" s="1"/>
  <c r="X26" i="13"/>
  <c r="Y26" i="13"/>
  <c r="AE26" i="13" s="1"/>
  <c r="S27" i="13"/>
  <c r="T27" i="13"/>
  <c r="AG27" i="13" s="1"/>
  <c r="U27" i="13"/>
  <c r="V27" i="13"/>
  <c r="W27" i="13"/>
  <c r="AH27" i="13" s="1"/>
  <c r="X27" i="13"/>
  <c r="Y27" i="13"/>
  <c r="AE27" i="13" s="1"/>
  <c r="S28" i="13"/>
  <c r="T28" i="13"/>
  <c r="AG28" i="13" s="1"/>
  <c r="U28" i="13"/>
  <c r="V28" i="13"/>
  <c r="W28" i="13"/>
  <c r="AH28" i="13" s="1"/>
  <c r="X28" i="13"/>
  <c r="Y28" i="13"/>
  <c r="AE28" i="13" s="1"/>
  <c r="S29" i="13"/>
  <c r="T29" i="13"/>
  <c r="AG29" i="13" s="1"/>
  <c r="U29" i="13"/>
  <c r="V29" i="13"/>
  <c r="W29" i="13"/>
  <c r="AH29" i="13" s="1"/>
  <c r="X29" i="13"/>
  <c r="Y29" i="13"/>
  <c r="AE29" i="13" s="1"/>
  <c r="S30" i="13"/>
  <c r="T30" i="13"/>
  <c r="AG30" i="13" s="1"/>
  <c r="U30" i="13"/>
  <c r="V30" i="13"/>
  <c r="W30" i="13"/>
  <c r="AH30" i="13" s="1"/>
  <c r="X30" i="13"/>
  <c r="Y30" i="13"/>
  <c r="AE30" i="13" s="1"/>
  <c r="S31" i="13"/>
  <c r="T31" i="13"/>
  <c r="AG31" i="13" s="1"/>
  <c r="U31" i="13"/>
  <c r="V31" i="13"/>
  <c r="W31" i="13"/>
  <c r="AH31" i="13" s="1"/>
  <c r="X31" i="13"/>
  <c r="Y31" i="13"/>
  <c r="AE31" i="13" s="1"/>
  <c r="S32" i="13"/>
  <c r="T32" i="13"/>
  <c r="AG32" i="13" s="1"/>
  <c r="U32" i="13"/>
  <c r="V32" i="13"/>
  <c r="W32" i="13"/>
  <c r="AH32" i="13" s="1"/>
  <c r="X32" i="13"/>
  <c r="Y32" i="13"/>
  <c r="AE32" i="13" s="1"/>
  <c r="S33" i="13"/>
  <c r="T33" i="13"/>
  <c r="AG33" i="13" s="1"/>
  <c r="U33" i="13"/>
  <c r="V33" i="13"/>
  <c r="W33" i="13"/>
  <c r="AH33" i="13" s="1"/>
  <c r="X33" i="13"/>
  <c r="Y33" i="13"/>
  <c r="AE33" i="13" s="1"/>
  <c r="S34" i="13"/>
  <c r="T34" i="13"/>
  <c r="AG34" i="13" s="1"/>
  <c r="U34" i="13"/>
  <c r="V34" i="13"/>
  <c r="W34" i="13"/>
  <c r="AH34" i="13" s="1"/>
  <c r="X34" i="13"/>
  <c r="Y34" i="13"/>
  <c r="AE34" i="13" s="1"/>
  <c r="S35" i="13"/>
  <c r="T35" i="13"/>
  <c r="AG35" i="13" s="1"/>
  <c r="U35" i="13"/>
  <c r="V35" i="13"/>
  <c r="W35" i="13"/>
  <c r="AH35" i="13" s="1"/>
  <c r="X35" i="13"/>
  <c r="Y35" i="13"/>
  <c r="AE35" i="13" s="1"/>
  <c r="S36" i="13"/>
  <c r="T36" i="13"/>
  <c r="AG36" i="13" s="1"/>
  <c r="U36" i="13"/>
  <c r="V36" i="13"/>
  <c r="W36" i="13"/>
  <c r="AH36" i="13" s="1"/>
  <c r="X36" i="13"/>
  <c r="Y36" i="13"/>
  <c r="AE36" i="13" s="1"/>
  <c r="S37" i="13"/>
  <c r="T37" i="13"/>
  <c r="AG37" i="13" s="1"/>
  <c r="U37" i="13"/>
  <c r="V37" i="13"/>
  <c r="W37" i="13"/>
  <c r="AH37" i="13" s="1"/>
  <c r="X37" i="13"/>
  <c r="Y37" i="13"/>
  <c r="AE37" i="13" s="1"/>
  <c r="S38" i="13"/>
  <c r="T38" i="13"/>
  <c r="AG38" i="13" s="1"/>
  <c r="U38" i="13"/>
  <c r="V38" i="13"/>
  <c r="W38" i="13"/>
  <c r="AH38" i="13" s="1"/>
  <c r="X38" i="13"/>
  <c r="Y38" i="13"/>
  <c r="AE38" i="13" s="1"/>
  <c r="S39" i="13"/>
  <c r="T39" i="13"/>
  <c r="AG39" i="13" s="1"/>
  <c r="U39" i="13"/>
  <c r="V39" i="13"/>
  <c r="W39" i="13"/>
  <c r="AH39" i="13" s="1"/>
  <c r="X39" i="13"/>
  <c r="Y39" i="13"/>
  <c r="AE39" i="13" s="1"/>
  <c r="S40" i="13"/>
  <c r="T40" i="13"/>
  <c r="AG40" i="13" s="1"/>
  <c r="U40" i="13"/>
  <c r="V40" i="13"/>
  <c r="W40" i="13"/>
  <c r="AH40" i="13" s="1"/>
  <c r="X40" i="13"/>
  <c r="Y40" i="13"/>
  <c r="AE40" i="13" s="1"/>
  <c r="S41" i="13"/>
  <c r="T41" i="13"/>
  <c r="AG41" i="13" s="1"/>
  <c r="U41" i="13"/>
  <c r="V41" i="13"/>
  <c r="W41" i="13"/>
  <c r="AH41" i="13" s="1"/>
  <c r="X41" i="13"/>
  <c r="Y41" i="13"/>
  <c r="AE41" i="13" s="1"/>
  <c r="S42" i="13"/>
  <c r="T42" i="13"/>
  <c r="AG42" i="13" s="1"/>
  <c r="U42" i="13"/>
  <c r="V42" i="13"/>
  <c r="W42" i="13"/>
  <c r="AH42" i="13" s="1"/>
  <c r="X42" i="13"/>
  <c r="Y42" i="13"/>
  <c r="AE42" i="13" s="1"/>
  <c r="S43" i="13"/>
  <c r="T43" i="13"/>
  <c r="AG43" i="13" s="1"/>
  <c r="U43" i="13"/>
  <c r="V43" i="13"/>
  <c r="W43" i="13"/>
  <c r="AH43" i="13" s="1"/>
  <c r="X43" i="13"/>
  <c r="Y43" i="13"/>
  <c r="AE43" i="13" s="1"/>
  <c r="S44" i="13"/>
  <c r="T44" i="13"/>
  <c r="AG44" i="13" s="1"/>
  <c r="U44" i="13"/>
  <c r="V44" i="13"/>
  <c r="W44" i="13"/>
  <c r="AH44" i="13" s="1"/>
  <c r="X44" i="13"/>
  <c r="Y44" i="13"/>
  <c r="AE44" i="13" s="1"/>
  <c r="S45" i="13"/>
  <c r="T45" i="13"/>
  <c r="AG45" i="13" s="1"/>
  <c r="U45" i="13"/>
  <c r="V45" i="13"/>
  <c r="W45" i="13"/>
  <c r="AH45" i="13" s="1"/>
  <c r="X45" i="13"/>
  <c r="Y45" i="13"/>
  <c r="AE45" i="13" s="1"/>
  <c r="S46" i="13"/>
  <c r="T46" i="13"/>
  <c r="AG46" i="13" s="1"/>
  <c r="U46" i="13"/>
  <c r="V46" i="13"/>
  <c r="W46" i="13"/>
  <c r="AH46" i="13" s="1"/>
  <c r="X46" i="13"/>
  <c r="Y46" i="13"/>
  <c r="AE46" i="13" s="1"/>
  <c r="S47" i="13"/>
  <c r="T47" i="13"/>
  <c r="AG47" i="13" s="1"/>
  <c r="U47" i="13"/>
  <c r="V47" i="13"/>
  <c r="W47" i="13"/>
  <c r="AH47" i="13" s="1"/>
  <c r="X47" i="13"/>
  <c r="Y47" i="13"/>
  <c r="AE47" i="13" s="1"/>
  <c r="S48" i="13"/>
  <c r="T48" i="13"/>
  <c r="AG48" i="13" s="1"/>
  <c r="U48" i="13"/>
  <c r="V48" i="13"/>
  <c r="W48" i="13"/>
  <c r="AH48" i="13" s="1"/>
  <c r="X48" i="13"/>
  <c r="Y48" i="13"/>
  <c r="AE48" i="13" s="1"/>
  <c r="S49" i="13"/>
  <c r="T49" i="13"/>
  <c r="AG49" i="13" s="1"/>
  <c r="U49" i="13"/>
  <c r="V49" i="13"/>
  <c r="W49" i="13"/>
  <c r="AH49" i="13" s="1"/>
  <c r="X49" i="13"/>
  <c r="Y49" i="13"/>
  <c r="AE49" i="13" s="1"/>
  <c r="S50" i="13"/>
  <c r="T50" i="13"/>
  <c r="AG50" i="13" s="1"/>
  <c r="U50" i="13"/>
  <c r="V50" i="13"/>
  <c r="W50" i="13"/>
  <c r="AH50" i="13" s="1"/>
  <c r="X50" i="13"/>
  <c r="Y50" i="13"/>
  <c r="AE50" i="13" s="1"/>
  <c r="S51" i="13"/>
  <c r="T51" i="13"/>
  <c r="AG51" i="13" s="1"/>
  <c r="U51" i="13"/>
  <c r="V51" i="13"/>
  <c r="W51" i="13"/>
  <c r="AH51" i="13" s="1"/>
  <c r="X51" i="13"/>
  <c r="Y51" i="13"/>
  <c r="AE51" i="13" s="1"/>
  <c r="S52" i="13"/>
  <c r="T52" i="13"/>
  <c r="AG52" i="13" s="1"/>
  <c r="U52" i="13"/>
  <c r="V52" i="13"/>
  <c r="W52" i="13"/>
  <c r="AH52" i="13" s="1"/>
  <c r="X52" i="13"/>
  <c r="Y52" i="13"/>
  <c r="AE52" i="13" s="1"/>
  <c r="S53" i="13"/>
  <c r="T53" i="13"/>
  <c r="AG53" i="13" s="1"/>
  <c r="U53" i="13"/>
  <c r="V53" i="13"/>
  <c r="W53" i="13"/>
  <c r="AH53" i="13" s="1"/>
  <c r="X53" i="13"/>
  <c r="Y53" i="13"/>
  <c r="AE53" i="13" s="1"/>
  <c r="S54" i="13"/>
  <c r="T54" i="13"/>
  <c r="AG54" i="13" s="1"/>
  <c r="U54" i="13"/>
  <c r="V54" i="13"/>
  <c r="W54" i="13"/>
  <c r="AH54" i="13" s="1"/>
  <c r="X54" i="13"/>
  <c r="Y54" i="13"/>
  <c r="AE54" i="13" s="1"/>
  <c r="S55" i="13"/>
  <c r="T55" i="13"/>
  <c r="AG55" i="13" s="1"/>
  <c r="U55" i="13"/>
  <c r="V55" i="13"/>
  <c r="W55" i="13"/>
  <c r="AH55" i="13" s="1"/>
  <c r="X55" i="13"/>
  <c r="Y55" i="13"/>
  <c r="AE55" i="13" s="1"/>
  <c r="S56" i="13"/>
  <c r="T56" i="13"/>
  <c r="AG56" i="13" s="1"/>
  <c r="U56" i="13"/>
  <c r="V56" i="13"/>
  <c r="W56" i="13"/>
  <c r="AH56" i="13" s="1"/>
  <c r="X56" i="13"/>
  <c r="Y56" i="13"/>
  <c r="AE56" i="13" s="1"/>
  <c r="S57" i="13"/>
  <c r="T57" i="13"/>
  <c r="AG57" i="13" s="1"/>
  <c r="U57" i="13"/>
  <c r="V57" i="13"/>
  <c r="W57" i="13"/>
  <c r="AH57" i="13" s="1"/>
  <c r="X57" i="13"/>
  <c r="Y57" i="13"/>
  <c r="AE57" i="13" s="1"/>
  <c r="S58" i="13"/>
  <c r="T58" i="13"/>
  <c r="AG58" i="13" s="1"/>
  <c r="U58" i="13"/>
  <c r="V58" i="13"/>
  <c r="W58" i="13"/>
  <c r="AH58" i="13" s="1"/>
  <c r="X58" i="13"/>
  <c r="Y58" i="13"/>
  <c r="AE58" i="13" s="1"/>
  <c r="AB20" i="13"/>
  <c r="AB21" i="13"/>
  <c r="AB22" i="13"/>
  <c r="AB23" i="13"/>
  <c r="AB24" i="13"/>
  <c r="AB25" i="13"/>
  <c r="AB26" i="13"/>
  <c r="AB27" i="13"/>
  <c r="AB28" i="13"/>
  <c r="AB29" i="13"/>
  <c r="AB30" i="13"/>
  <c r="AB31" i="13"/>
  <c r="AB32" i="13"/>
  <c r="AB33" i="13"/>
  <c r="AB34" i="13"/>
  <c r="AB35" i="13"/>
  <c r="AB36" i="13"/>
  <c r="AB37" i="13"/>
  <c r="AB38" i="13"/>
  <c r="AB39" i="13"/>
  <c r="AB40" i="13"/>
  <c r="AB41" i="13"/>
  <c r="AB42" i="13"/>
  <c r="AB43" i="13"/>
  <c r="AB44" i="13"/>
  <c r="AB45" i="13"/>
  <c r="AB46" i="13"/>
  <c r="AB47" i="13"/>
  <c r="AB48" i="13"/>
  <c r="AB49" i="13"/>
  <c r="AB50" i="13"/>
  <c r="AB51" i="13"/>
  <c r="AB52" i="13"/>
  <c r="AB53" i="13"/>
  <c r="AB54" i="13"/>
  <c r="AB55" i="13"/>
  <c r="AB56" i="13"/>
  <c r="AB57" i="13"/>
  <c r="AB58" i="13"/>
  <c r="H4" i="7"/>
  <c r="AN2" i="13"/>
  <c r="AQ4" i="13" s="1"/>
  <c r="AN1" i="13"/>
  <c r="AQ1" i="13"/>
  <c r="Y4" i="13"/>
  <c r="AE4" i="13" s="1"/>
  <c r="Y5" i="13"/>
  <c r="AE5" i="13" s="1"/>
  <c r="Y6" i="13"/>
  <c r="AE6" i="13" s="1"/>
  <c r="Y7" i="13"/>
  <c r="AE7" i="13" s="1"/>
  <c r="Y8" i="13"/>
  <c r="AE8" i="13" s="1"/>
  <c r="Y9" i="13"/>
  <c r="AE9" i="13" s="1"/>
  <c r="Y10" i="13"/>
  <c r="AE10" i="13" s="1"/>
  <c r="Y11" i="13"/>
  <c r="AE11" i="13" s="1"/>
  <c r="Y12" i="13"/>
  <c r="AE12" i="13" s="1"/>
  <c r="Y13" i="13"/>
  <c r="AE13" i="13" s="1"/>
  <c r="Y14" i="13"/>
  <c r="AE14" i="13" s="1"/>
  <c r="Y15" i="13"/>
  <c r="AE15" i="13" s="1"/>
  <c r="Y16" i="13"/>
  <c r="AE16" i="13" s="1"/>
  <c r="Y17" i="13"/>
  <c r="AE17" i="13" s="1"/>
  <c r="Y18" i="13"/>
  <c r="AE18" i="13" s="1"/>
  <c r="Y19" i="13"/>
  <c r="AE19" i="13" s="1"/>
  <c r="Y3" i="13"/>
  <c r="AE3" i="13" s="1"/>
  <c r="X4" i="13"/>
  <c r="X5" i="13"/>
  <c r="X6" i="13"/>
  <c r="X7" i="13"/>
  <c r="X8" i="13"/>
  <c r="X9" i="13"/>
  <c r="X10" i="13"/>
  <c r="X11" i="13"/>
  <c r="X12" i="13"/>
  <c r="X13" i="13"/>
  <c r="X14" i="13"/>
  <c r="X15" i="13"/>
  <c r="X16" i="13"/>
  <c r="X17" i="13"/>
  <c r="X18" i="13"/>
  <c r="X19" i="13"/>
  <c r="X3" i="13"/>
  <c r="W4" i="13"/>
  <c r="AH4" i="13" s="1"/>
  <c r="W5" i="13"/>
  <c r="AH5" i="13" s="1"/>
  <c r="W6" i="13"/>
  <c r="AH6" i="13" s="1"/>
  <c r="W7" i="13"/>
  <c r="AH7" i="13" s="1"/>
  <c r="W8" i="13"/>
  <c r="AH8" i="13" s="1"/>
  <c r="W9" i="13"/>
  <c r="AH9" i="13" s="1"/>
  <c r="W10" i="13"/>
  <c r="AH10" i="13" s="1"/>
  <c r="W11" i="13"/>
  <c r="AH11" i="13" s="1"/>
  <c r="W12" i="13"/>
  <c r="AH12" i="13" s="1"/>
  <c r="W13" i="13"/>
  <c r="AH13" i="13" s="1"/>
  <c r="W14" i="13"/>
  <c r="AH14" i="13" s="1"/>
  <c r="W15" i="13"/>
  <c r="AH15" i="13" s="1"/>
  <c r="W16" i="13"/>
  <c r="AH16" i="13" s="1"/>
  <c r="W17" i="13"/>
  <c r="AH17" i="13" s="1"/>
  <c r="W18" i="13"/>
  <c r="AH18" i="13" s="1"/>
  <c r="W19" i="13"/>
  <c r="AH19" i="13" s="1"/>
  <c r="W3" i="13"/>
  <c r="AH3" i="13" s="1"/>
  <c r="V4" i="13"/>
  <c r="V5" i="13"/>
  <c r="V6" i="13"/>
  <c r="V7" i="13"/>
  <c r="V8" i="13"/>
  <c r="V9" i="13"/>
  <c r="V10" i="13"/>
  <c r="V11" i="13"/>
  <c r="V12" i="13"/>
  <c r="V13" i="13"/>
  <c r="V14" i="13"/>
  <c r="V15" i="13"/>
  <c r="V16" i="13"/>
  <c r="V17" i="13"/>
  <c r="V18" i="13"/>
  <c r="V19" i="13"/>
  <c r="V3" i="13"/>
  <c r="U4" i="13"/>
  <c r="U5" i="13"/>
  <c r="U6" i="13"/>
  <c r="U7" i="13"/>
  <c r="U8" i="13"/>
  <c r="U9" i="13"/>
  <c r="U10" i="13"/>
  <c r="U11" i="13"/>
  <c r="U12" i="13"/>
  <c r="U13" i="13"/>
  <c r="U14" i="13"/>
  <c r="U15" i="13"/>
  <c r="U16" i="13"/>
  <c r="U17" i="13"/>
  <c r="U18" i="13"/>
  <c r="U19" i="13"/>
  <c r="U3" i="13"/>
  <c r="T4" i="13"/>
  <c r="AG4" i="13" s="1"/>
  <c r="T5" i="13"/>
  <c r="AG5" i="13" s="1"/>
  <c r="T6" i="13"/>
  <c r="AG6" i="13" s="1"/>
  <c r="T7" i="13"/>
  <c r="AG7" i="13" s="1"/>
  <c r="T8" i="13"/>
  <c r="AG8" i="13" s="1"/>
  <c r="T9" i="13"/>
  <c r="AG9" i="13" s="1"/>
  <c r="T10" i="13"/>
  <c r="AG10" i="13" s="1"/>
  <c r="T11" i="13"/>
  <c r="AG11" i="13" s="1"/>
  <c r="T12" i="13"/>
  <c r="AG12" i="13" s="1"/>
  <c r="T13" i="13"/>
  <c r="AG13" i="13" s="1"/>
  <c r="T14" i="13"/>
  <c r="AG14" i="13" s="1"/>
  <c r="T15" i="13"/>
  <c r="AG15" i="13" s="1"/>
  <c r="T16" i="13"/>
  <c r="AG16" i="13" s="1"/>
  <c r="T17" i="13"/>
  <c r="AG17" i="13" s="1"/>
  <c r="T18" i="13"/>
  <c r="AG18" i="13" s="1"/>
  <c r="T19" i="13"/>
  <c r="AG19" i="13" s="1"/>
  <c r="T3" i="13"/>
  <c r="AG3" i="13" s="1"/>
  <c r="S4" i="13"/>
  <c r="S5" i="13"/>
  <c r="S6" i="13"/>
  <c r="S7" i="13"/>
  <c r="S8" i="13"/>
  <c r="S9" i="13"/>
  <c r="S10" i="13"/>
  <c r="S11" i="13"/>
  <c r="S12" i="13"/>
  <c r="S13" i="13"/>
  <c r="S14" i="13"/>
  <c r="S15" i="13"/>
  <c r="S16" i="13"/>
  <c r="S17" i="13"/>
  <c r="S18" i="13"/>
  <c r="S19" i="13"/>
  <c r="S3" i="13"/>
  <c r="AB15" i="13"/>
  <c r="AB16" i="13"/>
  <c r="AB17" i="13"/>
  <c r="AB18" i="13"/>
  <c r="AB19" i="13"/>
  <c r="AB4" i="13"/>
  <c r="AB5" i="13"/>
  <c r="AB6" i="13"/>
  <c r="AB7" i="13"/>
  <c r="AB8" i="13"/>
  <c r="AB9" i="13"/>
  <c r="AB10" i="13"/>
  <c r="AB11" i="13"/>
  <c r="AB12" i="13"/>
  <c r="AB13" i="13"/>
  <c r="AB14" i="13"/>
  <c r="AB3" i="13"/>
  <c r="G21" i="13"/>
  <c r="J35" i="15" s="1"/>
  <c r="G22" i="13"/>
  <c r="J36" i="15" s="1"/>
  <c r="G23" i="13"/>
  <c r="J37" i="15" s="1"/>
  <c r="G24" i="13"/>
  <c r="J38" i="15" s="1"/>
  <c r="G25" i="13"/>
  <c r="J39" i="15" s="1"/>
  <c r="G26" i="13"/>
  <c r="J40" i="15" s="1"/>
  <c r="G27" i="13"/>
  <c r="J41" i="15" s="1"/>
  <c r="G28" i="13"/>
  <c r="J42" i="15" s="1"/>
  <c r="G29" i="13"/>
  <c r="J43" i="15" s="1"/>
  <c r="G30" i="13"/>
  <c r="J44" i="15" s="1"/>
  <c r="G31" i="13"/>
  <c r="J45" i="15" s="1"/>
  <c r="G32" i="13"/>
  <c r="J46" i="15" s="1"/>
  <c r="G33" i="13"/>
  <c r="J47" i="15" s="1"/>
  <c r="G34" i="13"/>
  <c r="J48" i="15" s="1"/>
  <c r="G35" i="13"/>
  <c r="J49" i="15" s="1"/>
  <c r="G36" i="13"/>
  <c r="J50" i="15" s="1"/>
  <c r="G37" i="13"/>
  <c r="J51" i="15" s="1"/>
  <c r="F14" i="13"/>
  <c r="O28" i="15" s="1"/>
  <c r="F15" i="13"/>
  <c r="O29" i="15" s="1"/>
  <c r="F16" i="13"/>
  <c r="O30" i="15" s="1"/>
  <c r="F17" i="13"/>
  <c r="O31" i="15" s="1"/>
  <c r="F18" i="13"/>
  <c r="O32" i="15" s="1"/>
  <c r="F19" i="13"/>
  <c r="O33" i="15" s="1"/>
  <c r="F20" i="13"/>
  <c r="O34" i="15" s="1"/>
  <c r="F21" i="13"/>
  <c r="O35" i="15" s="1"/>
  <c r="F22" i="13"/>
  <c r="O36" i="15" s="1"/>
  <c r="F23" i="13"/>
  <c r="O37" i="15" s="1"/>
  <c r="F24" i="13"/>
  <c r="O38" i="15" s="1"/>
  <c r="F25" i="13"/>
  <c r="O39" i="15" s="1"/>
  <c r="F26" i="13"/>
  <c r="O40" i="15" s="1"/>
  <c r="F27" i="13"/>
  <c r="O41" i="15" s="1"/>
  <c r="F28" i="13"/>
  <c r="O42" i="15" s="1"/>
  <c r="F29" i="13"/>
  <c r="O43" i="15" s="1"/>
  <c r="F30" i="13"/>
  <c r="O44" i="15" s="1"/>
  <c r="F31" i="13"/>
  <c r="O45" i="15" s="1"/>
  <c r="F32" i="13"/>
  <c r="O46" i="15" s="1"/>
  <c r="F33" i="13"/>
  <c r="O47" i="15" s="1"/>
  <c r="F34" i="13"/>
  <c r="O48" i="15" s="1"/>
  <c r="F35" i="13"/>
  <c r="O49" i="15" s="1"/>
  <c r="F36" i="13"/>
  <c r="O50" i="15" s="1"/>
  <c r="F37" i="13"/>
  <c r="O51" i="15" s="1"/>
  <c r="F3" i="13"/>
  <c r="F4" i="13"/>
  <c r="F5" i="13"/>
  <c r="F6" i="13"/>
  <c r="O20" i="15" s="1"/>
  <c r="F7" i="13"/>
  <c r="F8" i="13"/>
  <c r="O22" i="15" s="1"/>
  <c r="F9" i="13"/>
  <c r="O23" i="15" s="1"/>
  <c r="F10" i="13"/>
  <c r="O24" i="15" s="1"/>
  <c r="F11" i="13"/>
  <c r="F12" i="13"/>
  <c r="O26" i="15" s="1"/>
  <c r="F13" i="13"/>
  <c r="O27" i="15" s="1"/>
  <c r="H17" i="15"/>
  <c r="N22" i="13"/>
  <c r="O22" i="13" s="1"/>
  <c r="N23" i="13"/>
  <c r="O23" i="13" s="1"/>
  <c r="N24" i="13"/>
  <c r="O24" i="13" s="1"/>
  <c r="N25" i="13"/>
  <c r="O25" i="13" s="1"/>
  <c r="N26" i="13"/>
  <c r="O26" i="13" s="1"/>
  <c r="N27" i="13"/>
  <c r="O27" i="13" s="1"/>
  <c r="N21" i="13"/>
  <c r="O21" i="13" s="1"/>
  <c r="B38" i="13"/>
  <c r="N52" i="15" s="1"/>
  <c r="H18" i="15"/>
  <c r="H19" i="15"/>
  <c r="H20" i="15"/>
  <c r="H21" i="15"/>
  <c r="H22" i="15"/>
  <c r="H23" i="15"/>
  <c r="H24" i="15"/>
  <c r="H26" i="15"/>
  <c r="H27" i="15"/>
  <c r="H28" i="15"/>
  <c r="H29" i="15"/>
  <c r="H30" i="15"/>
  <c r="M38" i="13"/>
  <c r="L38" i="13"/>
  <c r="K38" i="13"/>
  <c r="J38" i="13"/>
  <c r="P37" i="13"/>
  <c r="P36" i="13"/>
  <c r="P35" i="13"/>
  <c r="P34" i="13"/>
  <c r="P33" i="13"/>
  <c r="P32" i="13"/>
  <c r="P31" i="13"/>
  <c r="P30" i="13"/>
  <c r="P29" i="13"/>
  <c r="P28" i="13"/>
  <c r="P27" i="13"/>
  <c r="P26" i="13"/>
  <c r="P25" i="13"/>
  <c r="P24" i="13"/>
  <c r="P23" i="13"/>
  <c r="P22" i="13"/>
  <c r="P21" i="13"/>
  <c r="P20" i="13"/>
  <c r="P19" i="13"/>
  <c r="P18" i="13"/>
  <c r="P17" i="13"/>
  <c r="N37" i="13"/>
  <c r="O37" i="13" s="1"/>
  <c r="N36" i="13"/>
  <c r="O36" i="13" s="1"/>
  <c r="N35" i="13"/>
  <c r="O35" i="13" s="1"/>
  <c r="N34" i="13"/>
  <c r="O34" i="13" s="1"/>
  <c r="N33" i="13"/>
  <c r="O33" i="13" s="1"/>
  <c r="N32" i="13"/>
  <c r="O32" i="13" s="1"/>
  <c r="N31" i="13"/>
  <c r="O31" i="13" s="1"/>
  <c r="N30" i="13"/>
  <c r="O30" i="13" s="1"/>
  <c r="N29" i="13"/>
  <c r="O29" i="13" s="1"/>
  <c r="N28" i="13"/>
  <c r="O28" i="13" s="1"/>
  <c r="N20" i="13"/>
  <c r="O20" i="13" s="1"/>
  <c r="N19" i="13"/>
  <c r="O19" i="13" s="1"/>
  <c r="N18" i="13"/>
  <c r="O18" i="13" s="1"/>
  <c r="N17" i="13"/>
  <c r="O17" i="13" s="1"/>
  <c r="N16" i="13"/>
  <c r="N15" i="13"/>
  <c r="L70" i="15" s="1"/>
  <c r="N14" i="13"/>
  <c r="N13" i="13"/>
  <c r="L81" i="15" s="1"/>
  <c r="N12" i="13"/>
  <c r="N11" i="13"/>
  <c r="E81" i="15" s="1"/>
  <c r="N10" i="13"/>
  <c r="E71" i="15" s="1"/>
  <c r="N9" i="13"/>
  <c r="E70" i="15" s="1"/>
  <c r="N8" i="13"/>
  <c r="L60" i="15" s="1"/>
  <c r="N7" i="13"/>
  <c r="L59" i="15" s="1"/>
  <c r="N6" i="13"/>
  <c r="O6" i="13" s="1"/>
  <c r="P6" i="13" s="1"/>
  <c r="N5" i="13"/>
  <c r="E60" i="15" s="1"/>
  <c r="N4" i="13"/>
  <c r="E59" i="15" s="1"/>
  <c r="N3" i="13"/>
  <c r="B2" i="11"/>
  <c r="H52" i="15"/>
  <c r="H31" i="15"/>
  <c r="H32" i="15"/>
  <c r="H16" i="15"/>
  <c r="C38" i="13"/>
  <c r="M52" i="15" s="1"/>
  <c r="D38" i="13"/>
  <c r="L52" i="15" s="1"/>
  <c r="E38" i="13"/>
  <c r="B4" i="7"/>
  <c r="G20" i="13" l="1"/>
  <c r="J34" i="15" s="1"/>
  <c r="G19" i="13"/>
  <c r="J33" i="15" s="1"/>
  <c r="G18" i="13"/>
  <c r="J32" i="15" s="1"/>
  <c r="G17" i="13"/>
  <c r="J31" i="15" s="1"/>
  <c r="K52" i="15"/>
  <c r="I52" i="15"/>
  <c r="O3" i="13"/>
  <c r="P3" i="13" s="1"/>
  <c r="E58" i="15"/>
  <c r="O14" i="13"/>
  <c r="P14" i="13" s="1"/>
  <c r="L82" i="15"/>
  <c r="O12" i="13"/>
  <c r="P12" i="13" s="1"/>
  <c r="E82" i="15"/>
  <c r="O16" i="13"/>
  <c r="P16" i="13" s="1"/>
  <c r="L71" i="15"/>
  <c r="AF25" i="13"/>
  <c r="G4" i="13"/>
  <c r="J18" i="15" s="1"/>
  <c r="O18" i="15"/>
  <c r="G11" i="13"/>
  <c r="J25" i="15" s="1"/>
  <c r="O25" i="15"/>
  <c r="G7" i="13"/>
  <c r="J21" i="15" s="1"/>
  <c r="O21" i="15"/>
  <c r="G3" i="13"/>
  <c r="J17" i="15" s="1"/>
  <c r="O17" i="15"/>
  <c r="G5" i="13"/>
  <c r="J19" i="15" s="1"/>
  <c r="O19" i="15"/>
  <c r="AD18" i="13"/>
  <c r="Z18" i="13"/>
  <c r="AI18" i="13" s="1"/>
  <c r="AD46" i="13"/>
  <c r="Z46" i="13"/>
  <c r="AI46" i="13" s="1"/>
  <c r="AD38" i="13"/>
  <c r="Z38" i="13"/>
  <c r="AI38" i="13" s="1"/>
  <c r="AD30" i="13"/>
  <c r="Z30" i="13"/>
  <c r="AI30" i="13" s="1"/>
  <c r="AD17" i="13"/>
  <c r="Z17" i="13"/>
  <c r="AI17" i="13" s="1"/>
  <c r="AD13" i="13"/>
  <c r="Z13" i="13"/>
  <c r="AI13" i="13" s="1"/>
  <c r="AD9" i="13"/>
  <c r="Z9" i="13"/>
  <c r="AI9" i="13" s="1"/>
  <c r="AD5" i="13"/>
  <c r="Z5" i="13"/>
  <c r="AI5" i="13" s="1"/>
  <c r="AD55" i="13"/>
  <c r="Z55" i="13"/>
  <c r="AI55" i="13" s="1"/>
  <c r="AD51" i="13"/>
  <c r="Z51" i="13"/>
  <c r="AI51" i="13" s="1"/>
  <c r="AD47" i="13"/>
  <c r="Z47" i="13"/>
  <c r="AI47" i="13" s="1"/>
  <c r="AD43" i="13"/>
  <c r="Z43" i="13"/>
  <c r="AI43" i="13" s="1"/>
  <c r="AD39" i="13"/>
  <c r="Z39" i="13"/>
  <c r="AI39" i="13" s="1"/>
  <c r="AD35" i="13"/>
  <c r="Z35" i="13"/>
  <c r="AI35" i="13" s="1"/>
  <c r="AD31" i="13"/>
  <c r="Z31" i="13"/>
  <c r="AI31" i="13" s="1"/>
  <c r="AD27" i="13"/>
  <c r="Z27" i="13"/>
  <c r="AI27" i="13" s="1"/>
  <c r="AD23" i="13"/>
  <c r="Z23" i="13"/>
  <c r="AI23" i="13" s="1"/>
  <c r="AD10" i="13"/>
  <c r="Z10" i="13"/>
  <c r="AI10" i="13" s="1"/>
  <c r="AD58" i="13"/>
  <c r="Z58" i="13"/>
  <c r="AI58" i="13" s="1"/>
  <c r="AD50" i="13"/>
  <c r="Z50" i="13"/>
  <c r="AI50" i="13" s="1"/>
  <c r="AD42" i="13"/>
  <c r="Z42" i="13"/>
  <c r="AI42" i="13" s="1"/>
  <c r="AD26" i="13"/>
  <c r="Z26" i="13"/>
  <c r="AI26" i="13" s="1"/>
  <c r="AD3" i="13"/>
  <c r="Z3" i="13"/>
  <c r="AI3" i="13" s="1"/>
  <c r="AD16" i="13"/>
  <c r="Z16" i="13"/>
  <c r="AI16" i="13" s="1"/>
  <c r="AD12" i="13"/>
  <c r="Z12" i="13"/>
  <c r="AI12" i="13" s="1"/>
  <c r="AD8" i="13"/>
  <c r="Z8" i="13"/>
  <c r="AI8" i="13" s="1"/>
  <c r="AD4" i="13"/>
  <c r="Z4" i="13"/>
  <c r="AI4" i="13" s="1"/>
  <c r="AD56" i="13"/>
  <c r="Z56" i="13"/>
  <c r="AI56" i="13" s="1"/>
  <c r="AD52" i="13"/>
  <c r="Z52" i="13"/>
  <c r="AI52" i="13" s="1"/>
  <c r="AD48" i="13"/>
  <c r="Z48" i="13"/>
  <c r="AI48" i="13" s="1"/>
  <c r="AD44" i="13"/>
  <c r="Z44" i="13"/>
  <c r="AI44" i="13" s="1"/>
  <c r="AD40" i="13"/>
  <c r="Z40" i="13"/>
  <c r="AI40" i="13" s="1"/>
  <c r="AD36" i="13"/>
  <c r="Z36" i="13"/>
  <c r="AI36" i="13" s="1"/>
  <c r="AD32" i="13"/>
  <c r="Z32" i="13"/>
  <c r="AI32" i="13" s="1"/>
  <c r="AD28" i="13"/>
  <c r="Z28" i="13"/>
  <c r="AI28" i="13" s="1"/>
  <c r="AD24" i="13"/>
  <c r="Z24" i="13"/>
  <c r="AI24" i="13" s="1"/>
  <c r="AD20" i="13"/>
  <c r="Z20" i="13"/>
  <c r="AI20" i="13" s="1"/>
  <c r="AD14" i="13"/>
  <c r="Z14" i="13"/>
  <c r="AI14" i="13" s="1"/>
  <c r="AD6" i="13"/>
  <c r="Z6" i="13"/>
  <c r="AI6" i="13" s="1"/>
  <c r="AD54" i="13"/>
  <c r="Z54" i="13"/>
  <c r="AI54" i="13" s="1"/>
  <c r="AD34" i="13"/>
  <c r="Z34" i="13"/>
  <c r="AI34" i="13" s="1"/>
  <c r="AD22" i="13"/>
  <c r="Z22" i="13"/>
  <c r="AI22" i="13" s="1"/>
  <c r="AD19" i="13"/>
  <c r="Z19" i="13"/>
  <c r="AI19" i="13" s="1"/>
  <c r="AD15" i="13"/>
  <c r="Z15" i="13"/>
  <c r="AI15" i="13" s="1"/>
  <c r="AD11" i="13"/>
  <c r="Z11" i="13"/>
  <c r="AI11" i="13" s="1"/>
  <c r="AD7" i="13"/>
  <c r="Z7" i="13"/>
  <c r="AI7" i="13" s="1"/>
  <c r="AD57" i="13"/>
  <c r="Z57" i="13"/>
  <c r="AI57" i="13" s="1"/>
  <c r="AD53" i="13"/>
  <c r="Z53" i="13"/>
  <c r="AI53" i="13" s="1"/>
  <c r="AD49" i="13"/>
  <c r="Z49" i="13"/>
  <c r="AI49" i="13" s="1"/>
  <c r="AD45" i="13"/>
  <c r="Z45" i="13"/>
  <c r="AI45" i="13" s="1"/>
  <c r="AD41" i="13"/>
  <c r="Z41" i="13"/>
  <c r="AI41" i="13" s="1"/>
  <c r="AD37" i="13"/>
  <c r="Z37" i="13"/>
  <c r="AI37" i="13" s="1"/>
  <c r="AD33" i="13"/>
  <c r="Z33" i="13"/>
  <c r="AI33" i="13" s="1"/>
  <c r="AD29" i="13"/>
  <c r="Z29" i="13"/>
  <c r="AI29" i="13" s="1"/>
  <c r="AD25" i="13"/>
  <c r="Z25" i="13"/>
  <c r="AI25" i="13" s="1"/>
  <c r="AD21" i="13"/>
  <c r="Z21" i="13"/>
  <c r="AI21" i="13" s="1"/>
  <c r="G16" i="13"/>
  <c r="J30" i="15" s="1"/>
  <c r="G15" i="13"/>
  <c r="J29" i="15" s="1"/>
  <c r="AF35" i="13"/>
  <c r="AF31" i="13"/>
  <c r="AF27" i="13"/>
  <c r="AF23" i="13"/>
  <c r="AF37" i="13"/>
  <c r="AF29" i="13"/>
  <c r="AF34" i="13"/>
  <c r="AC32" i="13"/>
  <c r="AC24" i="13"/>
  <c r="AC36" i="13"/>
  <c r="AF30" i="13"/>
  <c r="AC28" i="13"/>
  <c r="AF26" i="13"/>
  <c r="AF21" i="13"/>
  <c r="AC57" i="13"/>
  <c r="AF43" i="13"/>
  <c r="AF39" i="13"/>
  <c r="AF22" i="13"/>
  <c r="AC20" i="13"/>
  <c r="G14" i="13"/>
  <c r="J28" i="15" s="1"/>
  <c r="G13" i="13"/>
  <c r="J27" i="15" s="1"/>
  <c r="AC21" i="13"/>
  <c r="AQ3" i="13"/>
  <c r="AN3" i="13"/>
  <c r="AL7" i="13" s="1"/>
  <c r="AM7" i="13" s="1"/>
  <c r="AF33" i="13"/>
  <c r="AC51" i="13"/>
  <c r="AF45" i="13"/>
  <c r="AF54" i="13"/>
  <c r="AC52" i="13"/>
  <c r="AF46" i="13"/>
  <c r="AC44" i="13"/>
  <c r="AF38" i="13"/>
  <c r="AF58" i="13"/>
  <c r="AC56" i="13"/>
  <c r="AF50" i="13"/>
  <c r="AC48" i="13"/>
  <c r="AF42" i="13"/>
  <c r="AC40" i="13"/>
  <c r="AC54" i="13"/>
  <c r="AF41" i="13"/>
  <c r="AC58" i="13"/>
  <c r="AC50" i="13"/>
  <c r="AC46" i="13"/>
  <c r="AC42" i="13"/>
  <c r="AC34" i="13"/>
  <c r="AC30" i="13"/>
  <c r="AC26" i="13"/>
  <c r="AC22" i="13"/>
  <c r="AC38" i="13"/>
  <c r="AF53" i="13"/>
  <c r="AC15" i="13"/>
  <c r="AC11" i="13"/>
  <c r="AF18" i="13"/>
  <c r="AF10" i="13"/>
  <c r="AC14" i="13"/>
  <c r="AC3" i="13"/>
  <c r="AC16" i="13"/>
  <c r="AC12" i="13"/>
  <c r="AC8" i="13"/>
  <c r="AC4" i="13"/>
  <c r="AF14" i="13"/>
  <c r="AF6" i="13"/>
  <c r="AC18" i="13"/>
  <c r="AC10" i="13"/>
  <c r="AC6" i="13"/>
  <c r="AF3" i="13"/>
  <c r="AF16" i="13"/>
  <c r="AF12" i="13"/>
  <c r="AF8" i="13"/>
  <c r="AF4" i="13"/>
  <c r="G9" i="13"/>
  <c r="J23" i="15" s="1"/>
  <c r="O15" i="13"/>
  <c r="P15" i="13" s="1"/>
  <c r="L58" i="15"/>
  <c r="AC17" i="13"/>
  <c r="AC13" i="13"/>
  <c r="AC9" i="13"/>
  <c r="AC5" i="13"/>
  <c r="AF19" i="13"/>
  <c r="AF15" i="13"/>
  <c r="AF11" i="13"/>
  <c r="AF7" i="13"/>
  <c r="AF55" i="13"/>
  <c r="AC53" i="13"/>
  <c r="AF51" i="13"/>
  <c r="AC49" i="13"/>
  <c r="AF47" i="13"/>
  <c r="AC45" i="13"/>
  <c r="AC41" i="13"/>
  <c r="AC37" i="13"/>
  <c r="AC33" i="13"/>
  <c r="AC29" i="13"/>
  <c r="AC25" i="13"/>
  <c r="AC19" i="13"/>
  <c r="AC7" i="13"/>
  <c r="AF17" i="13"/>
  <c r="AF13" i="13"/>
  <c r="AF9" i="13"/>
  <c r="AF5" i="13"/>
  <c r="AF56" i="13"/>
  <c r="AF52" i="13"/>
  <c r="AF48" i="13"/>
  <c r="AF44" i="13"/>
  <c r="AF40" i="13"/>
  <c r="AF36" i="13"/>
  <c r="AF32" i="13"/>
  <c r="AF28" i="13"/>
  <c r="AF24" i="13"/>
  <c r="AF20" i="13"/>
  <c r="AF57" i="13"/>
  <c r="AC55" i="13"/>
  <c r="AF49" i="13"/>
  <c r="AC47" i="13"/>
  <c r="AC43" i="13"/>
  <c r="AC39" i="13"/>
  <c r="AC35" i="13"/>
  <c r="AC31" i="13"/>
  <c r="AC27" i="13"/>
  <c r="AC23" i="13"/>
  <c r="O10" i="13"/>
  <c r="P10" i="13" s="1"/>
  <c r="O9" i="13"/>
  <c r="P9" i="13" s="1"/>
  <c r="O8" i="13"/>
  <c r="P8" i="13" s="1"/>
  <c r="O7" i="13"/>
  <c r="P7" i="13" s="1"/>
  <c r="O4" i="13"/>
  <c r="P4" i="13" s="1"/>
  <c r="P38" i="13"/>
  <c r="G12" i="13"/>
  <c r="J26" i="15" s="1"/>
  <c r="G10" i="13"/>
  <c r="J24" i="15" s="1"/>
  <c r="G8" i="13"/>
  <c r="J22" i="15" s="1"/>
  <c r="G6" i="13"/>
  <c r="J20" i="15" s="1"/>
  <c r="N38" i="13"/>
  <c r="O38" i="13" s="1"/>
  <c r="O11" i="13"/>
  <c r="P11" i="13" s="1"/>
  <c r="O13" i="13"/>
  <c r="P13" i="13" s="1"/>
  <c r="O5" i="13"/>
  <c r="P5" i="13" s="1"/>
  <c r="F38" i="13"/>
  <c r="O52" i="15" s="1"/>
  <c r="AN7" i="13" l="1"/>
  <c r="AS7" i="13"/>
  <c r="AU7" i="13" s="1"/>
  <c r="AT7" i="13"/>
  <c r="AQ7" i="13"/>
  <c r="AR7" i="13"/>
  <c r="AO7" i="13"/>
  <c r="AP7" i="13"/>
  <c r="AL8" i="13"/>
  <c r="AL9" i="13" s="1"/>
  <c r="G38" i="13"/>
  <c r="J52" i="15" s="1"/>
  <c r="AM8" i="13" l="1"/>
  <c r="AM9" i="13"/>
  <c r="AL10" i="13"/>
  <c r="AO9" i="13" l="1"/>
  <c r="AS9" i="13"/>
  <c r="AU9" i="13" s="1"/>
  <c r="AR9" i="13"/>
  <c r="AP9" i="13"/>
  <c r="AT9" i="13"/>
  <c r="AN9" i="13"/>
  <c r="AQ9" i="13"/>
  <c r="AN8" i="13"/>
  <c r="AR8" i="13"/>
  <c r="AO8" i="13"/>
  <c r="AS8" i="13"/>
  <c r="AU8" i="13" s="1"/>
  <c r="AP8" i="13"/>
  <c r="AT8" i="13"/>
  <c r="AQ8" i="13"/>
  <c r="AL11" i="13"/>
  <c r="AM10" i="13"/>
  <c r="AP10" i="13" l="1"/>
  <c r="AT10" i="13"/>
  <c r="AS10" i="13"/>
  <c r="AU10" i="13" s="1"/>
  <c r="AQ10" i="13"/>
  <c r="AN10" i="13"/>
  <c r="AR10" i="13"/>
  <c r="AO10" i="13"/>
  <c r="AL12" i="13"/>
  <c r="AM11" i="13"/>
  <c r="AQ11" i="13" l="1"/>
  <c r="AN11" i="13"/>
  <c r="AR11" i="13"/>
  <c r="AT11" i="13"/>
  <c r="AO11" i="13"/>
  <c r="AS11" i="13"/>
  <c r="AU11" i="13" s="1"/>
  <c r="AP11" i="13"/>
  <c r="AL13" i="13"/>
  <c r="AM12" i="13"/>
  <c r="AN12" i="13" l="1"/>
  <c r="AR12" i="13"/>
  <c r="AO12" i="13"/>
  <c r="AS12" i="13"/>
  <c r="AU12" i="13" s="1"/>
  <c r="AP12" i="13"/>
  <c r="AT12" i="13"/>
  <c r="AQ12" i="13"/>
  <c r="AM13" i="13"/>
  <c r="AL14" i="13"/>
  <c r="AO13" i="13" l="1"/>
  <c r="AS13" i="13"/>
  <c r="AU13" i="13" s="1"/>
  <c r="AN13" i="13"/>
  <c r="AP13" i="13"/>
  <c r="AT13" i="13"/>
  <c r="AR13" i="13"/>
  <c r="AQ13" i="13"/>
  <c r="AM14" i="13"/>
  <c r="AL15" i="13"/>
  <c r="AP14" i="13" l="1"/>
  <c r="AT14" i="13"/>
  <c r="AS14" i="13"/>
  <c r="AU14" i="13" s="1"/>
  <c r="AQ14" i="13"/>
  <c r="AN14" i="13"/>
  <c r="AR14" i="13"/>
  <c r="AO14" i="13"/>
  <c r="AM15" i="13"/>
  <c r="AL16" i="13"/>
  <c r="AQ15" i="13" l="1"/>
  <c r="AN15" i="13"/>
  <c r="AR15" i="13"/>
  <c r="AP15" i="13"/>
  <c r="AO15" i="13"/>
  <c r="AS15" i="13"/>
  <c r="AU15" i="13" s="1"/>
  <c r="AT15" i="13"/>
  <c r="AM16" i="13"/>
  <c r="AL17" i="13"/>
  <c r="AN16" i="13" l="1"/>
  <c r="AR16" i="13"/>
  <c r="AQ16" i="13"/>
  <c r="AO16" i="13"/>
  <c r="AS16" i="13"/>
  <c r="AU16" i="13" s="1"/>
  <c r="AP16" i="13"/>
  <c r="AT16" i="13"/>
  <c r="AM17" i="13"/>
  <c r="AL18" i="13"/>
  <c r="AM18" i="13" s="1"/>
  <c r="AP18" i="13" l="1"/>
  <c r="AT18" i="13"/>
  <c r="K14" i="15" s="1"/>
  <c r="AO18" i="13"/>
  <c r="AQ18" i="13"/>
  <c r="AS18" i="13"/>
  <c r="AU18" i="13" s="1"/>
  <c r="AN18" i="13"/>
  <c r="AR18" i="13"/>
  <c r="AO17" i="13"/>
  <c r="AS17" i="13"/>
  <c r="AU17" i="13" s="1"/>
  <c r="AP17" i="13"/>
  <c r="AT17" i="13"/>
  <c r="AN17" i="13"/>
  <c r="AQ17" i="13"/>
  <c r="AR17" i="13"/>
  <c r="A11" i="15" l="1"/>
</calcChain>
</file>

<file path=xl/sharedStrings.xml><?xml version="1.0" encoding="utf-8"?>
<sst xmlns="http://schemas.openxmlformats.org/spreadsheetml/2006/main" count="40612" uniqueCount="6152">
  <si>
    <t>Total</t>
  </si>
  <si>
    <t>Action Owner Organization</t>
  </si>
  <si>
    <t>Action Owners</t>
  </si>
  <si>
    <t>Involved Organizations</t>
  </si>
  <si>
    <t>Name</t>
  </si>
  <si>
    <t>Late</t>
  </si>
  <si>
    <t>Email</t>
  </si>
  <si>
    <t>Historical Status</t>
  </si>
  <si>
    <t>Status per origin</t>
  </si>
  <si>
    <t>Origin</t>
  </si>
  <si>
    <t>Severity</t>
  </si>
  <si>
    <t>History</t>
  </si>
  <si>
    <t>Action Status per Action Owner</t>
  </si>
  <si>
    <t>S</t>
  </si>
  <si>
    <t>Severity Type</t>
  </si>
  <si>
    <t>Company Name</t>
  </si>
  <si>
    <t>City</t>
  </si>
  <si>
    <t>Country</t>
  </si>
  <si>
    <t>Product Group Level 2</t>
  </si>
  <si>
    <t>Product Group Quality Responsible</t>
  </si>
  <si>
    <t>QRD</t>
  </si>
  <si>
    <t>Next Supplier Control Review Date</t>
  </si>
  <si>
    <t>Last Supplier Control Review performed</t>
  </si>
  <si>
    <t>Risk Analysis</t>
  </si>
  <si>
    <t>Street</t>
  </si>
  <si>
    <t>Postal code</t>
  </si>
  <si>
    <t>On Time</t>
  </si>
  <si>
    <t>On Time - Alert</t>
  </si>
  <si>
    <t>Late - Red</t>
  </si>
  <si>
    <t>Leadtime for SCR  Alert</t>
  </si>
  <si>
    <t>Red Overdue Days</t>
  </si>
  <si>
    <t>FLAG</t>
  </si>
  <si>
    <t>SCR Status</t>
  </si>
  <si>
    <t>% Late</t>
  </si>
  <si>
    <t>NCage</t>
  </si>
  <si>
    <t>QMS Certification certified</t>
  </si>
  <si>
    <t>NAA Approval Number</t>
  </si>
  <si>
    <t>Airbus Status</t>
  </si>
  <si>
    <t>ARPid</t>
  </si>
  <si>
    <t>Date of ARP Extract</t>
  </si>
  <si>
    <t>CS-002-1 COMPONENT MAINTENANCE</t>
  </si>
  <si>
    <t>CS-001-1 AIRCRAFT MAINTENANCE</t>
  </si>
  <si>
    <t>CS-001-3 AIRCRAFT MAINTENANCE TASK SUBCONTRACTING</t>
  </si>
  <si>
    <t>CS-001-5 SPECIAL MAINTENANCE SERVICES</t>
  </si>
  <si>
    <t>CS-002-3 COMPONENT MAINTENANCE TASK SUBCONTRACTING</t>
  </si>
  <si>
    <t>United Kingdom</t>
  </si>
  <si>
    <t>L'ISLE JOURDAIN</t>
  </si>
  <si>
    <t>France</t>
  </si>
  <si>
    <t>AAR PARTS TRADING INC DBA ALLEN AIRCRAFT</t>
  </si>
  <si>
    <t>1100 N WOOD DALE ROAD</t>
  </si>
  <si>
    <t>WOOD DALE</t>
  </si>
  <si>
    <t>USA</t>
  </si>
  <si>
    <t>PARKER HANNIFIN GMBH</t>
  </si>
  <si>
    <t>LORENZ-SCHOTT-STR. 9</t>
  </si>
  <si>
    <t>MAINZ KASTEL</t>
  </si>
  <si>
    <t>Germany</t>
  </si>
  <si>
    <t>PARKER HANNIFIN CORPORATION HYDRAULIC SYSTEMS DIVISION</t>
  </si>
  <si>
    <t>2220 PALMER AVENUE</t>
  </si>
  <si>
    <t>49001-4165</t>
  </si>
  <si>
    <t>KALAMAZOO</t>
  </si>
  <si>
    <t>ADAMS RITE AEROSPACE, INC</t>
  </si>
  <si>
    <t>4141 NORTH PALM STREET</t>
  </si>
  <si>
    <t>FULLERTON</t>
  </si>
  <si>
    <t>LOCHES</t>
  </si>
  <si>
    <t>ZONE ARTISANALE DE CHEZ DEXMIER</t>
  </si>
  <si>
    <t>ARS</t>
  </si>
  <si>
    <t>Switzerland</t>
  </si>
  <si>
    <t>AIR FRANCE</t>
  </si>
  <si>
    <t>BLAGNAC</t>
  </si>
  <si>
    <t>45 RUE DE PARIS</t>
  </si>
  <si>
    <t>AIR LIQUIDE ADVANCED TECHNOLOGIES</t>
  </si>
  <si>
    <t>SASSENAGE</t>
  </si>
  <si>
    <t>5 AVENUE DENIS PAPIN</t>
  </si>
  <si>
    <t>LE PLESSIS ROBINSON CEDEX</t>
  </si>
  <si>
    <t>HAMBURG</t>
  </si>
  <si>
    <t>PALL AEROSPACE DIVISION OF PALL EUROPE LTD.</t>
  </si>
  <si>
    <t>CARDREW INDUSTRIAL ESTATE</t>
  </si>
  <si>
    <t>TR15 1SS</t>
  </si>
  <si>
    <t>REDRUTH</t>
  </si>
  <si>
    <t>AMETEK AIRTECHNOLOGY GROUP LTD</t>
  </si>
  <si>
    <t>111 WINDMILL ROAD</t>
  </si>
  <si>
    <t>TW16 7EF</t>
  </si>
  <si>
    <t>SUNBURY-ON-THAMES</t>
  </si>
  <si>
    <t>AIRBUS HELICOPTERS INC</t>
  </si>
  <si>
    <t>2701 FORUM DRIVE</t>
  </si>
  <si>
    <t>75052-7099</t>
  </si>
  <si>
    <t>GRAND PRAIRIE</t>
  </si>
  <si>
    <t>FRIEDRICHSHAFENER STR. 5</t>
  </si>
  <si>
    <t>GILCHING</t>
  </si>
  <si>
    <t>ZUM WINDKANAL 10</t>
  </si>
  <si>
    <t>DRESDEN</t>
  </si>
  <si>
    <t>CHEMIN DU CHAMP DES MARTYRS</t>
  </si>
  <si>
    <t>AVRILLE CEDEX</t>
  </si>
  <si>
    <t>TOULOUSE</t>
  </si>
  <si>
    <t>AUXITROL SA</t>
  </si>
  <si>
    <t>5 ALLEE CHARLES PATHE</t>
  </si>
  <si>
    <t>BOURGES CEDEX 9</t>
  </si>
  <si>
    <t>Netherlands</t>
  </si>
  <si>
    <t>Italy</t>
  </si>
  <si>
    <t>AVIONICS INSTRUMENTS INC</t>
  </si>
  <si>
    <t>1414 RANDOLPH AVENUE</t>
  </si>
  <si>
    <t>07001-2402</t>
  </si>
  <si>
    <t>AVENEL</t>
  </si>
  <si>
    <t>CMC ELECTRONIQUE INC</t>
  </si>
  <si>
    <t>600 BOULEVARD DR FREDERIK PHILIPS</t>
  </si>
  <si>
    <t>H4M 2S9</t>
  </si>
  <si>
    <t>SAINT LAURENT</t>
  </si>
  <si>
    <t>Canada</t>
  </si>
  <si>
    <t>BARFIELD, INC</t>
  </si>
  <si>
    <t>4101 NORTHWEST 29TH STREET</t>
  </si>
  <si>
    <t>MIAMI</t>
  </si>
  <si>
    <t>HUTCHINSON AEROSPACE &amp; INDUSTRY INC</t>
  </si>
  <si>
    <t>4510 VANOWEN ST</t>
  </si>
  <si>
    <t>BURBANK</t>
  </si>
  <si>
    <t>BECKER AVIONICS GMBH</t>
  </si>
  <si>
    <t>BADEN AIRPARK - GEB. B 108</t>
  </si>
  <si>
    <t>RHEINMUENSTER</t>
  </si>
  <si>
    <t>D2356</t>
  </si>
  <si>
    <t>Belgium</t>
  </si>
  <si>
    <t>TULSA</t>
  </si>
  <si>
    <t>320 SOUTH CHURCH STREET</t>
  </si>
  <si>
    <t>ADDISON</t>
  </si>
  <si>
    <t>SIEMENS BUILDING TECHNOLOGIES SIEMENS SAS</t>
  </si>
  <si>
    <t>BUC CEDEX</t>
  </si>
  <si>
    <t>AV JOHN LENNON S/N</t>
  </si>
  <si>
    <t>GETAFE-MADRID</t>
  </si>
  <si>
    <t>Spain</t>
  </si>
  <si>
    <t>CIRCOR AEROSPACE INC DBA CIRCLE SEAL CONTROLS</t>
  </si>
  <si>
    <t>2301 WARDLOW CIRCLE</t>
  </si>
  <si>
    <t>CORONA</t>
  </si>
  <si>
    <t>COMPOSITE INDUSTRIE SA</t>
  </si>
  <si>
    <t>32 A 33 RUE GUTENBERG</t>
  </si>
  <si>
    <t>BONDOUFLE CEDEX</t>
  </si>
  <si>
    <t>CROUZET AUTOMATISMES SAS</t>
  </si>
  <si>
    <t>VALENCE CEDEX 9</t>
  </si>
  <si>
    <t>HEIN-SASS-WEG 41</t>
  </si>
  <si>
    <t>AN DER SANDELMUEHLE 13</t>
  </si>
  <si>
    <t>FRANKFURT</t>
  </si>
  <si>
    <t>ALTE NUSSDORFER STR. 23</t>
  </si>
  <si>
    <t>UEBERLINGEN</t>
  </si>
  <si>
    <t>COVENTRY</t>
  </si>
  <si>
    <t>GRENZSTR. 1</t>
  </si>
  <si>
    <t>EATON AEROSPACE LLC VICKERS</t>
  </si>
  <si>
    <t>5353 HIGHLAND DRIVE</t>
  </si>
  <si>
    <t>39206-3449</t>
  </si>
  <si>
    <t>JACKSON</t>
  </si>
  <si>
    <t>16700 13TH AVENUE WEST</t>
  </si>
  <si>
    <t>LYNNWOOD</t>
  </si>
  <si>
    <t>ELEKTRO-METALL EXPORT GMBH</t>
  </si>
  <si>
    <t>MANCHINGER STR. 116</t>
  </si>
  <si>
    <t>INGOLSTADT</t>
  </si>
  <si>
    <t>BLAGNAC CEDEX</t>
  </si>
  <si>
    <t>BASF CORPORATION</t>
  </si>
  <si>
    <t>9800 KELLNER ROAD</t>
  </si>
  <si>
    <t>HUNTSVILLE</t>
  </si>
  <si>
    <t>WEDEL</t>
  </si>
  <si>
    <t>AIRBUS HELICOPTERS DEUTSCHLAND GMBH</t>
  </si>
  <si>
    <t>INDUSTRIESTR. 4</t>
  </si>
  <si>
    <t>DONAUWOERTH</t>
  </si>
  <si>
    <t>SIMI VALLEY</t>
  </si>
  <si>
    <t>FACC OPERATIONS GMBH</t>
  </si>
  <si>
    <t>FISCHERSTR. 9</t>
  </si>
  <si>
    <t>RIED IM INNKREIS</t>
  </si>
  <si>
    <t>Austria</t>
  </si>
  <si>
    <t>AVIOLANDALAAN 31</t>
  </si>
  <si>
    <t>4631 RP</t>
  </si>
  <si>
    <t>HOOGERHEIDE</t>
  </si>
  <si>
    <t>EATON LIMITED</t>
  </si>
  <si>
    <t>SOUTHAMPTON ROAD</t>
  </si>
  <si>
    <t>PO14 4QA</t>
  </si>
  <si>
    <t>TITCHFIELD</t>
  </si>
  <si>
    <t>TRIUMPH ACTUATION SYSTEMS LLC DIVISION CLEMMONS</t>
  </si>
  <si>
    <t>4520 HAMPTON RD</t>
  </si>
  <si>
    <t>CLEMMONS</t>
  </si>
  <si>
    <t>GUANGZHOU</t>
  </si>
  <si>
    <t>China</t>
  </si>
  <si>
    <t>GOODRICH ACTUATION SYSTEMS SAS</t>
  </si>
  <si>
    <t>13 AVENUE DE L'EGUILLETTE</t>
  </si>
  <si>
    <t>SAINT OUEN L'AUMONE</t>
  </si>
  <si>
    <t>GOODRICH ACTUATION SYSTEMS</t>
  </si>
  <si>
    <t>43 RUE DES PRES</t>
  </si>
  <si>
    <t>SAINT MARCEL</t>
  </si>
  <si>
    <t>BERTRAMSTR. 8</t>
  </si>
  <si>
    <t>LIPPSTADT</t>
  </si>
  <si>
    <t>HAMILTON SUNDSTRAND</t>
  </si>
  <si>
    <t>HORSTERWEG 7</t>
  </si>
  <si>
    <t>6199 AC</t>
  </si>
  <si>
    <t>1 HAMILTON ROAD</t>
  </si>
  <si>
    <t>06096-1010</t>
  </si>
  <si>
    <t>WINDSOR LOCKS</t>
  </si>
  <si>
    <t>4747 HARRISON AVENUE</t>
  </si>
  <si>
    <t>61125-7002</t>
  </si>
  <si>
    <t>ROCKFORD</t>
  </si>
  <si>
    <t>HAMILTON SUNDSTRAND CORPORATION</t>
  </si>
  <si>
    <t>1007 E UNIVERSITY DR</t>
  </si>
  <si>
    <t>PHOENIX</t>
  </si>
  <si>
    <t>HOLMBERG GMBH &amp; CO KG</t>
  </si>
  <si>
    <t>OHLAUER STR. 5-11</t>
  </si>
  <si>
    <t>BERLIN</t>
  </si>
  <si>
    <t>HONEYWELL ELECTRONICS &amp; LIGHTING GRIMES AEROSPACE COMPANY</t>
  </si>
  <si>
    <t>550 ROUTE 55</t>
  </si>
  <si>
    <t>URBANA</t>
  </si>
  <si>
    <t>FRANKFURTER STR. 41-65</t>
  </si>
  <si>
    <t>RAUNHEIM</t>
  </si>
  <si>
    <t>3333 UNITY DRIVE</t>
  </si>
  <si>
    <t>L5L 3S6</t>
  </si>
  <si>
    <t>MISSISSAUGA</t>
  </si>
  <si>
    <t>HONEYWELL AEROSPACE ELECTRONIC SYSTEMS LTD, UK SERVICE CENTRE</t>
  </si>
  <si>
    <t>EDISON ROAD</t>
  </si>
  <si>
    <t>RG21 6QD</t>
  </si>
  <si>
    <t>BASINGSTOKE</t>
  </si>
  <si>
    <t>HONEYWELL INTERNATIONAL INC ENGINE SYSTEMS &amp; ACCESSORIES</t>
  </si>
  <si>
    <t>1300 W WARNER RD</t>
  </si>
  <si>
    <t>TEMPE</t>
  </si>
  <si>
    <t>HONEYWELL INTERNATIONAL INC DBA HONEYWELL DIV AEROSPACE</t>
  </si>
  <si>
    <t>23500 W 105TH ST</t>
  </si>
  <si>
    <t>66061-8425</t>
  </si>
  <si>
    <t>OLATHE</t>
  </si>
  <si>
    <t>WICHITA</t>
  </si>
  <si>
    <t>HONEYWELL ENGINES &amp; SYSTEMS</t>
  </si>
  <si>
    <t>2525 WEST 190TH STREET</t>
  </si>
  <si>
    <t>90509-2960</t>
  </si>
  <si>
    <t>TORRANCE</t>
  </si>
  <si>
    <t>HS MARSTON AEROSPACE LIMITED</t>
  </si>
  <si>
    <t>FORDHOUSES WOBASTON ROAD</t>
  </si>
  <si>
    <t>WV10 6QJ</t>
  </si>
  <si>
    <t>WOLVERHAMPTON</t>
  </si>
  <si>
    <t>ROUTE DE JALLANS</t>
  </si>
  <si>
    <t>CHATEAUDUN</t>
  </si>
  <si>
    <t>CIRCOR INDUSTRIA</t>
  </si>
  <si>
    <t>28 AVENUE CLARA</t>
  </si>
  <si>
    <t>LE PLESSIS TREVISE</t>
  </si>
  <si>
    <t>PLAISIR CEDEX</t>
  </si>
  <si>
    <t>BOULEVARD SAGNAT</t>
  </si>
  <si>
    <t>ROCHE LA MOLIERE</t>
  </si>
  <si>
    <t>CEDAR RAPIDS</t>
  </si>
  <si>
    <t>MIRAMAR</t>
  </si>
  <si>
    <t>KGS ELECTRONICS INC A GAR ENTREPRISES CO</t>
  </si>
  <si>
    <t>418 EAST LIVE OAK AV</t>
  </si>
  <si>
    <t>91006-5690</t>
  </si>
  <si>
    <t>ARCADIA</t>
  </si>
  <si>
    <t>LUENEBURGER SCHANZE 30</t>
  </si>
  <si>
    <t>BUXTEHUDE</t>
  </si>
  <si>
    <t>4200 AIRPORT DRIVE NW</t>
  </si>
  <si>
    <t>27896-8630</t>
  </si>
  <si>
    <t>WILSON</t>
  </si>
  <si>
    <t>Japan</t>
  </si>
  <si>
    <t>L'HOTELLIER</t>
  </si>
  <si>
    <t>4 RUE HENRI POINCARE</t>
  </si>
  <si>
    <t>ANTONY CEDEX</t>
  </si>
  <si>
    <t>LATECOERE</t>
  </si>
  <si>
    <t>135 RUE DE PERIOLE</t>
  </si>
  <si>
    <t>LE BOZEC FILTRATION &amp; SYSTEMS</t>
  </si>
  <si>
    <t>2 RUE DE LA PATURE</t>
  </si>
  <si>
    <t>CARRIERES SUR SEINE</t>
  </si>
  <si>
    <t>ELYRIA</t>
  </si>
  <si>
    <t>LIEBHERR AEROSPACE TOULOUSE SAS</t>
  </si>
  <si>
    <t>408 AVENUE DES ETATS UNIS</t>
  </si>
  <si>
    <t>TOULOUSE CEDEX 2</t>
  </si>
  <si>
    <t>NORTHROP GRUMMANN LITEF GMBH</t>
  </si>
  <si>
    <t>LOERRACHER STR. 18</t>
  </si>
  <si>
    <t>FREIBURG</t>
  </si>
  <si>
    <t>LUFTHANSA TECHNIK AG</t>
  </si>
  <si>
    <t>WEG BEIM JAEGER 193</t>
  </si>
  <si>
    <t>MADELEC AERO SARL</t>
  </si>
  <si>
    <t>CAMBRIDGE</t>
  </si>
  <si>
    <t>PANASONIC AVIONICS CORPORATION</t>
  </si>
  <si>
    <t>BOTHELL</t>
  </si>
  <si>
    <t>1915 VOYAGER AVENUE</t>
  </si>
  <si>
    <t>93063-3349</t>
  </si>
  <si>
    <t>MOLSHEIM</t>
  </si>
  <si>
    <t>INOVEL PARK SUD</t>
  </si>
  <si>
    <t>VELIZY-VILLACOUBLAY</t>
  </si>
  <si>
    <t>CHELTENHAM ROAD EAST</t>
  </si>
  <si>
    <t>GL2 9QH</t>
  </si>
  <si>
    <t>GLOUCESTER</t>
  </si>
  <si>
    <t>CHELTENHAM ROAD</t>
  </si>
  <si>
    <t>MOOG AIRCRAFT GROUP TORRANCE OPERATIONS</t>
  </si>
  <si>
    <t>20263 S WESTERN AVENUE</t>
  </si>
  <si>
    <t>90501-1310</t>
  </si>
  <si>
    <t>MOOG CONTROLS LIMITED</t>
  </si>
  <si>
    <t>ASHCHURCH</t>
  </si>
  <si>
    <t>GL20 8NA</t>
  </si>
  <si>
    <t>TEWKESBURY</t>
  </si>
  <si>
    <t>U3614</t>
  </si>
  <si>
    <t>MOOG INC AIRCRAFT GROUP</t>
  </si>
  <si>
    <t>EAST AURORA</t>
  </si>
  <si>
    <t>18 RUE MARIUS TERCE</t>
  </si>
  <si>
    <t>FA5L4</t>
  </si>
  <si>
    <t>VICTOR-SLOTOSCH-STR. 20</t>
  </si>
  <si>
    <t>FRANKFURT AM MAIN</t>
  </si>
  <si>
    <t>C0002</t>
  </si>
  <si>
    <t>11200 EAST PINE STREET</t>
  </si>
  <si>
    <t>14300 ALTON PARKWAY</t>
  </si>
  <si>
    <t>92618-1898</t>
  </si>
  <si>
    <t>IRVINE</t>
  </si>
  <si>
    <t>PARKER HANNIFIN CORPORATION FLUID SYSTEMS DIVISION</t>
  </si>
  <si>
    <t>300 MARCUS BOULEVARD</t>
  </si>
  <si>
    <t>11788-2044</t>
  </si>
  <si>
    <t>HAUPPAUGE</t>
  </si>
  <si>
    <t>PARKER HANNIFIN CORPORATION CUSTOMER SUPPORT COMMERCIAL</t>
  </si>
  <si>
    <t>2010 WALDREP INDUSTRIAL BOULEVARD</t>
  </si>
  <si>
    <t>DUBLIN</t>
  </si>
  <si>
    <t>PAULSTRA VIBRACHOC GROUP HUTCHINSON</t>
  </si>
  <si>
    <t>PARC D'ACTIVITES DE L'EGLANTIER</t>
  </si>
  <si>
    <t>EVRY</t>
  </si>
  <si>
    <t>PFW AEROSPACE GMBH</t>
  </si>
  <si>
    <t>AM NEUEN RHEINHAFEN 10</t>
  </si>
  <si>
    <t>SPEYER</t>
  </si>
  <si>
    <t>PPG INDUSTRIE INC</t>
  </si>
  <si>
    <t>1719 HIGHWAY 72 EAST</t>
  </si>
  <si>
    <t>CORNEBARRIEU</t>
  </si>
  <si>
    <t>RATIER-FIGEAC</t>
  </si>
  <si>
    <t>FIGEAC CEDEX</t>
  </si>
  <si>
    <t>1 AVENUE DU LATHAM 47</t>
  </si>
  <si>
    <t>CAUDEBEC EN CAUX</t>
  </si>
  <si>
    <t>ROCKWELL COLLINS FRANCE</t>
  </si>
  <si>
    <t>6 AVENUE DIDIER DAURAT</t>
  </si>
  <si>
    <t>ROCKWELL COLLINS INC DIV COMMERCIAL SYSTEMS</t>
  </si>
  <si>
    <t>400 COLLINS ROAD NORTH EAST</t>
  </si>
  <si>
    <t>850 LAGOON DR</t>
  </si>
  <si>
    <t>CHULA VISTA</t>
  </si>
  <si>
    <t>14300 JUDICIAL ROAD</t>
  </si>
  <si>
    <t>55306-4898</t>
  </si>
  <si>
    <t>BURNSVILLE</t>
  </si>
  <si>
    <t>SAFT</t>
  </si>
  <si>
    <t>11 RUE AMPERE</t>
  </si>
  <si>
    <t>MASSY CEDEX</t>
  </si>
  <si>
    <t>SAINT-GOBAIN SULLY</t>
  </si>
  <si>
    <t>16 ROUTE D'ISDES</t>
  </si>
  <si>
    <t>SULLY SUR LOIRE</t>
  </si>
  <si>
    <t>ATLANTA</t>
  </si>
  <si>
    <t>18 BOULEVARD DE L'INDUSTRIE</t>
  </si>
  <si>
    <t>VENDOME</t>
  </si>
  <si>
    <t>3580 SHAW BOULEVARD</t>
  </si>
  <si>
    <t>NAPLES</t>
  </si>
  <si>
    <t>SINGAPORE</t>
  </si>
  <si>
    <t>Singapore</t>
  </si>
  <si>
    <t>SITEC AEROSPACE GMBH</t>
  </si>
  <si>
    <t>SITECPARK 1</t>
  </si>
  <si>
    <t>BAD TOELZ</t>
  </si>
  <si>
    <t>MOOG WOLVERHAMPTON LTD</t>
  </si>
  <si>
    <t>VALIANT WAY</t>
  </si>
  <si>
    <t>WV9 5GB</t>
  </si>
  <si>
    <t>2808 WEST WASHINGTON AVENUE</t>
  </si>
  <si>
    <t>YAKIMA</t>
  </si>
  <si>
    <t>GE AVIATION</t>
  </si>
  <si>
    <t>GL52 8SF</t>
  </si>
  <si>
    <t>CHELTENHAM</t>
  </si>
  <si>
    <t>COLOMIERS</t>
  </si>
  <si>
    <t>SONACA SA</t>
  </si>
  <si>
    <t>ROUTE NATIONALE 5</t>
  </si>
  <si>
    <t>GOSSELIES</t>
  </si>
  <si>
    <t>ROCHEFORT CEDEX</t>
  </si>
  <si>
    <t>EATON AEROSPACE GROUP HYDRAULIC SYSTEMS DIVISION</t>
  </si>
  <si>
    <t>4690 COLORADO BLVD.</t>
  </si>
  <si>
    <t>LOS ANGELES</t>
  </si>
  <si>
    <t>SUMITOMO PRECISION PRODUCTS CO LTD</t>
  </si>
  <si>
    <t>1-10 FUSO CHO</t>
  </si>
  <si>
    <t>660-0891</t>
  </si>
  <si>
    <t>HYOGO PREF</t>
  </si>
  <si>
    <t>13-15 BOULEVARD EIFFEL</t>
  </si>
  <si>
    <t>TEAM TRADING AS COBHAM AVIONICS</t>
  </si>
  <si>
    <t>10 PLACE MARCEL DASSAULT</t>
  </si>
  <si>
    <t>ROUTE DE LIERS 121</t>
  </si>
  <si>
    <t>HERSTAL (MILMORT)</t>
  </si>
  <si>
    <t>TELEDYNE CONTROLS (SCOTLAND)</t>
  </si>
  <si>
    <t>9-13 NAPIER ROAD</t>
  </si>
  <si>
    <t>G68 0EF</t>
  </si>
  <si>
    <t>CUMBERNAULD</t>
  </si>
  <si>
    <t>501 CONTINENTAL BLVD</t>
  </si>
  <si>
    <t>90245-1026</t>
  </si>
  <si>
    <t>EL SEGUNDO</t>
  </si>
  <si>
    <t>RUE MARCEL DASSAULT</t>
  </si>
  <si>
    <t>CHATELLERAULT CEDEX</t>
  </si>
  <si>
    <t>F9111</t>
  </si>
  <si>
    <t>UNISON INDUSTRIES, LLC C/O PNC BANK</t>
  </si>
  <si>
    <t>7575 BAYMEADOWS WAY</t>
  </si>
  <si>
    <t>32256-8514</t>
  </si>
  <si>
    <t>JACKSONVILLE</t>
  </si>
  <si>
    <t>DUBAI</t>
  </si>
  <si>
    <t>Utd.Arab Emir.</t>
  </si>
  <si>
    <t>MEGGITT SENSING SYSTEMS</t>
  </si>
  <si>
    <t>ROUTE DE MONCOR 4</t>
  </si>
  <si>
    <t>MEGGITT (NORTH HOLLYWOOD) INC</t>
  </si>
  <si>
    <t>12838 SATICOY STREET</t>
  </si>
  <si>
    <t>NORTH HOLLYWOOD</t>
  </si>
  <si>
    <t>LARCHWOOD AVENUE</t>
  </si>
  <si>
    <t>PO9 3QL</t>
  </si>
  <si>
    <t>GOODRICH ACTUATION SYSTEMS LTD</t>
  </si>
  <si>
    <t>STAFFORD ROAD</t>
  </si>
  <si>
    <t>WV10 7EH</t>
  </si>
  <si>
    <t>417 BRIDPORT ROAD</t>
  </si>
  <si>
    <t>UB6 8UA</t>
  </si>
  <si>
    <t>GREENFORD</t>
  </si>
  <si>
    <t>DIEHL AEROSPACE GMBH</t>
  </si>
  <si>
    <t>DONAUSTR. 120</t>
  </si>
  <si>
    <t>NUERNBERG</t>
  </si>
  <si>
    <t>LIEBHERR-AEROSPACE LINDENBERG GMBH</t>
  </si>
  <si>
    <t>PFAENDERSTR. 50-52</t>
  </si>
  <si>
    <t>LINDENBERG</t>
  </si>
  <si>
    <t>D9893</t>
  </si>
  <si>
    <t>100 PANTON ROAD</t>
  </si>
  <si>
    <t>VERGENNES</t>
  </si>
  <si>
    <t>B/E AEROSPACE SYSTEMS GMBH</t>
  </si>
  <si>
    <t>REVALSTR. 1</t>
  </si>
  <si>
    <t>LUEBECK</t>
  </si>
  <si>
    <t>HONEYWELL INTERNATIONAL SARL</t>
  </si>
  <si>
    <t>WESTFIELD ROAD</t>
  </si>
  <si>
    <t>LU7 9GT</t>
  </si>
  <si>
    <t>PITSTONE</t>
  </si>
  <si>
    <t>FAJX6</t>
  </si>
  <si>
    <t>IDD AEROSPACE CORPORATION</t>
  </si>
  <si>
    <t>18225 NORTH EAST 76TH STREET</t>
  </si>
  <si>
    <t>REDMOND</t>
  </si>
  <si>
    <t>ACSS A DIVISION OF L-3 AVIATION PRODUCTS</t>
  </si>
  <si>
    <t>85027-4400</t>
  </si>
  <si>
    <t>TROY</t>
  </si>
  <si>
    <t>BIRMINGHAM</t>
  </si>
  <si>
    <t>CHRISTCHURCH</t>
  </si>
  <si>
    <t>3290 PATTERSON AVENUE</t>
  </si>
  <si>
    <t>49512-1991</t>
  </si>
  <si>
    <t>GRAND RAPIDS</t>
  </si>
  <si>
    <t>1500 GLENN CURTISS STREET</t>
  </si>
  <si>
    <t>90746-4012</t>
  </si>
  <si>
    <t>CARSON</t>
  </si>
  <si>
    <t>NORTHROP GRUMMAN INTERNATIONAL TRADING (NGIT)</t>
  </si>
  <si>
    <t>21240 BURBANK BOULEVARD</t>
  </si>
  <si>
    <t>91367-6675</t>
  </si>
  <si>
    <t>WOODLAND HILLS</t>
  </si>
  <si>
    <t>MEGGITT AIRCRAFT BRAKING SYSTEMS</t>
  </si>
  <si>
    <t>MINANO MAYOR</t>
  </si>
  <si>
    <t>BOURNEMOUTH AIRPORT</t>
  </si>
  <si>
    <t>BH23 6EW</t>
  </si>
  <si>
    <t>LENEXA</t>
  </si>
  <si>
    <t>TELAIR INTERNATIONAL GMBH</t>
  </si>
  <si>
    <t>BODENSCHNEIDSTR. 2</t>
  </si>
  <si>
    <t>MIESBACH</t>
  </si>
  <si>
    <t>12350 NORTH VISTOSO PARK ROAD</t>
  </si>
  <si>
    <t>ORO VALLEY</t>
  </si>
  <si>
    <t>16666 VON KARMAN AVENUE</t>
  </si>
  <si>
    <t>92606-4917</t>
  </si>
  <si>
    <t>WITTENSTEIN AEROSPACE &amp; SIMULATION GMBH</t>
  </si>
  <si>
    <t>WALTER-WITTENSTEIN-STR. 1</t>
  </si>
  <si>
    <t>IGERSHEIM-HARTHAUSEN</t>
  </si>
  <si>
    <t>D4532</t>
  </si>
  <si>
    <t>GOODRICH CORPORATION DBA CUSTOMER SERVICE CENTER</t>
  </si>
  <si>
    <t>4115 CORPORATE CENTER DRIVE</t>
  </si>
  <si>
    <t>28110-1313</t>
  </si>
  <si>
    <t>MONROE</t>
  </si>
  <si>
    <t>AIRBUS OPERATIONS SAS AVIONICS &amp; SIMULATION PRODUCTS</t>
  </si>
  <si>
    <t>316 ROUTE DE BAYONNE</t>
  </si>
  <si>
    <t>Thailand</t>
  </si>
  <si>
    <t>21 LOYANG CRESCENT</t>
  </si>
  <si>
    <t>ZONE INDUSTRIELLE DE SAINT ULFRANT</t>
  </si>
  <si>
    <t>PONT AUDEMER</t>
  </si>
  <si>
    <t>SULZBACH</t>
  </si>
  <si>
    <t>THALES SOLUTIONS ASIA PTE LTD</t>
  </si>
  <si>
    <t>711 TAYLOR STREET</t>
  </si>
  <si>
    <t>44035-6229</t>
  </si>
  <si>
    <t>161 GUL CIRCLE</t>
  </si>
  <si>
    <t>F-TECH MEDITERRANEE</t>
  </si>
  <si>
    <t>MOOG CONTROLS CORPORATION PHILIPPINE BRANCH</t>
  </si>
  <si>
    <t>LOAKAN ROAD</t>
  </si>
  <si>
    <t>BAGUIO CITY</t>
  </si>
  <si>
    <t>Philippines</t>
  </si>
  <si>
    <t>ROCKWELL COLLINS INC</t>
  </si>
  <si>
    <t>1100 WEST HIBISCUS BLVD</t>
  </si>
  <si>
    <t>MELBOURNE</t>
  </si>
  <si>
    <t>6 RUE DU LIEUTENANT COLONEL LAPORTE</t>
  </si>
  <si>
    <t>BRIVE</t>
  </si>
  <si>
    <t>SABENA TECHNICS BOD</t>
  </si>
  <si>
    <t>19 RUE MARCEL ISSARTIER</t>
  </si>
  <si>
    <t>MERIGNAC CEDEX</t>
  </si>
  <si>
    <t>RUE ROBERT MARECHAL SENIOR</t>
  </si>
  <si>
    <t>ISSOUDUN</t>
  </si>
  <si>
    <t>SABENA TECHNICS DNR</t>
  </si>
  <si>
    <t>AEROPORT DE DINARD-PLEURTUIT</t>
  </si>
  <si>
    <t>DINARD CEDEX</t>
  </si>
  <si>
    <t>UTC AEROSPACE SYSTEMS GOODRICH CUSTOMER SERVICES INC</t>
  </si>
  <si>
    <t>6 &amp; 10 RD 36 RM</t>
  </si>
  <si>
    <t>S50604</t>
  </si>
  <si>
    <t>WHIPPANY ACTUATION SYSTEMS LLC</t>
  </si>
  <si>
    <t>110 ALGONQUIN PKWY</t>
  </si>
  <si>
    <t>07981-1640</t>
  </si>
  <si>
    <t>WHIPPANY</t>
  </si>
  <si>
    <t>GOODRICH TAECO AERONAUTICAL SYSTEMS</t>
  </si>
  <si>
    <t>20 DAI LIAO ROAD</t>
  </si>
  <si>
    <t>XIAMEN</t>
  </si>
  <si>
    <t>3 RUE ANTOINE DE SAINT EXUPERY</t>
  </si>
  <si>
    <t>BEIJING OU TUO TECHNOLOGY CO LTD (ELTRA SERVICES BEIJING)</t>
  </si>
  <si>
    <t>TIANZHU DONGLU 5</t>
  </si>
  <si>
    <t>BEIJING</t>
  </si>
  <si>
    <t>VAN NUYS</t>
  </si>
  <si>
    <t>NOVINTEC SA</t>
  </si>
  <si>
    <t>ZA DE LA PILLARDIERE</t>
  </si>
  <si>
    <t>F7757</t>
  </si>
  <si>
    <t>61 RUE PIERRE CURIE</t>
  </si>
  <si>
    <t>AM FLUGPLATZ</t>
  </si>
  <si>
    <t>LAUPHEIM</t>
  </si>
  <si>
    <t>ROCKWELL COLLINS SOUTHEAST ASIA PTE LTD</t>
  </si>
  <si>
    <t>NO 18 LOYANG LANE</t>
  </si>
  <si>
    <t>OEMSERVICES SAS</t>
  </si>
  <si>
    <t>FATX3</t>
  </si>
  <si>
    <t>EQUIP'AERO SERVICES</t>
  </si>
  <si>
    <t>POLE DE BUCONIS</t>
  </si>
  <si>
    <t>SATAIR PTE LTD SATAIR AIRBUS SINGAPORE CENTRE</t>
  </si>
  <si>
    <t>12 SELETAR AEROSPACE LINK</t>
  </si>
  <si>
    <t>QB267</t>
  </si>
  <si>
    <t>PREMIUM AEROTEC GMBH</t>
  </si>
  <si>
    <t>HAUNSTETTER STR. 225</t>
  </si>
  <si>
    <t>AUGSBURG</t>
  </si>
  <si>
    <t>GOODRICH AEROSPACE PTE LTD</t>
  </si>
  <si>
    <t>39 CHANGI NORTH CRESCENT</t>
  </si>
  <si>
    <t>COX &amp; COMPANY INC</t>
  </si>
  <si>
    <t>1664 OLD COUNTRY ROAD</t>
  </si>
  <si>
    <t>PLAINVIEW</t>
  </si>
  <si>
    <t>8 PANDAN AVENUE</t>
  </si>
  <si>
    <t>6734 VALJEAN AVENUE</t>
  </si>
  <si>
    <t>HAMILTON SUNDSTRAND WORLDWIDE REPAIR</t>
  </si>
  <si>
    <t>3601 FLAMINGO ROAD</t>
  </si>
  <si>
    <t>QC054</t>
  </si>
  <si>
    <t>ROCKWELL COLLINS, INC.</t>
  </si>
  <si>
    <t>5159 SOUTHRIDGE PARKWAY</t>
  </si>
  <si>
    <t>30349-5966</t>
  </si>
  <si>
    <t>GOODRICH ASIA-PACIFIC LTD</t>
  </si>
  <si>
    <t>Hong Kong</t>
  </si>
  <si>
    <t>GOODRICH AEROSPACE UK LTD.</t>
  </si>
  <si>
    <t>DIEHL AEROSPACE GMBH CSC FRANCE</t>
  </si>
  <si>
    <t>6 IMPASSE ALICE GUY</t>
  </si>
  <si>
    <t>HONEYWELL AEROSPACE LORI HEAT TRANSFER OPERATIONS</t>
  </si>
  <si>
    <t>6930 NORTH LAKEWOOD AVE</t>
  </si>
  <si>
    <t>74117-1807</t>
  </si>
  <si>
    <t>WOODWARD HRT, INC.</t>
  </si>
  <si>
    <t>25200 WEST RYE CANYON ROAD</t>
  </si>
  <si>
    <t>91355-1265</t>
  </si>
  <si>
    <t>SANTA CLARITA</t>
  </si>
  <si>
    <t>MICROTECNICA SRL</t>
  </si>
  <si>
    <t>VIA 1 MAGGIO 199</t>
  </si>
  <si>
    <t>LUSERNA S.GIOVANNI (TO)</t>
  </si>
  <si>
    <t>MEGGITT CONTROL SYSTEMS</t>
  </si>
  <si>
    <t>3 INDUSTRAL DRIVE</t>
  </si>
  <si>
    <t>12 AVENUE JEAN MERMOZ</t>
  </si>
  <si>
    <t>EATON INDUSTRIAL CORP. FUEL SYSTEMS DIVISION</t>
  </si>
  <si>
    <t>9650 JERONIMO ROAD</t>
  </si>
  <si>
    <t>26 CHANGI NORTH RISE</t>
  </si>
  <si>
    <t>ATELIERS BIGATA</t>
  </si>
  <si>
    <t>10 RUE JEAN BAPTISTE PERRIN</t>
  </si>
  <si>
    <t>EYSINES</t>
  </si>
  <si>
    <t>Ireland</t>
  </si>
  <si>
    <t>ONTARIO</t>
  </si>
  <si>
    <t>ONTIC ENGINEERING &amp; MANUFACTURING UK LIMITED</t>
  </si>
  <si>
    <t>CLEEVE BUSINESS PARK</t>
  </si>
  <si>
    <t>GL52 8TW</t>
  </si>
  <si>
    <t>5 RUE C. ET W. BOOTH</t>
  </si>
  <si>
    <t>TROYES</t>
  </si>
  <si>
    <t>SEPANG AIRCRAFT ENGINEERING SDN BHD</t>
  </si>
  <si>
    <t>LOT PT16, JALAN KLIA S7</t>
  </si>
  <si>
    <t>Malaysia</t>
  </si>
  <si>
    <t>BREMEN</t>
  </si>
  <si>
    <t>SHANNON AIRCRAFT MOTOR WORKS LTD HAMILTON SUNDSTRAND SHANNON</t>
  </si>
  <si>
    <t>SHANNON WORLD AVIATION PARK</t>
  </si>
  <si>
    <t>SHANNON</t>
  </si>
  <si>
    <t>WOODWARD, INC.</t>
  </si>
  <si>
    <t>5001 NORTH SECOND STREET</t>
  </si>
  <si>
    <t>LOVES PARK</t>
  </si>
  <si>
    <t>HONG KONG</t>
  </si>
  <si>
    <t>ONTIC ENGINEERING AND MANUFACTURING</t>
  </si>
  <si>
    <t>20400 PLUMMER STREET</t>
  </si>
  <si>
    <t>CHATSWORTH</t>
  </si>
  <si>
    <t>COM DEV INTERNATIONAL LTD.</t>
  </si>
  <si>
    <t>155 SHELDON DRIVE</t>
  </si>
  <si>
    <t>N1R 7H6</t>
  </si>
  <si>
    <t>1A SELETAR AEROSPACE LINK</t>
  </si>
  <si>
    <t>AEROSPACE COMPONENT ENGINEERING SER</t>
  </si>
  <si>
    <t>45 CHANGI NORTH CRESCENT</t>
  </si>
  <si>
    <t>TRIUMPH AVIATION SERVICES ASIA LTD</t>
  </si>
  <si>
    <t>700/1160 MOO 1</t>
  </si>
  <si>
    <t>CHONBURI</t>
  </si>
  <si>
    <t>8 CHEMIN DE L'ETANG</t>
  </si>
  <si>
    <t>FLEAC</t>
  </si>
  <si>
    <t>TELAIR INTERNATIONAL SERVICES PTE LTD</t>
  </si>
  <si>
    <t>OTTO INSTRUMENT SERVICE INC</t>
  </si>
  <si>
    <t>1441 VALENCIA PLACE</t>
  </si>
  <si>
    <t>800 AEROSPACE BOULEVARD</t>
  </si>
  <si>
    <t>C0B 2A0</t>
  </si>
  <si>
    <t>SLEMON PARK</t>
  </si>
  <si>
    <t>PRATT AND WHITNEY CANADA</t>
  </si>
  <si>
    <t>7007 RUE DE LA SAVANE</t>
  </si>
  <si>
    <t>J3Y 3X7</t>
  </si>
  <si>
    <t>SAINT HUBERT</t>
  </si>
  <si>
    <t>Approved</t>
  </si>
  <si>
    <t>UNISON INDUSTRIES</t>
  </si>
  <si>
    <t>5345 STATE HIGHWAY</t>
  </si>
  <si>
    <t>NORWICH</t>
  </si>
  <si>
    <t>THALES AVIONICS, INC</t>
  </si>
  <si>
    <t>140 CENTENNIAL AVENUE</t>
  </si>
  <si>
    <t>08854-3908</t>
  </si>
  <si>
    <t>PISCATAWAY</t>
  </si>
  <si>
    <t>3J0E6</t>
  </si>
  <si>
    <t>EATON LIMITED POWER &amp; MOTION CONTROL DIVISION</t>
  </si>
  <si>
    <t>BEDHAMPTON</t>
  </si>
  <si>
    <t>SENECA STREET AND JAMISON ROAD</t>
  </si>
  <si>
    <t>AIRBUS SAS</t>
  </si>
  <si>
    <t>ELDEC CORPORATION A CRANE CO. COMPANY</t>
  </si>
  <si>
    <t>98037-8597</t>
  </si>
  <si>
    <t>MAASTRICHT AIRPORT</t>
  </si>
  <si>
    <t>VISION SYSTEMS AERONAUTICS</t>
  </si>
  <si>
    <t>BRIGNAIS</t>
  </si>
  <si>
    <t>111 BOULEVARD ALFRED DANEY</t>
  </si>
  <si>
    <t>BORDEAUX</t>
  </si>
  <si>
    <t>OSCAR HOUSE WHARFDALE ROAD</t>
  </si>
  <si>
    <t>B11 2DG</t>
  </si>
  <si>
    <t>NO.9 LENGKUK KELULI 2</t>
  </si>
  <si>
    <t>KLANG</t>
  </si>
  <si>
    <t>JANSEN'S AIRCRAFT SYSTEMS CONTROLS INC</t>
  </si>
  <si>
    <t>2303 W ALAMEDA DRIVE</t>
  </si>
  <si>
    <t>NOVATRONICS INC</t>
  </si>
  <si>
    <t>677 ERIE STREET</t>
  </si>
  <si>
    <t>N5A 6V6</t>
  </si>
  <si>
    <t>STRATFORD</t>
  </si>
  <si>
    <t>F0217</t>
  </si>
  <si>
    <t>SERMA INGENIERIE</t>
  </si>
  <si>
    <t>2040 RUE DE L'AUSSONNELLE</t>
  </si>
  <si>
    <t>AIRBUS DS AIRBORNE SOLUTIONS GMBH ZIVILE PRODUKTE</t>
  </si>
  <si>
    <t>505A AIRPORT ROAD PAYA LEBAR</t>
  </si>
  <si>
    <t>GOODRICH LANDING SYSTEMS SERVICES</t>
  </si>
  <si>
    <t>3201 NW 167TH ST</t>
  </si>
  <si>
    <t>MIAMI GARDENS</t>
  </si>
  <si>
    <t>BISHOPS CLEEVE</t>
  </si>
  <si>
    <t>11100 N ORACLE ROAD</t>
  </si>
  <si>
    <t>85737-9588</t>
  </si>
  <si>
    <t>TUCSON</t>
  </si>
  <si>
    <t>33 LEWIS ROAD</t>
  </si>
  <si>
    <t>PRATT &amp; WHITNEY COMPONENT SOLUTIONS</t>
  </si>
  <si>
    <t>4905 STARIHA DRIVE</t>
  </si>
  <si>
    <t>MUSKEGON</t>
  </si>
  <si>
    <t>1RA69</t>
  </si>
  <si>
    <t>186 CEDAR STREET</t>
  </si>
  <si>
    <t>BRANFORD</t>
  </si>
  <si>
    <t>BAE SYSTEMS (OPERATIONS) LTD</t>
  </si>
  <si>
    <t>AIRPORT WORKS, MARCONI WAY</t>
  </si>
  <si>
    <t>ME1 2XX</t>
  </si>
  <si>
    <t>ROCHESTER</t>
  </si>
  <si>
    <t>K0656</t>
  </si>
  <si>
    <t>HONEYWELL AEROSPACE GMBH HONEYWELL INTERNATIONAL SARL</t>
  </si>
  <si>
    <t>SOCIETE AIR FRANCE</t>
  </si>
  <si>
    <t>ROISSY CHARLES DE GAULLE CEDEX</t>
  </si>
  <si>
    <t>MANTES LA VILLE</t>
  </si>
  <si>
    <t>AMETEK AEROSPACE</t>
  </si>
  <si>
    <t>BINGHAMTON</t>
  </si>
  <si>
    <t>HONEYWELL LIMITED HONEYWELL AEROSPACE TORONTO</t>
  </si>
  <si>
    <t>SERMAT SA</t>
  </si>
  <si>
    <t>249 RUE DE LA GARENNE</t>
  </si>
  <si>
    <t>NANTERRE</t>
  </si>
  <si>
    <t>HONEYWELL LIMITED HONEYWELL AEROSPACE PEI</t>
  </si>
  <si>
    <t>MONTEVARCHI</t>
  </si>
  <si>
    <t>HONEYWELL INTERNATIONAL INC ROCKY MOUNT AFTERMARKET</t>
  </si>
  <si>
    <t>3475 NORTH WESLEYAN BLVD</t>
  </si>
  <si>
    <t>ROCKY MOUNT</t>
  </si>
  <si>
    <t>HEMEL HEMPSTEAD</t>
  </si>
  <si>
    <t>THE NORDAM GROUP INC</t>
  </si>
  <si>
    <t>MECAER AMERICA INC</t>
  </si>
  <si>
    <t>5555 WILLIAM-PRICE</t>
  </si>
  <si>
    <t>H7L 6C4</t>
  </si>
  <si>
    <t>LAVAL</t>
  </si>
  <si>
    <t>THALES AVIONICS ELECTRICAL SYSTEMS</t>
  </si>
  <si>
    <t>3 RUE E ZOLA - ZI</t>
  </si>
  <si>
    <t>MERU</t>
  </si>
  <si>
    <t>CEF INDUSTRIES LLC</t>
  </si>
  <si>
    <t>RUAG AEROSPACE STRUCTURES GMBH</t>
  </si>
  <si>
    <t>FRIEDRICHSHAFENER STR. 6A</t>
  </si>
  <si>
    <t>ROUTE D IRIGNY ZI</t>
  </si>
  <si>
    <t>MASON ELECTRIC CO ESTERLINE</t>
  </si>
  <si>
    <t>13955 BALBOA BOULEVARD</t>
  </si>
  <si>
    <t>SYLMAR</t>
  </si>
  <si>
    <t>ZODIAC CABIN CONTROLS GMBH</t>
  </si>
  <si>
    <t>FANGDIECKSTR. 64</t>
  </si>
  <si>
    <t>PACIFIC SCIENTIFIC D/B/A MEGGITT CUSTOMER SERVICES</t>
  </si>
  <si>
    <t>AMSAFE BRIDPORT LTD</t>
  </si>
  <si>
    <t>THE COURT</t>
  </si>
  <si>
    <t>DT6 3QU</t>
  </si>
  <si>
    <t>BRIDPORT</t>
  </si>
  <si>
    <t>11700 N.W. 102 ROAD, SUITE 6</t>
  </si>
  <si>
    <t>HAMILTON SUNDSTRAND CSC (M) SDN BHD UTAS COMPANY</t>
  </si>
  <si>
    <t>CS-005-4 CONTINUING AIRWORTHINESS MANAGEMENT TASKS</t>
  </si>
  <si>
    <t>HONEYWELL AEROSPACE VENDOME</t>
  </si>
  <si>
    <t>SIRS NAVIGATION LTD</t>
  </si>
  <si>
    <t>WROTHAM ROAD</t>
  </si>
  <si>
    <t>DA13 0QB</t>
  </si>
  <si>
    <t>MEOPHAM</t>
  </si>
  <si>
    <t>MEGGITT (SENSOREX) MEGGITT SENSING SYSTEMS</t>
  </si>
  <si>
    <t>ARCHAMPS</t>
  </si>
  <si>
    <t>SEPANG SELANGOR</t>
  </si>
  <si>
    <t>ELBE FLUGZEUGWERKE GMBH</t>
  </si>
  <si>
    <t>PIAZZA ARTURO GRAF 147</t>
  </si>
  <si>
    <t>TORINO</t>
  </si>
  <si>
    <t>A0076</t>
  </si>
  <si>
    <t>HAMILTON SUNDSTRAND CUSTOMERSUPPORTCENTER MAASTRICH BV</t>
  </si>
  <si>
    <t>Over 2m</t>
  </si>
  <si>
    <t>Late &gt; 2 months</t>
  </si>
  <si>
    <t>Late &lt; 2 months</t>
  </si>
  <si>
    <t>SCR no ALERT</t>
  </si>
  <si>
    <t>SCR ALERT</t>
  </si>
  <si>
    <t>Red if One SCR overdue for more than 2 months</t>
  </si>
  <si>
    <t>HONEYWELL INTERNATIONAL INC</t>
  </si>
  <si>
    <t>TRIUMPH ACCESSORY SERVICES</t>
  </si>
  <si>
    <t>1038 SANTERRE DRIVE</t>
  </si>
  <si>
    <t>21111 N 19TH AVENUE</t>
  </si>
  <si>
    <t>85027-2708</t>
  </si>
  <si>
    <t>Aircraft Maintenance</t>
  </si>
  <si>
    <t>Airbus MOA Subcontracting</t>
  </si>
  <si>
    <t>Component Maintenance</t>
  </si>
  <si>
    <t>Total Late SCR</t>
  </si>
  <si>
    <t>Late SCR &gt; 2 m</t>
  </si>
  <si>
    <t>Total SCR</t>
  </si>
  <si>
    <t>Total On-Time SCR</t>
  </si>
  <si>
    <t>% On Time</t>
  </si>
  <si>
    <t>Start Date</t>
  </si>
  <si>
    <t>Date</t>
  </si>
  <si>
    <t>Interval (1 or 3 months)</t>
  </si>
  <si>
    <t>Interval</t>
  </si>
  <si>
    <t>Calc. Start Date</t>
  </si>
  <si>
    <t>Calc.interval.months</t>
  </si>
  <si>
    <t>Calc.interval days</t>
  </si>
  <si>
    <t>Last 3 months</t>
  </si>
  <si>
    <t>GABLES ENGINEERING INC</t>
  </si>
  <si>
    <t>247 GRECO AVENUE</t>
  </si>
  <si>
    <t>33146-0880</t>
  </si>
  <si>
    <t>CORAL GABLES</t>
  </si>
  <si>
    <t>HS AEROSPACE DIJON SAS</t>
  </si>
  <si>
    <t>LONGVIC CEDEX</t>
  </si>
  <si>
    <t>TRIUMPH ACTUATION SYSTEMS. ATTN. REPAIR AND OVERHAUL SHOP</t>
  </si>
  <si>
    <t>AMETEK HUGHES-TREITLER</t>
  </si>
  <si>
    <t>300 ENDO BOULEVARD</t>
  </si>
  <si>
    <t>GARDEN CITY</t>
  </si>
  <si>
    <t>3303 MONTE VILLA PARKWAY</t>
  </si>
  <si>
    <t>CS-002-O ORDERING SITE FOR COMPONENT MAINTENANCE</t>
  </si>
  <si>
    <t>ASTRONICS ADVANCED ELECTRONIC SYSTEMS</t>
  </si>
  <si>
    <t>12950 WILLOWS ROAD NORTH EAST</t>
  </si>
  <si>
    <t>KIRKLAND</t>
  </si>
  <si>
    <t>7330 LINCOLN WAY</t>
  </si>
  <si>
    <t>GARDEN GROVE</t>
  </si>
  <si>
    <t>SAFRAN LANDING SYSTEMS</t>
  </si>
  <si>
    <t>SAFRAN AERO BOOSTERS</t>
  </si>
  <si>
    <t>SAFRAN LANDING SYSTEMS MRO DIVISION</t>
  </si>
  <si>
    <t>SAFRAN ELECTRONICS &amp; DEFENSE</t>
  </si>
  <si>
    <t>PARKER HANNIFIN CORPORATION</t>
  </si>
  <si>
    <t>SAFRAN ELECTRONICS &amp; DEFENSE MASSY CENTER</t>
  </si>
  <si>
    <t>CS-001-O ORDERING SITE FOR AIRCRAFT MAINTENANCE</t>
  </si>
  <si>
    <t>COMTECH PST CORPORATION</t>
  </si>
  <si>
    <t>105 BAYLIS ROAD</t>
  </si>
  <si>
    <t>11747-3833</t>
  </si>
  <si>
    <t>MELVILLE</t>
  </si>
  <si>
    <t>NORD-MICRO GMBH &amp; CO OHG</t>
  </si>
  <si>
    <t>35811-9660</t>
  </si>
  <si>
    <t>PT6406, JALAN TECHVALLEY 7/2</t>
  </si>
  <si>
    <t>BANDAR SRI SENDAYAN</t>
  </si>
  <si>
    <t>W175 N5737 TECHNOLOGY DRIVE</t>
  </si>
  <si>
    <t>MENOMONEE FALLS</t>
  </si>
  <si>
    <t>EMS TECHNOLOGIES CANADA LTD</t>
  </si>
  <si>
    <t>400 MAPLE GROVE ROAD</t>
  </si>
  <si>
    <t>K2V 1B8</t>
  </si>
  <si>
    <t>OTTAWA</t>
  </si>
  <si>
    <t>HAECO HONG KONG AIRCRAFT ENGINEERING COMPANY LTD</t>
  </si>
  <si>
    <t>80 CHUN CHOI STREET</t>
  </si>
  <si>
    <t>TSEUNG KWAN O, N.T. - HONG KONG</t>
  </si>
  <si>
    <t>HONG KONG AIRCRAFT ENGINEERING COMPANY LTD. (HAECO CRO - HKG)</t>
  </si>
  <si>
    <t>80 SOUTH PERIMETER ROAD</t>
  </si>
  <si>
    <t>LANTAU</t>
  </si>
  <si>
    <t>Maintenance Engineering Services</t>
  </si>
  <si>
    <t>HAECO COMPONENT OVERHAUL XIAMEN</t>
  </si>
  <si>
    <t>AVIA TECHNIQUE LIMITED</t>
  </si>
  <si>
    <t>FISHPONDS ROAD</t>
  </si>
  <si>
    <t>RG41 2QJ</t>
  </si>
  <si>
    <t>WOKINGHAM</t>
  </si>
  <si>
    <t>HAMILTON SUNDSTRAND POLAND SP ZOO</t>
  </si>
  <si>
    <t>RZESZOW</t>
  </si>
  <si>
    <t>35-078</t>
  </si>
  <si>
    <t>Poland</t>
  </si>
  <si>
    <t>32125 32ND AVE S 110</t>
  </si>
  <si>
    <t>98001-9345</t>
  </si>
  <si>
    <t>FEDERAL WAY</t>
  </si>
  <si>
    <t>7 RUE DU GENERAL VALERIE ANDRE</t>
  </si>
  <si>
    <t>CS-009-1 ACJ VIP CABIN COMPLETION</t>
  </si>
  <si>
    <t>Authorisation expiry date</t>
  </si>
  <si>
    <t>JOYAU Maurice</t>
  </si>
  <si>
    <t>CS-009-2 ACJ SERVICE CENTER NETWORK</t>
  </si>
  <si>
    <t>PRESTWICK</t>
  </si>
  <si>
    <t>Airbus Corporate Jet</t>
  </si>
  <si>
    <t>Control of Customer Fleet Services Suppliers</t>
  </si>
  <si>
    <t>D0079</t>
  </si>
  <si>
    <t>AEROLEC</t>
  </si>
  <si>
    <t>41 BOULEVARD DE LA REPUBLIQUE</t>
  </si>
  <si>
    <t>CHATOU CEDEX</t>
  </si>
  <si>
    <t>FAK91</t>
  </si>
  <si>
    <t>1 RUE FRANTZ JOSEPH STRAUSS</t>
  </si>
  <si>
    <t>F0037</t>
  </si>
  <si>
    <t>F0479</t>
  </si>
  <si>
    <t>FAPE3</t>
  </si>
  <si>
    <t>U0088</t>
  </si>
  <si>
    <t>K7776</t>
  </si>
  <si>
    <t>3GSZ1</t>
  </si>
  <si>
    <t>D1227</t>
  </si>
  <si>
    <t>CB706</t>
  </si>
  <si>
    <t>F1549</t>
  </si>
  <si>
    <t>F2276</t>
  </si>
  <si>
    <t>F0396</t>
  </si>
  <si>
    <t>K2429</t>
  </si>
  <si>
    <t>F4885</t>
  </si>
  <si>
    <t>7926B</t>
  </si>
  <si>
    <t>F8625</t>
  </si>
  <si>
    <t>FA0X2</t>
  </si>
  <si>
    <t>C5270</t>
  </si>
  <si>
    <t>DIEHL AEROSPACE, INC.</t>
  </si>
  <si>
    <t>12001 HIGHWAY 280</t>
  </si>
  <si>
    <t>STERRETT</t>
  </si>
  <si>
    <t>6LVA7</t>
  </si>
  <si>
    <t>D2439</t>
  </si>
  <si>
    <t>D4829</t>
  </si>
  <si>
    <t>C6049</t>
  </si>
  <si>
    <t>D2638</t>
  </si>
  <si>
    <t>04VR7</t>
  </si>
  <si>
    <t>D3683</t>
  </si>
  <si>
    <t>C0417</t>
  </si>
  <si>
    <t>2817N</t>
  </si>
  <si>
    <t>K2523</t>
  </si>
  <si>
    <t>1SR57</t>
  </si>
  <si>
    <t>LAUNAGUET</t>
  </si>
  <si>
    <t>GAMECO</t>
  </si>
  <si>
    <t>HENGSHI ROAD NORTH AREA</t>
  </si>
  <si>
    <t>FA3T1</t>
  </si>
  <si>
    <t>D8095</t>
  </si>
  <si>
    <t>H0C11</t>
  </si>
  <si>
    <t>0CAM5</t>
  </si>
  <si>
    <t>D9240</t>
  </si>
  <si>
    <t>C0548</t>
  </si>
  <si>
    <t>U1134</t>
  </si>
  <si>
    <t>7X000</t>
  </si>
  <si>
    <t>U1603</t>
  </si>
  <si>
    <t>F1976</t>
  </si>
  <si>
    <t>F2805</t>
  </si>
  <si>
    <t>K8165</t>
  </si>
  <si>
    <t>F0553</t>
  </si>
  <si>
    <t>F0422</t>
  </si>
  <si>
    <t>INTERTRADE LIMITED A ROCKWELL COLLINS COMPANY</t>
  </si>
  <si>
    <t>0SVE9</t>
  </si>
  <si>
    <t>C9072</t>
  </si>
  <si>
    <t>F9211</t>
  </si>
  <si>
    <t>F0073</t>
  </si>
  <si>
    <t>F0218</t>
  </si>
  <si>
    <t>F1958</t>
  </si>
  <si>
    <t>LIEBHERR-AEROSPACE SALINE CO.</t>
  </si>
  <si>
    <t>1465 WOODLAND DRIVE</t>
  </si>
  <si>
    <t>48176-1259</t>
  </si>
  <si>
    <t>SALINE</t>
  </si>
  <si>
    <t>D4856</t>
  </si>
  <si>
    <t>C1008</t>
  </si>
  <si>
    <t>1 RUE SAINT EXUPERY</t>
  </si>
  <si>
    <t>GAZERAN</t>
  </si>
  <si>
    <t>F9503</t>
  </si>
  <si>
    <t>MARSHALL OF CAMBRIDGE AEROSPACE LIMITED</t>
  </si>
  <si>
    <t>AIRPORT HOUSE, THE AIRPORT</t>
  </si>
  <si>
    <t>CB5 8RX</t>
  </si>
  <si>
    <t>K3784</t>
  </si>
  <si>
    <t>0FF57</t>
  </si>
  <si>
    <t>SAFRAN LANDING SYSTEMS MOLSHEIM OEM</t>
  </si>
  <si>
    <t>1-9 RUE ANTOINE DE ST EXUPERY</t>
  </si>
  <si>
    <t>F6137</t>
  </si>
  <si>
    <t>SAFRAN LANDING SYSTEMS SERVICES UK LTD</t>
  </si>
  <si>
    <t>K2F31</t>
  </si>
  <si>
    <t>0ZWK8</t>
  </si>
  <si>
    <t>1B1H6</t>
  </si>
  <si>
    <t>F0220</t>
  </si>
  <si>
    <t>D9119</t>
  </si>
  <si>
    <t>F0221</t>
  </si>
  <si>
    <t>F5491</t>
  </si>
  <si>
    <t>52498-0505</t>
  </si>
  <si>
    <t>4V792</t>
  </si>
  <si>
    <t>F0360</t>
  </si>
  <si>
    <t>FB8F2</t>
  </si>
  <si>
    <t>U6578</t>
  </si>
  <si>
    <t>F7926</t>
  </si>
  <si>
    <t>QC003</t>
  </si>
  <si>
    <t>SIMMONDS PRECISION PRODUCTS INC. AIRCRAFT SYSTEMS DIVISION</t>
  </si>
  <si>
    <t>05491-8801</t>
  </si>
  <si>
    <t>LEONARDO S P A AIRBORNE &amp; SPACE SYSTEM DIVISION (EX SIRIO PANEL)</t>
  </si>
  <si>
    <t>VIA DELLA LAMA 13</t>
  </si>
  <si>
    <t>A4582</t>
  </si>
  <si>
    <t>U8429</t>
  </si>
  <si>
    <t>C3406</t>
  </si>
  <si>
    <t>K0648</t>
  </si>
  <si>
    <t>K5294</t>
  </si>
  <si>
    <t>AIR FRANCE INDUSTRIES</t>
  </si>
  <si>
    <t>10.14 RUE DE ROME</t>
  </si>
  <si>
    <t>TREMBLAY EN FRANCE</t>
  </si>
  <si>
    <t>B0128</t>
  </si>
  <si>
    <t>F4643</t>
  </si>
  <si>
    <t>SG215</t>
  </si>
  <si>
    <t>35 RUE DE MONTLHERY</t>
  </si>
  <si>
    <t>RUNGIS CEDEX</t>
  </si>
  <si>
    <t>F6168</t>
  </si>
  <si>
    <t>SAFRAN VENTILATION SYSTEM</t>
  </si>
  <si>
    <t>F4957</t>
  </si>
  <si>
    <t>B1316</t>
  </si>
  <si>
    <t>U0611</t>
  </si>
  <si>
    <t>TELEDYNE CONTROLS LLC</t>
  </si>
  <si>
    <t>S3960</t>
  </si>
  <si>
    <t>K4413</t>
  </si>
  <si>
    <t>AEROCONSEIL SA</t>
  </si>
  <si>
    <t>FASZ4</t>
  </si>
  <si>
    <t>K0377</t>
  </si>
  <si>
    <t>3E2Y8</t>
  </si>
  <si>
    <t>DA380</t>
  </si>
  <si>
    <t>K8081</t>
  </si>
  <si>
    <t>D1347</t>
  </si>
  <si>
    <t>GECAS ASSET MANAGEMENT SERVICES</t>
  </si>
  <si>
    <t>3860 EAST HOLMES ROAD SUITE 108</t>
  </si>
  <si>
    <t>MEMPHIS</t>
  </si>
  <si>
    <t>6L041</t>
  </si>
  <si>
    <t>VAS AERO SERVICES LLC</t>
  </si>
  <si>
    <t>645 PARK COMMERCE WAY</t>
  </si>
  <si>
    <t>BOCA RATON</t>
  </si>
  <si>
    <t>3V976</t>
  </si>
  <si>
    <t>D1379</t>
  </si>
  <si>
    <t>FB320</t>
  </si>
  <si>
    <t>SAFRAN ELECTRICAL &amp; POWER UK LTD</t>
  </si>
  <si>
    <t>K4358</t>
  </si>
  <si>
    <t>1WYD3</t>
  </si>
  <si>
    <t>FAQC8</t>
  </si>
  <si>
    <t>K1037</t>
  </si>
  <si>
    <t>TAIKOO XIAMEN AIRCRAFT ENGINEERING CO LTD TAECO</t>
  </si>
  <si>
    <t>0007B</t>
  </si>
  <si>
    <t>HONEYWELL INTERNATIONAL SARL C/O HONEYWELL AEROSPACE BOURNE</t>
  </si>
  <si>
    <t>K0872</t>
  </si>
  <si>
    <t>C1572</t>
  </si>
  <si>
    <t>38GN2</t>
  </si>
  <si>
    <t>0TMJ9</t>
  </si>
  <si>
    <t>3H889</t>
  </si>
  <si>
    <t>3TAH8</t>
  </si>
  <si>
    <t>FAU48</t>
  </si>
  <si>
    <t>FAU25</t>
  </si>
  <si>
    <t>DJ188</t>
  </si>
  <si>
    <t>196 RUE LOUIS RUSTIN</t>
  </si>
  <si>
    <t>F9238</t>
  </si>
  <si>
    <t>6GF22</t>
  </si>
  <si>
    <t>SAFRAN LANDING SYSTEMS SERVICES SINGAPORE PTE LTD</t>
  </si>
  <si>
    <t>QB274</t>
  </si>
  <si>
    <t>8 CHANGI NORTH WAY</t>
  </si>
  <si>
    <t>QA299</t>
  </si>
  <si>
    <t>FAQD5</t>
  </si>
  <si>
    <t>QB194</t>
  </si>
  <si>
    <t>QA285</t>
  </si>
  <si>
    <t>FB5U4</t>
  </si>
  <si>
    <t>SFM38</t>
  </si>
  <si>
    <t>1BSP7</t>
  </si>
  <si>
    <t>FAS97</t>
  </si>
  <si>
    <t>F0465</t>
  </si>
  <si>
    <t>PIAZZA MONTE GRAPPA 4</t>
  </si>
  <si>
    <t>ROMA</t>
  </si>
  <si>
    <t>FB547</t>
  </si>
  <si>
    <t>SCG62</t>
  </si>
  <si>
    <t>SCA12</t>
  </si>
  <si>
    <t>SAFRAN LANDING SYSTEMS MRO MOLSHEIM</t>
  </si>
  <si>
    <t>SKB07</t>
  </si>
  <si>
    <t>TARMAC AEROSAVE</t>
  </si>
  <si>
    <t>SIS L'AERODROME</t>
  </si>
  <si>
    <t>AZEREIX</t>
  </si>
  <si>
    <t>FB5M7</t>
  </si>
  <si>
    <t>C5678</t>
  </si>
  <si>
    <t>QC314</t>
  </si>
  <si>
    <t>FANU5</t>
  </si>
  <si>
    <t>ZONE D'ACTIVITE LA PIECE 16</t>
  </si>
  <si>
    <t>ROLLE</t>
  </si>
  <si>
    <t>SCY35</t>
  </si>
  <si>
    <t>CB480</t>
  </si>
  <si>
    <t>QB396</t>
  </si>
  <si>
    <t>QB848</t>
  </si>
  <si>
    <t>1VJX1</t>
  </si>
  <si>
    <t>8AMA5</t>
  </si>
  <si>
    <t>1SMU4</t>
  </si>
  <si>
    <t>1ST FLOOR 80 CHUN CHOI STREET</t>
  </si>
  <si>
    <t>SJV01</t>
  </si>
  <si>
    <t>BOUNDARY POINT</t>
  </si>
  <si>
    <t>HP2 7SU</t>
  </si>
  <si>
    <t>KC5G3</t>
  </si>
  <si>
    <t>FARX3</t>
  </si>
  <si>
    <t>BASEL</t>
  </si>
  <si>
    <t>Y0206</t>
  </si>
  <si>
    <t>ETIHAD AIRWAYS ENGINEERING LLC</t>
  </si>
  <si>
    <t>ADJACENT TO ABU DHABI INTERNATIONAL</t>
  </si>
  <si>
    <t>ABU DHABI</t>
  </si>
  <si>
    <t>SJA91</t>
  </si>
  <si>
    <t>FAKH4</t>
  </si>
  <si>
    <t>SAFRAN ELECTRONICS &amp; DEFENSE SERVICES ASIA PTE LTD</t>
  </si>
  <si>
    <t>QB007</t>
  </si>
  <si>
    <t>F6611</t>
  </si>
  <si>
    <t>UL HETMANSKA 120</t>
  </si>
  <si>
    <t>2073H</t>
  </si>
  <si>
    <t>GOODRICH AEROSTRUCTURES SERVICE CENTER ASIA PTE LTD</t>
  </si>
  <si>
    <t>41 CHANGI NORTH CRESCENT</t>
  </si>
  <si>
    <t>QB612</t>
  </si>
  <si>
    <t>CERTIFIED AVIATION SERVICES LLC</t>
  </si>
  <si>
    <t>1150 SOUTH VINEYARD AVENUE</t>
  </si>
  <si>
    <t>4C803</t>
  </si>
  <si>
    <t>U0J60</t>
  </si>
  <si>
    <t>YA903</t>
  </si>
  <si>
    <t>3VJA2</t>
  </si>
  <si>
    <t>COMLUX - COMLUX AMERICA LCC</t>
  </si>
  <si>
    <t>6404 TURNER DRIVE</t>
  </si>
  <si>
    <t>INDIANAPOLIS</t>
  </si>
  <si>
    <t>PMV ENGINEERING</t>
  </si>
  <si>
    <t>C2683</t>
  </si>
  <si>
    <t>ASTRONOVA</t>
  </si>
  <si>
    <t>600 EAST GREENWICH AVENUE</t>
  </si>
  <si>
    <t>WEST WARWICK</t>
  </si>
  <si>
    <t>S9859</t>
  </si>
  <si>
    <t>LUFTHANSA TECHNIK MAINTENANCE INTERNATIONAL GMBH</t>
  </si>
  <si>
    <t>LUFTHANSA TECHNIK PHILIPPINES INC.</t>
  </si>
  <si>
    <t>MACROASIA SPECIAL ECONOMIC ZONE</t>
  </si>
  <si>
    <t>PASAY CITY</t>
  </si>
  <si>
    <t>FB4F2</t>
  </si>
  <si>
    <t>Brazil</t>
  </si>
  <si>
    <t>QB807</t>
  </si>
  <si>
    <t>SBV01</t>
  </si>
  <si>
    <t>F5496</t>
  </si>
  <si>
    <t>C1562</t>
  </si>
  <si>
    <t>AVTRADE LIMITED GLOBAL HEADQUARTERS</t>
  </si>
  <si>
    <t>REEDS LANE</t>
  </si>
  <si>
    <t>BN6 9JQ</t>
  </si>
  <si>
    <t>SAYERS COMMON</t>
  </si>
  <si>
    <t>U17A8</t>
  </si>
  <si>
    <t>9D113</t>
  </si>
  <si>
    <t>3AK52</t>
  </si>
  <si>
    <t>L1350</t>
  </si>
  <si>
    <t>0R293</t>
  </si>
  <si>
    <t>QA104</t>
  </si>
  <si>
    <t>1RYZ3</t>
  </si>
  <si>
    <t>L4891</t>
  </si>
  <si>
    <t>9X173</t>
  </si>
  <si>
    <t>5KM29</t>
  </si>
  <si>
    <t>HEATHROW CORPORATE PARK</t>
  </si>
  <si>
    <t>TW4 6ER</t>
  </si>
  <si>
    <t>HOUNSLOW</t>
  </si>
  <si>
    <t>U15A2</t>
  </si>
  <si>
    <t>20 DAILIAO ROAD</t>
  </si>
  <si>
    <t>ROCKWELL COLLINS DO BRASIL LTDA</t>
  </si>
  <si>
    <t>RUA AMBROSIO MOLINA 1090</t>
  </si>
  <si>
    <t>SAO JOSE DOS CAMPOS S/P</t>
  </si>
  <si>
    <t>KANSAS AVIATION</t>
  </si>
  <si>
    <t>401 FREEDOM DRIVE</t>
  </si>
  <si>
    <t>INDEPENDENCE</t>
  </si>
  <si>
    <t>1VSS2</t>
  </si>
  <si>
    <t>WILLIS ASSET MANAGEMENT LIMITED</t>
  </si>
  <si>
    <t>AVIATION HOUSE</t>
  </si>
  <si>
    <t>CF313XR</t>
  </si>
  <si>
    <t>BRIDGEND</t>
  </si>
  <si>
    <t>WOODWARD INTERNATIONAL INC WOODWARD AIRCRAFT ENGINE SYSTEMS PR</t>
  </si>
  <si>
    <t>5 SHAWFARM ROAD</t>
  </si>
  <si>
    <t>92KA92TR</t>
  </si>
  <si>
    <t>KCVD0</t>
  </si>
  <si>
    <t>TURNER AVIATION LIMITED</t>
  </si>
  <si>
    <t>SPIERSBRIDGE TERRACE</t>
  </si>
  <si>
    <t>G46 8JQ</t>
  </si>
  <si>
    <t>GLASGOW</t>
  </si>
  <si>
    <t>KCSD7</t>
  </si>
  <si>
    <t>FELDSTR. 155</t>
  </si>
  <si>
    <t>ULTRA ELECTRONICS PRECISION CONTROL SYSTEMS</t>
  </si>
  <si>
    <t>SAFRAN NACELLES</t>
  </si>
  <si>
    <t>12.247000</t>
  </si>
  <si>
    <t>NOT ELIGIBLE (POA COMPLIANCE TABLE -00/00/0000)</t>
  </si>
  <si>
    <t>EASA PART 145 (FR.145.0092 -00/00/0000) | EASA PART 21 G (FR.21G.0043 -00/00/0000) | NOT ELIGIBLE (POA COMPLIANCE TABLE -00/00/0000)</t>
  </si>
  <si>
    <t>EASA PART 145 (FR.145.0613 -00/00/0000) | EASA PART 21 G (FR.21G.0078 -00/00/0000) | NOT ELIGIBLE (POA COMPLIANCE TABLE -00/00/0000)</t>
  </si>
  <si>
    <t>EASA PART 145 (FR.145.0135 -00/00/0000) | EASA PART 21 G (FR.21G.079 -00/00/0000) | NOT ELIGIBLE (POA COMPLIANCE TABLE -00/00/0000)</t>
  </si>
  <si>
    <t>EASA PART 145 (FR.145.0024 -00/00/0000)</t>
  </si>
  <si>
    <t>FAPB0</t>
  </si>
  <si>
    <t>EASA PART 145 (FR.145.0589 -00/00/0000) | EASA PART 21 G (EASA 21G.0108 -00/00/0000) | NOT ELIGIBLE (POA COMPLIANCE TABLE -00/00/0000)</t>
  </si>
  <si>
    <t>TRIUMPH INTEGRATED SYSTEMS ACTUATION &amp; CONTROL</t>
  </si>
  <si>
    <t>GL2 9QL</t>
  </si>
  <si>
    <t>U7388</t>
  </si>
  <si>
    <t>COLLEGE PARK</t>
  </si>
  <si>
    <t>567V9</t>
  </si>
  <si>
    <t>EASA PART 145 (DE.145.0438 -00/00/0000) | EASA PART 21 G (DE.21G.0230 -00/00/0000) | NOT ELIGIBLE (POA COMPLIANCE TABLE -00/00/0000)</t>
  </si>
  <si>
    <t>SECURAPLANE TECHNOLOGIES INC A MEGGITT COMPANY</t>
  </si>
  <si>
    <t>400 COLLINS ROAD NE</t>
  </si>
  <si>
    <t>AMETEK REYNOSA SERVICE CENTER RIO SAN JUAN AV</t>
  </si>
  <si>
    <t>PARQUE INDUSTRIAL DEL NORTE</t>
  </si>
  <si>
    <t>REYNOSA</t>
  </si>
  <si>
    <t>Mexico</t>
  </si>
  <si>
    <t>DEVOS BORESCOPE BLENDING LLC</t>
  </si>
  <si>
    <t>255 PADGETTE ST SUITE 5</t>
  </si>
  <si>
    <t>CHICOPEE</t>
  </si>
  <si>
    <t>BN43 5FF</t>
  </si>
  <si>
    <t>SHOREHAM AIRPORT</t>
  </si>
  <si>
    <t>APMS AVIATION LIMITED</t>
  </si>
  <si>
    <t>HANGAR K4</t>
  </si>
  <si>
    <t>GL7 6BA</t>
  </si>
  <si>
    <t>CIRENCESTER</t>
  </si>
  <si>
    <t>U1AW1</t>
  </si>
  <si>
    <t>Product Group comment</t>
  </si>
  <si>
    <t>CS-005-3 CERTIFIED DESIGN CHANGES</t>
  </si>
  <si>
    <t>PREMIUM AEROTEC GMBH VAREL PLANT</t>
  </si>
  <si>
    <t>RIESWEG 151-155</t>
  </si>
  <si>
    <t>VAREL</t>
  </si>
  <si>
    <t>CL706</t>
  </si>
  <si>
    <t>A J WALTER AVIATION LIMITED THE HEADQUARTERS</t>
  </si>
  <si>
    <t>MAYDWELL AVENUE</t>
  </si>
  <si>
    <t>RH13 0AS</t>
  </si>
  <si>
    <t>SLINFOLD</t>
  </si>
  <si>
    <t>KB335</t>
  </si>
  <si>
    <t>20 DAILIAO ROAD, EAST GAOQI</t>
  </si>
  <si>
    <t>SACG9</t>
  </si>
  <si>
    <t>TOULOUSE CEDEX 09</t>
  </si>
  <si>
    <t>2, RUE DE CLEMENCIERE</t>
  </si>
  <si>
    <t>CS-004-1 NEW SURPLUS OR USED PARTS DISTRIBUTION</t>
  </si>
  <si>
    <t>AERNNOVA AEROSPACE SA</t>
  </si>
  <si>
    <t>LEONARDO DA VINCI 13</t>
  </si>
  <si>
    <t>20 AVENUE GEORGES POMPIDOU</t>
  </si>
  <si>
    <t>HONEYWELL AEROSPACE YEOVIL.</t>
  </si>
  <si>
    <t>BUNFORD LANE</t>
  </si>
  <si>
    <t>BA20 2YD</t>
  </si>
  <si>
    <t>YEOVIL</t>
  </si>
  <si>
    <t>U1605</t>
  </si>
  <si>
    <t>VT MOBILE AEROSPACE ENGINEERING INC</t>
  </si>
  <si>
    <t>2100 AEROSPACE DR</t>
  </si>
  <si>
    <t>MOBILE</t>
  </si>
  <si>
    <t>RITEC RUGGED IN SIMI VALLEY</t>
  </si>
  <si>
    <t>35 EAST EASY STREET</t>
  </si>
  <si>
    <t>09BZ2</t>
  </si>
  <si>
    <t>ZONE INDUSTRIELLE DE L'ARSENAL</t>
  </si>
  <si>
    <t>REMOTE VISUAL INSPECTIONS LTD</t>
  </si>
  <si>
    <t>WEST SUSSEX</t>
  </si>
  <si>
    <t>L3 AVIATION PRODUCTS INC</t>
  </si>
  <si>
    <t>LEONARDO SPA AIRBORNE &amp; SPACE SYSTEMS</t>
  </si>
  <si>
    <t>KORRY ELECTRONICS COMPANY AN ESTERLINE COMPANY</t>
  </si>
  <si>
    <t>11910 BEVERLY PARK ROAD</t>
  </si>
  <si>
    <t>EVERETT</t>
  </si>
  <si>
    <t>AMAC AEROSPACE SWIZTERLAND AG</t>
  </si>
  <si>
    <t>STERNENGASSE 18</t>
  </si>
  <si>
    <t>SANT7</t>
  </si>
  <si>
    <t>WOODWARD MPC</t>
  </si>
  <si>
    <t>6300 W HOWARD ST</t>
  </si>
  <si>
    <t>NILES</t>
  </si>
  <si>
    <t>ITS ELECTRONICS INC</t>
  </si>
  <si>
    <t>3280 LANGSATFF ROAD UNIT B</t>
  </si>
  <si>
    <t>L4K 4Z8</t>
  </si>
  <si>
    <t>VAUGHAN</t>
  </si>
  <si>
    <t>0DU48</t>
  </si>
  <si>
    <t>SKURKA AEROSPACE INC</t>
  </si>
  <si>
    <t>4600 CALLE BOLERO</t>
  </si>
  <si>
    <t>CAMARILLO</t>
  </si>
  <si>
    <t>HYDAC SYSTEM &amp; SERVICES GMBH</t>
  </si>
  <si>
    <t>MEGGITT SAFETY SYSTEMS INC</t>
  </si>
  <si>
    <t>UNIT 610 AVENUE WEST</t>
  </si>
  <si>
    <t>CM77 7AA</t>
  </si>
  <si>
    <t>BRAINTREE</t>
  </si>
  <si>
    <t>9800 JOHN SAUNDERS ROAD</t>
  </si>
  <si>
    <t>SAN ANTONIO</t>
  </si>
  <si>
    <t>3E6Y0</t>
  </si>
  <si>
    <t>TRIUMPH GROUP OPERATIONS, INC TRIUMPH ACCESORY SERVICES</t>
  </si>
  <si>
    <t>411 NORTH WEST ROAD</t>
  </si>
  <si>
    <t>WELLINGTON</t>
  </si>
  <si>
    <t>COIGNAC Myriam</t>
  </si>
  <si>
    <t>AMETEK SINGAPORE PRIVATE LTD</t>
  </si>
  <si>
    <t>43 CHANGI SOUTH AVENUE 2, 04-01</t>
  </si>
  <si>
    <t>QC777</t>
  </si>
  <si>
    <t>DIEHL AVIATION LAUPHEIM GMBH</t>
  </si>
  <si>
    <t>RUNCORN</t>
  </si>
  <si>
    <t>DIEHL AVIATION GILCHING GMBH</t>
  </si>
  <si>
    <t>DIEHL AVIATION HAMBURG GMBH</t>
  </si>
  <si>
    <t>FOKKER TECHNIEK BV</t>
  </si>
  <si>
    <t>H2J35</t>
  </si>
  <si>
    <t>15-19 RUE LOUISE MICHEL</t>
  </si>
  <si>
    <t>272 RUE DU CHATEAU MUSSET</t>
  </si>
  <si>
    <t>CHAURAY</t>
  </si>
  <si>
    <t>GENTILIN</t>
  </si>
  <si>
    <t>7 IMP DE LA FEULLERAIE</t>
  </si>
  <si>
    <t>FB4T9</t>
  </si>
  <si>
    <t>THALES AVS FRANCE SAS CENTRE LOGISTIQUE INTERN. DE COLIS</t>
  </si>
  <si>
    <t>VT SAN ANTONIO AEROSPACE INC VT SAA</t>
  </si>
  <si>
    <t>F &amp; E AIRCRAFT MAINTENANCE</t>
  </si>
  <si>
    <t>657 SOUTH DRIVE SUITE 306</t>
  </si>
  <si>
    <t>MIAMI SPRINGS</t>
  </si>
  <si>
    <t>715K8</t>
  </si>
  <si>
    <t>CRISSAIR INC</t>
  </si>
  <si>
    <t>28909 AVENUE WILLIAMS</t>
  </si>
  <si>
    <t>VALENCIA</t>
  </si>
  <si>
    <t>EATON AEROSPACE LLC ACTUATION AND CONTROLS</t>
  </si>
  <si>
    <t>3675 PATTERSON AVE SE</t>
  </si>
  <si>
    <t>86, ROUTE DE ROISSY</t>
  </si>
  <si>
    <t>TREMBLAY-EN-FRANCE</t>
  </si>
  <si>
    <t>CS-004-O ORDERING SITE FOR USED PARTS DISTRIBUTION</t>
  </si>
  <si>
    <t>Used and Surplus Parts</t>
  </si>
  <si>
    <t>MONTAUBAN</t>
  </si>
  <si>
    <t>Authorised</t>
  </si>
  <si>
    <t>5353 52 ND STREET SOUTH EAST</t>
  </si>
  <si>
    <t>49512-9704</t>
  </si>
  <si>
    <t>23555 EUCLID AVENUE</t>
  </si>
  <si>
    <t>CLEVELAND</t>
  </si>
  <si>
    <t>EATON SAS EATON AEROSPACE-FLUID CONVEYANCE</t>
  </si>
  <si>
    <t>2 RUE LAVOISIER</t>
  </si>
  <si>
    <t>COIGNIERES CEDEX</t>
  </si>
  <si>
    <t>F0562</t>
  </si>
  <si>
    <t>INDUSTRIEGEBIET</t>
  </si>
  <si>
    <t>101 WORLD DRIVE SUITE 400</t>
  </si>
  <si>
    <t>PEACHTREE CITY</t>
  </si>
  <si>
    <t>2 ROND POINT EMILE DEWOITINE</t>
  </si>
  <si>
    <t>CTT SYSTEMS AB</t>
  </si>
  <si>
    <t>BRUKSLAGARVAEGEN 5</t>
  </si>
  <si>
    <t>611 29</t>
  </si>
  <si>
    <t>NYKOEPING</t>
  </si>
  <si>
    <t>Sweden</t>
  </si>
  <si>
    <t>LORD SOLUTIONS FRANCE</t>
  </si>
  <si>
    <t>400 CHEMIN DES MOLLES</t>
  </si>
  <si>
    <t>PONT DE L'ISERE</t>
  </si>
  <si>
    <t>SATAIR UK LTD</t>
  </si>
  <si>
    <t>UNIT 3, SPACE WAYE</t>
  </si>
  <si>
    <t>TW14 0TH</t>
  </si>
  <si>
    <t>FELTHAM</t>
  </si>
  <si>
    <t>U4943</t>
  </si>
  <si>
    <t>ARTUS SAS</t>
  </si>
  <si>
    <t>EATON CORPORATION AEROSPACE LLC ENGINEERED SENSORS-TEDECO</t>
  </si>
  <si>
    <t>15 DURANT AVENUE</t>
  </si>
  <si>
    <t>06801-1901</t>
  </si>
  <si>
    <t>BETHEL</t>
  </si>
  <si>
    <t>HONEYWELL INTERNATIONAL INC AEROSPACE SERVICES</t>
  </si>
  <si>
    <t>1944 E SKY HARBOR CIRCLE</t>
  </si>
  <si>
    <t>SAFRAN FILTRATION SYSTEMS GROUPE SAFRAN</t>
  </si>
  <si>
    <t>6-8 RUE MARYSE BASTIE</t>
  </si>
  <si>
    <t>NEXON</t>
  </si>
  <si>
    <t>F0559</t>
  </si>
  <si>
    <t>EASA PART 21 G (FR.21G.0021 -00/00/0000) | NOT ELIGIBLE (POACOMPLIANCE TABLE -00/00/0000)</t>
  </si>
  <si>
    <t>CESA COMPANIA ESPANOLA DE SISTEMAS AERONAUTICOS SA</t>
  </si>
  <si>
    <t>CHOUKRI Ouiam</t>
  </si>
  <si>
    <t>EATON INDUSTRIAL CORPORATION</t>
  </si>
  <si>
    <t>THALES SIX GTS FRANCE SAS</t>
  </si>
  <si>
    <t>AMETEK AEROSPACE A DIV OF AMETEC, INC.</t>
  </si>
  <si>
    <t>50 FORDHAM ROAD</t>
  </si>
  <si>
    <t>01887-2190</t>
  </si>
  <si>
    <t>WILMINGTON</t>
  </si>
  <si>
    <t>REVIMA</t>
  </si>
  <si>
    <t>F9646</t>
  </si>
  <si>
    <t>SIA ENGINEERING COMPANY LIMITED</t>
  </si>
  <si>
    <t>31 AIRLINE ROAD 07M</t>
  </si>
  <si>
    <t>F0057</t>
  </si>
  <si>
    <t>HARCOSEMCO LLC</t>
  </si>
  <si>
    <t>NOVEGA PRODUKTIONSSYSTEME GMBH</t>
  </si>
  <si>
    <t>GEWERBEPARK 2</t>
  </si>
  <si>
    <t>SULZBERG (SEE)</t>
  </si>
  <si>
    <t>CG871</t>
  </si>
  <si>
    <t>SAFRAN SEATS FRANCE</t>
  </si>
  <si>
    <t>SAFRAN LANDING SYSTEMS SERVICES DINARD</t>
  </si>
  <si>
    <t>AEROPORT DE DINARD</t>
  </si>
  <si>
    <t>HONEYWELL AEROSPACE SAS</t>
  </si>
  <si>
    <t>4 AVENUE SAINT GRANIER</t>
  </si>
  <si>
    <t>SAFRAN CABIN INC</t>
  </si>
  <si>
    <t>ACTIA</t>
  </si>
  <si>
    <t>10 AVENUE EDOUARD SERRES</t>
  </si>
  <si>
    <t>SITE ANDROMEDE</t>
  </si>
  <si>
    <t>PRESIDENT KENNEDY PARK 35A</t>
  </si>
  <si>
    <t>KORTRIJK</t>
  </si>
  <si>
    <t>AE29N</t>
  </si>
  <si>
    <t>GOODRICH MESSIER INC</t>
  </si>
  <si>
    <t>101 WACO STREET</t>
  </si>
  <si>
    <t>0ZC54</t>
  </si>
  <si>
    <t>SAFRAN ELECTRONICS AND DEFENSE</t>
  </si>
  <si>
    <t>12 RUE COLBERT</t>
  </si>
  <si>
    <t>FOUGERES CEDEX</t>
  </si>
  <si>
    <t>1 BIS AVENUE DE L ESCADRILLE</t>
  </si>
  <si>
    <t>REGIO LEASE</t>
  </si>
  <si>
    <t>724 ROUTE D'ARS</t>
  </si>
  <si>
    <t>MESSIMY SUR SAONE</t>
  </si>
  <si>
    <t>EASA PART M G (FR.MG.0346 -00/00/0000)</t>
  </si>
  <si>
    <t>ADRIA TEHNIKA DOO</t>
  </si>
  <si>
    <t>ZGORNJI BRNIK 130H</t>
  </si>
  <si>
    <t>Slovenia</t>
  </si>
  <si>
    <t>EASA PART 145 (SI.145.100 -00/00/0000)</t>
  </si>
  <si>
    <t>HONTANS Vincent</t>
  </si>
  <si>
    <t>MEGGITT AEROSPACE LIMITED</t>
  </si>
  <si>
    <t>ASG LUFTFAHRTTECHNIK UND SENSORIK GMBH</t>
  </si>
  <si>
    <t>JUNKERSSTR. 2</t>
  </si>
  <si>
    <t>WEINHEIM</t>
  </si>
  <si>
    <t>D2541</t>
  </si>
  <si>
    <t>EASA PART 145 (DE.145.0177 -00/00/0000) | EASA PART 21 G (DE.21G.0094 -00/00/0000)</t>
  </si>
  <si>
    <t>Red if number of SCR overdue vs Total is more than 2%</t>
  </si>
  <si>
    <t>Amber if One late SCR</t>
  </si>
  <si>
    <t>On-Time Alert</t>
  </si>
  <si>
    <t>Coming 2 months</t>
  </si>
  <si>
    <t>PEREZ VALDERRAMA Guillermo</t>
  </si>
  <si>
    <t>Global SCR On-Time</t>
  </si>
  <si>
    <t>Global OT KPI</t>
  </si>
  <si>
    <t>Global  OT KPI</t>
  </si>
  <si>
    <t>PRATT &amp; WHITNEY CANADA CORP UNITED TECHNOLOGIES</t>
  </si>
  <si>
    <t>1000 MARIE VICTORIN BOULEVARD</t>
  </si>
  <si>
    <t>J4G 1A1</t>
  </si>
  <si>
    <t>LONGUEUIL</t>
  </si>
  <si>
    <t>TCCA CAR561 (CAR561 4-85 -00/00/0000)</t>
  </si>
  <si>
    <t>UTC AEROSPACE SYSTEMS WROCLAW SP ZOO</t>
  </si>
  <si>
    <t>UL. BIERUTOWSKA 65-67</t>
  </si>
  <si>
    <t>51-317</t>
  </si>
  <si>
    <t>WROCLAW</t>
  </si>
  <si>
    <t>1990H</t>
  </si>
  <si>
    <t>ROCKWELL COLLINS WICHITA SERVICE CENTER</t>
  </si>
  <si>
    <t>2051 AIRPORT ROAD</t>
  </si>
  <si>
    <t>4X623</t>
  </si>
  <si>
    <t>EASA PART 145 (FR.145.0676 -00/00/0000)</t>
  </si>
  <si>
    <t>EASA PART 145 (FR.145.0217 -00/00/0000) | EASA PART 21 G (FR.21G.0111 -00/00/0000) | NOT ELIGIBLE (POA COMPLIANCE TABLE -00/00/0000)</t>
  </si>
  <si>
    <t>KIDDE TECHNOLOGIES INC KIDDE AEROSPACE</t>
  </si>
  <si>
    <t>JORAMCO JORDAN AIRCRAFT MAINTENANCE LTD</t>
  </si>
  <si>
    <t>QUEEN ALIA INTERNATIONAL AIRPORT</t>
  </si>
  <si>
    <t>AMMAN</t>
  </si>
  <si>
    <t>Jordan</t>
  </si>
  <si>
    <t>SAFRAN CABIN FRANCE</t>
  </si>
  <si>
    <t>EASA PART 145 (FR.145.0251 -00/00/0000) | EASA PART 21 G (FR.21G.0068 -00/00/0000) | NOT ELIGIBLE (POA COMPLIANCE TABLE -00/00/0000)</t>
  </si>
  <si>
    <t>EASA PART 145 (DE.145.0246 -00/00/0000) | EASA PART 21 G (DE.21G.0082 -00/00/0000) | NOT ELIGIBLE (POA COMPLIANCE MATRIX -00/00/0000)</t>
  </si>
  <si>
    <t>EASA PART 145 (FR.145.0124 -00/00/0000) | EASA PART 21 G (FR.21G.0070 -00/00/0000) | NOT ELIGIBLE (POA COMPLIANCE TABLE -00/00/0000)</t>
  </si>
  <si>
    <t>EASA PART 145 (CH.145.0363 -00/00/0000) | EASA PART 21 G (CH.21G.015 -00/00/0000) | EASA PART 21 J (EASA.21J.414 -00/00/0000)</t>
  </si>
  <si>
    <t>EASA PART 21 J (EASA.21J.487 -00/00/0000)</t>
  </si>
  <si>
    <t>GE AVIATION SYSTEMS LLC</t>
  </si>
  <si>
    <t>1354 CLIFFORD AVE</t>
  </si>
  <si>
    <t>FRIEDRICHSTHALER STR. 15</t>
  </si>
  <si>
    <t>NEUNKIRCHEN HEINITZ</t>
  </si>
  <si>
    <t>TRIUMPH ENGINE CONTROL SYSTEMS, LLC</t>
  </si>
  <si>
    <t>1 CHARTER OAK BOULEVARD</t>
  </si>
  <si>
    <t>06133-0651</t>
  </si>
  <si>
    <t>WEST HARTFORD</t>
  </si>
  <si>
    <t>AEVA</t>
  </si>
  <si>
    <t>EASA PART 145 (DE.145.0913 -00/00/0000)</t>
  </si>
  <si>
    <t>ECA AEROSPACE</t>
  </si>
  <si>
    <t>6 IMP ALICE GUY</t>
  </si>
  <si>
    <t>EASA PART 145 (DE.145.0276 -00/00/0000) | EASA PART 21 G (DE.21G.0099 -00/00/0000)</t>
  </si>
  <si>
    <t>CAAS SAR145 (TCCA 35-03 -00/00/0000) | EASA PART 145 (EASA.145.7213 -00/00/0000) | TCCA CAR573.02 (35-03 -00/00/0000)</t>
  </si>
  <si>
    <t>C1861</t>
  </si>
  <si>
    <t>TURBINE CONTROLS LLC</t>
  </si>
  <si>
    <t>3501 ENTERPRISE WAY</t>
  </si>
  <si>
    <t>6VBW9</t>
  </si>
  <si>
    <t>MOCA Elena</t>
  </si>
  <si>
    <t>F6614</t>
  </si>
  <si>
    <t>EASA PART 145 (FR.145.0466 -00/00/0000) | EASA PART 21 G (FR.21G.0045 -00/00/0000) | NOT ELIGIBLE (POA TABLE -00/00/0000)</t>
  </si>
  <si>
    <t>EASA PART 145 (DE.145.0070 -00/00/0000) | EASA PART 21 G (DE.21G.0020 -19/04/2030) | NOT ELIGIBLE (POA COMPLIANCE TABLE -24/07/2019)</t>
  </si>
  <si>
    <t>AES AIRCRAFT ELEKTRO/ELEKTRONIK SYSTEM GMBH</t>
  </si>
  <si>
    <t>HANNA-KUNATH-STR. 33</t>
  </si>
  <si>
    <t>C6182</t>
  </si>
  <si>
    <t>EASA PART 145 (DE.145.0383 -00/00/0000) | EASA PART 21 G (DE.21G.0201 -00/00/0000) | NOT ELIGIBLE (POA COMPLIANCE TABLE -00/00/0000)</t>
  </si>
  <si>
    <t>LIEBHERR-ELEKTRONIK GMBH</t>
  </si>
  <si>
    <t>PETER-DORNIER-STR. 11</t>
  </si>
  <si>
    <t>LINDAU</t>
  </si>
  <si>
    <t>D7564</t>
  </si>
  <si>
    <t>WOODWARD HRT INC</t>
  </si>
  <si>
    <t>1000E DRAKE ROAD</t>
  </si>
  <si>
    <t>FORT COLLINS</t>
  </si>
  <si>
    <t>MUIRHEAD AVIONICS</t>
  </si>
  <si>
    <t>3 THE SQUARE HEATHROW</t>
  </si>
  <si>
    <t>UB2 5NH</t>
  </si>
  <si>
    <t>SOUTHALL</t>
  </si>
  <si>
    <t>KF482</t>
  </si>
  <si>
    <t>SR TECHNICS MALAYSIA</t>
  </si>
  <si>
    <t>LOT 3 JALAN KELULI 15 16 SEKSYEN 15</t>
  </si>
  <si>
    <t>SHAH ALAM</t>
  </si>
  <si>
    <t>Y0329</t>
  </si>
  <si>
    <t>HAL FARRUG ROAD</t>
  </si>
  <si>
    <t>LUQA</t>
  </si>
  <si>
    <t>Malta</t>
  </si>
  <si>
    <t>ROSEMOUNT AEROSPACE INC COLLINS AEROSPACE</t>
  </si>
  <si>
    <t>CURTISS WRIGHT CONTROLS FLIGHT SYSTEMS</t>
  </si>
  <si>
    <t>201 OLD BOILING SPRINGS RD</t>
  </si>
  <si>
    <t>28152-0649</t>
  </si>
  <si>
    <t>SHELBY</t>
  </si>
  <si>
    <t>0AHP5</t>
  </si>
  <si>
    <t>LUFTHANSA TECHNIK MALTA LIMITED</t>
  </si>
  <si>
    <t>LUFTHANSA TECHNIK BUDAPEST LIMITED</t>
  </si>
  <si>
    <t>FERENC LISZT INTERNATIONAL AIRPORT</t>
  </si>
  <si>
    <t>BUDAPEST</t>
  </si>
  <si>
    <t>Hungary</t>
  </si>
  <si>
    <t>GOODRICH LIGHTING SYSTEMS GMBH A PART OF COLLINS AEROSPACE</t>
  </si>
  <si>
    <t>LEONIA</t>
  </si>
  <si>
    <t>LUFTHANSA TECHNIK SOFIA LTD</t>
  </si>
  <si>
    <t>SOFIA AIRPORT</t>
  </si>
  <si>
    <t>SOFIA</t>
  </si>
  <si>
    <t>Bulgaria</t>
  </si>
  <si>
    <t>AEROTRON LIMITED</t>
  </si>
  <si>
    <t>FLEMING WAY JENNER ROAD</t>
  </si>
  <si>
    <t>RH10 9GA</t>
  </si>
  <si>
    <t>CRAWLEY</t>
  </si>
  <si>
    <t>ST ENGINEERING AEROSPACE SERVICES CO PTE LTD</t>
  </si>
  <si>
    <t>GA TELESIS, LLC.</t>
  </si>
  <si>
    <t>1850 NW 49TH STREET</t>
  </si>
  <si>
    <t>FORT LAUDERDALE</t>
  </si>
  <si>
    <t>3JXJ0</t>
  </si>
  <si>
    <t>IHI CORPORATION</t>
  </si>
  <si>
    <t>229, TONOGAYA</t>
  </si>
  <si>
    <t>190-1297</t>
  </si>
  <si>
    <t>TOKYO</t>
  </si>
  <si>
    <t>SAFRAN AEROSYSTEMS SERVICES MIDDLE EAST DWC LLC</t>
  </si>
  <si>
    <t>DUBAI WORLD CENTRAL AVIATION CITY</t>
  </si>
  <si>
    <t>FORT WAYNE</t>
  </si>
  <si>
    <t>3E6E4</t>
  </si>
  <si>
    <t>SAFRAN AEROSYSTEMS SERVICES EUROPE</t>
  </si>
  <si>
    <t>FADEC ALLIANCE LLC</t>
  </si>
  <si>
    <t>1098 CLARK STREET</t>
  </si>
  <si>
    <t>ENDICOTT</t>
  </si>
  <si>
    <t>7NDG7</t>
  </si>
  <si>
    <t>SAMSON Laetitia</t>
  </si>
  <si>
    <t>EASA PART 145 (FR.145.0254 -00/00/0000) | EASA PART 21 G (FR.21G.0053 -00/00/0000) | NOT ELIGIBLE (POA COMPLIANCE TABLE_CROUZET -00/00/0000)</t>
  </si>
  <si>
    <t>TARMAC ARAGON SLU</t>
  </si>
  <si>
    <t>AEROPUERTO DE TERUEL</t>
  </si>
  <si>
    <t>TERUEL</t>
  </si>
  <si>
    <t>AERODROME TOULOUSE FRANCAZAL</t>
  </si>
  <si>
    <t>CUGNAUX</t>
  </si>
  <si>
    <t>FBCS2</t>
  </si>
  <si>
    <t>EASA PART 145 (FR.145.0682 -00/00/0000) | EASA PART 21 G (FR.21G.0239 -00/00/0000) | NOT ELIGIBLE (POA COMPLIANCE TABLE -00/00/0000)</t>
  </si>
  <si>
    <t>SAFRAN AEROSYSTEMS SERVICES AMERICAS LLC</t>
  </si>
  <si>
    <t>MAGNETIC MRO AS</t>
  </si>
  <si>
    <t>Estonia</t>
  </si>
  <si>
    <t>006HJ</t>
  </si>
  <si>
    <t>TESTIA SAS</t>
  </si>
  <si>
    <t>TALLINN</t>
  </si>
  <si>
    <t>QB847</t>
  </si>
  <si>
    <t>AV LA NORIA NO 131</t>
  </si>
  <si>
    <t>SANTA ROSA JAUREGUI</t>
  </si>
  <si>
    <t>SDL89</t>
  </si>
  <si>
    <t>MAVANDIYOOR Jayaram</t>
  </si>
  <si>
    <t>SCIOTEQ</t>
  </si>
  <si>
    <t>EASA PART 145 (DE.145.0166 -00/00/0000) | EASA PART 21 G (DE.21G.0075 -00/00/0000) | NOT ELIGIBLE (POA COMPLIANCE TABLE -00/00/0000)</t>
  </si>
  <si>
    <t>HONEYWELL AVIONICS (SHANGHAI) CO. LTD</t>
  </si>
  <si>
    <t>NO. 430 LI BING ROAD</t>
  </si>
  <si>
    <t>SHANGHAI</t>
  </si>
  <si>
    <t>SDC07</t>
  </si>
  <si>
    <t>EASA PART 145 (DE.145.0065 -00/00/0000) | EASA PART 21 G (DE.21G.0172 -00/00/0000) | NOT ELIGIBLE (RUAG POA CT 11/2019 -00/00/0000)</t>
  </si>
  <si>
    <t>U1C43</t>
  </si>
  <si>
    <t>MEGGITT AIRCRAFT BRAKING SYSTEMS CORPORATION</t>
  </si>
  <si>
    <t>1204 MASSILON ROAD</t>
  </si>
  <si>
    <t>44306-4186</t>
  </si>
  <si>
    <t>AKRON</t>
  </si>
  <si>
    <t>0B9R9</t>
  </si>
  <si>
    <t>CS-002-C A220 SPECIFIC COMPONENT MAINTENANCE</t>
  </si>
  <si>
    <t>FOKKER ELMO BV</t>
  </si>
  <si>
    <t>AVIOLANDALAAN 33</t>
  </si>
  <si>
    <t>H0N89</t>
  </si>
  <si>
    <t>SAFRAN AEROTECHNICS</t>
  </si>
  <si>
    <t>STELIA AEROSPACE</t>
  </si>
  <si>
    <t>FALGAYRAS S.A.S</t>
  </si>
  <si>
    <t>5-7 ALLEE CHARLES CROS</t>
  </si>
  <si>
    <t>COLOMIERS CEDEX</t>
  </si>
  <si>
    <t>F6914</t>
  </si>
  <si>
    <t>FL TECHNICS</t>
  </si>
  <si>
    <t>RODUNIOS KELIAS 2</t>
  </si>
  <si>
    <t>VILNIUS</t>
  </si>
  <si>
    <t>Lithuania</t>
  </si>
  <si>
    <t>0083R</t>
  </si>
  <si>
    <t>EASA PART M G (LT.MG.015 -00/00/0000)</t>
  </si>
  <si>
    <t>KULITE SEMICONDUCTOR PRODUCTS INC</t>
  </si>
  <si>
    <t>400 WILLOW TREE ROAD</t>
  </si>
  <si>
    <t>MOOG AIRCRAFT SERVICES ASIA</t>
  </si>
  <si>
    <t>21 WEST CAMP ROAD</t>
  </si>
  <si>
    <t>SINGAPORE COMPONENT SOLUTIONS PTE LTD</t>
  </si>
  <si>
    <t>11 SELETAR AEROSPACE LANE</t>
  </si>
  <si>
    <t>Q3656</t>
  </si>
  <si>
    <t>SAFRAN ELECTRICAL COMPONENTS</t>
  </si>
  <si>
    <t>FBFC9</t>
  </si>
  <si>
    <t>MEGGITT AEROSPACE ASIA PACIFIC PTE</t>
  </si>
  <si>
    <t>HONEYWELL AEROSPACE AVIONICS</t>
  </si>
  <si>
    <t>3057, TINGKAT PERUSAHAAN 4A</t>
  </si>
  <si>
    <t>PERAI</t>
  </si>
  <si>
    <t>SFR41</t>
  </si>
  <si>
    <t>INTERSKY PRECISION INSTRUMENTS INC</t>
  </si>
  <si>
    <t>7125 RIVERDALE BEND ROAD</t>
  </si>
  <si>
    <t>VAEIKE-SOJAMAEE 1A</t>
  </si>
  <si>
    <t>SAFRAN ELECTRICAL &amp; POWER</t>
  </si>
  <si>
    <t>4900 ST JOE BLVD BLDG 200 STE 300</t>
  </si>
  <si>
    <t>DERIAS Edith</t>
  </si>
  <si>
    <t>AERFIN LIMITED</t>
  </si>
  <si>
    <t>PARC BEDWAS 2 GREENWAY</t>
  </si>
  <si>
    <t>CF838DW</t>
  </si>
  <si>
    <t>CAERPHILLY</t>
  </si>
  <si>
    <t>SAFRAN AIRCRAFT ENGINES ENGINE MAINTENANCE ON SITE - RMOS</t>
  </si>
  <si>
    <t>ROND POINT RENE RAVAUD REAU</t>
  </si>
  <si>
    <t>MOISSY CRAMAYEL</t>
  </si>
  <si>
    <t>ST ENGINEERING AEROSPACE SYSTEMS PTE LTD</t>
  </si>
  <si>
    <t>CHELTON AVIONICS INC COBHAM AEROSPACE CONNECTIVITY</t>
  </si>
  <si>
    <t>6400 WILKINSON DRIVE</t>
  </si>
  <si>
    <t>PRESCOTT</t>
  </si>
  <si>
    <t>1WZE2</t>
  </si>
  <si>
    <t>EASA PART 145 (FR.145.0211 -00/00/0000) | EASA PART 21 G (FR.21G.0029 -00/00/0000) | FAR 145 (E48Y118X -30/04/2022) | NOT ELIGIBLE (POA COMPLIANCE TABLE -00/00/0000)</t>
  </si>
  <si>
    <t>72-76 RUE HENRY FARMAN</t>
  </si>
  <si>
    <t>PARIS</t>
  </si>
  <si>
    <t>EASA PART 145 (EASA.145.5057 -01/08/2022) | FAR 145 (W7LR106O -00/00/0000)</t>
  </si>
  <si>
    <t>DERICHEBOURG AERONAUTICS SERVICES</t>
  </si>
  <si>
    <t>EASA PART 145 (FR.145.0317 -00/00/0000) | EASA PART 21 G (FR.21G.0067 -00/00/0000) | FAR 145 (5F4Y303D -00/00/0000)</t>
  </si>
  <si>
    <t>EASA PART 145 (EASA.145.4154 -01/08/2022) | FAR 145 (A8PR221J -00/00/0000)</t>
  </si>
  <si>
    <t>EASA PART 145 (DE.145.0153 -00/00/0000) | EASA PART 21 G (DE.21G.0044 -00/00/0000) | NOT ELIGIBLE (POA COMPLIANCE TABLE 25.06.2016  SIGNED -00/00/0000) | TCCA CAR573.02 (810-11 -00/00/0000)</t>
  </si>
  <si>
    <t>EASA PART 145 (EASA.145.4136 -01/08/2022) | FAR 145 (ZN3R030M -00/00/0000) | FAR 21 (FAA PT21.HAQM -00/00/0000) | NOT ELIGIBLE (POA COMPLIANCE TABLE -01/01/2021)</t>
  </si>
  <si>
    <t>EASA PART 145 (EASA.145.4185 -01/08/2022) | FAR 145 (QX3R805L -00/00/0000)</t>
  </si>
  <si>
    <t>EASA PART 145 (EASA.145.4511 -01/08/2022) | FAR 145 (YIUR064J -00/00/0000)</t>
  </si>
  <si>
    <t>EASA PART 145 (EASA.145.4576 -01/08/2022) | FAR 145 (XM2R297L -00/00/0000)</t>
  </si>
  <si>
    <t>EAM EASTERN AERO MARINE INC</t>
  </si>
  <si>
    <t>5502 NW 37TH AVE</t>
  </si>
  <si>
    <t>SAFRAN AEROSYSTEMS SERVICES AMERICA</t>
  </si>
  <si>
    <t>GOODRICH CORPORATION DIV. AIRCRAFT WHEELS AND BRAKES</t>
  </si>
  <si>
    <t>EASA PART 145 (EASA.145.4636 -01/08/2022) | FAR 145 (BH4R076M -00/00/0000)</t>
  </si>
  <si>
    <t>EASA PART 145 (EASA.145.6139 -01/09/2022) | FAR 145 (DBBR269X -00/00/0000)</t>
  </si>
  <si>
    <t>EASA PART 145 (FR.145.0248 -00/00/0000) | EASA PART 21 G (FR.21G.0145 -00/00/0000) | FAR 145 (INSY306X -31/07/2022) | NOT ELIGIBLE (POA COMPLIANCE TABLE -00/00/0000)</t>
  </si>
  <si>
    <t>CAAS SAR145 (TCCA 44-16 -00/00/0000) | EASA PART 145 (EASA.145.7302 -00/00/0000) | HKAR-145 (TCCA 44-16 -00/00/0000) | TCCA CAR573.02 (44-16 -00/00/0000)</t>
  </si>
  <si>
    <t>EASA PART 145 (EASA.145.5484 -01/10/2022) | FAR 145 (C02R361X -00/00/0000) | NOT ELIGIBLE (POA COMPLIANCE TABLE -00/00/0000)</t>
  </si>
  <si>
    <t>EASA PART 145 (EASA.145.5899 -01/09/2022) | FAR 145 (SRXR430X -00/00/0000)</t>
  </si>
  <si>
    <t>60 IMPASSE DE VARSOVIE</t>
  </si>
  <si>
    <t>STS AVIATION SERVICES UK LIMITED</t>
  </si>
  <si>
    <t>6 MONKS WAY</t>
  </si>
  <si>
    <t>WA7 3GH</t>
  </si>
  <si>
    <t>EASA PART 145 (DE.145.0001 -00/00/0000) | FAR 145 (L0TY566Y -31/07/2022)</t>
  </si>
  <si>
    <t>BONZOM Frederick</t>
  </si>
  <si>
    <t>BRNIK-AERODROM</t>
  </si>
  <si>
    <t>HAMILTON SUNDSTRAND OF PUERTO RICO</t>
  </si>
  <si>
    <t>FELICIA INDUCTRIAL PARK</t>
  </si>
  <si>
    <t>SANTA ISABEL</t>
  </si>
  <si>
    <t>Puerto Rico</t>
  </si>
  <si>
    <t>EASA PART 145 (EASA.145.5649 -01/09/2022) | FAR 145 (QMTR753X -00/00/0000)</t>
  </si>
  <si>
    <t>NAA Maintenance Approval</t>
  </si>
  <si>
    <t>NAA Design-Production Approval</t>
  </si>
  <si>
    <t>QMS All</t>
  </si>
  <si>
    <t>ARP QMS Certification applicable</t>
  </si>
  <si>
    <t>QMS Considered</t>
  </si>
  <si>
    <t>Surveillance</t>
  </si>
  <si>
    <t>Supplier Type</t>
  </si>
  <si>
    <t>Group QR</t>
  </si>
  <si>
    <t>Group Type</t>
  </si>
  <si>
    <t>Group Type 2</t>
  </si>
  <si>
    <t>Supplier Strategy</t>
  </si>
  <si>
    <t>Category</t>
  </si>
  <si>
    <t>Contractual Coverage</t>
  </si>
  <si>
    <t>Comments on Contractual Coverage</t>
  </si>
  <si>
    <t>Requirements</t>
  </si>
  <si>
    <t>Comments on Requirements</t>
  </si>
  <si>
    <t>EN/AS/JISQ 9100 (10210499 -30/09/2022) | EORS (RANKING B -02/09/2017) | ISO 14001 (10062687 -31/05/2021)</t>
  </si>
  <si>
    <t>EN/AS/JISQ 9100 (17.331.3 -03/09/2022)</t>
  </si>
  <si>
    <t>EN/AS/JISQ 9100 (96-562-07 -12/05/2023)</t>
  </si>
  <si>
    <t>EN/AS/JISQ 9100 (A-725-AS -17/01/2023)</t>
  </si>
  <si>
    <t>EN/AS/JISQ 9100 (4403 -05/09/2023)</t>
  </si>
  <si>
    <t>EN/AS/JISQ 9110 (10277364 -02/07/2023)</t>
  </si>
  <si>
    <t>EN/AS/JISQ 9100 (3350 -06/02/2023)</t>
  </si>
  <si>
    <t>EN/AS/JISQ 9110 (FM 706316 -05/09/2022)</t>
  </si>
  <si>
    <t>EN/AS/JISQ 9100 (0Z571-AS10 -26/01/2023) | EORS (RANKING D -07/10/2019)</t>
  </si>
  <si>
    <t>EN/AS/JISQ 9100 (0027812 -30/09/2022) | EORS (RANKING A -21/11/2021) | ISO 14001 (10180752 -05/04/2022)</t>
  </si>
  <si>
    <t>EN/AS/JISQ 9110 (6M961-AS11 -24/10/2022)</t>
  </si>
  <si>
    <t>EN/AS/JISQ 9100 (FM 587689 -27/10/2022)</t>
  </si>
  <si>
    <t>EN/AS/JISQ 9120 (US013873-1 -04/11/2022)</t>
  </si>
  <si>
    <t>EN/AS/JISQ 9110 (SASA-004-01-20-1 -19/01/2023)</t>
  </si>
  <si>
    <t>EN/AS/JISQ 9120 (FS 726291 -06/08/2023) | ISO 9001 (FS 726291 -06/08/2023)</t>
  </si>
  <si>
    <t>EN/AS/JISQ 9110 (CERT-0136366 -19/09/2023)</t>
  </si>
  <si>
    <t>EN/AS/JISQ 9100 (2013/56202.5 -16/01/2023)</t>
  </si>
  <si>
    <t>EN/AS/JISQ 9120 (2010/39276.7 -19/12/2022) | ISO 9001 (2004/23608.9 -19/12/2022)</t>
  </si>
  <si>
    <t>EN/AS/JISQ 9100 (157699-2014-AQ-GER-D -23/07/2023) | ISO 14001 (10801219 -11/12/2022)</t>
  </si>
  <si>
    <t>EN/AS/JISQ 9110 (FS 606189 -14/08/2023)</t>
  </si>
  <si>
    <t>EN/AS/JISQ 9100 (15166 -18/12/2022)</t>
  </si>
  <si>
    <t>EN/AS/JISQ 9110 (216005 -25/08/2022)</t>
  </si>
  <si>
    <t>EN/AS/JISQ 9110 (C0245164-AS3 -02/12/2022)</t>
  </si>
  <si>
    <t>EN/AS/JISQ 9100 (7174259-REV0 -24/10/2022)</t>
  </si>
  <si>
    <t>EN/AS/JISQ 9100 (FS 620141 -10/07/2023) | EORS (RANKING C -12/07/2022)</t>
  </si>
  <si>
    <t>EN/AS/JISQ 9100 (AC_0237-02 -02/07/2023) | EORS (RANKING C -25/07/2019)</t>
  </si>
  <si>
    <t>EN/AS/JISQ 9100 (2016/73063.3 -26/10/2022) | ISO 9001 (2016/73062.3 -26/10/2022)</t>
  </si>
  <si>
    <t>EN/AS/JISQ 9100 (0011200 -31/12/2022)</t>
  </si>
  <si>
    <t>EN/AS/JISQ 9110 (159523-2014-AQ-SGP-A -06/10/2023)</t>
  </si>
  <si>
    <t>EN/AS/JISQ 9100 (8578850-REV0 -26/06/2023) | EORS (RANKING D -15/10/2021) | ISO 9001 (FR059303-1 -26/06/2023)</t>
  </si>
  <si>
    <t>EN/AS/JISQ 9110 (CERT-0134080 -30/03/2023)</t>
  </si>
  <si>
    <t>EN/AS/JISQ 9100 (GB99/50738 -24/07/2023)</t>
  </si>
  <si>
    <t>EN/AS/JISQ 9110 (10000365305-MSC-ANAB -25/06/2023)</t>
  </si>
  <si>
    <t>EN/AS/JISQ 9100 (64531-AS10 -14/09/2022)</t>
  </si>
  <si>
    <t>EN/AS/JISQ 9120 - ISO 9001</t>
  </si>
  <si>
    <t>EN/AS/JISQ 9100</t>
  </si>
  <si>
    <t>EN/AS/JISQ 9100 - ISO 14001</t>
  </si>
  <si>
    <t>EN/AS/JISQ 9110 - EN/AS/JISQ 9100 - ISO 9001 - ISO 14001</t>
  </si>
  <si>
    <t>EN/AS/JISQ 9110</t>
  </si>
  <si>
    <t>EN/AS/JISQ 9110 - EN/AS/JISQ 9100 - ISO 14001</t>
  </si>
  <si>
    <t>EN/AS/JISQ 9110 - EN/AS/JISQ 9100</t>
  </si>
  <si>
    <t>EN/AS/JISQ 9100 - ISO 9001</t>
  </si>
  <si>
    <t>ISO 14001</t>
  </si>
  <si>
    <t>EN/AS/JISQ 9120</t>
  </si>
  <si>
    <t>EN/AS/JISQ 9100 - EN/AS/JISQ 9110</t>
  </si>
  <si>
    <t>EN/AS/JISQ 9100 - ISO 9001 - ISO 14001</t>
  </si>
  <si>
    <t>EN/AS/JISQ 9100 - EN/AS/JISQ 9110 - ISO 14001</t>
  </si>
  <si>
    <t>OTHERS</t>
  </si>
  <si>
    <t>ISO 9001</t>
  </si>
  <si>
    <t>EN/AS/JISQ 9110 - EN/AS/JISQ 9100 - ISO 9001</t>
  </si>
  <si>
    <t>EN/AS/JISQ 9110 - ISO 9001</t>
  </si>
  <si>
    <t>EN/AS/JISQ 9110 - ISO 14001</t>
  </si>
  <si>
    <t>EN/AS/JISQ 9120 - EN/AS/JISQ 9110</t>
  </si>
  <si>
    <t>AEM LIMITED AVIATION S TOTAL ACCESSORY S</t>
  </si>
  <si>
    <t>STANSTED AIRPORT</t>
  </si>
  <si>
    <t>CM24 1RB</t>
  </si>
  <si>
    <t>STANSTED</t>
  </si>
  <si>
    <t>K8127</t>
  </si>
  <si>
    <t>EASA:DE.145.0482 - FAA:P2KY734J - CAAC:F04900356</t>
  </si>
  <si>
    <t>EASA:EASA.145.4728 - FAA:UCER345K - CAAC:F00100092</t>
  </si>
  <si>
    <t>EASA:FR.145.0676</t>
  </si>
  <si>
    <t>EASA:EASA.145.4016 - FAA:A23R362J</t>
  </si>
  <si>
    <t>EASA:FR.145.0750 - FAA:55EY761D</t>
  </si>
  <si>
    <t>EASA:DE.145.0383</t>
  </si>
  <si>
    <t>EASA:FR.145.0010 - FAA:CNFY912C</t>
  </si>
  <si>
    <t>EASA:FR.145.0010 - FAA:CNFY912C - TCCA:897-28 - CAAC:F03300161</t>
  </si>
  <si>
    <t>EASA:FR.145.0251</t>
  </si>
  <si>
    <t>EASA:FR.145.0045 - FAA:XP9Y806J</t>
  </si>
  <si>
    <t>EASA:FR.145.0100 - FAA:6BUY061C - CAAC:F03300443</t>
  </si>
  <si>
    <t>EASA:EASA.145.4095 - FAA:A3ZR709J</t>
  </si>
  <si>
    <t>EASA:UK.145.01256</t>
  </si>
  <si>
    <t>EASA:UK.145.00401</t>
  </si>
  <si>
    <t>EASA:EASA.145.5119 - FAA:VY1R575K</t>
  </si>
  <si>
    <t>EASA:EASA.145.4154 - FAA:A8PR221J</t>
  </si>
  <si>
    <t>EASA:DE.145.0021 - FAA:AGGY136K - TCCA:810-13</t>
  </si>
  <si>
    <t>EASA:EASA.145.4167 - FAA:A6GR410J - CAAC:F00100321</t>
  </si>
  <si>
    <t>EASA:FR.145.0189 - TCCA:807-21 - CAAC:F03300641</t>
  </si>
  <si>
    <t>EASA:DE.145.0177</t>
  </si>
  <si>
    <t>EASA:FR.145.0023 - FAA:A5XY398J - TCCA:899-03</t>
  </si>
  <si>
    <t>EASA:FR.145.0181 - FAA:U78Y370Y - CAAC:F03300512</t>
  </si>
  <si>
    <t>EASA:EASA.145.6052 - FAA:V5AR787J</t>
  </si>
  <si>
    <t>EASA:UK.145.00890 - FAA:NUYY653L - TCCA:812-08</t>
  </si>
  <si>
    <t>EASA:EASA.145.7022 - TCCA: 3-73 - CAAC:F01100618 - CAAS:TCCA 3-73 - HKCAD:TCCA 3-73</t>
  </si>
  <si>
    <t>EASA:EASA.145.4239 - FAA:XBIR995K</t>
  </si>
  <si>
    <t>EASA:EASA.145.4242 - FAA:UT3R905L</t>
  </si>
  <si>
    <t>EASA:DE.145.0166</t>
  </si>
  <si>
    <t>EASA:EASA.145.4259 - FAA:HA5R902M</t>
  </si>
  <si>
    <t>EASA:UK.145.00186 - FAA:B4PY038N</t>
  </si>
  <si>
    <t>EASA:EASA.145.6322 - FAA:6CER695B</t>
  </si>
  <si>
    <t>EASA:FR.145.0092</t>
  </si>
  <si>
    <t>EASA:ES.145.134 - FAA:3C3Y138B - TCCA:815-17 - CAAC:F03400636</t>
  </si>
  <si>
    <t>EASA:EASA.145.4312 - FAA:SF3R839L</t>
  </si>
  <si>
    <t>EASA:EASA.145.5907 - FAA:QWCR710X</t>
  </si>
  <si>
    <t>EASA:FR.145.0097 - FAA:O3MY953N - TCCA:813-43 - CAAC:F03300643</t>
  </si>
  <si>
    <t>EASA:FR.145.0254</t>
  </si>
  <si>
    <t>EASA:SE.145.0043 - FAA:33CY807B - TCCA:814-09</t>
  </si>
  <si>
    <t>EASA:DE.145.0276</t>
  </si>
  <si>
    <t>EASA:EASA.145.5315 - FAA:AB5R720M - CAAC:F00100530</t>
  </si>
  <si>
    <t>EASA:DE.145.0041 - FAA:B2WY697J - TCCA:897-14</t>
  </si>
  <si>
    <t>EASA:DE.145.0040 - FAA:E2FY307J - TCCA:804-09 - CAAC:F04900459</t>
  </si>
  <si>
    <t>EASA:EASA.145.4400 - FAA:RX3R831L</t>
  </si>
  <si>
    <t>EASA:EASA.145.5037 - FAA:VK6R687N</t>
  </si>
  <si>
    <t>EASA:EASA.145.4401 - FAA:E1TR150N</t>
  </si>
  <si>
    <t>EASA:EASA.145.4999 - FAA:EF4R152M - CAAC:F00100596</t>
  </si>
  <si>
    <t>EASA:EASA.145.5067 - FAA:AG4R049M - CAAC:F00100091</t>
  </si>
  <si>
    <t>EASA:DE.145.0153 - TCCA:810-11</t>
  </si>
  <si>
    <t>EASA:FR.145.0020 - FAA:E63Y863N - TCCA:817-09 - CAAC:F03300726</t>
  </si>
  <si>
    <t>EASA:DE.145.0029 - FAA:E3ZY906Y - TCCA:897-24 - CAAC:F04900573</t>
  </si>
  <si>
    <t>EASA:DE.145.0251 - FAA:E0UY429Y</t>
  </si>
  <si>
    <t>EASA:AT.145.040 - FAA:6FOY865C - TCCA:813-40</t>
  </si>
  <si>
    <t>EASA:NL.145.1358 - FAA:4FKY163D - TCCA:817-11</t>
  </si>
  <si>
    <t>EASA:NL.145.1308 - FAA:FEOY206X - TCCA:800-09</t>
  </si>
  <si>
    <t>EASA:UK.145.01326 - FAA:G7EY819J - TCCA:814-06 - CAAC:F04400442</t>
  </si>
  <si>
    <t>EASA:EASA.145.4454 - FAA:UFHR760L - CAAC:F00100106</t>
  </si>
  <si>
    <t>EASA:EASA.145.4459 - FAA:G3ER114N</t>
  </si>
  <si>
    <t>EASA:EASA.145.0070 - FAA:GJPY002L - CAAC:D.300001 - CAAS:AWI/276 - HKCAD:CAAC D.300001</t>
  </si>
  <si>
    <t>EASA:FR.145.0051 - FAA:O6SY947N - TCCA:897-22 - CAAC:F03300551</t>
  </si>
  <si>
    <t>EASA:DE.145.0117 - FAA:6GLY435C - TCCA:814-12</t>
  </si>
  <si>
    <t>EASA:NL.145.1160 - FAA:CW5Y794M - TCCA:806-08 - CAAC:F03100419</t>
  </si>
  <si>
    <t>EASA:EASA.145.4983 - FAA:SI3R842L - CAAC:F00100007</t>
  </si>
  <si>
    <t>EASA:EASA.145.4908 - FAA:JW2R941K - CAAC:F00100088</t>
  </si>
  <si>
    <t>EASA:EASA.145.4905 - FAA:JW23941K - CAAC:F00100098</t>
  </si>
  <si>
    <t>EASA:DE.145.0246</t>
  </si>
  <si>
    <t>EASA:EASA.145.4494 - FAA:FQSR015K - CAAC:F00100462</t>
  </si>
  <si>
    <t>EASA:DE.145.0022 - FAA:QJ1Y428K - TCCA:898-02</t>
  </si>
  <si>
    <t>EASA:EASA.145.7011 - TCCA: 1-70 - CAAC:F01100157 - CAAS:TCCA 1-70 - HKCAD:TCCA 1-70</t>
  </si>
  <si>
    <t>EASA:UK.145.00879 - FAA:XYWY939L - TCCA:803-09</t>
  </si>
  <si>
    <t>EASA:EASA.145.4538 - FAA:KE2R949K - CAAC:F00100463</t>
  </si>
  <si>
    <t>EASA:EASA.145.4132 - FAA:HZ3R571L - CAAC:F00100142</t>
  </si>
  <si>
    <t>EASA:EASA.145.4136 - FAA:ZN3R030M</t>
  </si>
  <si>
    <t>EASA:EASA.145.4140 - FAA:PR2R093L - CAAC:F00100519</t>
  </si>
  <si>
    <t>EASA:EASA.145.4136 - FAA:ZN3R030M - CAAC:F00100067</t>
  </si>
  <si>
    <t>EASA:EASA.145.4135 - FAA:DO3R456L</t>
  </si>
  <si>
    <t>EASA:UK.145.00683 - FAA:IM7Y581J - TCCA:809-17 - CAAC:F04400570</t>
  </si>
  <si>
    <t>EASA:FR.145.0005 - FAA:HY9Y679J - TCCA:814-02 - CAAC:F03300622</t>
  </si>
  <si>
    <t>EASA:FR.145.0248 - FAA:INSY306X</t>
  </si>
  <si>
    <t>EASA:UK.145.00846 - FAA:I8QY183X - TCCA:808-16</t>
  </si>
  <si>
    <t>EASA:EASA.145.6307 - FAA:I39R153Y</t>
  </si>
  <si>
    <t>EASA:EASA.145.0091 - FAA:RJAY596H</t>
  </si>
  <si>
    <t>EASA:EASA.145.4460 - FAA:K3GR925J</t>
  </si>
  <si>
    <t>EASA:DE.145.0286 - FAA:K30Y905Y - CAAC:F04900446</t>
  </si>
  <si>
    <t>EASA:EASA.145.4718 - FAA:YZ4R692M - CAAC:F00100517</t>
  </si>
  <si>
    <t>EASA:EASA.145.5178 - FAA:KU7R407Y - CAAC:F00100495</t>
  </si>
  <si>
    <t>EASA:FR.145.0200 - FAA:L5HY347Y - TCCA:899-08</t>
  </si>
  <si>
    <t>EASA:FR.145.0164 - FAA:LC9Y658J</t>
  </si>
  <si>
    <t>EASA:FR.145.0124</t>
  </si>
  <si>
    <t>EASA:FR.145.0071 - FAA:B8EY828J - TCCA:897-36 - CAAC:F03300173</t>
  </si>
  <si>
    <t>EASA:EASA.145.5439 - FAA:L3RR193H - CAAC:F00100650</t>
  </si>
  <si>
    <t>EASA:DE.145.0114 - FAA:L9TY928N - TCCA:810-15</t>
  </si>
  <si>
    <t>EASA:FR.145.0549 - FAA:6GXY218C - TCCA:817-22</t>
  </si>
  <si>
    <t>EASA:FR.145.0613</t>
  </si>
  <si>
    <t>EASA:EASA.145.4437 - FAA:HD6R583N - CAAC:F00100424</t>
  </si>
  <si>
    <t>EASA:EASA.145.5016 - FAA:WL3R949L</t>
  </si>
  <si>
    <t>EASA:FR.145.0024 - FAA:M3BY435J - TCCA:897-29 - CAAC:F03300169</t>
  </si>
  <si>
    <t>EASA:UK.145.00642 - FAA:DQDY021K - TCCA:807-5</t>
  </si>
  <si>
    <t>EASA:IT.145.0027 - FAA:M1IY110Y - TCCA:806-09 - CAAC:F03900591</t>
  </si>
  <si>
    <t>EASA:EASA.145.4684 - FAA:ND13344K - CAAC:F00100625</t>
  </si>
  <si>
    <t>EASA:EASA.145.4685 - FAA:ND1R344K - CAAC:F00100327</t>
  </si>
  <si>
    <t>EASA:UK.145.00592 - FAA:H9EY443N - TCCA:807-07</t>
  </si>
  <si>
    <t>EASA:FR.145.0324 - FAA:NDLY401X</t>
  </si>
  <si>
    <t>EASA:DE.145.0137 - FAA:NM7Y454J - TCCA:898-08 - CAAC:F04900355</t>
  </si>
  <si>
    <t>EASA:EASA.145.4701 - FAA:EZ2R812K - CAAC:F00100013</t>
  </si>
  <si>
    <t>EASA:EASA.145.5199 - FAA:EOTR292I</t>
  </si>
  <si>
    <t>EASA:EASA.145.4727 - FAA:AU4R063M - CAAC:F00100066</t>
  </si>
  <si>
    <t>EASA:EASA.145.4732 - FAA:FX1R156K - CAAC:F00100362</t>
  </si>
  <si>
    <t>EASA:EASA.145.5099 - FAA:A7XR608J - CAAC:F00100119</t>
  </si>
  <si>
    <t>EASA:FR.145.0217</t>
  </si>
  <si>
    <t>EASA:FR.145.0513 - FAA:F87Y584X</t>
  </si>
  <si>
    <t>EASA:DE.145.0308 - TCCA:813-31</t>
  </si>
  <si>
    <t>EASA:EASA.145.4755 - FAA:IL4R262M - CAAC:F00100058</t>
  </si>
  <si>
    <t>EASA:FR.145.0034 - FAA:R0FY522Y - TCCA:898-38 - CAAC:F03300475</t>
  </si>
  <si>
    <t>EASA:FR.145.0589</t>
  </si>
  <si>
    <t>EASA:FR.145.0121 - FAA:R9CY096N - TCCA:802-05 - CAAC:F03300420</t>
  </si>
  <si>
    <t>EASA:EASA.145.5442 - FAA:R4WR962J</t>
  </si>
  <si>
    <t>EASA:EASA.145.4831 - FAA:PA3R755L - CAAC:F00100374</t>
  </si>
  <si>
    <t>EASA:EASA.145.4833 - FAA:RJLR391K - CAAC:F00100104</t>
  </si>
  <si>
    <t>EASA:FR.145.0135</t>
  </si>
  <si>
    <t>EASA:FR.145.0099 - FAA:S8UY168N - TCCA:814-28 - CAAC:F03300422</t>
  </si>
  <si>
    <t>EASA:FR.145.0090 - FAA:ENZY920N - TCCA:808-15</t>
  </si>
  <si>
    <t>EASA:FR.145.0317 - FAA:5F4Y303D</t>
  </si>
  <si>
    <t>EASA:EASA.145.4865 - FAA:FI1R140K - CAAC:F00100610</t>
  </si>
  <si>
    <t>EASA:EASA.145.4251 - FAA:CV1R074K - CAAC:F00100016</t>
  </si>
  <si>
    <t>EASA:IT.145.0287 - FAA:3S3Y436B - TCCA:818-14</t>
  </si>
  <si>
    <t>EASA:UK.145.00413</t>
  </si>
  <si>
    <t>EASA:DE.145.0080 - FAA:5W3Y902C - TCCA:810-06</t>
  </si>
  <si>
    <t>EASA:UK.145.01230 - FAA:DQD4021K - TCCA:808-10</t>
  </si>
  <si>
    <t>EASA:EASA.145.4386 - FAA:GK6R564N - CAAC:F00100727</t>
  </si>
  <si>
    <t>EASA:UK.145.00083 - FAA:XSMY589K - TCCA:899-10 - CAAC:F04400188</t>
  </si>
  <si>
    <t>EASA:FR.145.0013 - FAA:NM1Y353K - TCCA:0897-10 - CAAC:F03300160 - CAAS:AWI/234</t>
  </si>
  <si>
    <t>EASA:BE.145.02 - FAA:SQGY459X</t>
  </si>
  <si>
    <t>EASA:FR.145.0592 - FAA:SO9Y450J</t>
  </si>
  <si>
    <t>EASA:EASA.145.4998 - FAA:FH3R501L - CAAC:F00100748</t>
  </si>
  <si>
    <t>EASA:FR.145.0130</t>
  </si>
  <si>
    <t>EASA:FR.145.0064 - FAA:O53Y121X - TCCA:805-05 - CAAC:F03300174</t>
  </si>
  <si>
    <t>EASA:BE.145.03 - FAA:T2EY708J</t>
  </si>
  <si>
    <t>EASA:EASA.145.4617 - FAA:GR3R537L - CAAC:F00100432</t>
  </si>
  <si>
    <t>EASA:FR.145.0037 - FAA:Y6TY142X - TCCA:815-03 - CAAC:F03300642</t>
  </si>
  <si>
    <t>EASA:FR.145.0113 - FAA:DI5Y806M - TCCA:897-44 - CAAC:F03300168</t>
  </si>
  <si>
    <t>EASA:EASA.145.4976 - FAA:UILR299K - CAAC:F00100116</t>
  </si>
  <si>
    <t>EASA:CH.145.0251 - FAA:VM8Y694J - TCCA:808-09 - CAAC:F04100004</t>
  </si>
  <si>
    <t>EASA:EASA.145.5015 - FAA:QG3R788L - CAAC:F00100454</t>
  </si>
  <si>
    <t>EASA:UK.145.00817 - FAA:VS6Y531J - TCCA:807-11 - CAAC:F04400198</t>
  </si>
  <si>
    <t>EASA:FR.145.0375</t>
  </si>
  <si>
    <t>EASA:DE.145.0065</t>
  </si>
  <si>
    <t>EASA:UK.145.00224 - FAA:DQD2021K - TCCA:898-45 - CAAC:F04400590</t>
  </si>
  <si>
    <t>EASA:DE.145.0041 - FAA:B2WY697J</t>
  </si>
  <si>
    <t>EASA:DE.145.0034 - FAA:LA7Y195J - TCCA:898-09 - CAAC:F04900357</t>
  </si>
  <si>
    <t>EASA:EASA.145.4642 - FAA:GZFR112K - CAAC:F00100395</t>
  </si>
  <si>
    <t>EASA:DE.145.0236</t>
  </si>
  <si>
    <t>EASA:UK.145.01307 - FAA:L3LY498J - TCCA:813-08 - CAAC:F04400490</t>
  </si>
  <si>
    <t>EASA:EASA.145.4561 - FAA:B5IR685J</t>
  </si>
  <si>
    <t>EASA:EASA.145.5441 - FAA:L3ZR029X - CAAC:F00100430</t>
  </si>
  <si>
    <t>EASA:FR.145.0603 - FAA:I7FY064B - TCCA:817-16 - CAAC:F03300751</t>
  </si>
  <si>
    <t>EASA:EASA.145.5894 - FAA:G40R940N - CAAC:F00100555</t>
  </si>
  <si>
    <t>EASA:EASA.145.4682 - FAA:MO8R749J</t>
  </si>
  <si>
    <t>EASA:EASA.145.4635 - FAA:BP4R084M</t>
  </si>
  <si>
    <t>EASA:EASA.145.0080 - FAA:NE1Y345K - TCCA:HKCAD DAI/1/853 - CAAC:HKCAD DAI/1/853 - CAAS:HKCAD DAI/1/853 - HKCAD:DAI/1/853</t>
  </si>
  <si>
    <t>EASA:EASA.145.0143 - FAA:TX9Y778Y - CAAC:D.200029 - CAAS:AWI/143 - HKCAD:DAI/89/1295</t>
  </si>
  <si>
    <t>EASA:ES.145.130 - FAA:6PRY863B</t>
  </si>
  <si>
    <t>EASA:UK.145.00870 - FAA:NOUY522K - TCCA:898-21 - CAAC:F04400604</t>
  </si>
  <si>
    <t>EASA:EASA.145.5461 - FAA:PB9R229N</t>
  </si>
  <si>
    <t>EASA:DE.145.0373 - FAA:Z3QY192Y - TCCA:805-01</t>
  </si>
  <si>
    <t>EASA:EASA.145.5484 - FAA:C02R361X</t>
  </si>
  <si>
    <t>EASA:EASA.145.5074 - FAA:SR0R383N</t>
  </si>
  <si>
    <t>EASA:EASA.145.5375 - FAA:5PHR421B - CAAC:F00100536</t>
  </si>
  <si>
    <t>EASA:EASA.145.5617 - FAA:G84R924X - CAAC:F00100747</t>
  </si>
  <si>
    <t>EASA:FR.145.0011 - FAA:CNF5912C - TCCA:898-35 - CAAC:F03300164 - CAAS:AWI/238</t>
  </si>
  <si>
    <t>EASA:FR.145.0115 - FAA:3XAY938B - TCCA:897-35 - CAAC:F03300170</t>
  </si>
  <si>
    <t>EASA:FR.145.0682</t>
  </si>
  <si>
    <t>EASA:EASA.145.5141 - FAA:I2XR205O</t>
  </si>
  <si>
    <t>EASA:EASA.145.5899 - FAA:SRXR430X</t>
  </si>
  <si>
    <t>EASA:EASA.145.0140 - FAA:VGQY082L - TCCA:CAAS AWI/102 - CAAC:F06500267 - CAAS:AWI/102 - HKCAD:CAAS AWI/102</t>
  </si>
  <si>
    <t>EASA:FR.145.0519 - FAA:HFPY615X - TCCA:804-05 - CAAC:F03300417</t>
  </si>
  <si>
    <t>EASA:DE.145.0913</t>
  </si>
  <si>
    <t>EASA:EASA.145.0148 - FAA:S7QY329N - TCCA:CAAS AWI/092 - CAAC:F06500270 - CAAS:AWI/092</t>
  </si>
  <si>
    <t>EASA:EASA.145.4729 - FAA:HO5R916M - CAAC:F00100583</t>
  </si>
  <si>
    <t>EASA:EASA.145.0076 - FAA:FT4Y192M - TCCA:CAAS AWI/38 - CAAC:F06500255 - CAAS:AWI/38</t>
  </si>
  <si>
    <t>EASA:FR.145.0547 - FAA:3FTY077B</t>
  </si>
  <si>
    <t>EASA:EASA.145.4826 - FAA:C5MR761J - CAAC:F00100597</t>
  </si>
  <si>
    <t>EASA:FR.145.0179 - FAA:T2HY482J - TCCA:899-15 - CAAC:F03300340</t>
  </si>
  <si>
    <t>EASA:FR.145.0001 - FAA:OEQY747L - TCCA:897-41 - CAAC:F03300162</t>
  </si>
  <si>
    <t>EASA:FR.145.0154 - FAA:Z6OY124B</t>
  </si>
  <si>
    <t>EASA:FR.145.0004 - FAA:XD6Y805J - TCCA:804-04</t>
  </si>
  <si>
    <t>EASA:EASA.145.0370 - FAA:6GCY486B</t>
  </si>
  <si>
    <t>EASA:EASA.145.6515 - FAA:7TGR214C</t>
  </si>
  <si>
    <t>EASA:EASA.145.0151 - FAA:LX9Y496N - CAAC:D.200030 - CAAS:AWI/150 - HKCAD:CAAC D.200030</t>
  </si>
  <si>
    <t>EASA:FR.145.0548 - FAA:N6QY222B</t>
  </si>
  <si>
    <t>EASA:FR.145.0627 - FAA:3TRY410C</t>
  </si>
  <si>
    <t>EASA:DE.145.0433 - FAA:D3LY360C - TCCA:809-10</t>
  </si>
  <si>
    <t>EASA:EASA.145.0117 - FAA:R5CY955J - TCCA:CAAS AWI/138 - CAAC:F06500271 - CAAS:AWI/138</t>
  </si>
  <si>
    <t>EASA:FR.145.0257 - FAA:EQ7Y946N - TCCA:898-16 - CAAC:F03300572</t>
  </si>
  <si>
    <t>EASA:EASA.145.0356 - FAA:MXVY496Y</t>
  </si>
  <si>
    <t>EASA:DE.145.0438</t>
  </si>
  <si>
    <t>EASA:EASA.145.5045 - FAA:CN5R558J</t>
  </si>
  <si>
    <t>EASA:EASA.145.0095 - FAA:6LSY577B - TCCA:CAAS AWI/152 - CAAC:F06500280 - CAAS:AWI/152 - HKCAD:CAAS AWI/152</t>
  </si>
  <si>
    <t>EASA:EASA.145.4185 - FAA:QX3R805L</t>
  </si>
  <si>
    <t>EASA:EASA.145.4295 - FAA:KA4R303M - CAAC:F00100410</t>
  </si>
  <si>
    <t>EASA:EASA.145.4336 - FAA:RE3R812L - CAAC:F00100484</t>
  </si>
  <si>
    <t>EASA:EASA.145.0349 - FAA:36AY986Y - TCCA:CAAS AWI/218 - CAAC:F06500469 - CAAS:AWI/218</t>
  </si>
  <si>
    <t>EASA:EASA.145.4333 - FAA:HB4R226M</t>
  </si>
  <si>
    <t>EASA:EASA.145.0383 - FAA:B7FY251J - CAAS:HKCAD AI/79/893 - HKCAD:AI/79/893</t>
  </si>
  <si>
    <t>EASA:UK.145.00242 - FAA:OBDY389L</t>
  </si>
  <si>
    <t>EASA:EASA.145.5649 - FAA:QMTR753X</t>
  </si>
  <si>
    <t>EASA:EASA.145.7155 - TCCA:325-92 - CAAC:F01100619 - CAAS:TCCA 325-92 - HKCAD:TCCA 325-92</t>
  </si>
  <si>
    <t>EASA:DE.145.0041 - FAA:B2WY697J - TCCA:897-14 - CAAC:F03300453</t>
  </si>
  <si>
    <t>EASA:EASA.145.4644 - FAA:DA2R761K - CAAC:F00100015</t>
  </si>
  <si>
    <t>EASA:EASA.145.4636 - FAA:BH4R076M</t>
  </si>
  <si>
    <t>EASA:EASA.145.4618 - FAA:KE7R393J</t>
  </si>
  <si>
    <t>EASA:IT.145.0027 - FAA:M1IY110Y - CAAC:F03900591</t>
  </si>
  <si>
    <t>EASA:CH.145.0363</t>
  </si>
  <si>
    <t>EASA:EASA.145.5044 - FAA:M74R907N - CAAC:F00100640</t>
  </si>
  <si>
    <t>EASA:EASA.145.6102 - FAA:S1WR141N</t>
  </si>
  <si>
    <t>EASA:FR.145.0466</t>
  </si>
  <si>
    <t>EASA:EASA.145.4057 - FAA:QCSR241K</t>
  </si>
  <si>
    <t>EASA:PL.145.007 - FAA:2HSY240B - TCCA:812-04 - CAAC:F04800611 - CAAS:AWI/364</t>
  </si>
  <si>
    <t>EASA:EASA.145.6093 - FAA:QVTR903L - TCCA:FAA QVTR903L</t>
  </si>
  <si>
    <t>EASA:EASA.145.0535 - FAA:6HMY363B - CAAC:F06000550</t>
  </si>
  <si>
    <t>EASA:FR.145.0130 - FAA:T3FY463X - TCCA:809-05 - CAAC:F03300177</t>
  </si>
  <si>
    <t>EASA:EASA.145.6174 - FAA:2AMR683Y</t>
  </si>
  <si>
    <t>EASA:EASA 145.6315 - FAA:2CXR457B</t>
  </si>
  <si>
    <t>EASA:UK.145.01375 - FAA:715Y200D</t>
  </si>
  <si>
    <t>EASA:EASA.145.6233 - FAA:WUWR327L</t>
  </si>
  <si>
    <t>EASA:IE.145.008 - FAA:NWXY386L - TCCA:802-07 - CAAC:F35300310</t>
  </si>
  <si>
    <t>EASA:EASA.145.5027 - FAA:UU2R227L - CAAC:F00100102</t>
  </si>
  <si>
    <t>EASA:EASA.145.5541 - FAA:HT7R143J</t>
  </si>
  <si>
    <t>EASA:DE.145.0001 - FAA:DLAY225D - CAAC:F04900352 - CAAS:AWI/269</t>
  </si>
  <si>
    <t>EASA:DE.145.0001 - FAA:L0TY566Y</t>
  </si>
  <si>
    <t>EASA:FR.145.0049 - FAA:BD5Y749M - TCCA:808-13 - CAAC:F03300630</t>
  </si>
  <si>
    <t>EASA:UK.145.01009 - FAA:RQ6Y406C</t>
  </si>
  <si>
    <t>EASA:FR.145.0175 - FAA:VKQY935X - TCCA:807-06 - CAAC:F03300508</t>
  </si>
  <si>
    <t>EASA:PL.145.010 - FAA:2HWY796C - TCCA:815-21 - CAAC:F04800774</t>
  </si>
  <si>
    <t>EASA:EASA.145.4363 - FAA:YCWR993K</t>
  </si>
  <si>
    <t>EASA:EASA.145.0509 - FAA:VYDY763K - TCCA:CAAS AWI/167 - CAAC:F06500290 - CAAS:AWI/167</t>
  </si>
  <si>
    <t>EASA:EASA.145.0350 - FAA:OQYY378Y - TCCA:CAAS AWI/215 - CAAC:F06500435 - CAAS:AWI/215</t>
  </si>
  <si>
    <t>EASA:EASA.145.0363 - FAA:UAPY522Y - CAAC:F06600488 - CAAS:AWI/243</t>
  </si>
  <si>
    <t>EASA:FR.145.0745 - FAA:V45Y126B</t>
  </si>
  <si>
    <t>EASA:EASA.145.6553 - FAA:K1KR903X</t>
  </si>
  <si>
    <t>EASA:EASA.145.0145 - FAA:T2ZY563Y - CAAC:F06500275 - CAAS:AWI/165</t>
  </si>
  <si>
    <t>EASA:EASA.145.4711 - FAA:WE2R263L - CAAC:F00100529</t>
  </si>
  <si>
    <t>EASA:EASA.145.7012 - TCCA:20-91 - CAAC:F01100537 - CAAS:TCCA 20-91 - HKCAD:TCCA 20-91</t>
  </si>
  <si>
    <t>EASA:EASA.145.7098 - TCCA:20-00 - CAAC:F01100154 - HKCAD:TCCA 20-00</t>
  </si>
  <si>
    <t>EASA:EASA.145.4977 - FAA:SMVR502K - CAAC:F00100149</t>
  </si>
  <si>
    <t>EASA:EASA.145.4184 - FAA:XIUR593K - CAAC:F00100647</t>
  </si>
  <si>
    <t>EASA:EASA.145.5635 - FAA:J2YR078X</t>
  </si>
  <si>
    <t>EASA:EASA.145.7048 - TCCA: 12-87</t>
  </si>
  <si>
    <t>EASA:FR.145.0211 - FAA:E48Y118X</t>
  </si>
  <si>
    <t>EASA:EASA.145.4255 - FAA:B4GR448J</t>
  </si>
  <si>
    <t>EASA:EASA.145.4511 - FAA:YIUR064J</t>
  </si>
  <si>
    <t>EASA:EASA.145.7213 - TCCA:35-03 - CAAS:TCCA 35-03</t>
  </si>
  <si>
    <t>EASA:EASA.145.4138 - FAA:A8LR406J - CAAC:F00100396</t>
  </si>
  <si>
    <t>EASA:DE.145.0070</t>
  </si>
  <si>
    <t>EASA:EASA.145.5893 - FAA:GPYR474X - CAAC:F00100391</t>
  </si>
  <si>
    <t>EASA:EASA.145.4891 - FAA:MZAR013L</t>
  </si>
  <si>
    <t>EASA:FR.145.0024</t>
  </si>
  <si>
    <t>EASA:EASA.145.0784 - FAA:8HOY818C - CAAC:D.200024 - HKCAD:CAAC D.200024</t>
  </si>
  <si>
    <t>EASA:EASA.145.6639 - FAA:9RIR104C</t>
  </si>
  <si>
    <t>EASA:EASA.145.0796 - FAA:Z5RY553Y</t>
  </si>
  <si>
    <t>EASA:FR.145.0181 - FAA:78Y370Y - TCCA:808-01 - CAAC:F03300512</t>
  </si>
  <si>
    <t>EASA:EASA.145.4603 - FAA:VKUR823L - CAAC:F00100581</t>
  </si>
  <si>
    <t>EASA:BE.145.25 - FAA:7EBY844C</t>
  </si>
  <si>
    <t>EASA:EASA.145.0739 - FAA:3INY141B</t>
  </si>
  <si>
    <t>EASA:UK.145.00608 - FAA:WOWY588K - TCCA:808-21 - CAAC:F04400593</t>
  </si>
  <si>
    <t>EASA:UK.145.00126 - FAA:TQGY206K - TCCA:897-31</t>
  </si>
  <si>
    <t>EASA:UK.145.01272 - FAA:O6RY005B</t>
  </si>
  <si>
    <t>EASA:EASA.145.6139 - FAA:DBBR269X</t>
  </si>
  <si>
    <t>EASA:EASA.145.0420 - FAA:24AY707Y - TCCA:FAA 24AY707Y - CAAC:F05200546 - CAAS:AWI/360</t>
  </si>
  <si>
    <t>EASA:EASA.145.4622 - FAA:OB2R051L - CAAC:F00100373</t>
  </si>
  <si>
    <t>EASA:EASA.145.7302 - TCCA:44-16 - CAAS:TCCA 44-16 - HKCAD:TCCA 44-16</t>
  </si>
  <si>
    <t>EASA:EASA.145.6101 - FAA:S7GR035N</t>
  </si>
  <si>
    <t>EASA:UK.145.00518 - FAA:WL5Y964N</t>
  </si>
  <si>
    <t>EASA:UK.145.01053 - FAA:Z5KY074B - TCCA:807-19</t>
  </si>
  <si>
    <t>EASA:UK.145.01251 - FAA:6UAY331C</t>
  </si>
  <si>
    <t>EASA:EASA.145.4334 - FAA:NZ2R049L - CAAC:F00100577</t>
  </si>
  <si>
    <t>EASA:SI.145.100</t>
  </si>
  <si>
    <t>EASA:EASA.145.6475 - FAA:6T9R165C - CAAC:F00100720</t>
  </si>
  <si>
    <t>EASA:CH.145.0200 - FAA:33SY148B - CAAC:F06000761</t>
  </si>
  <si>
    <t>EASA:DE.145.0001 - FAA:DLAY225D</t>
  </si>
  <si>
    <t>EASA:EASA.145.0864 - FAA:7OOY520D - TCCA:CAAS AWI/388 - CAAS:AWI/388</t>
  </si>
  <si>
    <t>EASA:EASA.145.5057 - FAA:W7LR106O</t>
  </si>
  <si>
    <t>EASA:EASA.145.4576 - FAA:XM2R297L</t>
  </si>
  <si>
    <t>EASA:EASA.145.5594 - FAA:PU7R1470 - CAAC:F17870742</t>
  </si>
  <si>
    <t>EASA 21G:DE.21G.0257</t>
  </si>
  <si>
    <t>EASA 21G:FR.21G.0049</t>
  </si>
  <si>
    <t>EASA 21G:DE.21G.0201</t>
  </si>
  <si>
    <t>EASA 21J:EASA.21J.027 - EASA 21G:FR.21G.0178</t>
  </si>
  <si>
    <t>EASA 21G:FR.21G.0068</t>
  </si>
  <si>
    <t>EASA 21G:FR.21G.0071</t>
  </si>
  <si>
    <t>EASA 21G:UK.21G.2148</t>
  </si>
  <si>
    <t>EASA 21G:UK.21G.2542</t>
  </si>
  <si>
    <t>EASA 21G:DE.21G.0099</t>
  </si>
  <si>
    <t>EASA 21G:FR.21G.0075</t>
  </si>
  <si>
    <t>EASA 21G:DE.21G.0094</t>
  </si>
  <si>
    <t>EASA 21G:POA COMPLIANCE TABLE</t>
  </si>
  <si>
    <t>EASA 21G:FR.21G.0028</t>
  </si>
  <si>
    <t>EASA 21G:FR.21G.0116</t>
  </si>
  <si>
    <t>FAR 21:5-001-5585-0003</t>
  </si>
  <si>
    <t>EASA 21G:UK.21G.2385</t>
  </si>
  <si>
    <t>FAR 21:LETTER OF DEC 16, 1994</t>
  </si>
  <si>
    <t>EASA 21G:DE.21G.0075</t>
  </si>
  <si>
    <t>EASA 21G:UK.21G.2110</t>
  </si>
  <si>
    <t>EASA 21G:FR.21G.0043</t>
  </si>
  <si>
    <t>EASA 21G:ES.21G.0005</t>
  </si>
  <si>
    <t>FAR 21:MMF-465-100 - EASA 21G:POA COMPLIANCE TABLE</t>
  </si>
  <si>
    <t>EASA 21G:FR.21G.0167</t>
  </si>
  <si>
    <t>EASA 21G:FR.21G.0053</t>
  </si>
  <si>
    <t>EASA 21G:SE.21G.0004</t>
  </si>
  <si>
    <t>EASA 21G:FR.21G.0018</t>
  </si>
  <si>
    <t>FAR 21:DE.21G.0027 - EASA 21G:DE.21G.0027</t>
  </si>
  <si>
    <t>FAR 21:413NM - EASA 21G:DE.21G.0027</t>
  </si>
  <si>
    <t>EASA 21G:UK.21G.2120</t>
  </si>
  <si>
    <t>EASA 21J:EASA.21J.054 - EASA 21G:DE.21G.0005</t>
  </si>
  <si>
    <t>FAA PMA:PQ0753NE</t>
  </si>
  <si>
    <t>FAR 21:AG4R049M</t>
  </si>
  <si>
    <t>EASA 21G:DE.21G.0044</t>
  </si>
  <si>
    <t>FAA PMA:PMA PQ1492CE</t>
  </si>
  <si>
    <t>FAR 21:FR.21G.0014 - EASA 21G:FR.21G.0014</t>
  </si>
  <si>
    <t>EASA 21G:DE.21G.0037 - FAA PMA:DOA POA NEW COMPANY NAME</t>
  </si>
  <si>
    <t>EASA 21J:DO-PO AGREEMENT D11001005 - EASA 21G:EASA.21G.0070</t>
  </si>
  <si>
    <t>EASA 21J:EASA.21J.276 - EASA 21G:AT.21G.002</t>
  </si>
  <si>
    <t>EASA 21J:EASA.21J.667 - EASA 21G:NL.21G.2358</t>
  </si>
  <si>
    <t>EASA 21G:POA COMPLIANCE TABLE_FOKKER</t>
  </si>
  <si>
    <t>EASA 21G:UK.21G.2672</t>
  </si>
  <si>
    <t>EASA 21G:FR.21G.0066</t>
  </si>
  <si>
    <t>EASA 21G:FR.21G.0015</t>
  </si>
  <si>
    <t>EASA 21G:DE.21G.0046</t>
  </si>
  <si>
    <t>FAR 21:PQ109NE-D</t>
  </si>
  <si>
    <t>EASA 21G:DE.21G.0082</t>
  </si>
  <si>
    <t>EASA 21G:NONE</t>
  </si>
  <si>
    <t>FAA PMA:POA COMPLIANCE TABLE</t>
  </si>
  <si>
    <t>FAA PMA:PQ1354NM</t>
  </si>
  <si>
    <t>FAR 21:413NM</t>
  </si>
  <si>
    <t>FAR 21:FAA PT21.HAQM</t>
  </si>
  <si>
    <t>EASA 21G:UK.21G.2204</t>
  </si>
  <si>
    <t>EASA 21G:FR.21G.0145</t>
  </si>
  <si>
    <t>EASA 21G:UK.21G.2347</t>
  </si>
  <si>
    <t>EASA 21G:FR.21G.0005</t>
  </si>
  <si>
    <t>FAR 21:NONE - EASA 21G:POA COMPLIANCE TABLE</t>
  </si>
  <si>
    <t>EASA 21J:EASA.21J.002 - EASA 21G:EASA.21G.0001</t>
  </si>
  <si>
    <t>EASA 21G:FR.21G.0064</t>
  </si>
  <si>
    <t>EASA 21G:FR.21G.0090</t>
  </si>
  <si>
    <t>EASA 21G:FR.21G.0070</t>
  </si>
  <si>
    <t>EASA 21G:FR.21G.0024</t>
  </si>
  <si>
    <t>EASA 21G:DE.21G.0104</t>
  </si>
  <si>
    <t>EASA 21G:FR.21G.0059 + POA COMPLIANCE TABLE</t>
  </si>
  <si>
    <t>EASA 21J:EASA.21J.019 - EASA 21G:DE.21G.0047</t>
  </si>
  <si>
    <t>EASA 21G:FR.21G.0078</t>
  </si>
  <si>
    <t>FAR 21:PQ1895NM-D</t>
  </si>
  <si>
    <t>FAR 21:P20303NM</t>
  </si>
  <si>
    <t>EASA 21G:FR.21G.0047</t>
  </si>
  <si>
    <t>EASA 21G:UK.21G.2136</t>
  </si>
  <si>
    <t>EASA 21G:IT.21G.0033</t>
  </si>
  <si>
    <t>EASA 21G:UK.21G.2075</t>
  </si>
  <si>
    <t>EASA 21G:DE.21G.0089</t>
  </si>
  <si>
    <t>FAR 21:PQ1268NM</t>
  </si>
  <si>
    <t>FAA PMA:PQ0658NE</t>
  </si>
  <si>
    <t>EASA 21G:FR.21G.0111</t>
  </si>
  <si>
    <t>EASA 21G:FR.21G.0103</t>
  </si>
  <si>
    <t>EASA 21G:DE.21G.0059</t>
  </si>
  <si>
    <t>EASA 21J:EASA.21J.217 - FAR 21:FR.21G.0001 - EASA 21G:FR.21G.0001</t>
  </si>
  <si>
    <t>EASA 21G:EASA 21G.0108</t>
  </si>
  <si>
    <t>FAA PMA:PQ3400 CE</t>
  </si>
  <si>
    <t>EASA 21G:FR.21G.079</t>
  </si>
  <si>
    <t>EASA 21G:FR.21G.0087</t>
  </si>
  <si>
    <t>EASA 21G:UK21G.2105</t>
  </si>
  <si>
    <t>EASA 21G:FR.21G.0067</t>
  </si>
  <si>
    <t>EASA 21F:POA COMPLIANCE TABLE - EASA 21G:IT.21G.0025</t>
  </si>
  <si>
    <t>EASA 21G:UK.21G.2539</t>
  </si>
  <si>
    <t>EASA 21G:DE.21G.0055</t>
  </si>
  <si>
    <t>EASA 21J:EASA.21J.008 - EASA 21G:UK.21G.2622</t>
  </si>
  <si>
    <t>EASA 21G:UK.21G.2162</t>
  </si>
  <si>
    <t>EASA 21G:BE.21G.0002</t>
  </si>
  <si>
    <t>EASA 21G:FR.21G.0021</t>
  </si>
  <si>
    <t>FAA PMA:PQ0590NM</t>
  </si>
  <si>
    <t>EASA 21G:FR.21G.0056</t>
  </si>
  <si>
    <t>EASA 21G:FR.21G.0063</t>
  </si>
  <si>
    <t>EASA 21G:BE.21G.0003</t>
  </si>
  <si>
    <t>FAA PMA:PQ0419M</t>
  </si>
  <si>
    <t>EASA 21G:FR.21G.0010</t>
  </si>
  <si>
    <t>EASA 21G:CH.21G.0008</t>
  </si>
  <si>
    <t>EASA 21G:UK.21G.2321</t>
  </si>
  <si>
    <t>EASA 21J:EASA.21J.039 - EASA 21G:FR.21G.0194</t>
  </si>
  <si>
    <t>EASA 21G:UK.21G.2350</t>
  </si>
  <si>
    <t>FAR 21:SUBPART K</t>
  </si>
  <si>
    <t>EASA 21G:DE.21G.0172</t>
  </si>
  <si>
    <t>EASA 21G:DE.21G.0027</t>
  </si>
  <si>
    <t>FAR 21:DE.21G.0028 - EASA 21G:DE.21G.0028</t>
  </si>
  <si>
    <t>EASA 21G:DE.21G.0034</t>
  </si>
  <si>
    <t>FAA PMA:NN2R037L</t>
  </si>
  <si>
    <t>EASA 21G:UK.21G.2656</t>
  </si>
  <si>
    <t>EASA 21G:FR.21G.0193</t>
  </si>
  <si>
    <t>FAR 21:PQ1417NM-D</t>
  </si>
  <si>
    <t>EASA 21J:EASA.21J.654</t>
  </si>
  <si>
    <t>EASA 21G:ES.21G.0002</t>
  </si>
  <si>
    <t>FAA PMA:PQ1982NM</t>
  </si>
  <si>
    <t>FAA PMA:PQ1268NM</t>
  </si>
  <si>
    <t>EASA 21G:DE.21G.0164</t>
  </si>
  <si>
    <t>EASA 21G:FR.21G.0122</t>
  </si>
  <si>
    <t>EASA 21G:DE.21G.0212</t>
  </si>
  <si>
    <t>EASA 21G:DE.21G.0175</t>
  </si>
  <si>
    <t>EASA 21G:FR.21G.0239</t>
  </si>
  <si>
    <t>FAR 21:FSD-QAP-0102</t>
  </si>
  <si>
    <t>EASA 21G:FR.21G.0248</t>
  </si>
  <si>
    <t>FAA PMA:PARTS MANUFACTURER APPROVAL</t>
  </si>
  <si>
    <t>EASA 21G:FR21G.0050</t>
  </si>
  <si>
    <t>EASA 21J:EASA.21J.055 - EASA 21G:POA COMPLIANCE TABLE</t>
  </si>
  <si>
    <t>EASA 21G:FR 21G 0113</t>
  </si>
  <si>
    <t>EASA 21G:POA COMPLIANCE TABLE AEROSTRUCTURES SERVICES</t>
  </si>
  <si>
    <t>EASA 21G:DE.21G.0230</t>
  </si>
  <si>
    <t>EASA 21J:EASA.21J.414 - EASA 21G:CH.21G.015</t>
  </si>
  <si>
    <t>EASA 21G:FR.21G.0045</t>
  </si>
  <si>
    <t>FAA PMA:SEW/940.1116/05</t>
  </si>
  <si>
    <t>EASA 21G:UK.21G.2620</t>
  </si>
  <si>
    <t>EASA 21J:EASA.21J.487</t>
  </si>
  <si>
    <t>EASA 21G:FR.21G.0186</t>
  </si>
  <si>
    <t>EASA 21G:DE.21G.0081</t>
  </si>
  <si>
    <t>EASA 21J:EASA.21J.372</t>
  </si>
  <si>
    <t>EASA 21G:FR.21G.0196</t>
  </si>
  <si>
    <t>EASA 21G:PL.21G.0002</t>
  </si>
  <si>
    <t>EASA 21G:POA COMPLIANCE MATRIX - FAA PMA:PQ1204NM</t>
  </si>
  <si>
    <t>EASA 21G:FR.21G.0029</t>
  </si>
  <si>
    <t>EASA 21G:DE.21G.0020</t>
  </si>
  <si>
    <t>EASA 21G:FR21G.0116</t>
  </si>
  <si>
    <t>RICHARD-DUNKEL-STR. 121</t>
  </si>
  <si>
    <t>BAE SYSTEMS CONTROLS, INC D/B/A FADEC INTERNATIONAL, LLC</t>
  </si>
  <si>
    <t>4250 AIRPORT EXPRESSWAY</t>
  </si>
  <si>
    <t>46809-9643</t>
  </si>
  <si>
    <t>3SRLW</t>
  </si>
  <si>
    <t>FAQ15</t>
  </si>
  <si>
    <t>EASA PART 145 (FR.145.0238 -00/00/0000) | FAR 145 (B1GY360N -30/09/2022) | TCCA CAR573.02 (816-20 -00/00/0000)</t>
  </si>
  <si>
    <t>EASA PART 145 (DE.145.0001 -00/00/0000) | FAR 145 (DLAY225D -31/10/2022)</t>
  </si>
  <si>
    <t>EASA:FR.145.0238 - FAA:B1GY360N - TCCA:816-20</t>
  </si>
  <si>
    <t>EASA:UK.145.01367</t>
  </si>
  <si>
    <t>FAR 21:DE.21G0099</t>
  </si>
  <si>
    <t>EN/AS/JISQ 9120 (GECA-006-10-20-1 -27/10/2023)</t>
  </si>
  <si>
    <t>EN/AS/JISQ 9100 (US014576 -05/12/2023)</t>
  </si>
  <si>
    <t>Limited to PNs:$R0297xxx LIFE RAFT$R0425xxx LIFE RAFT$R1700xxx LIFE RAFT$R1900xxx LIFE RAFT$R0372xxx LIFE RAFT *</t>
  </si>
  <si>
    <t>Limited to PNs:$PS2501-00 SWITCHMODE POWER SUPPLY UNIT$TR0280-00 TRANSFORMER RECTIFIER UNIT*</t>
  </si>
  <si>
    <t>Low</t>
  </si>
  <si>
    <t>Limited to PNs:$8TJ146AAW3 OIL QUANTITY TRANSMITTER *</t>
  </si>
  <si>
    <t>MEDIUM</t>
  </si>
  <si>
    <t>Limited to PNs:$6.1404-0000.4 HYDRAULIC HAND PUMP *</t>
  </si>
  <si>
    <t>LOW</t>
  </si>
  <si>
    <t>Limited to PNs:$HDF9516-00 HUMIDIFIER/EVAPORATION UNIT$HDF9526-01 HUMIDIFIER/EVAPORATION UNIT$HDF9536-00 HUMIDIFIER/EVAPORATION UNIT$HDF9546-00 HUMIDIFIER/EVAPORATION UNIT$FT9575-00 FILTER BOX ASSEMBLY$DU9570-00 ZONAL DRYING UNIT *</t>
  </si>
  <si>
    <t>RISK: LOW* TYPE: OEM REPAIR STATION*</t>
  </si>
  <si>
    <t>Limited to PNs:$50U320  VALVE COOLING NCC-PW4000$51U736  VALVE, ANTI-ICING-PW4000$C145531-x  VALVE, ANTI-ICING-PW4000$C148275-1  VALVE COOLING NCC-PW4000$157605-X    RACA *</t>
  </si>
  <si>
    <t>limited to PNs:$C4FL0518C02 INTEGRALLY LIGHTED PLATE$C4FL0593C02 INTEGRALLY LIGHTED PLATE$C4FL0675C02 INTEGRALLY LIGHTED PLATE$F33110211A00 INTEGRALLY LIGHTED PLATE$F33110309A00 INTEGRALLY LIGHTED PLATE$F33110345A00 INTEGRALLY LIGHTED PLATE$F33110441A00 INTEGRALLY LIGHTED PLATE *</t>
  </si>
  <si>
    <t>Limited to PNs:$362-074-103-0 LUBE PUMP$362-085-505-0 HARNESS HJ3A$362-085-605-0 HARNESS HJ3B$362-085-705-0 HARNESS HJ5A$362-085-805-0 HARNESS HJ5B$362-085-905-0 HARNESS HJ6A$362-086-004-0 HARNESS HJ6B$362-086-104-0 HARNESS HJ7$362-086-205-0 HARNESS HJ8A$362-086-305-0 HARNESS HJ8B$362-094-111-0 OIL TANK$362-076-501-0 OIL DEBRIS MONITORING UNIT "SIGNAL CONDITIONER"$362-077-303-0 OIL DEBRIS MONITORING HARNESS &amp; SENSOR *</t>
  </si>
  <si>
    <t>Limited to PNs:$965-1695-001 AESS CONTROL PANEL FINAL ASSEMBLY$965-1695-002 AESS CONTROL PANEL FINAL ASSEMBLY *</t>
  </si>
  <si>
    <t>Limited to PNs:$3900941-01 AUXILIARY POWER UNIT$3901255 Fuel Control Unit *</t>
  </si>
  <si>
    <t>Limited to PNs:$9800-00-01-04xC SHADE-WINDOW,ELECTRO MECHANICAL *</t>
  </si>
  <si>
    <t>Limited to PNs:$ER8763P01 VALVE$ER8762P01 VALVE$612C9501-XXX VALVE$612C9500-XXX VALVE$612C3007-501 ACTUATOR$612C2601-XXX CASCADE$612C4100-099 COWL$612C3005-XXX ETLS$612C3001-015 ACTUATOR$612C3002-501 ACTUATOR$612C3003-013 DCU$612C3004-007 MDU$612C3007-501 ACTUATOR$612C3501-503 ICU$612C3601-005 HARNESS$612C3602-007 HARNESS$612C3605-005 HARNESS$612C3606-005 HARNESS$612C3607-003 HARNESS$612C3609-003 HARNESS$612C3610-005 HARNESS$612C4003-003 LATCH$612C4100-089 COWL *</t>
  </si>
  <si>
    <t>Limited to PNs:$41181A020001 HP GROUND CONNECTOR$70024A010001 VALVE ASSY-SERVICE *</t>
  </si>
  <si>
    <t>Limited to PNs:$822-0953-002 (HPA-901A) SATCOM HIGH POWER AMPLIFIER *</t>
  </si>
  <si>
    <t>Limited to PNs:$7520000-20140 SATCOM HIGH POWER AMPLIFIER$7520061-34016 HIGH SPEED DATA UNIT (HSDU)$822-2909-050 SATCOM SATELLITE DATA UNIT$822-2558-050 SATCOM SATELLITE CONFIGURATION MODULE *</t>
  </si>
  <si>
    <t>Limited to PNs:$50U320 VALVE COOLING NCC-PW4000 (OEM PW)$C148275-X VALVE COOLING NCC-PW4000 (OEM PW)$157605-3 ACTUATOR-RAM AIR INLET (OEM MICROTECNICA)$A157671-x  CRU$A157379-x  ACCUMULATOR ASSY-COOLANT$A157625-x  PUMP ASSY-COOLANT$A157452-x  FILTER ASSY-COOLANT$A156823-x   MANIFOLD ASSY-COOLANT$A157573-x   VALVE-SHUTOFF$A157583-x   VALVE-SHUTOFF *</t>
  </si>
  <si>
    <t>limited to PNs:$17300GXX FUEL DIVER AND RETURN VALVE *</t>
  </si>
  <si>
    <t>Limited to PNs:$3902319-02 OIL COOLER *</t>
  </si>
  <si>
    <t>P/N not in the EASA capability list. only used for CAAC</t>
  </si>
  <si>
    <t>SAE shall not be used until further notice and after the recovery$combined action plan (QC, SLA, PESD, SLI)</t>
  </si>
  <si>
    <t>Limited to PNs:$10853B01Cxx ELECTRICAL HEATER CONTROLLER (EHC)$10854B01Cxx ELECTRICAL HEATER CONTROLLER (EHC)$10855B01Cxx ELECTRICAL HEATER CONTROLLER (EHC) *</t>
  </si>
  <si>
    <t>Limited to PNs:$SB-209L1A1-1484 HYDRAULIC ACCUMULATOR$SB-209L1A1-1483 HYDRAULIC ACCUMULATOR*</t>
  </si>
  <si>
    <t>Limited to PNs:$70009A010001 BAL LINEAR ACTUATOR *</t>
  </si>
  <si>
    <t>Limited to PNs:$100-602200-001 LOW NOISE AMPLIFIER SATCOM DIPLEXER$100-602200-003 LOW NOISE AMPLIFIER SATCOM DIPLEXER$100-602200-004 LOW NOISE AMPLIFIER SATCOM DIPLEXER *</t>
  </si>
  <si>
    <t>Limited to PNs:$1610000-17 THRUST REVERSER LOCKING ACTUATOR$1610000-10 THRUST REVERSER FEEDBACK ACTUATOR$1086000-X DIRECTIONAL CONTROL VALVE$4259000-2 MANUAL DRIVE ASSEMBLY TORQUE$51154-0X PUMP MOTOR PACKAGE$420540X VARIABLE DELIVERY HYDRAULIC PUMP$66198-XX VARIABLE DELIVERY HYDRAULIC PUMP$40176XX HYDRAULIC MOTOR ASSEMBLY$73020 VALVE FLOW CONTROL SERVO *</t>
  </si>
  <si>
    <t>Limited to PNs:$967-0514-002 DATA MANAGEMENT UNIT$2041220-0424 WEATHER RADAR CONTROL UNIT *</t>
  </si>
  <si>
    <t>Limited to PNs:$430201 GENERATOR, STATOR, ALTERNATOR$430201-1 GENERATOR, STATOR, ALTERNATOR$504243-1 SENSOR, FUEL TEMPERATURE THERMOCPL-LEAP 1A$504909-1 STATOR, ALTERNATOR-LEAP 1A$504910-1 ROTOR, ALTERNATOR-LEAP 1A$515876-1 T3 SENSOR-LEAP 1A$517113-1 TEMPERATURE SENSOR-LEAP 1A *</t>
  </si>
  <si>
    <t>Limited to PNs:$4953075 ACTUATOR INLET GUIDE VANE$3901228-06 ACTUATOR ASSY, IGV (IGVA)$3901228-05 ACTUATOR ASSY, IGV (IGVA)$4952822 ACTUATOR ASSY, IGV (IGVA) *</t>
  </si>
  <si>
    <t>Limited to PN:$30040-000 BOX &amp; CABLE *</t>
  </si>
  <si>
    <t>Limited to PNs:$2144A4700-XX MANIFOLD ASSY BOGIE STEERING BLG *</t>
  </si>
  <si>
    <t>Limited to PNs:$822-2773-201 DOCKING STATION LAPTOP$822-2773-002 EFB DOCKING STATION LAPTOP *</t>
  </si>
  <si>
    <t>Limited to PNs:$3888058-7 EXCITER IGNITION *</t>
  </si>
  <si>
    <t>Limited to PNs:$251375164-1004 OIT KEYBOARD$251375164-1006 OIT KEYBOARD$251375151-100X OIT DISPLAY$251375151-110X OIT DISPLAY$251375151-210X OIT DISPLAY$251375193-100X OMT$251375193-110X OMT$251375193-210X OMT$251480853-100X OMT *</t>
  </si>
  <si>
    <t>Limited to PNs:$1151324-1 ELT-EMERGENCY LOCATOR TRANSMITTER$1151324-1Mxxx ELT-EMERGENCY LOCATOR TRANSMITTER$1153046-1Mxxx EMERGENCY RADIO BEACON$1152892-1Mxxx ELT-EMERGENCY LOCATOR TRANSMITTER$1152890-1Mxxx ELT-EMERGENCY LOCATOR TRANSMITTER$1152794-1Mxxx ELT-EMERGENCY LOCATOR TRANSMITTER *</t>
  </si>
  <si>
    <t>Limited to PNs:$822-2910-050 (HPA-2200) SATCOM HIGH POWER AMPLIFIER *</t>
  </si>
  <si>
    <t>Limited to PNs:$PN 38000-940 CIRCULATION PUMP *</t>
  </si>
  <si>
    <t>Limited to PNs:$1001000-4 VALVE - STARTER AIR *</t>
  </si>
  <si>
    <t>Limited to PNs:$822-2922-050 DIPLEXER LOW NOISE AMPLIFIER (DLNA)$822-2923-050 HIGH GAIN SATCOM ANTENNA *</t>
  </si>
  <si>
    <t>limited to PNs:$70012A010001 ACUMULATOR ASSEMBLY *</t>
  </si>
  <si>
    <t>PARKER</t>
  </si>
  <si>
    <t>OEM Repair Station</t>
  </si>
  <si>
    <t>OEM - Equipment &amp; Systems</t>
  </si>
  <si>
    <t>OEM 1 - MAIN OEMs</t>
  </si>
  <si>
    <t>A - Support Rating targeted</t>
  </si>
  <si>
    <t>Contract - Side Letter to SPSA</t>
  </si>
  <si>
    <t>GRFHS R &amp; P V1.1</t>
  </si>
  <si>
    <t>AIRBUS AVIONICS AND SIMULATION PRODUCTS</t>
  </si>
  <si>
    <t>Repair Station accredited by OEM</t>
  </si>
  <si>
    <t>Airbus Group</t>
  </si>
  <si>
    <t>Airbus EYY contractual coverage - considered without surveillance</t>
  </si>
  <si>
    <t>Others</t>
  </si>
  <si>
    <t>Airbus EYY requirements</t>
  </si>
  <si>
    <t>ADAMS RITE AEROSPACE</t>
  </si>
  <si>
    <t>SPSA - Eqpt &amp; Systems</t>
  </si>
  <si>
    <t>SSC ref. PRK_D07024055 (dated 28/09/2009)
GCP 2000 issue 5 (dated 11/04/2002)</t>
  </si>
  <si>
    <t>None</t>
  </si>
  <si>
    <t>ADAMS RITE: None
REHEAT INTERNATIONAL: GRISS module 4 issue A (dated 04/09/2019)</t>
  </si>
  <si>
    <t>EAM</t>
  </si>
  <si>
    <t>MRO</t>
  </si>
  <si>
    <t>Limited to PNs:
R0297xxx  LIFE RAFT
R0425xxx LIFE RAFT
R1700xxx LIFE RAFT
R1900xxx LIFE RAFT
R0372xxx LIFE RAFT</t>
  </si>
  <si>
    <t>OEM - Cabin &amp; Cargo</t>
  </si>
  <si>
    <t>Not listed</t>
  </si>
  <si>
    <t>Deviation</t>
  </si>
  <si>
    <t>Limited to PNs:
D23585000 BOX-ELECTRICAL,TOWBARLESS</t>
  </si>
  <si>
    <t>Side_Letter_CT1405714_to_SSC_AUK.EQP.SSC.2323
Side_Letter_CT1404403_to_SSC_AUK.EQP.SSC.2241</t>
  </si>
  <si>
    <t>ZODIAC</t>
  </si>
  <si>
    <t>Contract - Side letter to SPSA for sites under CT1307892 and SSC for other sites (3 sites): Chateaudun / Issoudun / Hamburg</t>
  </si>
  <si>
    <t>GRISS MOD. 4</t>
  </si>
  <si>
    <t>EATON</t>
  </si>
  <si>
    <t>Side Letter to SSC ref. CT1703721_v11</t>
  </si>
  <si>
    <t>Limited to PNs:
PS2501-00 SWITCHMODE POWER SUPPLY UNIT
TR0280-00 TRANSFORMER RECTIFIER UNIT</t>
  </si>
  <si>
    <t>SSC contract ref. BCPAS/0156/08/05</t>
  </si>
  <si>
    <t>MRO - Aircraft</t>
  </si>
  <si>
    <t>MRO - Component &amp; Aircraft</t>
  </si>
  <si>
    <t>A - Rating targeted</t>
  </si>
  <si>
    <t>Contract - GTA</t>
  </si>
  <si>
    <t>GTA: 212.0088/05  GRISS Mod 1(signed 25/10/2019)</t>
  </si>
  <si>
    <t>AP2212 MOD. 4</t>
  </si>
  <si>
    <t>Test AFI</t>
  </si>
  <si>
    <t>MRO - Component "Grandfather rights"</t>
  </si>
  <si>
    <t>Contract status to be clarified</t>
  </si>
  <si>
    <t>OEM 3 - OTHERS NO NEGOS</t>
  </si>
  <si>
    <t>GCP 650 Air Liquide for one PN Breathing Hood 15-40F</t>
  </si>
  <si>
    <t>COBHAM AVIONICS</t>
  </si>
  <si>
    <t>OEM 2 - OTHERS WITH NEGOS</t>
  </si>
  <si>
    <t>AIR PRECISION - COBHAM AVIONICS (Le Plessis Robinson): none
TEAM TRADING AS COBHAM AVIONICS (Rungis &amp; Troyes): the compliance matrix for OEM (based on GRISS Module 4 Issue A) will be signed shortly with the supplier</t>
  </si>
  <si>
    <t>AIRBUS COMMERCIAL AIRCRAFTS</t>
  </si>
  <si>
    <t xml:space="preserve">Airbus MRO </t>
  </si>
  <si>
    <t>Maintenance Engineering</t>
  </si>
  <si>
    <t xml:space="preserve">Aircraft Transition Services - Recovery
</t>
  </si>
  <si>
    <t>C - Limited scope</t>
  </si>
  <si>
    <t>PALL AEROSPACE GROUP - GCP 650 G - U0088 - PALL AEROSPACE (A320 - A330/A340)
PALL GmbH - GCP I4
GCP 2000 Issue 4 - C0202 - PALL GMBH (A300-310 - A320 - A330/A340)</t>
  </si>
  <si>
    <t>AMETEK - OEM</t>
  </si>
  <si>
    <t>A - Large scope</t>
  </si>
  <si>
    <t>GCP 2000 issue 4 - 26/05/2000
AMETEK Wilmington: No contract (engine LRU) , deviation signed on August 20th 2019 by PES</t>
  </si>
  <si>
    <t>A J WALTER</t>
  </si>
  <si>
    <t>Distributor</t>
  </si>
  <si>
    <t>New Surplus or Used Serviceable Parts
AS-IS Parts</t>
  </si>
  <si>
    <t>Contract – GTA (CT1241500)</t>
  </si>
  <si>
    <t>GRISS MOD. 6</t>
  </si>
  <si>
    <t>HONEYWELL</t>
  </si>
  <si>
    <t>Contract - Standalone FHS</t>
  </si>
  <si>
    <t>CT1403394 - Supply, Component Repairs &amp; Services  - A320/A380/A330/A350 – Flat rates
July 23rd, 2014</t>
  </si>
  <si>
    <t>GRISS module 4 issue A (signed 22/01/2020)</t>
  </si>
  <si>
    <t>AIRBUS HELICOPTERS</t>
  </si>
  <si>
    <t>Airbus Proprietary Parts</t>
  </si>
  <si>
    <t>Limited to PNs:
8TJ146AAW3 OIL QUANTITY TRANSMITTER</t>
  </si>
  <si>
    <t>FHS Side Letter ref. CT1240570 to SPSA (SSC) ref. PCG/2560/06/08 (signed on 29/06/2015)
FHS Side Letter ref. CT1241401 to SPSA (SSC) (signed on 04/03/2014)</t>
  </si>
  <si>
    <t>Signed on 31/10/2017
GRFHS R &amp; P V1.1  Signed on 04/03/2014</t>
  </si>
  <si>
    <t>MEGGITT</t>
  </si>
  <si>
    <t>Signed for Troy/Corona  on 10-06-16: mainly not compliant
Signed for Simi Valley (and Maidenhead) on 16-03-16, mainly not compliant
Signed for Miami (and Kassel &amp; Louisville) on 16-03-16, mainly not compliant
Signed for Coventry &amp; Danville on 20-07-17</t>
  </si>
  <si>
    <t>OEM - Aerostructure</t>
  </si>
  <si>
    <t>GRAMS - Aerostructure</t>
  </si>
  <si>
    <t>ASG</t>
  </si>
  <si>
    <t>Limited to PNs:
6.1404-0000.4 Hydraulic hand pump</t>
  </si>
  <si>
    <t xml:space="preserve">A320 GCP 650 </t>
  </si>
  <si>
    <t>none</t>
  </si>
  <si>
    <t>DERICHEBOURG</t>
  </si>
  <si>
    <t>Full CAMO Services for Asset Aircraft
Aircraft Transition Services - Recovery
Aircraft Transition Services - Remarketing
Aircraft Transition Services - Re-Delivery</t>
  </si>
  <si>
    <t xml:space="preserve">Contract for core technical services and CAMO activities signed on 30th of November 2018 Ref: CT1808121 </t>
  </si>
  <si>
    <t>GRISS MOD. 9</t>
  </si>
  <si>
    <t>GRISS Mod 9 issue A signed on 28/03/2018</t>
  </si>
  <si>
    <t>AUXITROL</t>
  </si>
  <si>
    <t>GCP2000 issue 4 (dated 18/10/2006)</t>
  </si>
  <si>
    <t>AVIONIC INSTRUMENTS</t>
  </si>
  <si>
    <t>Side letter to SPSA: FHS side letter ref. CT1804373 (dated 22/02/2019) to SSC ref. PCA/4600006565/AVIONICINSTRUMENTS-10933/SSC/2018 ; CVF signed on 17/12/2018</t>
  </si>
  <si>
    <t>GRISS module 4 issue A (dated 18/09/2018) - No deviation</t>
  </si>
  <si>
    <t>B/E AEROSPACE</t>
  </si>
  <si>
    <t>V25CT0902484/Supplier CAGE Codes: 92802 and K3996/ACS-SSC/2009
Ref PCD/2590/01/08
Supplier Cage Codes: D1379, 16827, 60299, H0212, 63367 and K3996</t>
  </si>
  <si>
    <t>LIEBHERR</t>
  </si>
  <si>
    <t>SPSA – Equipment &amp; Systems : SSC ref. PCA/4600010549/SIRIOPANELA4582/SSC/2008</t>
  </si>
  <si>
    <t>Dated 01/07/2019</t>
  </si>
  <si>
    <t>CMC</t>
  </si>
  <si>
    <t>GCP 2000 issue 5 FSCM: 90073 Issue 07/03</t>
  </si>
  <si>
    <t>HUTCHINSON</t>
  </si>
  <si>
    <t xml:space="preserve">BARRY CONTROL - GCP 2000 Issue 5 A380
BARRY CONTROLS - GCP 650 A320
BARRY CONTROLS - GCP 650 A330/A340
STILLMAN SEAL - GCP 650 95272 - A320 A330/A340
</t>
  </si>
  <si>
    <t>N/A</t>
  </si>
  <si>
    <t>BECKER AVIONICS</t>
  </si>
  <si>
    <t>GCP 450 D2356 - BECKER AVIONICS GMBH on A320 Family</t>
  </si>
  <si>
    <t>COLLINS - MECHANICAL SYSTEMS (UTAS)</t>
  </si>
  <si>
    <t>CT 1404154 - need to reorganise UTAS group to exclude sites not under the contract
Microtecnica: No contract (engine LRU) Deviation signed on ay 31st 2018 by PES</t>
  </si>
  <si>
    <t>SPSA - Eqpt &amp; Systems: SSC ref. PCG/2667/07/08 (signed on 09/10/2008)</t>
  </si>
  <si>
    <t xml:space="preserve">CEF INDUSTRIES </t>
  </si>
  <si>
    <t>CEF INDUSTRIES - GCP 650 A330 /A340</t>
  </si>
  <si>
    <t>Only for PN 8378M2</t>
  </si>
  <si>
    <t>SSC contract ref. PC/NatCo: PCG/2654/06/08)/Supplier Siemens F4885/SSC/2008 (signed 16/10/2008)</t>
  </si>
  <si>
    <t>CESA</t>
  </si>
  <si>
    <t>A - Develop</t>
  </si>
  <si>
    <t>SSC Issue 6 PCD/2493/06/07 dated of 2007 on A330 and A380 PNs</t>
  </si>
  <si>
    <t>TRIUMPH INTEGRATION SYSTEM ELECTRONICS AND CONTROL (TISEC)</t>
  </si>
  <si>
    <t>GRISS module 4 (dated 07/01/2015)</t>
  </si>
  <si>
    <t>CIRCOR</t>
  </si>
  <si>
    <t>CIRCLE SEAL CONTROLS - GCP 650_Signed text_General Conditions</t>
  </si>
  <si>
    <t>GRAMS Issue C ref. V25CT0900160 – module 6 (for customer support)</t>
  </si>
  <si>
    <t xml:space="preserve">GRAMS MOD. 6 </t>
  </si>
  <si>
    <t>CCGRL (Compliance Commitment to GRAMS Requirements List), signed on 19/02/2009</t>
  </si>
  <si>
    <t>GCP 2000 issue 4 &amp; GCP 2000 issue 5, signed on 11/06/2004</t>
  </si>
  <si>
    <t>Limited to PNs:
HDF9516-00 HUMIDIFIER/EVAPORATION UNIT
HDF9526-01 HUMIDIFIER/EVAPORATION UNIT
HDF9536-00 HUMIDIFIER/EVAPORATION UNIT
HDF9546-00 HUMIDIFIER/EVAPORATION UNIT
FT9575-00 FILTER BOX ASSEMBLY
DU9570-00 ZONAL DRYING UNIT</t>
  </si>
  <si>
    <t>DAHER</t>
  </si>
  <si>
    <t>Contract - APP</t>
  </si>
  <si>
    <t xml:space="preserve">Contract – Airbus Propriarity Parts Ref. CT1803008
</t>
  </si>
  <si>
    <t>EFW</t>
  </si>
  <si>
    <t>C - Low Volume</t>
  </si>
  <si>
    <t>GTA contract ref. EFW/AI-CT1005900 (dated 01/01/2012)
Amendment 1 (dated 01/01/2015)
Amendment 2 (dated 17/01/2018)</t>
  </si>
  <si>
    <t>GRISS Mod. 1</t>
  </si>
  <si>
    <t>GRISS module 1 issue A (dated 17/01/2018)</t>
  </si>
  <si>
    <t>Contract for Airbus Proprietary Parts (APP) ref. CT1803045 (dated 17/06/2018)</t>
  </si>
  <si>
    <t>GRISS module 4 issue A (dated 27/02/2018)</t>
  </si>
  <si>
    <t>CT1601985</t>
  </si>
  <si>
    <t>GCP 650 for A320 family and GCP 2000 Issue 5 for A380</t>
  </si>
  <si>
    <t>BASF CATALYSTS LLC (former ENGELHARD) - GCP 650_Signed text_General Conditions</t>
  </si>
  <si>
    <t>Contract - Side Letter to SPSA REF CT1404682</t>
  </si>
  <si>
    <t>JENOPTIK</t>
  </si>
  <si>
    <t xml:space="preserve">CT1606322 dated of 5/12/2016 - For limited PN on A330 only - floor heated panels </t>
  </si>
  <si>
    <t>GRISS 4 compliance commitment, in the contract bu not formally approved by PESD</t>
  </si>
  <si>
    <t>Various structural part contractual coverages (MSA or standalone) set by MPR</t>
  </si>
  <si>
    <t>GRISS module 4 issue A (signed 03/05/2018)</t>
  </si>
  <si>
    <t>TRIUMPH INTEGRATION SYSTEM FLUID POWER AND ACTUATION (TISFP)</t>
  </si>
  <si>
    <t>Amendment no. 1 (dated 20/02/2017) to FHS Side Letter ref. CT1507083 (dated 27/10/2016) to SSC</t>
  </si>
  <si>
    <t>GRISS module 4 (dated 13/03/2017)</t>
  </si>
  <si>
    <t>EQ00552_CGA_PART+II</t>
  </si>
  <si>
    <t>AP2212 MOD.4</t>
  </si>
  <si>
    <t>MRO - Component</t>
  </si>
  <si>
    <t>B - Keep or Sustain</t>
  </si>
  <si>
    <t>Contract GTA ref. CW312562 under signature loop (delayed due to Covid 19 crisis)</t>
  </si>
  <si>
    <t>GRISS MOD. 1</t>
  </si>
  <si>
    <t>COLLINS - INTERIORS (UTAS)</t>
  </si>
  <si>
    <t>CT 1404154 - need to reorganise UTAS group to exclude sites not under the contract</t>
  </si>
  <si>
    <t>COLLINS - POWER &amp; CONTROLS (UTAS)</t>
  </si>
  <si>
    <t xml:space="preserve">CT 1404154 - need to reorganise UTAS group to exclude sites not under the contract
</t>
  </si>
  <si>
    <t>HOLMBERG GCP 2000 Issue 5 A380
HOLMBERG GCP 650 A330/A340 A320</t>
  </si>
  <si>
    <t xml:space="preserve">SAFRAN FILTRATION SYSTEMS </t>
  </si>
  <si>
    <t>SOFRANCE - GCP 450 A320 - SOFRANCE - GCP 650 A330/A340  - Sofrance is now SAFRAN FILTRATION SYSTEMS and sole repair station is AVIA TECHNIQUE</t>
  </si>
  <si>
    <t>INTERTRADE</t>
  </si>
  <si>
    <t>Component Purchase Agreement ref. CT1240195</t>
  </si>
  <si>
    <t>subsidiary of Rockwell Collins</t>
  </si>
  <si>
    <t>IPP_-_GCP_I4_Signed_text_General_Conditions[1]</t>
  </si>
  <si>
    <t>Cabin Outfitter</t>
  </si>
  <si>
    <t>SA/LR Cabin Completion
A350 Cabin Completion</t>
  </si>
  <si>
    <t xml:space="preserve">CJ CABIN OUTFITTER </t>
  </si>
  <si>
    <t>B - CJ Outfitter Project last 3 Y</t>
  </si>
  <si>
    <t>GROSS</t>
  </si>
  <si>
    <t>Service Center Network member</t>
  </si>
  <si>
    <t xml:space="preserve">Aircraft Maintenance </t>
  </si>
  <si>
    <t>JORAMCO</t>
  </si>
  <si>
    <t>CT1501908 dated December 2015</t>
  </si>
  <si>
    <t>GRISS MOD. 1signed on the 20th of March 2019</t>
  </si>
  <si>
    <t>KGS ELECTRONICS - GCP I5_Signed text_General Conditions</t>
  </si>
  <si>
    <t>AIRBUS CABIN</t>
  </si>
  <si>
    <t>COLLINS - AVIONICS (UTAS)</t>
  </si>
  <si>
    <t>GCP 2000 issue 5 contract (signed on 05/06/2003)</t>
  </si>
  <si>
    <t>LE BOZEC GCP 2000 Issue 4 A300-310
LE BOZEC – SSC A320 A330/A340 A350-XWB A380</t>
  </si>
  <si>
    <t>NORTHROP GRUMAN</t>
  </si>
  <si>
    <t>A320 - LITEF - GCP 450 - D4856 - NORTHROP GRUMMANN LITEF GMBH // A300-310, A320, A330/A340, A380 - GCP 2000 Issue 4 - 30782 - NORTHROP GRUMMAN GUIDANCE</t>
  </si>
  <si>
    <t>Airbus Proprietary Parts contract ref. CT1802924</t>
  </si>
  <si>
    <t>LUFTHANSA TECHNIK</t>
  </si>
  <si>
    <t>A - ERM targeted</t>
  </si>
  <si>
    <t>Amendment 1 (signed 30/10/2018) to GTC executive contract ref. CT1240872 (dated 30/10/2018)</t>
  </si>
  <si>
    <t>GRISS module 1 issue A (signed 29/10/2018)</t>
  </si>
  <si>
    <t>GTA contract ref. CT1407417 (signed 01/10/2015):
Amendment 1 (signed 29/09/2016)
Amendment 2
Amendment 3 (signed 12/05/2017)</t>
  </si>
  <si>
    <t>GRISS module 4 issue A (signed 25/03/2015)</t>
  </si>
  <si>
    <t>A - CJ Outfitter Selected</t>
  </si>
  <si>
    <t>Amdt 1 CT1701744 to GC PCSJ/CT0904547
(November 2018)</t>
  </si>
  <si>
    <t>ADL SAL/LR &amp; CCGRL signed in contract Amdt 1
A350 Capacity</t>
  </si>
  <si>
    <t>GCP 2000 covering WB, SA, LR and A380. Only two type of PNs</t>
  </si>
  <si>
    <t>Component Maintenance - ACT Repair</t>
  </si>
  <si>
    <t>Missing Data</t>
  </si>
  <si>
    <t>Amdt 1 CT0701141  to contract  212.0203/05 (03/07/07)
Currently Marshall is only used for services to support ACTs in operation on ACJ.
Contract is for "Outsourcing of certified design changes and associated kits".</t>
  </si>
  <si>
    <t>PANASONIC</t>
  </si>
  <si>
    <t>V44CT0905062 Supplier CAGE Code: 1UL05/ACS-SSC/2009</t>
  </si>
  <si>
    <t xml:space="preserve">Limited to PNs:
50U320 VALVE COOLING NCC-PW4000 
51U736 VALVE ANTI-ICING-PW4000 
C145531-x VALVE ANTI-ICING-PW4000 
C148275-1 VALVE COOLING NCC-PW4000
157605-X    RACA (Ram Air Channel Actuator)
</t>
  </si>
  <si>
    <t>MOOG</t>
  </si>
  <si>
    <t>Side Letter to SSC (FHS contract ref. M12041337):
Original version signed on 08/10/2013
Amendment 1 signed on 13/04/2016 to cover A350</t>
  </si>
  <si>
    <t>AMETEK - MRO</t>
  </si>
  <si>
    <t>Ref. CT1704113 (signed on 09/04/2018) - Frame agreement to cover AEM, Antavia, Muirhead, Singapore</t>
  </si>
  <si>
    <t>Signed on 09/08/2019</t>
  </si>
  <si>
    <t>TESTIA</t>
  </si>
  <si>
    <t>MRO - Specialized</t>
  </si>
  <si>
    <t>No contract</t>
  </si>
  <si>
    <t xml:space="preserve">TESTIA is 100% Airbus company subsidiary and they don’t have contract with Airbus. 
All WO are managed via PO process issued by PESA. </t>
  </si>
  <si>
    <t>AP2212 MOD. 1</t>
  </si>
  <si>
    <t>Only a Royalty Contract managed by Satair</t>
  </si>
  <si>
    <t>Limited to PNs:
C4FL0518C02 INTEGRALLY LIGHTED PLATE
C4FL0593C02 INTEGRALLY LIGHTED PLATE
C4FL0675C02 INTEGRALLY LIGHTED PLATE
F33110211A00 INTEGRALLY LIGHTED PLATE
F33110309A00 INTEGRALLY LIGHTED PLATE
F33110345A00 INTEGRALLY LIGHTED PLATE
F33110441A00 INTEGRALLY LIGHTED PLATE</t>
  </si>
  <si>
    <t>PAULSTRA SNC - GCP 2000 Issue 4 A300-310 A330/A340
VIBRACHOC GCP 650 A320 A330/A340</t>
  </si>
  <si>
    <t>GRAMS Module 6.1 – Aerostructure (WP SA and WP LR)</t>
  </si>
  <si>
    <t>CCGRL (Compliance Commitment to GRAMS Requirements List) - Email from C.THEMINES stating that GRAMS 6.1 has been agreed with PFW.</t>
  </si>
  <si>
    <t>PPG INDUSTRIES - GCP I4_Signed text_General Conditions</t>
  </si>
  <si>
    <t>VISION SYSTEMS - SSC_Signed text_General Conditions</t>
  </si>
  <si>
    <t>ROCKWELL COLLINS</t>
  </si>
  <si>
    <t>Dated 04/09/2012 (and appended to side letter)</t>
  </si>
  <si>
    <t>COLLINS - AEROSTRUCTURE (UTAS)</t>
  </si>
  <si>
    <t>OEM - Engine LRUs</t>
  </si>
  <si>
    <t>CT 1404154 - need to reorganise UTAS group to exclude sites not under the contract
PVN/CT1202658/51563/SSC/2011</t>
  </si>
  <si>
    <t>SSC issue 6 V0 ref. PCA/4600009978/SAFT/SSC/2007 (signed on 29/11/2007)</t>
  </si>
  <si>
    <t>A300-600, A310: GCP 2000 issue 4 (16/05/2005)
A320, A330, A340, A350-XWB, A380: SSC issue 6 contract ref. PCA/V56D0726264/SAINT-GOBAIN SULLY-F0360/SSC/2008 (24/10/2008)</t>
  </si>
  <si>
    <t>No contract (engine parts)</t>
  </si>
  <si>
    <t>SIAEC</t>
  </si>
  <si>
    <t xml:space="preserve">Contract – GTA:
CT0904744 V2.0 SIA A340-500
CT0800162 v1.1 SIA A330 -Fleet A current/ C checks
CT1104255 v1.0 SIA A330- Fleet B extended/C checks
CT0800161 v1.1 SIA A330 LM_FM Contract
CT1104254 v1.0 SIA A330 extended fleet_SIAEC_ LM_FM contract
CT1201232 Purchase agreement A380 Wing Rib Repair for Singapore Airline fleet
CT1607322 Purchase agreement for Doors Mod retrofit for KAL A380 (3)
</t>
  </si>
  <si>
    <t>CT1708988 Stand Alone Contract Repair Services 11/02/2016 - CVF 28/03/18</t>
  </si>
  <si>
    <t xml:space="preserve">GRISS Module 4 signed on 07 Sep 2017 - Check it is included in GTA </t>
  </si>
  <si>
    <t>SIA ENGINEERING COMPANY PRIVATE LTD</t>
  </si>
  <si>
    <t>TSP - Fleet Technical Management Services 
SIA A330 Fleet</t>
  </si>
  <si>
    <t xml:space="preserve">CT0800161 v1.1 SIA A330 LM_FM Contract
CT1104254 v1.0: SIA A330 extended fleet_SIAEC LM_FM contract
</t>
  </si>
  <si>
    <t xml:space="preserve">Contract SIA / SIAEC back to back based on Specification og Tasks subcontracted from </t>
  </si>
  <si>
    <t>COLLINS - MISSION SYSTEMS (UTAS)</t>
  </si>
  <si>
    <t>LEONARDO</t>
  </si>
  <si>
    <t>Contract:
Montevarchi: Contract - FHS side letter ref. CT1500901 (dated 14/03/2016) to SSC ref. PCA/4600010549/SIRIOPANELA4582/SSC/2008
Roma: SPSA – Equipment &amp; Systems : SSC ref. PCA/4600010549/SIRIOPANELA4582/SSC/2008</t>
  </si>
  <si>
    <t>Requirements: 
Montevarchi: GRISS MOD. 4 signed the 9th of October 2015
Roma: none</t>
  </si>
  <si>
    <t>Purchase contract ref. 4600013059
SSC ref. V34CT0901704 (signed on 23/04/2009)</t>
  </si>
  <si>
    <t>A - High Volume</t>
  </si>
  <si>
    <t>A320, A330: Contract - Side Letter to GCP 2000 Issue 4, ref. CT1300289 V1
A380: Contract - Side Letter to GCP 2000 Issue 5, ref. CT1305876 V1
Signed on March 2014</t>
  </si>
  <si>
    <t>Included in Side Letters and valid since March 2013</t>
  </si>
  <si>
    <t>TRIUMPH INTEGRATION SYSTEM ACTUATION AND CONTROL (TISAC)</t>
  </si>
  <si>
    <t>FHS Side Letter ref. D15010063 (dated 29/06/2016) to SSC ref. AUK/EQP/SSC/2961</t>
  </si>
  <si>
    <t>GRISS module 4 (dated 30/06/2016) (Triumph Gloucester: in progress)</t>
  </si>
  <si>
    <t>D140283341 dated of March 2016</t>
  </si>
  <si>
    <t>One GRISS matrix for every site : Cheltenham 01/04/16, Grand Rapids 31/03/2015</t>
  </si>
  <si>
    <t>SAFRAN AIRCRAFT ENGINES</t>
  </si>
  <si>
    <t>Limited to PNs:
362-074-103-0 LUBE PUMP
362-085-505-0 HARNESS HJ3A
362-085-605-0 HARNESS HJ3B
362-085-705-0 HARNESS HJ5A
362-085-805-0 HARNESS HJ5B
362-085-905-0 HARNESS HJ6A
362-086-004-0 HARNESS HJ6B
362-086-104-0 HARNESS HJ7
362-086-205-0 HARNESS HJ8A
362-086-305-0 HARNESS HJ8B
362-094-111-0 OIL TANK
362-076-501-0 OIL DEBRIS MONITORING UNIT "SIGNAL CONDITIONER"
362-077-303-0 OIL DEBRIS MONITORING HARNESS &amp; SENSOR</t>
  </si>
  <si>
    <t>Deviation from Vistara for Warranty. CFM agreement for Purchase signed by PPR and SLR</t>
  </si>
  <si>
    <t>SSC ref. PCA/V25CT0600646/EADSSOGERMAF4643/SSC/2008 (dated 20/06/2008)</t>
  </si>
  <si>
    <t>SUMITOMO PRECISION PRODUCTS - GCP I4_Signed text_General Conditions</t>
  </si>
  <si>
    <t>SAFRAN VENTILATION SYSTEMS</t>
  </si>
  <si>
    <t>FHS Side Letter to SSC ref. CT1240381 signed on December 2012</t>
  </si>
  <si>
    <t>GCP 2000 Issue 4 B1316</t>
  </si>
  <si>
    <t>TELEDYNE</t>
  </si>
  <si>
    <t xml:space="preserve">TELEDYNE - GCP I5 GCP 2000 Issue 5 A380
TELEDYNE CONTROLS - GCP I4 GCP 2000 Issue 4 A300-310 A320  A330/A340
Side letter under nego since 2016 stopped  
</t>
  </si>
  <si>
    <t>THALES</t>
  </si>
  <si>
    <t>FHS Side Letter ref. M12041337 (dated 19/06/2013) to SSC ref. PCA/4600009689/Thales/SSC/2007
Amendment 1 (dated 01/01/2018)
Amendment 2 (dated 30/01/2020)</t>
  </si>
  <si>
    <t>GRISS module 4 issue A (dated 11/01/2018)</t>
  </si>
  <si>
    <t>UNISON INDUSTRIES LLC</t>
  </si>
  <si>
    <t>No contract : Engine LRU supplier
Deviation signed on 28th November 2018 by PES</t>
  </si>
  <si>
    <t>AEROCONSEIL</t>
  </si>
  <si>
    <t>CONTRACT CT1705889</t>
  </si>
  <si>
    <t xml:space="preserve">GRISS MOD. 3 </t>
  </si>
  <si>
    <t>EO contract for “outsourcing of certified design changes and associated kits” ref. 212.0177/05 (signed 10/06/2006)</t>
  </si>
  <si>
    <t>Signed 02/12/2005</t>
  </si>
  <si>
    <t>Continuing Airworthiness Management tasks for Airbus CAMO
Full CAMO Services for Asset Aircraft
Aircraft Transition Services - Recovery
Aircraft Transition Services - Remarketing
Aircraft Transition Services - Re-Delivery</t>
  </si>
  <si>
    <t>Contract for Core Technical Services: CAMO subcontracting:
         Contract ref. CT1304705 (28/08/2009) Amendment 1 (01/01/2015)
         Technical Specification ref. 94D.0022/09 issue 5 (24/04/2014)
Contract for Core Technical Services: Asset Full CAMO and Aircraft Transition Services:
          Contract ref. CT1701911 issue 2 under negotiation
          ATS Technical Specification ref. SP1607038 (12/2016)
          CAMO Technical Specification ref. SP1606028 (23/11/2016)</t>
  </si>
  <si>
    <t>CAMO subcontracting:
          Compliance Matrix to GRISS module 9 issue A (21/12/2015)
Asset Full CAMO and Aircraft Transition Services:
          Compliance Matrix to GRISS module 9 issue A (12/12/2018)</t>
  </si>
  <si>
    <t>CCGRL_GRAMS Issue C signed</t>
  </si>
  <si>
    <t>ULTRA</t>
  </si>
  <si>
    <t>Ultra_Greenford_GRFHSP_Compliance Matrix</t>
  </si>
  <si>
    <t>GRFHS R &amp; P V1</t>
  </si>
  <si>
    <t>GECAS</t>
  </si>
  <si>
    <t xml:space="preserve">New Surplus or Used Serviceable Parts
</t>
  </si>
  <si>
    <t>Contract GTA - CT1240474</t>
  </si>
  <si>
    <t>GRFHS P V1.1</t>
  </si>
  <si>
    <t>GRISS Mod 6 agreed but not included in contract, since GECAS did not accept to amend contract</t>
  </si>
  <si>
    <t>VAS</t>
  </si>
  <si>
    <t>Contract GTA - CT1240596</t>
  </si>
  <si>
    <t>A300, A310 : GCP 2000 issue 4 (13/07/1998)
A320, A330, A340, A350, A380 : SSC issue 6 V0.1 ref. 4600021520 (07/06/2017)</t>
  </si>
  <si>
    <t>Limited to PNs:
965-1695-001 AESS CONTROL PANEL FINAL ASSEMBLY
965-1695-002 AESS CONTROL PANEL FINAL ASSEMBLY</t>
  </si>
  <si>
    <t>ACSS A DIVISION OF L3 AVIATION PRODUCTS</t>
  </si>
  <si>
    <t>GCP 2000 Issue 4 - PCD1608/01/04 dated of 2004 for one PN on SA cockpit panel passenger oxygen 03207E100010</t>
  </si>
  <si>
    <t>GKN</t>
  </si>
  <si>
    <t>HAECO</t>
  </si>
  <si>
    <t>SSC to GCP Contract Reference Number: SA25CT1701192-X25CT1701034 (signed on 22/02/2017)</t>
  </si>
  <si>
    <t>Signed on 18/02/2016</t>
  </si>
  <si>
    <t>GTA contract ref. CT1708764</t>
  </si>
  <si>
    <t xml:space="preserve">SA/LR Cabin Completion
</t>
  </si>
  <si>
    <t>C - Outfitter No Projet last 3 Y</t>
  </si>
  <si>
    <t xml:space="preserve">
Amdt 2 CT1701313GC to GC D09020949/09 (10/08/17) </t>
  </si>
  <si>
    <t xml:space="preserve">ADL SA/LR &amp; CCGRL signed 04/05/17,  in contract Amdt 2
No A350 Capacity </t>
  </si>
  <si>
    <t>HAECO XIAMEN (Ex TAIKOO) - Xiamen</t>
  </si>
  <si>
    <t>ACJ Service Center Network Agreement CT1600325 (11Apr16)
Contract CT1708764 signed 30/11/17</t>
  </si>
  <si>
    <t>signed 
21/11/2017</t>
  </si>
  <si>
    <t>AERNNOVA AEROSPACE</t>
  </si>
  <si>
    <t xml:space="preserve"> Contract n° CT1000594 &amp; CT1808442 &amp; LR53CT1906226 &amp; V55D08018086 &amp; V55C10902992 &amp; V54CT1403822 &amp; V54CT1704089 &amp; CT2004934 &amp; CT1503310 Compliance commitment on GRAMS</t>
  </si>
  <si>
    <t>TELAIR</t>
  </si>
  <si>
    <t>Contract - Side Letter to SPSA:
Side Letter ref. CT1505359 (signed on 7th August 2015) to SSC ref. PC/PCD/PCD/2468/05/07/Supplier NCage/SSC/2007 (signed on 29th November 2007)</t>
  </si>
  <si>
    <t>Miesbach: GRFHS R&amp;P V1 (signed on 02/12/2015)
Singapore: GRFHS R V1 (signed on 27/11/2015) and GRFHS P V1.1 (signed on 26/11/2015)
All GRFHS were updated on 16/12/2015</t>
  </si>
  <si>
    <t>RHEINMETALL - GCP I5_Signed text_General Conditions</t>
  </si>
  <si>
    <t>PRATT AND WHITNEY-APU</t>
  </si>
  <si>
    <t xml:space="preserve">Limited to PNs:
3900941-01 AUXILIARY POWER UNIT 
3901255 Fuel Control Unit
</t>
  </si>
  <si>
    <t>OEM - APU or APU LRUs</t>
  </si>
  <si>
    <t xml:space="preserve">Contract Ref. CT1604036 A380 APU maintenance services
SSC Ref. PEG/3247/10/15 for APU/LRU A320 
GCP 2000 Issue 5 Ref.PCD1285/07/01 for APU/LRU A380 Component Asiana, SIA, Hi Fly, China Southern and THAI.
Deviation for QMS missing for Revima for A380 signed on  February 11th 2019 by PES and renewed on July 2020
</t>
  </si>
  <si>
    <t xml:space="preserve">Contract will be amended by end of June 2019 to include GRISS Module 4 </t>
  </si>
  <si>
    <t>VT SAN ANTONIO</t>
  </si>
  <si>
    <t>CT1703839</t>
  </si>
  <si>
    <t>ST ENGINEERING AEROSPACE SERVICES</t>
  </si>
  <si>
    <t>SSC issue 7 V2 ref. PVN/CT1240399/SSC/2012 (signed on 29/06/2012)</t>
  </si>
  <si>
    <t>Contract APP</t>
  </si>
  <si>
    <t>Executive contract for Airbus Proprietary Parts (APP) ref. PCBM CT0701455 signed on 17/01/2008</t>
  </si>
  <si>
    <t>GRISS mod 4 issue A signed on 05/06/2018</t>
  </si>
  <si>
    <t>SABENA TECHNICS</t>
  </si>
  <si>
    <t>Contract - CT1800994 Amendment 2 - March 2018 with GRISS 1 and  4</t>
  </si>
  <si>
    <t>GRISS module 1 issue A (signed 22/01/2020)</t>
  </si>
  <si>
    <t>A - TOP Cpt repair</t>
  </si>
  <si>
    <t>SNT BOD &amp; DNR: Amendment no. 3 (dated 25/10/2017) to FHS standalone contract ref. CT09200335 (dated 18/06/2013)</t>
  </si>
  <si>
    <t>SNT BOD: GRISS module 4 (dated 08/02/2017)
SNT DNR: GRISS module 4 to be signed</t>
  </si>
  <si>
    <t>ATG</t>
  </si>
  <si>
    <t>Limited to PNs:
9800-00-01-04xC SHADE-WINDOW,ELECTRO MECHANICAL</t>
  </si>
  <si>
    <t>SSC ref. PRYK/CT1002630/ATG 3HUB7/SSC/2010 (dated 13/08/2010) - Amendment no. 1 to SSC (dated 29/08/2012)</t>
  </si>
  <si>
    <t>AEROTRON Limited</t>
  </si>
  <si>
    <t xml:space="preserve">AEROTRON Contract - Component Purchase CT1905573 signed the 7th of November 2019 </t>
  </si>
  <si>
    <t xml:space="preserve">Limited to PNs:
ER8763P01 VALVE
ER8762P01 VALVE
612C9501-XXX VALVE
612C9500-XXX VALVE
612C3007-501 ACTUATOR
612C2601-XXX CASCADE
612C4100-099 COWL
612C3005-XXX ETLS
612C3001-015 ACTUATOR
612C3002-501 ACTUATOR
612C3003-013 DCU
612C3004-007 MDU
612C3007-501 ACTUATOR
612C3501-503 ICU
612C3601-005 HARNESS
612C3602-007 HARNESS
612C3605-005 HARNESS
612C3606-005 HARNESS
612C3607-003 HARNESS
612C3609-003 HARNESS
612C3610-005 HARNESS
612C4003-003 LATCH
612C4100-089 COWL </t>
  </si>
  <si>
    <t>Limited to PNs:
612C9501-007 PRESS REG S/O VALVE2-LEAP</t>
  </si>
  <si>
    <t>ELTRA</t>
  </si>
  <si>
    <t>Limited to PNs:
41181A020001 HP GROUND CONNECTOR
70024A010001 VALVE ASSY-SERVICE</t>
  </si>
  <si>
    <t>TARMAC</t>
  </si>
  <si>
    <t>GTA contract ref. CT1601275 (signed on 04/07/2017)</t>
  </si>
  <si>
    <t>Signed on 11/10/2016</t>
  </si>
  <si>
    <t>GCP 2000 - EQUIP AERO - GCP I5_Signed text_General Conditions</t>
  </si>
  <si>
    <t>COX - GCP I4_Signed text_General Conditions</t>
  </si>
  <si>
    <t>Limited to PNs:
822-0953-002 (HPA-901A) SATCOM HIGH POWER AMPLIFIER</t>
  </si>
  <si>
    <t>GA TELESIS</t>
  </si>
  <si>
    <t>Contract CT1905569 signed on November 25th 2019</t>
  </si>
  <si>
    <t>Limited to PNs:
7520000-20140 SATCOM HIGH POWER AMPLIFIER
7520061-34016 HIGH SPEED DATA UNIT (HSDU)
822-2909-050 SATCOM SATELLITE DATA UNIT
822-2558-050 SATCOM SATELLITE CONFIGURATION MODULE</t>
  </si>
  <si>
    <t>WOODWARD</t>
  </si>
  <si>
    <t xml:space="preserve">Limited to PNs:
50U320 VALVE COOLING NCC-PW4000 (OEM PW)
C148275-X VALVE COOLING NCC-PW4000 (OEM PW)
157605-3 ACTUATOR-RAM AIR INLET (OEM MICROTECNICA)
A157671-x CRU
A157379-x ACCUMULATOR ASSY-COOLANT
A157625-x PUMP ASSY-COOLANT
A157452-x FILTER ASSY-COOLANT
A156823-x MANIFOLD ASSY-COOLANT
A157573-x VALVE-SHUTOFF
A157583-x VALVE-SHUTOFF
</t>
  </si>
  <si>
    <t>Limited to PNs:
17300GXX FUEL DIVER AND RETURN VALVE</t>
  </si>
  <si>
    <t>No contract (engine LRU)
Deviation signed on 26th November 2019 by PPR</t>
  </si>
  <si>
    <t xml:space="preserve">Amdt 2 D09012715/10 to GC PCSJ-D09012715/10
(20/04/2016)
</t>
  </si>
  <si>
    <t>ADL SA/LR &amp; CCGRL signed and in contract Amdt 2
A350 Capacity - ADL not contracted</t>
  </si>
  <si>
    <t>ETIHAD AIRWAYS ENGINEERING</t>
  </si>
  <si>
    <t xml:space="preserve">Contract ref. CT1201310
</t>
  </si>
  <si>
    <t>Limited to PNs:
3902319-02 OIL COOLER</t>
  </si>
  <si>
    <t>MRO - Component &amp; Distributor</t>
  </si>
  <si>
    <t>ATELIERS BIGATA_CT1240312_Amdt02_v0_02 MAR 2015</t>
  </si>
  <si>
    <t xml:space="preserve">CT1240312 </t>
  </si>
  <si>
    <t>CAS</t>
  </si>
  <si>
    <t>Ref. CT1404085 (signed on 04/12/2014)</t>
  </si>
  <si>
    <t>Signed on 08/01/2019</t>
  </si>
  <si>
    <t>ONTIC</t>
  </si>
  <si>
    <t>CT:Bae/A320/PA/28/0126/SMI/AMDT/2803</t>
  </si>
  <si>
    <t>SAE</t>
  </si>
  <si>
    <t>CT 1240906</t>
  </si>
  <si>
    <t>SEPANG</t>
  </si>
  <si>
    <t>Annex to CT1504179 between Airbus Avionics and SAE : technical requirements for repairs of Airbus Avionics Radomes SP1501588</t>
  </si>
  <si>
    <t>Limited to PNs:
10853B01Cxx ELECTRICAL HEATER CONTROLLER (EHC)
10854B01Cxx ELECTRICAL HEATER CONTROLLER (EHC)
10855B01Cxx ELECTRICAL HEATER CONTROLLER (EHC)</t>
  </si>
  <si>
    <t>Amdt 1 D11011899/11 to GC PCSJ-D11011899/2011
(30/06/2016)</t>
  </si>
  <si>
    <t>ADL SA/LR &amp;CCGRL signed and in contract Amdt 1
No A350 Capacity</t>
  </si>
  <si>
    <t>COMLUX -  Indianapolis</t>
  </si>
  <si>
    <t>GTA signed without GRISS CM agreement.
GRISS mod.1 compliance to be reviewed, up date still expected I June18 following new QM assignement 3Q2017 and QMS re-organisation afterwards.
ACJ Service Center Network Agreement CT1504462 (02Nov2015)</t>
  </si>
  <si>
    <t>under discussion  05/10/2017</t>
  </si>
  <si>
    <t>EO contract for “outsourcing of certified design changes and associated kits” ref. CT1200423 (dated 28/12/2012)</t>
  </si>
  <si>
    <t>Signed 11/04/2019</t>
  </si>
  <si>
    <t>Limited to PNs:
SB-209L1A1-1484 HYDRAULIC ACCUMULATOR
SB-209L1A1-1483 HYDRAULIC ACCUMULATOR</t>
  </si>
  <si>
    <t>SSC issue 6 V0 ref. PEG/3167/07/14 signed on 20/07/2015</t>
  </si>
  <si>
    <t>AIRBUS DEFENCE AND SPACE</t>
  </si>
  <si>
    <t>Contract for Core Technical Services: Asset Full CAMO and Aircraft Transition Services: contract ref. CT1808008 (31/10/2018)</t>
  </si>
  <si>
    <t>Compliance Matrix to GRISS module 9 issue A (05/12/2017)</t>
  </si>
  <si>
    <t>RVI</t>
  </si>
  <si>
    <t>Contract Engine APU Borescope - CT1703821 signed on Sep 2016</t>
  </si>
  <si>
    <t>GRISS Mod 3 signed on 07/07/2017</t>
  </si>
  <si>
    <t>FLY BY WIRE SYSTEMS FRANCE</t>
  </si>
  <si>
    <t>FLY BY WIRE (FORMER SKF AEROSPACE FRANCE) - SSC_Signed text_General Conditions</t>
  </si>
  <si>
    <t>Limited to PNs:
70009A010001 BAL LINEAR ACTUATOR</t>
  </si>
  <si>
    <t xml:space="preserve">Limited to PNs:
100-602200-001  LOW NOISE AMPLIFIER SATCOM DIPLEXER 
100-602200-003 LOW NOISE AMPLIFIER SATCOM DIPLEXER
100-602200-004  LOW NOISE AMPLIFIER SATCOM DIPLEXER </t>
  </si>
  <si>
    <t xml:space="preserve">Limited to PNs:
1610000-17 THRUST REVERSER LOCKING ACTUATOR
1610000-10 THRUST REVERSER FEEDBACK ACTUATOR
1086000-X DIRECTIONAL CONTROL VALVE
4259000-2 MANUAL DRIVE ASSEMBLY TORQUE
51154-0X PUMP MOTOR PACKAGE
420540X VARIABLE DELIVERY HYDRAULIC PUMP
66198-XX VARIABLE DELIVERY HYDRAULIC PUMP
40176XX HYDRAULIC MOTOR ASSEMBLY
73020 VALVE FLOW CONTROL SERVO
</t>
  </si>
  <si>
    <t>TRIUMPH - MRO</t>
  </si>
  <si>
    <t>- Contract Engine LRU for FHS &amp; TSP ref. CT1500629  for Welmington &amp; Grand sites
- Contract TASA APP CT1504178 and Technical Specification for Nacelles End Items support for THA A320 for Chonburi site</t>
  </si>
  <si>
    <t>Limited to PNs:
E21376000-2 ECBU</t>
  </si>
  <si>
    <t>SSC Ref. PEG/3175/09/14</t>
  </si>
  <si>
    <t>AVTRADE</t>
  </si>
  <si>
    <t>CT1601048</t>
  </si>
  <si>
    <t>Limited to PNs:
967-0514-002 DATA MANAGEMENT UNIT
2041220-0424 WEATHER RADAR CONTROL UNIT</t>
  </si>
  <si>
    <t>Limited to PNs:
430201 GENERATOR, STATOR, ALTERNATOR
430201-1 GENERATOR, STATOR, ALTERNATOR
504243-1 SENSOR, FUEL TEMPERATURE THERMOCPL-LEAP 1A
504909-1 STATOR, ALTERNATOR-LEAP 1A
504910-1 ROTOR, ALTERNATOR-LEAP 1A
515876-1 T3 SENSOR-LEAP 1A
517113-1 TEMPERATURE SENSOR-LEAP 1A</t>
  </si>
  <si>
    <t>Limited to PNs:
4953075 ACTUATOR INLET GUIDE VANE
3901228-06 ACTUATOR ASSY, IGV (IGVA)
3901228-05 ACTUATOR ASSY, IGV (IGVA)
4952822 ACTUATOR ASSY, IGV (IGVA)</t>
  </si>
  <si>
    <t>PR/PRSI/V25D12001326/ELTA/F6614/SSC/2011</t>
  </si>
  <si>
    <t>ST AEROSPACE</t>
  </si>
  <si>
    <t>CT1600436 Standalone contraxc for Repair dated of 16/2/2018</t>
  </si>
  <si>
    <t>GRISS Module 4 signed on 5 Sep 2017</t>
  </si>
  <si>
    <t>Limited to PNs:
30040-000 BOX &amp; CABLE</t>
  </si>
  <si>
    <t>No contract (engine LRU) Limitation to one PN
Deviation signed on 20th July  2018 by PES</t>
  </si>
  <si>
    <t>Limited to PNs:
2144A4700-XX MANIFOLD ASSY BOGIE STEERING BLG</t>
  </si>
  <si>
    <t>BAE SYSTEMS</t>
  </si>
  <si>
    <t>OEM Engine LRU</t>
  </si>
  <si>
    <t>GRISS MOD.4  signed on November 22nd 2019</t>
  </si>
  <si>
    <t>Contract – Side letter to SPSA - Eqpt &amp; Systems: FHS side letter ref. CT1609181 to SSC ref. CT1607648 (signed on 27th January 2017)</t>
  </si>
  <si>
    <t>Signed on 23rd November 2018</t>
  </si>
  <si>
    <t>VT Mobile</t>
  </si>
  <si>
    <t>CT1703844</t>
  </si>
  <si>
    <t>Limited to PNs:
822-2773-201 DOCKING STATION LAPTOP
822-2773-002 EFB DOCKING STATION LAPTOP</t>
  </si>
  <si>
    <t>Limited to PNs:
3888058-7 EXCITER IGNITION</t>
  </si>
  <si>
    <t xml:space="preserve">Contract related to ENGINE &amp; APU TECHNICAL SERVICES 
ref PCB.CT0601485
</t>
  </si>
  <si>
    <t>Compliance Matrix to GRISS module 9 signed on Dec 6, 2016</t>
  </si>
  <si>
    <t>Limited to PNs:
251375164-1004 OIT KEYBOARD
251375164-1006 OIT KEYBOARD
251375151-100X OIT DISPLAY
251375151-110X OIT DISPLAY
251375151-210X OIT DISPLAY
251375193-100X OMT
251375193-110X OMT
251375193-210X OMT
251480853-100X OMT</t>
  </si>
  <si>
    <t>Limited to PNs:
1151324-1 ELT-EMERGENCY LOCATOR TRANSMITTER
1151324-1Mxxx ELT-EMERGENCY LOCATOR TRANSMITTER
1153046-1Mxxx EMERGENCY RADIO BEACON
1152892-1Mxxx ELT-EMERGENCY LOCATOR TRANSMITTER
1152890-1Mxxx ELT-EMERGENCY LOCATOR TRANSMITTER
1152794-1Mxxx ELT-EMERGENCY LOCATOR TRANSMITTER</t>
  </si>
  <si>
    <t>APMS</t>
  </si>
  <si>
    <t>DEVOS</t>
  </si>
  <si>
    <t>Limited to PNs:
822-2910-050 (HPA-2200) SATCOM HIGH POWER AMPLIFIER</t>
  </si>
  <si>
    <t>Limited to PNs:
38000-940 CIRCULATION PUMP</t>
  </si>
  <si>
    <t>FEAM</t>
  </si>
  <si>
    <t>GTA CT1800075</t>
  </si>
  <si>
    <t>GRISS Mod 1 including to Base Maintenance</t>
  </si>
  <si>
    <t>APPLE AVIATION</t>
  </si>
  <si>
    <t xml:space="preserve">GTA CT1801370 </t>
  </si>
  <si>
    <t>ADRIA TEHNIKA</t>
  </si>
  <si>
    <t>CONTRACT REF: CT1810069</t>
  </si>
  <si>
    <t>AERFIN</t>
  </si>
  <si>
    <t>Contract GTA Ref. CT1905543 signed on December 20th 2019</t>
  </si>
  <si>
    <t>Limited to PNs:
1001000-4 VALVE - STARTER AIR</t>
  </si>
  <si>
    <t>Contract ref. CW297755 (signed 13/12/2019)</t>
  </si>
  <si>
    <t>GRISS module 1 issue A (dated 25/09/2018)</t>
  </si>
  <si>
    <t>Contract ref. CT1808458 (dated 25/11/2019)</t>
  </si>
  <si>
    <t>GRISS module 9 issue A (dated 31/05/2018)</t>
  </si>
  <si>
    <t>SINGAPORE COMPONENT SOLUTIONS</t>
  </si>
  <si>
    <t>FHS standalone contract ref. CT1911275 (signed 18/02/2020)</t>
  </si>
  <si>
    <t>GRISS module 4 issue A (signed 18/07/2019)</t>
  </si>
  <si>
    <t>Limited to PNs:
822-2922-050 DIPLEXER LOW NOISE AMPLIFIER (DLNA)
822-2923-050 HIGH GAIN SATCOM ANTENNA</t>
  </si>
  <si>
    <t>Limited to PNs:
70012A010001 ACCUMULATOR ASSEMBLY</t>
  </si>
  <si>
    <t>FHS Side Letter to SPSA - ref: CT1304699 
For A220 Parts : Contract BOMBARDIER C7589-STA1dated 18 Sep 2009</t>
  </si>
  <si>
    <t>* Simi Valley: repair station covered by contract CT1602567, Coventry - Aircraft Braking Systems only (CT1502838)
* Villars-sur-Glâne: GCP (Vibrometer)
For A220 Parts : Contract BOMBARDIER C6603-MSC dated 18 July 2005
* Oro Valley, Toulouse: GCP
* Avrille: SSC ref PCA/4600020038
* Singapore, Coventry - Control Systems only: repair stations covered by contracts CT1602567 &amp; CT1602562
* Birmingham: GCP (SERCK Aviation)
* Archamps: SSC issue 6 V0 ref. PCA/V26CT0800176/MEGGIT-25693/SSC/2008 (signed on 16/05/2008)
* Troy, Miami, North Hollywood, Irvine: no contract (Engine LRU)
* Artus: SSC issue 6 V0 ref. PCA/4600020038/Artus/ F1549/SSC/2015 (signed on 08/10/2015)
A General Terms &amp; conditions between Airbus and Meggitt is under negotiation (as of 30-04-19)</t>
  </si>
  <si>
    <t>Airbus Proprietary Parts (APP) repair contract ref. CT1802925 (signed 08/06/2018)
Contract BOMBARDIER C8237-MSC (SA-1600150) dated 16 Jan 2009</t>
  </si>
  <si>
    <t>Amendment no. 1 (dated June 2016) to FHS Side Letter ref. CT1240409 (dated 01/11/2012) to SSC ref. PCA/4600009728/86831-4V792-F5491/SSC/2008 (dated 26/10/2007)
For A220 parts : BOMBARDIER Contract C7081-STA8 (SA1600096) dated 10 July 2009</t>
  </si>
  <si>
    <t>Engine LRU supplier
For A220 parts : BOMBARDIER Contract C8143-MSC dated 15 July 2008</t>
  </si>
  <si>
    <t>Limited to PNs:
930-6201-001 WEATHER RADAR CONTROL UNIT
A220 Parts</t>
  </si>
  <si>
    <t>Contract BOMBARDIER C8237-MSC (SA-1600150) dated 16 Jan 2009</t>
  </si>
  <si>
    <t>Limited to PNs:
87140-00-xx PPU POSITION PICK-OFF UNIT
87145-00-xx PPU POSITION PICK-OFF UNIT
801521E000xxxxx PPU POSITION PICK-OFF UNIT
801522E000xxxxx PPU POSITION PICK-OFF UNIT
801523E000xxxxx SENSOR UNIT SPEED OUTBOARD TRANSMISSION
801525E000xxxxx SPPU-STATION POSITION PICK-OFF UNIT
2B7236D ACTUATOR
299273C BOX
A220 Parts</t>
  </si>
  <si>
    <t>FADEC Alliance bailment agreement amendment 4 signed the 2nd of September 2019
For A220 Parts : under deviation signed SLR/PES on 26 Feb 2020</t>
  </si>
  <si>
    <t>GKN AEROSPACE TRANSPARENCY SYSTEMS LUTON LTD.</t>
  </si>
  <si>
    <t>LONDON LUTON AIRPORT</t>
  </si>
  <si>
    <t>LU2 9PQ</t>
  </si>
  <si>
    <t>LUTON</t>
  </si>
  <si>
    <t>K0672</t>
  </si>
  <si>
    <t>GOTTLIEB DAIMLER STR. 60</t>
  </si>
  <si>
    <t>MURR</t>
  </si>
  <si>
    <t>C6258</t>
  </si>
  <si>
    <t>86301-6164</t>
  </si>
  <si>
    <t>EASA:UK.145.01142 - FAA:A53Y499J</t>
  </si>
  <si>
    <t>EASA:DE.145.0231 - FAA:S71Y596Y - TCCA:818-19</t>
  </si>
  <si>
    <t>EASA 21G:UK.21G.2598</t>
  </si>
  <si>
    <t>EN/AS/JISQ 9100 (0031886 -27/11/2023) | EORS (RANKING B -22/07/2022) | ISO 14001 (10173257 -28/02/2022)</t>
  </si>
  <si>
    <t>EN/AS/JISQ 9100 (FR18/81842733 -01/02/2024)</t>
  </si>
  <si>
    <t>EN/AS/JISQ 9100 (881013009/3 -09/10/2022)</t>
  </si>
  <si>
    <t>EN/AS/JISQ 9110 (APPA-001-04-20-3 -16/04/2023)</t>
  </si>
  <si>
    <t>EN/AS/JISQ 9110 (245519-2017-AQ-SNG-A -24/08/2023)</t>
  </si>
  <si>
    <t>Limited to PNs:$81-00002 FMC$81-0000x FMC *</t>
  </si>
  <si>
    <t xml:space="preserve">Contract Reference Number PCA/4600017115/GKN U1610/SSC/2012 Amendment 1 date of Oct 2018
</t>
  </si>
  <si>
    <t>SSC</t>
  </si>
  <si>
    <t xml:space="preserve">Limited to PNs:
81-00002 FMC
81-0000x FMC </t>
  </si>
  <si>
    <t>DAHER AEROSPACE SA</t>
  </si>
  <si>
    <t>AEROPORT TARBES-LOURDES-PYRENEES</t>
  </si>
  <si>
    <t>LOUEY</t>
  </si>
  <si>
    <t>F0086</t>
  </si>
  <si>
    <t>MAG AEROSPACE INDUSTRIES LLC DBA MONOGRAM SYSTEMS</t>
  </si>
  <si>
    <t>EASA PART 145 (FR.145.0081 -00/00/0000) | EASA PART 21 G (FR.21G.0018 -00/00/0000) | FAR 145 (XSOY114Y -00/00/0000) | NOT ELIGIBLE (DAHER Q10_POA COMPLIANCE TABLE_FM1406379_V4 -00/00/0000)</t>
  </si>
  <si>
    <t>EASA PART 145 (EASA.145.6307 -01/12/2022) | FAR 145 (I39R153Y -00/00/0000)</t>
  </si>
  <si>
    <t>EASA PART 145 (FR.145.0513 -00/00/0000) | EASA PART 21 G (FR.21G.0103 -00/00/0000) | FAR 145 (F87Y584X -30/11/2022) | NOT ELIGIBLE (POA COMPLIANCE TABLE -00/00/0000)</t>
  </si>
  <si>
    <t>EASA PART 145 (DE.145.0308 -00/00/0000) | EASA PART 21 G (DE.21G.0059 -00/00/0000) | NOT ELIGIBLE (POA COMPLIANCE TABLE -00/00/0000) | TCCA CAR573.02 (813-31 -00/00/0000)</t>
  </si>
  <si>
    <t>EASA:FR.145.0081 - FAA:XSOY114Y</t>
  </si>
  <si>
    <t>EN/AS/JISQ 9110 (242780-2017-AQ-USA-A -08/01/2024)</t>
  </si>
  <si>
    <t>FHS Side Letter ref. CT1402066 (dated 01/07/2015) to GCP 2000 issue 5 ref. PCD/1375/03/02 (dated 28/03/2002)
TRIUMPH TISEC has accredited MICROTECNICA Torino and Luserna and Goodrich Monroe. These 3 sites are part of the group surveillance although their Next SCR date is planned respectively with MICROTECNICA group and COLLINS AEROSPACE Group.
The calculated nbre of site is 1 although the SCR is perfromed with 4 sites.</t>
  </si>
  <si>
    <t>KULITE</t>
  </si>
  <si>
    <t>Concession with limitation</t>
  </si>
  <si>
    <t>Deviation signed by PPR on week 47 2020</t>
  </si>
  <si>
    <t>No GRISS Matrix since there is no contract so far (Engine LRU)</t>
  </si>
  <si>
    <t>EASA PART 21 G (DE.21G.0230 -00/00/0000) | NOT ELIGIBLE (POA COMPLIANCE TABLE -00/00/0000)</t>
  </si>
  <si>
    <t>EASA:EASA.145.0105 - FAA:O63Y132Y - TCCA:FAR O63Y132Y - CAAC:F06300549 - CAAS:AWI/255</t>
  </si>
  <si>
    <t>Limited to PNs:$A220 parts *</t>
  </si>
  <si>
    <t>Limited to PNs:
A220 Parts</t>
  </si>
  <si>
    <t>EASA PART 145</t>
  </si>
  <si>
    <t>EASA PART 145 Expiry Date</t>
  </si>
  <si>
    <t>FAR 145</t>
  </si>
  <si>
    <t>FAR 145 Expiry Date</t>
  </si>
  <si>
    <t>TCCA CAR573.02</t>
  </si>
  <si>
    <t>TCCA CAR573.02 Expiry Date</t>
  </si>
  <si>
    <t>CCAR 145</t>
  </si>
  <si>
    <t>CCAR 145 Expiry Date</t>
  </si>
  <si>
    <t>CAAS SAR145</t>
  </si>
  <si>
    <t>CAAS SAR145 Expiry Date</t>
  </si>
  <si>
    <t>HKAR-145</t>
  </si>
  <si>
    <t>HKAR-145 Expiry Date</t>
  </si>
  <si>
    <t>EASA PART 21 J</t>
  </si>
  <si>
    <t>EASA PART 21 J Expiry Date</t>
  </si>
  <si>
    <t>FAR 21</t>
  </si>
  <si>
    <t>FAR 21 Expiry Date</t>
  </si>
  <si>
    <t>EASA PART 21 F</t>
  </si>
  <si>
    <t>EASA PART 21 F Expiry Date</t>
  </si>
  <si>
    <t>EASA PART 21 G</t>
  </si>
  <si>
    <t>EASA PART 21 G Expiry Date</t>
  </si>
  <si>
    <t>PMA</t>
  </si>
  <si>
    <t>PMA Expiry Date</t>
  </si>
  <si>
    <t>DE.145.0482</t>
  </si>
  <si>
    <t>P2KY734J</t>
  </si>
  <si>
    <t>F04900356</t>
  </si>
  <si>
    <t>DE.21G.0257</t>
  </si>
  <si>
    <t>EASA.145.4728</t>
  </si>
  <si>
    <t>UCER345K</t>
  </si>
  <si>
    <t>F00100092</t>
  </si>
  <si>
    <t>FR.145.0676</t>
  </si>
  <si>
    <t>EASA.145.4016</t>
  </si>
  <si>
    <t>A23R362J</t>
  </si>
  <si>
    <t>UK.145.00014</t>
  </si>
  <si>
    <t>FR.145.0750</t>
  </si>
  <si>
    <t>55EY761D</t>
  </si>
  <si>
    <t>FR.21G.0049</t>
  </si>
  <si>
    <t>811-07</t>
  </si>
  <si>
    <t>F03300627</t>
  </si>
  <si>
    <t>UK.145.01142</t>
  </si>
  <si>
    <t>A53Y499J</t>
  </si>
  <si>
    <t>UK.21G.2598</t>
  </si>
  <si>
    <t>DE.145.0383</t>
  </si>
  <si>
    <t>DE.21G.0201</t>
  </si>
  <si>
    <t>FR.145.0010</t>
  </si>
  <si>
    <t>CNFY912C</t>
  </si>
  <si>
    <t>897-28</t>
  </si>
  <si>
    <t>F03300161</t>
  </si>
  <si>
    <t>EASA.21J.027</t>
  </si>
  <si>
    <t>FR.21G.0178</t>
  </si>
  <si>
    <t>FR.145.0251</t>
  </si>
  <si>
    <t>FR.21G.0068</t>
  </si>
  <si>
    <t>FR.145.0045</t>
  </si>
  <si>
    <t>XP9Y806J</t>
  </si>
  <si>
    <t>FR.21G.0071</t>
  </si>
  <si>
    <t>FR.145.0100</t>
  </si>
  <si>
    <t>6BUY061C</t>
  </si>
  <si>
    <t>F03300443</t>
  </si>
  <si>
    <t>EASA.145.4095</t>
  </si>
  <si>
    <t>A3ZR709J</t>
  </si>
  <si>
    <t>UK.145.01256</t>
  </si>
  <si>
    <t>UK.145.00401</t>
  </si>
  <si>
    <t>UK.21G.2148</t>
  </si>
  <si>
    <t>UK.145.01382</t>
  </si>
  <si>
    <t>NOUY522K</t>
  </si>
  <si>
    <t>UK.21G.2542</t>
  </si>
  <si>
    <t>EASA.145.5119</t>
  </si>
  <si>
    <t>VY1R575K</t>
  </si>
  <si>
    <t>EASA.145.4154</t>
  </si>
  <si>
    <t>A8PR221J</t>
  </si>
  <si>
    <t>DE.145.0021</t>
  </si>
  <si>
    <t>AGGY136K</t>
  </si>
  <si>
    <t>810-13</t>
  </si>
  <si>
    <t>DE.21G0099</t>
  </si>
  <si>
    <t>DE.21G.0099</t>
  </si>
  <si>
    <t>EASA.145.4167</t>
  </si>
  <si>
    <t>A6GR410J</t>
  </si>
  <si>
    <t>F00100321</t>
  </si>
  <si>
    <t>FR.145.0189</t>
  </si>
  <si>
    <t>807-21</t>
  </si>
  <si>
    <t>F03300641</t>
  </si>
  <si>
    <t>FR.21G.0075</t>
  </si>
  <si>
    <t>DE.145.0177</t>
  </si>
  <si>
    <t>DE.21G.0094</t>
  </si>
  <si>
    <t>POA COMPLIANCE TABLE</t>
  </si>
  <si>
    <t>FR.145.0023</t>
  </si>
  <si>
    <t>A5XY398J</t>
  </si>
  <si>
    <t>899-03</t>
  </si>
  <si>
    <t>FR.21G.0028</t>
  </si>
  <si>
    <t>FR.145.0181</t>
  </si>
  <si>
    <t>U78Y370Y</t>
  </si>
  <si>
    <t>F03300512</t>
  </si>
  <si>
    <t>FR.21G.0116</t>
  </si>
  <si>
    <t>EASA.145.6052</t>
  </si>
  <si>
    <t>V5AR787J</t>
  </si>
  <si>
    <t>5-001-5585-0003</t>
  </si>
  <si>
    <t>UK.145.00890</t>
  </si>
  <si>
    <t>NUYY653L</t>
  </si>
  <si>
    <t>812-08</t>
  </si>
  <si>
    <t>UK.21G.2385</t>
  </si>
  <si>
    <t>EASA.145.7022</t>
  </si>
  <si>
    <t xml:space="preserve"> 3-73</t>
  </si>
  <si>
    <t>F01100618</t>
  </si>
  <si>
    <t>TCCA 3-73</t>
  </si>
  <si>
    <t>EASA.145.4239</t>
  </si>
  <si>
    <t>XBIR995K</t>
  </si>
  <si>
    <t>FR.145.0332</t>
  </si>
  <si>
    <t>B41Y310Y</t>
  </si>
  <si>
    <t>F03300474</t>
  </si>
  <si>
    <t>EASA.145.4242</t>
  </si>
  <si>
    <t>UT3R905L</t>
  </si>
  <si>
    <t>LETTER OF DEC 16, 1994</t>
  </si>
  <si>
    <t>DE.145.0166</t>
  </si>
  <si>
    <t>DE.21G.0075</t>
  </si>
  <si>
    <t>EASA.145.4259</t>
  </si>
  <si>
    <t>HA5R902M</t>
  </si>
  <si>
    <t>UK.145.00186</t>
  </si>
  <si>
    <t>B4PY038N</t>
  </si>
  <si>
    <t>UK.21G.2110</t>
  </si>
  <si>
    <t>EASA.145.6322</t>
  </si>
  <si>
    <t>6CER695B</t>
  </si>
  <si>
    <t>FR.145.0092</t>
  </si>
  <si>
    <t>FR.21G.0043</t>
  </si>
  <si>
    <t>ES.145.134</t>
  </si>
  <si>
    <t>3C3Y138B</t>
  </si>
  <si>
    <t>815-17</t>
  </si>
  <si>
    <t>F03400636</t>
  </si>
  <si>
    <t>ES.21G.0005</t>
  </si>
  <si>
    <t>EASA.145.4312</t>
  </si>
  <si>
    <t>SF3R839L</t>
  </si>
  <si>
    <t>EASA.145.5907</t>
  </si>
  <si>
    <t>QWCR710X</t>
  </si>
  <si>
    <t>MMF-465-100</t>
  </si>
  <si>
    <t>FR.145.0097</t>
  </si>
  <si>
    <t>O3MY953N</t>
  </si>
  <si>
    <t>813-43</t>
  </si>
  <si>
    <t>F03300643</t>
  </si>
  <si>
    <t>FR.21G.0167</t>
  </si>
  <si>
    <t>FR.145.0254</t>
  </si>
  <si>
    <t>FR.21G.0053</t>
  </si>
  <si>
    <t>SE.145.0043</t>
  </si>
  <si>
    <t>33CY807B</t>
  </si>
  <si>
    <t>814-09</t>
  </si>
  <si>
    <t>SE.21G.0004</t>
  </si>
  <si>
    <t>FR.145.0081</t>
  </si>
  <si>
    <t>FR.21G.0018</t>
  </si>
  <si>
    <t>DE.145.0276</t>
  </si>
  <si>
    <t>EASA.145.5315</t>
  </si>
  <si>
    <t>AB5R720M</t>
  </si>
  <si>
    <t>F00100530</t>
  </si>
  <si>
    <t>DE.145.0041</t>
  </si>
  <si>
    <t>B2WY697J</t>
  </si>
  <si>
    <t>897-14</t>
  </si>
  <si>
    <t>DE.21G.0027</t>
  </si>
  <si>
    <t>413NM</t>
  </si>
  <si>
    <t>UK.145.01081</t>
  </si>
  <si>
    <t>3MEY598B</t>
  </si>
  <si>
    <t>F04400731</t>
  </si>
  <si>
    <t>UK.21G.2120</t>
  </si>
  <si>
    <t>DE.145.0040</t>
  </si>
  <si>
    <t>E2FY307J</t>
  </si>
  <si>
    <t>804-09</t>
  </si>
  <si>
    <t>F04900459</t>
  </si>
  <si>
    <t>EASA.21J.054</t>
  </si>
  <si>
    <t>DE.21G.0005</t>
  </si>
  <si>
    <t>XSOY114Y</t>
  </si>
  <si>
    <t>EASA.145.4400</t>
  </si>
  <si>
    <t>RX3R831L</t>
  </si>
  <si>
    <t>EASA.145.5037</t>
  </si>
  <si>
    <t>VK6R687N</t>
  </si>
  <si>
    <t>EASA.145.4401</t>
  </si>
  <si>
    <t>E1TR150N</t>
  </si>
  <si>
    <t>PQ0753NE</t>
  </si>
  <si>
    <t>EASA.145.4999</t>
  </si>
  <si>
    <t>EF4R152M</t>
  </si>
  <si>
    <t>F00100596</t>
  </si>
  <si>
    <t>EASA.145.5067</t>
  </si>
  <si>
    <t>AG4R049M</t>
  </si>
  <si>
    <t>F00100091</t>
  </si>
  <si>
    <t>DE.145.0153</t>
  </si>
  <si>
    <t>810-11</t>
  </si>
  <si>
    <t>DE.21G.0044</t>
  </si>
  <si>
    <t>EASA.145.5314</t>
  </si>
  <si>
    <t>E72R725N</t>
  </si>
  <si>
    <t>PMA PQ1492CE</t>
  </si>
  <si>
    <t>FR.145.0020</t>
  </si>
  <si>
    <t>E63Y863N</t>
  </si>
  <si>
    <t>817-09</t>
  </si>
  <si>
    <t>F03300726</t>
  </si>
  <si>
    <t>FR.21G.0014</t>
  </si>
  <si>
    <t>DE.145.0029</t>
  </si>
  <si>
    <t>E3ZY906Y</t>
  </si>
  <si>
    <t>897-24</t>
  </si>
  <si>
    <t>F04900573</t>
  </si>
  <si>
    <t>DE.21G.0037</t>
  </si>
  <si>
    <t>DOA POA NEW COMPANY NAME</t>
  </si>
  <si>
    <t>DE.145.0251</t>
  </si>
  <si>
    <t>E0UY429Y</t>
  </si>
  <si>
    <t>DO-PO AGREEMENT D11001005</t>
  </si>
  <si>
    <t>EASA.21G.0070</t>
  </si>
  <si>
    <t>AT.145.040</t>
  </si>
  <si>
    <t>6FOY865C</t>
  </si>
  <si>
    <t>813-40</t>
  </si>
  <si>
    <t>EASA.21J.276</t>
  </si>
  <si>
    <t>AT.21G.002</t>
  </si>
  <si>
    <t>NL.145.1358</t>
  </si>
  <si>
    <t>4FKY163D</t>
  </si>
  <si>
    <t>817-11</t>
  </si>
  <si>
    <t>EASA.21J.667</t>
  </si>
  <si>
    <t>NL.21G.2358</t>
  </si>
  <si>
    <t>NL.145.1308</t>
  </si>
  <si>
    <t>FEOY206X</t>
  </si>
  <si>
    <t>800-09</t>
  </si>
  <si>
    <t>POA COMPLIANCE TABLE_FOKKER</t>
  </si>
  <si>
    <t>UK.145.01326</t>
  </si>
  <si>
    <t>G7EY819J</t>
  </si>
  <si>
    <t>814-06</t>
  </si>
  <si>
    <t>F04400442</t>
  </si>
  <si>
    <t>UK.21G.2672</t>
  </si>
  <si>
    <t>EASA.145.4454</t>
  </si>
  <si>
    <t>UFHR760L</t>
  </si>
  <si>
    <t>F00100106</t>
  </si>
  <si>
    <t>EASA.145.4459</t>
  </si>
  <si>
    <t>G3ER114N</t>
  </si>
  <si>
    <t>EASA.145.0070</t>
  </si>
  <si>
    <t>GJPY002L</t>
  </si>
  <si>
    <t>D.300001</t>
  </si>
  <si>
    <t>AWI/276</t>
  </si>
  <si>
    <t>CAAC D.300001</t>
  </si>
  <si>
    <t>FR.145.0051</t>
  </si>
  <si>
    <t>O6SY947N</t>
  </si>
  <si>
    <t>897-22</t>
  </si>
  <si>
    <t>F03300551</t>
  </si>
  <si>
    <t>FR.21G.0066</t>
  </si>
  <si>
    <t>FR.21G.0015</t>
  </si>
  <si>
    <t>DE.145.0117</t>
  </si>
  <si>
    <t>6GLY435C</t>
  </si>
  <si>
    <t>814-12</t>
  </si>
  <si>
    <t>DE.21G.0046</t>
  </si>
  <si>
    <t>NL.145.1160</t>
  </si>
  <si>
    <t>CW5Y794M</t>
  </si>
  <si>
    <t>806-08</t>
  </si>
  <si>
    <t>F03100419</t>
  </si>
  <si>
    <t>EASA.145.4983</t>
  </si>
  <si>
    <t>SI3R842L</t>
  </si>
  <si>
    <t>F00100007</t>
  </si>
  <si>
    <t>PQ109NE-D</t>
  </si>
  <si>
    <t>EASA.145.4908</t>
  </si>
  <si>
    <t>JW2R941K</t>
  </si>
  <si>
    <t>F00100088</t>
  </si>
  <si>
    <t>EASA.145.4905</t>
  </si>
  <si>
    <t>JW23941K</t>
  </si>
  <si>
    <t>F00100098</t>
  </si>
  <si>
    <t>DE.145.0246</t>
  </si>
  <si>
    <t>DE.21G.0082</t>
  </si>
  <si>
    <t>EASA.145.4494</t>
  </si>
  <si>
    <t>FQSR015K</t>
  </si>
  <si>
    <t>F00100462</t>
  </si>
  <si>
    <t>NONE</t>
  </si>
  <si>
    <t>DE.145.0022</t>
  </si>
  <si>
    <t>QJ1Y428K</t>
  </si>
  <si>
    <t>898-02</t>
  </si>
  <si>
    <t>EASA.145.7011</t>
  </si>
  <si>
    <t xml:space="preserve"> 1-70</t>
  </si>
  <si>
    <t>F01100157</t>
  </si>
  <si>
    <t>TCCA 1-70</t>
  </si>
  <si>
    <t>UK.145.00879</t>
  </si>
  <si>
    <t>XYWY939L</t>
  </si>
  <si>
    <t>803-09</t>
  </si>
  <si>
    <t>EASA.145.4538</t>
  </si>
  <si>
    <t>KE2R949K</t>
  </si>
  <si>
    <t>F00100463</t>
  </si>
  <si>
    <t>PQ1354NM</t>
  </si>
  <si>
    <t>EASA.145.4539</t>
  </si>
  <si>
    <t>HQ7R766N</t>
  </si>
  <si>
    <t>EASA.145.4132</t>
  </si>
  <si>
    <t>HZ3R571L</t>
  </si>
  <si>
    <t>F00100142</t>
  </si>
  <si>
    <t>EASA.145.4136</t>
  </si>
  <si>
    <t>ZN3R030M</t>
  </si>
  <si>
    <t>FAA PT21.HAQM</t>
  </si>
  <si>
    <t>EASA.145.4140</t>
  </si>
  <si>
    <t>PR2R093L</t>
  </si>
  <si>
    <t>F00100519</t>
  </si>
  <si>
    <t>F00100067</t>
  </si>
  <si>
    <t>EASA.145.4135</t>
  </si>
  <si>
    <t>DO3R456L</t>
  </si>
  <si>
    <t>UK.145.00683</t>
  </si>
  <si>
    <t>IM7Y581J</t>
  </si>
  <si>
    <t>809-17</t>
  </si>
  <si>
    <t>F04400570</t>
  </si>
  <si>
    <t>UK.21G.2204</t>
  </si>
  <si>
    <t>FR.145.0005</t>
  </si>
  <si>
    <t>HY9Y679J</t>
  </si>
  <si>
    <t>814-02</t>
  </si>
  <si>
    <t>F03300622</t>
  </si>
  <si>
    <t>898-03</t>
  </si>
  <si>
    <t>F03300626</t>
  </si>
  <si>
    <t>FR.145.0248</t>
  </si>
  <si>
    <t>INSY306X</t>
  </si>
  <si>
    <t>FR.21G.0145</t>
  </si>
  <si>
    <t>UK.145.00846</t>
  </si>
  <si>
    <t>I8QY183X</t>
  </si>
  <si>
    <t>808-16</t>
  </si>
  <si>
    <t>UK.21G.2347</t>
  </si>
  <si>
    <t>897-30</t>
  </si>
  <si>
    <t>F03300172</t>
  </si>
  <si>
    <t>FR.21G.0005</t>
  </si>
  <si>
    <t>EASA.145.6307</t>
  </si>
  <si>
    <t>I39R153Y</t>
  </si>
  <si>
    <t>EASA.145.0091</t>
  </si>
  <si>
    <t>RJAY596H</t>
  </si>
  <si>
    <t>EASA.145.4460</t>
  </si>
  <si>
    <t>K3GR925J</t>
  </si>
  <si>
    <t>DE.145.0286</t>
  </si>
  <si>
    <t>K30Y905Y</t>
  </si>
  <si>
    <t>F04900446</t>
  </si>
  <si>
    <t>EASA.21J.002</t>
  </si>
  <si>
    <t>EASA.21G.0001</t>
  </si>
  <si>
    <t>EASA.145.4718</t>
  </si>
  <si>
    <t>YZ4R692M</t>
  </si>
  <si>
    <t>F00100517</t>
  </si>
  <si>
    <t>EASA.145.5178</t>
  </si>
  <si>
    <t>KU7R407Y</t>
  </si>
  <si>
    <t>F00100495</t>
  </si>
  <si>
    <t>FR.145.0200</t>
  </si>
  <si>
    <t>L5HY347Y</t>
  </si>
  <si>
    <t>899-08</t>
  </si>
  <si>
    <t>FR.21G.0064</t>
  </si>
  <si>
    <t>FR.145.0164</t>
  </si>
  <si>
    <t>LC9Y658J</t>
  </si>
  <si>
    <t>FR.21G.0090</t>
  </si>
  <si>
    <t>FR.145.0124</t>
  </si>
  <si>
    <t>FR.21G.0070</t>
  </si>
  <si>
    <t>FR.145.0071</t>
  </si>
  <si>
    <t>B8EY828J</t>
  </si>
  <si>
    <t>897-36</t>
  </si>
  <si>
    <t>F03300173</t>
  </si>
  <si>
    <t>FR.21G.0024</t>
  </si>
  <si>
    <t>EASA.145.5439</t>
  </si>
  <si>
    <t>L3RR193H</t>
  </si>
  <si>
    <t>F00100650</t>
  </si>
  <si>
    <t>DE.145.0114</t>
  </si>
  <si>
    <t>L9TY928N</t>
  </si>
  <si>
    <t>810-15</t>
  </si>
  <si>
    <t>DE.21G.0104</t>
  </si>
  <si>
    <t>FR.145.0549</t>
  </si>
  <si>
    <t>6GXY218C</t>
  </si>
  <si>
    <t>817-22</t>
  </si>
  <si>
    <t>FR.21G.0059 + POA COMPLIANCE TABLE</t>
  </si>
  <si>
    <t>DE.145.0001</t>
  </si>
  <si>
    <t>DLAY225D</t>
  </si>
  <si>
    <t>F04900352</t>
  </si>
  <si>
    <t>AWI/269</t>
  </si>
  <si>
    <t>AI/138/1106</t>
  </si>
  <si>
    <t>EASA.21J.019</t>
  </si>
  <si>
    <t>DE.21G.0047</t>
  </si>
  <si>
    <t>FR.145.0613</t>
  </si>
  <si>
    <t>FR.21G.0078</t>
  </si>
  <si>
    <t>UK.21G.2078</t>
  </si>
  <si>
    <t>EASA.145.4437</t>
  </si>
  <si>
    <t>HD6R583N</t>
  </si>
  <si>
    <t>F00100424</t>
  </si>
  <si>
    <t>PQ1895NM-D</t>
  </si>
  <si>
    <t>EASA.145.5016</t>
  </si>
  <si>
    <t>WL3R949L</t>
  </si>
  <si>
    <t>P20303NM</t>
  </si>
  <si>
    <t>FR.145.0024</t>
  </si>
  <si>
    <t>M3BY435J</t>
  </si>
  <si>
    <t>897-29</t>
  </si>
  <si>
    <t>F03300169</t>
  </si>
  <si>
    <t>FR.21G.0047</t>
  </si>
  <si>
    <t>UK.145.00642</t>
  </si>
  <si>
    <t>DQDY021K</t>
  </si>
  <si>
    <t>807-5</t>
  </si>
  <si>
    <t>UK.21G.2136</t>
  </si>
  <si>
    <t>IT.145.0027</t>
  </si>
  <si>
    <t>M1IY110Y</t>
  </si>
  <si>
    <t>806-09</t>
  </si>
  <si>
    <t>F03900591</t>
  </si>
  <si>
    <t>IT.21G.0033</t>
  </si>
  <si>
    <t>EASA.145.4684</t>
  </si>
  <si>
    <t>ND13344K</t>
  </si>
  <si>
    <t>F00100625</t>
  </si>
  <si>
    <t>UK.145.00245</t>
  </si>
  <si>
    <t>M0GY773N</t>
  </si>
  <si>
    <t>F04400197</t>
  </si>
  <si>
    <t>UK.21G.2075</t>
  </si>
  <si>
    <t>EASA.145.4685</t>
  </si>
  <si>
    <t>ND1R344K</t>
  </si>
  <si>
    <t>F00100327</t>
  </si>
  <si>
    <t>UK.145.00592</t>
  </si>
  <si>
    <t>H9EY443N</t>
  </si>
  <si>
    <t>807-07</t>
  </si>
  <si>
    <t>FR.145.0324</t>
  </si>
  <si>
    <t>NDLY401X</t>
  </si>
  <si>
    <t>DE.145.0137</t>
  </si>
  <si>
    <t>NM7Y454J</t>
  </si>
  <si>
    <t>898-08</t>
  </si>
  <si>
    <t>F04900355</t>
  </si>
  <si>
    <t>DE.21G.0089</t>
  </si>
  <si>
    <t>EASA.145.4701</t>
  </si>
  <si>
    <t>EZ2R812K</t>
  </si>
  <si>
    <t>F00100013</t>
  </si>
  <si>
    <t>EASA.145.5199</t>
  </si>
  <si>
    <t>EOTR292I</t>
  </si>
  <si>
    <t>EASA.145.4727</t>
  </si>
  <si>
    <t>AU4R063M</t>
  </si>
  <si>
    <t>F00100066</t>
  </si>
  <si>
    <t>PQ1268NM</t>
  </si>
  <si>
    <t>EASA.145.4732</t>
  </si>
  <si>
    <t>FX1R156K</t>
  </si>
  <si>
    <t>F00100362</t>
  </si>
  <si>
    <t>PQ0658NE</t>
  </si>
  <si>
    <t>EASA.145.5099</t>
  </si>
  <si>
    <t>A7XR608J</t>
  </si>
  <si>
    <t>F00100119</t>
  </si>
  <si>
    <t>FR.145.0217</t>
  </si>
  <si>
    <t>FR.21G.0111</t>
  </si>
  <si>
    <t>FR.145.0513</t>
  </si>
  <si>
    <t>F87Y584X</t>
  </si>
  <si>
    <t>FR.21G.0103</t>
  </si>
  <si>
    <t>DE.145.0308</t>
  </si>
  <si>
    <t>813-31</t>
  </si>
  <si>
    <t>DE.21G.0059</t>
  </si>
  <si>
    <t>EASA.145.4755</t>
  </si>
  <si>
    <t>IL4R262M</t>
  </si>
  <si>
    <t>F00100058</t>
  </si>
  <si>
    <t>FR.145.0034</t>
  </si>
  <si>
    <t>R0FY522Y</t>
  </si>
  <si>
    <t>898-38</t>
  </si>
  <si>
    <t>F03300475</t>
  </si>
  <si>
    <t>EASA.21J.217</t>
  </si>
  <si>
    <t>FR.21G.0001</t>
  </si>
  <si>
    <t>FR.145.0589</t>
  </si>
  <si>
    <t>EASA 21G.0108</t>
  </si>
  <si>
    <t>FR.145.0121</t>
  </si>
  <si>
    <t>R9CY096N</t>
  </si>
  <si>
    <t>802-05</t>
  </si>
  <si>
    <t>F03300420</t>
  </si>
  <si>
    <t>EASA.145.5442</t>
  </si>
  <si>
    <t>R4WR962J</t>
  </si>
  <si>
    <t>PQ3400 CE</t>
  </si>
  <si>
    <t>EASA.145.4831</t>
  </si>
  <si>
    <t>PA3R755L</t>
  </si>
  <si>
    <t>F00100374</t>
  </si>
  <si>
    <t>PMA PQ0006NM</t>
  </si>
  <si>
    <t>EASA.145.4833</t>
  </si>
  <si>
    <t>RJLR391K</t>
  </si>
  <si>
    <t>F00100104</t>
  </si>
  <si>
    <t>BOP0001 REV F</t>
  </si>
  <si>
    <t>FR.145.0135</t>
  </si>
  <si>
    <t>FR.21G.079</t>
  </si>
  <si>
    <t>FR.145.0099</t>
  </si>
  <si>
    <t>S8UY168N</t>
  </si>
  <si>
    <t>814-28</t>
  </si>
  <si>
    <t>F03300422</t>
  </si>
  <si>
    <t>FR.21G.0087</t>
  </si>
  <si>
    <t>FR.145.0090</t>
  </si>
  <si>
    <t>ENZY920N</t>
  </si>
  <si>
    <t>808-15</t>
  </si>
  <si>
    <t>UK21G.2105</t>
  </si>
  <si>
    <t>FR.145.0317</t>
  </si>
  <si>
    <t>5F4Y303D</t>
  </si>
  <si>
    <t>FR.21G.0067</t>
  </si>
  <si>
    <t>EASA.145.4865</t>
  </si>
  <si>
    <t>FI1R140K</t>
  </si>
  <si>
    <t>F00100610</t>
  </si>
  <si>
    <t>EASA.145.0129</t>
  </si>
  <si>
    <t>SBOY989H</t>
  </si>
  <si>
    <t>CAAS AWI/01</t>
  </si>
  <si>
    <t>F06500249</t>
  </si>
  <si>
    <t>AWI/01</t>
  </si>
  <si>
    <t>EASA.145.4251</t>
  </si>
  <si>
    <t>CV1R074K</t>
  </si>
  <si>
    <t>F00100016</t>
  </si>
  <si>
    <t>IT.145.0287</t>
  </si>
  <si>
    <t>3S3Y436B</t>
  </si>
  <si>
    <t>818-14</t>
  </si>
  <si>
    <t>IT.21G.0025</t>
  </si>
  <si>
    <t>UK.145.00413</t>
  </si>
  <si>
    <t>UK.21G.2539</t>
  </si>
  <si>
    <t>DE.145.0080</t>
  </si>
  <si>
    <t>5W3Y902C</t>
  </si>
  <si>
    <t>810-06</t>
  </si>
  <si>
    <t>DE.21G.0055</t>
  </si>
  <si>
    <t>UK.145.01230</t>
  </si>
  <si>
    <t>DQD4021K</t>
  </si>
  <si>
    <t>808-10</t>
  </si>
  <si>
    <t>EASA.21J.008</t>
  </si>
  <si>
    <t>UK.21G.2622</t>
  </si>
  <si>
    <t>EASA.145.4386</t>
  </si>
  <si>
    <t>GK6R564N</t>
  </si>
  <si>
    <t>F00100727</t>
  </si>
  <si>
    <t>UK.145.00083</t>
  </si>
  <si>
    <t>XSMY589K</t>
  </si>
  <si>
    <t>899-10</t>
  </si>
  <si>
    <t>F04400188</t>
  </si>
  <si>
    <t>UK.21G.2162</t>
  </si>
  <si>
    <t>FR.145.0013</t>
  </si>
  <si>
    <t>NM1Y353K</t>
  </si>
  <si>
    <t>0897-10</t>
  </si>
  <si>
    <t>F03300160</t>
  </si>
  <si>
    <t>AWI/234</t>
  </si>
  <si>
    <t>BE.145.02</t>
  </si>
  <si>
    <t>SQGY459X</t>
  </si>
  <si>
    <t>BE.21G.0002</t>
  </si>
  <si>
    <t>FR.21G.0021</t>
  </si>
  <si>
    <t>FR.145.0592</t>
  </si>
  <si>
    <t>SO9Y450J</t>
  </si>
  <si>
    <t>EASA.21J.055</t>
  </si>
  <si>
    <t>FR.21G.0023</t>
  </si>
  <si>
    <t>CH.145.0200</t>
  </si>
  <si>
    <t>EASA.145.4998</t>
  </si>
  <si>
    <t>FH3R501L</t>
  </si>
  <si>
    <t>F00100748</t>
  </si>
  <si>
    <t>PQ0590NM</t>
  </si>
  <si>
    <t>EASA.145.0141</t>
  </si>
  <si>
    <t>UOPY878L</t>
  </si>
  <si>
    <t>F08100503</t>
  </si>
  <si>
    <t>FR.145.0130</t>
  </si>
  <si>
    <t>FR.21G.0056</t>
  </si>
  <si>
    <t>FR.145.0064</t>
  </si>
  <si>
    <t>O53Y121X</t>
  </si>
  <si>
    <t>805-05</t>
  </si>
  <si>
    <t>F03300174</t>
  </si>
  <si>
    <t>FR.21G.0063</t>
  </si>
  <si>
    <t>BE.145.03</t>
  </si>
  <si>
    <t>T2EY708J</t>
  </si>
  <si>
    <t>BE.21G.0003</t>
  </si>
  <si>
    <t>TY9Y745J</t>
  </si>
  <si>
    <t>UK.21G.2406</t>
  </si>
  <si>
    <t>EASA.145.4617</t>
  </si>
  <si>
    <t>GR3R537L</t>
  </si>
  <si>
    <t>F00100432</t>
  </si>
  <si>
    <t>PQ0419M</t>
  </si>
  <si>
    <t>FR.145.0037</t>
  </si>
  <si>
    <t>Y6TY142X</t>
  </si>
  <si>
    <t>815-03</t>
  </si>
  <si>
    <t>F03300642</t>
  </si>
  <si>
    <t>FR.21G.0010</t>
  </si>
  <si>
    <t>FR.145.0113</t>
  </si>
  <si>
    <t>DI5Y806M</t>
  </si>
  <si>
    <t>897-44</t>
  </si>
  <si>
    <t>F03300168</t>
  </si>
  <si>
    <t>EASA.145.4976</t>
  </si>
  <si>
    <t>UILR299K</t>
  </si>
  <si>
    <t>F00100116</t>
  </si>
  <si>
    <t>CH.145.0251</t>
  </si>
  <si>
    <t>VM8Y694J</t>
  </si>
  <si>
    <t>808-09</t>
  </si>
  <si>
    <t>F04100004</t>
  </si>
  <si>
    <t>CH.21G.0008</t>
  </si>
  <si>
    <t>EASA.145.5015</t>
  </si>
  <si>
    <t>QG3R788L</t>
  </si>
  <si>
    <t>F00100454</t>
  </si>
  <si>
    <t>UK.145.00817</t>
  </si>
  <si>
    <t>VS6Y531J</t>
  </si>
  <si>
    <t>807-11</t>
  </si>
  <si>
    <t>F04400198</t>
  </si>
  <si>
    <t>UK.21G.2321</t>
  </si>
  <si>
    <t>FR.145.0375</t>
  </si>
  <si>
    <t>EASA.21J.039</t>
  </si>
  <si>
    <t>FR.21G.0194</t>
  </si>
  <si>
    <t>UK.145.00860</t>
  </si>
  <si>
    <t>LF7Y504J</t>
  </si>
  <si>
    <t>F04400541</t>
  </si>
  <si>
    <t>UK.21G.2350</t>
  </si>
  <si>
    <t>EASA.145.4787</t>
  </si>
  <si>
    <t>AH4R050M</t>
  </si>
  <si>
    <t>SUBPART K</t>
  </si>
  <si>
    <t>DE.145.0065</t>
  </si>
  <si>
    <t>DE.21G.0172</t>
  </si>
  <si>
    <t>UK.145.00224</t>
  </si>
  <si>
    <t>DQD2021K</t>
  </si>
  <si>
    <t>898-45</t>
  </si>
  <si>
    <t>F04400590</t>
  </si>
  <si>
    <t>UK.21G.2050</t>
  </si>
  <si>
    <t>DE.145.0034</t>
  </si>
  <si>
    <t>LA7Y195J</t>
  </si>
  <si>
    <t>898-09</t>
  </si>
  <si>
    <t>F04900357</t>
  </si>
  <si>
    <t>DE.21G.0028</t>
  </si>
  <si>
    <t>EASA.145.4642</t>
  </si>
  <si>
    <t>GZFR112K</t>
  </si>
  <si>
    <t>F00100395</t>
  </si>
  <si>
    <t>DE.145.0236</t>
  </si>
  <si>
    <t>DE.21G.0034</t>
  </si>
  <si>
    <t>FR.145.0148</t>
  </si>
  <si>
    <t>H5AY376J</t>
  </si>
  <si>
    <t>898-26</t>
  </si>
  <si>
    <t>EASA.145.4260</t>
  </si>
  <si>
    <t>NN2R037L</t>
  </si>
  <si>
    <t>UK.145.01307</t>
  </si>
  <si>
    <t>L3LY498J</t>
  </si>
  <si>
    <t>813-08</t>
  </si>
  <si>
    <t>F04400490</t>
  </si>
  <si>
    <t>UK.21G.2656</t>
  </si>
  <si>
    <t>EASA.145.4561</t>
  </si>
  <si>
    <t>B5IR685J</t>
  </si>
  <si>
    <t>EASA.145.5441</t>
  </si>
  <si>
    <t>L3ZR029X</t>
  </si>
  <si>
    <t>F00100430</t>
  </si>
  <si>
    <t>FR.145.0603</t>
  </si>
  <si>
    <t>I7FY064B</t>
  </si>
  <si>
    <t>817-16</t>
  </si>
  <si>
    <t>F03300751</t>
  </si>
  <si>
    <t>FR.21G.0193</t>
  </si>
  <si>
    <t>UK.145.00857</t>
  </si>
  <si>
    <t>LU6Y506J</t>
  </si>
  <si>
    <t>EASA.145.5894</t>
  </si>
  <si>
    <t>G40R940N</t>
  </si>
  <si>
    <t>F00100555</t>
  </si>
  <si>
    <t>EASA.145.4682</t>
  </si>
  <si>
    <t>MO8R749J</t>
  </si>
  <si>
    <t>PQ1417NM-D</t>
  </si>
  <si>
    <t>EASA.145.4635</t>
  </si>
  <si>
    <t>BP4R084M</t>
  </si>
  <si>
    <t>EASA.145.0080</t>
  </si>
  <si>
    <t>NE1Y345K</t>
  </si>
  <si>
    <t>HKCAD DAI/1/853</t>
  </si>
  <si>
    <t>DAI/1/853</t>
  </si>
  <si>
    <t>EASA.145.0143</t>
  </si>
  <si>
    <t>TX9Y778Y</t>
  </si>
  <si>
    <t>D.200029</t>
  </si>
  <si>
    <t>AWI/143</t>
  </si>
  <si>
    <t>DAI/89/1295</t>
  </si>
  <si>
    <t>EASA.21J.654</t>
  </si>
  <si>
    <t>ES.145.130</t>
  </si>
  <si>
    <t>6PRY863B</t>
  </si>
  <si>
    <t>ES.21G.0002</t>
  </si>
  <si>
    <t>UK.145.00870</t>
  </si>
  <si>
    <t>898-21</t>
  </si>
  <si>
    <t>F04400604</t>
  </si>
  <si>
    <t>EASA.145.5461</t>
  </si>
  <si>
    <t>PB9R229N</t>
  </si>
  <si>
    <t>DE.145.0373</t>
  </si>
  <si>
    <t>Z3QY192Y</t>
  </si>
  <si>
    <t>805-01</t>
  </si>
  <si>
    <t>EASA.21J.251</t>
  </si>
  <si>
    <t>EASA.145.5484</t>
  </si>
  <si>
    <t>C02R361X</t>
  </si>
  <si>
    <t>EASA.145.5074</t>
  </si>
  <si>
    <t>SR0R383N</t>
  </si>
  <si>
    <t>PQ1982NM</t>
  </si>
  <si>
    <t>EASA.145.5375</t>
  </si>
  <si>
    <t>5PHR421B</t>
  </si>
  <si>
    <t>F00100536</t>
  </si>
  <si>
    <t>DE.145.0319</t>
  </si>
  <si>
    <t>DE.21G.0164</t>
  </si>
  <si>
    <t>EASA.145.5617</t>
  </si>
  <si>
    <t>G84R924X</t>
  </si>
  <si>
    <t>F00100747</t>
  </si>
  <si>
    <t>FR.145.0011</t>
  </si>
  <si>
    <t>CNF5912C</t>
  </si>
  <si>
    <t>898-35</t>
  </si>
  <si>
    <t>F03300164</t>
  </si>
  <si>
    <t>AWI/238</t>
  </si>
  <si>
    <t>FR.145.0115</t>
  </si>
  <si>
    <t>3XAY938B</t>
  </si>
  <si>
    <t>897-35</t>
  </si>
  <si>
    <t>F03300170</t>
  </si>
  <si>
    <t>FR.21G.0122</t>
  </si>
  <si>
    <t>DE.145.0403</t>
  </si>
  <si>
    <t>4ZOY588D</t>
  </si>
  <si>
    <t>DE.21G.0212</t>
  </si>
  <si>
    <t>DE.145.0104</t>
  </si>
  <si>
    <t>Z8EY085Y</t>
  </si>
  <si>
    <t>DE.21G.0175</t>
  </si>
  <si>
    <t>FR.145.0682</t>
  </si>
  <si>
    <t>FR.21G.0239</t>
  </si>
  <si>
    <t>EASA.145.5141</t>
  </si>
  <si>
    <t>I2XR205O</t>
  </si>
  <si>
    <t>EASA.145.0101</t>
  </si>
  <si>
    <t>FU4Y193M</t>
  </si>
  <si>
    <t>CAAS AWI/005</t>
  </si>
  <si>
    <t>F06500250</t>
  </si>
  <si>
    <t>AWI/005</t>
  </si>
  <si>
    <t>EASA.145.5899</t>
  </si>
  <si>
    <t>SRXR430X</t>
  </si>
  <si>
    <t>EASA.145.0140</t>
  </si>
  <si>
    <t>VGQY082L</t>
  </si>
  <si>
    <t>CAAS AWI/102</t>
  </si>
  <si>
    <t>F06500267</t>
  </si>
  <si>
    <t>AWI/102</t>
  </si>
  <si>
    <t>FR.145.0519</t>
  </si>
  <si>
    <t>HFPY615X</t>
  </si>
  <si>
    <t>804-05</t>
  </si>
  <si>
    <t>F03300417</t>
  </si>
  <si>
    <t>DE.145.0913</t>
  </si>
  <si>
    <t>EASA.145.0148</t>
  </si>
  <si>
    <t>S7QY329N</t>
  </si>
  <si>
    <t>CAAS AWI/092</t>
  </si>
  <si>
    <t>F06500270</t>
  </si>
  <si>
    <t>AWI/092</t>
  </si>
  <si>
    <t>EASA.145.4729</t>
  </si>
  <si>
    <t>HO5R916M</t>
  </si>
  <si>
    <t>F00100583</t>
  </si>
  <si>
    <t>FSD-QAP-0102</t>
  </si>
  <si>
    <t>EASA.145.0076</t>
  </si>
  <si>
    <t>FT4Y192M</t>
  </si>
  <si>
    <t>CAAS AWI/38</t>
  </si>
  <si>
    <t>F06500255</t>
  </si>
  <si>
    <t>AWI/38</t>
  </si>
  <si>
    <t>FR.145.0547</t>
  </si>
  <si>
    <t>3FTY077B</t>
  </si>
  <si>
    <t>FR.21G.0248</t>
  </si>
  <si>
    <t>EASA.145.0105</t>
  </si>
  <si>
    <t>O63Y132Y</t>
  </si>
  <si>
    <t>FAR O63Y132Y</t>
  </si>
  <si>
    <t>F06300549</t>
  </si>
  <si>
    <t>AWI/255</t>
  </si>
  <si>
    <t>EASA.145.4826</t>
  </si>
  <si>
    <t>C5MR761J</t>
  </si>
  <si>
    <t>F00100597</t>
  </si>
  <si>
    <t>PARTS MANUFACTURER APPROVAL</t>
  </si>
  <si>
    <t>DE.145.0231</t>
  </si>
  <si>
    <t>S71Y596Y</t>
  </si>
  <si>
    <t>818-19</t>
  </si>
  <si>
    <t>FR.145.0179</t>
  </si>
  <si>
    <t>T2HY482J</t>
  </si>
  <si>
    <t>899-15</t>
  </si>
  <si>
    <t>F03300340</t>
  </si>
  <si>
    <t>FR21G.0050</t>
  </si>
  <si>
    <t>FR.145.0001</t>
  </si>
  <si>
    <t>OEQY747L</t>
  </si>
  <si>
    <t>897-41</t>
  </si>
  <si>
    <t>F03300162</t>
  </si>
  <si>
    <t>FR.145.0154</t>
  </si>
  <si>
    <t>Z6OY124B</t>
  </si>
  <si>
    <t>FR 21G 0113</t>
  </si>
  <si>
    <t>3MAY249B</t>
  </si>
  <si>
    <t>FR.145.0004</t>
  </si>
  <si>
    <t>XD6Y805J</t>
  </si>
  <si>
    <t>804-04</t>
  </si>
  <si>
    <t>EASA.145.0370</t>
  </si>
  <si>
    <t>6GCY486B</t>
  </si>
  <si>
    <t>EASA.145.4558</t>
  </si>
  <si>
    <t>XDWR042L</t>
  </si>
  <si>
    <t>EASA.145.4237</t>
  </si>
  <si>
    <t>KA2R945K</t>
  </si>
  <si>
    <t>EASA.145.6515</t>
  </si>
  <si>
    <t>7TGR214C</t>
  </si>
  <si>
    <t>EASA.145.0151</t>
  </si>
  <si>
    <t>LX9Y496N</t>
  </si>
  <si>
    <t>D.200030</t>
  </si>
  <si>
    <t>AWI/150</t>
  </si>
  <si>
    <t>CAAC D.200030</t>
  </si>
  <si>
    <t>EASA.145.0389</t>
  </si>
  <si>
    <t>I33Y875Y</t>
  </si>
  <si>
    <t>D.101641</t>
  </si>
  <si>
    <t>AWI/260</t>
  </si>
  <si>
    <t>CAAC D.101641</t>
  </si>
  <si>
    <t>FR.145.0548</t>
  </si>
  <si>
    <t>N6QY222B</t>
  </si>
  <si>
    <t>FR.145.0627</t>
  </si>
  <si>
    <t>3TRY410C</t>
  </si>
  <si>
    <t>POA COMPLIANCE TABLE AEROSTRUCTURES SERVICES</t>
  </si>
  <si>
    <t>DE.145.0433</t>
  </si>
  <si>
    <t>D3LY360C</t>
  </si>
  <si>
    <t>809-10</t>
  </si>
  <si>
    <t>EASA.145.0117</t>
  </si>
  <si>
    <t>R5CY955J</t>
  </si>
  <si>
    <t>CAAS AWI/138</t>
  </si>
  <si>
    <t>F06500271</t>
  </si>
  <si>
    <t>AWI/138</t>
  </si>
  <si>
    <t>FR.145.0257</t>
  </si>
  <si>
    <t>EQ7Y946N</t>
  </si>
  <si>
    <t>898-16</t>
  </si>
  <si>
    <t>F03300572</t>
  </si>
  <si>
    <t>EASA.145.0149</t>
  </si>
  <si>
    <t>T1LY549Y</t>
  </si>
  <si>
    <t>F06500274</t>
  </si>
  <si>
    <t>AWI/231</t>
  </si>
  <si>
    <t>EASA.145.0356</t>
  </si>
  <si>
    <t>MXVY496Y</t>
  </si>
  <si>
    <t>DE.145.0438</t>
  </si>
  <si>
    <t>DE.21G.0230</t>
  </si>
  <si>
    <t>EASA.145.0032</t>
  </si>
  <si>
    <t>ULCY444L</t>
  </si>
  <si>
    <t>CAAS AWI/105</t>
  </si>
  <si>
    <t>F06500266</t>
  </si>
  <si>
    <t>AWI/105</t>
  </si>
  <si>
    <t>EASA.145.5045</t>
  </si>
  <si>
    <t>CN5R558J</t>
  </si>
  <si>
    <t>EASA.145.0095</t>
  </si>
  <si>
    <t>6LSY577B</t>
  </si>
  <si>
    <t>CAAS AWI/152</t>
  </si>
  <si>
    <t>F06500280</t>
  </si>
  <si>
    <t>AWI/152</t>
  </si>
  <si>
    <t>EASA.145.4185</t>
  </si>
  <si>
    <t>QX3R805L</t>
  </si>
  <si>
    <t>EASA.145.4295</t>
  </si>
  <si>
    <t>KA4R303M</t>
  </si>
  <si>
    <t>F00100410</t>
  </si>
  <si>
    <t>EASA.145.4336</t>
  </si>
  <si>
    <t>RE3R812L</t>
  </si>
  <si>
    <t>F00100484</t>
  </si>
  <si>
    <t>EASA.145.0349</t>
  </si>
  <si>
    <t>36AY986Y</t>
  </si>
  <si>
    <t>CAAS AWI/218</t>
  </si>
  <si>
    <t>F06500469</t>
  </si>
  <si>
    <t>AWI/218</t>
  </si>
  <si>
    <t>EASA.145.4333</t>
  </si>
  <si>
    <t>HB4R226M</t>
  </si>
  <si>
    <t>EASA.145.0383</t>
  </si>
  <si>
    <t>B7FY251J</t>
  </si>
  <si>
    <t>HKCAD AI/79/893</t>
  </si>
  <si>
    <t>AI/79/893</t>
  </si>
  <si>
    <t>UK.145.00242</t>
  </si>
  <si>
    <t>OBDY389L</t>
  </si>
  <si>
    <t>EASA.145.5649</t>
  </si>
  <si>
    <t>QMTR753X</t>
  </si>
  <si>
    <t>EASA.145.7155</t>
  </si>
  <si>
    <t>325-92</t>
  </si>
  <si>
    <t>F01100619</t>
  </si>
  <si>
    <t>TCCA 325-92</t>
  </si>
  <si>
    <t>F03300453</t>
  </si>
  <si>
    <t>EASA.145.4644</t>
  </si>
  <si>
    <t>DA2R761K</t>
  </si>
  <si>
    <t>F00100015</t>
  </si>
  <si>
    <t>EASA.145.4636</t>
  </si>
  <si>
    <t>BH4R076M</t>
  </si>
  <si>
    <t>EASA.145.4618</t>
  </si>
  <si>
    <t>KE7R393J</t>
  </si>
  <si>
    <t>EASA.145.0084</t>
  </si>
  <si>
    <t>GA4Y199M</t>
  </si>
  <si>
    <t>F08100230</t>
  </si>
  <si>
    <t>CH.145.0363</t>
  </si>
  <si>
    <t>EASA.21J.414</t>
  </si>
  <si>
    <t>CH.21G.015</t>
  </si>
  <si>
    <t>EASA.145.5044</t>
  </si>
  <si>
    <t>M74R907N</t>
  </si>
  <si>
    <t>F00100640</t>
  </si>
  <si>
    <t>EASA.145.0313</t>
  </si>
  <si>
    <t>H3UY075N</t>
  </si>
  <si>
    <t>9915-01</t>
  </si>
  <si>
    <t>F06000294</t>
  </si>
  <si>
    <t>AWI/147</t>
  </si>
  <si>
    <t>EASA.145.0073</t>
  </si>
  <si>
    <t>2GUY107C</t>
  </si>
  <si>
    <t>EASA.145.6102</t>
  </si>
  <si>
    <t>S1WR141N</t>
  </si>
  <si>
    <t>FR.145.0466</t>
  </si>
  <si>
    <t>FR.21G.0045</t>
  </si>
  <si>
    <t>EASA.145.4057</t>
  </si>
  <si>
    <t>QCSR241K</t>
  </si>
  <si>
    <t>SEW/940.1116/05</t>
  </si>
  <si>
    <t>EASA.145.0094</t>
  </si>
  <si>
    <t>L28Y128O</t>
  </si>
  <si>
    <t>CAAS AWI/159</t>
  </si>
  <si>
    <t>F06500279</t>
  </si>
  <si>
    <t>AWI/159</t>
  </si>
  <si>
    <t>FR.145.0238</t>
  </si>
  <si>
    <t>B1GY360N</t>
  </si>
  <si>
    <t>816-20</t>
  </si>
  <si>
    <t>PL.145.007</t>
  </si>
  <si>
    <t>2HSY240B</t>
  </si>
  <si>
    <t>812-04</t>
  </si>
  <si>
    <t>F04800611</t>
  </si>
  <si>
    <t>AWI/364</t>
  </si>
  <si>
    <t>EASA.145.0003</t>
  </si>
  <si>
    <t>R4JY276N</t>
  </si>
  <si>
    <t>CAAS AWI/142</t>
  </si>
  <si>
    <t>F06500272</t>
  </si>
  <si>
    <t>AWI/142</t>
  </si>
  <si>
    <t>EASA.145.6093</t>
  </si>
  <si>
    <t>QVTR903L</t>
  </si>
  <si>
    <t>FAA QVTR903L</t>
  </si>
  <si>
    <t>UK.145.01222</t>
  </si>
  <si>
    <t>3OEY420C</t>
  </si>
  <si>
    <t>816-07</t>
  </si>
  <si>
    <t>UK.21G.2620</t>
  </si>
  <si>
    <t>EASA.145.0535</t>
  </si>
  <si>
    <t>6HMY363B</t>
  </si>
  <si>
    <t>F06000550</t>
  </si>
  <si>
    <t>T3FY463X</t>
  </si>
  <si>
    <t>809-05</t>
  </si>
  <si>
    <t>F03300177</t>
  </si>
  <si>
    <t>EASA.145.0588</t>
  </si>
  <si>
    <t>8PGY232D</t>
  </si>
  <si>
    <t>F06000732</t>
  </si>
  <si>
    <t>AWI/329</t>
  </si>
  <si>
    <t>EASA.145.6174</t>
  </si>
  <si>
    <t>2AMR683Y</t>
  </si>
  <si>
    <t>EASA 145.6315</t>
  </si>
  <si>
    <t>2CXR457B</t>
  </si>
  <si>
    <t>EASA.21J.487</t>
  </si>
  <si>
    <t>UK.145.01375</t>
  </si>
  <si>
    <t>715Y200D</t>
  </si>
  <si>
    <t>Y4GY434Y</t>
  </si>
  <si>
    <t>800-28</t>
  </si>
  <si>
    <t>FR.21G.0186</t>
  </si>
  <si>
    <t>EASA.145.6233</t>
  </si>
  <si>
    <t>WUWR327L</t>
  </si>
  <si>
    <t>DE.145.0200</t>
  </si>
  <si>
    <t>DE.21G.0081</t>
  </si>
  <si>
    <t>EASA.145.6325</t>
  </si>
  <si>
    <t>O60R489Y</t>
  </si>
  <si>
    <t>IE.145.008</t>
  </si>
  <si>
    <t>NWXY386L</t>
  </si>
  <si>
    <t>802-07</t>
  </si>
  <si>
    <t>F35300310</t>
  </si>
  <si>
    <t>EASA.21J.372</t>
  </si>
  <si>
    <t>EASA.145.5027</t>
  </si>
  <si>
    <t>UU2R227L</t>
  </si>
  <si>
    <t>F00100102</t>
  </si>
  <si>
    <t>EASA.145.5541</t>
  </si>
  <si>
    <t>HT7R143J</t>
  </si>
  <si>
    <t>L0TY566Y</t>
  </si>
  <si>
    <t>FR.145.0049</t>
  </si>
  <si>
    <t>BD5Y749M</t>
  </si>
  <si>
    <t>808-13</t>
  </si>
  <si>
    <t>F03300630</t>
  </si>
  <si>
    <t>UK.145.01009</t>
  </si>
  <si>
    <t>RQ6Y406C</t>
  </si>
  <si>
    <t>EASA.145.5322</t>
  </si>
  <si>
    <t>OE6R225J</t>
  </si>
  <si>
    <t>FR.145.0175</t>
  </si>
  <si>
    <t>VKQY935X</t>
  </si>
  <si>
    <t>807-06</t>
  </si>
  <si>
    <t>F03300508</t>
  </si>
  <si>
    <t>FR.21G.0196</t>
  </si>
  <si>
    <t>PL.145.010</t>
  </si>
  <si>
    <t>2HWY796C</t>
  </si>
  <si>
    <t>815-21</t>
  </si>
  <si>
    <t>F04800774</t>
  </si>
  <si>
    <t>PL.21G.0002</t>
  </si>
  <si>
    <t>EASA.145.4363</t>
  </si>
  <si>
    <t>YCWR993K</t>
  </si>
  <si>
    <t>EASA.145.7214</t>
  </si>
  <si>
    <t xml:space="preserve"> 8-94</t>
  </si>
  <si>
    <t>TCCA 8-94</t>
  </si>
  <si>
    <t>EASA.145.0509</t>
  </si>
  <si>
    <t>VYDY763K</t>
  </si>
  <si>
    <t>CAAS AWI/167</t>
  </si>
  <si>
    <t>F06500290</t>
  </si>
  <si>
    <t>AWI/167</t>
  </si>
  <si>
    <t>EASA.145.0350</t>
  </si>
  <si>
    <t>OQYY378Y</t>
  </si>
  <si>
    <t>CAAS AWI/215</t>
  </si>
  <si>
    <t>F06500435</t>
  </si>
  <si>
    <t>AWI/215</t>
  </si>
  <si>
    <t>EASA.145.0363</t>
  </si>
  <si>
    <t>UAPY522Y</t>
  </si>
  <si>
    <t>F06600488</t>
  </si>
  <si>
    <t>AWI/243</t>
  </si>
  <si>
    <t>FR.145.0745</t>
  </si>
  <si>
    <t>V45Y126B</t>
  </si>
  <si>
    <t>EASA.145.6553</t>
  </si>
  <si>
    <t>K1KR903X</t>
  </si>
  <si>
    <t>POA COMPLIANCE MATRIX</t>
  </si>
  <si>
    <t>PQ1204NM</t>
  </si>
  <si>
    <t>EASA.145.0145</t>
  </si>
  <si>
    <t>T2ZY563Y</t>
  </si>
  <si>
    <t>F06500275</t>
  </si>
  <si>
    <t>AWI/165</t>
  </si>
  <si>
    <t>EASA.145.4711</t>
  </si>
  <si>
    <t>WE2R263L</t>
  </si>
  <si>
    <t>F00100529</t>
  </si>
  <si>
    <t>EASA.145.7012</t>
  </si>
  <si>
    <t>20-91</t>
  </si>
  <si>
    <t>F01100537</t>
  </si>
  <si>
    <t>TCCA 20-91</t>
  </si>
  <si>
    <t>EASA.145.7098</t>
  </si>
  <si>
    <t>20-00</t>
  </si>
  <si>
    <t>F01100154</t>
  </si>
  <si>
    <t>TCCA 20-00</t>
  </si>
  <si>
    <t>EASA.145.4977</t>
  </si>
  <si>
    <t>SMVR502K</t>
  </si>
  <si>
    <t>F00100149</t>
  </si>
  <si>
    <t>EASA.145.4184</t>
  </si>
  <si>
    <t>XIUR593K</t>
  </si>
  <si>
    <t>F00100647</t>
  </si>
  <si>
    <t>EASA.145.5635</t>
  </si>
  <si>
    <t>J2YR078X</t>
  </si>
  <si>
    <t>EASA.145.7048</t>
  </si>
  <si>
    <t xml:space="preserve"> 12-87</t>
  </si>
  <si>
    <t>FR.145.0211</t>
  </si>
  <si>
    <t>E48Y118X</t>
  </si>
  <si>
    <t>FR.21G.0029</t>
  </si>
  <si>
    <t>EASA.145.0139</t>
  </si>
  <si>
    <t>FW4Y195M</t>
  </si>
  <si>
    <t>CAAS AWI/059</t>
  </si>
  <si>
    <t>F06500251</t>
  </si>
  <si>
    <t>AWI/059</t>
  </si>
  <si>
    <t>EASA.145.4255</t>
  </si>
  <si>
    <t>B4GR448J</t>
  </si>
  <si>
    <t>EASA.145.4511</t>
  </si>
  <si>
    <t>YIUR064J</t>
  </si>
  <si>
    <t>EASA.145.7213</t>
  </si>
  <si>
    <t>35-03</t>
  </si>
  <si>
    <t>TCCA 35-03</t>
  </si>
  <si>
    <t>EASA.145.4138</t>
  </si>
  <si>
    <t>A8LR406J</t>
  </si>
  <si>
    <t>F00100396</t>
  </si>
  <si>
    <t>DE.145.0070</t>
  </si>
  <si>
    <t>DE.21G.0020</t>
  </si>
  <si>
    <t>EASA.145.5893</t>
  </si>
  <si>
    <t>GPYR474X</t>
  </si>
  <si>
    <t>F00100391</t>
  </si>
  <si>
    <t>EASA.145.4891</t>
  </si>
  <si>
    <t>MZAR013L</t>
  </si>
  <si>
    <t>EASA.145.0784</t>
  </si>
  <si>
    <t>8HOY818C</t>
  </si>
  <si>
    <t>D.200024</t>
  </si>
  <si>
    <t>CAAC D.200024</t>
  </si>
  <si>
    <t>EASA.145.6639</t>
  </si>
  <si>
    <t>9RIR104C</t>
  </si>
  <si>
    <t>EASA.145.0796</t>
  </si>
  <si>
    <t>Z5RY553Y</t>
  </si>
  <si>
    <t>78Y370Y</t>
  </si>
  <si>
    <t>808-01</t>
  </si>
  <si>
    <t>FR21G.0116</t>
  </si>
  <si>
    <t>EASA.145.4603</t>
  </si>
  <si>
    <t>VKUR823L</t>
  </si>
  <si>
    <t>F00100581</t>
  </si>
  <si>
    <t>UK.145.01367</t>
  </si>
  <si>
    <t>BE.145.25</t>
  </si>
  <si>
    <t>7EBY844C</t>
  </si>
  <si>
    <t>EASA.145.0739</t>
  </si>
  <si>
    <t>3INY141B</t>
  </si>
  <si>
    <t>EASA.145.0431</t>
  </si>
  <si>
    <t>Q4KY170B</t>
  </si>
  <si>
    <t>F06500558</t>
  </si>
  <si>
    <t>AWI/257</t>
  </si>
  <si>
    <t>UK.145.00608</t>
  </si>
  <si>
    <t>WOWY588K</t>
  </si>
  <si>
    <t>808-21</t>
  </si>
  <si>
    <t>F04400593</t>
  </si>
  <si>
    <t>UK.145.00126</t>
  </si>
  <si>
    <t>TQGY206K</t>
  </si>
  <si>
    <t>897-31</t>
  </si>
  <si>
    <t>UK.145.01272</t>
  </si>
  <si>
    <t>O6RY005B</t>
  </si>
  <si>
    <t>EASA.145.6139</t>
  </si>
  <si>
    <t>DBBR269X</t>
  </si>
  <si>
    <t>EASA.145.0420</t>
  </si>
  <si>
    <t>24AY707Y</t>
  </si>
  <si>
    <t>FAA 24AY707Y</t>
  </si>
  <si>
    <t>F05200546</t>
  </si>
  <si>
    <t>AWI/360</t>
  </si>
  <si>
    <t>EASA.145.4622</t>
  </si>
  <si>
    <t>OB2R051L</t>
  </si>
  <si>
    <t>F00100373</t>
  </si>
  <si>
    <t>EASA.145.7302</t>
  </si>
  <si>
    <t>44-16</t>
  </si>
  <si>
    <t>TCCA 44-16</t>
  </si>
  <si>
    <t>EASA.145.6101</t>
  </si>
  <si>
    <t>S7GR035N</t>
  </si>
  <si>
    <t>UK.145.00518</t>
  </si>
  <si>
    <t>WL5Y964N</t>
  </si>
  <si>
    <t>UK.145.01053</t>
  </si>
  <si>
    <t>Z5KY074B</t>
  </si>
  <si>
    <t>807-19</t>
  </si>
  <si>
    <t>EASA.145.5514</t>
  </si>
  <si>
    <t>F8ER232Y</t>
  </si>
  <si>
    <t>UK.145.01251</t>
  </si>
  <si>
    <t>6UAY331C</t>
  </si>
  <si>
    <t>EASA.145.4334</t>
  </si>
  <si>
    <t>NZ2R049L</t>
  </si>
  <si>
    <t>F00100577</t>
  </si>
  <si>
    <t>SI.145.100</t>
  </si>
  <si>
    <t>EASA.145.6475</t>
  </si>
  <si>
    <t>6T9R165C</t>
  </si>
  <si>
    <t>F00100720</t>
  </si>
  <si>
    <t>33SY148B</t>
  </si>
  <si>
    <t>F06000761</t>
  </si>
  <si>
    <t>EE.145.0102</t>
  </si>
  <si>
    <t>7M1Y679C</t>
  </si>
  <si>
    <t>EASA.145.0864</t>
  </si>
  <si>
    <t>7OOY520D</t>
  </si>
  <si>
    <t>CAAS AWI/388</t>
  </si>
  <si>
    <t>AWI/388</t>
  </si>
  <si>
    <t>EASA.145.0777</t>
  </si>
  <si>
    <t>55CY360D</t>
  </si>
  <si>
    <t>CAAS AWI/373</t>
  </si>
  <si>
    <t>AWI/373</t>
  </si>
  <si>
    <t>EASA.145.5057</t>
  </si>
  <si>
    <t>W7LR106O</t>
  </si>
  <si>
    <t>EASA.145.4576</t>
  </si>
  <si>
    <t>XM2R297L</t>
  </si>
  <si>
    <t>EASA.145.5594</t>
  </si>
  <si>
    <t>PU7R1470</t>
  </si>
  <si>
    <t>F17870742</t>
  </si>
  <si>
    <t>NAA Considered</t>
  </si>
  <si>
    <t>Expired &gt; 60 days</t>
  </si>
  <si>
    <t>Expired &lt; 60 days</t>
  </si>
  <si>
    <t>Expiry in next 60 days</t>
  </si>
  <si>
    <t>ARP Committed certif. date</t>
  </si>
  <si>
    <t>ARP QMS/EMS/Labs certification</t>
  </si>
  <si>
    <t>OASIS STANDARD</t>
  </si>
  <si>
    <t>OASIS Certificate Scope</t>
  </si>
  <si>
    <t>OASIS Number</t>
  </si>
  <si>
    <t>ARP OASIS Number #2</t>
  </si>
  <si>
    <t>OASIS STATUS</t>
  </si>
  <si>
    <t>ARP Certification Expiry Date</t>
  </si>
  <si>
    <t>OASIS Expire Date</t>
  </si>
  <si>
    <t>OASIS Latest Site Visit Date</t>
  </si>
  <si>
    <t>OASIS Issue Date</t>
  </si>
  <si>
    <t>OASIS Reissue Date</t>
  </si>
  <si>
    <t>OASIS Certificate Number</t>
  </si>
  <si>
    <t>ARP Certification Number</t>
  </si>
  <si>
    <t>AS9120:B</t>
  </si>
  <si>
    <t>The Distribution of Aircraft Parts and Components</t>
  </si>
  <si>
    <t>Certified</t>
  </si>
  <si>
    <t>EN9100:2018</t>
  </si>
  <si>
    <t>217480-2017-AQ-GER-D</t>
  </si>
  <si>
    <t>AS9100:D</t>
  </si>
  <si>
    <t>EN9110:2018</t>
  </si>
  <si>
    <t>AFTER-SALES SERVICE FOR ELECTRONIC PRODUCTS IN AERONAUTICS.</t>
  </si>
  <si>
    <t>Design, Manufacture and Repair of Aircraft Accessories such as: Electromechanical and Mechanical Devices and Controls, Water Dispensing Systems and Life Support Systems.</t>
  </si>
  <si>
    <t>AS9110:C</t>
  </si>
  <si>
    <t>The repair and test of the following aerospace and defence systems: Electro thermal ice protection systems. Ice detection accessories. Windscreens and canopies, both heated using thin film technology, and unheated. Electro luminescent panels, signs and station keeping lights. Fibre reinforced plastic components. Metal bonded structures and composites, both heated and unheated, and associated control equipment.</t>
  </si>
  <si>
    <t>Design and manufacturing of electrical / electronic systems</t>
  </si>
  <si>
    <t>AC_0024-08</t>
  </si>
  <si>
    <t>Design, manufacture and repair of the following aerospace equipment: electronic clocks, emergency locator transmitters and navigation lights.
Design, manufacture and repair of slip ring assemblies for aerospace and defence applications.</t>
  </si>
  <si>
    <t>Provide Services on Modifications, Maintenance, Repair and Spares Engineering for Aircraft and components</t>
  </si>
  <si>
    <t>190089-2015-AQ-FRA-A</t>
  </si>
  <si>
    <t>Research, design, manufacture, technical support, and distribution of qualified aircraft wheels, brakes, brake management systems and tire pressure monitoring systems for civil and military applications. Repair and overhaul of brake management &amp; tire pressure monitoring systems.</t>
  </si>
  <si>
    <t>FS 589140</t>
  </si>
  <si>
    <t>The design, development, manufacture, repair, service and overhaul of: Environmental Control Systems, Liquid Conditioning Systems, Liquid and Air Filtration Systems, Heating and Cooling Systems, fire detection and suppression systems, Motion and Motion Control Systems, Actuators, Sensors and Switches including controllers, fans, generators, compressors, valves, fluid analysis equipment, precision electromechanical components and control systems, assistive technology and cursor control devices for the aerospace, military, defence, marine, rail and industrial applications.</t>
  </si>
  <si>
    <t>EN9120:2018</t>
  </si>
  <si>
    <t>05885-2006-AQ-HOU-AN</t>
  </si>
  <si>
    <t>17.331.3</t>
  </si>
  <si>
    <t>The design, manufacture, and factory service of instruments and accessories for aircraft and land based turbine engines.</t>
  </si>
  <si>
    <t>10002934 AS0016A</t>
  </si>
  <si>
    <t>394460 AS0018D</t>
  </si>
  <si>
    <t>The Design, Manufacture, and Servicing of Precision Pumps and Similar Fluid Flow Devices for Aircraft and Industrial Markets.  Additional Services Provided to a Variety of Markets, Including Electroless and Electrolytic Plating, Anodizing, and Full Range of Materials Laboratory Testing and Evaluation Techniques.</t>
  </si>
  <si>
    <t>96-562-07</t>
  </si>
  <si>
    <t>DESIGN, MANUFACTURING, MARKETING, SALE AND AFTER-SALES SERVICES:
- ELECTRIC MOTORS, ELECTRO-MAGNETIC SENSORS;
- ELECTRO-MECHANICAL ACTUATING SYSTEMS;
- ELECTRIC POWER GENERATION AND CONVERSION SYSTEMS;
- SERVO-SYSTEMS.</t>
  </si>
  <si>
    <t>2008/31853.6</t>
  </si>
  <si>
    <t>Development, production and sales of sensor systems and aeronautical products for the aerospace industry.</t>
  </si>
  <si>
    <t>DESIGN, PRODUCTION, SALES AND AFTER SALES SUPPORT OF SENSORS
AND ASSOCIATED AEROSPACE MEASURING SYSTEMS.
CONCEPTION, PRODUCTION, VENTE ET SOUTIEN APRES VENTE DE CAPTEURS
ET DE SYSTEMES DE MESURES AERONAUTIQUES.</t>
  </si>
  <si>
    <t>Design, assembly, test and repair of static inverters, frequency converters, TRU, RTRU, lighting and power controllers, fans and custom systems for military and commercial aerospace and defense applications.</t>
  </si>
  <si>
    <t>US07/1140</t>
  </si>
  <si>
    <t>Design, Manufacture, Test &amp; Repair station servicing of various products for Avionics, Aerospace, Military Products &amp; Systems and Power &amp; Vehicle Systems including Software and associated Customer Training.</t>
  </si>
  <si>
    <t>UK011681</t>
  </si>
  <si>
    <t>Design, manufacture, sale and support of high-technology electronic products including avionics, communications, specialized electronic components and subcontracting of electronics assemblies.</t>
  </si>
  <si>
    <t>FM 63598</t>
  </si>
  <si>
    <t>Miami, FL: Repair management, overhaul, repair, test, distribution of aerospace components. Design. manufacturing, distribution and recertification of ground support test equipment.
Louisville, KY: Overhaul, repair, test aerospace components.
Tempe, AZ: Overhaul, repair, test aerospace components and recertification of ground support test equipment.</t>
  </si>
  <si>
    <t>A-725-AS</t>
  </si>
  <si>
    <t>FR18/81842733</t>
  </si>
  <si>
    <t>Design, analyze, test, develop, manufacture, repair, maintenance, overhaul and rebuild
of products and systems to control vibration, mechanical shock and structureborne
noise in the Aerospace industry.</t>
  </si>
  <si>
    <t>Design and Development, Production, Sales, Maintenance and Repair of Radio and Navigation Equipment, GPS-based Navigation Systems, Audio and Video-Systems, Search and Rescue Systems, Air Traffic Control Systems.</t>
  </si>
  <si>
    <t>12 210 20985</t>
  </si>
  <si>
    <t>The maintenance, repair and overhaul of aircraft wheels, carbon and steel brakes.</t>
  </si>
  <si>
    <t>FM 634230</t>
  </si>
  <si>
    <t>Design, develop, manufacture, overhaul and repair of structures and systems for protection and restraint of aerospace and defence applications – with particular expertise in engineered textiles.</t>
  </si>
  <si>
    <t>GB94/3721</t>
  </si>
  <si>
    <t>Design, Manufacture and Service of Electromechanical Products and Systems for the Aerospace and Defense Industry</t>
  </si>
  <si>
    <t>IN GETAFE), SAN PABLO) and LA RINCONADA) The maintenance of systems, equipment and components electro and fluidmechanics for Aeronautical, Aerospace and Defense Applications.
IN LA RINCONADA) Line and base aircraft maintenance tasks at customer’s or third party’s facilities.</t>
  </si>
  <si>
    <t>OP-0010/2016</t>
  </si>
  <si>
    <t>The design, manufacture and servicing of mechanical and electrical systems, including engine controls, environmental controls, pumps, valves and support equipment servicing the aerospace, industrial and marine markets.</t>
  </si>
  <si>
    <t>Maintenance, repair and overhaul of check valves, relief and shutoff valves, solenoids and motor operated valves, regulators, and pressure gages, landing gear systems and their related components and assemblies for the aerospace, defense industries.</t>
  </si>
  <si>
    <t>Development, production, sales and maintenance of mechanical, electrical and electronic systems as well as software products and test equipment for aerospace and military applications</t>
  </si>
  <si>
    <t>DE007790-1</t>
  </si>
  <si>
    <t>FM 29082-2</t>
  </si>
  <si>
    <t>Maintenance of Aircraft / Aircraft Components and Pax to Freighter Conversion</t>
  </si>
  <si>
    <t>07055-2004-AQ-HOU-AN</t>
  </si>
  <si>
    <t>Design, Manufacture and Servicing of Customized Pressure Switches, Transducers, and Integrated Systems</t>
  </si>
  <si>
    <t>01473-2004-AQ-HOU-AN</t>
  </si>
  <si>
    <t>The Design, Manufacture, and Repair and Overhaul of Hydraulic Fluid Power Components for the Aviation, Space and Defense Industries.</t>
  </si>
  <si>
    <t>09178-2009-AQ-HOU-AN</t>
  </si>
  <si>
    <t>The design and manufacture of ozone converters for the aerospace industry.</t>
  </si>
  <si>
    <t>10000744 AS0016A</t>
  </si>
  <si>
    <t>DESIGN, DEVELOPMENT, MANUFACTURING, SALES AND SUPPORT OF COMPONENTS AND SYSTEMS IN DOMAIN OF ELECTRICAL POWER MANAGEMENT.</t>
  </si>
  <si>
    <t>8572648-REV0</t>
  </si>
  <si>
    <t>01 117 020650</t>
  </si>
  <si>
    <t>Marketing, sales, design, production, maintenance and product support of military and civil helicopters and airplane components</t>
  </si>
  <si>
    <t>282727-2019-AQ-FRA-A</t>
  </si>
  <si>
    <t>Repair, modification, overhaul and logistic services of aircraft and aircraft parts for commercial and defense sector. Manufacturing of aircraft parts and equipment for the commercial and defense sector. Technical services to operators. Design of minor and major changes to Type Certificate (TC) and Supplemental Type Certificates (STC).</t>
  </si>
  <si>
    <t>00026028-001</t>
  </si>
  <si>
    <t>The design, test, installation, development and manufacture of equipment for the aerospace, defence and commercial industries including ram air and gas turbines, gearboxes, screwjacks, pumps and fuel/inertic systems, motors, generators, starters, actuators, valves, wire wound products (stators) and solenoids, air ducting systems, air stairs and structural and mechanical assemblies, auxiliary power units, digital and analogue electronic controllers of systems, hydraulic fuel and pneumatic control and systems equipment and fluidic devices, aircraft fuelling equipment. Provision of associated overhaul and repair and product support activities. Processing plant for surface treatment/coatings and heat treatment in accordance with national, international, customer and company specifications.</t>
  </si>
  <si>
    <t>251208-2017-AQ-GBR-A</t>
  </si>
  <si>
    <t>Management System for Aircraft Maintenance &amp; Modification; Aircraft Engine Maintenance; Aircraft Component &amp; Landing Gear Inspection Repair, Modification&amp; Overhaul; and Specialized Services involved thereof.</t>
  </si>
  <si>
    <t>FM 533406</t>
  </si>
  <si>
    <t>The design, development, production, product support and repair of aircraft lighting, supply- and control units, and associated electronic equipment.</t>
  </si>
  <si>
    <t>FM 517882</t>
  </si>
  <si>
    <t>FM 720451</t>
  </si>
  <si>
    <t>The overhaul, repair, modification and sale of aerospace control systems and components including mechanical and electronic engine accessories, air management systems, starter systems and aircraft accessories.</t>
  </si>
  <si>
    <t>FS 719786</t>
  </si>
  <si>
    <t>FS719786</t>
  </si>
  <si>
    <t>The repair of electrical power generator, mechanical actuator and ram air turbine systems to serviceable limits.</t>
  </si>
  <si>
    <t>FS 724103</t>
  </si>
  <si>
    <t>CERT-0134518</t>
  </si>
  <si>
    <t>The overhaul and repair of aircraft electronic control systems utilized for power distribution, flight control actuation and engine starting applications.</t>
  </si>
  <si>
    <t>FS 721693</t>
  </si>
  <si>
    <t>Design, production, sales and maintenance of electroacoustic equipment</t>
  </si>
  <si>
    <t>DE010838-1</t>
  </si>
  <si>
    <t>173289-2015-AQ-USA-A</t>
  </si>
  <si>
    <t>FM 32216-1</t>
  </si>
  <si>
    <t>MAINTENANCE AND REPAIR OF LANDING GEARS, HYDRAULIC AND MECHANICAL EQUIPMENTS FOR AIRCRAFTS..</t>
  </si>
  <si>
    <t>The assembly, repair, overhaul, modification, test and inspect of oxygen and other breathing equipment, pneumatic and other gaseous systems, fire protection equipment, fuel systems and hydraulic equipment. The manufacture of test rigs and equipment. The repair, overhaul, modification, test and inspect of location beacons, life rafts, life vest, escape slides, ballast units and heat exchangers. The stockholding of a diverse range of aircraft components with traceability for Service Exchange Program purposes</t>
  </si>
  <si>
    <t>FS 722410</t>
  </si>
  <si>
    <t>FS722410</t>
  </si>
  <si>
    <t>Design, Manufacture, Repair and Service of Aerospace Electronic Components, Flight Control Sticks, Grips, Wheels and Specialized Switching.</t>
  </si>
  <si>
    <t>155622-2014-AQ-USA-A</t>
  </si>
  <si>
    <t>The provision of Aircraft Maintenance, repair and overhaul of Customer operated aircraft including supporting component maintenance.</t>
  </si>
  <si>
    <t>FM 706316</t>
  </si>
  <si>
    <t>Campus: (Central Office) Design, Manufacture and Service of AC and DC Power Conversion Products for Airborne and Military Applications with Assembly Operations in Arcadia and Upland, CA.</t>
  </si>
  <si>
    <t>0Z571-AS10</t>
  </si>
  <si>
    <t>Design and Manufacture of Pressure Transducers</t>
  </si>
  <si>
    <t>Design, development, manufacture and maintenance of fire protection systems, inflating systems, safety systems, Design and manufacture of fasteners, Sales of associated spare parts, For Aerospace, and Defense industry.</t>
  </si>
  <si>
    <t>FM 726245</t>
  </si>
  <si>
    <t>FR14/19033</t>
  </si>
  <si>
    <t>DESIGN, MANUFACTURE AND MAINTENANCE OF PRODUCTS AND SYSTEMS FOR AIRBORNE OR GROUND APPLICATIONS.</t>
  </si>
  <si>
    <t>Test, repair and overhaul of pneumatic, bleed, hydraulic, landing gear and control equipment, as well as, providing technical support and sales of aircraft parts.</t>
  </si>
  <si>
    <t>6M961-AS11</t>
  </si>
  <si>
    <t>Marketing and Sales, Design, Production and Maintenance of Sensors and Systems for 
- Airborne Application 
- Land Application 
- Naval Application 
- Industry Application</t>
  </si>
  <si>
    <t>159354-2014-AQ-GER-D</t>
  </si>
  <si>
    <t>192045-2015-AQ-GER-D</t>
  </si>
  <si>
    <t>179841-2015-AQ-GER-D</t>
  </si>
  <si>
    <t>112381-2012-AQ-USA-A</t>
  </si>
  <si>
    <t>FM 724272</t>
  </si>
  <si>
    <t>Design, development, manufacture, assembly and associated support activities of two value streams for military and commercial aircraft :
- Landing gear systems (campus n° 1), 
- Wheels, brakes, and systems equipments (campus n° 2).
Support activities at customer assembly line of two value streams for commercial aircraft :
- Landing gear systems (campus n° 1),
- Wheels, brakes, and systems equipments (campus n° 2).
Management of maintenance, repair and overhaul activities for landing gear systems, wheels, brakes, and systems equipments (campus n°3).</t>
  </si>
  <si>
    <t>Design, development, manufacturing and servicing of aeronautical, space, naval, railway and industrial products.</t>
  </si>
  <si>
    <t>FM 587689</t>
  </si>
  <si>
    <t>Campus: (Central Office) Design and manufacture of hydraulic, mechanical and electrical control systems, servo-actuators and components including service and repair.</t>
  </si>
  <si>
    <t>C0323188-AS6</t>
  </si>
  <si>
    <t>FM 69245</t>
  </si>
  <si>
    <t>Campus: (Central Office) Design and manufacture hydraulic, mechanical and electrical control systems, servo-actuators and components including service and repair.</t>
  </si>
  <si>
    <t>C0323185-AS6</t>
  </si>
  <si>
    <t>FS 723775-2</t>
  </si>
  <si>
    <t>The maintenance, fabrication and design of a repair process of OEM and commercial aircraft components for OEM, military and government aircraft components, including field services.</t>
  </si>
  <si>
    <t>FM 558567-2</t>
  </si>
  <si>
    <t>Repair, overhaul and testing of heat exchangers, fuel-oil heaters, cockpit instruments, pneumatic and hydraulic components for commercial and military flight applications.</t>
  </si>
  <si>
    <t>Customer Support Operations (CSO) reviews, administers and coordinates the following product and services: repair and spares contracts, technical publications, customer technical training, and customer support engineering on behalf of Parker divisions for commercial and/or military customers</t>
  </si>
  <si>
    <t>The Design, Development, Manufacture and Service of Aircraft Fluid Management/Measurement Systems, Flight Deck Equipment, Engine Performance Indicators, Fiber-Optic and Video Monitoring Systems, and Electronic Controller</t>
  </si>
  <si>
    <t>Design, Development, Manufacturing And Sale Of Mechanical Seals And Welded And Hydroformed Belows Accumulators, Reservoirs And Assembles
Conception, Développement, Fabrication et Vente de Garnitures Mécaniques d’Etanchéité et d’accumulateurs, Réservoirs et Equipements A Soufflets Soudes Et Hydroformes.</t>
  </si>
  <si>
    <t>209975-2016-AQ-FRA-A</t>
  </si>
  <si>
    <t>Design, Production and Maintenance (Manufactured by the organization) 
of structural assemblies and components, as well as bended and welded tubes, ducts for the aerospace industry</t>
  </si>
  <si>
    <t>AC_0068-10</t>
  </si>
  <si>
    <t>The design, manufacture and repair/rework of aircraft windshields and specialty transparencies to Worldwide aerospace customers and PPG specifications/requirements.</t>
  </si>
  <si>
    <t>FM 22822</t>
  </si>
  <si>
    <t>01/01/1111</t>
  </si>
  <si>
    <t>Design, development, manufacture, assembly and test, post-delivery field service and technical support of gas turbine engines, spare parts, and associated equipment and tooling.</t>
  </si>
  <si>
    <t>FM 722735</t>
  </si>
  <si>
    <t>FM 721502-2</t>
  </si>
  <si>
    <t>Design and manufacture of solar protection systems for cockpit and cabin (Manual &amp; electric roller shades, Sun visors, Roller blinds, Dimmable windows &amp; glasses); cabin management systems; in-flight entertainment (Audio &amp; video); video survey systems; emergency escape systems; decompression systems; cockpit doors; windows and opening for helicopters (jettisonable frames, emergency exits and doors); composite components and systems; handles; interior housings; air duct systems for aeronautic.</t>
  </si>
  <si>
    <t>Design, development, manufacturing and support of aviation electronic systems and products.</t>
  </si>
  <si>
    <t>FM 723768</t>
  </si>
  <si>
    <t>FM 727760</t>
  </si>
  <si>
    <t>Maintenance, Repair and Overhaul of aircraft engine nacelles.</t>
  </si>
  <si>
    <t>FM 640565</t>
  </si>
  <si>
    <t>Design, manufacture and service of sensors and sensor based subsystems, wiper systems, video and laser surveillance subsystems, cockpit data management (CDM) and electronic flight bag systems (EFB) for aerospace and other industries.</t>
  </si>
  <si>
    <t>FM 517880</t>
  </si>
  <si>
    <t>DESIGN, DEVELOPMENT, PRODUCTION AND SALE OF SECONDARY BATTERIES; RELATED AFTER-SALES SUPPORT.</t>
  </si>
  <si>
    <t>DESIGN, MANUFACTURING AND SALE OF TRANSPARENCIES AND WINDOW GLASSES FOR AERONAUTICS.</t>
  </si>
  <si>
    <t>FM 29082-1</t>
  </si>
  <si>
    <t>DESIGN, DEVELOPMENT, PRODUCTION AND MAINTENANCE OF ELECTRICAL MOTORS, SENSORS, ELECTROMECHANICAL ACTUATORS, ELECTRONIC CONTROL UNITS AND ELECTROMECHANICAL APPLICATIONS FOR AEROSPACE, SPACE AND DEFENCE INDUSTRIES.</t>
  </si>
  <si>
    <t>7257855-Rev0</t>
  </si>
  <si>
    <t>7257855-REV0</t>
  </si>
  <si>
    <t>US012692-2</t>
  </si>
  <si>
    <t>Provision of Overhaul, Repair, Modification, Maintenance, Inspection, &amp; Testing of Aircraft and Related Components.  Provision of Aircraft Maintenance Support Services.  Provision of Aviation Skills and Technical Training.</t>
  </si>
  <si>
    <t>The design, manufactures, installation, service and repair of aerospace and defense electronic and mechanical systems, including the design, development, and maintenance of software.</t>
  </si>
  <si>
    <t>FM 517474</t>
  </si>
  <si>
    <t>DESIGN, DEVELOPMENT, QUALIFICATION, MANUFACTURING, INSTALLATION, OVERHAUL, REPAIR AND MAINTENANCE OF AVIONIC SATELLITE SYSTEMS, SUB-SYSTEMS AND EQUIPMENT FOR TELECOMMUNICATION, RADIO NAVIGATION AND IDENTIFICATION, AND RELEVANT ASSOCIATED SOFTWARE. DESIGN, DEVELOPMENT, QUALIFICATION, MANUFACTURE, GENERAL OVERHAUL AND MAINTENANCE OF DISPLAY AND CONTROL SYSTEMS, FLIGHT CONTROL SYSTEMS, STORES MANAGEMENT SYSTEMS, NAVIGATION, SURVEILLANCE AND TARGETING ELECTROOPTIC SYSTEMS, NAV/ATTACK SYSTEMS, ELECTRONIC SURVEILLANCE SYSTEMS, SUPPORT SYSTEMS AND LOGISTICS, ASSOCIATED SOFTWARE
DEVELOPMENT. DESIGN, DEVELOPMENT, MANUFACTURE, TESTING AND AFTER SALES SERVICING OF SPACEBORNE EQUIPMENT FOR THE SPACE AGENCIES: PHOTO-VOLTAIC ARRAY SOLAR POWER GENERATORS, ELECTRO POWER AND DISTRIBUTION EQUIPMENT SYSTEMS, RADIOFREQUENCY SYSTEMS, ROBOTIC SYSTEMS, ATOMIC CLOCKS. DESIGN, DEVELOPMENT, TESTING AND AFTER SALES SERVICING OF SPACEBORNE EQUIPMENT FOR THE SPACE AGENCIES: ELECTRO-OPTICAL SENSORS FOR ATTITUDE MEASUREMENT, ELECTRO-OPTICAL AND ELECTROMECHANICAL EQUIPMENT FOR MISSION PAYLOADS, COLD-GAS MICROTHRUST SYSTEMS, LASER SYSTEMS. DESIGN, MANUFACTURE,
GENERAL OVERHAUL, REPAIR, AND MAINTENANCE OF VEHICLE MANAGEMENT MISSION AND UTILITY AVIONIC SYSTEM, RADAR SYSTEMS, INFRARED SYSTEMS, TEST/MAINTENANCE TOOLS AND SOFTWARE FOR REAL-TIME APPLICATIONS. DESIGN, DEVELOPMENT, MANUFACTURE, GENERAL OVERHAUL, REPAIR AND MAINTENANCE OF UAV'S, SIMULATORS AND THEIR TEST/MAINTENANCE TOOLS AND SOFTWARE FOR REALTIME APPLICATIONS. DESIGN, DEVELOPMENT, MANUFACTURE AND MAINTENANCE OF: POWER VACUUM DEVICES, AND AMPLIFIERS BASED ON THESE, OPERATING AT RADIO FREQUENCY AND MICROWAVES; MODULES, ASSEMBLIES AND HYBRID SUBSYSTEMS OF MICROELECTRONIC WITH SOLID STATE RF CIRCUITS USED FOR PROCESSING, RECEPTION, TRANSMISSION, AND GENERATION OF RADIO FREQUENCY AND MICROWAVES SIGNAL. DESIGN, DEVELOPMENT, MANUFACTURING AND SERVICE OF: ELECTROLUMINESCENT LAMPS, LIGHTED AND UNLIGHTED PANELS, KEYBOARDS, PROGRAMMABLE PUSH BUTTONS, CONTROL UNITS, LED DISPLAYS, GRAPHIC LCD DISPLAYS, EXTERNAL AND INTERNAL LIGHTS, POWER SUPPLIES, HANDGRIPS, NVG TRANSFORMATION.
PROGETTAZIONE, SVILUPPO, QUALIFICAZIONE, COSTRUZIONE, INSTALLAZIONE, REVISIONE, RIPARAZIONE E MANUTENZIONE DI SISTEMI, SOTTOSISTEMI, APPARATI PER TELECOMUNICAZIONE, RADIONAVIGAZIONE ED IDENTIFICAZIONE DI IMPIEGO AVIONICO, INCLUSI I RELATIVI SOFTWARE ASSOCIATI. PROGETTAZIONE, SVILUPPO, QUALIFICAZIONE, COSTRUZIONE, REVISIONE E MANUTENZIONE DI SISTEMI DI PRESENTAZIONE E CONTROLLO DEL VOLO, SISTEMI DI GESTIONE DEI CARICHI BELLICI, SISTEMI ELETTROOTTICI PER NAVIGAZIONE, SORVEGLIANZA E PUNTAMENTO, SISTEMI DI NAVIGAZIONE E ATTACCO, SISTEMI DI SORVEGLIANZA ELETTRONICA, SISTEMI DI SUPPORTO E LOGISTICA, SVILUPPO DEL SOFTWARE ASSOCIATO. PROGETTAZIONE, SVILUPPO, COSTRUZIONE, PROVE DI ACCETTAZIONE ED ASSISTENZA DI PRODOTTI SPAZIALI PER IL MERCATO DELLE AGENZIE SPAZIALI: GENERATORI SOLARI FOTO-VOLTAICI, SISTEMI DI ALIMENTAZIONE E DISTRIBUZIONE ELETTRICA, APPARATI A RADIOFREQUENZA, SISTEMI ROBOTICI, OROLOGI ATOMICI. PROGETTAZIONE, SVILUPPO, PROVE DI ACCETTAZIONE ED ASSISTENZA DI PRODOTTI SPAZIALI PER IL MERCATO DELLE AGENZIE SPAZIALI: SENSORI ELETTROOTTICI PER LA MISURA DI ASSETTO, STRUMENTI ED APPARATI ELETTROOTTICI ED ELETTROMECCANICI PER IL CARICO UTILE DI MISSIONE, SISTEMI A GAS FREDDO PER MICROPROPULSIONE, SISTEMI LASER. PROGETTAZIONE, SVILUPPO, QUALIFICAZIONE, PRODUZIONE, REVISIONE, RIPARAZIONE E MANUTENZIONE DI SISTEMI AVIONICI DI GESTIONE VELIVOLO, DI MISSIONE E DI SUPPORTO, SISTEMI RADAR, SISTEMI ALL’INFRAROSSO, ATTREZZATURE SPECIALI PER IL LORO COLLAUDO / MANUTENZIONE E RELATIVO SOFTWARE PER APPLICAZIONI IN TEMPO REALE. PROGETTAZIONE, SVILUPPO, COSTRUZIONE, REVISIONE, RIPARAZIONE E MANUTENZIONE DI AEREI TELEGUIDATI, SIMULATORI DI VOLO, LORO SISTEMI DI SUPPORTO ED ATTREZZATURE SPECIALI PER IL LORO COLLAUDO/MANUTENZIONE E RELATIVO SOFTWARE PER APPLICAZIONI IN TEMPO REALE. PROGETTAZIONE, SVILUPPO, COSTRUZIONE E MANUTENZIONE DI: DISPOSITIVI A VUOTO DI POTENZA, ED AMPLIFICATORI BASATI SU QUESTI, OPERANTI A RADIOFREQUENZA E NELLE MICROONDE; MODULI, ASSIEMI E SOTTO-SISTEMI IBRIDI DI MICROELETTRONICA CON CIRCUITI RF ALLO STATO SOLIDO UTILIZZATI PER L’ELABORAZIONE, RICEZIONE, TRASMISSIONE E GENERAZIONE DI SEGNALI A RADIOFREQUENZA ED A MICROONDE. PROGETTAZIONE, SVILUPPO, COSTRUZIONE E ASSISTENZA POST VENDITA DI: LAMPADE ELETTROLUMINESCENTI, PANNELLI LUMINOSI E PANNELLI NON LUMINOSI, TASTIERE, PULSANTI PROGRAMMABILI, UNITÀ DI CONTROLLO, DISPLAY A LED, DISPLAY GRAFICI LCD, MANETTE DI COMANDO, LUCI ESTERNE ED INTERNE, ALIMENTATORI, TRASFORMAZIONI NVG.</t>
  </si>
  <si>
    <t>AS/142/16/S</t>
  </si>
  <si>
    <t>Design, Manufacturing, Maintenance and Sales of Actuators, Valves, Hydraulic Equipment, Engine Controls, Mechanical Flight Controls and Landing Gear</t>
  </si>
  <si>
    <t>AC_0216-02</t>
  </si>
  <si>
    <t>FM 52407-2</t>
  </si>
  <si>
    <t>The maintenance of products manufactured by GE Aviation and the provision of test equipment, customer support, logistic planning and customer training associated with these products. The maintenance of similar products of other manufacturer's design.</t>
  </si>
  <si>
    <t>FS 580998-1</t>
  </si>
  <si>
    <t>DESIGN, TEST, MANUFACTURE, MAINTENANCE AND REPAIR OF AERONAUTICAL AND SPACE PARTS, ASSEMBLIES, SYSTEMS AND RELATED TOOLINGS</t>
  </si>
  <si>
    <t>9348145-Rev0</t>
  </si>
  <si>
    <t>9348145-REV0</t>
  </si>
  <si>
    <t>THE DESIGN, MANUFACTURE AND REPAIR OF HYDRAULIC AND PNEUMATIC VALVES, ACTUATORS, CONTROLS AND ELECTRONICS</t>
  </si>
  <si>
    <t>9396-2004-AQ-HOU-ANA</t>
  </si>
  <si>
    <t>JISQ9100:2016</t>
  </si>
  <si>
    <t>BSKA0043</t>
  </si>
  <si>
    <t>Repair and Maintenance of electronic equipment</t>
  </si>
  <si>
    <t>GB18/962463</t>
  </si>
  <si>
    <t>The Design, Manufacture, Repairs, and Servicing of Commercial Airborne Products and Ground Based Solutions and Services for Both the Commercial and Military Aviation Markets. 
These Products or Services Include, But Are Not Limited to:
• Airborne Data Acquisition &amp; Recording Systems 
• Airborne Wireless Communication Products 
• Airborne Network Computing Systems and Extension Devices
• Airborne and Ground Based Data Loading Products and Services
• Airborne Application Engineering Services for The Airline, Commuter and Helicopter Markets.
• Ground Based Support Equipment and Associated Application Engineering Services
• Ground Based Aircraft Data Processing, Replay and Analysis Services</t>
  </si>
  <si>
    <t>09180-2006-AQ-HOU-AN</t>
  </si>
  <si>
    <t>Campus: The Design, Development, Manufacture, and Service of Components for Commercial and Military Aerospace Engines, Industrial Engines, Airframes and Other Vehicles.</t>
  </si>
  <si>
    <t>FS 584680</t>
  </si>
  <si>
    <t>Design, manufacture and repair of electro-hydraulic components</t>
  </si>
  <si>
    <t>10000324108-MSC-ACCR</t>
  </si>
  <si>
    <t>Design, development, manufacture, repair and product support of mechanical, hydraulic, pneumatic, electro-mechanical and electronic equipment for aerospace flying controls, hydraulics, actuation, ignition, power switching, monitoring and distribution systems. Overhaul and repair of cargo handling power drive units for civil aerospace.</t>
  </si>
  <si>
    <t>FM 523143</t>
  </si>
  <si>
    <t>Design, Manufacture and Servicing of Electronic Systems and Equipment</t>
  </si>
  <si>
    <t>10263/3</t>
  </si>
  <si>
    <t>Production, installation, maintenance and design of Structure Components and Sub-Assemblies for Aerospace</t>
  </si>
  <si>
    <t>44 117 077017</t>
  </si>
  <si>
    <t>FM 24809</t>
  </si>
  <si>
    <t>Development, production, sales and product support of actuation systems for primary and secondary flight controls, landing gear systems, environmental control systems, gear boxes for engines and helicopters including the dedicated electronic controls, as well as deliverable software for these systems</t>
  </si>
  <si>
    <t>159325-2014-AQ-GER-D</t>
  </si>
  <si>
    <t>Provision of Distribution and Management Services for Aircraft Components and Engines.</t>
  </si>
  <si>
    <t>GECA-006-10-20-1</t>
  </si>
  <si>
    <t>Manufacturing, testing, support engineering, and repair station servicing of various products and systems for avionics, aerospace and military.</t>
  </si>
  <si>
    <t>US014576-1</t>
  </si>
  <si>
    <t>US014576</t>
  </si>
  <si>
    <t>US013873-1</t>
  </si>
  <si>
    <t>Design, manufacture, assembly, and maintenance of oxygen and PSU systems for the civil aviation and military industries.</t>
  </si>
  <si>
    <t>FM 723557</t>
  </si>
  <si>
    <t>Repairs, overhauls, tests and incorporates OEM modifications on standby attitude
indicators, remote displacement gyros, power supplies, static inverters, TCAS, Voice
and Flight Data Recorders and other specialized avionics products for civilian and
military applications that were designed and manufactured by L3 Aviation Products, Inc.</t>
  </si>
  <si>
    <t>The design, development, manufacture, and repair of illuminated displays and integrated displays and integrated switch panels, control panel assemblies, and accessories.</t>
  </si>
  <si>
    <t>10002089 AS0016A</t>
  </si>
  <si>
    <t>Design, support, manufacture &amp; repair of aviation safety systems, including traffic
collision avoidance &amp; terrain avoidance</t>
  </si>
  <si>
    <t>Design, manufacture and distribution of aerospace wheels, brakes, braking systems and carbon composite products.</t>
  </si>
  <si>
    <t>FM 516976</t>
  </si>
  <si>
    <t>Repair and overhaul of engine fuel management systems including off-site work including associated analogue and digital control units and accessories for civil and military aircraft, marine and industrial applications. Management of Enterprise Aftermarket Services agreements for the provision of repair, exchange and loan services to key aerospace customers.</t>
  </si>
  <si>
    <t>FM 523573-1</t>
  </si>
  <si>
    <t>FM 523573</t>
  </si>
  <si>
    <t>The repair, overhaul, modification and testing of electronic accessories, gyro instruments and electronic instruments for military and commercial applications.</t>
  </si>
  <si>
    <t>Main Scope: Design and manufacturer of cabin systems and equipment and composite products for the transportation and aerospace industry.
Carson - Design, manufacturer and repair of cabin systems and equipment for the transportation industry. QMS management process, customer-related process, engineering and program management, purchasing, operations process, and repair station process.
Mexico - Manufacturer of cabin systems and equipment and composite products for the aerospace industry. QMS management process, engineering and program management, purchasing, and operations process.</t>
  </si>
  <si>
    <t>The design, development, manufacture, assembly, test and servicing of avionic/electronic support, diagnostic, simulation and testing systems, subsystems, software and components.</t>
  </si>
  <si>
    <t>FM 83186</t>
  </si>
  <si>
    <t>Provision of maintenance services for aircraft components.</t>
  </si>
  <si>
    <t>CERT-0135067</t>
  </si>
  <si>
    <t>Aircraft maintenance &amp; modification, component inspection, test, repair, modification &amp; overhaul, and related special process per NAA/Customer Approval.</t>
  </si>
  <si>
    <t>CERT-0129484</t>
  </si>
  <si>
    <t> AERNNOVA AEROSPACE S.A.U.
PARQUE TECNOLOGICO DE ALAVA, C/ LEONARDO DA VINCI,13, 01510, MIÑANO MAYOR, ALAVA
DESIGN AND DEVELOPMENT OF TECHNICAL SOLUTIONS, PROVISION OF MAINTENANCE, MODIFICATION AND REPAIR SERVICES AND RELEASE TO SERVICE FOR AERONAUTICAL STRUCTURES AND ASSOCIATED SYSTEMS FOR AEROSPACE AND DEFENSE SECTOR.
PERFORMANCE OF MAINTENANCE, MODIFICATION, REPAIR AND INSPECTION TASKS FOR AERONAUTICAL STRUCTURES AND ASSOCIATED SYSTEMS FOR AEROSPACE AND DEFENSE SECTOR.
 AERNNOVA AEROSPACE S.A.U. - AERNNOVA AIRCRAFT SERVICES, S.A.
PARQUE TECNOLOGICO DE ALAVA, C/ LEONARDO DA VINCI,13, 01510, MIÑANO MAYOR, ALAVA
DESIGN AND DEVELOPMENT OF TECHNICAL SOLUTIONS, PROVISION OF MAINTENANCE, MODIFICATION AND REPAIR SERVICES AND RELEASE TO SERVICE FOR AERONAUTICAL STRUCTURES AND ASSOCIATED SYSTEMS FOR AEROSPACE AND DEFENSE SECTOR.
PERFORMANCE OF MAINTENANCE, MODIFICATION, REPAIR AND INSPECTION TASKS FOR AERONAUTICAL STRUCTURES AND ASSOCIATED SYSTEMS FOR AEROSPACE AND DEFENSE SECTOR.
 AERNNOVA AEROSPACE S.A.U. - AERNNOVA AEROESTRUCTURAS ALAVA, S.A.U.
POLÍGONO INDUSTRIAL LACORZANILLA LZ-2 PARCELA 12, 01211, BERANTEVILLA, ALAVA
PERFORMANCE OF MAINTENANCE, MODIFICATION, REPAIR AND INSPECTION TASKS FOR AERONAUTICAL STRUCTURES AND ASSOCIATED SYSTEMS FOR AEROSPACE AND DEFENSE SECTOR.
 AERNNOVA AEROSPACE S.A.U. - FIBERTECNIC S.A.U.
C/ PORTAL DE GAMARRA, 40, 01013, VITORIA, ALAVA
PERFORMANCE OF MAINTENANCE, MODIFICATION, REPAIR AND INSPECTION TASKS FOR AERONAUTICAL STRUCTURES AND ASSOCIATED SYSTEMS FOR AEROSPACE AND DEFENSE SECTOR.</t>
  </si>
  <si>
    <t>ES112925-1</t>
  </si>
  <si>
    <t>Design, production, assembly, sales and component maintenance of aircraft cargo handling systems, aircraft cargo handling components, unit load devices and aircraft actuators</t>
  </si>
  <si>
    <t>15.029.4</t>
  </si>
  <si>
    <t>The design, manufacture and repair of electronic system components for aircraft.</t>
  </si>
  <si>
    <t>FS 591578</t>
  </si>
  <si>
    <t>The Design, Manufacture and Assembly of Fuel and Air Systems for the Aerospace Industry including Repair and Overhaul of Aerospace Parts and Assemblies</t>
  </si>
  <si>
    <t>US013664-1</t>
  </si>
  <si>
    <t>FS 561149</t>
  </si>
  <si>
    <t>Development, manufacturing and repair of electronic and electro-mechanical components used mainly in civil aircrafts.</t>
  </si>
  <si>
    <t>Marketing, Design, Production and Repair of Electronic Assemblies and Computers for Industry and Aerospace</t>
  </si>
  <si>
    <t>182169-2015-AQ-GER-D</t>
  </si>
  <si>
    <t>DESIGN, MANUFACTURE, SALE AND REPAIR OF MEASUREMENT SYSTEMS AND MICROELECTRONIC CIRCUITS: INERTIAL SENSORS (ACCELEROMETERS AND INCLINOMETERS), INDUCTIVE DISPLACEMENT SENSORS (LVDT, RVDT), FORCE SENSORS, HYBRID CIRCUITS AND SIGNAL CONDITIONERS.</t>
  </si>
  <si>
    <t>2013/72699.4</t>
  </si>
  <si>
    <t>SASA-004-01-20-1</t>
  </si>
  <si>
    <t>Provider of Maintenance, Preventive Maintenance, Modification and Repair Services of Airframe, Instrument, Powerplant, Propeller and Radio Components as authorized by our Repair Station Operation Specifications for the Aviation Industry</t>
  </si>
  <si>
    <t>242780-2017-AQ-USA-A</t>
  </si>
  <si>
    <t>DESIGN, MANUFACTURE, PODDING PRODUCT AND CUSTOMER SUPPORT, OVERHAUL, REPAIR, MODIFICATION AND INSPECTION OF AERONAUTICAL EQUIPMENT:
NACELLES, THRUST REVERSERS, METALLIC OR COMPOSITE PARTS FOR ENGINES COMPONENTS AND AEROSTRUCTURES.</t>
  </si>
  <si>
    <t>Maintenance, Repair, Overhaul &amp; Modification of Thales Aerospace Products</t>
  </si>
  <si>
    <t>00015903-002</t>
  </si>
  <si>
    <t>The Design, Manufacture, Repair and Overhaul of Fuel Pumps, Pneumatic Valves and Electronic Controllers for the Aircraft Industry: This includes Software Design and Development.</t>
  </si>
  <si>
    <t>US012643-1</t>
  </si>
  <si>
    <t>REPAIR AND MODIFICATION OF METALLIC AND COMPOSITE AEROSTRUCTURES.</t>
  </si>
  <si>
    <t>8573547-Rev0</t>
  </si>
  <si>
    <t>8573547-REV0</t>
  </si>
  <si>
    <t>Manufacture of Hydraulic and Mechanical Controls Systems, Servovalves, Servoactuators and Components for the Aerospace Applications. Repair and Overhaul of Moog Aircraft Servovalves and Servoactuators.</t>
  </si>
  <si>
    <t>Design, production, maintenance, sale, import, export and trade of components and equipment for avionic, optronic, measurement and similar systems</t>
  </si>
  <si>
    <t>881013009/3</t>
  </si>
  <si>
    <t>Department Maintenance: Maintenance of aircraft parts</t>
  </si>
  <si>
    <t>FS 579788</t>
  </si>
  <si>
    <t>The provision of management services for procurement, storage and delivery of new and serviceable gas turbine and radial engine, airframe and accessory components utilized in the civil and military aviation industry.</t>
  </si>
  <si>
    <t>FS 726291</t>
  </si>
  <si>
    <t>FS 41468</t>
  </si>
  <si>
    <t>Repair and assembly of avionics pneumatic equipment.</t>
  </si>
  <si>
    <t>Repair and overhaul of electromechanical accessories for civil and military applications
Exclusion: Design</t>
  </si>
  <si>
    <t>Repair and overhaul of flight control systems, engine systems, emergency evacuation systems, cargo systems, hydraulic systems, fuel probe systems, rescue hoists and cockpit door surveillance systems for aircraft.</t>
  </si>
  <si>
    <t>FS 561152</t>
  </si>
  <si>
    <t>Testing, Inspection, Repair, Modification and Overhaul for Civil Aircraft Components as indicated on the Approved Capability List (as amended) by the Airworthiness Authorities.</t>
  </si>
  <si>
    <t>CERT-0136366</t>
  </si>
  <si>
    <t>DESIGN, MANUFACTURING AND ASSEMBLY OF FLUID FILTRATION AND REGULATION COMPONENTS AND EQUIPMENT FOR THE SECTORS OF CIVIL AND MILITARY AERONAUTICS AND  DEFENSE.</t>
  </si>
  <si>
    <t>2013/56202.5</t>
  </si>
  <si>
    <t>Maintenance of avionics equipment.</t>
  </si>
  <si>
    <t>FM 721760</t>
  </si>
  <si>
    <t>LOGISTICS SERVICES AND PROVISION OF COMPONENTS FOR THE AIRCRAFT INDUSTRY.</t>
  </si>
  <si>
    <t>2010/39276.7</t>
  </si>
  <si>
    <t>Maintenance, repair, overhaul and modification of aircraft components.</t>
  </si>
  <si>
    <t>SATS-001-09-19-1</t>
  </si>
  <si>
    <t>Design, Production, Maintenance, Marketing and Sales of Civil and Military Aerostructures and Components, Engineering and Production of Jigs and Tools</t>
  </si>
  <si>
    <t>157699-2014-AQ-GER-D</t>
  </si>
  <si>
    <t>Maintenance of aerospace components for products involving Electric Systems, Interiors Evacuation systems, Cargo Systems, Engine Control Systems, Fuel Control Systems, Sensors and Integrated Systems, Actuation Systems and Air Management Systems.</t>
  </si>
  <si>
    <t>FS 561158</t>
  </si>
  <si>
    <t>Design, Development, Manufacture, Repair, Overhaul and Support of: Ice protection systems, temperature control systems, equipment for space systems, aviation systems, transit systems, and other industries
(Certification Structure: Single)</t>
  </si>
  <si>
    <t>56 900 18560139</t>
  </si>
  <si>
    <t>Maintenance, Repair, Overhaul and Sales of Aerospace Components</t>
  </si>
  <si>
    <t>117695-2012-AQ-SGP-A</t>
  </si>
  <si>
    <t>The overhaul, repair, and modification of electrical power components, in addition to fuel and actuation aerospace accessories.</t>
  </si>
  <si>
    <t>FS 724221</t>
  </si>
  <si>
    <t>FM 723099</t>
  </si>
  <si>
    <t>The provision of maintenance services for wheels and brakes and carbon machining of civil aircraft.</t>
  </si>
  <si>
    <t>FM 694260</t>
  </si>
  <si>
    <t>Repair and overhaul of wheels and brakes including carbon brake machining.</t>
  </si>
  <si>
    <t>FS 606189</t>
  </si>
  <si>
    <t>10001260 AS0016A</t>
  </si>
  <si>
    <t>The design, manufacture, and service of servo valves; hydraulic/mechanical valves;
actuators and actuation systems; electronic controls; and electromechanical actuation
products and systems for aerospace, defense, and industrial applications</t>
  </si>
  <si>
    <t>Design, Manufacture and Repair of Electro Optical, Control and Display Systems and Components for the Aerospace/Defense Markets</t>
  </si>
  <si>
    <t>・航空用ガスタービン、舶用ガスタービン及びその整備用器材の設計・開発、製造及びサービス提供（修理）
・武器等の装備品及び訓練器材の設計・開発、製造及びサービス提供（修理）
・宇宙機器の設計・開発、製造及びサービス提供
・産業用ガスタービン及びその整備用器材の設計・開発、製造及びサービス提供
・航空用ガスタービン運転試験設備及び防衛装備品の運用支援設備の設計・据付
・Design and development, Production, and Service Provision ( Repair ) of Gas Turbine Engines for Aircraft and Marine Use, and Ground Support Equipment
・Design and development, Production, and Service Provision ( Repair ) of Weapon Equipment and Training Equipment
・Design and development, Production, and Service Provision of Space Equipment
・Design and development, Production, and Service Provision of Gas Turbine Engines for Industrial Use, and Ground Support Equipment
・Design, Installation of Test Cell for Gas Turbine Engines for Aircraft and Operation Support Facility for Defense Equipment</t>
  </si>
  <si>
    <t>BSKA0003</t>
  </si>
  <si>
    <t>Design, development, manufacture, assembly, testing and servicing of
electromechanical actuators, motors position sensors, electronic and flight control
systems for aerospace, military and commercial appliances.</t>
  </si>
  <si>
    <t>Maintenance, Repair and Overhaul of aircraft components.</t>
  </si>
  <si>
    <t>FM 662707</t>
  </si>
  <si>
    <t>Maintenance, Repair and Overhaul of Aircraft, complete Aircraft Painting capability, Non Destructive Testing, Calibration and Repair and Overhaul of Aircraft Components.</t>
  </si>
  <si>
    <t>The design, manufacture, repair and overhaul of heat exchangers, coolers and combustion heaters for aerospace, defense and commercial applications.</t>
  </si>
  <si>
    <t>FS 602699</t>
  </si>
  <si>
    <t>7255486-REV0</t>
  </si>
  <si>
    <t>The Design, Development, Manufacture, Assembly/Test and Repair of Aircraft Fuel Systems, Fuel and Fluid Components for Military and Commercial Application. Products include Pumps, Valves, Regulators, and a Broad Range of Related Fluidic Control Equipment.</t>
  </si>
  <si>
    <t>05073-2006-AQ-HOU-AN</t>
  </si>
  <si>
    <t>Maintenance, Repair &amp; Overhaul of Aircraft Components, such as: Battery, Cockpit &amp; Data Voice Recorder, Skin Air Valve, Avionics Fan, Emergency Locator Beacon, Display Unit, ATEC, Sensor, APU Generator, etc.</t>
  </si>
  <si>
    <t>141583-2013-AQ-SGP-A</t>
  </si>
  <si>
    <t>FM 727967</t>
  </si>
  <si>
    <t>The design of repair, maintenance and overhaul activities. The maintenance, repair and overhaul of engine nacelle components.</t>
  </si>
  <si>
    <t>FM 523536-1</t>
  </si>
  <si>
    <t>Provider of maintenance, preventive, aircraft recovery and alteration of aircraft airframe, powerplant, instrument and radio.</t>
  </si>
  <si>
    <t>C0245164-AS3</t>
  </si>
  <si>
    <t>Design and development, manufacture, distribution, service and product support of mechanical, electronic and electromechanical products; gaseous storage and distribution systems; fuel gauging and management systems; for aerospace applications including aircraft, ejector seats and ground support equipment.</t>
  </si>
  <si>
    <t>FM 552176</t>
  </si>
  <si>
    <t>Aircraft Maintenance for Line and Base, Component Maintenance, Aircraft Painting and Non-Destructive Testing</t>
  </si>
  <si>
    <t>496762 AS1018D</t>
  </si>
  <si>
    <t>AS19.4721</t>
  </si>
  <si>
    <t>The design, manufacture, and installation of custom aircraft interiors; and maintenance, preventive maintenance, and alterations to aircraft structures, systems, and custom interiors.</t>
  </si>
  <si>
    <t>FM 705738-1</t>
  </si>
  <si>
    <t>FM 705738-2</t>
  </si>
  <si>
    <t>DESIGN OF CHANGES AND REPAIRS FOR LARGE AND SMALL AEROPLANES.</t>
  </si>
  <si>
    <t>7174259-Rev1</t>
  </si>
  <si>
    <t>7174259-REV0</t>
  </si>
  <si>
    <t>FS 620141</t>
  </si>
  <si>
    <t>DESIGN, MANUFACTURING AND MAINTENANCE OF AERONAUTIC AND INDUSTRIAL COMPONENTS AND EQUIPEMENTS.
CONCEPTION, FABRICATION ET MAINTENANCE DE MATERIELS ET D'EQUIPEMENTS AERONAUTIQUES ET INDUSTRIELS.</t>
  </si>
  <si>
    <t>Development, manufacturing and sales as well as after-sales service of systems, units and components for aircraft systems and UAS Operational Services</t>
  </si>
  <si>
    <t>AC_0237-02</t>
  </si>
  <si>
    <t>The rewind, repair and overhaul of electrical machine parts in accordance with approved data. In addition, the design and development of repair schemes for the rewind, repair and modification of electrical machine parts for the aviation industry.</t>
  </si>
  <si>
    <t>FS 537289</t>
  </si>
  <si>
    <t>Overall Scope: Design, Manufacture, Rebuild, Inspect, Test, Repair and Overhaul of Fuel Delivery Systems and Components, Aircraft Engine Control Systems Components, Servo Control Systems Components, and Combustion Components
Woodward, Inc. 5001 North Second Street (LPC), Loves Park, Illinois 61111 (Central Function) Scope: Design, Manufacture, Rebuild, Inspect, Repair and Overhaul of Fuel Delivery Systems and Components, Aircraft Engine Control Systems Components, Servo Control Systems Components, and Combustion Components
Woodward, Inc. One Woodward Way (RCC), Loves Park, Illinois 61111 Scope: Design, Manufacture, Rebuild, Inspect, Repair and Overhaul of Fuel Delivery Systems and Components, Aircraft Engine Control Systems Components, Servo Control Systems Components, and Combustion Components
Woodward, Inc. 8109 Burden Road (MPW), Machesney Park, Illinois 61115 Scope: Warehousing, Cleaning and Distributing Inventory to Loves Park (LPC &amp; RCC) Locations. Direct Ship Spare Parts to Customers.
Woodward Loveland Plant, 3800 Wilson Avenue, Loveland, Colorado 80538 Scope: Design, Manufacture, and Test of Fuel Delivery Systems and Components, Aircraft Engine Control Systems. Excludes Industrial Business.</t>
  </si>
  <si>
    <t>The Design, Manufacture, and Overhaul and Repair of Heat Transfer Products for Aerospace, Ground Support Equipment, Industrial Fuel Cell, Ordinance Vehicles and Marine Applications</t>
  </si>
  <si>
    <t>251852-2017-AQ-USA-A</t>
  </si>
  <si>
    <t>Maintenance and repair of aircraft electrical generation equipment (commercial and military).</t>
  </si>
  <si>
    <t>FS 723771-2</t>
  </si>
  <si>
    <t>AIR TRANSPORT CONSULTANCY AND MANAGEMENT.</t>
  </si>
  <si>
    <t>2016/73063.3</t>
  </si>
  <si>
    <t>Maintenance, repair, and overhaul of mechanical, electro-mechanical, landing gear, APU, electronics, radar, fuel and heat transfer products used on aircraft and ground support equipment.</t>
  </si>
  <si>
    <t>0088533-02</t>
  </si>
  <si>
    <t>Design, manufacture, sales and after sales support of mechanical and electro mechanical equipment for Air Vehicle control systems.</t>
  </si>
  <si>
    <t>FS 697932</t>
  </si>
  <si>
    <t>Design, Manufacture, and Repair and Overhaul of Aerospace Mechanical Actuation Systems; and Design Support.</t>
  </si>
  <si>
    <t>Repair, overhaul, modification, inspection and test of aircraft and engine components.</t>
  </si>
  <si>
    <t>FS 585080-1</t>
  </si>
  <si>
    <t>Maintenance, Repair and Overhaul of Hydro-Mechanical Aeronautical Components</t>
  </si>
  <si>
    <t>159523-2014-AQ-SGP-A</t>
  </si>
  <si>
    <t>Repair, Maintenance and Overhaul of Auxiliary Power Units, Accessories and Structure of Aircraft</t>
  </si>
  <si>
    <t>32252-2008-AQ-SGP-AN</t>
  </si>
  <si>
    <t>DESIGN, MANUFACTURE, SALES, MAINTENANCE AND REPAIR OF IGNITION SYSTEMS FOR GAS TURBINE AND ENGINES, ELECTRONIC ON BOARD CONTROL UNITS, SPEED SENSORS, PRESSURE AND TEMPERATURE TRANSDUCERS AND ELECTRONIC OR ELECTROMECHANICAL ACCESSORIES.</t>
  </si>
  <si>
    <t>Design, Development, Manufacture and Repair of Fluid Control Devices.</t>
  </si>
  <si>
    <t>Maintenance, Repair &amp; Overhaul of Electro-Mechanical &amp; Electronics Components</t>
  </si>
  <si>
    <t>127258-2012-AQ-SGP-A</t>
  </si>
  <si>
    <t>The stocking, procurement, supplying and leasing of aircraft parts, rotables and expendables. The management of the repair and overhaul of aircraft parts.</t>
  </si>
  <si>
    <t xml:space="preserve"> FS 698280</t>
  </si>
  <si>
    <t>FS 698280</t>
  </si>
  <si>
    <t>The Repair, Overhaul and Test of Aircraft Instrumentation, Avionics Wire Harness and Accessories for Commercial and Military Application</t>
  </si>
  <si>
    <t>81952-2010-AQ-USA-AN</t>
  </si>
  <si>
    <t>The overhaul, repair, maintenance and design of repairs for Pratt &amp; Whitney Canada gas turbine engines including components and accessories.</t>
  </si>
  <si>
    <t>FS 723050</t>
  </si>
  <si>
    <t>Thales Avionics, Inc. is Inclusive of the Business Units Avionics Services Worldwide (ASW) and Electrical Line Systems (ELS). The Acronym ASW will be Understood to Imply Both Business Systems QMS. THALES ASW Piscataway N.J Management System is Applicable to: The Provision of Repair, Modification, Certification, and Accessories for Avionics Systems.</t>
  </si>
  <si>
    <t>Design, manufacture and repair of engine fuel controls, servo valves, servo actuators, and various fluid control components for aerospace, commercial and industrial applications.</t>
  </si>
  <si>
    <t>FM 84628</t>
  </si>
  <si>
    <t>Design and manufacture of motion control components and subsystems for the aerospace industry.</t>
  </si>
  <si>
    <t>8578850-REV0</t>
  </si>
  <si>
    <t>The maintenance, repair, and overhaul of aircraft landing gear and components utilizing the following methods: Disassembly, Evaluation, Manual and CNC Machining and Honing, NDT, Shot Peening, Plating, Custom Bushing Manufacture, Painting, Plumbing, and Assembly for the commercial, military, and civil airline industry.</t>
  </si>
  <si>
    <t>FM 544302</t>
  </si>
  <si>
    <t>Design, manufacture and repair of sensors, interconnects and associated systems</t>
  </si>
  <si>
    <t>08530-2006-AQ-HOU-AN</t>
  </si>
  <si>
    <t>English Scope:  Design, manufacturing, specialized machining, assembly and test of aeronautical, commercial and military products.
French Scope: Conception, fabrication, assemblage vérification sur bancs d'essais et usinage spécialisé de composantes aéronautiques, commerciales et militaires.</t>
  </si>
  <si>
    <t>Sales, marketing, development, production and maintenance of aviation and maritime products: 
• Low-Frequency Underwater Locator Beacons
• Underwater Locating Devices 90 days for flight data and cockpit voice recorders
• Underwater Locating Devices 90 days for maritime voyage data recorders
• Underwater Locating Devices 30 days for maritime voyage data recorders
• Non-rechargeable lithium cells and batteries for Underwater Locating Devices 90 days
• Non-rechargeable lithium cells and batteries for Underwater Locating Devices 30 days 
• Non-rechargeable alkaline batteries for Underwater Locating Devices 90 days
• Accessories for maintenance and repair of Underwater Locating Devices
• Maritime Voyage Data Recorders
• ICAROS VR fitness devices</t>
  </si>
  <si>
    <t>880317020/2</t>
  </si>
  <si>
    <t>Repair and Overhaul of Aircraft Engine, Power Plant and Airframe Accessories</t>
  </si>
  <si>
    <t>Provision of maintenance services for aircraft components per approved capability list.</t>
  </si>
  <si>
    <t>CERT-0134080</t>
  </si>
  <si>
    <t>Design and manufacturer of ruggedized computers, printers, displays and assorted peripheral equipment.</t>
  </si>
  <si>
    <t>Maintenance, repair, overhaul and modification of customer aviation electronic equipment and production of new aviation electronic equipment.</t>
  </si>
  <si>
    <t>FM 724537</t>
  </si>
  <si>
    <t>ZASL-003-05-19-2</t>
  </si>
  <si>
    <t>Maintenance, Repair and Overhaul of Aviation Class One Mechanical Accessories, Limited Power Plant and Limited Accessories – Electrical</t>
  </si>
  <si>
    <t>17021ASM001</t>
  </si>
  <si>
    <t>To provide technical and commercial consultancy advice, fleet management services and Part 145 maintenance services globally across a range of operators, owners and financiers of commercial aircraft, engines and APU’s. WAM provide cradle to grave solutions for all aspects of aircraft/engine life cycle management.</t>
  </si>
  <si>
    <t>GB99/50738</t>
  </si>
  <si>
    <t>Design, Development, Manufacture, Sales and Service of Display (Sub) Systems and Software for the Aviation Industry</t>
  </si>
  <si>
    <t>FR07/00299</t>
  </si>
  <si>
    <t>Repair/overhaul of hydraulic, pneumatics, pressure vessels, electrical, electro-mechanical products and accessories for aerospace; commercial and general aviation</t>
  </si>
  <si>
    <t>10000365305-MSC-ANAB</t>
  </si>
  <si>
    <t>The Maintenance, Repair, Modification, and Overhaul of Aircraft Fuel Control System and Accessory Components.</t>
  </si>
  <si>
    <t>FM20067</t>
  </si>
  <si>
    <t>The manufacture and repair of instruments and accessories for aircraft and land based turbine engines.</t>
  </si>
  <si>
    <t>10005037 AS0016A</t>
  </si>
  <si>
    <t>16016ASM001</t>
  </si>
  <si>
    <t>Design and manufacture of microwave and millimeter wave products for (aerospace) aircraft and Satellite communication and telemetry applications.</t>
  </si>
  <si>
    <t>Design, Development, and Manufacturing of Customized Electro-Magnetic Equipment Which Includes: Specialized A.C and D.C Electric Motors, Starter Generators, Generator Control Units, Speed Pickup Transducers, Fans, Blowers, and Tachometers for Commercial Aircraft, Military Aircraft and Ground Vehicles, Antenna Drive Systems, Naval Ships Systems, and Space Exploration Systems</t>
  </si>
  <si>
    <t>69677-2010-AQ-USA-AN</t>
  </si>
  <si>
    <t>The overhaul, test and repair of nickel-cadmium, Li-Ion and sealed lead acid aircraft batteries and Drain Masts.</t>
  </si>
  <si>
    <t>FS 635703-1</t>
  </si>
  <si>
    <t>Aircraft and Engine Maintenance</t>
  </si>
  <si>
    <t>APPA-001-04-20-3</t>
  </si>
  <si>
    <t>Management and distribution of aircraft/airframe components and aero engine components and storage of aero engines</t>
  </si>
  <si>
    <t>Several Sites: The Overhaul and Repair of Rotating and Stationary Component Supports, including Disk, Shafts, Hubs, Seal Housing and Support of Fuel, Oil Pneumatic Engine/Airframe Accessories.</t>
  </si>
  <si>
    <t>64531-AS12</t>
  </si>
  <si>
    <t>64531-AS10</t>
  </si>
  <si>
    <t>The Inspection, Test, Maintenance, Repair and Overhaul of Hydraulics, Pneumatics,  Electronics &amp; Electrical Assemblies and Components.</t>
  </si>
  <si>
    <t>245519-2017-AQ-SNG-A</t>
  </si>
  <si>
    <t>Design, manufacture and service of avionics products</t>
  </si>
  <si>
    <t>The overhaul and repair of electrical systems and components for the aerospace industry including commercial and military applications.</t>
  </si>
  <si>
    <t>FS 725059</t>
  </si>
  <si>
    <t>Discrepancy ARP/OASIS</t>
  </si>
  <si>
    <t>OASIS Status</t>
  </si>
  <si>
    <t>QMS Committment Expired</t>
  </si>
  <si>
    <t>Assessed QMS</t>
  </si>
  <si>
    <t>QMS Certification applicable</t>
  </si>
  <si>
    <t>Airbus Specific Requirement</t>
  </si>
  <si>
    <t>Approval Number</t>
  </si>
  <si>
    <t>Approval Responsible</t>
  </si>
  <si>
    <t>Product Group Selection Date</t>
  </si>
  <si>
    <t>Last Assessment Type</t>
  </si>
  <si>
    <t>Last Assessment Date</t>
  </si>
  <si>
    <t>Target for next Off-site Assessment</t>
  </si>
  <si>
    <t>Target for next On-site Assessment</t>
  </si>
  <si>
    <t>Synchronised (Y/N)</t>
  </si>
  <si>
    <t>PO block</t>
  </si>
  <si>
    <t>Blocking reason</t>
  </si>
  <si>
    <t>Blocked by</t>
  </si>
  <si>
    <t>Supplier site role</t>
  </si>
  <si>
    <t>Tier Level</t>
  </si>
  <si>
    <t>All involved quality people on the PG2</t>
  </si>
  <si>
    <t>EASE Code</t>
  </si>
  <si>
    <t>E-Auditnet Number</t>
  </si>
  <si>
    <t>Special Process certification certified</t>
  </si>
  <si>
    <t>Planned special process</t>
  </si>
  <si>
    <t>Deletion flag</t>
  </si>
  <si>
    <t>Deletion reason</t>
  </si>
  <si>
    <t>Deletion Flag set by</t>
  </si>
  <si>
    <t>Factory Code</t>
  </si>
  <si>
    <t>M20297</t>
  </si>
  <si>
    <t>SCR (SUPPLIER CONTROL REVIEW)</t>
  </si>
  <si>
    <t>00/00/0000</t>
  </si>
  <si>
    <t>Y</t>
  </si>
  <si>
    <t>Ordering</t>
  </si>
  <si>
    <t>Tier 1</t>
  </si>
  <si>
    <t>Contracting | Design tasks provider | Ordering | Production</t>
  </si>
  <si>
    <t>Contracting | Delivery | Design tasks provider | Ordering | Production | Release | Ship Back / Return site</t>
  </si>
  <si>
    <t>Contracting | Delivery | Ordering | Production | Ship Back / Return site</t>
  </si>
  <si>
    <t>Design tasks provider</t>
  </si>
  <si>
    <t>Design tasks provider | Ship Back / Return site</t>
  </si>
  <si>
    <t>CEDRIC FALGAYRAC (POEAA  - A-F)</t>
  </si>
  <si>
    <t>IGOR SACHS (POEGA  - A-D)</t>
  </si>
  <si>
    <t>Delivery | Design tasks provider | Production | Release | Ship Back / Return site</t>
  </si>
  <si>
    <t>ANDREW KINGHORN (POELB  - A-UK)</t>
  </si>
  <si>
    <t>Delivery | Design tasks provider | Ordering | Production | Release | Ship Back / Return site</t>
  </si>
  <si>
    <t>ROBERTO HERRERA GARCIA (POEAB  - A-D)</t>
  </si>
  <si>
    <t>Design tasks provider | Production | Release</t>
  </si>
  <si>
    <t>MAGALI MAURY (POEAC  - A-F)</t>
  </si>
  <si>
    <t>Delivery | Production | Release | Ship Back / Return site</t>
  </si>
  <si>
    <t>MICKAEL HUET (POEGA  - A-F)</t>
  </si>
  <si>
    <t>Contracting | Delivery | Ordering | Production | Release | Ship Back / Return site</t>
  </si>
  <si>
    <t>Design tasks provider | Ordering | Production | Release</t>
  </si>
  <si>
    <t>TORSTEN SPRADO (POEGB  - A-D)</t>
  </si>
  <si>
    <t>CSA</t>
  </si>
  <si>
    <t>CYRIL CAVAILHEZ (POSC3  - A-D)</t>
  </si>
  <si>
    <t>COI</t>
  </si>
  <si>
    <t>PIERRE LIGNERES (POEGA  - A-F)</t>
  </si>
  <si>
    <t>Contracting | Delivery | Design tasks provider | Ordering | Production | Release</t>
  </si>
  <si>
    <t>DD</t>
  </si>
  <si>
    <t>SC</t>
  </si>
  <si>
    <t>JEAN-BAPTISTE JOUVE (POEAB  - A-F)</t>
  </si>
  <si>
    <t>ROMAIN GAILLARD (POEGA  - A-F)</t>
  </si>
  <si>
    <t>Delivery | Design tasks provider | Production | Ship Back / Return site</t>
  </si>
  <si>
    <t>ECE</t>
  </si>
  <si>
    <t>JENS HOMRIGHAUSEN (POSC1  - A-D)</t>
  </si>
  <si>
    <t>UH</t>
  </si>
  <si>
    <t>Delivery | Design tasks provider | Ordering | Production | Release</t>
  </si>
  <si>
    <t>FC</t>
  </si>
  <si>
    <t>FOE</t>
  </si>
  <si>
    <t>CHEMICAL PROCESSING (CP)</t>
  </si>
  <si>
    <t>CHEMICAL PROCESSING (CP) ( 736118042 - 30/04/2021) | NON DESTRUCTIVE TESTING (NDT) (7361180254 - 31/01/2021)</t>
  </si>
  <si>
    <t>RODNEY JAMES (AAPOC)</t>
  </si>
  <si>
    <t>GERALD PAILHASSE (POEGB  - A-D)</t>
  </si>
  <si>
    <t>MURIEL VILA (POEGA  - A-F)</t>
  </si>
  <si>
    <t>Delivery | Ordering | Production</t>
  </si>
  <si>
    <t>HAM</t>
  </si>
  <si>
    <t>ANDREJ PIPUS (POEGB  - A-D)</t>
  </si>
  <si>
    <t>HO</t>
  </si>
  <si>
    <t>Tier 2</t>
  </si>
  <si>
    <t>OLIVIER RANCHET (POEAA  - A-F)</t>
  </si>
  <si>
    <t>CHRISTIAN WERNER (POEGA  - A-D)</t>
  </si>
  <si>
    <t>Contracting | Design tasks provider | Ordering</t>
  </si>
  <si>
    <t>Production</t>
  </si>
  <si>
    <t>THIERRY FABRE (POEAC  - A-F)</t>
  </si>
  <si>
    <t>THOMAS MONAGHAN (POELB  - A-UK)</t>
  </si>
  <si>
    <t>STEPHANIE BESSIERE (POSC2  - A-F)</t>
  </si>
  <si>
    <t>TU</t>
  </si>
  <si>
    <t>Design tasks provider | Production</t>
  </si>
  <si>
    <t>LE</t>
  </si>
  <si>
    <t>CORINNE BEAUMONT (POEAA  - A-F)</t>
  </si>
  <si>
    <t>GEN</t>
  </si>
  <si>
    <t>HEAT TREATING (HT) (155548 - 31/10/2021) | NON DESTRUCTIVE TESTING (NDT) (153563 - 31/01/2021)</t>
  </si>
  <si>
    <t>RUI XU (POELC  - A-UK)</t>
  </si>
  <si>
    <t>Design tasks provider | Ordering | Production | Release | Ship Back / Return site</t>
  </si>
  <si>
    <t>UG</t>
  </si>
  <si>
    <t>LENA STENDEL (POEAB  - A-D)</t>
  </si>
  <si>
    <t>Contracting | Ordering</t>
  </si>
  <si>
    <t>GRISS MOD. 3</t>
  </si>
  <si>
    <t>JOHN ILEY (POMDS  - A-UK)</t>
  </si>
  <si>
    <t>PATRICK LOSE (POSC3  - A-D)</t>
  </si>
  <si>
    <t>PFW</t>
  </si>
  <si>
    <t>INKEN SABRINA PONT (POEGA  - A-D)</t>
  </si>
  <si>
    <t>JEROME CASTANET (POEAB  - A-F)</t>
  </si>
  <si>
    <t>RF</t>
  </si>
  <si>
    <t>KATARZYNA COUTTE (POEAC  - A-F)</t>
  </si>
  <si>
    <t>Contracting | Design tasks provider | Ordering | Production | Release</t>
  </si>
  <si>
    <t>JEAN PHILIPPE AUDY (POEAA  - A-F)</t>
  </si>
  <si>
    <t>OPHELIE BARTEL (POEGA  - A-F)</t>
  </si>
  <si>
    <t>SEVERINE CADOU (POEAC  - A-F)</t>
  </si>
  <si>
    <t>Delivery | Production | Ship Back / Return site</t>
  </si>
  <si>
    <t>HEAT TREATING (HT)</t>
  </si>
  <si>
    <t>CFM</t>
  </si>
  <si>
    <t>Design tasks provider | Ordering | Production</t>
  </si>
  <si>
    <t>Contracting | Delivery | Design tasks provider | Production | Release</t>
  </si>
  <si>
    <t>SA</t>
  </si>
  <si>
    <t>SO</t>
  </si>
  <si>
    <t>Design tasks provider | Ordering | Production | Ship Back / Return site</t>
  </si>
  <si>
    <t>JEREMY CHRISTINE (POEAC  - A-F)</t>
  </si>
  <si>
    <t>RU</t>
  </si>
  <si>
    <t>BENJAMIN BOGNER (POEAB  - A-D)</t>
  </si>
  <si>
    <t>LLI</t>
  </si>
  <si>
    <t>CHRISTOPHE CULARD (POEAA  - A-F)</t>
  </si>
  <si>
    <t>Ordering | Production | Release</t>
  </si>
  <si>
    <t>GA</t>
  </si>
  <si>
    <t>AIB</t>
  </si>
  <si>
    <t>Delivery | Production</t>
  </si>
  <si>
    <t>Delivery | Ordering | Production | Release</t>
  </si>
  <si>
    <t>Contracting | Ordering | Production</t>
  </si>
  <si>
    <t>JEAN-MARIE LABRIT (POEAB  - A-F)</t>
  </si>
  <si>
    <t>HEAT TREATING (HT) (187337 - 31/01/2021) | NON DESTRUCTIVE TESTING (NDT) (188937 - 31/10/2021)</t>
  </si>
  <si>
    <t>Delivery | Ordering | Production | Release | Ship Back / Return site</t>
  </si>
  <si>
    <t>STM</t>
  </si>
  <si>
    <t>DANIEL CASSOU LENS (POCE1  - A-F)</t>
  </si>
  <si>
    <t>Delivery | Ordering</t>
  </si>
  <si>
    <t>WWD</t>
  </si>
  <si>
    <t>Delivery | Production | Release</t>
  </si>
  <si>
    <t>SVEN KNITTER (POCM2  - A-D)</t>
  </si>
  <si>
    <t>LD</t>
  </si>
  <si>
    <t>Delivery</t>
  </si>
  <si>
    <t>AERO STRUCTURE ASSEMBLY (ASA) | MEASUREMENT AND INSPECTION (M&amp;I)</t>
  </si>
  <si>
    <t>TV</t>
  </si>
  <si>
    <t>FA</t>
  </si>
  <si>
    <t>STEPHANIE PERES (POCM2  - A-F)</t>
  </si>
  <si>
    <t>Production | Release</t>
  </si>
  <si>
    <t>CD</t>
  </si>
  <si>
    <t>Contracting | Delivery | Design tasks provider | Ordering | Release | Ship Back / Return site</t>
  </si>
  <si>
    <t>FBW</t>
  </si>
  <si>
    <t>SX069</t>
  </si>
  <si>
    <t>EASA PART 145 (FR.145.0023 -00/00/0000) | EASA PART 21 G (FR.21G.0028 -00/00/0000) | FAR 145 (A5XY398J -30/11/2022) | NOT ELIGIBLE (POA COMPLIANCE TABLE -00/00/0000) | TCCA CAR573.02 (899-03 -00/00/0000)</t>
  </si>
  <si>
    <t>CCAR 145 (F00100583 -31/12/2022) | EASA PART 145 (EASA.145.4729 -01/08/2022) | FAR 145 (HO5R916M -00/00/0000) | FAR 21 (FSD-QAP-0102 -00/00/0000)</t>
  </si>
  <si>
    <t>Contract- side letter to SSC</t>
  </si>
  <si>
    <t>Amendment to Thales contract M12041337 Feb 2020</t>
  </si>
  <si>
    <t>CHEMICAL PROCESSING (CP) (1231020100 - 31/05/2022)</t>
  </si>
  <si>
    <t>CHEMICAL PROCESSING (CP) (192264 - 31/01/2022) | HEAT TREATING (HT) (189667 - 31/10/2021) | NON DESTRUCTIVE TESTING (NDT) (183907 - 31/07/2021) | SURFACE ENHANCEMENT (SE) (198165 - 28/02/2022)</t>
  </si>
  <si>
    <t>PARKER HANNIFIN CORPORATION PARKER AEROSPACE</t>
  </si>
  <si>
    <t>1425 WEST 2765 NORTH</t>
  </si>
  <si>
    <t>OGDEN</t>
  </si>
  <si>
    <t>EASA:EASA.145.6012 - FAA:AU44063M - CAAC:F00100756</t>
  </si>
  <si>
    <t>EASA.145.6012</t>
  </si>
  <si>
    <t>AU44063M</t>
  </si>
  <si>
    <t>F00100756</t>
  </si>
  <si>
    <t>8Z903-AS22</t>
  </si>
  <si>
    <t>Limited to PNs:$49-170-xx SFCC-SLAT AND FLAP CONTROL COMPUTER *</t>
  </si>
  <si>
    <t>Limited to PNs :$A220 parts *</t>
  </si>
  <si>
    <t>FALGAYRAS S.A.S.</t>
  </si>
  <si>
    <t>Contract Bombardier C8714-MSC dated 25 May 2009</t>
  </si>
  <si>
    <t>B E AEROSPACE DAE SYSTEMS HISPANIA S L</t>
  </si>
  <si>
    <t>GETAFE</t>
  </si>
  <si>
    <t>827BB</t>
  </si>
  <si>
    <t>EASA PART 145 (EASA.145.4400 -01/08/2022) | FAR 145 (RX3R831L -00/00/0000) | NOT ELIGIBLE (POA COMPLIANCE TABLE -00/00/0000)</t>
  </si>
  <si>
    <t>CCAR 145 (F03300420 -31/12/2022) | EASA PART 145 (FR.145.0121 -00/00/0000) | FAR 145 (R9CY096N -31/12/2022) | NOT ELIGIBLE (POA COMPLIANCE TABLE -00/00/0000) | TCCA CAR573.02 (802-05 -00/00/0000)</t>
  </si>
  <si>
    <t>CCAR 145 (F03300630 -31/12/2022) | EASA PART 145 (FR.145.0049 -00/00/0000) | FAR 145 (BD5Y749M -30/11/2022) | TCCA CAR573.02 (808-13 -00/00/0000)</t>
  </si>
  <si>
    <t>EASA:ES.145.260</t>
  </si>
  <si>
    <t>EN/AS/JISQ 9100 (FM723557 -19/07/2023)</t>
  </si>
  <si>
    <t>DESIGN, MANUFACTURE AND MAINTENANCE OF ELECTRICAL SYSTEMS (HARNESSES/CABLE BUNDLE) AND COMPONENTS (LINEAR PROTECTION, CONDUITS, BACKSHELLS, HOSES ASSEMBLY).</t>
  </si>
  <si>
    <t>Design, production and maintenance of aircraft cabin assembly/ components, ducting, crew rest compartments and system equipment
Entwicklung, Produktion und Instandhaltung von Baugruppen und Komponenten der Flugzeuginnenausstattung, der Klimaluftführung, Ruheräumen für Flugpersonal und Luftfahrt-Geräten/-Systemen</t>
  </si>
  <si>
    <t>439621 AS0018D</t>
  </si>
  <si>
    <t>QSR-AS-035</t>
  </si>
  <si>
    <t>PROVISION OF SERVICES RELATING TO THE MAINTENANCE, OVERHAUL, REPAIR, MODIFICATION AND TESTING OF AIRCRAFT AND ARTICLES INCLUDING THE ASSOCIATED NON-DESTRUCTIVE TESTING AND FLYING ACTIVITIES</t>
  </si>
  <si>
    <t>Development, manufacturing, support and associated users services applied to avionic equipments and systems for civilian and military aircrafts</t>
  </si>
  <si>
    <t>The manufacture of commercial aircraft interiors and associated components.</t>
  </si>
  <si>
    <t>9330332-REV0</t>
  </si>
  <si>
    <t>FM723557</t>
  </si>
  <si>
    <t>Limited to PNs:$A220 parts$930-6201-001 WEATHER RADAR CONTROL UNIT *</t>
  </si>
  <si>
    <t>SSC signed in Dec 2020</t>
  </si>
  <si>
    <t>GRISS module 1 issue A (dated 28/1/2018)</t>
  </si>
  <si>
    <t>GRISS module 4 issue A (dated 07/09/2017)</t>
  </si>
  <si>
    <t>GRISS module 1 issue A (dated 21/11/2017)</t>
  </si>
  <si>
    <t>GRISS module 1 issue A (dated 26/02/2018)</t>
  </si>
  <si>
    <t>CT1703808 
CT 1907162 &amp; CT1911476 Purchase agreement A330 Delease 6Y/12Y check  for Singapore Airline fleet</t>
  </si>
  <si>
    <t>GRISS module 1 issue A (dated 22/02/2017)</t>
  </si>
  <si>
    <t>GRISS module 1 issue A (dated 23/08/2017)</t>
  </si>
  <si>
    <t>GRISS module 1 issue A (dated 21/08/2017)</t>
  </si>
  <si>
    <t>Contracting | Delivery | Design tasks provider | Ordering | Production | Release | Testing</t>
  </si>
  <si>
    <t>D B A PRECISION AERO TECHNOLOGY AERONAUTICAL TECHNOLOGY INC</t>
  </si>
  <si>
    <t>3333 EAST SPRING STREET</t>
  </si>
  <si>
    <t>LONG BEACH</t>
  </si>
  <si>
    <t>1CS28</t>
  </si>
  <si>
    <t>CCAR 145 (F03300641 -31/12/2022) | EASA PART 145 (FR.145.0189 -00/00/0000) | EASA PART 21 G (FR.21G.0075 -00/00/0000) | NOT ELIGIBLE (POA COMPLIANCE TABLE -00/00/0000) | TCCA CAR573.02 (807-21 -00/00/0000)</t>
  </si>
  <si>
    <t>EASA PART 145 (DE.145.0022 -00/00/0000) | FAR 145 (QJ1Y428K -31/01/2023) | NOT ELIGIBLE (POA COMPLIANCE TABLE -00/00/0000) | PMA (POA COMPLIANCE TABLE -00/00/0000) | QCAA PART 145 (QCAA/FAMO/126 -11/06/2019) | TCCA CAR573.02 (898-02 -00/00/0000)</t>
  </si>
  <si>
    <t>EASA PART 145 (ES.145.130 -00/00/0000) | EASA PART 21 G (ES.21G.0002 -00/00/0000) | FAR 145 (6PRY863B -31/12/2022) | NOT ELIGIBLE (POA COMPLIANCE TABLE -00/00/0000)</t>
  </si>
  <si>
    <t>EASA:DE.145.0104 - FAA:Z8EY085Y - CAAC:F04900823</t>
  </si>
  <si>
    <t>EASA:EASA.145.4052 - FAA:DQ3R458L</t>
  </si>
  <si>
    <t>F04900823</t>
  </si>
  <si>
    <t>EASA.145.4052</t>
  </si>
  <si>
    <t>DQ3R458L</t>
  </si>
  <si>
    <t>Expiry in next 120 days</t>
  </si>
  <si>
    <t>EN/AS/JISQ 9100 (0306008 -03/01/2024)</t>
  </si>
  <si>
    <t>0018875-04</t>
  </si>
  <si>
    <t>AC_0091-05</t>
  </si>
  <si>
    <t>Service, repair, modify, and overhaul of avionic radios, instruments, and accessories.</t>
  </si>
  <si>
    <t>THIERRY DEGLAVE (POEAC  - A-F)</t>
  </si>
  <si>
    <t>HYDAC SYSTEMS &amp; SERVICES GMBH</t>
  </si>
  <si>
    <t>EASA PART 145 (EASA.145.4052 -01/08/2022) | FAR 145 (DQ3R458L -00/00/0000)</t>
  </si>
  <si>
    <t>EASA 21G:UK.21G.2630</t>
  </si>
  <si>
    <t>UK.21G.2630</t>
  </si>
  <si>
    <t>EN/AS/JISQ 9100 (BSKA0003 -26/01/2024)</t>
  </si>
  <si>
    <t>EN/AS/JISQ 9110 (19328 -09/12/2023)</t>
  </si>
  <si>
    <t>AERONAUTICAL TECHNOLOGY Inc DBA PRECISION AERO TECHNOLOGY</t>
  </si>
  <si>
    <t xml:space="preserve">Maintenance component Contract CT1805255 </t>
  </si>
  <si>
    <t>ANTAVIA SAS</t>
  </si>
  <si>
    <t>15 RUE SEPAT</t>
  </si>
  <si>
    <t>CAMPSAS</t>
  </si>
  <si>
    <t>FA1W8</t>
  </si>
  <si>
    <t>2802 SAFRAN DRIVE</t>
  </si>
  <si>
    <t>AEROPARTS AEROPARTS MANUFACTURING AND REPAIR</t>
  </si>
  <si>
    <t>RIO RANCHO</t>
  </si>
  <si>
    <t>THALES ITALIA S.P.A.</t>
  </si>
  <si>
    <t>VIA SEMPIONE 26/L</t>
  </si>
  <si>
    <t>VERGIATE</t>
  </si>
  <si>
    <t>EASA PART 145 (NL.145.1308 -00/00/0000) | EASA PART 21 G (POA COMPLIANCE TABLE_FOKKER -00/00/0000) | FAR 145 (FEOY206X -31/10/2022) | NOT ELIGIBLE (POA COMPLIANCE TABLE -00/00/0000) | TCCA CAR573.02 (800-09 -00/00/0000)</t>
  </si>
  <si>
    <t>EASA PART 145 (EASA.145.7048 -00/00/0000) | TCCA CAR573.02 ( 12-87 -00/00/0000)</t>
  </si>
  <si>
    <t>EASA:EASA.145.4864 - FAA:SVUR684K</t>
  </si>
  <si>
    <t>X2VY223O</t>
  </si>
  <si>
    <t>EASA.145.4864</t>
  </si>
  <si>
    <t>SVUR684K</t>
  </si>
  <si>
    <t>L4PR181J</t>
  </si>
  <si>
    <t>EN/AS/JISQ 9110 (14032 -02/10/2023) | EORS (RANKING C -30/05/2022) | ISO 9001 (12679 -02/10/2023)</t>
  </si>
  <si>
    <t>EN/AS/JISQ 9100 (FM 727967 -21/11/2023) | ISO 14001 (HU13/6955 -31/07/2022) | ISO 9001 (44 117 111946 -21/11/2023)</t>
  </si>
  <si>
    <t>FR16/81842268</t>
  </si>
  <si>
    <t>Transfer of Work from Zodiac Menomonee to Safran ED.</t>
  </si>
  <si>
    <t>Limited to PNs:
49-170-xx SFCC-SLAT AND FLAP CONTROL COMPUTER</t>
  </si>
  <si>
    <t>FRANK NIEMEYER (POSWM  - A-D)</t>
  </si>
  <si>
    <t>CHRISTIAN GIERSCH (POSWM  - A-D)</t>
  </si>
  <si>
    <t>Not Applicable</t>
  </si>
  <si>
    <t>EASA PART 145 (EASA.145.6322 -01/02/2023) | FAR 145 (6CER695B -00/00/0000)</t>
  </si>
  <si>
    <t>CCAR 145 (F00100067 -31/12/2022) | EASA PART 145 (EASA.145.4136 -01/08/2022) | FAR 145 (ZN3R030M -00/00/0000) | NOT ELIGIBLE (POA COMPLIANCE TABLE -00/00/0000)</t>
  </si>
  <si>
    <t>EASA PART 145 (EASA.145.4135 -01/08/2022) | FAR 145 (DO3R456L -00/00/0000) | FAR 21 (413NM -00/00/0000) | NOT ELIGIBLE (POA COMPLIANCE TABLE -00/00/0000)</t>
  </si>
  <si>
    <t>EASA:FR.145.0094 - FAA:X2VY223O - TCCA:808-36 - CAAC:F03300743</t>
  </si>
  <si>
    <t>EASA:IT.145.0288 - FAA:6THY329C - TCCA:817-10</t>
  </si>
  <si>
    <t>FR.145.0094</t>
  </si>
  <si>
    <t>808-36</t>
  </si>
  <si>
    <t>F03300743</t>
  </si>
  <si>
    <t>F00100607</t>
  </si>
  <si>
    <t>IT.145.0288</t>
  </si>
  <si>
    <t>6THY329C</t>
  </si>
  <si>
    <t>817-10</t>
  </si>
  <si>
    <t>EN/AS/JISQ 9100 (74 300 3436 -09/07/2023)</t>
  </si>
  <si>
    <t>SALE OF SERVICES FOR THE MAINTENANCE AND REPAIR OF AERONAUTICAL PARTS AND AIRCRAFT.
LOGISTICS, REPAIRS, RENOVATIONS AND OPERATIONAL MAINTENANCE SERVICES FOR AERONAUTICAL PARTS AND AIRCRAFT.</t>
  </si>
  <si>
    <t>9272204-REV0</t>
  </si>
  <si>
    <t>Manufacture of Sheet Metal, Ducting Assemblies and Drop Hammer Stampings; Overhaul of Metal and Fiberglass Ducting and Catalytic Converters as well as In-House Heat Treatment and Welding.</t>
  </si>
  <si>
    <t>74 300 3436</t>
  </si>
  <si>
    <t>Maintenance, repair and overhaul of avionics equipment.</t>
  </si>
  <si>
    <t>AEROPARTS</t>
  </si>
  <si>
    <t>WELDING (WLD) (1159619791 - 31/08/2022)</t>
  </si>
  <si>
    <t>WUHAN HANGDA AERO SCIENCE TECHNOLOGY DEVELOPMENT CO LTD</t>
  </si>
  <si>
    <t>WUHAN</t>
  </si>
  <si>
    <t>EASA PART 145 (EASA.145.5045 -01/02/2023) | FAR 145 (CN5R558J -00/00/0000) | NOT ELIGIBLE (POA COMPLIANCE TABLE -00/00/0000)</t>
  </si>
  <si>
    <t>CCAR 145 (F35300310 -31/12/2022) | EASA PART 145 (IE.145.008 -00/00/0000) | EASA PART 21 J (EASA.21J.372 -00/00/0000) | FAR 145 (NWXY386L -30/09/2022) | TCCA CAR573.02 (802-07 -00/00/0000)</t>
  </si>
  <si>
    <t>EASA:UK.145.01081 - FAA:3MEY598B - CAAC:F04400731</t>
  </si>
  <si>
    <t>EASA:EASA.145.0434 - FAA:X0WY477Y - CAAC:D.300023</t>
  </si>
  <si>
    <t>EASA.145.0434</t>
  </si>
  <si>
    <t>X0WY477Y</t>
  </si>
  <si>
    <t>D.300023</t>
  </si>
  <si>
    <t>DESIGN, MANUFACTURING AND REPAIR OF COMMERCIAL AND BUSINESS AIRCRAFT INTERIOR SOLUTIONS.</t>
  </si>
  <si>
    <t>7255486-Rev1</t>
  </si>
  <si>
    <t>EN9110:2018: Maintenance of civil aircraft component
HQ: Maintenance of civil aircraft component
Site2: Maintenance of civil aircraft component</t>
  </si>
  <si>
    <t>Limited to PNs:$430201-X GENERATOR, STATOR, ALTERNATOR$504243-1 SENSOR, FUEL TEMPERATURE THERMOCPL-LEAP 1A$504909-1 STATOR, ALTERNATOR-LEAP 1A$504910-1 ROTOR, ALTERNATOR-LEAP 1A$515876-1 T3 SENSOR-LEAP 1A$517113-1 TEMPERATURE SENSOR-LEAP 1A$512090-1 LEAD$513484-2 LEAD, IGNITION-LEAP 1A$513610-4 EXCITER-LEAP 1A, IGNITION$514000-2 LEAD, IGNITION-LEAP 1A$9043110-16 LEAD ASSY-IGNITION$9045330-2 EXCITER$10-617980-1 EXCITER-ENGINE IGNITION$10-631045-X EXCITER-ENGINE IGNITION$430154 EXCITER$430934-2 LEAD *</t>
  </si>
  <si>
    <t>Limited to PNs:$512090-1 LEAD$513484-2 LEAD, IGNITION-LEAP 1A$513610-4 EXCITER-LEAP 1A, IGNITION$514000-2 LEAD, IGNITION-LEAP 1A$9043110-16 LEAD ASSY-IGNITION$9045330-2 EXCITER$10-617980-1 EXCITER-ENGINE IGNITION$10-631045-X EXCITER-ENGINE IGNITION$430154</t>
  </si>
  <si>
    <t>CT2007530</t>
  </si>
  <si>
    <t>EASA PART 145 (EASA.145.5074 -01/02/2023) | FAR 145 (SR0R383N -00/00/0000) | NOT ELIGIBLE (POA COMPLIANCE TABLE -00/00/0000) | PMA (PQ1982NM -00/00/0000)</t>
  </si>
  <si>
    <t>CCAR 145 (F00100640 -31/12/2022) | EASA PART 145 (EASA.145.5044 -01/02/2023) | FAR 145 (M74R907N -00/00/0000)</t>
  </si>
  <si>
    <t>EASA PART 145 (EASA.145.6174 -01/02/2023) | FAR 145 (2AMR683Y -00/00/0000)</t>
  </si>
  <si>
    <t>EASA PART 145 (EASA 145.6315 -01/02/2023) | FAR 145 (2CXR457B -00/00/0000)</t>
  </si>
  <si>
    <t>CCAR 145 (F03300508 -31/12/2022) | EASA PART 145 (FR.145.0175 -00/00/0000) | EASA PART 21 G (FR.21G.0196 -00/00/0000) | FAR 145 (VKQY935X -31/01/2023) | NOT ELIGIBLE (POA COMPLIANCE TABLE -00/00/0000) | TCCA CAR573.02 (807-06 -01/01/2099)</t>
  </si>
  <si>
    <t>EASA PART 145 (ES.145.260 -00/00/0000)</t>
  </si>
  <si>
    <t>EASA:EASA.145.4054 - FAA:L4PR181J - CAAC:F00100607</t>
  </si>
  <si>
    <t>ES.145.260</t>
  </si>
  <si>
    <t>EASA.145.4054</t>
  </si>
  <si>
    <t>EN/AS/JISQ 9100 (1103582 -01/03/2024)</t>
  </si>
  <si>
    <t>2011/40103.6</t>
  </si>
  <si>
    <t>Maintenance, Testing, Repair and Overhaul of Aircraft Components and Systems.</t>
  </si>
  <si>
    <t>84331-AS22</t>
  </si>
  <si>
    <t>Desynchronised</t>
  </si>
  <si>
    <t>SCR On-Time</t>
  </si>
  <si>
    <t>NAA Expiry</t>
  </si>
  <si>
    <t>Synchronisation or Block</t>
  </si>
  <si>
    <t>QMS Expiry-Status-Discrepancy</t>
  </si>
  <si>
    <t>Expired &lt; 60 days EASA or FAA</t>
  </si>
  <si>
    <t>On Time - Alert - 60 days</t>
  </si>
  <si>
    <t>Late - Less than 60 days</t>
  </si>
  <si>
    <t>Late - Red - more than 60 days</t>
  </si>
  <si>
    <t>SAFRAN SEATS GB LTD</t>
  </si>
  <si>
    <t>KESTREL HOUSE, LAKESIDE</t>
  </si>
  <si>
    <t>NP44 3HQ</t>
  </si>
  <si>
    <t>CWMBRAN</t>
  </si>
  <si>
    <t>U1954</t>
  </si>
  <si>
    <t>157 RUE NICOLAS CHEDEVILLE</t>
  </si>
  <si>
    <t>MONTPELLIER</t>
  </si>
  <si>
    <t>13051 66TH STREET</t>
  </si>
  <si>
    <t>LARGO</t>
  </si>
  <si>
    <t>8F7U8</t>
  </si>
  <si>
    <t>EASA PART 145 (EASA.145.4459 -01/02/2023) | FAR 145 (G3ER114N -00/00/0000) | NOT ELIGIBLE (XXXXXXX -00/00/0000)</t>
  </si>
  <si>
    <t>EASA:UK.145.00841</t>
  </si>
  <si>
    <t>EN/AS/JISQ 9110 (84331-AS22 -06/03/2024)</t>
  </si>
  <si>
    <t>航空機用機器 ( 降着装置、熱交換器、空圧装置、油圧機器及び電子機器 )、航空機用プロペラ、航空機エンジン用熱交換器、飛翔体用機器、宇宙関連機器、地上支援器材( 機能試験装置 )並びに車両用機器 ( 脚システム、熱交換器、油圧機器 ) の設計・開発、製造及びサービス提供（ オーバーホール・修理・改修 ）
Design and Development, Production and Service Provision ( Overhaul, In-house Repair, Modification ) of ;
 Aircraft Components ( Landing Gear, Heat Exchanger, Pneumatic Equipment, Hydraulic Equipment and Electronic Equipment ), Aircraft Propeller, Heat Exchanger for Aircraft Engine, Equipment for Missile,  
 Equipment for Space, Ground Support Equipment ( Functional Test Equipment ) and Equipment for Vehicle ( Hydraulic Equipment, Heat Exchanger and Mechanical Component ).</t>
  </si>
  <si>
    <t>UK1092016-1</t>
  </si>
  <si>
    <t>EN/AS/JISQ 9100 : AS9100:D</t>
  </si>
  <si>
    <t>EN/AS/JISQ 9100 : EN9100:2018</t>
  </si>
  <si>
    <t>EN/AS/JISQ 9110 : AS9110:C</t>
  </si>
  <si>
    <t>HANGDA</t>
  </si>
  <si>
    <t>CT2009603</t>
  </si>
  <si>
    <t>COBHAM FRANCE</t>
  </si>
  <si>
    <t>EASA PART 145 (FR.145.0750 -00/00/0000) | EASA PART 21 G (FR.21G.0049 -00/00/0000) | FAR 145 (55EY761D -28/02/2023)</t>
  </si>
  <si>
    <t>UK.145.00841</t>
  </si>
  <si>
    <t>UK.21G.2134</t>
  </si>
  <si>
    <t>EN/AS/JISQ 9100 (BSKA0043 -27/02/2024) | EORS (RANKING D -26/05/2022) | ISO 14001 (E099 -24/11/2023)</t>
  </si>
  <si>
    <t>EN/AS/JISQ 9100 (05073-2006-AQ-HOU-AN -24/03/2024)</t>
  </si>
  <si>
    <t>Design, manufacturing and after-sales support for space application:
- Cryogenic tanks,
- Equipment for regulating gases,
- Insulation systems,
- Cryogenic systems for satellite</t>
  </si>
  <si>
    <t>Design, manufacture and repair of heat exchangers, brazed assemblies, flexible hoses, rigid pipes, connections, joints, gimbals, ducts, heatsinks, Cold plates, extrusions and electrical harnesses for use in aerospace, military, transport, and electronics equipment.</t>
  </si>
  <si>
    <t>Development, production, distribution and maintenance of mechatronic servo systems for applications under extreme environmental conditions with high safety requirements as well as for simulation systems.</t>
  </si>
  <si>
    <t>The sales, warehousing, and distribution of aviation spares with traceability.</t>
  </si>
  <si>
    <t>C0066581-AS7</t>
  </si>
  <si>
    <t>431 RIO RANCHO BOULEVARD</t>
  </si>
  <si>
    <t>EASA PART 145 (EASA.145.4891 -01/02/2023) | FAR 145 (MZAR013L -00/00/0000)</t>
  </si>
  <si>
    <t>EN/AS/JISQ 9100 (C0066581-AS7 -02/03/2024) | EORS (RANKING B -17/06/2022) | ISO 14001 (C0066581-EM3 -02/03/2018)</t>
  </si>
  <si>
    <t>CERT-0138387</t>
  </si>
  <si>
    <t>SPSA - Cabin &amp; Cargo</t>
  </si>
  <si>
    <t>SSC - Airbus Operations GMBH - Cabin Electronics - contract ref. CT2002293</t>
  </si>
  <si>
    <t>GCP 2000 Issue 5 - Supplier Code C2683 RHEINMETALL
GCP 2000 Issue 4 RHEINMETALL ELECTRONIK</t>
  </si>
  <si>
    <t>EASA:FR.145.0148 - FAA:H5AY376J - TCCA:898-26 - CAAC:F03300842</t>
  </si>
  <si>
    <t>F03300842</t>
  </si>
  <si>
    <t>EASA PART M G</t>
  </si>
  <si>
    <t>EASA PART M G Expiry Date</t>
  </si>
  <si>
    <t>NAA Continuing Airworthiness Approval</t>
  </si>
  <si>
    <t>FR.MG.0346</t>
  </si>
  <si>
    <t>EASA:FR.MG.0346</t>
  </si>
  <si>
    <t>UK.MG.0736</t>
  </si>
  <si>
    <t>EASA:UK.MG.0736</t>
  </si>
  <si>
    <t>LT.MG.015</t>
  </si>
  <si>
    <t>EASA:LT.MG.015</t>
  </si>
  <si>
    <t>697 RUE FOURNY</t>
  </si>
  <si>
    <t>AP547</t>
  </si>
  <si>
    <t>LIEBHERR-SINGAPORE PTE LTD</t>
  </si>
  <si>
    <t>SAFRAN AEROSYSTEMS SERVICES ASIA PTE LTD</t>
  </si>
  <si>
    <t>36 LOYANG DRIVE</t>
  </si>
  <si>
    <t>PILOT WAY</t>
  </si>
  <si>
    <t>CV7 9JU</t>
  </si>
  <si>
    <t>EASA PART 145 (BE.145.03 -00/00/0000) | EASA PART 21 G (BE.21G.0003 -00/00/0000) | FAR 145 (T2EY708J -31/03/2023) | NOT ELIGIBLE (POA COMPLIANCE TABLE -00/00/0000)</t>
  </si>
  <si>
    <t>CAAM PART 145</t>
  </si>
  <si>
    <t>CAAM PART 145 Expiry Date</t>
  </si>
  <si>
    <t>FAMO/2017/39</t>
  </si>
  <si>
    <t>EASA:EASA.145.0129 - FAA:SBOY989H - TCCA:CAAS AWI/01 - CAAC:F06500249 - CAAS:AWI/01 - HKCAD:CAAS AWI/01 - CAAM:FAMO/2017/39</t>
  </si>
  <si>
    <t>FAMO/2017/75</t>
  </si>
  <si>
    <t>EASA:EASA.145.0389 - FAA:I33Y875Y - CAAC:D.101641 - CAAS:AWI/260 - HKCAD:CAAC D.101641 - CAAM:FAMO/2017/75</t>
  </si>
  <si>
    <t>FAMO/2017/18</t>
  </si>
  <si>
    <t>EASA:EASA.145.0149 - FAA:T1LY549Y - CAAC:F06500274 - CAAS:AWI/231 - CAAM:FAMO/2017/18</t>
  </si>
  <si>
    <t>FAMO/2016/08</t>
  </si>
  <si>
    <t>EASA:EASA.145.0094 - FAA:L28Y128O - TCCA:CAAS AWI/159 - CAAC:F06500279 - CAAS:AWI/159 - CAAM:FAMO/2016/08</t>
  </si>
  <si>
    <t>FAMO/2017/72</t>
  </si>
  <si>
    <t>EASA:EASA.145.0139 - FAA:FW4Y195M - TCCA:CAAS AWI/059 - CAAC:F06500251 - CAAS:AWI/059 - CAAM:FAMO/2017/72</t>
  </si>
  <si>
    <t>FAM0/2017/82</t>
  </si>
  <si>
    <t>EASA:EASA.145.0431 - FAA:Q4KY170B - CAAC:F06500558 - CAAS:AWI/257 - CAAM:FAM0/2017/82</t>
  </si>
  <si>
    <t>EN/AS/JISQ 9100 (2012/50423.11 -04/03/2024) | EORS (RANKING C -05/06/2022) | ISO 14001 (2013/53012.8 -18/04/2022)</t>
  </si>
  <si>
    <t>EN/AS/JISQ 9100 (US014928 -26/07/2023)</t>
  </si>
  <si>
    <t>EN/AS/JISQ 9100 (US015099 -26/07/2023)</t>
  </si>
  <si>
    <t>EN/AS/JISQ 9110 (0111617-00 -11/03/2024)</t>
  </si>
  <si>
    <t>EN/AS/JISQ 9110 (0111878-00 -18/03/2024)</t>
  </si>
  <si>
    <t>9650177-Rev0</t>
  </si>
  <si>
    <t>COMPOSITE INDUSTRIE Global scope: 
DESIGN, QUALIFICATION, STORAGE AND MANUFACTURING OF ACOUSTIC AND THERMAL INSULATION SYSTEMS, MULTI-TECHNOLOGY COMPOSITE AND HYBRID-COMPOSITE PARTS, SUBASSEMBLIES AND SYSTEMS FOR AERONAUTICAL, MILITARY AND NAVAL APPLICATIONS. CENTER OF DESIGN AND ADDITIVE MANUFACTURING.
COMPOSITE INDUSTRIE / Central fonctions / BONDOUFLE CEDEX: 
DESIGN, QUALIFICATION AND MANUFACTURING OF MULTI-TECHNOLOGY COMPOSITE AND HYBRIDCOMPOSITE PARTS, SUBASSEMBLIES AND SYSTEMS FOR AERONAUTICAL, MILITARY AND NAVAL APPLICATIONS. CENTER OF DESIGN AND ADDITIVE MANUFACTURING
COMPOSITE INDUSTRIE / Logistic Building / BONDOUFLE CEDEX : 
MANUFACTURING AND STORAGE OF MULTI-TECHNOLOGY COMPOSITE AND HYBRID-COMPOSITE PARTS, SUBASSEMBLIES AND SYSTEMS FOR AERONAUTICAL, MILITARY AND NAVAL APPLICATIONS
COMPOSITE INDUSTRIE MAROC / C.I.M N°1: 
MANUFACTURING OF MULTI-TECHNOLOGY COMPOSITE AND HYBRID-COMPOSITE PARTS, SUBASSEMBLIES AND SYSTEMS FOR AERONAUTICAL, MILITARY AND NAVAL APPLICATIONS
COMPOSITE INDUSTRIE MAROC S.A.R.L. / C.I.M. n°2 &amp; n°3: 
MANUFACTURING OF MULTI-TECHNOLOGY COMPOSITE AND HYBRID-COMPOSITE PARTS, SUBASSEMBLIES AND SYSTEMS FOR AERONAUTICAL, MILITARY AND NAVAL APPLICATIONS
COMPOSITE INDUSTRIE / C.I.M n°4 &amp; C.I.M n°5 / MAROC: 
MANUFACTURING OF ACOUSTIC AND THERMAL INSULATION SYSTEMS, MULTI-TECHNOLOGY COMPOSITE AND HYBRID-COMPOSITE PARTS, SUBASSEMBLIES AND SYSTEMS FOR AERONAUTICAL, MILITARY AND NAVAL APPLICATIONS.</t>
  </si>
  <si>
    <t>The purchase and resale of aircraft and engines, components, and materials. Inventory planning and management, including customer asset management and design of services on behalf of customers.</t>
  </si>
  <si>
    <t>The design, manufacture, distribution and repair of aerospace mechanical and hydraulic control and actuation hardware, electromechanical hardware required in Landing Gear Actuation and Nose Wheel Steering Systems.</t>
  </si>
  <si>
    <t>US015070-2</t>
  </si>
  <si>
    <t>Design, Development, Manufacture and Assembly of Actuation, Electromechanical and Electrical Systems and Components for Aerospace and Related Applications, Including Repair and Overhaul of Aerospace Parts and Assemblies</t>
  </si>
  <si>
    <t>Airbus Commercial</t>
  </si>
  <si>
    <t>DENNIS WEYER (POCE2  - A-D)</t>
  </si>
  <si>
    <t>MANUELA JEDE (POCE2  - A-D)</t>
  </si>
  <si>
    <t>JOHANNES ROHDE (POCE2  - A-D)</t>
  </si>
  <si>
    <t>VICTOR MORILLO GILES (POCE2  - A-D)</t>
  </si>
  <si>
    <t>SAFRAN AEROSYSTEMS SERVICES UK LTD</t>
  </si>
  <si>
    <t>EASA PART 145 (FR.145.0045 -00/00/0000) | EASA PART 21 G (FR.21G.0071 -00/00/0000) | FAR 145 (XP9Y806J -31/03/2023) | NOT ELIGIBLE (POA COMPLIANCE -00/00/0000)</t>
  </si>
  <si>
    <t>EASA PART 145 (FR.145.0090 -00/00/0000) | FAR 145 (ENZY920N -31/03/2023) | TCCA CAR573.02 (808-15 -00/00/0000)</t>
  </si>
  <si>
    <t>EN/AS/JISQ 9100 (155622-2014-AQ-USA-A -23/04/2024)</t>
  </si>
  <si>
    <t>EN/AS/JISQ 9100 (10672 -18/04/2024)</t>
  </si>
  <si>
    <t>9650177-REV0</t>
  </si>
  <si>
    <t>2012/50423.11</t>
  </si>
  <si>
    <t>Main Site Scope: Marketing, design, manufacture and maintenance of moisture control and air environmental control systems.
Additional Site Scope: Manufacturing of metal parts and assembly of manufactured and purchased components.</t>
  </si>
  <si>
    <t>0070374-05</t>
  </si>
  <si>
    <t>US014928</t>
  </si>
  <si>
    <t>The Design, Development, Manufacture, and Servicing of Hydraulic and Electrical Equipment and Components Used in Aircraft Flight Controls, Thrust Reversers, Landing Gear and Utility Systems.</t>
  </si>
  <si>
    <t>US015099</t>
  </si>
  <si>
    <t>EQUIP'AERO INDUSTRIE: CENTRAL FUNCTION, SUPPORT TO THE GROUP'S ACTIVITIES.
EQUIP'AERO SERVICES: TESTING, REPAIR AND GENERAL OVERHAUL OF AERONAUTIC EQUIPMENT AND OBSOLESCENCE TREATMENT.</t>
  </si>
  <si>
    <t>0111617-00</t>
  </si>
  <si>
    <t>0111878-00</t>
  </si>
  <si>
    <t>ERIK FORCHETTINO (POSC2  - A-F)</t>
  </si>
  <si>
    <t>Qualification - Limitation</t>
  </si>
  <si>
    <t>Comments</t>
  </si>
  <si>
    <t>Qualification - Limitation for ARP Product Group Comment</t>
  </si>
  <si>
    <t>PIERRE Frederic</t>
  </si>
  <si>
    <t>OGNAGNA Cassie</t>
  </si>
  <si>
    <t>003T0</t>
  </si>
  <si>
    <t>SAFRAN AIRCRAFT ENGINES - SERVICES</t>
  </si>
  <si>
    <t>1 RUE DES FRERES FARMAND</t>
  </si>
  <si>
    <t>MAGNY LES HAMEAUX</t>
  </si>
  <si>
    <t>SR TECHNICS</t>
  </si>
  <si>
    <t>EASA:UK.145.00860 - FAA:LF7Y504J - TCCA:803,02 - CAAC:F04400541</t>
  </si>
  <si>
    <t>EASA:EASA.145.0073 - FAA:2GUY107C</t>
  </si>
  <si>
    <t>EN/AS/JISQ 9100 (FM 722735 -14/04/2024) | EORS (RANKING A -22/08/2022)</t>
  </si>
  <si>
    <t>EN/AS/JISQ 9100 (08530-2006-AQ-HOU-AN -04/04/2024)</t>
  </si>
  <si>
    <t>DESIGN, IMPLEMENTATION AND MAINTENANCE OF ELECTRONIC SYSTEMS, INTELLECTUAL SERVICES (EXPERT APPRAISAL, TECHNICAL SUPPORT).</t>
  </si>
  <si>
    <t>Maintenance, Repair and Overhaul of Aircraft Components (Flight Control Actuations)</t>
  </si>
  <si>
    <t>02-15.2</t>
  </si>
  <si>
    <t>2021/02-15.2</t>
  </si>
  <si>
    <t>WELDING (WLD)</t>
  </si>
  <si>
    <t>VILLARS-SUR- GLANE</t>
  </si>
  <si>
    <t>GOODRICH CONTROL SYSTEMS LTD</t>
  </si>
  <si>
    <t>THE RADLEYS, MARSTON GREEN</t>
  </si>
  <si>
    <t>B33 OHZ</t>
  </si>
  <si>
    <t>K0131</t>
  </si>
  <si>
    <t>EASA PART 145 (DE.145.0080 -00/00/0000) | EASA PART 21 G (DE.21G.0055 -00/00/0000) | FAR 145 (5W3Y902C -30/04/2023) | NOT ELIGIBLE (POA COMPLIANCE TABLE -00/00/0000) | TCCA CAR573.02 (810-06 -00/00/0000)</t>
  </si>
  <si>
    <t>EASA:UK.145.00245 - FAA:M0GY773N - TCCA:818-09 - CAAC:F04400197</t>
  </si>
  <si>
    <t>EASA:UK.145.00857 - FAA:LU6Y506J - TCCA:898,41 - CAAC:F0440509</t>
  </si>
  <si>
    <t>818-09</t>
  </si>
  <si>
    <t>F0440509</t>
  </si>
  <si>
    <t>EN/AS/JISQ 9100 (CERT-0116454 -23/04/2024) | EN/AS/JISQ 9110 (CERT-0138387 -22/04/2024) | EORS (RANKING D -04/03/2022)</t>
  </si>
  <si>
    <t>Provides Repair, Maintenance, Product Support and Distribution Services for Avionics,
Electrical, Mechanical and Lighting Systems as well as Cabin Interior and Associated Systems.</t>
  </si>
  <si>
    <t>Goodrich Corporation, Customer Services Americas has FAA approval to provide maintenance, repair and overhaul for aircraft accessories which include: Class 1- Mechanical; Class 2 - Electrical and Class 3 – Electronic. The facility has MRO capability for landing gear and actuation structures, de-icing, Heli-servos, hoist and winch, cargo structure, air management systems and lighting systems. The facility also provides asset management services to our customers.</t>
  </si>
  <si>
    <t>C2021-00293</t>
  </si>
  <si>
    <t>US013664-2</t>
  </si>
  <si>
    <t>C0358065-AS3</t>
  </si>
  <si>
    <t>ARP Product Group Comment</t>
  </si>
  <si>
    <t>CONTRACT REF. : CT2003859</t>
  </si>
  <si>
    <t>GUANGZHOU HANGXIN AVIONICS CO LTD</t>
  </si>
  <si>
    <t>NO. 1 GUANGBAO ROAD</t>
  </si>
  <si>
    <t>SCD13</t>
  </si>
  <si>
    <t>HANGXIN SHANGAI AERO-MECHANICS CO LTD</t>
  </si>
  <si>
    <t>NO 168 JINWEN ROAD</t>
  </si>
  <si>
    <t>EASA PART 145 (FR.145.0200 -00/00/0000) | EASA PART 21 G (FR.21G.0064 -00/00/0000) | FAR 145 (L5HY347Y -30/04/2023) | TCCA CAR573.02 (899-08 -00/00/0000)</t>
  </si>
  <si>
    <t>CCAR 145 (F00100119 -31/12/2022) | EASA PART 145 (EASA.145.5099 -30/04/2023) | FAR 145 (A7XR608J -00/00/0000)</t>
  </si>
  <si>
    <t>CCAR 145 (D.300011 -00/00/0000) | EASA PART 145 (EASA.145.0071 -00/00/0000) | FAR 145 (ZUXY998X -30/09/2022)</t>
  </si>
  <si>
    <t>EASA:EASA.145.0084 - FAA:GA4Y199M - CAAC:F08100230 - CAAS:JCAB 042</t>
  </si>
  <si>
    <t>EASA:EASA.145.0071 - FAA:ZUXY998X - CAAC:D.300011</t>
  </si>
  <si>
    <t>EASA:EASA.145.0785 - FAA:6SXY448B - CAAC:D200015</t>
  </si>
  <si>
    <t>FAR 21:BOP0001 REV F - EASA 21G:POA COMPLIANCE MATRIX</t>
  </si>
  <si>
    <t>JCAB 042</t>
  </si>
  <si>
    <t>EASA.145.0071</t>
  </si>
  <si>
    <t>ZUXY998X</t>
  </si>
  <si>
    <t>D.300011</t>
  </si>
  <si>
    <t>EASA.145.0785</t>
  </si>
  <si>
    <t>6SXY448B</t>
  </si>
  <si>
    <t>D200015</t>
  </si>
  <si>
    <t>EN/AS/JISQ 9100 (FR14/19033 -13/10/2023) | EORS (RANKING C -09/04/2022) | ISO 14001 (FR21/81843819 -29/02/2024)</t>
  </si>
  <si>
    <t>For Business Unit : Product and System Sales -Building Products (SI PSS-BP)
DESIGN, DEVELOPMENT, PRODUCTION, SALE, CUSTOMER SUPPORT, MAINTENANCEAND REPAIR OF FIRE DETECTION SYSTEMS FOR AERONAUTIC.</t>
  </si>
  <si>
    <t>Development, Production, Assembly and Sale of Aerospace Equipment and Wiring Harnesses for Aerospace Applications including Services</t>
  </si>
  <si>
    <t>Maintenance, Repair and Overhaul of Aircraft Composite Parts, Assemblies and Subassemblies</t>
  </si>
  <si>
    <t>2019/82893.2</t>
  </si>
  <si>
    <t>01 117 080059</t>
  </si>
  <si>
    <t>00001/0</t>
  </si>
  <si>
    <t>9585267-Rev0</t>
  </si>
  <si>
    <t>HANGXIN</t>
  </si>
  <si>
    <t>EN/AS/JISQ 9100 (01 117 080059 -23/01/2024) | EORS (RANKING B -27/08/2022) | ISO 9001 (01 117 080059 -23/01/2024)</t>
  </si>
  <si>
    <t>Ref. Contract CT200882 (signed 0704/2021)</t>
  </si>
  <si>
    <t>Signed on 17/03/2021</t>
  </si>
  <si>
    <t>CROUZET</t>
  </si>
  <si>
    <t>10 RUE DU DOCTEUR ABEL</t>
  </si>
  <si>
    <t>TURBINEAERO REPAIR LTD</t>
  </si>
  <si>
    <t>700 178 MOO 1 T BANKAO U PANTONG</t>
  </si>
  <si>
    <t>EASA PART 145 (DE.145.0403 -00/00/0000) | EASA PART 21 G (DE.21G.0212 -00/00/0000) | FAR 145 (4ZOY588D -31/08/2022) | TCCA CAR573.02 (820-13 -00/00/0000)</t>
  </si>
  <si>
    <t>EASA PART 145 (EASA.145.5541 -30/04/2023) | FAR 145 (HT7R143J -00/00/0000)</t>
  </si>
  <si>
    <t>EASA:DE.145.0403 - FAA:4ZOY588D - TCCA:820-13</t>
  </si>
  <si>
    <t>EASA:EASA.UK.145.01081 - FAA:3MEY598B - CAAC:F04400731</t>
  </si>
  <si>
    <t>EASA:EASA.145.0844 - FAA:74RY378D - CAAC:F06600808</t>
  </si>
  <si>
    <t>820-13</t>
  </si>
  <si>
    <t>EASA.UK.145.01081</t>
  </si>
  <si>
    <t>EASA.145.0844</t>
  </si>
  <si>
    <t>74RY378D</t>
  </si>
  <si>
    <t>F06600808</t>
  </si>
  <si>
    <t>TURBINE AERO</t>
  </si>
  <si>
    <t xml:space="preserve">Contract </t>
  </si>
  <si>
    <t>CT1704071</t>
  </si>
  <si>
    <t>OLIVIER JAUMONT (POCE2  - A-D)</t>
  </si>
  <si>
    <t>SAFRAN ELECTRONICS CANADA INC</t>
  </si>
  <si>
    <t>2000 FISHER DRIVE</t>
  </si>
  <si>
    <t>K9J 7B1</t>
  </si>
  <si>
    <t>PETERSBOROUGH</t>
  </si>
  <si>
    <t>L8794</t>
  </si>
  <si>
    <t>EASA 21G:POA COMPLIANCE TABLE 05/05/2021</t>
  </si>
  <si>
    <t>POA COMPLIANCE TABLE 05/05/2021</t>
  </si>
  <si>
    <t>F01100719</t>
  </si>
  <si>
    <t>EN/AS/JISQ 9110 (FS 723771-2 -16/05/2024)</t>
  </si>
  <si>
    <t>All maintenance or repair services of propellers, cockpit and cabin equipments, trim horizontal stabilisator actuators and other actuators for aircrafts and helicopters.</t>
  </si>
  <si>
    <t>The design, development, manufacture, repair and overhaul of Electronic Control Units for the Aerospace and Defense Industry.
HQ: Electronic components, printed circuit boards and solder 
Site 2: Design Engineering</t>
  </si>
  <si>
    <t>APPA-001-04-20-4</t>
  </si>
  <si>
    <t>HEIDI LASSEN (POEGA  - A-D)</t>
  </si>
  <si>
    <t>JAYARAM MAVANDIYOOR</t>
  </si>
  <si>
    <t>CALEXICO</t>
  </si>
  <si>
    <t>EN/AS/JISQ 9100 (0070374-05 -29/05/2024)</t>
  </si>
  <si>
    <t>ISO 9001 (UK012283 -19/05/2024)</t>
  </si>
  <si>
    <t>EN/AS/JISQ 9100 (FM 727760 -28/02/2024) | ISO 9001 (48484 -28/02/2024)</t>
  </si>
  <si>
    <t>EN/AS/JISQ 9100 (69677-2010-AQ-USA-AN -21/05/2024)</t>
  </si>
  <si>
    <t>EN/AS/JISQ 9110 (10000372469-MSC-ANAB -14/06/2023)</t>
  </si>
  <si>
    <t>ACTIVITIES OF SERVICES DEDICATED TO AERONAUTICAL INDUSTRY.
ACTIVITÉS DE PRESTATIONS DE SERVICES DESTINÉES À L’INDUSTRIE AÉRONAUTIQUE.</t>
  </si>
  <si>
    <t>AS9110: Inspect, Repair, Modify And Overhaul Of Auxiliary Power Units, Parts And Accessories</t>
  </si>
  <si>
    <t>10241580-Rev0</t>
  </si>
  <si>
    <t>10241580-REV0</t>
  </si>
  <si>
    <t>UK012283</t>
  </si>
  <si>
    <t>10000369438-MSC-ANAB</t>
  </si>
  <si>
    <t>10000372469-MSC-ANAB</t>
  </si>
  <si>
    <t>EASA PART 145 (FR.145.0547 -00/00/0000) | EASA PART 21 G (FR.21G.0248 -00/00/0000) | FAR 145 (3FTY077B -31/05/2023)</t>
  </si>
  <si>
    <t>9585267-REV0</t>
  </si>
  <si>
    <t>SAFRAN ELECTRONICS &amp; DEFENSE AVIONICS USA LLC</t>
  </si>
  <si>
    <t>DOCK 8 C/O UPS-SCS</t>
  </si>
  <si>
    <t>EASA PART 145 (NL.145.1358 -00/00/0000) | EASA PART 21 G (NL.21G.2358 -00/00/0000) | EASA PART 21 J (EASA.21J.667 -00/00/0000) | FAR 145 (4FKY163D -30/06/2022) | TCCA CAR573.02 (817-11 -31/05/2023)</t>
  </si>
  <si>
    <t>EASA PART 145 (BE.145.02 -00/00/0000) | EASA PART 21 G (BE.21G.0002 -00/00/0000) | FAR 145 (SQGY459X -31/05/2023) | NOT ELIGIBLE (POA COMPLIANCE TABLE -00/00/0000)</t>
  </si>
  <si>
    <t>EN/AS/JISQ 9100 (12 210 20985 -03/07/2024)</t>
  </si>
  <si>
    <t>EN/AS/JISQ 9110 (117695-2012-AQ-SGP-A -13/06/2024)</t>
  </si>
  <si>
    <t>EN/AS/JISQ 9100 (AS19.4721 -01/07/2024)</t>
  </si>
  <si>
    <t>EN/AS/JISQ 9100 (251852-2017-AQ-USA-A -12/06/2024)</t>
  </si>
  <si>
    <t>EN/AS/JISQ 9110 (FS 723050 -05/06/2024)</t>
  </si>
  <si>
    <t>SAFRAN ELECTRICAL &amp; POWER USA LLC DBA LABINAL POWER SYSTEMS</t>
  </si>
  <si>
    <t>2250 WHITFIELD AVE</t>
  </si>
  <si>
    <t>34243-3926</t>
  </si>
  <si>
    <t>SARASOTA</t>
  </si>
  <si>
    <t>EASA:EASA.145.4042 - FAA:FK1R142K</t>
  </si>
  <si>
    <t>EASA.145.4042</t>
  </si>
  <si>
    <t>FK1R142K</t>
  </si>
  <si>
    <t>The Design, Manufacture, and Assembly of Fuel Systems, Oil Systems, Waste Water Systems, Caps and Adaptors for the Aerospace Industry, including Repair and Overhaul of Aerospace Parts and Assemblies.</t>
  </si>
  <si>
    <t>2011/40643.22</t>
  </si>
  <si>
    <t>C0106705-AS9</t>
  </si>
  <si>
    <t>JEREMY RYCKEBUSCH (POEAB  - A-F)</t>
  </si>
  <si>
    <t>EN/AS/JISQ 9100 (C0106705-AS9 -12/06/2024)</t>
  </si>
  <si>
    <t>EN/AS/JISQ 9100 (2003/20534.5 -15/06/2024)</t>
  </si>
  <si>
    <t>EN/AS/JISQ 9100 (US015557 -21/06/2024)</t>
  </si>
  <si>
    <t>DESIGN, DEVELOPMENT, MANUFACTURING
AND SALE OF MECHANICAL AND ELECTRONIC EQUIPMENT INTENDED 
FOR COMMERCIAL AND MILITARY TRANSPORT AIRCRAFT.</t>
  </si>
  <si>
    <t>US015557-1</t>
  </si>
  <si>
    <t>2003/20534.5</t>
  </si>
  <si>
    <t>US015557</t>
  </si>
  <si>
    <t>EASA PART 145 (EASA.145.6052 -30/06/2023) | FAR 145 (V5AR787J -00/00/0000) | FAR 21 (5-001-5585-0003 -00/00/0000) | NOT ELIGIBLE (POA COMPLIANCE TABLE -00/00/0000)</t>
  </si>
  <si>
    <t>EN/AS/JISQ 9100 (2007/29493.16 -30/06/2024)</t>
  </si>
  <si>
    <t>10262595-REV0</t>
  </si>
  <si>
    <t>2007/29493.16</t>
  </si>
  <si>
    <t>JAVIER MACHO SAIZ (POSC1  - A-D)</t>
  </si>
  <si>
    <t>EASA:EASA.145.5322 - FAA:OE6R225J - CAAC:F00100810</t>
  </si>
  <si>
    <t>F00100810</t>
  </si>
  <si>
    <t>EN/AS/JISQ 9100 (FM 724537 -03/06/2024) | ISO 9001 (FM 724537 -03/06/2023)</t>
  </si>
  <si>
    <t>The supply of aircraft components and services for air transport operations worldwide, including the provision of aircraft component repair &amp; overhaul and power by the hour (PBH) management services, including engines, on behalf of the customer</t>
  </si>
  <si>
    <t>AJWG-001-06-21-1</t>
  </si>
  <si>
    <t>EASA PART 145 (UK.145.01256 -00/00/0000) | EASA PART 21 G (UK.21G.2630 -00/00/0000) | NOT ELIGIBLE (POA COMPLIANCE TABLE -00/00/0000) | UK CAA (UK.145.01256 -00/00/0000)</t>
  </si>
  <si>
    <t>EASA PART 145 (UK.145.00401 -00/00/0000) | EASA PART 21 G (UK.21G.2148 -00/00/0000) | NOT ELIGIBLE (POA CONSISTENCY CHECK DONE -00/00/0000) | UK CAA (UK.145.00401 -00/00/0000)</t>
  </si>
  <si>
    <t>EASA PART 145 (UK.145.00879 -00/00/0000) | FAR 145 (XYWY939L -30/06/2022) | TCCA CAR573.02 (803-09 -00/00/0000) | UK CAA (UK.145.00879 -00/00/0000)</t>
  </si>
  <si>
    <t>CCAR 145 (F04400731 -31/12/2022) | EASA PART 145 (UK.145.01081 -00/00/0000) | EASA PART 21 G (UK21G.2105 -00/00/0000) | FAR 145 (3MEY598B -28/02/2022) | NOT ELIGIBLE (POA COMPLIANCE TABLE -00/00/0000) | UK CAA (UK.145.01081 -00/00/0000)</t>
  </si>
  <si>
    <t>EASA PART 145 (UK.145.00413 -00/00/0000) | EASA PART 21 G (UK.21G.2539 -00/00/0000) | NOT ELIGIBLE (POA COMPLIANCE TABLE -00/00/0000) | UK CAA (UK.145.00413 -00/00/0000)</t>
  </si>
  <si>
    <t>CAAS SAR145 (TCCA 8-94 -00/00/0000) | CCAR 145 (F01100846 -30/06/2023) | EASA PART 145 (EASA.145.7214 -00/00/0000) | HKAR-145 (TCCA 8-94 -00/00/0000) | TCCA CAR573.02 ( 8-94 -00/00/0000)</t>
  </si>
  <si>
    <t>EASA:EASA.145.7214 - TCCA: 8-94 - CAAC:F01100846 - CAAS:TCCA 8-94 - HKCAD:TCCA 8-94</t>
  </si>
  <si>
    <t>FAR 21:PMA PQ0006NM - FAA PMA: PQ0006NM</t>
  </si>
  <si>
    <t xml:space="preserve"> PQ0006NM</t>
  </si>
  <si>
    <t>F01100846</t>
  </si>
  <si>
    <t>EASA PART 145 (SE.145.0043 -00/00/0000) | EASA PART 21 G (SE.21G.0004 -12/12/2050) | FAR 145 (33CY807B -31/07/2023) | TCCA CAR573.02 (814-09 -00/00/0000)</t>
  </si>
  <si>
    <t>CCAR 145 (F03300642 -31/12/2022) | EASA PART 145 (FR.145.0037 -00/00/0000) | EASA PART 21 G (FR.21G.0010 -00/00/0000) | FAR 145 (Y6TY142X -31/07/2023) | NOT ELIGIBLE (POA COMPLIANCE TABLE -00/00/0000) | TCCA CAR573.02 (815-03 -01/01/2099)</t>
  </si>
  <si>
    <t>EASA PART 145 (FR.145.0154 -00/00/0000) | EASA PART 21 G (FR 21G 0113 -00/00/0000) | FAR 145 (Z6OY124B -31/07/2023) | NOT ELIGIBLE (POA COMPLIANCE MATRIX -00/00/0000)</t>
  </si>
  <si>
    <t>EASA PART 145 (EASA.145.6639 -29/07/2023) | FAR 145 (9RIR104C -00/00/0000)</t>
  </si>
  <si>
    <t>EN/AS/JISQ 9110 : EN9110:2018</t>
  </si>
  <si>
    <t>ISO 17025 (D-K-21083-01-00 -04/11/2023) | ISO 9001 (01 100 2100038 -19/07/2024)</t>
  </si>
  <si>
    <t>ISO 9001 (D01 100 2100038 -19/07/2024)</t>
  </si>
  <si>
    <t>D01 100 2100038</t>
  </si>
  <si>
    <t>AUBERT Nathalie</t>
  </si>
  <si>
    <t>AEROCON ENGINEERING COMPANY DARYOUSH B YOUNESI</t>
  </si>
  <si>
    <t>7716 KESTER AVENUE</t>
  </si>
  <si>
    <t>EASA PART 145 (EASA.145.5016 -31/07/2023) | FAR 145 (WL3R949L -00/00/0000) | FAR 21 (P20303NM -00/00/0000) | NOT ELIGIBLE (POA COMPLIANCE TABLE -00/00/0000)</t>
  </si>
  <si>
    <t>EN/AS/JISQ 9120 (AJWG-001-06-21-1 -16/08/2024)</t>
  </si>
  <si>
    <t>EN/AS/JISQ 9110 (10377049 -27/06/2024)</t>
  </si>
  <si>
    <t>Main: Supply, distribution, consignment, exchanges, repair management of aircraft and engine parts and sales and leasing of aircraft engines
HQ: : Supply, distribution, consignment, exchanges, repair management of aircraft and engine parts and sales and leasing of aircraft engines
Site 2: Supply, distribution, consignment, exchanges, repair management of aircraft and engine parts and sales and leasing of aircraft engines
Site 3: Supply, distribution, consignment, exchanges, repair management of aircraft and engine parts and sales and leasing of aircraft engines</t>
  </si>
  <si>
    <t>Maintenance, repair and overhaul on a range of products including interior products, aerostructures, landing gear and air management systems (including off-site work) in accordance with customer and regulatory authority requirements.</t>
  </si>
  <si>
    <t>AC_0110-03</t>
  </si>
  <si>
    <t>US013873-2</t>
  </si>
  <si>
    <t>The Design, Manufacture and Service of complex hydraulic valves assemblies, hydraulic actuations systems, and machined components.</t>
  </si>
  <si>
    <t>PROVIDE TECHNOLOGIES, DEVELOP, MANUFACTURE, MAINTAIN, REPAIR, MODIFY, 
SUPPORT AND PROVIDE SERVICES FOR ELECTRICAL SYSTEMS AND COMPONENTS; 
PROVIDE GLOBAL INSTALLATION AND ENGINEERING SERVICES
FOR AEROSPACE, DEFENSE, TRANSPORTATION AND INDUSTRIAL APPLICATIONS.</t>
  </si>
  <si>
    <t>The design, development, manufacture, service and support of electronic, electro-mechanical and mechanical control systems and solutions including for high integrity control, real time software applications, dynamic interconnects &amp; components for the Defence, Aerospace and Commercial industries.</t>
  </si>
  <si>
    <t>Main Site: Maintenance, Repair, Overhaul and Modification of Aircraft Components and Accessories.
Additional Site: Maintenance, Repair, Overhaul and Modification of Aircraft Components and Accessories.</t>
  </si>
  <si>
    <t>US-2301-07</t>
  </si>
  <si>
    <t>FS 681590</t>
  </si>
  <si>
    <t>EASA PART 145 (UK.145.01367 -00/00/0000) | EASA PART M G (UK.MG.0736 -00/00/0000) | UK CAA (UK.145.01367 -00/00/0000)</t>
  </si>
  <si>
    <t>EASA:EASA.145.4539 - FAA:HQ7R766N - CAAC:F00100827</t>
  </si>
  <si>
    <t>F00100827</t>
  </si>
  <si>
    <t>EN/AS/JISQ 9100 (AC_0110-03 -23/08/2024) | EORS (RANKING D -14/01/2023)</t>
  </si>
  <si>
    <t>EN/AS/JISQ 9110 (FS 579788 -06/08/2024)</t>
  </si>
  <si>
    <t>ELECTRONICS (ETG) (9903184940 - 31/08/2021)</t>
  </si>
  <si>
    <t>PROVIDE TECHNOLOGIES, DEVELOP, MANUFACTURE, MAINTAIN, REPAIR, MODIFY, 
SUPPORT AND PROVIDE SERVICES FOR VENTILATION SYSTEMS AND COMPONENTS 
FOR AEROSPACE, DEFENSE, GROUND TRANSPORTATION AND INDUSTRIAL APPLICATIONS.</t>
  </si>
  <si>
    <t>EASA PART 145 (EASA.145.5514 -01/09/2022) | FAR 145 (F8ER232Y -00/00/0000)</t>
  </si>
  <si>
    <t>EASA:EASA.145.5514 - FAA:F8ER232Y</t>
  </si>
  <si>
    <t>EN/AS/JISQ 9100 (2011/40643.22 -22/08/2024)</t>
  </si>
  <si>
    <t>EN/AS/JISQ 9110 (18674 -26/07/2024)</t>
  </si>
  <si>
    <t>Design, manufacture, repair and sales of specialty printers and other ruggedized equipment for use in commercial and military aircraft, ground vehicles and ocean vessels.</t>
  </si>
  <si>
    <t>AS-1061-07</t>
  </si>
  <si>
    <t>ALBRECHT Anaïs</t>
  </si>
  <si>
    <t>VIGIER Christine</t>
  </si>
  <si>
    <t>The maintenance, repair, and overhaul of aircraft actuation systems, aircraft evacuation system components, and Galley Inserts.</t>
  </si>
  <si>
    <t>881015019/3</t>
  </si>
  <si>
    <t>CAMILLE BAUDIN (POELC  - A-UK)</t>
  </si>
  <si>
    <t>EASA PART 145 (EASA.145.5907 -31/08/2023) | EASA PART 21 G (POA COMPLIANCE TABLE -00/00/0000) | FAR 145 (QWCR710X -00/00/0000) | FAR 21 (MMF-465-100 -00/00/0000)</t>
  </si>
  <si>
    <t>EASA PART 145 (FR.145.0592 -00/00/0000) | EASA PART 21 G (FR.21G.0023 -00/00/0000) | FAR 145 (SO9Y450J -30/11/2022) | NOT ELIGIBLE (POA COMPLIANCE MATRIX -00/00/0000)</t>
  </si>
  <si>
    <t>EASA 21G:FR.21G.0023</t>
  </si>
  <si>
    <t>EN/AS/JISQ 9100 (AS-1061-07 -31/08/2024)</t>
  </si>
  <si>
    <t>EN/AS/JISQ 9110 (PL012768 -29/07/2024)</t>
  </si>
  <si>
    <t>CERT-0117213</t>
  </si>
  <si>
    <t>PL012768</t>
  </si>
  <si>
    <t>AIRBUS AFRICA ET MIDDLE EAST FZE</t>
  </si>
  <si>
    <t>WEST WING 8 6 7 FLOOR</t>
  </si>
  <si>
    <t>THALES AVIONICS</t>
  </si>
  <si>
    <t>7415 EMERALD DUNES DR,SUITE 2000</t>
  </si>
  <si>
    <t>ORLANDO</t>
  </si>
  <si>
    <t>EASA PART 145 (FR.145.0548 -00/00/0000) | FAR 145 (N6QY222B -31/08/2023)</t>
  </si>
  <si>
    <t>EASA:EASA.145.0881 - FAA:3FZY810D</t>
  </si>
  <si>
    <t>EASA:EASA.145.6030 - FAA:L1IR073X - CAAC:F00100796</t>
  </si>
  <si>
    <t>F04400829</t>
  </si>
  <si>
    <t>EASA.145.0881</t>
  </si>
  <si>
    <t>3FZY810D</t>
  </si>
  <si>
    <t>EASA.145.6030</t>
  </si>
  <si>
    <t>L1IR073X</t>
  </si>
  <si>
    <t>F00100796</t>
  </si>
  <si>
    <t>EN/AS/JISQ 9120 (6136442620 -26/05/2023)</t>
  </si>
  <si>
    <t>EN/AS/JISQ 9100 (245361-2017-AQ-USA-A -15/12/2022)</t>
  </si>
  <si>
    <t>Design, Manufacture and Servicing of In-Flight Entertainment and Communication Systems and Related Peripherals for Commercial Airframe Manufacturers, Aircraft Modification Centers, Aircraft Leasing Companies, and Airlines.</t>
  </si>
  <si>
    <t>10466703-Rev1</t>
  </si>
  <si>
    <t>245361-2017-AQ-USA-A</t>
  </si>
  <si>
    <t>New ARP ID created due to relocation of repair facility to Orlando</t>
  </si>
  <si>
    <t>DENNIS SCHIEMANN (POCM1  - A-D)</t>
  </si>
  <si>
    <t>F-TECH AEROSTRUCTURES GROUPE SAS</t>
  </si>
  <si>
    <t>110 RUE GEORGES ONSLOW</t>
  </si>
  <si>
    <t>FARX7</t>
  </si>
  <si>
    <t>EASA:EASA.145.0313 - FAA:H3UY075N - TCCA:9915-01 - CAAC:F06000294 - CAAS:AWI/147 - CAAM:AMO/2016/17</t>
  </si>
  <si>
    <t>AMO/2016/17</t>
  </si>
  <si>
    <t>EN/AS/JISQ 9100 (10466703-REV1 -09/09/2024)</t>
  </si>
  <si>
    <t>EN/AS/JISQ 9110 (10166498-REV0 -31/08/2024) | EN/AS/JISQ 9120 (10166498-REV0 -31/08/2024)</t>
  </si>
  <si>
    <t>10166498-REV0</t>
  </si>
  <si>
    <t>10166498-REV1</t>
  </si>
  <si>
    <t>10466703-REV1</t>
  </si>
  <si>
    <t>Temporary approval to support Satair (SAP issue)</t>
  </si>
  <si>
    <t>EASA PART 145 (EASA.145.5119 -31/08/2023) | FAR 145 (VY1R575K -00/00/0000)</t>
  </si>
  <si>
    <t>EASA:EASA.145.0032 - FAA:ULCY444L - TCCA:CAAS AWI/105 - CAAC:F06500266 - CAAS:AWI/105 - CAAM:FAMO/2017/57</t>
  </si>
  <si>
    <t>FAMO/2017/57</t>
  </si>
  <si>
    <t>154-94</t>
  </si>
  <si>
    <t>EN/AS/JISQ 9100 (10002934 AS0016A -27/10/2024)</t>
  </si>
  <si>
    <t>EN/AS/JISQ 9100 (CERT-05885-2006-AQ-H -14/09/2024)</t>
  </si>
  <si>
    <t>EN/AS/JISQ 9110 (10541262-REV0 -14/09/2024)</t>
  </si>
  <si>
    <t>Design, manufacture, repair, overhaul, modification, related laboratory testing and sales of fluid and gaseous filtration and separation equipment including filter elements, diagnostic instrumentation and accessories for use in aerospace, automotive, industrial, ground support and defence applications.</t>
  </si>
  <si>
    <t>The Design, Development, Manufacture, Repair/Overhaul, Distribution and Support of: Turbine Power Systems, Aircraft Propulsion, Associated Components, Avionics/Navigation, Data/Software Systems and Related Airframe Accessories for Aerospace Applications for Military, Space and Commercial Programs.Sale and distribution of aftermarket reconditioned equipment.</t>
  </si>
  <si>
    <t>Design, Development, Manufacture, Repair/Overhaul, Distribution and Support of Avionics/Navigation and Data/Software Systems for Aerospace Commercial Applications</t>
  </si>
  <si>
    <t>Purchase, sales, service offerings, warehousing and distribution of aircraft and engines components</t>
  </si>
  <si>
    <t>CERT-05885-2006-AQ-H</t>
  </si>
  <si>
    <t>10541262-REV0</t>
  </si>
  <si>
    <t>Limited to PNs:
TAAI3-03CE22-01 SEAT-FIRST OFFICER
TAAI3-03PE22-01 SEAT-CAPTAIN
PMC1104-03 DETECTOR
PPA1103-00 DETECTOR
PPA1201-00 DETECTOR
PPA1202-00 DETECTOR
PPA1203-00 DETECTOR
PPA1204-00 DETECTOR
PPC1100-00 DETECTOR
PPC1200-00 DETECTOR
Authorization:
Limited to PNs:
Authorization
D31865-111/A8967RP
D31865-111/154205
D31865-112/A5304RP</t>
  </si>
  <si>
    <t>JET AVIATION AG</t>
  </si>
  <si>
    <t>FLUGHAFENSTR.</t>
  </si>
  <si>
    <t>BASEL AIRPORT</t>
  </si>
  <si>
    <t>S9389</t>
  </si>
  <si>
    <t>EASA PART 145 (UK.145.00642 -00/00/0000) | EASA PART 21 G (UK.21G.2136 -00/00/0000) | FAR 145 (DQDY021K -30/09/2023) | TCCA CAR573.02 (807-5 -00/00/0000) | UK CAA (UK.145.00642 -00/00/0000)</t>
  </si>
  <si>
    <t>EASA PART 145 (EASA.145.0370 -00/00/0000) | FAR 145 (6GCY486B -30/09/2022)</t>
  </si>
  <si>
    <t>EASA PART 145 (DE.145.0001 -00/00/0000) | TCCA CAR573.02 (0897-08 -01/10/2023)</t>
  </si>
  <si>
    <t>EASA PART 145 (EASA.145.0796 -12/08/2022) | FAR 145 (Z5RY553Y -30/09/2022)</t>
  </si>
  <si>
    <t>EASA PART 145 (EASA.145.0739 -00/00/0000) | FAR 145 (3INY141B -30/09/2022)</t>
  </si>
  <si>
    <t>EASA PART 145 (DE.145.0001 -00/00/0000) | FAR 145 (DLAY225D -31/10/2022) | TCCA CAR573.02 (0897-08 -01/10/2023)</t>
  </si>
  <si>
    <t>EASA:CH.145.0232 - FAA:QV1Y440K - TCCA:897-04</t>
  </si>
  <si>
    <t>EASA:DE.145.0001 - FAA:DLAY225D - TCCA:0897-08 - CAAC:F04900352 - CAAS:AWI/269 - HKCAD:AI/138/1106</t>
  </si>
  <si>
    <t>EASA:DE.145.0001 - TCCA:0897-08</t>
  </si>
  <si>
    <t>EASA:DE.145.0001 - FAA:DLAY225D - TCCA:0897-08</t>
  </si>
  <si>
    <t>EASA 21J:EASA.21J.356 - EASA 21G:CH.21G.0011</t>
  </si>
  <si>
    <t>CH.145.0232</t>
  </si>
  <si>
    <t>QV1Y440K</t>
  </si>
  <si>
    <t>897-04</t>
  </si>
  <si>
    <t>EASA.21J.356</t>
  </si>
  <si>
    <t>CH.21G.0011</t>
  </si>
  <si>
    <t>0897-08</t>
  </si>
  <si>
    <t>EN/AS/JISQ 9100 (173289-2015-AQ-USA-A -15/09/2024) | EORS (RANKING B -27/11/2023)</t>
  </si>
  <si>
    <t>EN/AS/JISQ 9100 (173289-2015-AQ-USA-A -15/09/2024)</t>
  </si>
  <si>
    <t>EN/AS/JISQ 9100 (FM 558567-1 -07/10/2024) | EN/AS/JISQ 9110 (FM 558567-2 -07/10/2024)</t>
  </si>
  <si>
    <t>EN/AS/JISQ 9100 (59471 -27/08/2022)</t>
  </si>
  <si>
    <t>Completion (outfitting of green aircraft) services, maintenance services including refurbishment of aircraft in service. Engineering activities as well for issuance of Supplemental Type Certificates</t>
  </si>
  <si>
    <t>Performance of aircraft maintenance, repair, modification and refurbishment activities</t>
  </si>
  <si>
    <t>The design, development, manufacture, assembly and test of hydraulic, mechanical, electrical/electronic, flight controls, actuation/power control systems and equipment including servo valves, solenoid valves and high pressure gassing systems for aerospace, marine and defence applications. The maintenance, repair and service support for the above products and the provision of test equipment, customer support, logistics planning, spare parts and customer training associated with these products.</t>
  </si>
  <si>
    <t>The design, prototype, manufacture, test, repair, maintenance, and overhaul of aircraft equipment and interior components, including hydro-mechanical and electro-mechanical aircraft control systems. 
1833 Alton Parkway - Central Functions
1733 Alton Parkway -Design, prototype, manufacture, testing, storage, and overhaul of aircraft equipment including the assembly and test of hydro-mechanical an electro-mechanical aircraft control systems.
Sierra San Agustin No. 2498 - The manufacture, test, repair, maintenance and overhaul of aircraft equipment and interior components including the assembly and test of hydro-mechanical and electro-mechanical aircraft control systems
1757 Carr Road - Receiving/Receiving Inspection, Shipping, Warehousing, Customer Return Order Entry Process</t>
  </si>
  <si>
    <t>Full Technical Handling, Major Repair of Aircraft Airframes which includes on-Wing
support of Aircraft Engines, Landing Gear, Wheels, Brakes, Hydraulics, APUs, Fuel and
other Aircraft Components for Commercial Aircraft Applications using Repair Stations on
a contractual basis</t>
  </si>
  <si>
    <t>Continuous airworthiness and technical asset management services</t>
  </si>
  <si>
    <t>Maintenance, Repair and Overhaul of Aircraft Components</t>
  </si>
  <si>
    <t xml:space="preserve"> 880117014/2</t>
  </si>
  <si>
    <t>880117014/2</t>
  </si>
  <si>
    <t>870218001/1</t>
  </si>
  <si>
    <t>US015988-1</t>
  </si>
  <si>
    <t xml:space="preserve">
Amdt 2 D18003143 to GC  PCSJ-CT0803348/10
(05/09/17)</t>
  </si>
  <si>
    <t>ADL SA/RL &amp; CCGRL signed 13/08/14, in contract Amdt 1
A350 Capacity</t>
  </si>
  <si>
    <t>JET AVIATION AG - Basel</t>
  </si>
  <si>
    <t>GTA CT1608767 - entered into force on March 2017 - regulariezd by CVF in March 2021 - To be renewed in March 2021</t>
  </si>
  <si>
    <t xml:space="preserve">GRISS Module 1 </t>
  </si>
  <si>
    <t>signed 21/03/2017</t>
  </si>
  <si>
    <t>HEAT TREATING (HT) (4761202353 - 31/08/2023) | NON DESTRUCTIVE TESTING (NDT) (4761201642 - 31/08/2023)</t>
  </si>
  <si>
    <t>LUFTHANSA TECHNIK SHENZHEN CO. LTD</t>
  </si>
  <si>
    <t>BAO'AN INTERNATIONAL AIRPORT</t>
  </si>
  <si>
    <t>SHENZHEN</t>
  </si>
  <si>
    <t>SBE60</t>
  </si>
  <si>
    <t>EASA PART 145 (FR.145.0549 -00/00/0000) | EASA PART 21 G (FR.21G.0059 + POA COMPLIANCE TABLE -00/00/0000) | FAR 145 (6GXY218C -30/09/2023) | TCCA CAR573.02 (817-22 -00/00/0000)</t>
  </si>
  <si>
    <t>EASA:DE.145.0001 - FAA:Z6LY415Y - TCCA:897-08 - CAAC:D.3024 - CAAS:AWI/294 - CAAM:FAMO/2016/26</t>
  </si>
  <si>
    <t>Z6LY415Y</t>
  </si>
  <si>
    <t>897-08</t>
  </si>
  <si>
    <t>D.3024</t>
  </si>
  <si>
    <t>AWI/294</t>
  </si>
  <si>
    <t>FAMO/2016/26</t>
  </si>
  <si>
    <t>DESIGN, MANUFACTURE, SALES AND DISTRIBUTION OF AIR, GAS, FUEL AND HYDRAULIC 
FILTERS, FILTRATION AND PHASE SEPARATION SYSTEMS, POLLUTION CONTROL DEVICES
FOR AEROSPACE, DEFENSE, NAVY AND INDUSTRY APPLICATIONS.</t>
  </si>
  <si>
    <t>US015988</t>
  </si>
  <si>
    <t>Limited to PNs:$32919xx$33991xx$670000xx$672001xx$274169x$32030xx$63203064$67600008$21193xx$3290814$510900xx$672000xx$70721870 *</t>
  </si>
  <si>
    <t>Limited to PNs:$E21328002$E21376000-2 ECBU *</t>
  </si>
  <si>
    <t>ANDREW BENSKEY (AAPOC)</t>
  </si>
  <si>
    <t>B/E AEROSPACE INC REFRIGERATION PRODUCTS</t>
  </si>
  <si>
    <t>15701 W 95TH STREET</t>
  </si>
  <si>
    <t>2 RUE DE LA FONDERIE</t>
  </si>
  <si>
    <t>EASA PART 145 (DE.145.0236 -00/00/0000) | EASA PART 21 G (DE.21G.0034 -00/00/0000) | NOT ELIGIBLE (POA COMPLIANCE TABLE -00/00/0000) | POA CT (POA COMPLIANCE TABLE -00/00/0000)</t>
  </si>
  <si>
    <t>EASA PART 145 (DE.145.0913 -00/00/0000) | EASA PART 21 G (POA COMPLIANCE TABLE 04/08/2016 -00/00/0000)</t>
  </si>
  <si>
    <t>EASA PART 145 (FR.145.0139 -00/00/0000) | EASA PART 21 G (FR.21G.0186 -00/00/0000) | FAR 145 (Y4GY434Y -28/02/2023) | NOT ELIGIBLE (POA COMPLIANCE TABLE -00/00/0000) | TCCA CAR573.02 (800-28 -00/00/0000)</t>
  </si>
  <si>
    <t>EASA:FR.145.0139 - FAA:Y4GY434Y - TCCA:800-28</t>
  </si>
  <si>
    <t>EASA 21G:POA COMPLIANCE TABLE 04/08/2016</t>
  </si>
  <si>
    <t>POA COMPLIANCE TABLE 04/08/2016</t>
  </si>
  <si>
    <t>FR.145.0139</t>
  </si>
  <si>
    <t>EN/AS/JISQ 9100 (44 117 077017 -28/10/2024)</t>
  </si>
  <si>
    <t>EN/AS/JISQ 9100 (FM 552176 -15/10/2024) | EORS (RANKING D -27/02/2018)</t>
  </si>
  <si>
    <t>The Design, Manufacture &amp; Service of In-Flight Entertainment and Connectivity (IFEC) Systems</t>
  </si>
  <si>
    <t>FR21/81843793</t>
  </si>
  <si>
    <t>2012/51513.6</t>
  </si>
  <si>
    <t>GRISS MOD. 2</t>
  </si>
  <si>
    <t>EN/AS/JISQ 9100 (112381-2012-AQ-USA-A -11/10/2024) | IAEG (RANKING B -02/05/2023) | ISO 14001 (110352-2012-AE-USA-A -07/07/2023)</t>
  </si>
  <si>
    <t>AIRCRAFT &amp; ENGINE STORAGE, TRANSITION, MAINTENANCE, DISMANTLING AND RECYCLING.</t>
  </si>
  <si>
    <t>EASA PART 145 (EASA.145.6515 -24/10/2023) | FAR 145 (7TGR214C -00/00/0000)</t>
  </si>
  <si>
    <t>EASA:EASA.145.0101 - FAA:FU4Y193M - TCCA:CAAS AWI/005 - CAAC:F06500250 - CAAS:AWI/005 - HKCAD:AWI/005</t>
  </si>
  <si>
    <t>EASA:UK.145.01222 - FAA:3OEY420C - TCCA:816-07 - CAAC:F04400753</t>
  </si>
  <si>
    <t>F04400753</t>
  </si>
  <si>
    <t>EN/AS/JISQ 9100 (10002089 AS0016A -23/11/2024)</t>
  </si>
  <si>
    <t>EN/AS/JISQ 9110 (127258-2012-AQ-SGP-A -16/12/2024)</t>
  </si>
  <si>
    <t>EN/AS/JISQ 9110 (6139221741 -26/06/2023)</t>
  </si>
  <si>
    <t>Design, Manufacture, Repair and Calibration of Magnetic Compasses and Associated Navigation Instrument.</t>
  </si>
  <si>
    <t>C2021-04408</t>
  </si>
  <si>
    <t>10204550-Rev0</t>
  </si>
  <si>
    <t>FR21/81843493</t>
  </si>
  <si>
    <t>UK012446</t>
  </si>
  <si>
    <t>EASA PART 145 (FR.145.0164 -00/00/0000) | EASA PART 21 G (FR.21G.0090 -00/00/0000) | FAR 145 (LC9Y658J -31/10/2023) | NOT ELIGIBLE (POA COMPLIANCE TABLE -00/00/0000)</t>
  </si>
  <si>
    <t>EASA PART 145 (IT.145.0287 -00/00/0000) | EASA PART 21 F (POA COMPLIANCE TABLE -00/00/0000) | EASA PART 21 G (IT.21G.0025 -00/00/0000) | FAR 145 (3S3Y436B -31/10/2023) | TCCA CAR573.02 (818-14 -00/00/0000)</t>
  </si>
  <si>
    <t>CAAM PART 145 (FAMO/2017/75 -09/09/2022) | CAAS SAR145 (AWI/260 -30/09/2022) | CCAR 145 (D.101641 -00/00/0000) | EASA PART 145 (EASA.145.0389 -00/00/0000) | FAR 145 (I33Y875Y -31/10/2022) | HKAR-145 (CAAC D.101641 -00/00/0000)</t>
  </si>
  <si>
    <t>EASA PART 145 (EASA.145.0073 -00/00/0000) | FAR 145 (2GUY107C -30/09/2022)</t>
  </si>
  <si>
    <t>EASA PART 145 (DE.145.0200 -00/00/0000) | EASA PART 21 G (DE.21G.0081 -00/00/0000) | NOT ELIGIBLE (POA COMPLIANCE TABLE -00/00/0000) | TCCA CAR573.02 (0803-12 -00/00/0000)</t>
  </si>
  <si>
    <t>CCAR 145 (D.200024 -00/00/0000) | EASA PART 145 (EASA.145.0784 -00/00/0000) | FAR 145 (8HOY818C -31/10/2022) | HKAR-145 (CAAC D.200024 -00/00/0000)</t>
  </si>
  <si>
    <t>CCAR 145 (D200015 -00/00/0000) | EASA PART 145 (EASA.145.0785 -00/00/0000) | FAR 145 (6SXY448B -31/10/2022)</t>
  </si>
  <si>
    <t>EASA:EASA.145.0588 - FAA:8PGY232D - CAAC:F06000732 - CAAS:AWI/329 - CAAM:AMO/2018/06</t>
  </si>
  <si>
    <t>EASA:DE.145.0200 - TCCA:0803-12</t>
  </si>
  <si>
    <t>AMO/2018/06</t>
  </si>
  <si>
    <t>0803-12</t>
  </si>
  <si>
    <t>EN/AS/JISQ 9100 (10000744 AS0016A -20/10/2024) | IAEG (RANKING B -02/09/2023) | ISO 14001 (10000744 UM RC15 -06/12/2023) | ISO 9001 (10000744 QM15 -20/10/2024)</t>
  </si>
  <si>
    <t>FR068771-1</t>
  </si>
  <si>
    <t>FM724157</t>
  </si>
  <si>
    <t>0116374-01</t>
  </si>
  <si>
    <t>EASA PART 145 (UK.145.00186 -00/00/0000) | EASA PART 21 G (UK.21G.2110 -00/00/0000) | FAR 145 (B4PY038N -31/10/2023) | NOT ELIGIBLE (POA COMPLIANCE TABLE -00/00/0000) | UK CAA (UK.145.00186 -00/00/0000)</t>
  </si>
  <si>
    <t>CAAS SAR145 (HKCAD DAI/1/853 -01/09/2023) | CCAR 145 (HKCAD DAI/1/853 -01/09/2023) | EASA PART 145 (EASA.145.0080 -00/00/0000) | FAR 145 (NE1Y345K -31/10/2022) | HKAR-145 (DAI/1/853 -01/09/2023) | TCCA CAR573.02 (HKCAD DAI/1/853 -01/09/2023)</t>
  </si>
  <si>
    <t>CCAR 145 (D.300023 -00/00/0000) | EASA PART 145 (EASA.145.0434 -00/00/0000) | FAR 145 (X0WY477Y -31/10/2022)</t>
  </si>
  <si>
    <t>EASA:EASA.145.0141 - FAA:UOPY878L - CAAC:F08100503</t>
  </si>
  <si>
    <t>EN/AS/JISQ 9100 (0116266-01 -26/10/2024) | EN/AS/JISQ 9110 (0116374-01 -26/10/2024)</t>
  </si>
  <si>
    <t>AC_0204-03</t>
  </si>
  <si>
    <t>MRO Component</t>
  </si>
  <si>
    <t>COMPOSITE MANUFACTURING (COMP) (206993 - 28/02/2023) | NON DESTRUCTIVE TESTING (NDT) (182343 - 31/08/2023)</t>
  </si>
  <si>
    <t>EUROPE TECHNOLOGIES</t>
  </si>
  <si>
    <t>CARQUEFOU</t>
  </si>
  <si>
    <t>FBF06</t>
  </si>
  <si>
    <t>EASA PART 145 (UK.145.00014 -00/00/0000) | UK CAA (UK.145.00014 -00/00/0000)</t>
  </si>
  <si>
    <t>EASA PART 145 (EASA.145.5037 -30/01/2023) | EASA PART 21 G (POA COMPLIANCE TABLE -00/00/0000) | FAR 145 (VK6R687N -00/00/0000)</t>
  </si>
  <si>
    <t>EASA PART 21 G (POA COMPLIANCE TABLE 04/11/2020 -00/00/0000)</t>
  </si>
  <si>
    <t>EASA:UK.145.00014</t>
  </si>
  <si>
    <t>EASA 21G:POA COMPLIANCE TABLE 04/11/2020</t>
  </si>
  <si>
    <t>POA COMPLIANCE TABLE 04/11/2020</t>
  </si>
  <si>
    <t>EN/AS/JISQ 9120 (C2021-04408 -25/10/2024)</t>
  </si>
  <si>
    <t>ISO 9001 (FR17/81842478 -04/02/2023)</t>
  </si>
  <si>
    <t>EN/AS/JISQ 9100 (AC_0204-03 -05/11/2024)</t>
  </si>
  <si>
    <t>US014928-2</t>
  </si>
  <si>
    <t>FR17/81842478</t>
  </si>
  <si>
    <t>870217082/4</t>
  </si>
  <si>
    <t>Limited to PNs:
32919xx
33991xx
670000xx
672001xx
274169x
32030xx
63203064
67600008
21193xx
3290814
510900xx
672000xx
70721870</t>
  </si>
  <si>
    <t>CHEMICAL PROCESSING (CP) (8761190114 - 30/11/2021) | NON DESTRUCTIVE TESTING (NDT) (8761190261 - 31/08/2023) | SURFACE ENHANCEMENT (SE) (8761194130 - 30/11/2021)</t>
  </si>
  <si>
    <t>SUNAERO-HELITEST</t>
  </si>
  <si>
    <t>70 RUE AMPERE - ZI LYON NORD</t>
  </si>
  <si>
    <t>GENAY CEDEX</t>
  </si>
  <si>
    <t>FA6R3</t>
  </si>
  <si>
    <t>EASA PART 145 (DE.145.0021 -00/00/0000) | FAR 145 (AGGY136K -31/10/2023) | FAR 21 (DE.21G0099 -00/00/0000) | NOT ELIGIBLE (POA COMPLIANCE TABLE -00/00/0000) | POA CT (POA COMPLIANCE TABLE -00/00/0000) | TCCA CAR573.02 (810-13 -00/00/0000)</t>
  </si>
  <si>
    <t>EASA PART 145 (DE.145.0021 -00/00/0000) | EASA PART 21 G (DE.21G.0099 -00/00/0000) | FAR 145 (AGGY136K -31/10/2023) | NOT ELIGIBLE (POA COMPLIANCE TABLE -00/00/0000) | TCCA CAR573.02 (810-13 -00/00/0000)</t>
  </si>
  <si>
    <t>EASA PART 145 (FR.145.0724 -00/00/0000)</t>
  </si>
  <si>
    <t>EN/AS/JISQ 9100 (190089-2015-AQ-FRA-A -17/11/2024) | EN/AS/JISQ 9110 (190089-2015-AQ-FRA-A -16/11/2024)</t>
  </si>
  <si>
    <t>ISO 9001 (FR061288-1 -26/10/2023)</t>
  </si>
  <si>
    <t>EN/AS/JISQ 9120 (FS 41468 -28/01/2025)</t>
  </si>
  <si>
    <t>JOB AIR TECHNIC A.S.</t>
  </si>
  <si>
    <t>GEN. FAJTLA 370</t>
  </si>
  <si>
    <t>742 51</t>
  </si>
  <si>
    <t>MOSNOV</t>
  </si>
  <si>
    <t>Czech Republic</t>
  </si>
  <si>
    <t>CAAS SAR145 (HKCAD AI/79/893 -30/08/2023) | EASA PART 145 (EASA.145.0383 -00/00/0000) | FAR 145 (B7FY251J -31/10/2022) | HKAR-145 (AI/79/893 -30/08/2023)</t>
  </si>
  <si>
    <t>EASA:FR.145.0724</t>
  </si>
  <si>
    <t>FR.145.0724</t>
  </si>
  <si>
    <t>CZ.145.0054</t>
  </si>
  <si>
    <t>3J3Y421C</t>
  </si>
  <si>
    <t>FR061288-1</t>
  </si>
  <si>
    <t>SYBILLE TORRES (POPS  - CE)</t>
  </si>
  <si>
    <t>EASA PART 145 (FR.145.0130 -00/00/0000) | EASA PART 21 G (FR.21G.0056 -00/00/0000) | NOT ELIGIBLE (POA COMPLIANCE TABLE -00/00/0000)</t>
  </si>
  <si>
    <t>EASA:EASA.145.0777 - FAA:55CY360D - TCCA:CAAS AWI/373 - CAAC:F06500860 - CAAS:AWI/373</t>
  </si>
  <si>
    <t>F06500860</t>
  </si>
  <si>
    <t>EN/AS/JISQ 9100 (116796 -30/09/2022)</t>
  </si>
  <si>
    <t>Design, manufacture, repair and overhaul of hydraulic systems, thrust reverser systems, hydraulic pumps and motors, utility and actuation products, and deliverable software and electronics for the aerospace and defense industry</t>
  </si>
  <si>
    <t>Maintenance, Repair and Overhaul of Aircraft, Aircraft Components, Engine, Engine
Components and Related Technical Services.</t>
  </si>
  <si>
    <t>US016228-1</t>
  </si>
  <si>
    <t>Limited to PNs:$TAAI3-03CE22-01 SEAT-FIRST OFFICER$TAAI3-03PE22-01 SEAT-CAPTAIN$PMC1104-03 DETECTOR$PPA1103-00 DETECTOR$PPA1201-00 DETECTOR$PPA1202-00 DETECTOR$PPA1203-00 DETECTOR$PPA1204-00 DETECTOR$PPC1100-00 DETECTOR$PPC1200-00 DETECTOR *</t>
  </si>
  <si>
    <t>CCT-HALLE 12, GEBAEUDE 527</t>
  </si>
  <si>
    <t>EASA PART 145 (FR.145.0375 -00/00/0000) | EASA PART 21 G (FR.21G.0194 -00/00/0000) | EASA PART 21 J (EASA.21J.039 -00/00/0000) | EASA PART M G (FR.CAMO.0034 -00/00/0000)</t>
  </si>
  <si>
    <t>EASA:FR.CAMO.0034</t>
  </si>
  <si>
    <t>FR.CAMO.0034</t>
  </si>
  <si>
    <t>US016228</t>
  </si>
  <si>
    <t>DE012504-1</t>
  </si>
  <si>
    <t xml:space="preserve">SONATS </t>
  </si>
  <si>
    <t>Maintenance Subcontractor</t>
  </si>
  <si>
    <t>EN/AS/JISQ 9100 | EN/AS/JISQ 9110</t>
  </si>
  <si>
    <t>CHEMICAL PROCESSING (CP) (207559 - 31/05/2023)</t>
  </si>
  <si>
    <t>EASA PART 145 (CH.145.0232 -00/00/0000) | EASA PART 21 G (CH.21G.0011 -00/00/0000) | EASA PART 21 J (EASA.21J.356 -00/00/0000) | FAR 145 (QV1Y440K -30/11/2023) | TCCA CAR573.02 (897-04 -00/00/0000)</t>
  </si>
  <si>
    <t>CCAR 145 (F03900591 -31/12/2022) | EASA PART 145 (IT.145.0027 -00/00/0000) | EASA PART 21 G (IT.21G.0033 -00/00/0000) | FAR 145 (M1IY110Y -30/11/2023) | TCCA CAR573.02 (806-09 -00/00/0000)</t>
  </si>
  <si>
    <t>CCAR 145 (F03900591 -31/12/2022) | EASA PART 145 (IT.145.0027 -00/00/0000) | EASA PART 21 G (IT.21G.0033 -00/00/0000) | FAR 145 (M1IY110Y -30/11/2023)</t>
  </si>
  <si>
    <t>EASA:UK.145.01382 - FAA:N09Y585D - CAAC:F04400829</t>
  </si>
  <si>
    <t>EASA:FR.CAMO.0059</t>
  </si>
  <si>
    <t>N09Y585D</t>
  </si>
  <si>
    <t>FR.CAMO.0059</t>
  </si>
  <si>
    <t>EASA PART 145 (CZ.145.0054 -00/00/0000) | EASA PART 147 (CZ.147.0016 -00/00/0000) | FAR 145 (3J3Y421C -31/10/2023) | TCCA CAR573.02 (4249-21-401 -02/12/2023)</t>
  </si>
  <si>
    <t>EASA:CZ.145.0054 - FAA:3J3Y421C - TCCA:4249-21-401</t>
  </si>
  <si>
    <t>4249-21-401</t>
  </si>
  <si>
    <t>EN/AS/JISQ 9100 (36638.4 -07/02/2024) | EN/AS/JISQ 9110 (2011/40103.6 -07/02/2024) | ISO 14001 (2010/36634.6 -25/04/2024) | ISO 9001 (2010/36630.4 -07/02/2024)</t>
  </si>
  <si>
    <t xml:space="preserve">CT1304756 (CT1705135 is a wrong reference for the 3rd amendment) - SINGAPORE, MANTES LA VILLE, MASSY CEDEX, FOUGERES CEDEX, PARIS and FLEAC
GRAND PRAIRIE: "linked to ex-Zodiac Cabin (Menomonee) contract -TBC if under SED SSC
Legacy product of SED under standard SSC"
PETERSBOROUGH: linked to ex-Rockwell Collins contract - Under SED SSC ref:PCA/4600009728/SEDA-003T0/SSC/2019 
PARIS CT1304756
CALEXICO: linked to ex-Rockwell Collins contract - Under SED SSC ref:PCA/4600009728/SEDA-003T0/SSC/2019
</t>
  </si>
  <si>
    <t>ELECTRONICS (ETG) (170078 - 30/11/2021)</t>
  </si>
  <si>
    <t>AERO STRUCTURE ASSEMBLY (ASA)</t>
  </si>
  <si>
    <t>EN/AS/JISQ 9110 (FS 635703-1 -21/12/2024) | EN/AS/JISQ 9120 (FS 635703-2 -21/12/2024)</t>
  </si>
  <si>
    <t>The repair and overhaul of aircraft wheels, carbon and steel brake systems, electronic and hydro mechanical activated brake control systems, tank brakes, electro-pneumatic and hydraulic control valves, friction materials and associated ground equipment, carbon-carbon composite material and helicopter servo flying controls, air bleed valves, solenoid valves, pneumatic and hydraulic rams and actuators, mechanically signalled flying actuators and air/oil seperators, and control column handles, safety related fire extinguishing equipment, emergency passenger assist system (EPAS) and crew restraint system components.</t>
  </si>
  <si>
    <t>10428789-Rev2</t>
  </si>
  <si>
    <t>MARIANNE COMES (POEAC  - A-F)</t>
  </si>
  <si>
    <t>92878-2881</t>
  </si>
  <si>
    <t>CL DE BRINELL 10</t>
  </si>
  <si>
    <t>CAAS SAR145 (TCCA 3-73 -00/00/0000) | CCAR 145 (F01100618 -31/12/2023) | EASA PART 145 (EASA.145.7022 -00/00/0000) | HKAR-145 (TCCA 3-73 -00/00/0000) | NOT ELIGIBLE (POA COMPLIANCE MATRIX -00/00/0000) | TCCA CAR573.02 ( 3-73 -00/00/0000)</t>
  </si>
  <si>
    <t>CCAR 145 (F00100530 -31/12/2023) | EASA PART 145 (EASA.145.5315 -28/02/2023) | FAR 145 (AB5R720M -00/00/0000)</t>
  </si>
  <si>
    <t>EASA PART 145 (DE.145.0114 -00/00/0000) | EASA PART 21 G (DE.21G.0104 -00/00/0000) | FAR 145 (L9TY928N -30/11/2023) | NOT ELIGIBLE (POA COMPLIANCE TABLE -00/00/0000) | TCCA CAR573.02 (810-15 -00/00/0000)</t>
  </si>
  <si>
    <t>CCAR 145 (F00100066 -31/12/2023) | EASA PART 145 (EASA.145.4727 -01/08/2022) | FAR 145 (AU4R063M -00/00/0000) | FAR 21 (PQ1268NM -00/00/0000)</t>
  </si>
  <si>
    <t>CCAR 145 (F04400604 -31/12/2023) | EASA PART 145 (UK.145.00870 -00/00/0000) | FAR 145 (NOUY522K -30/11/2023) | TCCA CAR573.02 (898-21 -00/00/0000) | UK CAA (UK.145.00870 -00/00/0000)</t>
  </si>
  <si>
    <t>CCAR 145 (F00100536 -31/12/2023) | EASA PART 145 (EASA.145.5375 -30/06/2023) | FAR 145 (5PHR421B -00/00/0000) | PMA (PQ1268NM -00/00/0000)</t>
  </si>
  <si>
    <t>CCAR 145 (F00100756 -31/12/2023) | EASA PART 145 (EASA.145.6012 -01/12/2022) | FAR 145 (AU44063M -00/00/0000)</t>
  </si>
  <si>
    <t>CCAR 145 (F00100015 -30/06/2022) | EASA PART 145 (EASA.145.4644 -01/08/2022) | FAR 145 (DA2R761K -00/00/0000)</t>
  </si>
  <si>
    <t>EASA PART 145 (EASA.145.6233 -30/11/2023) | FAR 145 (WUWR327L -00/00/0000)</t>
  </si>
  <si>
    <t>EN/AS/JISQ 9100 (CERT-0137008 -06/01/2024) | EN/AS/JISQ 9110 (CERT-0143636 -14/10/2024)</t>
  </si>
  <si>
    <t>EN/AS/JISQ 9110 (10428789-REV2 -04/10/2024)</t>
  </si>
  <si>
    <t>EN/AS/JISQ 9100 (CERT-0143824 -19/09/2024) | EN/AS/JISQ 9110 (CERT-0139638 -22/07/2024)</t>
  </si>
  <si>
    <t>BASE AND LINE MAINTENANCE OF AIRCRAFT AND AIRCRAFT COMPONENT
AND MANAGEMENT OF CONTINUING AIRWORTHINESS. DISTRIBUTION OF AERONAUTICAL SPARE PARTS AND LOGISTICS. CHEMICAL AND DRY STRIPPING – SANDING - PAINTING OF AIRCRAFT AND AIRCRAFT COMPONENT.
ENTRETIEN EN BASE ET EN LIGNE D'AERONEFS ET ELEMENTS D'AERONEFS ET SUIVI
DE MAINTIEN DE NAVIGABILITE. DISTRIBUTION ET FOURNITURE DE PIECES DE RECHANGE AERONAUTIQUES ET LOGISTIQUE. DECAPAGE CHIMIQUE ET PAR PROJECTION A SEC – PONÇAGE – PEINTURE D'AERONEFS ET D'ELEMENTS D'AERONEFS.</t>
  </si>
  <si>
    <t>Avionics &amp; Electrical Component Maintenance.</t>
  </si>
  <si>
    <t>Electrical and Mechanical aerospace component maintenance.</t>
  </si>
  <si>
    <t>AS-1078-07</t>
  </si>
  <si>
    <t>9272204-Rev1</t>
  </si>
  <si>
    <t>GATE-009-12-21-1</t>
  </si>
  <si>
    <t>CERT-0143636</t>
  </si>
  <si>
    <t>10428789-REV2</t>
  </si>
  <si>
    <t>8578850-Rev1</t>
  </si>
  <si>
    <t>CERT-0139638</t>
  </si>
  <si>
    <t>SABINE RAUSCHENBACH (POSC3  - A-D)</t>
  </si>
  <si>
    <t>HEAT TREATING (HT) (1226020391 - 28/02/2022) | NON DESTRUCTIVE TESTING (NDT) (2260200165 - 31/05/2023)</t>
  </si>
  <si>
    <t>FRANK HEYDASCH (BSDI  - A-D)</t>
  </si>
  <si>
    <t>COL</t>
  </si>
  <si>
    <t>EASA PART 145 (UK.145.00841 -00/00/0000) | EASA PART 21 G (UK.21G.2134 -00/00/0000) | EASA PART 21 J (UK.21J.0017 -00/00/0000) | NOT ELIGIBLE (POA COMPLIANCE MATRIX -00/00/0000) | UK CAA (UK.145.00841 -00/00/0000)</t>
  </si>
  <si>
    <t>CAAS SAR145 (AWI/150 -31/12/2022) | CCAR 145 (D.200030 -00/00/0000) | EASA PART 145 (EASA.145.0151 -00/00/0000) | FAR 145 (LX9Y496N -31/10/2022) | HKAR-145 (CAAC D.200030 -00/00/0000)</t>
  </si>
  <si>
    <t>EASA PART 145 (EASA.145.0356 -00/00/0000) | FAR 145 (MXVY496Y -30/09/2022)</t>
  </si>
  <si>
    <t>EASA PART 145 (UK.145.01009 -00/00/0000) | FAR 145 (RQ6Y406C -31/12/2023) | UK CAA (UK.145.01009 -00/00/0000)</t>
  </si>
  <si>
    <t>EASA 21J:UK.21J.0181 - EASA 21G:UK.21G.2078</t>
  </si>
  <si>
    <t>EASA 21J:UK.21J.0092 - EASA 21G:UK.21G.2406</t>
  </si>
  <si>
    <t>EASA 21J:UK.21J.0202 - EASA 21G:UK.21G.2050</t>
  </si>
  <si>
    <t>EASA 21J:UK.21J.0017 - EASA 21G:UK.21G.2134</t>
  </si>
  <si>
    <t>UK.21J.0181</t>
  </si>
  <si>
    <t>UK.21J.0092</t>
  </si>
  <si>
    <t>UK.21J.0202</t>
  </si>
  <si>
    <t>UK.21J.0017</t>
  </si>
  <si>
    <t>EN/AS/JISQ 9100 (AC_0068-10 -12/08/2022) | EORS (RANKING A -25/03/2024)</t>
  </si>
  <si>
    <t>EN/AS/JISQ 9100 (0028041 -31/03/2023) | EORS (RANKING B -12/03/2021) | ISO 14001 (10149624 -19/11/2024)</t>
  </si>
  <si>
    <t>EN/AS/JISQ 9120 (GATE-009-12-21-1 -13/12/2024)</t>
  </si>
  <si>
    <t>EN/AS/JISQ 9100 (0028041 -31/03/2023) | EORS (RANKING B -26/09/2017) | ISO 14001 (10149624 -19/11/2024)</t>
  </si>
  <si>
    <t>Design, manufacture and assembly of oxygen PSU systems and galley equipment for the aerospace industry.</t>
  </si>
  <si>
    <t>DESIGN, MANUFACTURE, CERTIFICATION AND PRODUCT TECHNICAL SUPPORT
OF AIRCRAFT PASSENGERS AND CREW SEATS, SEATING SOLUTIONS
AND ASSOCIATED INTERIOR FURNISHING.
SUPPORT TO INSTALLATION AND IN SERVICE SUPPORT.
DESIGN AND MANUFACTURE OF COMPOSITE MATERIALS PARTS
AND SUB-ASSEMBLIES.</t>
  </si>
  <si>
    <t>Assembly and Test of Auxiliary Power Units and Auxiliary Power Units’ Components and Repair of Auxiliary Power Units, Components and Fan Drive Gear Systems.</t>
  </si>
  <si>
    <t>FM 724157</t>
  </si>
  <si>
    <t>GECA-006-10-20-2</t>
  </si>
  <si>
    <t>9330332-Rev1</t>
  </si>
  <si>
    <t>JV AEROSERVICES</t>
  </si>
  <si>
    <t>50 IMPASSE DE FONTANILLES</t>
  </si>
  <si>
    <t>BRESSOLS</t>
  </si>
  <si>
    <t>FA5F9</t>
  </si>
  <si>
    <t>WORINGER STR. 11</t>
  </si>
  <si>
    <t>MEMMINGEN</t>
  </si>
  <si>
    <t>C9312</t>
  </si>
  <si>
    <t>EASA PART 145 (EASA.145.0091 -00/00/0000) | FAR 145 (RJAY596H -30/09/2022)</t>
  </si>
  <si>
    <t>EASA PART 145 (FR.145.0378 -00/00/0000) | EASA PART 21 G (FR.21G.0166 -00/00/0000)</t>
  </si>
  <si>
    <t>CCAR 145 (F03300842 -31/12/2022) | EASA PART 145 (FR.145.0148 -00/00/0000) | FAR 145 (H5AY376J -31/12/2023) | TCCA CAR573.02 (898-26 -01/01/2099)</t>
  </si>
  <si>
    <t>EASA PART 145 (DE.145.0231 -00/00/0000) | FAR 145 (S71Y596Y -31/12/2023) | TCCA CAR573.02 (818-19 -00/00/0000)</t>
  </si>
  <si>
    <t>EASA PART 145 (DE.145.0222 -00/00/0000)</t>
  </si>
  <si>
    <t>CCAR 145 (F04400753 -31/12/2023) | EASA PART 145 (UK.145.01222 -00/00/0000) | EASA PART 21 G (UK.21G.2620 -00/00/0000) | FAR 145 (3OEY420C -30/11/2023) | TCCA CAR573.02 (816-07 -00/00/0000) | UK CAA (UK.145.01222 -00/00/0000)</t>
  </si>
  <si>
    <t>EASA PART 145 (UK.145.00126 -00/00/0000) | FAR 145 (TQGY206K -31/12/2023) | TCCA CAR573.02 (897-31 -00/00/0000) | UK CAA (UK.145.00126 -00/00/0000)</t>
  </si>
  <si>
    <t>EASA:FR.145.0378</t>
  </si>
  <si>
    <t>EASA:DE.145.0222</t>
  </si>
  <si>
    <t>EASA 21G:FR.21G.0166</t>
  </si>
  <si>
    <t>FR.145.0378</t>
  </si>
  <si>
    <t>FR.21G.0166</t>
  </si>
  <si>
    <t>DE.145.0222</t>
  </si>
  <si>
    <t>ISO 9001 (30551890 QM15 -17/02/2023)</t>
  </si>
  <si>
    <t>EN/AS/JISQ 9110 (107198542 -20/01/2025)</t>
  </si>
  <si>
    <t>PRODUCTION, MAINTENANCE OF AERONAUTICAL EQUIPMENT AND CABIN AIRCRAFT INTERIORS AND COMMUNICATION CABIN SYSTEM.
PRODUCTION, MAINTENANCE D’ÉQUIPEMENT AERONAUTIQUES ET D'AMENAGEMENT INTERIEUR D'AERONEFS ET DE SYSTEME DE COMMUNICATION CABINE.</t>
  </si>
  <si>
    <t>Design, development, production, installation, training, operational maintenance of products and solutions of radiocommunication,
identification and navigation embedded for aeronautical applications of the civil or military domain.
Design, development of solutions and products in the domain of land tactical systems (vehicles, soldier, artillery), radio combat
systems for military applications. Design, development, production of solutions, products and services in the domain of Information
Technology Security.</t>
  </si>
  <si>
    <t>DESIGN, MANUFACTURING, AFTER-SALES SUPPORT (INCLUDING REPAIR) AND SUPPLY OF RELATED SERVICES (INCLUDING 3D MEASUREMENTS) FOR:
ONBOARD EQUIPMENT, RADIO FREQUENCY GROUND EQUIPMENT, JIGS AND TOOLS, ASSEMBLY LINES, TEST AND SIMULATION MEANS, GROUND SUPPORT EQUIPMENT,
AND AUTOMATED AND AUTONOMOUS GUIDED VEHICLES,
MEETING THE CUSTOMER’S NEEDS OF AERONAUTICS, SPACE AND INDUSTRIAL SECTORS.
CONCEPTION, PRODUCTION, SOUTIEN APRES-VENTE (Y COMPRIS REPARATION) ET FOURNITURE DE PRESTATIONS DE SERVICES ASSOCIEES (Y COMPRIS CONTROLE GEOMETRIQUE) :
D’EQUIPEMENTS EMBARQUES, D’EQUIPEMENTS RADIO FREQUENCE,
D’OUTILLAGES DE PRODUCTION, DE LIGNES D’ASSEMBLAGE, DE MOYENS D’ESSAIS
ET DE SIMULATION, D’OUTILLAGES DE REPARATION ET DE MAINTENANCE,
ET DE VEHICULES A GUIDAGE AUTOMATISE ET AUTONOME,
REPONDANT AUX BESOINS DES CLIENTS DES SECTEURS AERONAUTIQUE, SPATIAL ET INDUSTRIEL</t>
  </si>
  <si>
    <t>US016375-2</t>
  </si>
  <si>
    <t>30551890 QM15</t>
  </si>
  <si>
    <t>US016380-2</t>
  </si>
  <si>
    <t>JV GROUP</t>
  </si>
  <si>
    <t>ACM</t>
  </si>
  <si>
    <t>AIR CRUISERS COMPANY PART OF SAFRAN AEROSYSTEMS</t>
  </si>
  <si>
    <t>269 MAIN STREET</t>
  </si>
  <si>
    <t>LIBERTY</t>
  </si>
  <si>
    <t>46RK2</t>
  </si>
  <si>
    <t>F1688</t>
  </si>
  <si>
    <t>ROHR INC</t>
  </si>
  <si>
    <t>SECONDO MONA SPA</t>
  </si>
  <si>
    <t>VIA CARLO DEL PRETE, 1</t>
  </si>
  <si>
    <t>SOMMA LOMBARDO</t>
  </si>
  <si>
    <t>A0303</t>
  </si>
  <si>
    <t>21 CHANGI NORTH RISE</t>
  </si>
  <si>
    <t>MAX MRO SERVICES PVT LTD</t>
  </si>
  <si>
    <t>HANGAR C1, JUHU AERODROME</t>
  </si>
  <si>
    <t>MUMBAI</t>
  </si>
  <si>
    <t>India</t>
  </si>
  <si>
    <t>CCAR 145 (F00100519 -31/12/2023) | EASA PART 145 (EASA.145.4140 -31/07/2023) | FAR 145 (PR2R093L -00/00/0000) | NOT ELIGIBLE (POA COMPLIANCE MATRIX -00/00/0000) | PMA (PQ1354NM -00/00/0000)</t>
  </si>
  <si>
    <t>1E8Y986C</t>
  </si>
  <si>
    <t>EN/AS/JISQ 9100 (CERT-0008-2006-AS-MI -20/04/2024)</t>
  </si>
  <si>
    <t>EN/AS/JISQ 9110 (192045-2015-AQ-GER-D -20/12/2024)</t>
  </si>
  <si>
    <t>Sales, procurement, design of changes and repairs, maintenance of aircraft, engines and aircraft components of commercial, governmental and special aircraft operators and other services</t>
  </si>
  <si>
    <t>Sales, procurement, design of changes, design and production and installation of aircraft components of commercial, governmental and special aircraft operators and other services</t>
  </si>
  <si>
    <t>Design, manufacture, maintenance and product support of on-board equipment and systems for aircraft and military vehicles. Provision of special processes (heat and surface treatments and NDT).
Progettazione, produzione, manutenzione e assistenza tecnica di equipaggiamenti per impianti di bordo di aeromobili e veicoli militari. Esecuzione di processi speciali (trattamenti termici, superficiali e CND).</t>
  </si>
  <si>
    <t>Manufacturing of Parts, Assemblies, Wire Bundles, Kitting, and NDT service.</t>
  </si>
  <si>
    <t>Design, Repair and Overhaul of Mechanical, Electrical and Electronic Aircraft Accessories.</t>
  </si>
  <si>
    <t>CERT-0008-2006-AS-MI</t>
  </si>
  <si>
    <t>CERT-0145416</t>
  </si>
  <si>
    <t>FREDERICK BONZOM (SOPO1  - CE)</t>
  </si>
  <si>
    <t>CHRISTINE VIGIER (SOPO1  - CE)</t>
  </si>
  <si>
    <t>VINCENT HONTANS (SOPO2  - CE)</t>
  </si>
  <si>
    <t>MAVANDIYOOR JAYARAM (SOPO1  - CE)</t>
  </si>
  <si>
    <t>GUILLERMO PEREZ VALDERRAMA (SOPO1  - CE)</t>
  </si>
  <si>
    <t>NATHALIE AUBERT (SOPO1  - CE)</t>
  </si>
  <si>
    <t>ELENA MOCA (SOPO1  - CE)</t>
  </si>
  <si>
    <t>MAURICE JOYAU (SOPO1  - CE)</t>
  </si>
  <si>
    <t>FREDERIC PIERRE (SOPO1  - CE)</t>
  </si>
  <si>
    <t>ALAIN BOULANGER (POSF  - A-F)</t>
  </si>
  <si>
    <t>SAINT-GOBAIN PERFORMANCE PLASTICS</t>
  </si>
  <si>
    <t>335 NORTH DIAMOND STREET</t>
  </si>
  <si>
    <t>RAVENNA</t>
  </si>
  <si>
    <t>CCAR 145 (F03300169 -31/12/2023) | EASA PART 145 (FR.145.0024 -00/00/0000) | EASA PART 21 G (FR.21G.0047 -00/00/0000) | FAR 145 (M3BY435J -30/11/2022) | POA CT (FM1406379_V5.0 -30/07/2022) | TCCA CAR573.02 (897-29 -00/00/0000)</t>
  </si>
  <si>
    <t>CCAR 145 (F03300169 -31/12/2023) | EASA PART 145 (FR.145.0024 -00/00/0000) | EASA PART 21 G (FR.21G.0047 -00/00/0000) | FAR 145 (M3BY435J -30/11/2022) | POA CT (FM1406379_V5.0 -27/07/2022) | TCCA CAR573.02 (897-29 -00/00/0000)</t>
  </si>
  <si>
    <t>CCAR 145 (F03300169 -31/12/2023) | EASA PART 145 (FR.145.0024 -00/00/0000) | EASA PART 21 G (FR.21G.0047 -00/00/0000) | FAR 145 (M3BY435J -30/11/2022) | TCCA CAR573.02 (897-29 -00/00/0000)</t>
  </si>
  <si>
    <t>CAAS SAR145 (AWI/092 -30/09/2022) | CCAR 145 (F06500270 -31/12/2023) | EASA PART 145 (EASA.145.0148 -00/00/0000) | FAR 145 (S7QY329N -31/12/2022) | TCCA CAR573.02 (CAAS AWI/092 -30/09/2022)</t>
  </si>
  <si>
    <t>CCAR 145 (F03300169 -31/12/2023) | EASA PART 145 (FR.145.0024 -00/00/0000) | FAR 145 (M3BY435J -30/11/2022) | TCCA CAR573.02 (897-29 -00/00/0000)</t>
  </si>
  <si>
    <t>CAAS SAR145 (TCCA 20-91 -00/00/0000) | CCAR 145 (F01100537 -31/12/2023) | EASA PART 145 (EASA.145.7012 -00/00/0000) | HKAR-145 (TCCA 20-91 -00/00/0000) | TCCA CAR573.02 (20-91 -00/00/0000)</t>
  </si>
  <si>
    <t>CCAR 145 (F00100647 -31/12/2023) | EASA PART 145 (EASA.145.4184 -01/08/2022) | FAR 145 (XIUR593K -00/00/0000)</t>
  </si>
  <si>
    <t>EASA:EASA.145.4706 - FAA:OA1R367K - CAAC:F00100613</t>
  </si>
  <si>
    <t>FAA:TY9Y745J</t>
  </si>
  <si>
    <t>EASA.145.4706</t>
  </si>
  <si>
    <t>OA1R367K</t>
  </si>
  <si>
    <t>F00100613</t>
  </si>
  <si>
    <t>Design, manufacture, repair, testing and sales of radomes and composites.</t>
  </si>
  <si>
    <t>09.254.6</t>
  </si>
  <si>
    <t>Limited to PNs:$1009A5700C008 - Pitch Trim Actuator *</t>
  </si>
  <si>
    <t>OEM</t>
  </si>
  <si>
    <t>MAX MRO</t>
  </si>
  <si>
    <t>DORIAN ZULIANI (POEAC  - A-F)</t>
  </si>
  <si>
    <t>HANS-HEINRICH JAPE (POCE2  - A-D)</t>
  </si>
  <si>
    <t>sabena</t>
  </si>
  <si>
    <t>CAAS SAR145 (AWI/102 -30/09/2022) | CCAR 145 (F06500267 -31/12/2023) | EASA PART 145 (EASA.145.0140 -00/00/0000) | FAR 145 (VGQY082L -31/08/2022) | HKAR-145 (CAAS AWI/102 -30/09/2022) | TCCA CAR573.02 (CAAS AWI/102 -30/09/2022)</t>
  </si>
  <si>
    <t>CCAR 145 (F17870742 -31/12/2022) | EASA PART 145 (EASA.145.5594 -31/12/2023) | FAR 145 (PU7R1470 -00/00/0000)</t>
  </si>
  <si>
    <t>ISO 9001 (FM20067 -06/01/2025)</t>
  </si>
  <si>
    <t>US-4152-07</t>
  </si>
  <si>
    <t>AIRBUS ATLANTIC</t>
  </si>
  <si>
    <t>SAFRAN VENTILATION SYSTEMS USA LLC</t>
  </si>
  <si>
    <t>7501 HARDESON ROAD</t>
  </si>
  <si>
    <t>98203-6285</t>
  </si>
  <si>
    <t>3TRJ7</t>
  </si>
  <si>
    <t>B E AEROSPACE INC</t>
  </si>
  <si>
    <t>1455 FAIRCHILD ROAD</t>
  </si>
  <si>
    <t>WINSTON SALEM</t>
  </si>
  <si>
    <t>3B3W4</t>
  </si>
  <si>
    <t>EASA PART 145 (EASA.145.4460 -31/07/2023) | EASA PART 21 G (POA COMPLIANCE TABLE -00/00/0000) | FAR 145 (K3GR925J -00/00/0000) | FAR 21 (NONE -00/00/0000) | NOT ELIGIBLE (POA COMPLIANCE TABLE -00/00/0000) | POA CT (NONE -00/00/0000)</t>
  </si>
  <si>
    <t>EASA PART 21 G (UK.21G.2078 -00/00/0000) | EASA PART 21 J (UK.21J.0181 -00/00/0000) | UK CAA (UK.145.00031 -00/00/0000)</t>
  </si>
  <si>
    <t>CCAR 145 (F00100613 -30/06/2022) | EASA PART 145 (EASA.145.4706 -01/02/2023) | FAR 145 (OA1R367K -00/00/0000)</t>
  </si>
  <si>
    <t>CCAR 145 (F03300340 -31/12/2023) | EASA PART 145 (FR.145.0179 -00/00/0000) | EASA PART 21 G (FR21G.0050 -00/00/0000) | FAR 145 (T2HY482J -31/07/2023) | NOT ELIGIBLE (POA COMPLIANCE TABLE -00/00/0000) | TCCA CAR573.02 (899-15 -00/00/0000)</t>
  </si>
  <si>
    <t>EASA PART 145 (DE.145.0909 -00/00/0000) | FAR 145 (3MAY249B -30/09/2022)</t>
  </si>
  <si>
    <t>EASA PART 145 (BE.145.25 -00/00/0000) | FAR 145 (7EBY844C -31/12/2023)</t>
  </si>
  <si>
    <t>EASA PART 145 (EASA.145.6834 -18/09/2022) | FAR 145 (3BER571B -00/00/0000) | NOT ELIGIBLE (POA COMPLIANCE TABLE -00/00/0000)</t>
  </si>
  <si>
    <t>FAA:PX12416K</t>
  </si>
  <si>
    <t>EASA:DE.145.0909 - FAA:3MAY249B</t>
  </si>
  <si>
    <t>EASA:EASA.145.5403 - FAA:L9DR090Y</t>
  </si>
  <si>
    <t>EASA:EASA.145.6834 - FAA:3BER571B</t>
  </si>
  <si>
    <t>PX12416K</t>
  </si>
  <si>
    <t>DE.145.0909</t>
  </si>
  <si>
    <t>EASA.145.5403</t>
  </si>
  <si>
    <t>L9DR090Y</t>
  </si>
  <si>
    <t>EASA.145.6834</t>
  </si>
  <si>
    <t>3BER571B</t>
  </si>
  <si>
    <t>EN/AS/JISQ 9100 (0080252 -27/06/2024) | EN/AS/JISQ 9110 (0080253 -27/06/2024) | IAEG (RANKING B -07/07/2023) | ISO 14001 (EMS 45598 -23/05/2024)</t>
  </si>
  <si>
    <t>EN/AS/JISQ 9100 (173289-2015-AQ-USA-A -15/09/2024) | IAEG (ENV. SCORE 78 -26/11/2023) | ISO 9001 (173289-2015-AQ-USA-A -15/09/2024)</t>
  </si>
  <si>
    <t>EN/AS/JISQ 9100 (173289-2015-AQ-USA-A -15/09/2024) | IAEG (ENV. SCORE 78 -26/11/2023)</t>
  </si>
  <si>
    <t>EN/AS/JISQ 9110 (10428789-REV2 -04/10/2024) | EN/AS/JISQ 9120 (10428789-REV0 -04/10/2024) | ISO 14001 (FR054032-1 -24/08/2022)</t>
  </si>
  <si>
    <t>ISO 9001 (378308QM15 -29/12/2023)</t>
  </si>
  <si>
    <t>EN/AS/JISQ 9100 (US-4152-07 -17/01/2025)</t>
  </si>
  <si>
    <t>EN/AS/JISQ 9110 (FS 725059 -19/01/2025)</t>
  </si>
  <si>
    <t>DESIGN, DEVELOPMENT, MANUFACTURING AND SALE OF
- ACTIVE OR PASSIVE SHOCK-PROOF, ANTIVIBRATORY PRODUCTS AND ACOUSTICS (RUBBER, RUBBER-METAL, METAL OR HYDRAULIC PRODUCTS, MECATRONIC),
- EQUIPMENT SUPPORTS (RACKS, CABINETS),
- LIGHTED FRONT FACES, KEYBOARDS, DISPLAY DEVICES WITH MONITORING AND COMMUNICATION ELECTRONICS,
- HEATING SYSTEMS AND DEFROSTERS, ANTI-EROSION OR ACOUSTIC COATINGS.</t>
  </si>
  <si>
    <t>Design, manufacture, maintenance of electronic audio, communication,cloks and measure systems intended to aviation field.</t>
  </si>
  <si>
    <t>Design &amp; Manufacture of Ventilation Equipment for Aviation and Military Applications</t>
  </si>
  <si>
    <t>378308QM15</t>
  </si>
  <si>
    <t>AFLT-001-01 22-1</t>
  </si>
  <si>
    <t>Limited to PNs:$Ground Cooling Fan P/N 2080140 *</t>
  </si>
  <si>
    <t>HONTANS VINCENT ( SOPO2 - CE )</t>
  </si>
  <si>
    <t>REMI GIMENEZ (POEAB  - A-F)</t>
  </si>
  <si>
    <t>KILIAN KERSANDT (POCM2  - A-D)</t>
  </si>
  <si>
    <t>EASA PART 145 (EASA.145.4016 -30/01/2024) | FAR 145 (A23R362J -00/00/0000) | NOT ELIGIBLE (POA COMPLIANCE MATRIX -00/00/0000)</t>
  </si>
  <si>
    <t>EASA PART 145 (EASA.145.5141 -30/11/2023) | FAR 145 (I2XR205O -00/00/0000)</t>
  </si>
  <si>
    <t>EASA PART 145 (EASA.145.5403 -30/11/2023) | FAR 145 (L9DR090Y -00/00/0000)</t>
  </si>
  <si>
    <t>EASA PART 145 (EASA.145.6093 -30/11/2023) | FAR 145 (QVTR903L -00/00/0000) | TCCA CAR573.02 (FAA QVTR903L -00/00/0000)</t>
  </si>
  <si>
    <t>CAAS SAR145 (AWI/215 -31/10/2022) | CCAR 145 (F06500435 -30/06/2023) | EASA PART 145 (EASA.145.0350 -00/00/0000) | FAR 145 (OQYY378Y -30/01/2023) | TCCA CAR573.02 (CAAS AWI/215 -31/10/2022)</t>
  </si>
  <si>
    <t>CCAR 145 (F04400593 -31/12/2022) | EASA PART 145 (UK.145.00608 -00/00/0000) | FAR 145 (WOWY588K -31/01/2024) | TCCA CAR573.02 (808-21 -00/00/0000) | UK CAA (UK.145.00608 -00/00/0000)</t>
  </si>
  <si>
    <t>EN/AS/JISQ 9100 (UK011681 -06/12/2023)</t>
  </si>
  <si>
    <t>EN/AS/JISQ 9100 (FM 32216-1 -24/02/2024)</t>
  </si>
  <si>
    <t>EN/AS/JISQ 9100 (880117014/2 -11/01/2023) | EN/AS/JISQ 9110 (870218001/1 -11/01/2023)</t>
  </si>
  <si>
    <t>EN/AS/JISQ 9100 (26930.5 -21/06/2024) | EORS (RANKING D -17/06/2022)</t>
  </si>
  <si>
    <t>EN/AS/JISQ 9110 (57102.7 -13/09/2023)</t>
  </si>
  <si>
    <t>EN/AS/JISQ 9100 (09.254.6 -13/08/2024)</t>
  </si>
  <si>
    <t>EN/AS/JISQ 9100 (7257855-REV0 -12/12/2022)</t>
  </si>
  <si>
    <t>EN/AS/JISQ 9100 (AS-1078-07 -13/12/2024)</t>
  </si>
  <si>
    <t>EN/AS/JISQ 9110 (FM 52407-2 -12/03/2024)</t>
  </si>
  <si>
    <t>EN/AS/JISQ 9110 (CERT-0135067 -03/04/2023)</t>
  </si>
  <si>
    <t>EN/AS/JISQ 9100 (182169-2015-AQ-GER-D -30/07/2024)</t>
  </si>
  <si>
    <t>EN/AS/JISQ 9110 (8573547-REV0 -26/06/2023)</t>
  </si>
  <si>
    <t>EN/AS/JISQ 9110 (870217082/4 -30/11/2024) | EN/AS/JISQ 9120 (890109001/7 -30/11/2024)</t>
  </si>
  <si>
    <t>EN/AS/JISQ 9110 (9272204-REV0 -03/02/2024) | IAEG (RANKING B -10/02/2023)</t>
  </si>
  <si>
    <t>EN/AS/JISQ 9110 (66515.5 -18/03/2024)</t>
  </si>
  <si>
    <t>EN/AS/JISQ 9110 (SATS-001-09-19-1 -09/09/2022)</t>
  </si>
  <si>
    <t>EN/AS/JISQ 9110 (FM 694260 -13/11/2024)</t>
  </si>
  <si>
    <t>EN/AS/JISQ 9100 (FS 602699 -19/10/2023)</t>
  </si>
  <si>
    <t>EN/AS/JISQ 9100 (13447 -07/01/2023)</t>
  </si>
  <si>
    <t>EN/AS/JISQ 9110 (FS 537289 -26/02/2024)</t>
  </si>
  <si>
    <t>EN/AS/JISQ 9100 (13543 -10/01/2023)</t>
  </si>
  <si>
    <t>EN/AS/JISQ 9110 (0088533-02 -23/07/2023)</t>
  </si>
  <si>
    <t>EN/AS/JISQ 9120 (FS 698280 -13/09/2024)</t>
  </si>
  <si>
    <t>EN/AS/JISQ 9110 (81952-2010-AQ-USA-AN -31/05/2023)</t>
  </si>
  <si>
    <t>EN/AS/JISQ 9100 (CERT-0117213 -02/10/2024)</t>
  </si>
  <si>
    <t>EN/AS/JISQ 9110 (17021ASM001 -09/02/2023)</t>
  </si>
  <si>
    <t>EN/AS/JISQ 9110 (14028 -08/06/2023)</t>
  </si>
  <si>
    <t>EN/AS/JISQ 9100 (10005037 AS0016A -16/08/2024)</t>
  </si>
  <si>
    <t>EN/AS/JISQ 9120 (AFLT-001-01 22-1 -20/01/2025)</t>
  </si>
  <si>
    <t>MARKETING, INCLUDING THE DESIGN, DEVELOPMENT, PRODUCTION,
COMMERCIALISATION AND CUSTOMER SERVICE ASSOCIATED WITH ELECTRICAL
EQUIPMENT AND SYSTEMS FOR GENERATION, CONVERSION AND MOTORISATION
FOR CIVIL AND MILITARY AVIATION, WEAPONRY FOR THE LAND AND NAVAL FORCES
AND THE PROFESSIONAL ELECTRONICS INDUSTRY.
MARKETING INCLUANT LA CONCEPTION, LE DEVELOPPEMENT, LA PRODUCTION,
LA COMMERCIALISATION ET LE SERVICE CLIENT ASSOCIE DE MATERIELS
ET SYSTEMES ELECTRIQUES DE GENERATION, DE CONVERSION ET DE MOTORISATION
DESTINES A L'AVIATION CIVILE ET MILITAIRE, A L'ARMEMENT TERRESTRE ET NAVAL
ET A L'INDUSTRIE ELECTRONIQUE PROFESSIONNELLE.</t>
  </si>
  <si>
    <t>10807115-Rev0</t>
  </si>
  <si>
    <t>10807115-REV0</t>
  </si>
  <si>
    <t>FR072297-1</t>
  </si>
  <si>
    <t>ATG AEROSPACE TECHNOLOGIES GROUP</t>
  </si>
  <si>
    <t>620 NW 35TH STREET</t>
  </si>
  <si>
    <t>3HUB7</t>
  </si>
  <si>
    <t>ROEDER COMPONENT SERVICE CENTER GMBH</t>
  </si>
  <si>
    <t>EGELSBACH</t>
  </si>
  <si>
    <t>CN5F0</t>
  </si>
  <si>
    <t>MAINTENANCE OF AIRCRAFT PARTS AND ASSEMBLIES.
ENTRETIEN ET REPARATION DE PIECES
ET D'EQUIPEMENTS D'AERONEFS.</t>
  </si>
  <si>
    <t>Designs, manufactures, and supports cabin interior components, namely window shades and associated accessories including reveals, bezels, overlay panels, for the aviation industry.
Central Function: Manufacturing, painting, and assembly.
Site 1: Design and manufacturing of sub-components such as lay-up and machining.</t>
  </si>
  <si>
    <t>11808693-rev0</t>
  </si>
  <si>
    <t>11808693 -REV0</t>
  </si>
  <si>
    <t>AS 0177</t>
  </si>
  <si>
    <t>Limited to PN$9800-00-01-041C ELECTRO MECHANICAL WINDOW SHADE *</t>
  </si>
  <si>
    <t>VICTOR VIUDEZ CORROTO (POST2  - A-E)</t>
  </si>
  <si>
    <t>HADJY HACHEMI (POCE2  - A-F)</t>
  </si>
  <si>
    <t>TUNISAIR TECHNICS</t>
  </si>
  <si>
    <t>AEROPORT DE TUNIS-CARTHAGE</t>
  </si>
  <si>
    <t>TUNIS-CARTHAGE</t>
  </si>
  <si>
    <t>Tunisia</t>
  </si>
  <si>
    <t>SAJH6</t>
  </si>
  <si>
    <t>EASA PART 145 (DE.145.0251 -00/00/0000) | EASA PART 21 G (EASA.21G.0070 -00/00/0000) | EASA PART 21 J (DO-PO AGREEMENT D11001005 -00/00/0000) | FAR 145 (E0UY429Y -31/12/2023)</t>
  </si>
  <si>
    <t>EASA PART 145 (EASA.145.5442 -31/01/2024) | FAR 145 (R4WR962J -00/00/0000) | NOT ELIGIBLE (POA COMPLIANCE TABLE -00/00/0000) | PMA (PQ3400 CE -00/00/0000)</t>
  </si>
  <si>
    <t>EASA PART 145 (EASA.145.0135)</t>
  </si>
  <si>
    <t>EASA PART 145 (DE.145.0909 -00/00/0000) | FAR 145 (4NKY299D -31/03/2023) | NOT ELIGIBLE (POA COMPLIANCE TABLE -00/00/0000)</t>
  </si>
  <si>
    <t>EASA:EASA.145.0135</t>
  </si>
  <si>
    <t>EASA:DE.145.0909 - FAA:4NKY299D</t>
  </si>
  <si>
    <t>EASA.145.0135</t>
  </si>
  <si>
    <t>4NKY299D</t>
  </si>
  <si>
    <t>EN/AS/JISQ 9110 (870217082/4 -30/11/2024) | EN/AS/JISQ 9120 (890109001/6 -30/11/2024)</t>
  </si>
  <si>
    <t>Development, manufacturing and maintenance of hydraulic equipment for the aerospace industry</t>
  </si>
  <si>
    <t>Provision of Maintenance, Repair, and Overhaul (MRO), including Modification and Line Maintenance, of commercial aircraft</t>
  </si>
  <si>
    <t>CERT-0145647</t>
  </si>
  <si>
    <t>C0028300-AS14</t>
  </si>
  <si>
    <t>US016602-1</t>
  </si>
  <si>
    <t>10000492135-MSC-ANAB</t>
  </si>
  <si>
    <t>limited to PNs:$H10350701SC:81039 ACTUATOR- NORMAL UNLOCK$H10350707SC:81039 ACTUATOR- NORMAL UNLOCK$H10350703SC:81039 ACTUATOR- UNLOCK EMERGENCY$H10350709SC:81039 ACTUATOR- UNLOCK EMERGENCY$H10350708SC:81039 ACTUATOR- NORMAL UNLOCK$H10350702SC:81039 ACTUATOR- NORMAL UNLOCK *</t>
  </si>
  <si>
    <t>Temporary approval restricted to 53 PN. See RepDB for PN details *</t>
  </si>
  <si>
    <t>EN/AS/JISQ 9100 (CERT-0145688 -15/04/2025) | EN/AS/JISQ 9110 (CERT-0145647 -02/04/2025)</t>
  </si>
  <si>
    <t>EN/AS/JISQ 9100 (US016601-1 -21/02/2025) | EN/AS/JISQ 9110 (US016602-1 -21/02/2025)</t>
  </si>
  <si>
    <t>EN/AS/JISQ 9110 (10000492135-MSC-ANAB -27/01/2025)</t>
  </si>
  <si>
    <t>C0028300-AS16</t>
  </si>
  <si>
    <t>JÖRG STOEFFLER (POCE2  - A-D)</t>
  </si>
  <si>
    <t>DIRK KÖVER (POEGA  - A-D)</t>
  </si>
  <si>
    <t>JÖRG MINARD (POEAB  - A-D)</t>
  </si>
  <si>
    <t>HÜSEYIN ÖZTÜRK (POEGA  - A-D)</t>
  </si>
  <si>
    <t>CCAR 145 (F00100650 -31/12/2023) | EASA PART 145 (EASA.145.5439 -31/01/2024) | FAR 145 (L3RR193H -00/00/0000)</t>
  </si>
  <si>
    <t>EASA PART 145 (IT.145.0127 -00/00/0000) | FAR 145 (1E8Y986C -31/10/2023)</t>
  </si>
  <si>
    <t>EASA PART 145 (EASA.145.4682 -31/01/2024) | FAR 145 (MO8R749J -00/00/0000) | FAR 21 (PQ1417NM-D -00/00/0000)</t>
  </si>
  <si>
    <t>EASA PART 145 (DE.145.0373 -00/00/0000) | EASA PART 21 G (DE.21G.0069 -00/00/0000) | EASA PART 21 J (EASA.21J.251 -00/00/0000) | FAR 145 (Z3QY192Y -31/12/2023) | TCCA CAR573.02 (805-01 -01/01/2099)</t>
  </si>
  <si>
    <t>EASA PART 145 (UK.145.01251 -00/00/0000) | FAR 145 (6UAY331C -31/01/2024)</t>
  </si>
  <si>
    <t>EASA:IT.145.0127 - FAA:1E8Y986C</t>
  </si>
  <si>
    <t>EASA 21J:EASA.21J.251 - EASA 21G:DE.21G.0069</t>
  </si>
  <si>
    <t>IT.145.0127</t>
  </si>
  <si>
    <t>DE.21G.0069</t>
  </si>
  <si>
    <t>EN/AS/JISQ 9110 (10000498730-MSC-ANAB -30/01/2025)</t>
  </si>
  <si>
    <t>Production and product support for filtration, fluid regulation and rain repellent systems for the civil and military aircraft industry.
Fabrication et support de systèmes de filtration, de régulation des fluides ainsi que de systèmes chasse pluie destinés à l’industrie aéronautique civile et militaire.</t>
  </si>
  <si>
    <t>DESIGN, MANUFACTURING AND ASSEMBLY ACTIVITIES FOR AIRCRAFT ENGINE SUBASSEMBLIES AND AERONAUTICAL AND SPACE PROPULSION EQUIPMENT.
AIRCRAFT ENGINE, EQUIPMENT AND COMPONENT ASSEMBLY AND TEST ACTIVITIES.
MAINTENANCE AND REPAIR ACTIVITIES FOR AERONAUTICAL EQUIPMENT AND AIRCRAFT ENGINE.
SALE AND AFTER-SALES SUPPORT, DESIGN, DEVELOPMENT, MANUFACTURING AND ASSEMBLY OF TEST FACILITIES AND RELATED EQUIPMENT FOR AIRCRAFT ENGINES, HELICOPTER ENGINES AND AERONAUTICAL AND SPACE EQUIPMENT.</t>
  </si>
  <si>
    <t>Site CWMBRAN:
The Design, Manufacture, Certification and Product Technical Support of Aircraft Passenger Seats, Cabins, and Associated Interior Furnishings. Static, structural and cyclic abuse testing of aircraft seating. Distribution of aircraft interior equipment and furnishing products.
Site BRACKLEY
The Design of aircraft passenger seating and associated furniture.
Site NEWPORT
Maintenance including overhaul, repair, modification, inspection and test of aircraft interior equipment/furnishings including but not limited to stowage units, composites including sub-assembly, off site working and seating products. Aftermarket Support for aircraft interior equipment/furnishings including spares distribution. Warehousing, storage and distribution of aircraft interior equipment and furnishing products.</t>
  </si>
  <si>
    <t>The Inspection, Maintenance, Repair, Overhaul and Modification of Aircraft.</t>
  </si>
  <si>
    <t>10000518063-MSC-ACCR</t>
  </si>
  <si>
    <t>10000518039-MSC-ACCR</t>
  </si>
  <si>
    <t>11779135-Rev1</t>
  </si>
  <si>
    <t>12206157-Rev0</t>
  </si>
  <si>
    <t>10000498730-MSC--USA</t>
  </si>
  <si>
    <t>10000498730-MSC-ANAB</t>
  </si>
  <si>
    <t>BARRY CONTROLS</t>
  </si>
  <si>
    <t>31 RUE ROLLAND GARROS</t>
  </si>
  <si>
    <t>FBDB9</t>
  </si>
  <si>
    <t>CCAR 145 (F04400731 -31/12/2022) | EASA PART 145 (EASA.UK.145.01081 -00/00/0000) | FAR 145 (3MEY598B -29/02/2024) | UK CAA (UK.145.01081 -00/00/0000)</t>
  </si>
  <si>
    <t>EASA:FR.145.0332 - FAA:B41Y310Y - TCCA:0817-03 - CAAC:F03300474</t>
  </si>
  <si>
    <t>0817-03</t>
  </si>
  <si>
    <t>12206157-REV0</t>
  </si>
  <si>
    <t>TEAM TRADING AS COBHAM AVIONICS (Rungis &amp; Troyes): FHS Side Letter ref. CT1401270 (dated 15/04/2016) to SSC ref. 4600020524/TEAM/F6168/SSC/2016 (dated 20/04/2016)</t>
  </si>
  <si>
    <t>CEDRIC DOUMAYROU (POEGA  - A-F)</t>
  </si>
  <si>
    <t>Limited to PNs:$2500XA010001 PRESSURE SENSOR$70XXXA020001 PRESSURE/TEMPERATURE SENSOR HP&amp;LP$70653A010001 PRESSURE SENSOR$910XA000X-0X PRESSURE/TEMPERATURE SENSOR$922XXX0X0000 PRESSURE SENSOR (BLEED MONITORING/FLOW BALANCING *</t>
  </si>
  <si>
    <t>Limited to PNS:$PN122103-01 *</t>
  </si>
  <si>
    <t>Limited to PNs:$01N65920$106-1-1100-02$1152682-3$31077-100$4101002-13$4315542$767584L$8055515-4501$87232323V00$967A0000-03$APE5100-1$C12858CA03$E21327107 *</t>
  </si>
  <si>
    <t>Temporary approval restricted to 16 PN. See repDB for PN details *</t>
  </si>
  <si>
    <t>Limited to PNs:$9800-00-01-041C ELECTRO MECHANICAL WINDOW SHADE *</t>
  </si>
  <si>
    <t>Limited to PNs:
2500XA010001 PRESSURE SENSOR
70XXXA020001 PRESSURE/TEMPERATURE SENSOR HP&amp;LP
70653A010001 PRESSURE SENSOR
910XA000X-0X PRESSURE/TEMPERATURE SENSOR
922XXX0X0000 PRESSURE SENSOR (BLEED MONITORING/FLOW BALANCING *</t>
  </si>
  <si>
    <t>Limited to PNS:
PN122103-01 *</t>
  </si>
  <si>
    <t>Limited to PNs:
512090-1 LEAD
513484-2 LEAD, IGNITION-LEAP 1A
513610-4 EXCITER-LEAP 1A, IGNITION
514000-2 LEAD, IGNITION-LEAP 1A
9043110-16 LEAD ASSY-IGNITION
9045330-2 EXCITER
10-617980-1 EXCITER-ENGINE IGNITION
10-631045-X EXCITER-ENGINE IGNITION
430154 EXCITER
430934-2 LEAD *</t>
  </si>
  <si>
    <t>Limited to PNs:$H10350701SC:81039 ACTUATOR- NORMAL UNLOCK$H10350707SC:81039 ACTUATOR- NORMAL UNLOCK$H10350703SC:81039 ACTUATOR- UNLOCK EMERGENCY$H10350709SC:81039 ACTUATOR- UNLOCK EMERGENCY$H10350708SC:81039 ACTUATOR- NORMAL UNLOCK$H10350702SC:81039 ACTUATOR- NORMAL UNLOCK *</t>
  </si>
  <si>
    <t>Limited to PNs:
01N65920$106-1-1100-02$1152682-3$31077-100$4101002-13$4315542$767584L$8055515-4501$87232323V00$967A0000-03$APE5100-1$C12858CA03$E21327107 *</t>
  </si>
  <si>
    <t>limited to PNs:
1605100-01 INDICATOR VISUAL
2041220-3231 CONTROL UNIT-WEATHER RADA
8378M12 COMPRESSOR-AIR
A06000 ACTUATOR ASSY
C148275-1 VALVE COOLING NCC-PW4000
C20105000-2 TACHOMETER
C20105100-1 TACHOMETER
C20288000-2 ACCUMALATOR NORMAL BRAKE
C24960000-1 VALVE-SAFETY
CE1909AA1 FAN-EXTRACTION
FCM9130-01 MODULE-FLUSH CONTROL
TA9125-00 TOILET ASSY
VA4110 FAN-RECIRCULATION
VD3920 FAN-EXTRACTION
VR4100-04 FAN-RECIRCULATION
WV9135-01 VALVE-WATER SHUTOFF *</t>
  </si>
  <si>
    <t>EASA PART 145 (DE.145.0041 -00/00/0000) | EASA PART 21 G (DE.21G.0027 -00/00/0000) | FAR 145 (B2WY697J -28/02/2024) | FAR 21 (DE.21G.0027 -00/00/0000) | NOT ELIGIBLE (POA COMPLIANCE -00/00/0000) | TCCA CAR573.02 (897-14 -01/01/2099)</t>
  </si>
  <si>
    <t>EASA PART 145 (DE.145.0041 -00/00/0000) | EASA PART 21 G (DE.21G.0027 -00/00/0000) | FAR 145 (B2WY697J -28/02/2024) | FAR 21 (413NM -00/00/0000) | NOT ELIGIBLE (POA COMPLIANCE TABLE -00/00/0000) | TCCA CAR573.02 (897-14 -01/01/2099)</t>
  </si>
  <si>
    <t>EASA PART 145 (UK.145.00592 -00/00/0000) | FAR 145 (H9EY443N -29/02/2024) | TCCA CAR573.02 (807-07 -00/00/0000) | UK CAA (UK.145.00592 -00/00/0000)</t>
  </si>
  <si>
    <t>EASA PART 145 (DE.145.0041 -00/00/0000) | EASA PART 21 G (DE.21G.0027 -00/00/0000) | FAR 145 (B2WY697J -28/02/2024) | NOT ELIGIBLE (POA_COMPLIANCE_TABLE -00/00/0000)</t>
  </si>
  <si>
    <t>EASA PART 145 (EASA.145.0881 -00/00/0000) | FAR 145 (3FZY810D -30/09/2023)</t>
  </si>
  <si>
    <t>EASA PART 145 (DE.145.0433 -00/00/0000) | EASA PART 21 G (DE.21G.0099 -00/00/0000) | FAR 145 (D3LY360C -28/02/2024) | NOT ELIGIBLE (POA COMPLIANCE TABLE -00/00/0000) | TCCA CAR573.02 (809-10 -01/01/2099)</t>
  </si>
  <si>
    <t>Marketing and sale, design, process engineering, manufacturing of elementary parts (tubes &amp; pipes included), assembly, after-sale and repair of equipped aerostructures and wings. Manufacturing and retail of spare parts. Marketing and sale, design, process engineering, manufacturing, assembly, after-sale and repair of aircraft cabin interior equipments and pilot seats. Manufacturing and retail of spare parts or equipment. 
Marketing et ventes, conception, industrialisation, fabrication de pieces elementaire (incluant les tubes &amp; pipes), assemblage, apres-vente et reparation d’aerostructures et de voilures equipees. Fabrication et distribution de rechanges de pieces. Marketing et ventes, conception, industrialisation, fabrication, assemblage, apres-vente et reparation d’equipements d'amenagements de cabine d’avion et de sieges pilotes. Fabrication et distribution de rechanges de pieces ou d'equipements</t>
  </si>
  <si>
    <t>10000512759-MSC-ACCR</t>
  </si>
  <si>
    <t>10000515221-MSC-ACCR</t>
  </si>
  <si>
    <t>CHEMICAL PROCESSING (CP) (3076202626 - 31/08/2023) | HEAT TREATING (HT) (3076207255 - 31/08/2023) | NON DESTRUCTIVE TESTING (NDT) (3076189745 - 30/04/2022) | WELDING (WLD) (3076208744 - 31/08/2023)</t>
  </si>
  <si>
    <t>INTERNATIONAL AEROSPACE COATINGS LT</t>
  </si>
  <si>
    <t>SHANNON AIRPORT</t>
  </si>
  <si>
    <t>SCLD9</t>
  </si>
  <si>
    <t>EASA PART 145 (DE.145.0117 -00/00/0000) | EASA PART 21 G (DE.21G.0046 -00/00/0000) | FAR 145 (6GLY435C -29/02/2024) | NOT ELIGIBLE (POA COMPLIANCE CHECK -00/00/0000) | TCCA CAR573.02 (814-12 -00/00/0000)</t>
  </si>
  <si>
    <t>CAAS SAR145 (AWI/373 -30/11/2022) | CCAR 145 (F06500860 -30/06/2023) | EASA PART 145 (EASA.145.0777 -00/00/0000) | FAR 145 (55CY360D -28/02/2023) | TCCA CAR573.02 (CAAS AWI/373 -30/11/2022)</t>
  </si>
  <si>
    <t>EN/AS/JISQ 9110 (FM29082-2 -26/01/2023)</t>
  </si>
  <si>
    <t>Manufacturing, sales, training and support of new and used helicopters. Design, production and installation of customized options for Airbus Helicopters rotorcraft. Maintenance, repair and overhaul of Airbus Helicopters rotorcraft and rotorcraft components, including the repair of transport aircraft subcomponents.
1782 Airport Road:  Manufacturing, sales, training and support of new and used helicopters. Design, production and installation of customized options for Airbus Helicopters rotorcraft. Maintenance, repair and overhaul of Airbus Helicopters rotorcraft and rotorcraft components.
2370 W. Airfield:  Warehouse</t>
  </si>
  <si>
    <t>C521191</t>
  </si>
  <si>
    <t>FM29082-2</t>
  </si>
  <si>
    <t>CHEMICAL PROCESSING (CP) (162927 - 28/02/2023) | COMPOSITE MANUFACTURING (COMP) (179960 - 28/02/2023) | HEAT TREATING (HT) (168762 - 31/08/2023) | NON DESTRUCTIVE TESTING (NDT) (166860 - 29/04/2024) | WELDING (WLD) (207293 - 31/08/2023)</t>
  </si>
  <si>
    <t>CAAS SAR145 (TCCA 1-70 -00/00/0000) | CCAR 145 (F01100157 -31/12/2023) | EASA PART 145 (EASA.145.7011 -00/00/0000) | HKAR-145 (TCCA 1-70 -00/00/0000) | NOT ELIGIBLE (POA COMPLIANCE TABLE -00/00/0000) | TCCA CAR573.02 ( 1-70 -00/00/0000)</t>
  </si>
  <si>
    <t>EASA PART 145 (IE.145.048 -00/00/0000)</t>
  </si>
  <si>
    <t>EASA:IE.145.048</t>
  </si>
  <si>
    <t>IE.145.048</t>
  </si>
  <si>
    <t>ISO 14001 (IE02/56407 -15/09/2018)</t>
  </si>
  <si>
    <t>SOPO2</t>
  </si>
  <si>
    <t>SOPO1</t>
  </si>
  <si>
    <t>RENOUARD OLIVIER</t>
  </si>
  <si>
    <t>ALBRECHT ANAIS</t>
  </si>
  <si>
    <t>EASA PART 145 (UK.145.00890 -00/00/0000) | EASA PART 21 G (UK.21G.2385 -00/00/0000) | FAR 145 (NUYY653L -29/02/2024) | TCCA CAR573.02 (812-08 -00/00/0000) | UK CAA (UK.145.00890 -00/00/0000)</t>
  </si>
  <si>
    <t>EN/AS/JISQ 9100 (FM 83186 -27/02/2025)</t>
  </si>
  <si>
    <t>The Design, Manufacturing and Repair of Aerospace Instrumentation that meet Statutory, Specifications and other Pertinent Requirements, as Agreed Upon with the Respective Interested Parties</t>
  </si>
  <si>
    <t>CCAR 145 (F00100495 -31/12/2023) | EASA PART 145 (EASA.145.5178 -28/02/2024) | FAR 145 (KU7R407Y -00/00/0000)</t>
  </si>
  <si>
    <t>CCAR 145 (F00100796 -31/12/2023) | EASA PART 145 (EASA.145.6030 -28/02/2023) | FAR 145 (L1IR073X -00/00/0000)</t>
  </si>
  <si>
    <t>EASA:EE.145.0102 - FAA:7M1Y679C - CAAC:F37200818</t>
  </si>
  <si>
    <t>F37200818</t>
  </si>
  <si>
    <t>EN/AS/JISQ 9110 (19003 -06/03/2025)</t>
  </si>
  <si>
    <t>EN/AS/JISQ 9100 (FR07/00299 -14/02/2025)</t>
  </si>
  <si>
    <t>Design, development, manufacture, service &amp; repair of communication and aviation electronics.</t>
  </si>
  <si>
    <t>• AIRCRAFT BASE AND LINE MAINTENANCE
• SPECIALISED SERVICES: NON-DESTRUCTIVE TESTING (NDT)</t>
  </si>
  <si>
    <t>FM 748860</t>
  </si>
  <si>
    <t>DE22/819945795</t>
  </si>
  <si>
    <t>EE005962</t>
  </si>
  <si>
    <t>CN039843</t>
  </si>
  <si>
    <t>28/02/2024 / 17/02/2025</t>
  </si>
  <si>
    <t>MATHIAS GIEHM (POCM1  - A-D)</t>
  </si>
  <si>
    <t>ANDRE MAURER (POCM2  - A-D)</t>
  </si>
  <si>
    <t>DERYA DURAN (POCE2  - A-D)</t>
  </si>
  <si>
    <t>LUISE MÜLLER-DIECKERT (POEGA  - A-D)</t>
  </si>
  <si>
    <t>CCAR 145 (F00100597 -31/12/2023) | EASA PART 145 (EASA.145.4826 -28/02/2024) | FAR 145 (C5MR761J -00/00/0000) | NOT ELIGIBLE (POA COMPLIANCE TABLE -00/00/0000) | PMA (PARTS MANUFACTURER APPROVAL -00/00/0000)</t>
  </si>
  <si>
    <t>EASA PART 145 (UK.145.01053 -00/00/0000) | FAR 145 (Z5KY074B -29/02/2024) | TCCA CAR573.02 (807-19 -00/00/0000) | UK CAA (UK.145.01053 -00/00/0000)</t>
  </si>
  <si>
    <t>EASA PART 145 (IT.145.0288 -00/00/0000) | FAR 145 (6THY329C -29/02/2024) | TCCA CAR573.02 (817-10 -00/00/0000)</t>
  </si>
  <si>
    <t>EN/AS/JISQ 9100 (25057.5 -17/09/2023) | EORS (RANKING C -19/09/2017) | ISO 14001 (FR071128-1 -22/02/2025)</t>
  </si>
  <si>
    <t>EN/AS/JISQ 9100 (16508 -12/03/2025)</t>
  </si>
  <si>
    <t>EN/AS/JISQ 9110 (CN039843 -09/03/2025)</t>
  </si>
  <si>
    <t>Design, development, manufacture, after sales service and repair of flight controls and servo systems including primary flight controls, hydraulic and electromechanical equipment for various sectors of industry including the aerospace and military.</t>
  </si>
  <si>
    <t>US015099-2</t>
  </si>
  <si>
    <t>Limited to PNs:$AC900868A CPU CARD$AC900868B CPU CARD$LA8L01101H20100 HARD DISK LAPTOP$LA8L01102H20100 HARD DISK LAPTOP *</t>
  </si>
  <si>
    <t>Limited to PNs:$TY3507-01 DUAL RESOLVER WITH GEARHEAD *</t>
  </si>
  <si>
    <t>Limited to PNs:
TY3507-01 DUAL RESOLVER WITH GEARHEAD</t>
  </si>
  <si>
    <t>MATHIEU CUVILLIER (POSC4  - A-F)</t>
  </si>
  <si>
    <t>EATON GERMANY GMBH AEROSPACE GROUP</t>
  </si>
  <si>
    <t>RUDOLF-DIESEL-STR. 8</t>
  </si>
  <si>
    <t>C2178</t>
  </si>
  <si>
    <t>TURKISH TECHNIC INC</t>
  </si>
  <si>
    <t>SABIHA GOEKCEN INTERN AIRPORT</t>
  </si>
  <si>
    <t>ISTANBUL</t>
  </si>
  <si>
    <t>Turkey</t>
  </si>
  <si>
    <t>TG424</t>
  </si>
  <si>
    <t>EASA PART 145 (EASA.145.4095 -30/01/2023) | FAR 145 (A3ZR709J -00/00/0000) | POA CT (MABS POA CT SIGNED -00/00/0000)</t>
  </si>
  <si>
    <t>CCAR 145 (F04400731 -31/12/2022) | EASA PART 145 (UK.145.01081 -00/00/0000) | EASA PART 21 G (UK.21G.2120 -00/00/0000) | FAR 145 (3MEY598B -28/02/2022) | POA CT (POA CT MABS -00/00/0000) | UK CAA (UK.145.01081 -00/00/0000)</t>
  </si>
  <si>
    <t>EASA 21G:DE.21G.0030</t>
  </si>
  <si>
    <t>EASA 21G:EASA.21G.0043</t>
  </si>
  <si>
    <t>DE.21G.0030</t>
  </si>
  <si>
    <t>EASA.21G.0043</t>
  </si>
  <si>
    <t>EN/AS/JISQ 9100 (FM 721560 -09/03/2025) | IAEG (RANKING B -18/03/2023)</t>
  </si>
  <si>
    <t>EN/AS/JISQ 9110 (00410 B-N -13/02/2024) | ISO 9001 (C0249600-IS2 -16/05/2018)</t>
  </si>
  <si>
    <t>Design, Engineering Services, Manufacturing, Support, Overhaul &amp; Maintenance of Electrical Systems for aircraft, aircraft engines, defense systems, space systems, aircraft electronic components and assemblies, ground equipment, and test equipment. 
Fokker Elmo B.V., Aviolandalaan 33, 4631 RP Hoogerheide, Netherlands: Design, Engineering Services, Manufacturing, Support, Overhaul &amp; Maintenance of Electrical Systems for aircraft, aircraft engines, defense systems, space systems, aircraft electronic components and assemblies, ground equipment, and test equipment. 
Fokker Elmo B.V., Industrieweg 4, 3351 LB Papendrecht, Netherlands:  Production and support of electrical wiring harnesses, electronic components, and assemblies for aircraft and aircraft engines.
Fokker Elmo (Langfang) Electrical Systems Co. Ltd., Langfang Economic and Technical Development Zone, No. 71, Xiangyun Road, Langfang 065001, Hebei, China:  Production and support of electrical wiring harnesses, electronic components, and assemblies for aircraft and aircraft engines.
Fokker Elmo, Havacilik Sanayi Ve Ticaret Ltd. Şti, Aegean Free Zone, Sadi Sokak No. 10, 35410 Gaziemir/Izmir, Turkey: Production and support of electrical wiring harnesses, electronic components, and assemblies for aircraft and aircraft engines.
GKN Fokker Elmo India Pvt. Ltd., Block G Embassy Industrial Park, Plot No. A-79 MIDC Chakan Industrial Area, Phase II, Pune, MH 410501, India: Production and support of electrical wiring harnesses, electronic components, and assemblies for aircraft and aircraft engines.</t>
  </si>
  <si>
    <t>Maintenance, Repair and Overhaul of Propeller Systems, Engine and Aircraft components including but not limited to Electronic Engine Controls, Fuel Accessories, Actuation Systems and Environmental Control</t>
  </si>
  <si>
    <t>DESIGN AND MANUFACTURING OF HYDRAULIC, PNEUMATIC AND ELECTROMECHANICAL EQUIPMENT FOR AERONAUTICS AND ADVANCED INDUSTRY
CONCEPTION ET FABRICATION DES EQUIPEMENTS HYDRAULIQUES, PNEUMATIQUES ET ELECTROMECANIQUES POUR L’AERONAUTIQUE ET L'INDUSTRIE DE POINTE</t>
  </si>
  <si>
    <t>Campus: (Central Office) Design, Sales, Marketing, Manufacture and Repair of Fire Detection and Suppression Equipment for Aviation and Ground Vehicles.</t>
  </si>
  <si>
    <t>Component Maintenance, Maintenance Contracting and Management including Pool Services.</t>
  </si>
  <si>
    <t>Assembly, distribution and repair of aeronautical equipments.
Assemblage, distribution et réparation d'équipements aéronautiques.</t>
  </si>
  <si>
    <t>13278577-Rev1</t>
  </si>
  <si>
    <t>FM 721560</t>
  </si>
  <si>
    <t>00410b - N</t>
  </si>
  <si>
    <t>00410 B-N</t>
  </si>
  <si>
    <t>HONTANS VINCENT</t>
  </si>
  <si>
    <t>ROBERT Valentin</t>
  </si>
  <si>
    <t>POMMIER Corinne</t>
  </si>
  <si>
    <t>BIGNET Karel</t>
  </si>
  <si>
    <t>FOUCAUD Pauline</t>
  </si>
  <si>
    <t>FEREY Laurent</t>
  </si>
  <si>
    <t>DELOHEN Barbara</t>
  </si>
  <si>
    <t>HONEYWELL AEROSPACE DE MEXICO S.A DE C.V</t>
  </si>
  <si>
    <t>CIRCUITO AEROESPACIAL NO. 2</t>
  </si>
  <si>
    <t>MEXICALI</t>
  </si>
  <si>
    <t>SCW49</t>
  </si>
  <si>
    <t>BCT AVIATION MAINTENANCE LTD</t>
  </si>
  <si>
    <t>EAST MIDLANDS AIRPORT BEVERLEY ROAD</t>
  </si>
  <si>
    <t>DE74 2SA</t>
  </si>
  <si>
    <t>CASTLE DONINGTON</t>
  </si>
  <si>
    <t>EASA PART 145 (EASA.145.5199 -31/03/2024) | FAR 145 (EOTR292I -00/00/0000)</t>
  </si>
  <si>
    <t>EASA PART 145 (UK.145.01230 -00/00/0000) | EASA PART 21 G (UK.21G.2622 -00/00/0000) | EASA PART 21 J (EASA.21J.008 -00/00/0000) | FAR 145 (DQD4021K -31/03/2024) | NOT ELIGIBLE (XXXXXXX -00/00/0000) | TCCA CAR573.02 (808-10 -00/00/0000) | UK CAA (UK.145.01230 -00/00/0000)</t>
  </si>
  <si>
    <t>CCAR 145 (F00100430 -31/12/2023) | EASA PART 145 (EASA.145.5441 -31/03/2024) | FAR 145 (L3ZR029X -00/00/0000) | NOT ELIGIBLE (PO COMPLIANCE TABLE -00/00/0000)</t>
  </si>
  <si>
    <t>CCAR 145 (F00100747 -30/06/2023) | EASA PART 145 (EASA.145.5617 -31/03/2024) | FAR 145 (G84R924X -00/00/0000)</t>
  </si>
  <si>
    <t>EASA PART 145 (FR.145.0627 -00/00/0000) | FAR 145 (3TRY410C -31/03/2024) | NOT ELIGIBLE (POA COMPLIANCE TABLE-POSC4 -00/00/0000)</t>
  </si>
  <si>
    <t>EASA PART 145 (EASA.145.0958 -00/00/0000) | FAR 145 (X8YY205B -30/09/2022) | NOT ELIGIBLE (POA COMPLIANCE TABLE -00/00/0000)</t>
  </si>
  <si>
    <t>EASA PART 145 (EASA.145.6102 -31/03/2024) | FAR 145 (S1WR141N -00/00/0000)</t>
  </si>
  <si>
    <t>EASA PART 145 (UK.145.01119 -00/00/0000)</t>
  </si>
  <si>
    <t>EASA PART 145 (FR.145.0627 -00/00/0000) | EASA PART 21 G (POA COMPLIANCE TABLE AEROSTRUCTURES SERVICES -00/00/0000) | FAR 145 (3TRY410C -31/03/2024)</t>
  </si>
  <si>
    <t>EASA PART 145 (EASA.145.6101 -31/03/2024) | FAR 145 (S7GR035N -00/00/0000)</t>
  </si>
  <si>
    <t>EASA PART 145 (EASA.145.0276 -00/00/0000) | EASA PART 21 G (EASA.21G.0043 -00/00/0000) | FAR 145 (TQKY144F -30/09/2022)</t>
  </si>
  <si>
    <t>EASA:EASA.145.0958 - FAA:X8YY205B</t>
  </si>
  <si>
    <t>EASA:UK.145.01119</t>
  </si>
  <si>
    <t>EASA:EASA.145.0276 - FAA:TQKY144F</t>
  </si>
  <si>
    <t>EASA.145.0958</t>
  </si>
  <si>
    <t>X8YY205B</t>
  </si>
  <si>
    <t>UK.145.01119</t>
  </si>
  <si>
    <t>EASA.145.0276</t>
  </si>
  <si>
    <t>TQKY144F</t>
  </si>
  <si>
    <t>EN/AS/JISQ 9100 (05885-2006-AQ-HOU-AN -14/09/2024)</t>
  </si>
  <si>
    <t>EN/AS/JISQ 9110 (496762 AS1018D -22/01/2023) | EN/AS/JISQ 9120 (496762 AS2018D -22/01/2023)</t>
  </si>
  <si>
    <t>EN/AS/JISQ 9100 (FM 705738-1 -09/04/2025) | EN/AS/JISQ 9110 (FM 705738-2 -09/04/2025)</t>
  </si>
  <si>
    <t>The design and manufacture of fluid control systems for the aircraft industry, high speed shut off valves, high temperature air control valves for harsh turbine environments and repair station.</t>
  </si>
  <si>
    <t>13278577-REV1</t>
  </si>
  <si>
    <t>Limited to PNs:$D23585000 BOX-ELECTRICAL,TOWBARLESS *</t>
  </si>
  <si>
    <t>Limited to PNs:$D90ST0102-500 SV$22286090-104 SV  *</t>
  </si>
  <si>
    <t>Limited to PNs:$87140-00-xx PPU POSITION PICK-OFF UNIT$87145-00-xx PPU POSITION PICK-OFF UNIT$801521E000xxxxx PPU POSITION PICK-OFF UNIT$801522E000xxxxx PPU POSITION PICK-OFF UNIT$801523E000xxxxx SENSOR UNIT SPEED OUTBOARD TRANSMISSION$801525E000xxxxx SPPU-STATION POSITION PICK-OFF UNIT$2B7236D ACTUATOR$299273C BOX$and A220 parts *</t>
  </si>
  <si>
    <t>Supplier authorized for ITA A350 paint release post industrial visit on$17 Mar 22 *$---------------------------$PREVIOUS NOTES: Withdrawal because:$Supplier had committed$to get 9100 certification by end of 2012.$After coming back to the Supplier, its$answer is that it does not intent to get this$certification (see additional document). Thus, it does not comply with$Airbus requirements.</t>
  </si>
  <si>
    <t>Limited to:$1326-1136$6970-115$6970-125$8062-1151  (alt. 2496M35P02)$8062-1157$8100-0083$8100-0090$8100-0091$8910-212$8910-255$8910-273$8910-275 (alt. 2629M63P03)$8910-276$8910-277$8910-281$8910-287 (replaced by 8910-273)$8910-317 *</t>
  </si>
  <si>
    <t>JULIA GOEDRICH (POEGB  - A-D)</t>
  </si>
  <si>
    <t>FLORIAN CYRILLE JULIEN BAGOT (POST1  - A-E)</t>
  </si>
  <si>
    <t>Production | Release | Ship Back / Return site</t>
  </si>
  <si>
    <t>KILLICK AEROSPACE LIMITED</t>
  </si>
  <si>
    <t>UNIT 2 AIRPORT BUSINESS PARK</t>
  </si>
  <si>
    <t>EN/AS/JISQ 9120 (KIAA-001-12-20-1 -29/12/2023)</t>
  </si>
  <si>
    <t>CAMPSAS : Provision of comprehensive maintenance and overhaul services: electro mechanics, hydraulics, power generation, electronics, landing gear, wheels and brakes, cabin equipment, rewinding, trading. Non-destructive testing: magnetic particle testing, penetrant testing, eddy current testing.
LE MESNIL-AMELOT : Comprehensive maintenance and overhaul of aircraft wheels and brakes. Non-destructive testing: magnetic particle testing, penetrant testing, eddy current testing.</t>
  </si>
  <si>
    <t>DESIGN AND DEVELOPMENT, MANUFACTURING, SALES AND SUPPORT OF EQUIPMENT AND DEVICES FOR THE MEASUREMENT OF VARIOUS PHYSICAL PARAMETERS (AIRFRAME SYSTEMS, ENGINE SYSTEMS, SERVICES &amp; SUPPORT).</t>
  </si>
  <si>
    <t>The acquisition, storage and distribution of spare parts and engines for Commercial, Regional and Business Jet Aircraft including Coordination of component repair, overhaul management, equipment leasing and lease management, and component exchanges</t>
  </si>
  <si>
    <t>KIAA-001-12-20-1</t>
  </si>
  <si>
    <t>None identified specific to the authorization. Supplier is familiar with paint release at IAC Shannon and have good experience in the scope. No QMS or commitment requested for one off project</t>
  </si>
  <si>
    <t>P/N not in the EASA capability list. only used for CAAC *</t>
  </si>
  <si>
    <t>Limited to PNs:$8061-5xx (alt.  1348M79Pxx)$8910-332$8061-6xx$7061-640$8910-620$8063-XXX *</t>
  </si>
  <si>
    <t>Supplier has ONLY FAA-145 approval. Covered by deviation for escape
slides to be used by US based FHS operators. *</t>
  </si>
  <si>
    <t>BCT</t>
  </si>
  <si>
    <t>Supplier authorized for ITA A350 paint release post industrial visit on
17 Mar 22 *
---------------------------
PREVIOUS NOTES: Withdrawal because:
Supplier had committed
to get 9100 certification by end of 2012.
After coming back to the Supplier, its
answer is that it does not intent to get this
certification (see additional document). Thus, it does not comply with
Airbus requirements.</t>
  </si>
  <si>
    <t>KILLICK</t>
  </si>
  <si>
    <t>KAREL BIGNET (SOPO2  - CE)</t>
  </si>
  <si>
    <t>CHEMICAL PROCESSING (CP) (9120204623 - 31/05/2023) | HEAT TREATING (HT) (9120189173 - 31/08/2022) | NON DESTRUCTIVE TESTING (NDT) (9120205482 - 31/08/2023)</t>
  </si>
  <si>
    <t>LAURENT FEREY (SOPO2  - CE)</t>
  </si>
  <si>
    <t>EN/AS/JISQ 9100 (FM 24809 -20/05/2024) | IAEG (RANKING B -05/10/2023) | ISO 14001 (76060 -07/02/2025)</t>
  </si>
  <si>
    <t>HEIKO JUCHERT (POSC4  - A-D)</t>
  </si>
  <si>
    <t>PAULINE FOUCAUD (SOPO2  - CE)</t>
  </si>
  <si>
    <t>EASA PART 145 (UK.145.01142 -00/00/0000) | EASA PART 21 G (UK.21G.2598 -00/00/0000) | FAR 145 (A53Y499J -31/03/2024) | NOT ELIGIBLE (POA COMPLIANCE TABLE -00/00/0000) | UK CAA (UK.145.01142 -00/00/0000)</t>
  </si>
  <si>
    <t>EASA PART 145 (UK.145.00846 -00/00/0000) | EASA PART 21 G (UK.21G.2347 -00/00/0000) | FAR 145 (I8QY183X -31/03/2024) | TCCA CAR573.02 (808-16 -00/00/0000) | UK CAA (UK.145.00846 -00/00/0000)</t>
  </si>
  <si>
    <t>CCAR 145 (F04400590 -30/06/2022) | EASA PART 145 (UK.145.00224 -00/00/0000) | EASA PART 21 G (UK.21G.2050 -00/00/0000) | EASA PART 21 J (UK.21J.0202 -00/00/0000) | FAR 145 (DQD2021K -31/03/2024) | NOT ELIGIBLE (POA CT -29/07/2022) | TCCA CAR573.02 (898-45 -00/00/0000) | UK CAA (UK.145.00224 -00/00/0000)</t>
  </si>
  <si>
    <t>CAAS SAR145 (AWI/255 -31/03/2023) | CCAR 145 (F06300549 -31/12/2022) | EASA PART 145 (EASA.145.0105 -00/00/0000) | FAR 145 (O63Y132Y -31/10/2023) | NOT ELIGIBLE (POA COMPLIANCE TABLE -00/00/0000) | TCCA CAR573.02 (FAR O63Y132Y -31/10/2023)</t>
  </si>
  <si>
    <t>EASA PART 145 (UK.145.01375 -00/00/0000) | EASA PART 21 G (UK.21G.2162 -00/00/0000) | FAR 145 (715Y200D -30/06/2022) | POA CT (POA CT -00/00/0000) | UK CAA (UK.145.01375 -00/00/0000)</t>
  </si>
  <si>
    <t>EASA PART 145 (UK.145.00518 -00/00/0000) | FAR 145 (WL5Y964N -31/03/2024) | UK CAA (UK.145.00518 -00/00/0000)</t>
  </si>
  <si>
    <t>Overall Scope: Design, Manufacture, Servicing and Support of Custom Avionics 
(Central Function) 247 Greco Avenue Coral Gables, FL 33146 Scope: Management Activities, Design and Development, Purchasing, Repair Station, Mfg/ Production: Machine Shop II, Painting, Conformal Coating, Stock Room, Mechanical Assembly, PC Assembly, Incoming Inspection, Final Test, PC Test, Laser Engraving, Clean Room /Environmental Rooms, Wiring, SMT, Environmental Testing, Audio Room, and TSO Qualifying Testing. 
Campus site: 220 Granello Avenue, Coral Gables, FL 33146 Scope: Machine Shop: Sheet Metal Work, Fastener Assembly, Plastic Molding and Raw Material Stock.</t>
  </si>
  <si>
    <t>2010/39276.10</t>
  </si>
  <si>
    <t>Limited to PNs:$612C950xxx PRESS REG S/O VALVE2-LEAP *</t>
  </si>
  <si>
    <t>satair</t>
  </si>
  <si>
    <t>TURKISH TECHNIC</t>
  </si>
  <si>
    <t>ERIC DUBAR (1YYQM  - A-F)</t>
  </si>
  <si>
    <t>EDUARDO HERNANDEZ (AAPOC)</t>
  </si>
  <si>
    <t>MARINA LENSKY (AAPOT)</t>
  </si>
  <si>
    <t>STEPHANE JEHL (AAPOT)</t>
  </si>
  <si>
    <t>CAROLE BRARD (AAPOC)</t>
  </si>
  <si>
    <t>FREDERIC MARY (1YYQM  - A-F)</t>
  </si>
  <si>
    <t>MATTHIEU GASPARD BOULINC (1YYQM  - A-F)</t>
  </si>
  <si>
    <t>CORINNE BOUSQUET (PJOM  - CE)</t>
  </si>
  <si>
    <t>AIRCRAFT CABIN MODIFICATION GMBH</t>
  </si>
  <si>
    <t>PRATT &amp; WHITNEY CANADA SEA</t>
  </si>
  <si>
    <t>10 LOYANG CRESCENT</t>
  </si>
  <si>
    <t>CCAR 145 (F04400490 -31/12/2022) | EASA PART 145 (UK.145.01307 -00/00/0000) | EASA PART 21 G (UK.21G.2656 -00/00/0000) | FAR 145 (L3LY498J -31/03/2024) | NOT ELIGIBLE (POA COMPLIANCE TABLE -00/00/0000) | POA CT (POA COMPLIANCE TABLE 2021 -00/00/0000) | TCCA CAR573.02 (813-08 -00/00/0000) | UK CAA (UK.145.01307 -00/00/0000)</t>
  </si>
  <si>
    <t>CCAR 145 (F01100719 -31/12/2023) | EASA PART 145 (EASA.145.7096 -00/00/0000) | TCCA CAR573.02 (154-94 -00/00/0000)</t>
  </si>
  <si>
    <t>CAAS SAR145 (AWI/070 -31/08/2022) | EASA PART 145 (EASA.145.0109 -00/00/0000) | FAR 145 (PQOY514Y -30/11/2022)</t>
  </si>
  <si>
    <t>EASA:EASA.145.7096 - TCCA:154-94 - CAAC:F01100719</t>
  </si>
  <si>
    <t>EASA:EASA.145.0109 - FAA:PQOY514Y - CAAS:AWI/070</t>
  </si>
  <si>
    <t>EASA.145.7096</t>
  </si>
  <si>
    <t>EASA.145.0109</t>
  </si>
  <si>
    <t>PQOY514Y</t>
  </si>
  <si>
    <t>AWI/070</t>
  </si>
  <si>
    <t>EN/AS/JISQ 9100 (16500 -13/04/2025) | EORS (RANKING D -30/11/2021) | ISO 9001 (12336 -13/04/2022)</t>
  </si>
  <si>
    <t>EN/AS/JISQ 9100 (FM 84628 -15/04/2025)</t>
  </si>
  <si>
    <t>EN/AS/JISQ 9110 (FS735769 -02/02/2025)</t>
  </si>
  <si>
    <t>Maintenance, Repair and Overhaul of Aircraft Engines, Components and Accessories.</t>
  </si>
  <si>
    <t>FM 770442</t>
  </si>
  <si>
    <t>2016/71203.5</t>
  </si>
  <si>
    <t>FS 735769</t>
  </si>
  <si>
    <t>FS735769</t>
  </si>
  <si>
    <t>Limited to PNs:$PN 2758 BATTERY *</t>
  </si>
  <si>
    <t>Limited to PNs:
AC900868A CPU CARD
AC900868B CPU CARD
LA8L01101H20100 HARD DISK LAPTOP
LA8L01102H20100 HARD DISK LAPTOP *</t>
  </si>
  <si>
    <t>Limited to PNs:
PN 2758 BATTERY *</t>
  </si>
  <si>
    <t>CORINNE POMMIER (SOPO2  - CE)</t>
  </si>
  <si>
    <t>VALENTIN ROBERT (SOPO2  - CE)</t>
  </si>
  <si>
    <t>BARBARA DELOHEN (SOPO2  - CE)</t>
  </si>
  <si>
    <t>NARDJISSE CAMARA (POEAA  - A-F)</t>
  </si>
  <si>
    <t>AEROTEC CONCEPT</t>
  </si>
  <si>
    <t>AERODROME DE GRAULHET</t>
  </si>
  <si>
    <t>GRAULHET</t>
  </si>
  <si>
    <t>CAAM PART 145 (FAMO/2017/41 -31/03/2023) | CAAS SAR145 (AWI/142 -30/09/2022) | CCAR 145 (F06500272 -31/12/2023) | EASA PART 145 (EASA.145.0003 -00/00/0000) | FAR 145 (R4JY276N -31/08/2022) | TCCA CAR573.02 (CAAS AWI/142 -30/09/2022)</t>
  </si>
  <si>
    <t>EASA PART 21 J (EASA.21J.362 -00/00/0000)</t>
  </si>
  <si>
    <t>EASA:EASA.145.0003 - FAA:R4JY276N - TCCA:CAAS AWI/142 - CAAC:F06500272 - CAAS:AWI/142 - CAAM:FAMO/2017/41</t>
  </si>
  <si>
    <t>EASA 21J:EASA.21J.362</t>
  </si>
  <si>
    <t>FAMO/2017/41</t>
  </si>
  <si>
    <t>EASA.21J.362</t>
  </si>
  <si>
    <t>EN/AS/JISQ 9100 (11777645-REV1 -13/04/2025)</t>
  </si>
  <si>
    <t>EN/AS/JISQ 9110 (2016/71203.5 -25/04/2025)</t>
  </si>
  <si>
    <t>SERVICES IN THE FIELDS OF AEROSPACE STRUCTURES &amp; AEROSPACE PRODUCT INTEGRITY:
* NDT TRAINING &amp; QUALIFICATION
* CERTIFICATION SERVICES, NDT LEVEL 3 CONSULTING &amp; AUDITS
* MANUFACTURING &amp; IN-SERVICE INSPECTIONS
* MATERIAL AND PROCESSES ENGINEERING &amp; TESTING SERVICES.</t>
  </si>
  <si>
    <t>11777645-Rev1</t>
  </si>
  <si>
    <t>11777645-REV1</t>
  </si>
  <si>
    <t>CHEMICAL PROCESSING (CP) (202141 - 31/05/2023) | COMPOSITE MANUFACTURING (COMP) (211812 - 31/05/2023) | HEAT TREATING (HT) (203279 - 28/02/2023) | NON DESTRUCTIVE TESTING (NDT) (196858 - 30/11/2022) | WELDING (WLD) (192658 - 31/05/2022)</t>
  </si>
  <si>
    <t>EN/AS/JISQ 9110 (13346 -24/04/2025)</t>
  </si>
  <si>
    <t>Limited to PNs:$6A7614$362-040-908-0$362-040-909-0$362-040-909-0$338-107-502-0$363-906-002-0$363-906-001-0 *</t>
  </si>
  <si>
    <t>Limited to PNs:
6A7614
362-040-908-0
362-040-909-0
362-040-909-0
338-107-502-0
363-906-002-0
363-906-001-0 *</t>
  </si>
  <si>
    <t>GTA Engineering Orders and Associated Kits Supply Aerotec CW345582 signed beginning 2022</t>
  </si>
  <si>
    <t>ALEXIOS MAGDALINOS (POYC1  - CE)</t>
  </si>
  <si>
    <t>OLIVIER COSTES (OTDAS  - CE)</t>
  </si>
  <si>
    <t>HELMUT BRÜNINGS (POCE2  - A-D)</t>
  </si>
  <si>
    <t>SAFRAN AEROSYSTEMS</t>
  </si>
  <si>
    <t>FATR7</t>
  </si>
  <si>
    <t>EASA PART 145 (EASA.145.5461 -30/04/2024) | FAR 145 (PB9R229N -00/00/0000) | POA CT (POA COMPLIANCE MATRIX -00/00/0000)</t>
  </si>
  <si>
    <t>EASA PART 145 (AT.145.040 -00/00/0000) | EASA PART 21 G (AT.21G.002 -00/00/0000) | EASA PART 21 J (EASA.21J.276 -00/00/0000) | FAR 145 (6FOY865C -30/04/2024) | NOT ELIGIBLE (POA COMPLIANCE TABLE -00/00/0000) | TCCA CAR573.02 (813-40 -00/00/0000)</t>
  </si>
  <si>
    <t>CCAR 145 (F03300551 -30/06/2023) | EASA PART 145 (FR.145.0051 -00/00/0000) | EASA PART 21 G (FR.21G.0015 -00/00/0000) | FAR 145 (O6SY947N -30/04/2024) | NOT ELIGIBLE (POA COMPLIANCE TABLE -00/00/0000) | TCCA CAR573.02 (897-22 -00/00/0000)</t>
  </si>
  <si>
    <t>CCAR 145 (F04400197 -31/12/2022) | EASA PART 145 (UK.145.00245 -00/00/0000) | EASA PART 21 G (UK.21G.2075 -00/00/0000) | FAR 145 (M0GY773N -30/04/2024) | TCCA CAR573.02 (818-09 -00/00/0000) | UK CAA (UK.145.00245 -00/00/0000)</t>
  </si>
  <si>
    <t>EASA PART 147 (POA COMPLIANCE TABLE -00/00/0000) | EASA PART 21 G (UK.21G.2406 -00/00/0000) | EASA PART 21 J (UK.21J.0092 -00/00/0000) | FAR 145 (TY9Y745J -30/09/2023) | POA CT (POACOMPLIANCE MATIX -00/00/0000) | UK CAA (UK.145.01452 -00/00/0000)</t>
  </si>
  <si>
    <t>CCAR 145 (F00100555 -31/12/2023) | EASA PART 145 (EASA.145.5894 -01/10/2022) | FAR 145 (G40R940N -00/00/0000) | NOT ELIGIBLE (POA COMPLIANCE TABLE -00/00/0000)</t>
  </si>
  <si>
    <t>EASA PART 145 (FR.145.0004 -00/00/0000) | FAR 145 (XD6Y805J -30/09/2022) | TCCA CAR573.02 (804-04 -01/05/2024)</t>
  </si>
  <si>
    <t>EN/AS/JISQ 9100 (282727-2019-AQ-FRA-A -07/05/2025) | ISO 14001 (01 104 079647 -29/08/2022)</t>
  </si>
  <si>
    <t>Development, production, sales, product + project management  and customer support of electromechanical and  optoelectronical systems</t>
  </si>
  <si>
    <t>Maintenance of Flight Control Systems, Cabin Pressure Control Systems, Avionic Ventilation and Ventilation Control Systems, Components for Environmental Control Systems and Pressure Sensors.</t>
  </si>
  <si>
    <t>PIERRE-ALAIN CORNU-WEISS (POCE1  - A-D)</t>
  </si>
  <si>
    <t>NADEGE COURTIAL (POEAA  - A-F)</t>
  </si>
  <si>
    <t>COBHAM AEROSPACE COMMUNICATIONS DOURDAN</t>
  </si>
  <si>
    <t>7 CHEMIN DE VAUBESNARD</t>
  </si>
  <si>
    <t>DOURDAN</t>
  </si>
  <si>
    <t>F6175</t>
  </si>
  <si>
    <t>HONEYWELL (SINGAPORE) PTE LTD C/O HONEYWELL AEROSPACE SINGAPORE</t>
  </si>
  <si>
    <t>AERSALE INC</t>
  </si>
  <si>
    <t>4400 DELP STREET</t>
  </si>
  <si>
    <t>38118-0000</t>
  </si>
  <si>
    <t>5TZD1</t>
  </si>
  <si>
    <t>FAR 21:FR.21G.0126 - EASA 21G:FR.21G.0126</t>
  </si>
  <si>
    <t>FAR 21:FR.21G.0005 - EASA 21G:FR.21G.0049</t>
  </si>
  <si>
    <t>FR.21G.0126</t>
  </si>
  <si>
    <t>EN/AS/JISQ 9100 (10262595-REV0 -24/06/2024) | OTHERS (DDD 28-2017/10.3 -19/04/2023)</t>
  </si>
  <si>
    <t>DESIGN, DEVELOPMENT, INDUSTRIALIZATION, MANUFACTURE, SALE
AND MAINTENANCE OF ANTENNAS FOR AEROSPACE CIVILIAN AND MILITARY APPLICATIONS</t>
  </si>
  <si>
    <t>STRATEGIC MANAGEMENT, DESIGN, MANUFACTURING, SALES AND AFTER-SALES SERVICE OF COCKPIT EQUIPMENT, POSITION SENSORS AND PROTECTION EQUIPMENT FOR ELECTRICAL NETWORKS USED IN HARSH ENVIRONMENT.</t>
  </si>
  <si>
    <t>The design, manufacture, assembly, test of electromechanical devices and systems for aerospace, military and commercial aircraft, and missile applications</t>
  </si>
  <si>
    <t>Design, manufacture and repair of aircraft cabin interior equipment, furnishings and parts.</t>
  </si>
  <si>
    <t>10453425-Rev0</t>
  </si>
  <si>
    <t>10453425-REV0</t>
  </si>
  <si>
    <t>FM 722348</t>
  </si>
  <si>
    <t>FM 724159</t>
  </si>
  <si>
    <t>CS-010-01 Engine Overhaul Maintenance</t>
  </si>
  <si>
    <t>CS-010-02 APU Overhaul Maintenance</t>
  </si>
  <si>
    <t>RORATO Frederic</t>
  </si>
  <si>
    <t xml:space="preserve">LEMAIGNEN Pierre </t>
  </si>
  <si>
    <t>19810 N. 7TH AVENUE, SUITE C10</t>
  </si>
  <si>
    <t>STORM AVIATION LIMITED</t>
  </si>
  <si>
    <t>DIAMOND HANGAR</t>
  </si>
  <si>
    <t>CM24 1IRE</t>
  </si>
  <si>
    <t>CCAR 145 (F00100711 -31/12/2023) | EASA PART 145 (EASA.145.5314 -28/02/2023) | FAR 145 (E72R725N -00/00/0000) | NOT ELIGIBLE (POA COMPLIANCE TABLE -00/00/0000) | PMA (PMA PQ1492CE -00/00/0000)</t>
  </si>
  <si>
    <t>CCAR 145 (F00100106 -31/12/2023) | EASA PART 145 (EASA.145.4454 -31/08/2024) | FAR 145 (UFHR760L -00/00/0000) | NOT ELIGIBLE (POA COMPLIANCE TABLE -00/00/0000)</t>
  </si>
  <si>
    <t>EASA PART 145 (FR.145.0324 -00/00/0000) | EASA PART 21 G (POA COMPLIANCE TABLE 05/05/2021 -00/00/0000) | FAR 145 (NDLY401X -31/07/2023) | NOT ELIGIBLE (FOD COMPLIANCE TABLE 12/05/2022 -00/00/0000)</t>
  </si>
  <si>
    <t>CCAR 145 (F04400188 -31/12/2022) | EASA PART 145 (UK.145.00083 -00/00/0000) | EASA PART 21 G (UK.21G.2162 -00/00/0000) | FAR 145 (XSMY589K -31/05/2024) | NOT ELIGIBLE (POA COMPLIANCE TABLE -00/00/0000) | TCCA CAR573.02 (899-10 -00/00/0000) | UK CAA (UK.145.00083 -00/00/0000)</t>
  </si>
  <si>
    <t>EASA PART 145 (DE.145.0319 -00/00/0000) | EASA PART 21 G (DE.21G.0164 -00/00/0000) | FAR 145 (WMCY016D -31/05/2024)</t>
  </si>
  <si>
    <t>CCAR 145 (F00100837 -31/12/2022) | EASA PART 145 (EASA.145.4558 -01/02/2023) | FAR 145 (XDWR042L -00/00/0000)</t>
  </si>
  <si>
    <t>CAAS SAR145 (AWI/152 -31/08/2022) | CCAR 145 (F06500280 -31/12/2023) | EASA PART 145 (EASA.145.0095 -00/00/0000) | FAR 145 (6LSY577B -30/11/2022) | HKAR-145 (CAAS AWI/152 -31/08/2022) | TCCA CAR573.02 (CAAS AWI/152 -31/08/2022)</t>
  </si>
  <si>
    <t>CAAS SAR145 (AWI/218 -31/08/2022) | CCAR 145 (F06500469 -31/12/2023) | EASA PART 145 (EASA.145.0349 -00/00/0000) | FAR 145 (36AY986Y -30/11/2022) | TCCA CAR573.02 (CAAS AWI/218 -31/08/2022)</t>
  </si>
  <si>
    <t>CCAR 145 (F00100835 -30/06/2023) | EASA PART 145 (EASA.145.6325 -01/03/2023) | FAR 145 (O60R489Y -00/00/0000) | NOT ELIGIBLE (POA CT -00/00/0000)</t>
  </si>
  <si>
    <t>CCAR 145 (F04800774 -30/06/2022) | EASA PART 145 (PL.145.010 -00/00/0000) | EASA PART 21 G (PL.21G.0002 -00/00/0000) | FAR 145 (2HWY796C -31/03/2023) | TCCA CAR573.02 (815-21 -00/00/0000) | UK CAA (UK.145.01524 -00/00/0000)</t>
  </si>
  <si>
    <t>EASA PART 145 (FR.145.0745 -00/00/0000) | FAR 145 (V45Y126B -31/05/2024)</t>
  </si>
  <si>
    <t>EASA PART 145 (EASA.145.6553 -22/05/2024) | EASA PART 21 G (POA COMPLIANCE MATRIX -00/00/0000) | FAR 145 (K1KR903X -00/00/0000) | NOT ELIGIBLE (POA COMPLIANCE TABLE -00/00/0000) | PMA (PQ1204NM -00/00/0000)</t>
  </si>
  <si>
    <t>CAAM PART 145 (FAM0/2017/82 -14/10/2022) | CAAS SAR145 (AWI/257 -28/02/2023) | CCAR 145 (F06500558 -30/06/2023) | EASA PART 145 (EASA.145.0431 -00/00/0000) | FAR 145 (Q4KY170B -31/05/2023)</t>
  </si>
  <si>
    <t>CAAS SAR145 (AWI/360 -31/05/2023) | CCAR 145 (F05200546 -31/12/2023) | EASA PART 145 (EASA.145.0420 -00/00/0000) | FAR 145 (24AY707Y -30/09/2022) | TCCA CAR573.02 (FAA 24AY707Y -30/09/2022)</t>
  </si>
  <si>
    <t>CAAS SAR145 (AWI/388 -31/05/2023) | EASA PART 145 (EASA.145.0864 -00/00/0000) | FAR 145 (7OOY520D -31/08/2022) | TCCA CAR573.02 (CAAS AWI/388 -31/05/2023)</t>
  </si>
  <si>
    <t>EASA PART 145 (UK.145.01041 -00/00/0000) | TCCA CAR573.02 (TCCA 814.04 -00/00/0000)</t>
  </si>
  <si>
    <t>EASA:EASA.145.5314 - FAA:E72R725N - CAAC:F00100711</t>
  </si>
  <si>
    <t>EASA:EASA.145.4787 - FAA:AH4R050M - CAAC:F00100781</t>
  </si>
  <si>
    <t>EASA:EASA.145.4260 - FAA:NN2R037L - CAAC:F00100864</t>
  </si>
  <si>
    <t>EASA:DE.145.0319 - FAA:WMCY016D</t>
  </si>
  <si>
    <t>EASA:EASA.145.4558 - FAA:XDWR042L - CAAC:F00100837</t>
  </si>
  <si>
    <t>EASA:EASA.145.4237 - FAA:KA2R945K - CAAC:F00100844</t>
  </si>
  <si>
    <t>EASA:EASA.145.6325 - FAA:O60R489Y - CAAC:F00100835</t>
  </si>
  <si>
    <t>EASA:UK.145.01041 - TCCA:TCCA 814.04</t>
  </si>
  <si>
    <t>FR.145.0119</t>
  </si>
  <si>
    <t>F00100711</t>
  </si>
  <si>
    <t>F00100781</t>
  </si>
  <si>
    <t>F00100864</t>
  </si>
  <si>
    <t>WMCY016D</t>
  </si>
  <si>
    <t>F00100837</t>
  </si>
  <si>
    <t>F00100844</t>
  </si>
  <si>
    <t>F00100835</t>
  </si>
  <si>
    <t>UK.145.01041</t>
  </si>
  <si>
    <t>TCCA 814.04</t>
  </si>
  <si>
    <t>EN/AS/JISQ 9110 (FR16/81842268 -28/05/2025)</t>
  </si>
  <si>
    <t>EN/AS/JISQ 9100 (07055-2004-AQ-HOU-AN -26/05/2025)</t>
  </si>
  <si>
    <t>EN/AS/JISQ 9100 (01 117 020650 -06/05/2025) | EORS (RANKING B -15/05/2021) | ISO 14001 (01 104 021810 -01/09/2021)</t>
  </si>
  <si>
    <t>EN/AS/JISQ 9100 (179841-2015-AQ-GER-D -20/12/2024) | EN/AS/JISQ 9110 (192045-2015-AQ-GER-D -20/12/2024) | ISO 14001 (179843-2015-AE-GER-D -20/10/2024)</t>
  </si>
  <si>
    <t>EN/AS/JISQ 9100 (FS 580998-2 -30/06/2024) | EN/AS/JISQ 9110 (FS 580998-1 -30/06/2024) | IAEG (SAQ -13/08/2024) | ISO 14001 (10137514 -31/12/2023)</t>
  </si>
  <si>
    <t>EN/AS/JISQ 9100 (AS 0177 -11/05/2023) | EORS (RANKING B -10/06/2024)</t>
  </si>
  <si>
    <t>EN/AS/JISQ 9100 (12443898-REV0 -20/05/2025) | EN/AS/JISQ 9110 (12443898-REV0 -22/05/2025) | IAEG (RANKING B -10/02/2023) | ISO 14001 (FR051332-1 -20/07/2022)</t>
  </si>
  <si>
    <t>EN/AS/JISQ 9100 (FM 724159 -16/06/2024)</t>
  </si>
  <si>
    <t xml:space="preserve">Design, Development, Manufacture and Assembly of Actuation, Electromechanical and Electrical Systems and Components for Aerospace and Related Applications, Including Repair and Overhaul of Aerospace Parts and Assemblies
Site 2: Design, Development, Manufacture and Assembly of Actuation, Electromechanical and Electrical Systems and Components for Aerospace and Related Applications, Including Repair and Overhaul of Aerospace Parts and Assemblies
</t>
  </si>
  <si>
    <t>DEVELOPMENT AND MAINTENANCE OF EMBEDDED SOFTWARE AND INFORMATION SYSTEMS.
PRODUCT, PROCESS AND SYSTEM ENGINEERING FOR AERONAUTIC, SPACE AND DEFENCE DOMAINS.
IN SERVICE SUPPORT FOR AERONAUTIC, SPACE AND DEFENCE DOMAINS.
ENGINE BOROSCOPIC INSPECTION.</t>
  </si>
  <si>
    <t>GLOBAL SUPPORT FOR MAINTENANCE AND REPAIR.
AIRCRAFT PARTS AND COMPONENTS, ENGINEERING, TECHNICAL AND LOGISTICAL SUPPORT FOR AIRCRAFT OPERATORS.
DESIGN, MANUFACTURING AND AIRCRAFT COMPLETION FOR MODIFICATIONS OF AIRCRAFT,
STRUCTURES AND SYSTEMS REPAIR SOLUTIONS, CABIN CONVERSIONS.</t>
  </si>
  <si>
    <t>GLOBAL SUPPORT FOR MAINTENANCE AND REPAIR.
AIRCRAFT PARTS AND COMPONENTS, ENGINEERING, TECHNICAL
AND LOGISTICAL SUPPORT FOR AIRCRAFT OPERATORS.
DESIGN, MANUFACTURING AND AIRCRAFT COMPLETION
FOR MODIFICATIONS OF AIRCRAFT,
STRUCTURES AND SYSTEMS REPAIR SOLUTIONS,
CABIN CONVERSIONS.</t>
  </si>
  <si>
    <t>Maintenance, repair, overhaul, rework, modification and calibration services of customer electronic aviation equipment.</t>
  </si>
  <si>
    <t>FM 708524</t>
  </si>
  <si>
    <t>22-05-196</t>
  </si>
  <si>
    <t>FS 708584</t>
  </si>
  <si>
    <t>2019/82893.4</t>
  </si>
  <si>
    <t>FM 706558</t>
  </si>
  <si>
    <t>FM 708683</t>
  </si>
  <si>
    <t>2007/29493.17</t>
  </si>
  <si>
    <t>FM 705350</t>
  </si>
  <si>
    <t>12443898-Rev0</t>
  </si>
  <si>
    <t>12443898-REV0</t>
  </si>
  <si>
    <t>FM 729229</t>
  </si>
  <si>
    <t>20/05/2024 / 24/05/2025</t>
  </si>
  <si>
    <t>Limited to PNs:$AT2011A00 TURBOFAN ASSY$AS1917A03 BLOWING FAN$AS1308A02 EXTRACTION FAN$AS1816A03$AS1816B02$AS2206A02$AS2206B02$AS2123A03 RECIRCULATION FAN$VT0250C00 TURBOFAN VALVE SUPPLY$CA05055B00 AVIONICS FILTER ASSY$CA05004C00 RECIRCULATION FILTER$CA05139B00$DA05061D00 FILTER HOUSING ASSY$DA05108D00 AVIONICS FILTER HOUSING ASSY$DA05145C00 RECIRCULATION FILTER HOUSING$FA04804A FILTER ASSEMBLY$71190400010NC0A SAMPLING VALVE$FA00512A FILTER TYPE AD24$FA03090A LP FILTER$RA00755A HYDRAULIC FLUID RESTRICTOR *</t>
  </si>
  <si>
    <t>Limited to PNs:$3901255-09</t>
  </si>
  <si>
    <t>FREDERIC RORATO (SOPO2 -CE)</t>
  </si>
  <si>
    <t>LEMAIGNEN Pierre</t>
  </si>
  <si>
    <t>Limited to PNs:
AT2011A00 TURBOFAN ASSY
AS1917A03 BLOWING FAN
AS1308A02 EXTRACTION FAN
AS1816A03
AS1816B02
AS2206A02
AS2206B02
AS2123A03 RECIRCULATION FAN
VT0250C00 TURBOFAN VALVE SUPPLY
CA05055B00 AVIONICS FILTER ASSY
CA05004C00 RECIRCULATION FILTER
CA05139B00
DA05061D00 FILTER HOUSING ASSY
DA05108D00 AVIONICS FILTER HOUSING ASSY
DA05145C00 RECIRCULATION FILTER HOUSING
FA04804A FILTER ASSEMBLY
71190400010NC0A SAMPLING VALVE
FA00512A FILTER TYPE AD24
FA03090A LP FILTER
RA00755A HYDRAULIC FLUID RESTRICTOR</t>
  </si>
  <si>
    <t>Limited to PNs:
3901255-09 UNIT-CONTROL, FUEL
4500039 PUMP
4500039F FUEL CONTROL UNIT-APS3200
4504086 IGV ACTUATOR ASSY-APS3200
4952164 STARTER MOTOR ASY-APS3200
756722B VALVE-DE OILING</t>
  </si>
  <si>
    <t>STORM AVIATION</t>
  </si>
  <si>
    <t>CW317617</t>
  </si>
  <si>
    <t>GRISS_1A_Compliance Matrix_FM1305620_v2.8(1)signed</t>
  </si>
  <si>
    <t>FREDERIC RORATO (SOPO2  - CE)</t>
  </si>
  <si>
    <t>PIERRE LEMAIGNEN (SOPO2  - CE)</t>
  </si>
  <si>
    <t>Production | Production | Production | Design tasks provider | Design tasks provider | Design tasks provider | Release | Release | Ordering | Delivery | Ordering | Delivery | Ship Back / Return site | Ship Back / Return site | Contracting | Contracting |</t>
  </si>
  <si>
    <t>THOMAS KAISER (SOPO5  - A-D)</t>
  </si>
  <si>
    <t>STUART RICHARDSON (POMDT  - A-UK)</t>
  </si>
  <si>
    <t>N</t>
  </si>
  <si>
    <t>CHEMICAL PROCESSING (CP) (207207 - 29/02/2024) | HEAT TREATING (HT) (197089 - 30/11/2022) | NON DESTRUCTIVE TESTING (NDT) (213138 - 31/05/2024) | WELDING (WLD) (4928194250 - 28/02/2023)</t>
  </si>
  <si>
    <t>CHEMICAL PROCESSING (CP) (194213 - 31/07/2022)</t>
  </si>
  <si>
    <t>DANIEL DI GIANGIACOMO (SOPO5  - A-D)</t>
  </si>
  <si>
    <t>ANDRE MEYER (BCRI2  - A-D)</t>
  </si>
  <si>
    <t>CHEMICAL PROCESSING (CP) (204988 - 31/05/2024) | NON DESTRUCTIVE TESTING (NDT) (204054 - 30/11/2023) | WELDING (WLD) (197418 - 31/08/2022)</t>
  </si>
  <si>
    <t>CHANTHAKHANE CAM (POSC2  - A-F)</t>
  </si>
  <si>
    <t>ARNAUD MARTY (SOPO4  - A-D)</t>
  </si>
  <si>
    <t>ARLE COURT, HATHERLEY LANE</t>
  </si>
  <si>
    <t>GL51 6PN</t>
  </si>
  <si>
    <t>U6454</t>
  </si>
  <si>
    <t>12 JINYINHU NANSAN ROAD</t>
  </si>
  <si>
    <t>SAFRAN AIRCRAFT ENGINES CHATELLERAULT</t>
  </si>
  <si>
    <t>RUE MARYSE BASTIE</t>
  </si>
  <si>
    <t>CHATELLERAULT</t>
  </si>
  <si>
    <t>CCAR 145 (F04900356 -31/12/2022) | EASA PART 145 (DE.145.0482 -00/00/0000) | EASA PART 21 G (DE.21G.0257 -00/00/0000) | FAR 145 (P2KY734J -28/02/2023)</t>
  </si>
  <si>
    <t>CCAR 145 (F03300443 -31/12/2023) | EASA PART 145 (FR.145.0100 -00/00/0000) | FAR 145 (6BUY061C -28/02/2023)</t>
  </si>
  <si>
    <t>CCAR 145 (F03300743 -31/12/2022) | EASA PART 145 (FR.145.0094 -00/00/0000) | FAR 145 (X2VY223O -30/11/2022) | TCCA CAR573.02 (808-36 -00/00/0000)</t>
  </si>
  <si>
    <t>CCAR 145 (F03300512 -31/12/2022) | EASA PART 145 (FR.145.0181 -00/00/0000) | EASA PART 21 G (FR.21G.0116 -00/00/0000) | FAR 145 (U78Y370Y -30/04/2023) | NOT ELIGIBLE (POA COMPLIANCE TABLE -00/00/0000)</t>
  </si>
  <si>
    <t>CCAR 145 (F03300643 -31/12/2022) | EASA PART 145 (FR.145.0097 -00/00/0000) | EASA PART 21 G (FR.21G.0167 -00/00/0000) | FAR 145 (O3MY953N -31/05/2023) | NOT ELIGIBLE (POA COMPLIANCE TABLE -00/00/0000) | TCCA CAR573.02 (813-43 -00/00/0000)</t>
  </si>
  <si>
    <t>CCAR 145 (F04900459 -31/12/2022) | EASA PART 145 (DE.145.0040 -00/00/0000) | EASA PART 21 G (DE.21G.0005 -00/00/0000) | EASA PART 21 J (EASA.21J.054 -00/00/0000) | FAR 145 (E2FY307J -31/07/2023) | NOT ELIGIBLE (POA COMPLIANCE TABLE -00/00/0000) | TCCA CAR573.02 (804-09 -04/10/2022)</t>
  </si>
  <si>
    <t>CCAR 145 (F03300726 -31/12/2022) | EASA PART 145 (FR.145.0020 -00/00/0000) | EASA PART 21 G (FR.21G.0014 -00/00/0000) | FAR 145 (E63Y863N -31/12/2022) | FAR 21 (FR.21G.0014 -00/00/0000) | NOT ELIGIBLE (POA COMPLIANCE TABLE -00/00/0000) | TCCA CAR573.02 (817-09 -00/00/0000)</t>
  </si>
  <si>
    <t>CCAR 145 (F03300551 -31/12/2022) | EASA PART 145 (FR.145.0051 -00/00/0000) | EASA PART 21 G (FR.21G.0066 -00/00/0000) | FAR 145 (O6SY947N -30/04/2024) | NOT ELIGIBLE (POA COMPLIANCE TABLE -00/00/0000) | TCCA CAR573.02 (897-22 -00/00/0000)</t>
  </si>
  <si>
    <t>CAAS SAR145 (AWI/269 -31/07/2022) | CCAR 145 (F04900352 -31/12/2022) | EASA PART 145 (DE.145.0001 -00/00/0000) | EASA PART 21 G (DE.21G.0047 -00/00/0000) | EASA PART 21 J (EASA.21J.019 -00/00/0000) | FAR 145 (DLAY225D -31/10/2022) | HKAR-145 (AI/138/1106 -02/11/2022) | NOT ELIGIBLE (POA COMPLIANCE TABLE -00/00/0000) | TCCA CAR573.02 (0897-08 -01/10/2023)</t>
  </si>
  <si>
    <t>CCAR 145 (F00100625 -30/06/2024) | EASA PART 145 (EASA.145.4684 -31/07/2023) | FAR 145 (ND13344K -00/00/0000) | NOT ELIGIBLE (POA COMPLIANCE TABLE -00/00/0000)</t>
  </si>
  <si>
    <t>CCAR 145 (F04900355 -31/12/2022) | EASA PART 145 (DE.145.0137 -00/00/0000) | EASA PART 21 G (DE.21G.0089 -00/00/0000) | FAR 145 (NM7Y454J -31/10/2023) | NOT ELIGIBLE (POA COMPLIANCE TABLE -00/00/0000) | TCCA CAR573.02 (898-08 -00/00/0000)</t>
  </si>
  <si>
    <t>CCAR 145 (F00100013 -31/12/2022) | EASA PART 145 (EASA.145.4701 -01/08/2022) | FAR 145 (EZ2R812K -00/00/0000)</t>
  </si>
  <si>
    <t>CCAR 145 (F03300512 -31/12/2022) | EASA PART 145 (FR.145.0181 -00/00/0000) | EASA PART 21 G (FR.21G.0116 -00/00/0000) | FAR 145 (U78Y370Y -30/04/2023)</t>
  </si>
  <si>
    <t>CCAR 145 (F03300422 -31/12/2022) | EASA PART 145 (FR.145.0099 -00/00/0000) | EASA PART 21 G (FR.21G.0087 -00/00/0000) | FAR 145 (S8UY168N -31/03/2023) | NOT ELIGIBLE (POA COMPLIANCE TABLE -00/00/0000) | TCCA CAR573.02 (814-28 -00/00/0000)</t>
  </si>
  <si>
    <t>CAAM PART 145 (FAMO/2017/39 -28/03/2023) | CAAS SAR145 (AWI/01 -31/12/2022) | CCAR 145 (F06500249 -31/12/2023) | EASA PART 145 (EASA.145.0129 -00/00/0000) | FAR 145 (SBOY989H -31/03/2023) | HKAR-145 (CAAS AWI/01 -31/12/2022) | TCCA CAR573.02 (CAAS AWI/01 -31/12/2022)</t>
  </si>
  <si>
    <t>CAAS SAR145 (AWI/234 -31/10/2022) | CCAR 145 (F03300160 -31/12/2023) | EASA PART 145 (FR.145.0013 -00/00/0000) | FAR 145 (NM1Y353K -31/10/2022) | TCCA CAR573.02 (0897-10 -00/00/0000)</t>
  </si>
  <si>
    <t>CAAS SAR145 (AWI/234 -31/10/2022) | CCAR 145 (F03300160 -31/12/2022) | EASA PART 145 (FR.145.0013 -00/00/0000) | FAR 145 (NM1Y353K -31/10/2022) | TCCA CAR573.02 (0897-10 -00/00/0000)</t>
  </si>
  <si>
    <t>CCAR 145 (F03300174 -31/12/2022) | EASA PART 145 (FR.145.0064 -00/00/0000) | EASA PART 21 G (FR.21G.0063 -00/00/0000) | FAR 145 (O53Y121X -31/12/2022) | TCCA CAR573.02 (805-05 -01/01/2099)</t>
  </si>
  <si>
    <t>CCAR 145 (F03300168 -31/12/2022) | EASA PART 145 (FR.145.0113 -00/00/0000) | FAR 145 (DI5Y806M -31/10/2023) | NOT ELIGIBLE (POA COMPLIANCE TABLE 2020 -00/00/0000) | POA CT (POA COMPLIANCE TABLE 2021 -00/00/0000) | TCCA CAR573.02 (897-44 -01/01/2099)</t>
  </si>
  <si>
    <t>CCAR 145 (F04400590 -30/06/2022) | EASA PART 145 (EASA.UK.145.00224 -00/00/0000) | EASA PART 21 G (UK.21G.2020 -00/00/0000) | FAR 145 (DQD2021K -31/03/2024) | FAR 21 (UK.21G.2020 -00/00/0000) | NOT ELIGIBLE (POA COMPLIANCE TABLE -00/00/0000) | UK CAA (UK.145.00224 -00/00/0000)</t>
  </si>
  <si>
    <t>CCAR 145 (F04100004 -31/12/2022) | EASA PART 145 (CH.145.0251 -00/00/0000) | EASA PART 21 G (CH.21G.0008 -00/00/0000) | FAR 145 (VM8Y694J -30/09/2023) | NOT ELIGIBLE (POA COMPLIANCE TABLE -00/00/0000) | TCCA CAR573.02 (808-09 -00/00/0000)</t>
  </si>
  <si>
    <t>CCAR 145 (F04400541 -31/12/2022) | EASA PART 145 (UK.145.00860 -00/00/0000) | EASA PART 21 G (UK.21G.2350 -00/00/0000) | FAR 145 (LF7Y504J -31/01/2024) | NOT ELIGIBLE (POA COMPLIANCE TABLE -00/00/0000) | TCCA CAR573.02 (803.02 -00/00/0000) | UK CAA (UK.145.00860 -00/00/0000)</t>
  </si>
  <si>
    <t>CCAR 145 (F04900357 -31/12/2022) | EASA PART 145 (DE.145.0034 -00/00/0000) | EASA PART 21 G (DE.21G.0028 -00/00/0000) | FAR 145 (LA7Y195J -31/10/2023) | FAR 21 (DE.21G.0028 -00/00/0000) | NOT ELIGIBLE (POA COMPLIANCE TABLE -00/00/0000) | TCCA CAR573.02 (898-09 -00/00/0000)</t>
  </si>
  <si>
    <t>CCAR 145 (F03300751 -31/12/2022) | EASA PART 145 (FR.145.0603 -00/00/0000) | EASA PART 21 G (FR.21G.0193 -00/00/0000) | FAR 145 (I7FY064B -31/05/2023) | TCCA CAR573.02 (817-16 -01/01/2099)</t>
  </si>
  <si>
    <t>CCAR 145 (F0440509 -31/12/2022) | EASA PART 145 (UK.145.00857 -00/00/0000) | FAR 145 (LU6Y506J -30/04/2024) | NOT ELIGIBLE (POA COMPLIANCE TABLE -00/00/0000) | TCCA CAR573.02 (898.41 -00/00/0000) | UK CAA (UK.145.00857 -00/00/0000)</t>
  </si>
  <si>
    <t>CAAS SAR145 (AWI/238 -31/10/2022) | CCAR 145 (F03300164 -31/12/2022) | EASA PART 145 (FR.145.0011 -00/00/0000) | FAR 145 (CNF5912C -31/12/2023) | TCCA CAR573.02 (898-35 -00/00/0000)</t>
  </si>
  <si>
    <t>CCAR 145 (F03300170 -31/12/2022) | EASA PART 145 (FR.145.0115 -00/00/0000) | EASA PART 21 G (FR.21G.0122 -00/00/0000) | FAR 145 (3XAY938B -30/09/2022) | NOT ELIGIBLE (PO COMPLIANCE TABLE -00/00/0000) | TCCA CAR573.02 (897-35 -00/00/0000)</t>
  </si>
  <si>
    <t>CCAR 145 (F03300417 -31/12/2022) | EASA PART 145 (FR.145.0519 -00/00/0000) | FAR 145 (HFPY615X -31/07/2022) | TCCA CAR573.02 (804-05 -00/00/0000)</t>
  </si>
  <si>
    <t>CAAS SAR145 (AWI/38 -31/01/2023) | CCAR 145 (F06500255 -31/12/2023) | EASA PART 145 (EASA.145.0076 -00/00/0000) | FAR 145 (FT4Y192M -30/04/2023) | TCCA CAR573.02 (CAAS AWI/38 -31/01/2023)</t>
  </si>
  <si>
    <t>CCAR 145 (F03300162 -31/12/2022) | EASA PART 145 (FR.145.0001 -00/00/0000) | EASA PART 21 G (POA COMPLIANCE TABLE -00/00/0000) | EASA PART 21 J (EASA.21J.055 -00/00/0000) | FAR 145 (OEQY747L -31/12/2022) | QCAA PART 145 (QCAA/FAMO/13 -09/10/2020) | TCCA CAR573.02 (897-41 -19/06/2024)</t>
  </si>
  <si>
    <t>CCAR 145 (F03300474 -31/12/2022) | EASA PART 145 (FR.145.0332 -00/00/0000) | FAR 145 (B41Y310Y -31/01/2024) | TCCA CAR573.02 (0817-03 -00/00/0000)</t>
  </si>
  <si>
    <t>EASA:EASA.UK.145.00224 - FAA:DQD2021K - CAAC:F04400590</t>
  </si>
  <si>
    <t>EASA:FR.145.0013 - FAA:NM1Y353K - TCCA:0897-10 - CAAC:F03300160</t>
  </si>
  <si>
    <t>FAR 21:UK.21G.2020 - EASA 21G:UK.21G.2020</t>
  </si>
  <si>
    <t>EASA.UK.145.00224</t>
  </si>
  <si>
    <t>UK.21G.2020</t>
  </si>
  <si>
    <t>EN/AS/JISQ 9100 (10194978 -17/06/2025) | EORS (RANKING D -26/03/2021) | ISO 9001 (ISO9001–0027562 -17/06/2022)</t>
  </si>
  <si>
    <t>EN/AS/JISQ 9110 (FR068357-1 -14/09/2024) | ISO 9001 (FR068358-1 -14/09/2024)</t>
  </si>
  <si>
    <t>Eastern Aero Machine Designs, Manufactures, Markets and Services (repair and overhaul) life vests, life rafts, survival kits and slides for the aerospace industry or any other industry.
5502 NW 37 Avenue, Miami FL  33142 is the Central location and conducts Research and Development, Contract Review, Purchasing, Production of Life Vests, Life Rafts and Survival Kits, the Repair Station, Receiving, and Shipping.</t>
  </si>
  <si>
    <t>Withdrawn</t>
  </si>
  <si>
    <t>FR068357-1</t>
  </si>
  <si>
    <t>Limited to PNs:$ATA 722303 CFM-5B :$338-067-007-0 /$338-067-009-0 /$338-067-014-0 /$338-067-014-015 *</t>
  </si>
  <si>
    <t>AERSALE</t>
  </si>
  <si>
    <t>BRIAN COALTER (POCM1  - A-D)</t>
  </si>
  <si>
    <t>CHEMICAL PROCESSING (CP) (5905200866 - 30/11/2023) | HEAT TREATING (HT) (5905198957 - 31/08/2023) | NON DESTRUCTIVE TESTING (NDT) (5905205216 - 30/11/2022) | WELDING (WLD) (5905201005 - 30/11/2022)</t>
  </si>
  <si>
    <t>NON DESTRUCTIVE TESTING (NDT) (159334 - 29/02/2024)</t>
  </si>
  <si>
    <t>BP 2 AVENUE RATIER</t>
  </si>
  <si>
    <t>TOUCHDOWN AVIATION BV</t>
  </si>
  <si>
    <t>TOKYOSTRAAT 29</t>
  </si>
  <si>
    <t>1175 RB</t>
  </si>
  <si>
    <t>LIJNDEN</t>
  </si>
  <si>
    <t>H1W52</t>
  </si>
  <si>
    <t>AVAIR LLC</t>
  </si>
  <si>
    <t>6877 WEST FRYE ROAD</t>
  </si>
  <si>
    <t>CHANDLER</t>
  </si>
  <si>
    <t>3KEA7</t>
  </si>
  <si>
    <t>ETHOSENERGY</t>
  </si>
  <si>
    <t>240 PARKWAY EAST SUITE 100</t>
  </si>
  <si>
    <t>DUNCAN</t>
  </si>
  <si>
    <t>OHLINGER INDUSTRIES INC</t>
  </si>
  <si>
    <t>1211 W MELINDA LANE</t>
  </si>
  <si>
    <t>23/06/2022 (CS-002-1)</t>
  </si>
  <si>
    <t>CCAR 145 (F00100091 -30/06/2024) | EASA PART 145 (EASA.145.5067 -01/08/2022) | FAR 145 (AG4R049M -00/00/0000) | FAR 21 (AG4R049M -00/00/0000) | NOT ELIGIBLE (FM1406379_V5 -28/04/2022)</t>
  </si>
  <si>
    <t>CCAR 145 (F04900573 -31/12/2022) | EASA PART 145 (DE.145.0029 -00/00/0000) | EASA PART 21 G (DE.21G.0037 -00/00/0000) | FAR 145 (E3ZY906Y -31/12/2023) | NOT ELIGIBLE (POA CONSISTENCY CHECK DONE -00/00/0000) | PMA (DOA POA NEW COMPANY NAME -00/00/0000) | TCCA CAR573.02 (897-24 -00/00/0000)</t>
  </si>
  <si>
    <t>CCAR 145 (F03100419 -31/12/2023) | EASA PART 145 (NL.145.1160 -00/00/0000) | FAR 145 (CW5Y794M -31/10/2023) | TCCA CAR573.02 (806-08 -00/00/0000)</t>
  </si>
  <si>
    <t>CCAR 145 (F03300622 -31/12/2022) | EASA PART 145 (FR.145.0005 -00/00/0000) | FAR 145 (HY9Y679J -30/06/2024) | TCCA CAR573.02 (814-02 -00/00/0000)</t>
  </si>
  <si>
    <t>CCAR 145 (F03300572 -31/12/2022) | EASA PART 145 (FR.145.0257 -00/00/0000) | FAR 145 (EQ7Y946N -30/11/2022) | TCCA CAR573.02 (898-16 -00/00/0000)</t>
  </si>
  <si>
    <t>CAAM PART 145 (FAMO/2017/18 -19/02/2023) | CAAS SAR145 (AWI/231 -30/06/2023) | CCAR 145 (F06500274 -30/06/2023) | EASA PART 145 (EASA.145.0149 -00/00/0000) | EASA PART 21 G (POA COMPLIANCE TABLE -00/00/0000) | FAR 145 (T1LY549Y -30/09/2022)</t>
  </si>
  <si>
    <t>CCAR 145 (F00100410 -31/12/2022) | EASA PART 145 (EASA.145.4295 -01/09/2022) | FAR 145 (KA4R303M -00/00/0000)</t>
  </si>
  <si>
    <t>CAAS SAR145 (TCCA 325-92 -00/00/0000) | CCAR 145 (F01100619 -31/12/2022) | EASA PART 145 (EASA.145.7155 -00/00/0000) | HKAR-145 (TCCA 325-92 -00/00/0000) | TCCA CAR573.02 (325-92 -00/00/0000)</t>
  </si>
  <si>
    <t>CAAS SAR145 (JCAB 042 -17/12/2023) | CCAR 145 (F08100230 -31/12/2022) | EASA PART 145 (EASA.145.0084 -00/00/0000) | FAR 145 (GA4Y199M -31/10/2022) | JCAB AMO (042 -17/12/2023)</t>
  </si>
  <si>
    <t>CAAM PART 145 (FAMO/2016/08 -25/04/2023) | CAAS SAR145 (AWI/159 -31/01/2023) | CCAR 145 (F06500279 -30/06/2023) | EASA PART 145 (EASA.145.0094 -00/00/0000) | FAR 145 (L28Y128O -30/04/2023) | TCCA CAR573.02 (CAAS AWI/159 -31/01/2023)</t>
  </si>
  <si>
    <t>CCAR 145 (F03300177 -31/12/2022) | EASA PART 145 (FR.145.0130 -00/00/0000) | EASA PART 21 G (FR.21G.0056 -00/00/0000) | FAR 145 (T3FY463X -31/07/2023) | NOT ELIGIBLE (POA COMPLIANCE TABLE -00/00/0000) | TCCA CAR573.02 (809-05 -00/00/0000)</t>
  </si>
  <si>
    <t>CAAM PART 145 (AMO/2018/06 -09/10/2022) | CAAS SAR145 (AWI/329 -31/01/2023) | CCAR 145 (F06000732 -31/12/2022) | EASA PART 145 (EASA.145.0588 -00/00/0000) | FAR 145 (8PGY232D -30/09/2022)</t>
  </si>
  <si>
    <t>CAAS SAR145 (AWI/269 -31/07/2022) | CCAR 145 (F04900352 -31/12/2022) | EASA PART 145 (DE.145.0001 -00/00/0000) | FAR 145 (DLAY225D -31/10/2022)</t>
  </si>
  <si>
    <t>CCAR 145 (F00100810 -31/12/2022) | EASA PART 145 (EASA.145.5322 -30/03/2023) | FAR 145 (OE6R225J -00/00/0000)</t>
  </si>
  <si>
    <t>CAAS SAR145 (AWI/167 -30/06/2023) | CCAR 145 (F06500290 -30/06/2023) | EASA PART 145 (EASA.145.0509 -00/00/0000) | FAR 145 (VYDY763K -30/09/2022) | TCCA CAR573.02 (CAAS AWI/167 -30/06/2023)</t>
  </si>
  <si>
    <t>CAAS SAR145 (AWI/243 -31/07/2022) | CCAR 145 (F06600488 -31/12/2022) | EASA PART 145 (EASA.145.0363 -00/00/0000) | FAR 145 (UAPY522Y -31/10/2023)</t>
  </si>
  <si>
    <t>CAAS SAR145 (AWI/165 -30/06/2023) | CCAR 145 (F06500275 -30/06/2023) | EASA PART 145 (EASA.145.0145 -00/00/0000) | FAR 145 (T2ZY563Y -30/09/2022)</t>
  </si>
  <si>
    <t>CCAR 145 (F01100154 -31/12/2022) | EASA PART 145 (EASA.145.7098 -00/00/0000) | HKAR-145 (TCCA 20-00 -00/00/0000) | TCCA CAR573.02 (20-00 -00/00/0000)</t>
  </si>
  <si>
    <t>CCAR 145 (F03300512 -31/12/2022) | EASA PART 145 (FR.145.0181 -00/00/0000) | EASA PART 21 G (FR21G.0116 -00/00/0000) | FAR 145 (78Y370Y -30/04/2023) | NOT ELIGIBLE (POA COMPLIANCE TABLE -00/00/0000) | TCCA CAR573.02 (808-01 -00/00/0000)</t>
  </si>
  <si>
    <t>CCAR 145 (F00100373 -31/12/2022) | EASA PART 145 (EASA.145.4622 -31/01/2023) | FAR 145 (OB2R051L -00/00/0000)</t>
  </si>
  <si>
    <t>CCAR 145 (F00100720 -31/12/2022) | EASA PART 145 (EASA.145.6475 -10/03/2023) | FAR 145 (6T9R165C -00/00/0000)</t>
  </si>
  <si>
    <t>CCAR 145 (F06000761 -31/12/2022) | EASA PART 145 (CH.145.0200 -00/00/0000) | FAR 145 (33SY148B -31/10/2023)</t>
  </si>
  <si>
    <t>CCAR 145 (F37200818 -31/12/2022) | EASA PART 145 (EE.145.0102 -00/00/0000) | FAR 145 (7M1Y679C -30/09/2022)</t>
  </si>
  <si>
    <t>CCAR 145 (F06600808 -31/12/2022) | EASA PART 145 (EASA.145.0844 -00/00/0000) | FAR 145 (74RY378D -31/08/2022)</t>
  </si>
  <si>
    <t>CCAR 145 (F03300160 -31/12/2022) | EASA PART 145 (FR.145.0013 -00/00/0000) | FAR 145 (NM1Y353K -31/10/2022) | TCCA CAR573.02 (0897-10 -00/00/0000)</t>
  </si>
  <si>
    <t>EASA PART 145 (EASA.145.4506 -30/06/2024) | FAR 145 (PGLR030L -00/00/0000)</t>
  </si>
  <si>
    <t>EASA:EASA.145.4506 - FAA:PGLR030L</t>
  </si>
  <si>
    <t>EASA:EASA.145.7408 - FAA:OHRR712K - CAAC:F00100600</t>
  </si>
  <si>
    <t>EASA.145.4506</t>
  </si>
  <si>
    <t>PGLR030L</t>
  </si>
  <si>
    <t>EASA.145.7408</t>
  </si>
  <si>
    <t>OHRR712K</t>
  </si>
  <si>
    <t>F00100600</t>
  </si>
  <si>
    <t>EN/AS/JISQ 9100 (1343 -03/02/2025)</t>
  </si>
  <si>
    <t>ISO 9001 (NL024213 -14/09/2024)</t>
  </si>
  <si>
    <t>EN/AS/JISQ 9120 (AAIR-007-12-20-05 -05/12/2023)</t>
  </si>
  <si>
    <t>EN/AS/JISQ 9110 (CERT60130555 -02/08/2022)</t>
  </si>
  <si>
    <t>EN/AS/JISQ 9100 (13847 -29/03/2023)</t>
  </si>
  <si>
    <t>Design, develop, manufacture and service systems, equipment and structures for aerospace and aviation industries.</t>
  </si>
  <si>
    <t>Stockist distributor of consumable and rotable aircraft parts.</t>
  </si>
  <si>
    <t>The design and development of repair, overhaul, and maintenance dispositions in conjunction with the repair and refurbishment of aviation and industrial gas turbine fuel nozzles, engine components, and accessories.</t>
  </si>
  <si>
    <t>Overhaul, Repair and Machining of Aerospace and Commercial Components</t>
  </si>
  <si>
    <t>2010/36789.13</t>
  </si>
  <si>
    <t>NL024213</t>
  </si>
  <si>
    <t>AAIR-007-12-20-5</t>
  </si>
  <si>
    <t>AAIR-007-12-20-05</t>
  </si>
  <si>
    <t>CERT-0130555</t>
  </si>
  <si>
    <t>CERT60130555</t>
  </si>
  <si>
    <t>Regular approval to be maintained as on site assessment is satisfactory</t>
  </si>
  <si>
    <t>Authorization is provided based on remote assessment, limited on scope$On site assessment to be performed during the authorization period.$Supplier is EASA/FAA-145 approved</t>
  </si>
  <si>
    <t>Limited to PNs:$4952164 STARTER MOTOR ASY-APS3200 *</t>
  </si>
  <si>
    <t>Limited to PNs:$4951652COOLER-OIL *</t>
  </si>
  <si>
    <t>Touchdown Aviation (TDA)</t>
  </si>
  <si>
    <t>AvAIR</t>
  </si>
  <si>
    <t>DESKTOP REVIEW</t>
  </si>
  <si>
    <t>US017107-1</t>
  </si>
  <si>
    <t>EASA PART 21 G (POA COMPLIANCE TABLE 01/03/2022 -00/00/0000) | EASA PART M G (FR.CAMO.0059 -00/00/0000) | NOT ELIGIBLE (SERVICE POA COMPLIANCE TABLE -00/00/0000)</t>
  </si>
  <si>
    <t>CAAM PART 145 (FAMO/2017/57 -00/00/0000) | CAAS SAR145 (AWI/105 -31/08/2022) | CCAR 145 (F06500266 -30/06/2024) | EASA PART 145 (EASA.145.0032 -00/00/0000) | FAR 145 (ULCY444L -30/11/2022) | TCCA CAR573.02 (CAAS AWI/105 -31/08/2022)</t>
  </si>
  <si>
    <t>CAAM PART 145 (AMO/2016/17 -25/04/2023) | CAAS SAR145 (AWI/147 -31/12/2022) | CCAR 145 (F06000294 -31/12/2022) | EASA PART 145 (EASA.145.0313 -00/00/0000) | FAR 145 (H3UY075N -31/08/2022) | TCCA CAR573.02 (9915-01 -30/06/2024)</t>
  </si>
  <si>
    <t>EASA 21G:POA COMPLIANCE TABLE 01/03/2022</t>
  </si>
  <si>
    <t>POA COMPLIANCE TABLE 01/03/2022</t>
  </si>
  <si>
    <t xml:space="preserve">Limited to PNs: 4952164 STARTER MOTOR ASY-APS3200 </t>
  </si>
  <si>
    <t>Limited to PNs: 4951652COOLER-OIL</t>
  </si>
  <si>
    <t>AIRBUS OPERATIONS GMBH</t>
  </si>
  <si>
    <t>EASA PART 145 (FR.145.0010 -00/00/0000) | FAR 145 (CNFY912C -30/06/2024)</t>
  </si>
  <si>
    <t>CCAR 145 (F03300161 -31/12/2022) | EASA PART 145 (FR.145.0010 -00/00/0000) | EASA PART 21 G (FR.21G.0178 -00/00/0000) | EASA PART 21 J (EASA.21J.027 -00/00/0000) | FAR 145 (CNFY912C -30/06/2024) | TCCA CAR573.02 (897-28 -12/04/2024)</t>
  </si>
  <si>
    <t>CCAR 145 (F03400636 -31/12/2022) | EASA PART 145 (ES.145.134 -00/00/0000) | EASA PART 21 G (ES.21G.0005 -00/00/0000) | FAR 145 (3C3Y138B -30/11/2022) | NOT ELIGIBLE (POA COMPLIANCE TABLE -00/00/0000) | TCCA CAR573.02 (815-17 -00/00/0000)</t>
  </si>
  <si>
    <t>CCAR 145 (F00100142 -31/12/2022) | EASA PART 145 (EASA.145.4132 -31/01/2023) | FAR 145 (HZ3R571L -00/00/0000) | FAR 21 (413NM -00/00/0000) | NOT ELIGIBLE (POA COMPLIANCE TABLE -00/00/0000)</t>
  </si>
  <si>
    <t>CCAR 145 (F04400570 -31/12/2022) | EASA PART 145 (UK.145.00683 -00/00/0000) | EASA PART 21 G (UK.21G.2204 -00/00/0000) | FAR 145 (IM7Y581J -31/01/2024) | TCCA CAR573.02 (809-17 -00/00/0000) | UK CAA (UK.145.00683 -00/00/0000)</t>
  </si>
  <si>
    <t>CCAR 145 (F04900446 -31/12/2022) | EASA PART 145 (DE.145.0286 -00/00/0000) | EASA PART 21 G (EASA.21G.0001 -00/00/0000) | EASA PART 21 J (EASA.21J.002 -00/00/0000) | FAR 145 (K30Y905Y -31/03/2024)</t>
  </si>
  <si>
    <t>CCAR 145 (F03300173 -31/12/2022) | EASA PART 145 (FR.145.0071 -00/00/0000) | EASA PART 21 G (FR.21G.0024 -00/00/0000) | FAR 145 (B8EY828J -30/06/2023) | NOT ELIGIBLE (POA COMPLIANCE TABLE -00/00/0000) | TCCA CAR573.02 (897-36 -00/00/0000)</t>
  </si>
  <si>
    <t>CCAR 145 (F03300475 -31/12/2022) | EASA PART 145 (FR.145.0034 -00/00/0000) | EASA PART 21 G (FR.21G.0001 -00/00/0000) | EASA PART 21 J (EASA.21J.217 -00/00/0000) | FAR 145 (R0FY522Y -31/12/2022) | FAR 21 (FR.21G.0001 -00/00/0000) | NOT ELIGIBLE (POA COMPLIANCE TABLE AND PAQ -00/00/0000) | TCCA CAR573.02 (898-38 -00/00/0000)</t>
  </si>
  <si>
    <t>CCAR 145 (F08100503 -31/12/2022) | EASA PART 145 (EASA.145.0141 -00/00/0000) | FAR 145 (UOPY878L -30/09/2022)</t>
  </si>
  <si>
    <t>CCAR 145 (F04900823 -30/06/2024) | EASA PART 145 (DE.145.0104 -00/00/0000) | EASA PART 21 G (DE.21G.0175 -00/00/0000) | FAR 145 (Z8EY085Y -31/10/2023)</t>
  </si>
  <si>
    <t>CAAS SAR145 (AWI/005 -30/06/2023) | CCAR 145 (F06500250 -30/06/2023) | EASA PART 145 (EASA.145.0101 -00/00/0000) | FAR 145 (FU4Y193M -31/10/2023) | HKAR-145 (AWI/005 -30/06/2023) | TCCA CAR573.02 (CAAS AWI/005 -30/06/2023)</t>
  </si>
  <si>
    <t>CAAS SAR145 (AWI/138 -30/06/2023) | CCAR 145 (F06500271 -31/12/2023) | EASA PART 145 (EASA.145.0117 -00/00/0000) | FAR 145 (R5CY955J -30/09/2022) | TCCA CAR573.02 (CAAS AWI/138 -30/06/2023)</t>
  </si>
  <si>
    <t>CCAR 145 (F03300453 -31/12/2022) | EASA PART 145 (DE.145.0041 -00/00/0000) | EASA PART 21 G (DE.21G.0027 -00/00/0000) | FAR 145 (B2WY697J -28/02/2024) | NOT ELIGIBLE (XXXXXXX -00/00/0000) | TCCA CAR573.02 (897-14 -01/01/2099)</t>
  </si>
  <si>
    <t>CCAR 145 (F00100607 -31/12/2022) | EASA PART 145 (EASA.145.4054 -30/01/2023) | FAR 145 (L4PR181J -00/00/0000)</t>
  </si>
  <si>
    <t>CCAR 145 (F00100600 -31/12/2022) | EASA PART 145 (EASA.145.7408 -31/07/2024) | FAR 145 (OHRR712K -00/00/0000)</t>
  </si>
  <si>
    <t>EN/AS/JISQ 9100 (217480-2017-AQ-GER-D -08/02/2025) | HEALTH AND SAFETY (RANKING B -15/08/2023) | HUMAN RIGHTS (RANKING A -15/08/2023) | IAEG (RANKING B -15/08/2023)</t>
  </si>
  <si>
    <t>EN/AS/JISQ 9100 (0011203 -28/02/2024) | HEALTH AND SAFETY (RANKING B -01/05/2023) | HUMAN RIGHTS (RANKING A -01/05/2023) | IAEG (RANKING C -01/05/2023)</t>
  </si>
  <si>
    <t>EN/AS/JISQ 9100 (FR068771-1 -17/10/2024) | HEALTH AND SAFETY (RANKING C -21/07/2023) | HUMAN RIGHTS (RANKING A -21/07/2023) | IAEG (RANKING A -21/07/2023)</t>
  </si>
  <si>
    <t>EN/AS/JISQ 9110 (10166498-REV0 -31/08/2024) | HEALTH AND SAFETY (RANKING C -21/07/2023) | HUMAN RIGHTS (RANKING A -21/07/2023) | IAEG (RANKING A -21/07/2023)</t>
  </si>
  <si>
    <t>EN/AS/JISQ 9100 (10807115-REV0 -16/01/2025) | HEALTH AND SAFETY (RANKING C -21/07/2023) | HUMAN RIGHTS (RANKING A -21/07/2023) | IAEG (RANKING A -21/07/2023) | ISO 9001 (FR072296-1 -16/01/2025)</t>
  </si>
  <si>
    <t>EN/AS/JISQ 9100 (AC_0024-08 -17/03/2023) | EORS (N/A -21/12/9999) | HEALTH AND SAFETY (RANKING A -08/03/2025) | HUMAN RIGHTS (RANKING A -08/03/2025) | IAEG (RANKING A -08/03/2025)</t>
  </si>
  <si>
    <t>EN/AS/JISQ 9100 (0006829 -22/12/2023) | HEALTH AND SAFETY (RANKING B -11/02/2024) | HUMAN RIGHTS (RANKING B -11/02/2024) | IAEG (RANKING D -11/02/2024)</t>
  </si>
  <si>
    <t>EN/AS/JISQ 9100 (CERT-05885-2006-AQ-H -14/09/2024) | HEALTH AND SAFETY (RANKING A -27/11/2023) | HUMAN RIGHTS (RANKING A -27/11/2023) | IAEG (RANKING B -27/11/2023) | ISO 14001 (EMS 39340 -01/01/2024)</t>
  </si>
  <si>
    <t>EN/AS/JISQ 9100 (10241580-REV0 -02/05/2024) | EN/AS/JISQ 9110 (10241580-REV0 -02/05/2024) | HEALTH AND SAFETY (RANKING A -30/07/2024) | HUMAN RIGHTS (RANKING A -30/07/2024) | IAEG (RANKING A -30/07/2024)</t>
  </si>
  <si>
    <t>EN/AS/JISQ 9100 (9650177-REV0 -13/03/2024) | EORS (RANKING D -22/06/2021) | HEALTH AND SAFETY (RANKING B -09/04/2024) | HUMAN RIGHTS (RANKING A -09/04/2024) | IAEG (RANKING C -09/04/2024) | ISO 9001 (FR063656-1 -13/03/2024)</t>
  </si>
  <si>
    <t>EN/AS/JISQ 9100 (10262595-REV0 -24/06/2024) | HEALTH AND SAFETY (RANKING C -21/07/2023) | HUMAN RIGHTS (RANKING A -21/07/2023) | IAEG (RANKING A -21/07/2023) | OTHERS (DDD 12-2018/05 -18/01/2023)</t>
  </si>
  <si>
    <t>EN/AS/JISQ 9100 (US07/1140 -17/10/2022) | HEALTH AND SAFETY (RANKING A -19/11/2024) | HUMAN RIGHTS (RANKING A -19/11/2024) | IAEG (RANKING B -19/11/2024)</t>
  </si>
  <si>
    <t>EN/AS/JISQ 9100 (FM724157 -02/12/2022) | HEALTH AND SAFETY (RANKING A -18/03/2023) | HUMAN RIGHTS (RANKING A -18/03/2023) | IAEG (RANKING C -18/03/2023)</t>
  </si>
  <si>
    <t>EN/AS/JISQ 9100 (FM 63598 -08/08/2024) | EORS (RANKING D -16/10/2021) | HEALTH AND SAFETY (RANKING B -29/03/2025) | HUMAN RIGHTS (RANKING A -29/03/2025) | IAEG (RANKING B -29/03/2025) | ISO 14001 (EMS 584897 -26/08/2021)</t>
  </si>
  <si>
    <t>EN/AS/JISQ 9100 (11532 -07/11/2022) | HEALTH AND SAFETY (RANKING A -25/03/2024) | HUMAN RIGHTS (RANKING A -25/03/2024) | IAEG (RANKING A -25/03/2024)</t>
  </si>
  <si>
    <t>EN/AS/JISQ 9100 (FM 516976 -04/08/2022) | EN/AS/JISQ 9110 (FM 634230 -05/05/2025) | HEALTH AND SAFETY (RANKING A -18/03/2023) | HUMAN RIGHTS (RANKING A -18/03/2023) | IAEG (RANKING C -18/03/2023) | ISO 14001 (EMS 557264 -12/06/2023)</t>
  </si>
  <si>
    <t>EN/AS/JISQ 9100 (GB94/3721 -09/01/2024) | HEALTH AND SAFETY (RANKING A -24/01/2025) | HUMAN RIGHTS (RANKING A -24/01/2025) | IAEG (RANKING B -24/01/2025) | ISO 14001 (LK09/02644 -28/12/2024) | ISO 9001 (GB94/3721 -09/01/2024)</t>
  </si>
  <si>
    <t>EN/AS/JISQ 9100 (OP-0013/2003 -19/10/2024) | EN/AS/JISQ 9110 (OP-0010/2016 -19/10/2024) | EORS (RANKING B -20/12/2021) | HEALTH AND SAFETY (RANKING A -08/10/2024) | HUMAN RIGHTS (RANKING A -08/10/2024) | IAEG (RANKING B -08/10/2024) | ISO 14001 (ES-2000/0064 -30/03/2024)</t>
  </si>
  <si>
    <t>EN/AS/JISQ 9100 (0018875-04 -05/01/2024) | HEALTH AND SAFETY (RANKING B -14/04/2024) | HUMAN RIGHTS (RANKING A -14/04/2024) | IAEG (RANKING C -14/04/2024)</t>
  </si>
  <si>
    <t>EN/AS/JISQ 9100 (10453425-REV0 -04/09/2024) | HEALTH AND SAFETY (RANKING B -10/12/2024) | HUMAN RIGHTS (RANKING B -10/12/2024) | IAEG (RANKING D -10/12/2024) | ISO 9001 (FR067696-1 -04/09/2024)</t>
  </si>
  <si>
    <t>EN/AS/JISQ 9100 (FR21/81843493 -09/05/2024) | HEALTH AND SAFETY (RANKING A -25/03/2024) | HUMAN RIGHTS (RANKING A -25/03/2024) | IAEG (RANKING A -25/03/2024)</t>
  </si>
  <si>
    <t>EN/AS/JISQ 9100 (23032.13 -22/04/2024) | HEALTH AND SAFETY (RANKING A -06/09/2024) | HUMAN RIGHTS (RANKING A -06/09/2024) | IAEG (RANKING B -06/09/2024) | ISO 14001 (2016/71958.4 -19/06/2023) | ISO 9001 (1992/572.13 -26/03/2024)</t>
  </si>
  <si>
    <t>EN/AS/JISQ 9100 (394460 AS0018D -14/11/2022) | HEALTH AND SAFETY (RANKING B -27/03/2023) | HUMAN RIGHTS (RANKING A -27/03/2023) | IAEG (RANKING A -27/03/2023)</t>
  </si>
  <si>
    <t>EN/AS/JISQ 9100 (C2021-00293 -21/05/2024) | HEALTH AND SAFETY (RANKING B -27/03/2023) | HUMAN RIGHTS (RANKING A -27/03/2023) | IAEG (RANKING A -27/03/2023)</t>
  </si>
  <si>
    <t>EN/AS/JISQ 9100 (DE012504-1 -22/11/2024) | HEALTH AND SAFETY (RANKING B -27/03/2023) | HUMAN RIGHTS (RANKING A -27/03/2023) | IAEG (RANKING A -27/03/2023) | ISO 14001 (DE006376-2 -04/11/2022)</t>
  </si>
  <si>
    <t>EN/AS/JISQ 9100 (DE012504-1 -22/11/2024) | HEALTH AND SAFETY (RANKING B -27/03/2023) | HUMAN RIGHTS (RANKING A -27/03/2023) | IAEG (RANKING A -27/03/2023) | ISO 14001 (DE009962-1 -04/11/2022)</t>
  </si>
  <si>
    <t>EN/AS/JISQ 9100 (AC_0090-05 -09/01/2024) | EN/AS/JISQ 9110 (AC_0091-05 -09/01/2024) | HEALTH AND SAFETY (RANKING C -09/04/2023) | HUMAN RIGHTS (RANKING A -09/04/2023) | IAEG (RANKING A -09/04/2023) | ISO 14001 (44104080116 -28/02/2024)</t>
  </si>
  <si>
    <t>EN/AS/JISQ 9100 (2016/81684.2 -29/05/2025) | EN/AS/JISQ 9110 (2019/82893.2 -20/05/2025) | HEALTH AND SAFETY (RANKING B -28/11/2023) | HUMAN RIGHTS (RANKING A -28/11/2023) | IAEG (RANKING B -28/11/2023) | ISO 14001 (2019/82898.1 -29/05/2025)</t>
  </si>
  <si>
    <t>EN/AS/JISQ 9100 (QSR-AS-035 -28/09/2022) | EORS (RANKING D -31/05/2022) | HEALTH AND SAFETY (RANKING B -05/03/2023) | HUMAN RIGHTS (RANKING A -05/03/2023) | IAEG (RANKING C -05/03/2023)</t>
  </si>
  <si>
    <t>EN/AS/JISQ 9100 (01473-2004-AQ-HOU-AN -02/12/2024) | HEALTH AND SAFETY (RANKING A -06/04/2023) | HUMAN RIGHTS (RANKING A -06/04/2023) | IAEG (RANKING A -06/04/2023)</t>
  </si>
  <si>
    <t>EN/AS/JISQ 9100 (09178-2009-AQ-HOU-AN -09/09/2024) | HEALTH AND SAFETY (RANKING A -06/04/2023) | HUMAN RIGHTS (RANKING A -06/04/2023) | IAEG (RANKING A -06/04/2023) | ISO 14001 (481 -02/05/2024)</t>
  </si>
  <si>
    <t>EN/AS/JISQ 9100 (1654 -17/05/2024) | EORS (RANKING B -06/09/2021) | HEALTH AND SAFETY (RANKING A -22/11/2024) | HUMAN RIGHTS (RANKING A -22/11/2024) | IAEG (RANKING B -22/11/2024)</t>
  </si>
  <si>
    <t>EN/AS/JISQ 9100 (8572648-REV0 -14/09/2023) | HEALTH AND SAFETY (RANKING C -21/07/2023) | HUMAN RIGHTS (RANKING A -21/07/2023) | IAEG (RANKING A -21/07/2023) | ISO 14001 (14/2021 -14/09/2022)</t>
  </si>
  <si>
    <t>EN/AS/JISQ 9100 (00022/0 -29/04/2024) | EN/AS/JISQ 9110 (00001/0 -27/10/2023) | HEALTH AND SAFETY (RANKING B -19/10/2023) | HUMAN RIGHTS (RANKING A -19/10/2023) | IAEG (RANKING B -19/10/2023) | ISO 14001 (01784/0 -02/09/2024)</t>
  </si>
  <si>
    <t>EN/AS/JISQ 9100 (130556.01 -29/03/2025) | HEALTH AND SAFETY (RANKING B -07/07/2023) | HUMAN RIGHTS (RANKING A -07/07/2023) | IAEG (RANKING B -07/07/2023) | ISO 14001 (EMS 678210 -22/05/2024)</t>
  </si>
  <si>
    <t>EN/AS/JISQ 9100 (251208-2017-AQ-GBR-A -05/07/2024) | HEALTH AND SAFETY (RANKING A -06/04/2023) | HUMAN RIGHTS (RANKING A -06/04/2023) | IAEG (RANKING A -06/04/2023) | ISO 14001 (481V8 -02/05/2024)</t>
  </si>
  <si>
    <t>EN/AS/JISQ 9100 (US-2301-07 -10/08/2024) | HEALTH AND SAFETY (RANKING B -14/04/2024) | HUMAN RIGHTS (RANKING A -14/04/2024) | IAEG (RANKING C -14/04/2024)</t>
  </si>
  <si>
    <t>EN/AS/JISQ 9100 (FM 533406 -18/01/2024) | HEALTH AND SAFETY (RANKING A -18/03/2023) | HUMAN RIGHTS (RANKING A -18/03/2023) | IAEG (RANKING C -18/03/2023)</t>
  </si>
  <si>
    <t>EN/AS/JISQ 9100 (FM 517882 -18/05/2023) | HEALTH AND SAFETY (RANKING A -18/03/2023) | HUMAN RIGHTS (RANKING A -18/03/2023) | IAEG (RANKING C -18/03/2023) | ISO 14001 (EMS519151 -19/12/2022)</t>
  </si>
  <si>
    <t>EN/AS/JISQ 9110 (FM 720451 -18/03/2025) | HEALTH AND SAFETY (RANKING A -18/03/2023) | HUMAN RIGHTS (RANKING A -18/03/2023) | IAEG (RANKING C -18/03/2023)</t>
  </si>
  <si>
    <t>EN/AS/JISQ 9100 (FM722657 -15/10/2024) | EN/AS/JISQ 9110 (FS719786 -28/02/2023) | HEALTH AND SAFETY (RANKING A -18/03/2023) | HUMAN RIGHTS (RANKING A -18/03/2023) | IAEG (RANKING C -18/03/2023) | ISO 14001 (CERT-0040630 -23/01/2016)</t>
  </si>
  <si>
    <t>EN/AS/JISQ 9100 (FM 722993 -17/05/2023) | EN/AS/JISQ 9110 (CERT-0134518 -18/02/2023) | HEALTH AND SAFETY (RANKING A -18/03/2023) | HUMAN RIGHTS (RANKING A -18/03/2023) | IAEG (RANKING C -18/03/2023)</t>
  </si>
  <si>
    <t>EN/AS/JISQ 9100 (FM 722409 -12/05/2024) | EN/AS/JISQ 9110 (FS 721693 -23/08/2022) | HEALTH AND SAFETY (RANKING A -18/03/2023) | HUMAN RIGHTS (RANKING A -18/03/2023) | IAEG (RANKING C -18/03/2023)</t>
  </si>
  <si>
    <t>EN/AS/JISQ 9100 (DE010838-1 -03/01/2024) | HEALTH AND SAFETY (RANKING A -19/06/2023) | HUMAN RIGHTS (RANKING A -19/06/2023) | IAEG (RANKING B -19/06/2023) | ISO 14001 (DE009748-1 -21/07/2022)</t>
  </si>
  <si>
    <t>EN/AS/JISQ 9100 (CERT-05885-2006-AQ-H -14/09/2024) | EORS (RANKING A -20/03/2021) | HEALTH AND SAFETY (RANKING A -27/11/2023) | HUMAN RIGHTS (RANKING A -27/11/2023) | IAEG (RANKING B -27/11/2023) | ISO 14001 (10000407370-MSC-RVA- -06/04/2024)</t>
  </si>
  <si>
    <t>EN/AS/JISQ 9100 (173289-2015-AQ-USA-A -15/09/2024) | HEALTH AND SAFETY (RANKING A -27/11/2023) | HUMAN RIGHTS (RANKING A -27/11/2023) | IAEG (RANKING B -27/11/2023) | ISO 14001 (EMS70547 -11/10/2024) | ISO 9001 (173289-2015-AQ-USA-A -15/09/2024)</t>
  </si>
  <si>
    <t>EN/AS/JISQ 9100 (173289-2015-AQ-USA-A -15/09/2024) | HEALTH AND SAFETY (RANKING A -27/11/2023) | HUMAN RIGHTS (RANKING A -27/11/2023) | IAEG (RANKING B -27/11/2023)</t>
  </si>
  <si>
    <t>EN/AS/JISQ 9100 (173289-2015-AQ-USA-A -15/09/2024) | HEALTH AND SAFETY (RANKING A -27/11/2023) | HUMAN RIGHTS (RANKING A -27/11/2023) | IAEG (RANKING B -27/11/2023) | ISO 9001 (173289-2015-AQ-USA-A -15/09/2024)</t>
  </si>
  <si>
    <t>EN/AS/JISQ 9100 (CERT-05885-2006-AQ-H -14/09/2024) | HEALTH AND SAFETY (RANKING A -27/11/2023) | HUMAN RIGHTS (RANKING A -27/11/2023) | IAEG (RANKING B -27/11/2023)</t>
  </si>
  <si>
    <t>EN/AS/JISQ 9100 (CERT-05885-2006-AQ-H -14/09/2024) | EORS (RANKING A -20/03/2021) | HEALTH AND SAFETY (RANKING A -27/11/2023) | HUMAN RIGHTS (RANKING A -27/11/2023) | IAEG (RANKING B -27/11/2023)</t>
  </si>
  <si>
    <t>EN/AS/JISQ 9110 (9585267-REV0 -31/05/2024) | HEALTH AND SAFETY (RANKING C -21/07/2023) | HUMAN RIGHTS (RANKING A -21/07/2023) | IAEG (RANKING A -21/07/2023)</t>
  </si>
  <si>
    <t>EN/AS/JISQ 9100 (10166498-REV1 -31/08/2024) | HEALTH AND SAFETY (RANKING C -21/07/2023) | HUMAN RIGHTS (RANKING A -21/07/2023) | IAEG (RANKING A -21/07/2023) | ISO 14001 (DDD 20-2019/10 -09/10/2022)</t>
  </si>
  <si>
    <t>EN/AS/JISQ 9100 (13278577-REV1 -17/03/2025) | EORS (RANKING D -24/11/2020) | HEALTH AND SAFETY (RANKING A -14/10/2023) | HUMAN RIGHTS (RANKING A -14/10/2023) | IAEG (RANKING C -14/10/2023)</t>
  </si>
  <si>
    <t>EN/AS/JISQ 9100 (10166498-REV1 -31/08/2024) | EN/AS/JISQ 9110 (10166498-REV0 -31/08/2024) | HEALTH AND SAFETY (RANKING C -21/07/2023) | HUMAN RIGHTS (RANKING A -21/07/2023) | IAEG (RANKING A -21/07/2023) | ISO 14001 (DSSE 59-2021 -19/07/2023)</t>
  </si>
  <si>
    <t>EN/AS/JISQ 9100 (10166498-REV1 -31/08/2024) | EN/AS/JISQ 9110 (10166498-REV0 -31/08/2024) | HEALTH AND SAFETY (RANKING C -21/07/2023) | HUMAN RIGHTS (RANKING A -21/07/2023) | IAEG (RANKING A -21/07/2023) | ISO 9001 (FR064547-1 -31/08/2024)</t>
  </si>
  <si>
    <t>EN/AS/JISQ 9120 (FS722410 -19/10/2023) | HEALTH AND SAFETY (RANKING A -18/03/2023) | HUMAN RIGHTS (RANKING A -18/03/2023) | IAEG (RANKING C -18/03/2023)</t>
  </si>
  <si>
    <t>EN/AS/JISQ 9100 (2010/36789.13 -29/07/2024) | HEALTH AND SAFETY (RANKING B -05/10/2023) | HUMAN RIGHTS (RANKING A -05/10/2023) | IAEG (RANKING A -05/10/2023) | ISO 14001 (2010/36790.6 -29/07/2024)</t>
  </si>
  <si>
    <t>EN/AS/JISQ 9100 (159354-2014-AQ-GER-D -07/11/2022) | HEALTH AND SAFETY (RANKING A -02/09/2023) | HUMAN RIGHTS (RANKING A -02/09/2023) | IAEG (RANKING B -02/09/2023)</t>
  </si>
  <si>
    <t>EN/AS/JISQ 9100 (11808693 -REV0 -10/01/2025) | EN/AS/JISQ 9110 (11808693 -REV0 -10/01/2025) | EORS (RANKING B -22/10/2017) | HEALTH AND SAFETY (RANKING B -02/04/2024) | HUMAN RIGHTS (RANKING B -02/04/2024) | IAEG (RANKING D -02/04/2024)</t>
  </si>
  <si>
    <t>EN/AS/JISQ 9100 (FM 724272 -12/03/2024) | EORS (RANKING C -22/09/2017) | HEALTH AND SAFETY (RANKING A -29/11/2023) | HUMAN RIGHTS (RANKING A -29/11/2023) | IAEG (RANKING B -29/11/2023) | ISO 14001 (51981025/2 -10/12/2024)</t>
  </si>
  <si>
    <t>EN/AS/JISQ 9100 (10466703-REV1 -09/09/2024) | HEALTH AND SAFETY (RANKING C -21/07/2023) | HUMAN RIGHTS (RANKING A -21/07/2023) | IAEG (RANKING A -21/07/2023) | ISO 14001 (22-2019/09 -11/09/2022)</t>
  </si>
  <si>
    <t>EN/AS/JISQ 9100 (10466703-REV1 -09/09/2024) | HEALTH AND SAFETY (RANKING C -21/07/2023) | HUMAN RIGHTS (RANKING A -21/07/2023) | IAEG (RANKING A -21/07/2023) | ISO 14001 (14-2019/09 -11/09/2022)</t>
  </si>
  <si>
    <t>EN/AS/JISQ 9100 (10466703-REV1 -09/09/2024) | HEALTH AND SAFETY (RANKING C -21/07/2023) | HUMAN RIGHTS (RANKING A -21/07/2023) | IAEG (RANKING A -21/07/2023)</t>
  </si>
  <si>
    <t>EN/AS/JISQ 9100 (C0323188-AS6 -19/06/2023) | EORS (RANKING B -23/11/2021) | HEALTH AND SAFETY (RANKING B -17/12/2023) | HUMAN RIGHTS (RANKING A -17/12/2023) | IAEG (RANKING C -17/12/2023)</t>
  </si>
  <si>
    <t>EN/AS/JISQ 9100 (FM 69245 -29/10/2024) | HEALTH AND SAFETY (RANKING B -17/12/2023) | HUMAN RIGHTS (RANKING A -17/12/2023) | IAEG (RANKING C -17/12/2023)</t>
  </si>
  <si>
    <t>EN/AS/JISQ 9100 (C0323185-AS6 -19/06/2023) | EORS (RANKING B -23/11/2021) | HEALTH AND SAFETY (RANKING B -17/12/2023) | HUMAN RIGHTS (RANKING A -17/12/2023) | IAEG (RANKING C -17/12/2023)</t>
  </si>
  <si>
    <t>EN/AS/JISQ 9100 (FS 723775-1 -09/05/2025) | EN/AS/JISQ 9110 (FS 723775-2 -09/05/2025) | HEALTH AND SAFETY (RANKING A -18/03/2023) | HUMAN RIGHTS (RANKING A -18/03/2023) | IAEG (RANKING C -18/03/2023) | ISO 14001 (DE010377-1 -20/12/2022)</t>
  </si>
  <si>
    <t>EN/AS/JISQ 9110 (C0028300-AS16 -25/01/2025) | HEALTH AND SAFETY (RANKING A -29/11/2023) | HUMAN RIGHTS (RANKING A -29/11/2023) | IAEG (RANKING B -29/11/2023)</t>
  </si>
  <si>
    <t>EN/AS/JISQ 9100 (US015988 -16/10/2024) | HEALTH AND SAFETY (RANKING B -15/08/2023) | HUMAN RIGHTS (RANKING A -15/08/2023) | IAEG (RANKING B -15/08/2023)</t>
  </si>
  <si>
    <t>EN/AS/JISQ 9100 (10676559 -12/12/2024) | HEALTH AND SAFETY (RANKING B -15/08/2023) | HUMAN RIGHTS (RANKING A -15/08/2023) | IAEG (RANKING B -15/08/2023) | ISO 14001 (172931-2015-AE-USA-A -19/10/2024)</t>
  </si>
  <si>
    <t>EN/AS/JISQ 9100 (28246.5 -24/01/2025) | EORS (RANKING A -25/03/2024) | HEALTH AND SAFETY (RANKING A -25/03/2024) | HUMAN RIGHTS (RANKING A -25/03/2024) | IAEG (RANKING A -25/03/2024) | ISO 9001 (1998/10337.7 -24/01/2025)</t>
  </si>
  <si>
    <t>EN/AS/JISQ 9100 (209975-2016-AQ-FRA-A -23/07/2024) | HEALTH AND SAFETY (RANKING A -06/04/2023) | HUMAN RIGHTS (RANKING A -06/04/2023) | IAEG (RANKING A -06/04/2023) | ISO 14001 (481 -02/11/2021)</t>
  </si>
  <si>
    <t>EN/AS/JISQ 9100 (FM 22822 -16/03/2024) | HEALTH AND SAFETY (RANKING B -31/07/2023) | HUMAN RIGHTS (RANKING A -31/07/2023) | IAEG (RANKING B -31/07/2023) | ISO 9001 (FM 22822 -16/03/2024)</t>
  </si>
  <si>
    <t>EN/AS/JISQ 9100 (FM 723768 -24/05/2025) | HEALTH AND SAFETY (RANKING A -18/03/2023) | HUMAN RIGHTS (RANKING A -18/03/2023) | IAEG (RANKING C -18/03/2023)</t>
  </si>
  <si>
    <t>EN/AS/JISQ 9100 (FM 748860 -17/02/2025) | HEALTH AND SAFETY (RANKING A -18/03/2023) | HUMAN RIGHTS (RANKING A -18/03/2023) | IAEG (RANKING C -18/03/2023) | ISO 9001 (48484 -28/02/2024)</t>
  </si>
  <si>
    <t>EN/AS/JISQ 9100 (FM 523582 -07/05/2024) | EN/AS/JISQ 9110 (FM 640565 -03/04/2023) | HEALTH AND SAFETY (RANKING A -18/03/2023) | HUMAN RIGHTS (RANKING A -18/03/2023) | IAEG (RANKING C -18/03/2023)</t>
  </si>
  <si>
    <t>EN/AS/JISQ 9100 (FM 517880 -09/06/2023) | HEALTH AND SAFETY (RANKING A -18/03/2023) | HUMAN RIGHTS (RANKING A -18/03/2023) | IAEG (RANKING C -18/03/2023) | ISO 9001 (FM 517880 -09/06/2023)</t>
  </si>
  <si>
    <t>EN/AS/JISQ 9100 (10262595-REV0 -24/06/2024) | HEALTH AND SAFETY (RANKING C -21/07/2023) | HUMAN RIGHTS (RANKING A -21/07/2023) | IAEG (RANKING A -21/07/2023)</t>
  </si>
  <si>
    <t>EN/AS/JISQ 9100 (FM 29082-1 -26/01/2023) | HEALTH AND SAFETY (RANKING A -29/11/2023) | HUMAN RIGHTS (RANKING A -29/11/2023) | IAEG (RANKING B -29/11/2023)</t>
  </si>
  <si>
    <t>EN/AS/JISQ 9100 (FM 517474 -03/10/2024) | HEALTH AND SAFETY (RANKING A -18/03/2023) | HUMAN RIGHTS (RANKING A -18/03/2023) | IAEG (RANKING C -18/03/2023)</t>
  </si>
  <si>
    <t>EN/AS/JISQ 9100 (AS/142/16/S -05/12/2022) | HEALTH AND SAFETY (RANKING A -14/07/2023) | HUMAN RIGHTS (RANKING A -14/07/2023) | IAEG (RANKING A -14/07/2023) | ISO 14001 (EMS-6568/S -04/12/2022)</t>
  </si>
  <si>
    <t>EN/AS/JISQ 9100 (UK012446 -18/10/2024) | EORS (RANKING D -03/04/2022) | HEALTH AND SAFETY (RANKING B -06/05/2025) | HUMAN RIGHTS (RANKING A -06/05/2025) | IAEG (RANKING D -06/05/2025)</t>
  </si>
  <si>
    <t>EN/AS/JISQ 9100 (AC_0216-02 -21/05/2025) | EORS (RANKING D -22/08/2020) | HEALTH AND SAFETY (RANKING A -22/12/2023) | HUMAN RIGHTS (RANKING A -22/12/2023) | IAEG (RANKING C -22/12/2023)</t>
  </si>
  <si>
    <t>EN/AS/JISQ 9100 (FM 69245 -29/10/2024) | EORS (RANKING B -23/11/2021) | HEALTH AND SAFETY (RANKING B -17/12/2023) | HUMAN RIGHTS (RANKING A -17/12/2023) | IAEG (RANKING C -17/12/2023)</t>
  </si>
  <si>
    <t>EN/AS/JISQ 9110 (10541262-REV0 -14/09/2024) | HEALTH AND SAFETY (RANKING C -21/07/2023) | HUMAN RIGHTS (RANKING A -21/07/2023) | IAEG (RANKING A -21/07/2023)</t>
  </si>
  <si>
    <t>EN/AS/JISQ 9100 (9348145-REV0 -17/06/2023) | HEALTH AND SAFETY (RANKING A -07/02/2025) | HUMAN RIGHTS (RANKING A -07/02/2025) | IAEG (RANKING A -07/02/2025) | ISO 14001 (BE010390 -09/07/2023)</t>
  </si>
  <si>
    <t>EN/AS/JISQ 9100 (2012/51513.6 -04/10/2024) | HEALTH AND SAFETY (RANKING C -21/07/2023) | HUMAN RIGHTS (RANKING A -21/07/2023) | IAEG (RANKING A -21/07/2023) | ISO 9001 (2012/43161.5 -04/10/2024) | OTHERS (DDD 38-2019-10 -15/05/2023)</t>
  </si>
  <si>
    <t>EN/AS/JISQ 9100 (9396-2004-AQ-HOU-ANA -08/08/2022) | HEALTH AND SAFETY (RANKING A -06/04/2023) | HUMAN RIGHTS (RANKING A -06/04/2023) | IAEG (RANKING A -06/04/2023) | ISO 14001 (481 -02/05/2024)</t>
  </si>
  <si>
    <t>EN/AS/JISQ 9100 (86539.3 -22/08/2024) | HEALTH AND SAFETY (RANKING C -21/07/2023) | HUMAN RIGHTS (RANKING A -21/07/2023) | IAEG (RANKING A -21/07/2023) | ISO 9001 (N° 2010/86538.3 -22/08/2024) | OTHERS (DSSE 48-2022-02 -15/05/2023)</t>
  </si>
  <si>
    <t>EN/AS/JISQ 9100 (55667.8 -28/02/2023) | HEALTH AND SAFETY (RANKING C -21/07/2023) | HUMAN RIGHTS (RANKING A -21/07/2023) | IAEG (RANKING A -21/07/2023) | OTHERS (DDD 07-2019/02 -28/02/2022)</t>
  </si>
  <si>
    <t>EN/AS/JISQ 9100 (GB18/962462 -08/11/2022) | EN/AS/JISQ 9110 (GB18/962463 -08/11/2022) | EORS (RANKING D -23/08/2020) | HEALTH AND SAFETY (RANKING A -23/11/2024) | HUMAN RIGHTS (RANKING A -23/11/2024) | IAEG (RANKING A -23/11/2024)</t>
  </si>
  <si>
    <t>EN/AS/JISQ 9100 (09180-2006-AQ-HOU-AN -20/09/2024) | HEALTH AND SAFETY (RANKING A -23/11/2024) | HUMAN RIGHTS (RANKING A -23/11/2024) | IAEG (RANKING A -23/11/2024)</t>
  </si>
  <si>
    <t>EN/AS/JISQ 9100 (FR072297-1 -16/01/2025) | HEALTH AND SAFETY (RANKING D -14/12/2023) | HUMAN RIGHTS (RANKING A -14/12/2023) | IAEG (RANKING A -14/12/2023) | ISO 14001 (LRQA 10415784 -11/01/2025)</t>
  </si>
  <si>
    <t>EN/AS/JISQ 9100 (10318907 -31/12/2023) | EORS (RANKING A -13/12/2023) | HEALTH AND SAFETY (RANKING D -14/12/2023) | HUMAN RIGHTS (RANKING A -14/12/2023) | IAEG (RANKING A -14/12/2023) | ISO 14001 (10415783 -11/01/2025) | ISO 9001 (ISO 9001 – 0031308 -31/12/2023)</t>
  </si>
  <si>
    <t>EN/AS/JISQ 9100 (FS 681590 -24/05/2025) | HEALTH AND SAFETY (RANKING A -05/10/2023) | HUMAN RIGHTS (RANKING B -05/10/2023) | IAEG (RANKING B -05/10/2023) | ISO 14001 (EMS 76060 -07/02/2022)</t>
  </si>
  <si>
    <t>EN/AS/JISQ 9100 (76895.5 -16/04/2025) | EORS (RANKING A -25/10/2021) | HEALTH AND SAFETY (RANKING A -29/11/2023) | HUMAN RIGHTS (RANKING A -29/11/2023) | IAEG (RANKING B -29/11/2023) | ISO 14001 (2018/80753.2 -30/12/2023) | ISO 9001 (2017/76896.3 -16/04/2022)</t>
  </si>
  <si>
    <t>EN/AS/JISQ 9100 (FS 584680 -27/03/2025) | HEALTH AND SAFETY (RANKING A -29/11/2023) | HUMAN RIGHTS (RANKING A -29/11/2023) | IAEG (RANKING B -29/11/2023)</t>
  </si>
  <si>
    <t>EN/AS/JISQ 9100 (10000324108-MSC-ACCR -30/04/2025) | HEALTH AND SAFETY (RANKING A -06/04/2023) | HUMAN RIGHTS (RANKING A -06/04/2023) | IAEG (RANKING A -06/04/2023) | ISO 14001 (481 -02/05/2024)</t>
  </si>
  <si>
    <t>EN/AS/JISQ 9100 (FM 523143 -09/10/2024) | HEALTH AND SAFETY (RANKING A -18/03/2023) | HUMAN RIGHTS (RANKING A -18/03/2023) | IAEG (RANKING C -18/03/2023) | ISO 14001 (EMS 519147 -21/07/2023)</t>
  </si>
  <si>
    <t>EN/AS/JISQ 9100 (10263/3 -16/03/2025) | HEALTH AND SAFETY (RANKING A -04/02/2025) | HUMAN RIGHTS (RANKING A -04/02/2025) | IAEG (RANKING C -04/02/2025)</t>
  </si>
  <si>
    <t>EN/AS/JISQ 9100 (DE007790-1 -22/11/2024) | HEALTH AND SAFETY (RANKING B -27/03/2023) | HUMAN RIGHTS (RANKING A -27/03/2023) | IAEG (RANKING A -27/03/2023) | ISO 14001 (DE006376-2 -24/11/2022)</t>
  </si>
  <si>
    <t>EN/AS/JISQ 9100 (159325-2014-AQ-GER-D -26/06/2024) | EORS (RANKING A -24/05/2022) | HEALTH AND SAFETY (RANKING B -17/12/2023) | HUMAN RIGHTS (RANKING A -17/12/2023) | IAEG (RANKING A -17/12/2023) | ISO 14001 (18012007LIEB00 -17/01/2025)</t>
  </si>
  <si>
    <t>EN/AS/JISQ 9100 (FM 723557 -19/07/2023) | HEALTH AND SAFETY (RANKING A -18/03/2023) | HUMAN RIGHTS (RANKING A -18/03/2023) | IAEG (RANKING C -18/03/2023) | ISO 14001 (07 104 980284-051 -15/12/2021) | ISO 9001 (FM 723557 -19/07/2023)</t>
  </si>
  <si>
    <t>EN/AS/JISQ 9100 (10466703-REV1 -09/09/2024) | HEALTH AND SAFETY (RANKING C -21/07/2023) | HUMAN RIGHTS (RANKING A -21/07/2023) | IAEG (RANKING A -21/07/2023) | OTHERS (DMS 89136 -16/11/2022)</t>
  </si>
  <si>
    <t>EN/AS/JISQ 9100 (2021/02-15.2 -03/04/2024) | HEALTH AND SAFETY (RANKING D -01/07/2023) | HUMAN RIGHTS (RANKING D -01/07/2023) | IAEG (RANKING D -01/07/2023) | ISO 14001 (29-09-099 -09/09/2023) | ISO 9001 (2021/02-14.2 -03/04/2024)</t>
  </si>
  <si>
    <t>EN/AS/JISQ 9100 (FM 516976 -04/08/2022) | HEALTH AND SAFETY (RANKING A -18/03/2023) | HUMAN RIGHTS (RANKING A -18/03/2023) | IAEG (RANKING C -18/03/2023)</t>
  </si>
  <si>
    <t>EN/AS/JISQ 9100 (8Z903-AS23 -20/12/2023) | EN/AS/JISQ 9110 (8Z903-AS22 -20/12/2023) | EORS (RANKING B -13/08/2024) | HEALTH AND SAFETY (RANKING A -12/08/2024) | HUMAN RIGHTS (RANKING A -12/08/2024) | IAEG (RANKING B -12/08/2024) | ISO 14001 (10137514 -31/12/2022)</t>
  </si>
  <si>
    <t>EN/AS/JISQ 9100 (1147 -06/01/2025) | HEALTH AND SAFETY (RANKING C -21/07/2023) | HUMAN RIGHTS (RANKING A -21/07/2023) | IAEG (RANKING A -21/07/2023)</t>
  </si>
  <si>
    <t>EN/AS/JISQ 9100 (UK1092016-1 -13/11/2022) | HEALTH AND SAFETY (RANKING C -21/07/2023) | HUMAN RIGHTS (RANKING A -21/07/2023) | IAEG (RANKING A -21/07/2023) | ISO 14001 (GB/WW 224525 -07/05/2024)</t>
  </si>
  <si>
    <t>EN/AS/JISQ 9110 (FM 523573 -26/04/2024) | EN/AS/JISQ 9120 (FM 523487 -05/01/2024) | HEALTH AND SAFETY (RANKING A -18/03/2023) | HUMAN RIGHTS (RANKING A -18/03/2023) | IAEG (RANKING C -18/03/2023)</t>
  </si>
  <si>
    <t>EN/AS/JISQ 9100 (FM 29082-1 -26/01/2023) | EN/AS/JISQ 9110 (FM 29082-2 -26/01/2023) | EORS (RANKING A -10/09/2022) | HEALTH AND SAFETY (RANKING A -29/11/2023) | HUMAN RIGHTS (RANKING A -29/11/2023) | IAEG (RANKING B -29/11/2023) | ISO 14001 (EMS62048 -11/02/2022)</t>
  </si>
  <si>
    <t>EN/AS/JISQ 9100 (ES112931-2 -21/11/2023) | EN/AS/JISQ 9110 (ES112925-1 -21/11/2023) | EN/AS/JISQ 9120 (ES112928-2 -21/11/2023) | HEALTH AND SAFETY (RANKING A -14/02/2023) | HUMAN RIGHTS (RANKING A -14/02/2023) | IAEG (RANKING A -14/02/2023) | ISO 14001 (ES112443 -03/10/2023)</t>
  </si>
  <si>
    <t>EN/AS/JISQ 9100 (881015019/3 -14/10/2024) | EORS (RANKING C -16/01/2020) | HEALTH AND SAFETY (RANKING B -07/12/2024) | HUMAN RIGHTS (RANKING A -07/12/2024) | IAEG (RANKING B -07/12/2024)</t>
  </si>
  <si>
    <t>EN/AS/JISQ 9100 (15.029.4 -08/01/2024) | HEALTH AND SAFETY (RANKING C -21/07/2023) | HUMAN RIGHTS (RANKING A -21/07/2023) | IAEG (RANKING A -21/07/2023)</t>
  </si>
  <si>
    <t>EN/AS/JISQ 9100 (FS 591578 -04/05/2024) | EORS (RANKING A -08/03/2023) | HEALTH AND SAFETY (RANKING A -29/11/2023) | HUMAN RIGHTS (RANKING A -29/11/2023) | IAEG (RANKING B -29/11/2023) | ISO 14001 (51981028 -07/03/2025)</t>
  </si>
  <si>
    <t>EN/AS/JISQ 9100 (US013664-1 -09/09/2022) | HEALTH AND SAFETY (RANKING B -15/08/2023) | HUMAN RIGHTS (RANKING A -15/08/2023) | IAEG (RANKING B -15/08/2023) | ISO 14001 (175144-2015 -10/03/2021)</t>
  </si>
  <si>
    <t>EN/AS/JISQ 9110 (FS 561149 -11/11/2022) | HEALTH AND SAFETY (RANKING A -18/03/2023) | HUMAN RIGHTS (RANKING A -18/03/2023) | IAEG (RANKING C -18/03/2023)</t>
  </si>
  <si>
    <t>EN/AS/JISQ 9100 (190089-2015-AQ-FRA-A -17/11/2024) | EN/AS/JISQ 9110 (190089-2015-AQ-FRA-A -16/11/2024) | ISO 14001 (175451-2015-AE-FRA-C -18/11/2022) | OTHERS (15759201797 -28/02/2023)</t>
  </si>
  <si>
    <t>EN/AS/JISQ 9100 (0020269 -17/09/2023) | HEALTH AND SAFETY (RANKING C -21/07/2023) | HUMAN RIGHTS (RANKING A -21/07/2023) | IAEG (RANKING A -21/07/2023)</t>
  </si>
  <si>
    <t>EN/AS/JISQ 9100 (2013/72699.4 -24/10/2022) | EORS (RANKING A -26/04/2022) | HEALTH AND SAFETY (RANKING A -29/11/2023) | HUMAN RIGHTS (RANKING A -29/11/2023) | IAEG (RANKING B -29/11/2023) | ISO 14001 (2007/30327.4 -25/10/2022) | ISO 9001 (2016/72998.2 -25/10/2022) | OTHERS (2016/72999.2 -14/10/2022)</t>
  </si>
  <si>
    <t>EN/AS/JISQ 9100 (42148.8 -15/12/2023) | HEALTH AND SAFETY (RANKING C -21/07/2023) | HUMAN RIGHTS (RANKING A -21/07/2023) | IAEG (RANKING A -21/07/2023)</t>
  </si>
  <si>
    <t>EN/AS/JISQ 9110 (10390413 -12/09/2024) | HEALTH AND SAFETY (RANKING D -14/12/2023) | HUMAN RIGHTS (RANKING A -14/12/2023) | IAEG (RANKING A -14/12/2023)</t>
  </si>
  <si>
    <t>EN/AS/JISQ 9100 (US012643-1 -22/02/2024) | HEALTH AND SAFETY (RANKING B -15/08/2023) | HUMAN RIGHTS (RANKING A -15/08/2023) | IAEG (RANKING B -15/08/2023) | ISO 14001 (172138-2015-AE-USA-A -11/11/2022)</t>
  </si>
  <si>
    <t>EN/AS/JISQ 9100 (C0358065-AS3 -24/05/2024) | EORS (RANKING D -07/10/2017) | HEALTH AND SAFETY (RANKING B -17/12/2023) | HUMAN RIGHTS (RANKING A -17/12/2023) | IAEG (RANKING C -17/12/2023)</t>
  </si>
  <si>
    <t>EN/AS/JISQ 9100 (10414412 -20/12/2024) | HEALTH AND SAFETY (RANKING D -14/12/2023) | HUMAN RIGHTS (RANKING A -14/12/2023) | IAEG (RANKING A -14/12/2023) | ISO 14001 (10403121 -13/12/2024) | ISO 9001 (10414413 -20/12/2024)</t>
  </si>
  <si>
    <t>EN/AS/JISQ 9100 (9330332-REV0 -03/01/2024) | HEALTH AND SAFETY (RANKING C -21/07/2023) | HUMAN RIGHTS (RANKING A -21/07/2023) | IAEG (RANKING A -21/07/2023) | ISO 14001 (DDD 02-2021/02 -18/05/2022)</t>
  </si>
  <si>
    <t>HEALTH AND SAFETY (RANKING A -14/07/2023) | HUMAN RIGHTS (RANKING A -14/07/2023) | IAEG (RANKING A -14/07/2023)</t>
  </si>
  <si>
    <t>EN/AS/JISQ 9110 (FS 561152 -08/12/2022) | HEALTH AND SAFETY (RANKING A -18/03/2023) | HUMAN RIGHTS (RANKING A -18/03/2023) | IAEG (RANKING C -18/03/2023)</t>
  </si>
  <si>
    <t>EN/AS/JISQ 9100 (394460 AS0018D -14/11/2022) | HEALTH AND SAFETY (RANKING B -27/03/2023) | HUMAN RIGHTS (RANKING A -27/03/2023) | IAEG (RANKING A -27/03/2023) | ISO 14001 (394460 UM15 -22/11/2023)</t>
  </si>
  <si>
    <t>EN/AS/JISQ 9100 (FM 721760 -22/05/2023) | HEALTH AND SAFETY (RANKING A -18/03/2023) | HUMAN RIGHTS (RANKING A -18/03/2023) | IAEG (RANKING C -18/03/2023)</t>
  </si>
  <si>
    <t>HEALTH AND SAFETY (RANKING A -27/11/2023) | HUMAN RIGHTS (RANKING A -27/11/2023) | IAEG (RANKING B -27/11/2023)</t>
  </si>
  <si>
    <t>EN/AS/JISQ 9110 (FS 561158 -17/12/2022) | HEALTH AND SAFETY (RANKING A -18/03/2023) | HUMAN RIGHTS (RANKING A -18/03/2023) | IAEG (RANKING C -18/03/2023)</t>
  </si>
  <si>
    <t>EN/AS/JISQ 9110 (FS 724221 -22/08/2023) | HEALTH AND SAFETY (RANKING A -18/03/2023) | HUMAN RIGHTS (RANKING A -18/03/2023) | IAEG (RANKING C -18/03/2023)</t>
  </si>
  <si>
    <t>EN/AS/JISQ 9100 (FM 723099 -29/03/2023) | HEALTH AND SAFETY (RANKING A -18/03/2023) | HUMAN RIGHTS (RANKING A -18/03/2023) | IAEG (RANKING C -18/03/2023)</t>
  </si>
  <si>
    <t>EN/AS/JISQ 9100 (DE012504-1 -22/11/2024) | HEALTH AND SAFETY (RANKING B -27/03/2023) | HUMAN RIGHTS (RANKING A -27/03/2023) | IAEG (RANKING A -27/03/2023)</t>
  </si>
  <si>
    <t>EN/AS/JISQ 9100 (15768 -17/10/2024) | HEALTH AND SAFETY (RANKING A -16/12/2023) | HUMAN RIGHTS (RANKING A -16/12/2023) | IAEG (RANKING B -16/12/2023)</t>
  </si>
  <si>
    <t>EN/AS/JISQ 9100 (FM 587689 -27/10/2022) | HEALTH AND SAFETY (RANKING A -18/03/2023) | HUMAN RIGHTS (RANKING A -18/03/2023) | IAEG (RANKING C -18/03/2023)</t>
  </si>
  <si>
    <t>EN/AS/JISQ 9110 (FM 662707 -02/03/2023) | HEALTH AND SAFETY (RANKING A -18/03/2023) | HUMAN RIGHTS (RANKING A -18/03/2023) | IAEG (RANKING C -18/03/2023)</t>
  </si>
  <si>
    <t>EN/AS/JISQ 9100 (7255486-REV0 -18/09/2022) | HEALTH AND SAFETY (RANKING C -21/07/2023) | HUMAN RIGHTS (RANKING A -21/07/2023) | IAEG (RANKING A -21/07/2023)</t>
  </si>
  <si>
    <t>EN/AS/JISQ 9110 (141583-2013-AQ-SGP-A -04/09/2022) | HEALTH AND SAFETY (RANKING C -21/07/2023) | HUMAN RIGHTS (RANKING A -21/07/2023) | IAEG (RANKING A -21/07/2023)</t>
  </si>
  <si>
    <t>EN/AS/JISQ 9100 (FM 523536-2 -03/06/2022) | EN/AS/JISQ 9110 (FM 523536-1 -03/06/2025) | HEALTH AND SAFETY (RANKING A -18/03/2023) | HUMAN RIGHTS (RANKING A -18/03/2023) | IAEG (RANKING C -18/03/2023)</t>
  </si>
  <si>
    <t>EN/AS/JISQ 9100 (12206157-REV0 -08/02/2025) | EORS (RANKING D -31/08/2022) | HEALTH AND SAFETY (RANKING B -05/08/2024) | HUMAN RIGHTS (RANKING A -05/08/2024) | IAEG (RANKING D -05/08/2024) | ISO 9001:2000 (FR042206-1 -08/02/2022)</t>
  </si>
  <si>
    <t>ASA-100 (82111008-2 -20/10/2017) | EN/AS/JISQ 9110 (SASA-004-01-20-1 -19/01/2023) | EN/AS/JISQ 9120 (C2016-01014 -14/09/2018) | HEALTH AND SAFETY (RANKING C -21/07/2023) | HUMAN RIGHTS (RANKING A -21/07/2023) | IAEG (RANKING A -21/07/2023)</t>
  </si>
  <si>
    <t>EN/AS/JISQ 9100 (0033371 -05/12/2022) | EORS (RANKING A -26/03/2022) | HEALTH AND SAFETY (RANKING B -15/08/2023) | HUMAN RIGHTS (RANKING A -15/08/2023) | IAEG (RANKING B -15/08/2023) | ISO 14001 (207668-2016-AE-FRA-C -30/06/2024)</t>
  </si>
  <si>
    <t>EN/AS/JISQ 9100 (FM713739 -25/03/2025) | EN/AS/JISQ 9110 (FS 697932 -17/10/2022) | HEALTH AND SAFETY (RANKING A -18/03/2023) | HUMAN RIGHTS (RANKING A -18/03/2023) | IAEG (RANKING C -18/03/2023)</t>
  </si>
  <si>
    <t>EN/AS/JISQ 9110 (FS 585080-1 -10/02/2025) | EN/AS/JISQ 9120 (FS 585080-2 -10/02/2025) | HEALTH AND SAFETY (RANKING A -29/11/2023) | HUMAN RIGHTS (RANKING A -29/11/2023) | IAEG (RANKING B -29/11/2023)</t>
  </si>
  <si>
    <t>EN/AS/JISQ 9110 (32252-2008-AQ-SGP-AN -25/06/2023) | HEALTH AND SAFETY (RANKING B -14/04/2024) | HUMAN RIGHTS (RANKING A -14/04/2024) | IAEG (RANKING C -14/04/2024)</t>
  </si>
  <si>
    <t>EN/AS/JISQ 9100 (10397488 -22/10/2024) | HEALTH AND SAFETY (RANKING D -14/12/2023) | HUMAN RIGHTS (RANKING A -14/12/2023) | IAEG (RANKING A -14/12/2023)</t>
  </si>
  <si>
    <t>EN/AS/JISQ 9110 (FM 544302 -19/06/2024) | HEALTH AND SAFETY (RANKING A -18/03/2023) | HUMAN RIGHTS (RANKING A -18/03/2023) | IAEG (RANKING C -18/03/2023)</t>
  </si>
  <si>
    <t>EN/AS/JISQ 9100 (880317020/2 -29/03/2023) | EORS (RANKING B -21/03/2024) | HEALTH AND SAFETY (RANKING A -15/03/2024) | HUMAN RIGHTS (RANKING A -15/03/2024) | IAEG (RANKING B -15/03/2024)</t>
  </si>
  <si>
    <t>EN/AS/JISQ 9110 (13935 -21/04/2023) | HEALTH AND SAFETY (RANKING B -14/04/2024) | HUMAN RIGHTS (RANKING A -14/04/2024) | IAEG (RANKING C -14/04/2024)</t>
  </si>
  <si>
    <t>HEALTH AND SAFETY (RANKING C -21/07/2023) | HUMAN RIGHTS (RANKING A -21/07/2023) | IAEG (RANKING A -21/07/2023) | ISO 9001 (ZASL-003-05-19-2 -09/05/2025)</t>
  </si>
  <si>
    <t>EN/AS/JISQ 9110 (16016ASM001 -11/12/2023) | HEALTH AND SAFETY (RANKING B -14/04/2024) | HUMAN RIGHTS (RANKING A -14/04/2024) | IAEG (RANKING C -14/04/2024)</t>
  </si>
  <si>
    <t>EN/AS/JISQ 9110 (EE005962 -22/02/2025) | HEALTH AND SAFETY (RANKING B -28/10/2023) | HUMAN RIGHTS (RANKING A -28/10/2023) | IAEG (RANKING C -28/10/2023)</t>
  </si>
  <si>
    <t>EN/AS/JISQ 9100 (10262595-REV0 -24/06/2024) | EN/AS/JISQ 9110 (FR065483-1 -24/06/2024) | HEALTH AND SAFETY (RANKING C -21/07/2023) | HUMAN RIGHTS (RANKING A -21/07/2023) | IAEG (RANKING A -21/07/2023)</t>
  </si>
  <si>
    <t>Group Scope (AS9110)
	Manufacture of wiring harnesses, electrical components, actuators, pyrometers, motors, regulators, oxygen / safety equipment, electrical wound components. Supply management of components. General machining, fabrication, and assembly of components. Special purpose coatings &amp; finishes, balancing, plating and associated processes. Non-Destructive testing (NDT), general assembly, repair, supply and calibration of tensiometers. Supply &amp; Refurbishment of First aid &amp; Medical kit and equipment. Balancing and impregnation. Design &amp; Development of repair schemes for ME rotors, main rotors, stators, armatures, field frames and diode packs. Repair, test and overhaul of aircraft mechanical, electrical and electrical wound components. Clean, Flush, Test, Repair and Overhaul of Heat Exchangers.
Maintenance, repair, overhaul, and test of mechanical, electrical, pneumatic, and hydraulic components, flying controls and landing gear. Non-destructive testing (NDT), Repair, supply, and calibration of tensiometers. Clean, Flush, Test, Repair and Overhaul of Heat Exchangers. Supply &amp; Refurbishment of First Aid and Medical kits, including First Response Equipment in accordance with the listing in the MHRA Wholesale Distribution Authorisation 32606
Stansted Site Scope (AS9110)
	Maintenance repair, overhaul and test of mechanical, electrical. Electronic, instrument, oxygen, fire suppression, inflatable inc. rats, slides and vests, pressure vessels, pneumatic, pyrometers, heating and flying controls. General machining, fabrication , assembly, special purpose coatings and finishes, balancing, plating and associated processes. 
Ramsgate Site Scope (AS9110)
	Maintenance, repair, overhaul, and test of mechanical, electrical, pneumatic, and hydraulic components, flying controls and landing gear. General assembly, machining and  fabrication. Special purpose coatings and finishes, Non-destructive testing (NDT), plating and associated processes. Repair, supply, and calibration of tensiometers. Clean, Flush, Test, Repair and Overhaul of Heat Exchangers.
Luton Site Scope (AS9110 )
	Design and Development of repair schemes for ME Rotors, main rotors, stators, armatures, field frames and diode packs. Repair, test and overhaul of aircraft mechanical, electrical and electrical wound components.</t>
  </si>
  <si>
    <t>GB14/91704</t>
  </si>
  <si>
    <t>EN/AS/JISQ 9110 : 30/06/2022</t>
  </si>
  <si>
    <t>LAETITIA SAMSON (PES) | FATIMA BENDADA (PES) | Cassie OGNAGNA - LOCKED by CUA - ()</t>
  </si>
  <si>
    <t>LAETITIA SAMSON (PES) | Cassie OGNAGNA - LOCKED by CUA - () | FATIMA BENDADA (PES)</t>
  </si>
  <si>
    <t>OUIAM CHOUKRI (PES) | FATIMA BENDADA (PES) | LAETITIA SAMSON (PES)</t>
  </si>
  <si>
    <t>OUIAM CHOUKRI (PES) | FATIMA BENDADA (PES) | Cassie OGNAGNA - LOCKED by CUA - () | Myriam COIGNAC - LOCKED by CUA - (ZE113 -A-F) | LAETITIA SAMSON (PES)</t>
  </si>
  <si>
    <t>OUIAM CHOUKRI (PES) | LAETITIA SAMSON (PES) | Cassie OGNAGNA - LOCKED by CUA - () | FATIMA BENDADA (PES)</t>
  </si>
  <si>
    <t>LAETITIA SAMSON (PES) | Cassie OGNAGNA - LOCKED by CUA - () | FATIMA BENDADA (PES) | OUIAM CHOUKRI (PES)</t>
  </si>
  <si>
    <t>OUIAM CHOUKRI (PES) | Myriam COIGNAC - LOCKED by CUA - (ZE113 -A-F) | Cassie OGNAGNA - LOCKED by CUA - () | FATIMA BENDADA (PES) | LAETITIA SAMSON (PES)</t>
  </si>
  <si>
    <t>OUIAM CHOUKRI (PES) | Cassie OGNAGNA - LOCKED by CUA - () | FATIMA BENDADA (PES) | LAETITIA SAMSON (PES) | Myriam COIGNAC - LOCKED by CUA - (ZE113 -A-F)</t>
  </si>
  <si>
    <t>LAETITIA SAMSON (PES) | FATIMA BENDADA (PES) | OUIAM CHOUKRI (PES) | Cassie OGNAGNA - LOCKED by CUA - ()</t>
  </si>
  <si>
    <t>OUIAM CHOUKRI (PES) | FATIMA BENDADA (PES) | LAETITIA SAMSON (PES) | Cassie OGNAGNA - LOCKED by CUA - ()</t>
  </si>
  <si>
    <t>OUIAM CHOUKRI (PES) | LAETITIA SAMSON (PES) | FATIMA BENDADA (PES) | Cassie OGNAGNA - LOCKED by CUA - ()</t>
  </si>
  <si>
    <t>OUIAM CHOUKRI (PES) | FATIMA BENDADA (PES) | Cassie OGNAGNA - LOCKED by CUA - () | LAETITIA SAMSON (PES)</t>
  </si>
  <si>
    <t>LAETITIA SAMSON (PES) | FATIMA BENDADA (PES) | Cassie OGNAGNA - LOCKED by CUA - () | OUIAM CHOUKRI (PES)</t>
  </si>
  <si>
    <t>OUIAM CHOUKRI (PES) | LAETITIA SAMSON (PES) | FATIMA BENDADA (PES)</t>
  </si>
  <si>
    <t>OUIAM CHOUKRI (PES) | LAETITIA SAMSON (PES) | FATIMA BENDADA (PES) | Cassie OGNAGNA - LOCKED by CUA - () | Myriam COIGNAC - LOCKED by CUA - (ZE113 -A-F)</t>
  </si>
  <si>
    <t>OUIAM CHOUKRI (PES) | FATIMA BENDADA (PES) | Myriam COIGNAC - LOCKED by CUA - (ZE113 -A-F) | LAETITIA SAMSON (PES) | Cassie OGNAGNA - LOCKED by CUA - ()</t>
  </si>
  <si>
    <t>LAETITIA SAMSON (PES) | FATIMA BENDADA (PES) | OUIAM CHOUKRI (PES)</t>
  </si>
  <si>
    <t>OUIAM CHOUKRI (PES) | LAETITIA SAMSON (PES) | Myriam COIGNAC - LOCKED by CUA - (ZE113 -A-F) | Cassie OGNAGNA - LOCKED by CUA - () | FATIMA BENDADA (PES)</t>
  </si>
  <si>
    <t>OUIAM CHOUKRI (PES) | Myriam COIGNAC - LOCKED by CUA - (ZE113 -A-F) | Cassie OGNAGNA - LOCKED by CUA - () | LAETITIA SAMSON (PES) | FATIMA BENDADA (PES)</t>
  </si>
  <si>
    <t>LAETITIA SAMSON (PES) | FATIMA BENDADA (PES)</t>
  </si>
  <si>
    <t>OUIAM CHOUKRI (PES) | Myriam COIGNAC - LOCKED by CUA - (ZE113 -A-F) | FATIMA BENDADA (PES) | LAETITIA SAMSON (PES) | Cassie OGNAGNA - LOCKED by CUA - ()</t>
  </si>
  <si>
    <t>OUIAM CHOUKRI (PES) | Cassie OGNAGNA - LOCKED by CUA - () | LAETITIA SAMSON (PES) | FATIMA BENDADA (PES) | Myriam COIGNAC - LOCKED by CUA - (ZE113 -A-F)</t>
  </si>
  <si>
    <t>LAETITIA SAMSON (PES) | Cassie OGNAGNA - LOCKED by CUA - () | OUIAM CHOUKRI (PES) | FATIMA BENDADA (PES)</t>
  </si>
  <si>
    <t>OUIAM CHOUKRI (PES) | LAETITIA SAMSON (PES) | Myriam COIGNAC - LOCKED by CUA - (ZE113 -A-F) | FATIMA BENDADA (PES) | Cassie OGNAGNA - LOCKED by CUA - ()</t>
  </si>
  <si>
    <t>OUIAM CHOUKRI (PES) | Cassie OGNAGNA - LOCKED by CUA - () | LAETITIA SAMSON (PES) | Myriam COIGNAC - LOCKED by CUA - (ZE113 -A-F) | FATIMA BENDADA (PES)</t>
  </si>
  <si>
    <t>LAETITIA SAMSON (PES) | OUIAM CHOUKRI (PES) | Cassie OGNAGNA - LOCKED by CUA - () | FATIMA BENDADA (PES)</t>
  </si>
  <si>
    <t>LAETITIA SAMSON (PES) | OUIAM CHOUKRI (PES) | FATIMA BENDADA (PES)</t>
  </si>
  <si>
    <t>CHOUKRI OUIAM ( PES -  ) | POMMIER CORINNE ( SOPO2 - CE )</t>
  </si>
  <si>
    <t>OUIAM CHOUKRI (PES) | Cassie OGNAGNA - LOCKED by CUA - () | Myriam COIGNAC - LOCKED by CUA - (ZE113 -A-F) | LAETITIA SAMSON (PES) | FATIMA BENDADA (PES)</t>
  </si>
  <si>
    <t>LAETITIA SAMSON (PES) | OUIAM CHOUKRI (PES) | FATIMA BENDADA (PES) | Cassie OGNAGNA - LOCKED by CUA - ()</t>
  </si>
  <si>
    <t>OUIAM CHOUKRI (PES) | Cassie OGNAGNA - LOCKED by CUA - () | Myriam COIGNAC - LOCKED by CUA - (ZE113 -A-F) | FATIMA BENDADA (PES) | LAETITIA SAMSON (PES)</t>
  </si>
  <si>
    <t>OUIAM CHOUKRI (PES) | Cassie OGNAGNA - LOCKED by CUA - () | LAETITIA SAMSON (PES) | FATIMA BENDADA (PES)</t>
  </si>
  <si>
    <t>OUIAM CHOUKRI (PES) | Myriam COIGNAC - LOCKED by CUA - (ZE113 -A-F) | LAETITIA SAMSON (PES) | FATIMA BENDADA (PES) | Cassie OGNAGNA - LOCKED by CUA - ()</t>
  </si>
  <si>
    <t>BENEDICTE MICHAL (POEAC  - A-F)</t>
  </si>
  <si>
    <t>OUIAM CHOUKRI (PES) | FATIMA BENDADA (PES) | Cassie OGNAGNA - LOCKED by CUA - () | LAETITIA SAMSON (PES) | Myriam COIGNAC - LOCKED by CUA - (ZE113 -A-F)</t>
  </si>
  <si>
    <t>ANTOINE HAYES (POCC2  - A-F)</t>
  </si>
  <si>
    <t>OUIAM CHOUKRI (PES) | Myriam COIGNAC - LOCKED by CUA - (ZE113 -A-F) | LAETITIA SAMSON (PES) | Cassie OGNAGNA - LOCKED by CUA - () | FATIMA BENDADA (PES)</t>
  </si>
  <si>
    <t>OUIAM CHOUKRI (PES) | Cassie OGNAGNA - LOCKED by CUA - () | FATIMA BENDADA (PES) | Myriam COIGNAC - LOCKED by CUA - (ZE113 -A-F) | LAETITIA SAMSON (PES)</t>
  </si>
  <si>
    <t>OUIAM CHOUKRI (PES) | FATIMA BENDADA (PES) | LAETITIA SAMSON (PES) | Cassie OGNAGNA - LOCKED by CUA - () | Myriam COIGNAC - LOCKED by CUA - (ZE113 -A-F)</t>
  </si>
  <si>
    <t>OUIAM CHOUKRI (PES) | LAETITIA SAMSON (PES) | Cassie OGNAGNA - LOCKED by CUA - () | FATIMA BENDADA (PES) | Myriam COIGNAC - LOCKED by CUA - (ZE113 -A-F)</t>
  </si>
  <si>
    <t>LAETITIA SAMSON (PES)</t>
  </si>
  <si>
    <t>YE DING (POSF3  - A-D)</t>
  </si>
  <si>
    <t>OUIAM CHOUKRI (PES) | Myriam COIGNAC - LOCKED by CUA - (ZE113 -A-F) | FATIMA BENDADA (PES) | Cassie OGNAGNA - LOCKED by CUA - () | LAETITIA SAMSON (PES)</t>
  </si>
  <si>
    <t>JONATHAN REINECK (POCM2  - A-D)</t>
  </si>
  <si>
    <t>OUIAM CHOUKRI (PES) | Cassie OGNAGNA - LOCKED by CUA - () | FATIMA BENDADA (PES) | LAETITIA SAMSON (PES)</t>
  </si>
  <si>
    <t>OUIAM CHOUKRI (PES) | FATIMA BENDADA (PES)</t>
  </si>
  <si>
    <t>OUIAM CHOUKRI (PES) | LAETITIA SAMSON (PES) | Cassie OGNAGNA - LOCKED by CUA - () | Myriam COIGNAC - LOCKED by CUA - (ZE113 -A-F) | FATIMA BENDADA (PES)</t>
  </si>
  <si>
    <t>CHOUKRI OUIAM ( PES -  ) | JAYARAM MAVANDIYOOR ( SOPO1 - CE )</t>
  </si>
  <si>
    <t>OUIAM CHOUKRI (PES) | FATIMA BENDADA (PES) | Myriam COIGNAC - LOCKED by CUA - (ZE113 -A-F) | Cassie OGNAGNA - LOCKED by CUA - () | LAETITIA SAMSON (PES)</t>
  </si>
  <si>
    <t>DESKTOP REVIEW ON QMS</t>
  </si>
  <si>
    <t>OUIAM CHOUKRI (PES)</t>
  </si>
  <si>
    <t>VINCORION ADVANCED SYSTEMS GMBH</t>
  </si>
  <si>
    <t>ROEDER CSC FZCO</t>
  </si>
  <si>
    <t>FZS1 BH04</t>
  </si>
  <si>
    <t>4RCFW</t>
  </si>
  <si>
    <t>165 RUE DE LA BELLE ETOILE</t>
  </si>
  <si>
    <t>ROISSY</t>
  </si>
  <si>
    <t>AVIATION &amp; ELECTRONICS SUPPORT PTE LTD</t>
  </si>
  <si>
    <t>66 LOYANG WAY</t>
  </si>
  <si>
    <t>QB272</t>
  </si>
  <si>
    <t>CCAR 145 (F04400829 -31/12/2022) | EASA PART 145 (UK.145.01382 -00/00/0000) | EASA PART 21 G (UK.21G.2542 -00/00/0000) | FAR 145 (N09Y585D -30/12/2022) | UK CAA (UK.145.01382 -00/00/0000)</t>
  </si>
  <si>
    <t>CAAS SAR145 (AWI/143 -28/02/2023) | CCAR 145 (D.200029 -00/00/0000) | EASA PART 145 (EASA.145.0143 -00/00/0000) | EASA PART 21 J (EASA.21J.654 -00/00/0000) | FAR 145 (TX9Y778Y -30/09/2022) | HKAR-145 (DAI/89/1295 -22/07/2024)</t>
  </si>
  <si>
    <t>CAAS SAR145 (AWI/364 -31/07/2022) | CCAR 145 (F04800611 -31/12/2022) | EASA PART 145 (PL.145.007 -00/00/0000) | EASA PART 21 G (PL.21G.0029 -00/00/0000) | FAR 145 (2HSY240B -31/10/2023) | TCCA CAR573.02 (812-04 -00/00/0000)</t>
  </si>
  <si>
    <t>CCAR 145 (F06000550 -30/06/2024) | EASA PART 145 (EASA.145.0535 -00/00/0000) | FAR 145 (6HMY363B -31/05/2023) | NOT ELIGIBLE (POA COMPLIANCE MATRIX -00/00/0000)</t>
  </si>
  <si>
    <t>EASA PART 145 (FR.145.0181 -00/00/0000) | FAR 145 (U78Y370Y -30/04/2023) | TCCA CAR573.02 (808-01 -00/00/0000)</t>
  </si>
  <si>
    <t>EASA PART 145 (EASA.145.5635 -30/06/2024) | FAR 145 (J2YR078X -00/00/0000)</t>
  </si>
  <si>
    <t>CAAS SAR145 (AWI/081 -30/06/2023) | CCAR 145 (F06500807 -31/12/2023) | EASA PART 145 (EASA.145.0982 -00/00/0000) | FAR 145 (QVWY017J -31/08/2023)</t>
  </si>
  <si>
    <t>EASA:FR.145.0181 - FAA:U78Y370Y - TCCA:808-01</t>
  </si>
  <si>
    <t>EASA:EASA.145.0982 - FAA:QVWY017J - CAAC:F06500807 - CAAS:AWI/081</t>
  </si>
  <si>
    <t>EASA 21G:PL.21G.0029</t>
  </si>
  <si>
    <t>PL.21G.0029</t>
  </si>
  <si>
    <t>EASA.145.0982</t>
  </si>
  <si>
    <t>QVWY017J</t>
  </si>
  <si>
    <t>F06500807</t>
  </si>
  <si>
    <t>AWI/081</t>
  </si>
  <si>
    <t>EN/AS/JISQ 9110 (GB14/91704 -30/06/2025)</t>
  </si>
  <si>
    <t>EN/AS/JISQ 9100 (FS 589140 -04/11/2024) | HEALTH AND SAFETY (RANKING A -29/11/2023) | HUMAN RIGHTS (RANKING A -29/11/2023) | IAEG (RANKING B -29/11/2023) | ISO 14001 (51981066 -27/05/2023)</t>
  </si>
  <si>
    <t>EN/AS/JISQ 9100 (6412214924 -19/05/2024) | EN/AS/JISQ 9110 (FM 721502-2 -19/05/2024) | HEALTH AND SAFETY (RANKING A -18/03/2023) | HUMAN RIGHTS (RANKING A -18/03/2023) | IAEG (RANKING C -18/03/2023) | ISO 14001 (FR052254-1 -24/07/2022)</t>
  </si>
  <si>
    <t>EN/AS/JISQ 9100 (26010.6 -03/11/2023) | HEALTH AND SAFETY (RANKING A -07/07/2025) | HUMAN RIGHTS (RANKING A -07/07/2025) | IAEG (RANKING A -07/07/2025) | ISO 14001 (32784.3 -17/10/2023) | ISO 9001 (821.6 -03/11/2023)</t>
  </si>
  <si>
    <t>EN/AS/JISQ 9100 (US012692-2 -27/06/2025) | IAEG (RANKING B -15/08/2023) | ISO 14001 (162419-2014 -18/08/2023)</t>
  </si>
  <si>
    <t>EN/AS/JISQ 9100 (13903 -09/06/2025) | EORS (RANKING C -18/07/2022) | ISO 9001 (13903 -09/06/2025)</t>
  </si>
  <si>
    <t>EN/AS/JISQ 9100 (5690018560139 -02/07/2025) | HEALTH AND SAFETY (RANKING B -14/07/2023) | HUMAN RIGHTS (RANKING A -14/07/2023) | IAEG (RANKING D -14/07/2023)</t>
  </si>
  <si>
    <t>EN/AS/JISQ 9100 (13420 -30/06/2025)</t>
  </si>
  <si>
    <t>HEALTH AND SAFETY (RANKING C -21/07/2023) | HUMAN RIGHTS (RANKING A -21/07/2023) | IAEG (RANKING A -21/07/2023)</t>
  </si>
  <si>
    <t>EN/AS/JISQ 9110 (10390413 -12/09/2202)</t>
  </si>
  <si>
    <t>CENTRAL FUNCTIONS MANAGEMENT OF THE COMPANY'S BUSINESS UNITS. SALES AND PROJECT MANAGEMENT, DESIGN, DEVELOPMENT, MANUFACTURING, MRO AND CUSTOMER SUPPORT
OF SUB-EQUIPMENT, EQUIPMENT AND SYSTEMS BASED ON MECHANICAL SYSTEMS, OPTRONICS, ELECTRONICS AND SOFTWARE IN THE FIELD OF AERONAUTICS, DEFENSE AND SPACE.
DIRECTION DES ACTIVITES DE LA SOCIETE, VENTE ET MAITRISE D’OEUVRE, CONCEPTION, DEVELOPPEMENT, FABRICATION, MRO ET SUPPORT CLIENT DE SOUS-EQUIPEMENTS, D’EQUIPEMENTS ET DE SYSTEMES A BASE DE SYSTEMES MECANIQUES, D’OPTRONIQUE, D’ELECTRONIQUE ET DE LOGICIELS DANS LE DOMAINE DE L’AERONAUTIQUE,
DE LA DEFENSE ET DU SPATIAL.</t>
  </si>
  <si>
    <t>10262595-Rev1</t>
  </si>
  <si>
    <t>Limited to PNs:$A330 Astronova Printer$C31007AA02 and C31007AA01 *</t>
  </si>
  <si>
    <t xml:space="preserve">Limited to PNs:
A330 Astronova Printer C31007AA02 and C31007AA01
</t>
  </si>
  <si>
    <t>CHEMICAL PROCESSING (CP) (615619258 - 28/02/2023) | COMPOSITE MANUFACTURING (COMP) (6156186016 - 31/08/2022) | NON DESTRUCTIVE TESTING (NDT) (615617864 - 30/11/2022)</t>
  </si>
  <si>
    <t>Cassie OGNAGNA - LOCKED by CUA - () | LAETITIA SAMSON (PES) | FATIMA BENDADA (PES)</t>
  </si>
  <si>
    <t>CHEMICAL PROCESSING (CP) (198393 - 28/02/2023) | HEAT TREATING (HT) (199288 - 30/11/2023) | NON DESTRUCTIVE TESTING (NDT) (189577 - 31/08/2022) | SURFACE ENHANCEMENT (SE) (188393 - 31/08/2022)</t>
  </si>
  <si>
    <t>LAETITIA SAMSON (PES) | Cassie OGNAGNA - LOCKED by CUA - () | Myriam COIGNAC - LOCKED by CUA - (ZE113 -A-F) | FATIMA BENDADA (PES) | OUIAM CHOUKRI (PES)</t>
  </si>
  <si>
    <t>OUIAM CHOUKRI (PES) | LAETITIA SAMSON (PES) | FATIMA BENDADA (PES) | Myriam COIGNAC - LOCKED by CUA - (ZE113 -A-F) | Cassie OGNAGNA - LOCKED by CUA - ()</t>
  </si>
  <si>
    <t>LAETITIA SAMSON (PES) | Cassie OGNAGNA - LOCKED by CUA - () | FATIMA BENDADA (PES) | Myriam COIGNAC - LOCKED by CUA - (ZE113 -A-F) | OUIAM CHOUKRI (PES)</t>
  </si>
  <si>
    <t>FATIMA BENDADA (PES) | Cassie OGNAGNA - LOCKED by CUA - ()</t>
  </si>
  <si>
    <t>ASSCOM AERONAUTIC SUPPORT SERVICES GMBH</t>
  </si>
  <si>
    <t>PEUTESTR. 51 A</t>
  </si>
  <si>
    <t>D3520</t>
  </si>
  <si>
    <t>REHEAT AERO LIMITED</t>
  </si>
  <si>
    <t>RIVERSIDE OMEGA PARK</t>
  </si>
  <si>
    <t>GU34 2UF</t>
  </si>
  <si>
    <t>ALTON</t>
  </si>
  <si>
    <t>U1R40</t>
  </si>
  <si>
    <t>12/07/2022 (CS-002-1)</t>
  </si>
  <si>
    <t>EASA:UK.145.01454 - FAA:RHUY491X - TCCA:807-12</t>
  </si>
  <si>
    <t>UK.145.01454</t>
  </si>
  <si>
    <t>RHUY491X</t>
  </si>
  <si>
    <t>807-12</t>
  </si>
  <si>
    <t>EN/AS/JISQ 9100 (US016228 -21/11/2024) | HEALTH AND SAFETY (RANKING B -15/08/2023) | HUMAN RIGHTS (RANKING A -15/08/2023) | IAEG (RANKING B -15/08/2023) | ISO 14001 (10000422154-MSC-ANAB -26/05/2023)</t>
  </si>
  <si>
    <t>EN/AS/JISQ 9100 (CERT-0145416 -07/01/2025) | EN/AS/JISQ 9110 (CERT-0129484 -09/07/2025)</t>
  </si>
  <si>
    <t>EN/AS/JISQ 9110 (FR064549-1 -31/08/2024) | HEALTH AND SAFETY (RANKING C -21/07/2023) | HUMAN RIGHTS (RANKING A -21/07/2023) | IAEG (RANKING A -21/07/2023)</t>
  </si>
  <si>
    <t>EN/AS/JISQ 9100 (10001260 AS0016A -09/07/2025)</t>
  </si>
  <si>
    <t>MAINTENANCE AND AFTER-SALES SUPPORT OF: FUEL AND INERTING SYSTEMS, FLEXIBLE TANKS, DE-ICING SYSTEMS, FLOAT AND RAFT SYSTEMS, EMERGENCY EVACUATION SLIDES, OXYGEN SYSTEMS, SENSING SYSTEMS, ELECTROHYDRAULICS EQUIPMENTS, RIGID
AND FLEXIBLE DUCTS AND METALLIC JOINTS, PASSENGERS SYSTEMS FOR AEROSPACE
AND DEFENSE.
MAINTENANCE ET SUPPORT APRES-VENTE DE : SYSTEMES CARBURANT ET INERTAGE, RESERVOIRS SOUPLES, SYSTEMES DE DEGIVRAGE, SYSTEMES DE SAUVETAGE GONFLABLES, TOBOGGANS D’EVACUATION, SYSTEMES D’OXYGENE, SYSTEMES DE DETECTION, EQUIPEMENTS ELECTROHYDRAULIQUES, TUYAUTERIES RIGIDES ET FLEXIBLES ET JOINTS METALLIQUES, EQUIPEMENTS DE CABINE POUR L’AERONAUTIQUE ET LA DEFENSE</t>
  </si>
  <si>
    <t>DESIGN, MANUFACTURE, MAINTENANCE, DISTRIBUTION AND AFTER-SALES SUPPORT OF :
FUEL AND INERTING SYSTEMS, FLEXIBLE TANKS, DE-ICING SYSTEMS, FLOAT AND RAFT SYSTEMS, INDIVIDUAL PROTECTION EQUIPMENTS, EMERGENCY EVACUATION SLIDES, OXYGEN SYSTEMS, SENSING SYSTEMS, ELECTROHYDRAULICS EQUIPMENTS, RIGID AND FLEXIBLE DUCTS
AND METALLIC JOINTS, TUBE CONNECTORS FOR AEROSPACE AND DEFENSE
ACTIVITES DE CONCEPTION, FABRICATION, MAINTENANCE, DISTRIBUTION ET SUPPORT APRES-VENTE DE : SYSTEMES CARBURANTS ET INERTAGE, RESERVOIRS SOUPLES, SYSTEMES
DE DEGIVRAGE, SYSTEMES DE SAUVETAGE GONFLABLES, EQUIPEMENTS INDIVIDUELS
DE PROTECTION, TOBOGGANS D’EVACUATION, SYSTEMES D’OXYGENE, SYSTEMES
DE DETECTION, EQUIPEMENTS ELECTROHYDRAULIQUES, TUYAUTERIES RIGIDES ET FLEXIBLES
ET JOINTS METALLIQUES, RACCORDS TUBULAIRES POUR L’AERONAUTIQUE ET LA DEFENSE.</t>
  </si>
  <si>
    <t>The design, manufacture, repair and servicing of fire/overheat detection and suppression systems and components for aerospace, marine and industrial classifications; military and commercial restraints for aerospace applications; high-pressure pneumatic systems for aerospace actuation and cooling systems; aerospace electro-mechanical flight control subassemblies; time domain-reflectometers and fuel level sensors for aerospace applications. The manufacture, repair and servicing of instrumentation/power cables and gas sensors for nuclear applications. Manufacturing of cables and detectors for military and commercial aerospace applications and nuclear/energy programs.</t>
  </si>
  <si>
    <t>The design, development, manufacture and repair of RF and Microwave solid-state power amplifiers for the commercial aerospace and military industries.</t>
  </si>
  <si>
    <t>10166498-Rev3</t>
  </si>
  <si>
    <t>10166498-Rev4</t>
  </si>
  <si>
    <t>13150862 - Rev 0</t>
  </si>
  <si>
    <t>CERT-0147579</t>
  </si>
  <si>
    <t>FR064549-1</t>
  </si>
  <si>
    <t>10000501310-MSC-ACCR</t>
  </si>
  <si>
    <t>08/08/2022 / 08/08/2025</t>
  </si>
  <si>
    <t>19/01/2023 / 31/08/2024</t>
  </si>
  <si>
    <t>LAETITIA SAMSON (PES) | FATIMA BENDADA (PES) | Myriam COIGNAC - LOCKED by CUA - (ZE113 -A-F) | OUIAM CHOUKRI (PES) | Cassie OGNAGNA - LOCKED by CUA - ()</t>
  </si>
  <si>
    <t>X</t>
  </si>
  <si>
    <t>COMPLIANCE BLOCK - ONLY COMPLIANCE TO UNBLOCK 12.8.2019 SAMBOLZ</t>
  </si>
  <si>
    <t>SABINE SAMBOLZ</t>
  </si>
  <si>
    <t>SIAD MARTIN SANDOUK (POEAB  - A-D)</t>
  </si>
  <si>
    <t>NON DESTRUCTIVE TESTING (NDT) (6642187777 - 31/08/2023)</t>
  </si>
  <si>
    <t>FATIMA BENDADA (PES) | Cassie OGNAGNA - LOCKED by CUA - () | LAETITIA SAMSON (PES)</t>
  </si>
  <si>
    <t>LAETITIA SAMSON (PES) | OUIAM CHOUKRI (PES) | FATIMA BENDADA (PES) | Myriam COIGNAC - LOCKED by CUA - (ZE113 -A-F) | Cassie OGNAGNA - LOCKED by CUA - ()</t>
  </si>
  <si>
    <t>LAETITIA SAMSON (PES) | Cassie OGNAGNA - LOCKED by CUA - () | OUIAM CHOUKRI (PES) | FATIMA BENDADA (PES) | Myriam COIGNAC - LOCKED by CUA - (ZE113 -A-F)</t>
  </si>
  <si>
    <t>MOCA ELENA</t>
  </si>
  <si>
    <t>MOCA ELENA ( SOPO1 - CE )</t>
  </si>
  <si>
    <t>ANSTY BUSINESS PARK</t>
  </si>
  <si>
    <t>EASA PART 145 (FR.145.0767 -00/00/0000) | EASA PART 21 G (FR.21G.0126 -00/00/0000) | FAR 21 (FR.21G.0126 -00/00/0000) | NOT ELIGIBLE (POA COMPLIANCE MATRIX -00/00/0000)</t>
  </si>
  <si>
    <t>CCAR 145 (F04400442 -31/12/2022) | EASA PART 145 (UK.145.01326 -00/00/0000) | EASA PART 21 G (UK.21G.2672 -00/00/0000) | FAR 145 (G7EY819J -31/12/2023) | NOT ELIGIBLE (POA COMPLIANCE TABLE -29/12/2023) | TCCA CAR573.02 (814-06 -00/00/0000) | UK CAA (UK.145.01326 -00/00/0000)</t>
  </si>
  <si>
    <t>CAAM PART 145 (FAMO/2017/72 -21/07/2023) | CAAS SAR145 (AWI/059 -30/06/2023) | CCAR 145 (F06500251 -30/06/2023) | EASA PART 145 (EASA.145.0139 -00/00/0000) | FAR 145 (FW4Y195M -30/09/2022) | TCCA CAR573.02 (CAAS AWI/059 -30/06/2023)</t>
  </si>
  <si>
    <t>EASA:FR.145.0767</t>
  </si>
  <si>
    <t>FR.145.0767</t>
  </si>
  <si>
    <t>EN/AS/JISQ 9100 (2008/31853.6 -23/06/2023) | HEALTH AND SAFETY (RANKING A -29/11/2023) | HUMAN RIGHTS (RANKING A -29/11/2023) | IAEG (RANKING B -29/11/2023) | ISO 9001 (31852.5 -23/06/2023)</t>
  </si>
  <si>
    <t>EN/AS/JISQ 9100 (N2016/71202.4 -25/04/2025) | EN/AS/JISQ 9110 (N2016/71203.5 -25/04/2025) | HEALTH AND SAFETY (RANKING B -17/12/2023) | HUMAN RIGHTS (RANKING A -17/12/2023) | IAEG (RANKING A -17/12/2023) | ISO 14001 (2016/71197.4 -26/04/2025) | ISO 9001 (N2016/71201.4 -25/04/2025)</t>
  </si>
  <si>
    <t>EN/AS/JISQ 9100 (13150862–REV0 -18/07/2025)</t>
  </si>
  <si>
    <t>EN/AS/JISQ 9110 (FR075956-1 -16/07/2025) | EN/AS/JISQ 9120 (FR075957-1 -16/07/2025)</t>
  </si>
  <si>
    <t>Main Scope: Design and development (including software development), manufacturing, repair, and overhaul of high reliability electronics, electro-mechanical, hydro-mechanical and fluid handling components for aircraft, aerospace, and defense systems.
Site 1 -  Hydro-Aire Aerospace Corp. Burbank, CA (Central Function) - QA and management elements, customer related process, design and development, supply chain management, production, product support.
Site 2 - Crane Electronics, Inc. (Lynwood, WA) - QA and management elements, customer related process, design and development, supply chain management, production.
Site 3 - ELDEC Aerospace Corp. (Lynwood, WA) - QA and management elements, customer related process, design and development, supply chain management, production, product support.
Site 4 - Lear Romec A Division of Hydro-Aire Aerospace, Corp. (Elyria, OH) - QA and management elements, customer related process, design and development, supply chain management, production, product support.</t>
  </si>
  <si>
    <t>MAINTENANCE, REPAIR AND OVERHAUL OF SAFETY EQUIPMENTS AND COMPONENTS, MANUAL, AUTOMATIC, HERMETIC, WELDED, HALON 1301 1211 FIRE EXTINGUISHERS, CYLINDERS, VALVES, REGULATORS AND OXYGEN MASKS FOR CREW AND PASSENGERS, EMERGENCY LOCATOR TRANSMITERS (ELT), EMERGENCY POWER ASSIST SYSTEMS (EPAS) FOR DOORS, LANDING GEARS AND ESCAPE SLIDES.</t>
  </si>
  <si>
    <t>AUTHORIZED DISTRIBUTION FOR AVIATION PART MANUFACTURER, IMPORTATION, LOGISTICS SERVICES, INVENTORY MANAGEMENT AND STOCKIST SUPPLYING COMMERCIAL, REGIONAL, MILITARY AND GENERAL AVIATION AIRCRAFT THROUGH THE COMPANY’S GLOBAL SALES AND DISTRIBUTION NETWORK.</t>
  </si>
  <si>
    <t>N2016/71203.5</t>
  </si>
  <si>
    <t>13150862–REV0</t>
  </si>
  <si>
    <t>13719757 - Rev 0</t>
  </si>
  <si>
    <t>FR075956-1</t>
  </si>
  <si>
    <t>FR075957-1</t>
  </si>
  <si>
    <t>REHEAT INTERNATIONAL LIMITED</t>
  </si>
  <si>
    <t>FHS standalone contract ref. CT1901569 (dated 17/02/2020)</t>
  </si>
  <si>
    <t>LAETITIA SAMSON (PES) | Myriam COIGNAC - LOCKED by CUA - (ZE113 -A-F) | OUIAM CHOUKRI (PES) | Cassie OGNAGNA - LOCKED by CUA - () | FATIMA BENDADA (PES)</t>
  </si>
  <si>
    <t>LAETITIA SAMSON (PES) | Cassie OGNAGNA - LOCKED by CUA - () | FATIMA BENDADA (PES) | OUIAM CHOUKRI (PES) | Myriam COIGNAC - LOCKED by CUA - (ZE113 -A-F)</t>
  </si>
  <si>
    <t>LAETITIA SAMSON (PES) | OUIAM CHOUKRI (PES) | Cassie OGNAGNA - LOCKED by CUA - () | FATIMA BENDADA (PES) | Myriam COIGNAC - LOCKED by CUA - (ZE113 -A-F)</t>
  </si>
  <si>
    <t>FATIMA BENDADA (PES) | OUIAM CHOUKRI (PES) | Myriam COIGNAC - LOCKED by CUA - (ZE113 -A-F) | LAETITIA SAMSON (PES) | Cassie OGNAGNA - LOCKED by CUA - ()</t>
  </si>
  <si>
    <t>Cassie OGNAGNA - LOCKED by CUA - () | LAETITIA SAMSON (PES) | OUIAM CHOUKRI (PES) | FATIMA BENDADA (PES) | Myriam COIGNAC - LOCKED by CUA - (ZE113 -A-F)</t>
  </si>
  <si>
    <t>OUIAM CHOUKRI (PES) | FATIMA BENDADA (PES) | LAETITIA SAMSON (PES) | Myriam COIGNAC - LOCKED by CUA - (ZE113 -A-F) | Cassie OGNAGNA - LOCKED by CUA - ()</t>
  </si>
  <si>
    <t>LAETITIA SAMSON (PES) | FATIMA BENDADA (PES) | Myriam COIGNAC - LOCKED by CUA - (ZE113 -A-F)</t>
  </si>
  <si>
    <t>LAETITIA SAMSON (PES) | Cassie OGNAGNA - LOCKED by CUA - () | Myriam COIGNAC - LOCKED by CUA - (ZE113 -A-F) | OUIAM CHOUKRI (PES) | FATIMA BENDADA (PES)</t>
  </si>
  <si>
    <t>LAETITIA SAMSON (PES) | Myriam COIGNAC - LOCKED by CUA - (ZE113 -A-F) | FATIMA BENDADA (PES) | Cassie OGNAGNA - LOCKED by CUA - ()</t>
  </si>
  <si>
    <t>LAETITIA SAMSON (PES) | Myriam COIGNAC - LOCKED by CUA - (ZE113 -A-F) | FATIMA BENDADA (PES) | Cassie OGNAGNA - LOCKED by CUA - () | OUIAM CHOUKRI (PES)</t>
  </si>
  <si>
    <t>LAETITIA SAMSON (PES) | FATIMA BENDADA (PES) | Cassie OGNAGNA - LOCKED by CUA - () | Myriam COIGNAC - LOCKED by CUA - (ZE113 -A-F) | OUIAM CHOUKRI (PES)</t>
  </si>
  <si>
    <t>FATIMA BENDADA (PES) | LAETITIA SAMSON (PES) | Cassie OGNAGNA - LOCKED by CUA - () | OUIAM CHOUKRI (PES)</t>
  </si>
  <si>
    <t>CCAR 145 (F00100092 -30/06/2024) | EASA PART 145 (EASA.145.4728 -31/07/2024) | FAR 145 (UCER345K -00/00/0000) | FAR 21 (PQ1268NM -00/00/0000) | NOT ELIGIBLE (POA COMPLIANCE TABLE -00/00/0000)</t>
  </si>
  <si>
    <t>CCAR 145 (F03300627 -30/06/2022) | EASA PART 145 (FR.145.0119 -00/00/0000) | FAR 145 (AQRY273X -30/06/2023) | TCCA CAR573.02 (811-07 -00/00/0000)</t>
  </si>
  <si>
    <t>CCAR 145 (F00100321 -30/06/2024) | EASA PART 145 (EASA.145.4167 -31/07/2024) | FAR 145 (A6GR410J -00/00/0000)</t>
  </si>
  <si>
    <t>EASA PART 145 (EASA.145.4239 -31/07/2024) | FAR 145 (XBIR995K -00/00/0000)</t>
  </si>
  <si>
    <t>EASA PART 145 (EASA.145.4242 -31/07/2024) | FAR 145 (UT3R905L -00/00/0000) | FAR 21 (LETTER OF DEC 16, 1994 -00/00/0000) | NOT ELIGIBLE (POA CT -00/00/0000)</t>
  </si>
  <si>
    <t>EASA PART 145 (EASA.145.4259 -31/07/2024) | FAR 145 (HA5R902M -00/00/0000) | NOT ELIGIBLE (POA COMPLIANCE TABLE -00/00/0000)</t>
  </si>
  <si>
    <t>EASA PART 145 (EASA.145.4312 -31/07/2024) | FAR 145 (SF3R839L -00/00/0000)</t>
  </si>
  <si>
    <t>EASA PART 145 (EASA.145.4401 -31/07/2024) | FAR 145 (E1TR150N -00/00/0000) | PMA (PQ0753NE -00/00/0000)</t>
  </si>
  <si>
    <t>CCAR 145 (F00100596 -31/12/2023) | EASA PART 145 (EASA.145.4999 -31/07/2024) | FAR 145 (EF4R152M -00/00/0000) | NOT ELIGIBLE (POA_COMPLIANCE_MATRIX -31/12/2021)</t>
  </si>
  <si>
    <t>CAAS SAR145 (AWI/276 -30/06/2023) | CCAR 145 (D.300001 -00/00/0000) | EASA PART 145 (EASA.145.0070 -00/00/0000) | FAR 145 (GJPY002L -30/09/2023) | HKAR-145 (CAAC D.300001 -00/00/0000)</t>
  </si>
  <si>
    <t>CCAR 145 (F00100007 -31/12/2022) | EASA PART 145 (EASA.145.4983 -31/07/2024) | FAR 145 (SI3R842L -00/00/0000) | FAR 21 (PQ109NE-D -00/00/0000) | NOT ELIGIBLE (POA COMPLIANCE TABLE -00/00/0000)</t>
  </si>
  <si>
    <t>CCAR 145 (F00100088 -31/12/2022) | EASA PART 145 (EASA.145.4908 -31/07/2024) | FAR 145 (JW2R941K -00/00/0000) | NOT ELIGIBLE (POA COMPLIANCE TABLE -00/00/0000)</t>
  </si>
  <si>
    <t>CCAR 145 (F00100098 -31/12/2022) | EASA PART 145 (EASA.145.4905 -31/07/2024) | FAR 145 (JW23941K -00/00/0000) | NOT ELIGIBLE (POA COMPLIANCE TABLE -00/00/0000)</t>
  </si>
  <si>
    <t>CCAR 145 (F00100462 -31/12/2023) | EASA PART 145 (EASA.145.4494 -31/07/2024) | EASA PART 21 G (NONE -00/00/0000) | FAR 145 (FQSR015K -00/00/0000)</t>
  </si>
  <si>
    <t>CCAR 145 (F00100827 -31/12/2022) | EASA PART 145 (EASA.145.4539 -31/07/2024) | FAR 145 (HQ7R766N -00/00/0000) | NOT ELIGIBLE (POA COMPLIANCE MATRIX -00/00/0000) | PMA (PQ1354NM -00/00/0000)</t>
  </si>
  <si>
    <t>CCAR 145 (F03300626 -30/06/2022) | EASA PART 145 (FR.145.0119 -00/00/0000) | EASA PART 21 G (FR.21G.0049 -00/00/0000) | FAR 145 (AQRY273X -30/06/2023) | NOT ELIGIBLE (POA COMPLIANCE TABLE -00/00/0000) | TCCA CAR573.02 (898-03 -01/01/2099)</t>
  </si>
  <si>
    <t>CCAR 145 (F03300172 -30/06/2022) | EASA PART 145 (FR.145.0119 -00/00/0000) | EASA PART 21 G (FR.21G.0049 -00/00/0000) | FAR 145 (AQRY273X -30/06/2023) | FAR 21 (FR.21G.0005 -00/00/0000) | NOT ELIGIBLE (POA COMPLIANCE TABLE -00/00/0000) | TCCA CAR573.02 (897-30 -00/00/0000)</t>
  </si>
  <si>
    <t>CCAR 145 (F03300172 -30/06/2022) | EASA PART 145 (FR.145.0119 -00/00/0000) | EASA PART 21 G (FR.21G.0005 -00/00/0000) | FAR 145 (AQRY273X -30/06/2023) | TCCA CAR573.02 (897-30 -00/00/0000)</t>
  </si>
  <si>
    <t>CCAR 145 (F00100517 -31/12/2022) | EASA PART 145 (EASA.145.4718 -31/07/2024) | FAR 145 (YZ4R692M -00/00/0000) | NOT ELIGIBLE (POA COMPLIANCE TABLE -00/00/0000)</t>
  </si>
  <si>
    <t>CCAR 145 (F00100424 -31/12/2023) | EASA PART 145 (EASA.145.4437 -31/07/2024) | FAR 145 (HD6R583N -00/00/0000) | FAR 21 (PQ1895NM-D -00/00/0000) | NOT ELIGIBLE (POA COMPLIANCE MATIX -00/00/0000)</t>
  </si>
  <si>
    <t>EASA PART 145 (EASA.145.4042 -31/07/2024) | FAR 145 (FK1R142K -01/08/2022)</t>
  </si>
  <si>
    <t>CCAR 145 (F00100327 -30/06/2024) | EASA PART 145 (EASA.145.4685 -31/07/2024) | FAR 145 (ND1R344K -00/00/0000) | NOT ELIGIBLE (POA COMPLIANCE TABLE -00/00/0000)</t>
  </si>
  <si>
    <t>CCAR 145 (F00100362 -30/06/2024) | EASA PART 145 (EASA.145.4732 -31/07/2024) | FAR 145 (FX1R156K -00/00/0000) | NOT ELIGIBLE (POA COMPLIANCE TABLE -00/00/0000) | PMA (PQ0658NE -00/00/0000)</t>
  </si>
  <si>
    <t>CCAR 145 (F00100058 -31/12/2022) | EASA PART 145 (EASA.145.4755 -31/07/2024) | FAR 145 (IL4R262M -00/00/0000) | NOT ELIGIBLE (POA COMPLIANCE TABLE -00/00/0000)</t>
  </si>
  <si>
    <t>CCAR 145 (F00100374 -31/12/2022) | EASA PART 145 (EASA.145.4831 -31/07/2024) | FAR 145 (PA3R755L -00/00/0000) | FAR 21 (PMA PQ0006NM -00/00/0000) | PMA ( PQ0006NM -00/00/0000)</t>
  </si>
  <si>
    <t>CCAR 145 (F00100104 -31/12/2022) | EASA PART 145 (EASA.145.4833 -31/07/2024) | EASA PART 21 G (POA COMPLIANCE MATRIX -00/00/0000) | FAR 145 (RJLR391K -00/00/0000) | FAR 21 (BOP0001 REV F -00/00/0000) | NOT ELIGIBLE (POA COMPLIANCE MATRIX -00/00/0000)</t>
  </si>
  <si>
    <t>EASA PART 145 (EASA.145.4864 -31/07/2024) | FAR 145 (SVUR684K -00/00/0000)</t>
  </si>
  <si>
    <t>CCAR 145 (F00100610 -31/12/2023) | EASA PART 145 (EASA.145.4865 -31/07/2024) | FAR 145 (FI1R140K -00/00/0000)</t>
  </si>
  <si>
    <t>CCAR 145 (F00100016 -31/12/2022) | EASA PART 145 (EASA.145.4251 -31/07/2024) | FAR 145 (CV1R074K -00/00/0000)</t>
  </si>
  <si>
    <t>CCAR 145 (F00100727 -30/06/2023) | EASA PART 145 (EASA.145.4386 -31/07/2024) | FAR 145 (GK6R564N -00/00/0000)</t>
  </si>
  <si>
    <t>CCAR 145 (F00100748 -31/12/2022) | EASA PART 145 (EASA.145.4998 -31/07/2024) | FAR 145 (FH3R501L -00/00/0000) | PMA (PQ0590NM -00/00/0000)</t>
  </si>
  <si>
    <t>CCAR 145 (F00100432 -31/12/2023) | EASA PART 145 (EASA.145.4617 -31/07/2024) | EASA PART 147 (POA COMPLIANCE TABLE -00/00/0000) | FAR 145 (GR3R537L -00/00/0000) | NOT ELIGIBLE (POA COMPLIANCE TABLE -00/00/0000) | PMA (PQ0419M -00/00/0000)</t>
  </si>
  <si>
    <t>CCAR 145 (F00100116 -31/12/2022) | EASA PART 145 (EASA.145.4976 -31/07/2024) | FAR 145 (UILR299K -00/00/0000)</t>
  </si>
  <si>
    <t>CCAR 145 (F00100454 -31/12/2022) | EASA PART 145 (EASA.145.5015 -31/07/2024) | FAR 145 (QG3R788L -00/00/0000)</t>
  </si>
  <si>
    <t>CCAR 145 (F04400198 -31/12/2022) | EASA PART 145 (UK.145.00817 -00/00/0000) | EASA PART 21 G (UK.21G.2321 -00/00/0000) | FAR 145 (VS6Y531J -31/07/2024) | NOT ELIGIBLE (POA COMPLIANCE TABLE -00/00/0000) | TCCA CAR573.02 (807-11 -00/00/0000) | UK CAA (UK.145.00817 -00/00/0000)</t>
  </si>
  <si>
    <t>CCAR 145 (F00100781 -31/12/2022) | EASA PART 145 (EASA.145.4787 -31/07/2024) | FAR 145 (AH4R050M -00/00/0000) | FAR 21 (SUBPART K -00/00/0000) | NOT ELIGIBLE (POA COMPLIANCE TABLE -00/00/0000)</t>
  </si>
  <si>
    <t>CCAR 145 (F00100864 -30/06/2024) | EASA PART 145 (EASA.145.4260 -31/07/2024) | FAR 145 (NN2R037L -00/00/0000) | NOT ELIGIBLE (POA COMPLIANCE TABLE -00/00/0000) | PMA (NN2R037L -07/07/2019)</t>
  </si>
  <si>
    <t>EASA PART 145 (EASA.145.4561 -31/07/2024) | FAR 145 (B5IR685J -00/00/0000)</t>
  </si>
  <si>
    <t>EASA PART 145 (EASA.145.4635 -31/07/2024) | FAR 145 (BP4R084M -00/00/0000) | NOT ELIGIBLE (XXXXXXX -00/00/0000)</t>
  </si>
  <si>
    <t>CAAM PART 145 (FAMO/2016/26 -30/12/2022) | CAAS SAR145 (AWI/294 -31/07/2023) | CCAR 145 (D.3024 -00/00/0000) | EASA PART 145 (DE.145.0001 -00/00/0000) | FAR 145 (Z6LY415Y -31/10/2023) | JCAB AMO (052 -24/06/2022) | TCCA CAR573.02 (897-08 -00/00/0000)</t>
  </si>
  <si>
    <t>CCAR 145 (F00100844 -30/06/2023) | EASA PART 145 (EASA.145.4237 -31/07/2024) | FAR 145 (KA2R945K -00/00/0000)</t>
  </si>
  <si>
    <t>CCAR 145 (F00100484 -31/12/2023) | EASA PART 145 (EASA.145.4336 -31/07/2024) | FAR 145 (RE3R812L -00/00/0000)</t>
  </si>
  <si>
    <t>EASA PART 145 (EASA.145.4333 -31/07/2024) | FAR 145 (HB4R226M -00/00/0000)</t>
  </si>
  <si>
    <t>EASA PART 145 (UK.145.00242 -00/00/0000) | FAR 145 (OBDY389L -31/07/2024) | UK CAA (UK.145.00242 -00/00/0000)</t>
  </si>
  <si>
    <t>EASA PART 145 (EASA.145.4618 -31/07/2024) | FAR 145 (KE7R393J -00/00/0000) | NOT ELIGIBLE (POA COMPLIANCE TABLE 2021 -00/00/0000)</t>
  </si>
  <si>
    <t>EASA PART 145 (EASA.145.4057 -31/07/2024) | FAR 145 (QCSR241K -00/00/0000) | PMA (SEW/940.1116/05 -00/00/0000)</t>
  </si>
  <si>
    <t>CCAR 145 (F00100102 -31/12/2022) | EASA PART 145 (EASA.145.5027 -31/07/2024) | FAR 145 (UU2R227L -00/00/0000)</t>
  </si>
  <si>
    <t>EASA PART 145 (EASA.145.4363 -31/07/2024) | FAR 145 (YCWR993K -00/00/0000)</t>
  </si>
  <si>
    <t>CCAR 145 (F00100529 -31/12/2022) | EASA PART 145 (EASA.145.4711 -31/07/2024) | FAR 145 (WE2R263L -00/00/0000)</t>
  </si>
  <si>
    <t>CCAR 145 (F00100149 -30/06/2024) | EASA PART 145 (EASA.145.4977 -31/07/2024) | FAR 145 (SMVR502K -00/00/0000)</t>
  </si>
  <si>
    <t>EASA PART 145 (EASA.145.4255 -31/07/2024) | FAR 145 (B4GR448J -00/00/0000)</t>
  </si>
  <si>
    <t>CCAR 145 (F00100396 -31/12/2023) | EASA PART 145 (EASA.145.4138 -31/07/2024) | FAR 145 (A8LR406J -00/00/0000)</t>
  </si>
  <si>
    <t>CCAR 145 (F00100395 -31/12/2023) | EASA PART 145 (EASA.145.4642 -31/07/2024) | FAR 145 (GZFR112K -00/00/0000)</t>
  </si>
  <si>
    <t>CCAR 145 (F00100391 -31/12/2022) | EASA PART 145 (EASA.145.5893 -31/07/2024) | FAR 145 (GPYR474X -00/00/0000)</t>
  </si>
  <si>
    <t>CCAR 145 (F00100581 -30/06/2023) | EASA PART 145 (EASA.145.4603 -31/07/2024) | FAR 145 (VKUR823L -00/00/0000)</t>
  </si>
  <si>
    <t>EASA PART 145 (UK.145.01272 -00/00/0000) | FAR 145 (O6RY005B -31/07/2024) | UK CAA (UK.145.01272 -00/00/0000)</t>
  </si>
  <si>
    <t>CCAR 145 (F00100577 -31/12/2023) | EASA PART 145 (EASA.145.4334 -31/07/2024) | FAR 145 (NZ2R049L -00/00/0000)</t>
  </si>
  <si>
    <t>CCAR 145 (F00100463 -31/12/2022) | EASA PART 145 (EASA.145.4538 -31/07/2024) | FAR 145 (KE2R949K -00/00/0000) | NOT ELIGIBLE (POA COMPLIANCE MATRIX -00/00/0000) | PMA (PQ1354NM -00/00/0000)</t>
  </si>
  <si>
    <t>EASA:FR.145.0119 - FAA:AQRY273X - TCCA:811-07 - CAAC:F03300627</t>
  </si>
  <si>
    <t>EASA:FR.145.0119 - FAA:AQRY273X - TCCA:898-03 - CAAC:F03300626</t>
  </si>
  <si>
    <t>EASA:FR.145.0119 - FAA:AQRY273X - TCCA:897-30 - CAAC:F03300172</t>
  </si>
  <si>
    <t>AQRY273X</t>
  </si>
  <si>
    <t>EN/AS/JISQ 9100 (394460 AS0018D -14/11/2022) | HEALTH AND SAFETY (RANKING B -27/03/2023) | HUMAN RIGHTS (RANKING A -27/03/2023) | IAEG (RANKING A -27/03/2023) | ISO 14001 (543161 UM15 -04/06/2025)</t>
  </si>
  <si>
    <t>EN/AS/JISQ 9100 (00014776 -01/07/2024) | EORS (RANKING C -17/07/2022) | ISO 14001 (A2052 -18/12/2022) | ISO 9001 (10369857 -24/07/2024)</t>
  </si>
  <si>
    <t>EN/AS/JISQ 9100 (10000515221-MSC-ACCR -28/07/2025) | EORS (RANKING A -13/11/2023) | ISO 14001 (2011/39408.7 -28/07/2022) | ISO 9001 (2011/39406.7 -28/07/2022)</t>
  </si>
  <si>
    <t>EN/AS/JISQ 9100 (40643.23 -22/08/2024) | HEALTH AND SAFETY (RANKING C -21/07/2023) | HUMAN RIGHTS (RANKING A -21/07/2023) | IAEG (RANKING A -21/07/2023) | ISO 9001 (2011/40642.22 -22/08/2024)</t>
  </si>
  <si>
    <t>DESIGN AND MANUFACTURING OF AIRCRAFT STRUCTURES AND ON-BOARD EQUIPMENT; RELATED AFTER-SALES SUPPORT.
DESIGN OF TOOLING FOR THE MANUFACTURING OF AIRCRAFT STRUCTURES.</t>
  </si>
  <si>
    <t>Aircraft maintenance and repairs. Personnel basic, type training and examination. Provision of the NDT services in house and at customer premises.</t>
  </si>
  <si>
    <t>UK5212017-1</t>
  </si>
  <si>
    <t>2010/36789.14</t>
  </si>
  <si>
    <t>00036750-001</t>
  </si>
  <si>
    <t>28/07/2025 / 28/07/2022</t>
  </si>
  <si>
    <t>OUIAM CHOUKRI (PES) | FATIMA BENDADA (PES) | ANAIS ALBRECHT (QX -CE) | LAETITIA SAMSON (PES) | Cassie OGNAGNA - LOCKED by CUA - ()</t>
  </si>
  <si>
    <t>ANAIS ALBRECHT (QX -CE) | OUIAM CHOUKRI (PES) | LAETITIA SAMSON (PES) | Cassie OGNAGNA - LOCKED by CUA - () | FATIMA BENDADA (PES)</t>
  </si>
  <si>
    <t>FATIMA BENDADA (PES) | Cassie OGNAGNA - LOCKED by CUA - () | Myriam COIGNAC - LOCKED by CUA - (ZE113 -A-F) | LAETITIA SAMSON (PES) | OUIAM CHOUKRI (PES)</t>
  </si>
  <si>
    <t>LAETITIA SAMSON (PES) | Cassie OGNAGNA - LOCKED by CUA - () | FATIMA BENDADA (PES) | SOPHIE CONTAL SAUVAGE (BSVLS -CE)</t>
  </si>
  <si>
    <t>WELDING (WLD) (1220419922 - 30/05/2023)</t>
  </si>
  <si>
    <t>ANAIS ALBRECHT (QX -CE) | Myriam COIGNAC - LOCKED by CUA - (ZE113 -A-F) | OUIAM CHOUKRI (PES) | Cassie OGNAGNA - LOCKED by CUA - () | LAETITIA SAMSON (PES) | FATIMA BENDADA (PES)</t>
  </si>
  <si>
    <t>Myriam COIGNAC - LOCKED by CUA - (ZE113 -A-F) | FATIMA BENDADA (PES) | Cassie OGNAGNA - LOCKED by CUA - () | LAETITIA SAMSON (PES) | OUIAM CHOUKRI (PES)</t>
  </si>
  <si>
    <t>ANAIS ALBRECHT (QX -CE) | LAETITIA SAMSON (PES) | OUIAM CHOUKRI (PES) | FATIMA BENDADA (PES)</t>
  </si>
  <si>
    <t>LAETITIA SAMSON (PES) | Myriam COIGNAC - LOCKED by CUA - (ZE113 -A-F) | OUIAM CHOUKRI (PES) | FATIMA BENDADA (PES)</t>
  </si>
  <si>
    <t>CHEMICAL PROCESSING (CP) (162224 - 30/11/2022) | NON DESTRUCTIVE TESTING (NDT) (155015 - 30/11/2022)</t>
  </si>
  <si>
    <t>LAETITIA SAMSON (PES) | FATIMA BENDADA (PES) | OUIAM CHOUKRI (PES) | Cassie OGNAGNA - LOCKED by CUA - () | Myriam COIGNAC - LOCKED by CUA - (ZE113 -A-F)</t>
  </si>
  <si>
    <t>ANAIS ALBRECHT (QX -CE) | LAETITIA SAMSON (PES) | OUIAM CHOUKRI (PES) | Cassie OGNAGNA - LOCKED by CUA - () | FATIMA BENDADA (PES)</t>
  </si>
  <si>
    <t>LAETITIA SAMSON (PES) | FATIMA BENDADA (PES) | OUIAM CHOUKRI (PES) | Myriam COIGNAC - LOCKED by CUA - (ZE113 -A-F) | Cassie OGNAGNA - LOCKED by CUA - ()</t>
  </si>
  <si>
    <t>ANAIS ALBRECHT (QX -CE) | FATIMA BENDADA (PES)</t>
  </si>
  <si>
    <t>LAETITIA SAMSON (PES) | Myriam COIGNAC - LOCKED by CUA - (ZE113 -A-F) | FATIMA BENDADA (PES) | OUIAM CHOUKRI (PES) | Cassie OGNAGNA - LOCKED by CUA - ()</t>
  </si>
  <si>
    <t>Cassie OGNAGNA - LOCKED by CUA - () | FATIMA BENDADA (PES) | LAETITIA SAMSON (PES)</t>
  </si>
  <si>
    <t>Myriam COIGNAC - LOCKED by CUA - (ZE113 -A-F) | LAETITIA SAMSON (PES) | FATIMA BENDADA (PES) | Cassie OGNAGNA - LOCKED by CUA - () | OUIAM CHOUKRI (PES)</t>
  </si>
  <si>
    <t>ANDREW STAGG (POMDB  - A-UK)</t>
  </si>
  <si>
    <t>LAETITIA SAMSON (PES) | Myriam COIGNAC - LOCKED by CUA - (ZE113 -A-F) | FATIMA BENDADA (PES) | OUIAM CHOUKRI (PES) | SOPHIE CONTAL SAUVAGE (BSVLS -CE) | Cassie OGNAGNA - LOCKED by CUA - ()</t>
  </si>
  <si>
    <t>Cassie OGNAGNA - LOCKED by CUA - () | Myriam COIGNAC - LOCKED by CUA - (ZE113 -A-F) | FATIMA BENDADA (PES) | LAETITIA SAMSON (PES) | OUIAM CHOUKRI (PES)</t>
  </si>
  <si>
    <t>Cassie OGNAGNA - LOCKED by CUA - () | Myriam COIGNAC - LOCKED by CUA - (ZE113 -A-F) | OUIAM CHOUKRI (PES) | LAETITIA SAMSON (PES) | FATIMA BENDADA (PES)</t>
  </si>
  <si>
    <t>ANAIS ALBRECHT (QX -CE) | FATIMA BENDADA (PES) | OUIAM CHOUKRI (PES) | LAETITIA SAMSON (PES)</t>
  </si>
  <si>
    <t>ANAIS ALBRECHT (QX -CE) | Cassie OGNAGNA - LOCKED by CUA - () | LAETITIA SAMSON (PES) | FATIMA BENDADA (PES)</t>
  </si>
  <si>
    <t>OUIAM CHOUKRI (PES) | SOPHIE CONTAL SAUVAGE (BSVLS -CE) | FATIMA BENDADA (PES) | LAETITIA SAMSON (PES) | Cassie OGNAGNA - LOCKED by CUA - ()</t>
  </si>
  <si>
    <t>ANAIS ALBRECHT (QX -CE) | OUIAM CHOUKRI (PES) | LAETITIA SAMSON (PES) | FATIMA BENDADA (PES)</t>
  </si>
  <si>
    <t>ANAIS ALBRECHT (QX -CE) | MARIE CHRISTINE GIBERT - LOCKED by CUA - (PESD -CE) | FATIMA BENDADA (PES)</t>
  </si>
  <si>
    <t>OUIAM CHOUKRI (PES) | ANAIS ALBRECHT (QX -CE) | LAETITIA SAMSON (PES) | FATIMA BENDADA (PES)</t>
  </si>
  <si>
    <t>CHEMICAL PROCESSING (CP) (4349197714 - 31/05/2023) | COMPOSITE MANUFACTURING (COMP) (4349198884 - 28/02/2023) | NON DESTRUCTIVE TESTING (NDT) (4349190185 - 30/11/2022)</t>
  </si>
  <si>
    <t>ANAIS ALBRECHT (QX -CE) | LAETITIA SAMSON (PES) | Myriam COIGNAC - LOCKED by CUA - (ZE113 -A-F) | FATIMA BENDADA (PES) | OUIAM CHOUKRI (PES)</t>
  </si>
  <si>
    <t>LAETITIA SAMSON (PES) | FATIMA BENDADA (PES) | Cassie OGNAGNA - LOCKED by CUA - () | ANAIS ALBRECHT (QX -CE)</t>
  </si>
  <si>
    <t>OUIAM CHOUKRI (PES) | Myriam COIGNAC - LOCKED by CUA - (ZE113 -A-F) | ANAIS ALBRECHT (QX -CE) | Cassie OGNAGNA - LOCKED by CUA - () | FATIMA BENDADA (PES) | LAETITIA SAMSON (PES)</t>
  </si>
  <si>
    <t>WELDING (WLD) (5282179880 - 31/08/2024)</t>
  </si>
  <si>
    <t>NON DESTRUCTIVE TESTING (NDT) (198336 - 28/02/2025)</t>
  </si>
  <si>
    <t>Myriam COIGNAC - LOCKED by CUA - (ZE113 -A-F) | FATIMA BENDADA (PES) | OUIAM CHOUKRI (PES) | Cassie OGNAGNA - LOCKED by CUA - () | LAETITIA SAMSON (PES)</t>
  </si>
  <si>
    <t>OUIAM CHOUKRI (PES) | LAETITIA SAMSON (PES) | Cassie OGNAGNA - LOCKED by CUA - () | FATIMA BENDADA (PES) | Myriam COIGNAC - LOCKED by CUA - (ZE113 -A-F) | ANAIS ALBRECHT (QX -CE)</t>
  </si>
  <si>
    <t>ANAIS ALBRECHT (QX -CE) | Cassie OGNAGNA - LOCKED by CUA - () | LAETITIA SAMSON (PES) | FATIMA BENDADA (PES) | Myriam COIGNAC - LOCKED by CUA - (ZE113 -A-F)</t>
  </si>
  <si>
    <t>ANAIS ALBRECHT (QX -CE) | Cassie OGNAGNA - LOCKED by CUA - () | FATIMA BENDADA (PES) | LAETITIA SAMSON (PES) | Myriam COIGNAC - LOCKED by CUA - (ZE113 -A-F)</t>
  </si>
  <si>
    <t>CHEMICA | HEAT TREATING (HT) (187084 - 31/01/2021) | MEASUREMENT AND INSPECTION (M&amp;I) (193379 - 31/01/2021) | NON DESTRUCTIVE TESTING (NDT) (193657 - 31/10/2021) | NON-CONVENTIONAL MACHINING (NM) (190392 - 30/04/2021) | WELDING (WLD) (181165 - 30/04/20</t>
  </si>
  <si>
    <t>Myriam COIGNAC - LOCKED by CUA - (ZE113 -A-F) | LAETITIA SAMSON (PES) | FATIMA BENDADA (PES) | OUIAM CHOUKRI (PES) | Cassie OGNAGNA - LOCKED by CUA - ()</t>
  </si>
  <si>
    <t>ANAIS ALBRECHT (QX -CE) | Cassie OGNAGNA - LOCKED by CUA - () | LAETITIA SAMSON (PES) | FATIMA BENDADA (PES) | OUIAM CHOUKRI (PES)</t>
  </si>
  <si>
    <t>ANAIS ALBRECHT (QX -CE) | OUIAM CHOUKRI (PES) | FATIMA BENDADA (PES)</t>
  </si>
  <si>
    <t>ANAIS ALBRECHT (QX -CE) | LAETITIA SAMSON (PES) | Myriam COIGNAC - LOCKED by CUA - (ZE113 -A-F) | OUIAM CHOUKRI (PES) | FATIMA BENDADA (PES)</t>
  </si>
  <si>
    <t>OUIAM CHOUKRI (PES) | FATIMA BENDADA (PES) | Myriam COIGNAC - LOCKED by CUA - (ZE113 -A-F) | ANAIS ALBRECHT (QX -CE) | Cassie OGNAGNA - LOCKED by CUA - ()</t>
  </si>
  <si>
    <t>Myriam COIGNAC - LOCKED by CUA - (ZE113 -A-F) | FATIMA BENDADA (PES) | Cassie OGNAGNA - LOCKED by CUA - () | OUIAM CHOUKRI (PES) | LAETITIA SAMSON (PES)</t>
  </si>
  <si>
    <t>ANAIS ALBRECHT (QX -CE) | FATIMA BENDADA (PES) | LAETITIA SAMSON (PES)</t>
  </si>
  <si>
    <t>ANAIS ALBRECHT (QX -CE) | FATIMA BENDADA (PES) | Cassie OGNAGNA - LOCKED by CUA - () | OUIAM CHOUKRI (PES) | LAETITIA SAMSON (PES) | Myriam COIGNAC - LOCKED by CUA - (ZE113 -A-F)</t>
  </si>
  <si>
    <t>LAETITIA SAMSON (PES) | FATIMA BENDADA (PES) | Cassie OGNAGNA - LOCKED by CUA - () | Myriam COIGNAC - LOCKED by CUA - (ZE113 -A-F) | OUIAM CHOUKRI (PES) | ANAIS ALBRECHT (QX -CE)</t>
  </si>
  <si>
    <t>LAETITIA SAMSON (PES) | OUIAM CHOUKRI (PES) | FATIMA BENDADA (PES) | Cassie OGNAGNA - LOCKED by CUA - () | Myriam COIGNAC - LOCKED by CUA - (ZE113 -A-F)</t>
  </si>
  <si>
    <t>OUIAM CHOUKRI (PES) | ANAIS ALBRECHT (QX -CE) | LAETITIA SAMSON (PES) | FATIMA BENDADA (PES) | Cassie OGNAGNA - LOCKED by CUA - () | Myriam COIGNAC - LOCKED by CUA - (ZE113 -A-F)</t>
  </si>
  <si>
    <t>OUIAM CHOUKRI (PES) | FATIMA BENDADA (PES) | LAETITIA SAMSON (PES) | ANAIS ALBRECHT (QX -CE)</t>
  </si>
  <si>
    <t>OUIAM CHOUKRI (PES) | Cassie OGNAGNA - LOCKED by CUA - () | ANAIS ALBRECHT (QX -CE) | LAETITIA SAMSON (PES) | FATIMA BENDADA (PES)</t>
  </si>
  <si>
    <t>OUIAM CHOUKRI (PES) | Myriam COIGNAC - LOCKED by CUA - (ZE113 -A-F) | FATIMA BENDADA (PES) | Cassie OGNAGNA - LOCKED by CUA - () | ANAIS ALBRECHT (QX -CE) | LAETITIA SAMSON (PES)</t>
  </si>
  <si>
    <t>OUIAM CHOUKRI (PES) | FATIMA BENDADA (PES) | LAETITIA SAMSON (PES) | Cassie OGNAGNA - LOCKED by CUA - () | ANAIS ALBRECHT (QX -CE)</t>
  </si>
  <si>
    <t>OUIAM CHOUKRI (PES) | Myriam COIGNAC - LOCKED by CUA - (ZE113 -A-F) | FATIMA BENDADA (PES) | LAETITIA SAMSON (PES) | Cassie OGNAGNA - LOCKED by CUA - () | ANAIS ALBRECHT (QX -CE)</t>
  </si>
  <si>
    <t>OUIAM CHOUKRI (PES) | Myriam COIGNAC - LOCKED by CUA - (ZE113 -A-F) | LAETITIA SAMSON (PES) | FATIMA BENDADA (PES)</t>
  </si>
  <si>
    <t>Myriam COIGNAC - LOCKED by CUA - (ZE113 -A-F) | LAETITIA SAMSON (PES) | FATIMA BENDADA (PES) | Cassie OGNAGNA - LOCKED by CUA - ()</t>
  </si>
  <si>
    <t>LAETITIA SAMSON (PES) | Cassie OGNAGNA - LOCKED by CUA - () | OUIAM CHOUKRI (PES) | Myriam COIGNAC - LOCKED by CUA - (ZE113 -A-F) | FATIMA BENDADA (PES)</t>
  </si>
  <si>
    <t>Myriam COIGNAC - LOCKED by CUA - (ZE113 -A-F) | LAETITIA SAMSON (PES) | Cassie OGNAGNA - LOCKED by CUA - () | FATIMA BENDADA (PES) | OUIAM CHOUKRI (PES)</t>
  </si>
  <si>
    <t>LAETITIA SAMSON (PES) | FATIMA BENDADA (PES) | Cassie OGNAGNA - LOCKED by CUA - () | Myriam COIGNAC - LOCKED by CUA - (ZE113 -A-F)</t>
  </si>
  <si>
    <t>OUIAM CHOUKRI (PES) | Cassie OGNAGNA - LOCKED by CUA - () | FATIMA BENDADA (PES)</t>
  </si>
  <si>
    <t>ANAIS ALBRECHT (QX -CE) | LAETITIA SAMSON (PES) | FATIMA BENDADA (PES)</t>
  </si>
  <si>
    <t>LAETITIA SAMSON (PES) | Myriam COIGNAC - LOCKED by CUA - (ZE113 -A-F) | Cassie OGNAGNA - LOCKED by CUA - () | OUIAM CHOUKRI (PES) | FATIMA BENDADA (PES)</t>
  </si>
  <si>
    <t>Myriam COIGNAC - LOCKED by CUA - (ZE113 -A-F) | LAETITIA SAMSON (PES) | OUIAM CHOUKRI (PES) | Cassie OGNAGNA - LOCKED by CUA - () | FATIMA BENDADA (PES)</t>
  </si>
  <si>
    <t>Myriam COIGNAC - LOCKED by CUA - (ZE113 -A-F) | LAETITIA SAMSON (PES) | Cassie OGNAGNA - LOCKED by CUA - () | FATIMA BENDADA (PES)</t>
  </si>
  <si>
    <t>LAETITIA SAMSON (PES) | ANAIS ALBRECHT (QX -CE) | Cassie OGNAGNA - LOCKED by CUA - () | OUIAM CHOUKRI (PES) | FATIMA BENDADA (PES)</t>
  </si>
  <si>
    <t>OUIAM CHOUKRI (PES) | ANAIS ALBRECHT (QX -CE) | FATIMA BENDADA (PES) | LAETITIA SAMSON (PES)</t>
  </si>
  <si>
    <t>Cassie OGNAGNA - LOCKED by CUA - () | LAETITIA SAMSON (PES) | Myriam COIGNAC - LOCKED by CUA - (ZE113 -A-F) | FATIMA BENDADA (PES)</t>
  </si>
  <si>
    <t>OUIAM CHOUKRI (PES) | LAETITIA SAMSON (PES) | FATIMA BENDADA (PES) | ANAIS ALBRECHT (QX -CE) | Cassie OGNAGNA - LOCKED by CUA - ()</t>
  </si>
  <si>
    <t>LAETITIA SAMSON (PES) | Myriam COIGNAC - LOCKED by CUA - (ZE113 -A-F) | Cassie OGNAGNA - LOCKED by CUA - () | FATIMA BENDADA (PES) | OUIAM CHOUKRI (PES)</t>
  </si>
  <si>
    <t>OUIAM CHOUKRI (PES) | Myriam COIGNAC - LOCKED by CUA - (ZE113 -A-F) | FATIMA BENDADA (PES) | Cassie OGNAGNA - LOCKED by CUA -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</si>
</sst>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 _€_-;\-* #,##0\ _€_-;_-* &quot;-&quot;??\ _€_-;_-@_-"/>
    <numFmt numFmtId="165" formatCode="[$-40C]d\-mmm;@"/>
    <numFmt numFmtId="166" formatCode="dd/mm/yyyy;@"/>
    <numFmt numFmtId="167" formatCode="0.0%"/>
  </numFmts>
  <fonts count="210">
    <font>
      <sz val="10"/>
      <name val="Arial"/>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b/>
      <sz val="10"/>
      <name val="Arial"/>
      <family val="2"/>
    </font>
    <font>
      <b/>
      <sz val="10"/>
      <color indexed="10"/>
      <name val="Arial"/>
      <family val="2"/>
    </font>
    <font>
      <sz val="10"/>
      <name val="Arial"/>
      <family val="2"/>
    </font>
    <font>
      <u/>
      <sz val="10"/>
      <color indexed="12"/>
      <name val="Arial"/>
      <family val="2"/>
    </font>
    <font>
      <b/>
      <sz val="9"/>
      <name val="Arial"/>
      <family val="2"/>
    </font>
    <font>
      <b/>
      <sz val="10"/>
      <color indexed="9"/>
      <name val="Arial"/>
      <family val="2"/>
    </font>
    <font>
      <b/>
      <i/>
      <sz val="10"/>
      <color indexed="9"/>
      <name val="Arial"/>
      <family val="2"/>
    </font>
    <font>
      <b/>
      <sz val="10"/>
      <color indexed="18"/>
      <name val="Arial"/>
      <family val="2"/>
    </font>
    <font>
      <sz val="10"/>
      <name val="Arial Narrow"/>
      <family val="2"/>
    </font>
    <font>
      <b/>
      <sz val="8"/>
      <name val="Arial"/>
      <family val="2"/>
    </font>
    <font>
      <sz val="9"/>
      <name val="Arial"/>
      <family val="2"/>
    </font>
    <font>
      <sz val="8"/>
      <name val="Arial"/>
      <family val="2"/>
    </font>
    <font>
      <sz val="12"/>
      <name val="Arial"/>
      <family val="2"/>
    </font>
    <font>
      <b/>
      <sz val="10"/>
      <color indexed="53"/>
      <name val="Arial"/>
      <family val="2"/>
    </font>
    <font>
      <b/>
      <sz val="10"/>
      <color indexed="57"/>
      <name val="Arial"/>
      <family val="2"/>
    </font>
    <font>
      <b/>
      <sz val="14"/>
      <name val="Arial"/>
      <family val="2"/>
    </font>
    <font>
      <b/>
      <sz val="20"/>
      <name val="Arial"/>
      <family val="2"/>
    </font>
    <font>
      <b/>
      <sz val="10"/>
      <name val="Zymbol"/>
      <family val="5"/>
    </font>
    <font>
      <sz val="12"/>
      <color indexed="8"/>
      <name val="Arial"/>
      <family val="2"/>
    </font>
    <font>
      <b/>
      <sz val="12"/>
      <name val="Arial"/>
      <family val="2"/>
    </font>
    <font>
      <sz val="11"/>
      <color theme="1"/>
      <name val="Arial"/>
      <family val="2"/>
    </font>
    <font>
      <b/>
      <sz val="14"/>
      <color theme="3" tint="-0.249977111117893"/>
      <name val="Arial"/>
      <family val="2"/>
    </font>
    <font>
      <b/>
      <sz val="10"/>
      <color theme="1"/>
      <name val="Arial"/>
      <family val="2"/>
    </font>
    <font>
      <b/>
      <sz val="18"/>
      <color theme="3"/>
      <name val="Cambria"/>
      <family val="2"/>
      <scheme val="major"/>
    </font>
    <font>
      <b/>
      <sz val="15"/>
      <color theme="3"/>
      <name val="Arial"/>
      <family val="2"/>
    </font>
    <font>
      <b/>
      <sz val="13"/>
      <color theme="3"/>
      <name val="Arial"/>
      <family val="2"/>
    </font>
    <font>
      <b/>
      <sz val="11"/>
      <color theme="3"/>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b/>
      <sz val="10"/>
      <name val="Calibri"/>
      <family val="2"/>
      <scheme val="minor"/>
    </font>
    <font>
      <b/>
      <sz val="10"/>
      <color rgb="FFCCFFFF"/>
      <name val="Arial"/>
      <family val="2"/>
    </font>
    <font>
      <b/>
      <sz val="11"/>
      <name val="Arial"/>
      <family val="2"/>
    </font>
    <font>
      <b/>
      <sz val="22"/>
      <color theme="0" tint="-0.249977111117893"/>
      <name val="Arial"/>
      <family val="2"/>
    </font>
    <font>
      <b/>
      <sz val="16"/>
      <color rgb="FFCCFFFF"/>
      <name val="Arial"/>
      <family val="2"/>
    </font>
    <font>
      <b/>
      <sz val="12"/>
      <color rgb="FF0070C0"/>
      <name val="Arial"/>
      <family val="2"/>
    </font>
  </fonts>
  <fills count="66">
    <fill>
      <patternFill patternType="none"/>
    </fill>
    <fill>
      <patternFill patternType="gray125"/>
    </fill>
    <fill>
      <patternFill patternType="solid">
        <fgColor indexed="9"/>
        <bgColor indexed="64"/>
      </patternFill>
    </fill>
    <fill>
      <patternFill patternType="solid">
        <fgColor indexed="31"/>
        <bgColor indexed="64"/>
      </patternFill>
    </fill>
    <fill>
      <patternFill patternType="solid">
        <fgColor indexed="43"/>
        <bgColor indexed="64"/>
      </patternFill>
    </fill>
    <fill>
      <patternFill patternType="solid">
        <fgColor indexed="41"/>
        <bgColor indexed="64"/>
      </patternFill>
    </fill>
    <fill>
      <patternFill patternType="solid">
        <fgColor indexed="44"/>
        <bgColor indexed="64"/>
      </patternFill>
    </fill>
    <fill>
      <patternFill patternType="solid">
        <fgColor indexed="55"/>
        <bgColor indexed="64"/>
      </patternFill>
    </fill>
    <fill>
      <patternFill patternType="gray125">
        <bgColor indexed="18"/>
      </patternFill>
    </fill>
    <fill>
      <patternFill patternType="solid">
        <fgColor rgb="FFCCECFF"/>
        <bgColor indexed="64"/>
      </patternFill>
    </fill>
    <fill>
      <patternFill patternType="solid">
        <fgColor theme="2" tint="-9.9978637043366805E-2"/>
        <bgColor indexed="64"/>
      </patternFill>
    </fill>
    <fill>
      <patternFill patternType="solid">
        <fgColor theme="0"/>
        <bgColor indexed="64"/>
      </patternFill>
    </fill>
    <fill>
      <patternFill patternType="solid">
        <fgColor rgb="FFCCFFFF"/>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FFC000"/>
        <bgColor indexed="64"/>
      </patternFill>
    </fill>
    <fill>
      <patternFill patternType="solid">
        <fgColor rgb="FFFF0000"/>
        <bgColor indexed="64"/>
      </patternFill>
    </fill>
    <fill>
      <patternFill patternType="solid">
        <fgColor rgb="FF66FF3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2"/>
        <bgColor indexed="64"/>
      </patternFill>
    </fill>
    <fill>
      <patternFill patternType="solid">
        <fgColor rgb="FFFFCCFF"/>
        <bgColor indexed="64"/>
      </patternFill>
    </fill>
    <fill>
      <patternFill patternType="solid">
        <fgColor theme="5" tint="0.79998168889431442"/>
        <bgColor indexed="64"/>
      </patternFill>
    </fill>
    <fill>
      <patternFill patternType="solid">
        <fgColor indexed="11"/>
        <bgColor indexed="64"/>
      </patternFill>
    </fill>
    <fill>
      <patternFill patternType="solid">
        <fgColor indexed="52"/>
        <bgColor indexed="64"/>
      </patternFill>
    </fill>
    <fill>
      <patternFill patternType="solid">
        <fgColor indexed="13"/>
        <bgColor indexed="64"/>
      </patternFill>
    </fill>
    <fill>
      <patternFill patternType="solid">
        <fgColor indexed="10"/>
        <bgColor indexed="64"/>
      </patternFill>
    </fill>
    <fill>
      <patternFill patternType="solid">
        <fgColor indexed="22"/>
        <bgColor indexed="64"/>
      </patternFill>
    </fill>
    <fill>
      <patternFill patternType="solid">
        <fgColor theme="0" tint="-0.249977111117893"/>
        <bgColor indexed="64"/>
      </patternFill>
    </fill>
    <fill>
      <patternFill patternType="solid">
        <fgColor theme="5" tint="0.59999389629810485"/>
        <bgColor indexed="64"/>
      </patternFill>
    </fill>
  </fills>
  <borders count="124">
    <border>
      <left/>
      <right/>
      <top/>
      <bottom/>
      <diagonal/>
    </border>
    <border>
      <left style="thin">
        <color indexed="64"/>
      </left>
      <right style="thin">
        <color indexed="22"/>
      </right>
      <top style="thin">
        <color indexed="64"/>
      </top>
      <bottom style="thin">
        <color indexed="22"/>
      </bottom>
      <diagonal/>
    </border>
    <border>
      <left style="thin">
        <color indexed="64"/>
      </left>
      <right style="thin">
        <color indexed="64"/>
      </right>
      <top style="thin">
        <color indexed="64"/>
      </top>
      <bottom style="thin">
        <color indexed="64"/>
      </bottom>
      <diagonal/>
    </border>
    <border>
      <left style="thin">
        <color indexed="54"/>
      </left>
      <right style="hair">
        <color indexed="54"/>
      </right>
      <top style="hair">
        <color indexed="54"/>
      </top>
      <bottom style="thin">
        <color indexed="54"/>
      </bottom>
      <diagonal/>
    </border>
    <border>
      <left style="hair">
        <color indexed="54"/>
      </left>
      <right style="hair">
        <color indexed="54"/>
      </right>
      <top style="hair">
        <color indexed="54"/>
      </top>
      <bottom style="thin">
        <color indexed="54"/>
      </bottom>
      <diagonal/>
    </border>
    <border>
      <left style="thin">
        <color indexed="54"/>
      </left>
      <right style="hair">
        <color indexed="54"/>
      </right>
      <top style="thin">
        <color indexed="54"/>
      </top>
      <bottom/>
      <diagonal/>
    </border>
    <border>
      <left style="thin">
        <color indexed="54"/>
      </left>
      <right/>
      <top style="thin">
        <color indexed="54"/>
      </top>
      <bottom style="thin">
        <color indexed="54"/>
      </bottom>
      <diagonal/>
    </border>
    <border>
      <left/>
      <right/>
      <top style="thin">
        <color indexed="54"/>
      </top>
      <bottom style="thin">
        <color indexed="54"/>
      </bottom>
      <diagonal/>
    </border>
    <border>
      <left style="medium">
        <color indexed="64"/>
      </left>
      <right/>
      <top style="medium">
        <color indexed="64"/>
      </top>
      <bottom style="thin">
        <color indexed="8"/>
      </bottom>
      <diagonal/>
    </border>
    <border>
      <left style="medium">
        <color indexed="64"/>
      </left>
      <right style="thin">
        <color indexed="54"/>
      </right>
      <top style="thin">
        <color indexed="54"/>
      </top>
      <bottom style="thin">
        <color indexed="54"/>
      </bottom>
      <diagonal/>
    </border>
    <border>
      <left style="medium">
        <color indexed="64"/>
      </left>
      <right style="thin">
        <color indexed="54"/>
      </right>
      <top/>
      <bottom style="thin">
        <color indexed="54"/>
      </bottom>
      <diagonal/>
    </border>
    <border>
      <left/>
      <right style="medium">
        <color indexed="64"/>
      </right>
      <top style="thin">
        <color indexed="54"/>
      </top>
      <bottom style="thin">
        <color indexed="54"/>
      </bottom>
      <diagonal/>
    </border>
    <border>
      <left style="medium">
        <color indexed="64"/>
      </left>
      <right style="thin">
        <color indexed="54"/>
      </right>
      <top style="thin">
        <color indexed="54"/>
      </top>
      <bottom style="medium">
        <color indexed="64"/>
      </bottom>
      <diagonal/>
    </border>
    <border>
      <left style="thin">
        <color indexed="64"/>
      </left>
      <right style="thin">
        <color indexed="54"/>
      </right>
      <top style="thin">
        <color indexed="54"/>
      </top>
      <bottom style="thin">
        <color indexed="54"/>
      </bottom>
      <diagonal/>
    </border>
    <border>
      <left style="thin">
        <color indexed="64"/>
      </left>
      <right style="thin">
        <color indexed="54"/>
      </right>
      <top/>
      <bottom style="thin">
        <color indexed="5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dotted">
        <color indexed="64"/>
      </bottom>
      <diagonal/>
    </border>
    <border>
      <left style="hair">
        <color indexed="54"/>
      </left>
      <right style="thin">
        <color indexed="54"/>
      </right>
      <top style="hair">
        <color indexed="54"/>
      </top>
      <bottom style="thin">
        <color indexed="54"/>
      </bottom>
      <diagonal/>
    </border>
    <border>
      <left style="thin">
        <color indexed="54"/>
      </left>
      <right style="hair">
        <color indexed="54"/>
      </right>
      <top style="hair">
        <color indexed="54"/>
      </top>
      <bottom/>
      <diagonal/>
    </border>
    <border>
      <left style="hair">
        <color indexed="54"/>
      </left>
      <right style="hair">
        <color indexed="54"/>
      </right>
      <top style="hair">
        <color indexed="5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54"/>
      </left>
      <right style="thin">
        <color indexed="54"/>
      </right>
      <top style="thin">
        <color indexed="54"/>
      </top>
      <bottom style="thin">
        <color indexed="54"/>
      </bottom>
      <diagonal/>
    </border>
    <border>
      <left style="thin">
        <color indexed="54"/>
      </left>
      <right style="medium">
        <color indexed="64"/>
      </right>
      <top style="thin">
        <color indexed="54"/>
      </top>
      <bottom style="thin">
        <color indexed="54"/>
      </bottom>
      <diagonal/>
    </border>
    <border>
      <left style="thin">
        <color indexed="54"/>
      </left>
      <right style="thin">
        <color indexed="54"/>
      </right>
      <top/>
      <bottom style="thin">
        <color indexed="54"/>
      </bottom>
      <diagonal/>
    </border>
    <border>
      <left style="thin">
        <color indexed="54"/>
      </left>
      <right style="medium">
        <color indexed="64"/>
      </right>
      <top/>
      <bottom style="thin">
        <color indexed="54"/>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thin">
        <color indexed="54"/>
      </left>
      <right style="thin">
        <color indexed="54"/>
      </right>
      <top style="thin">
        <color indexed="54"/>
      </top>
      <bottom style="medium">
        <color indexed="64"/>
      </bottom>
      <diagonal/>
    </border>
    <border>
      <left style="thin">
        <color indexed="54"/>
      </left>
      <right style="medium">
        <color indexed="64"/>
      </right>
      <top style="thin">
        <color indexed="54"/>
      </top>
      <bottom style="medium">
        <color indexed="64"/>
      </bottom>
      <diagonal/>
    </border>
    <border>
      <left style="thin">
        <color indexed="54"/>
      </left>
      <right/>
      <top style="thin">
        <color indexed="8"/>
      </top>
      <bottom style="medium">
        <color indexed="64"/>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style="thin">
        <color indexed="54"/>
      </left>
      <right/>
      <top/>
      <bottom/>
      <diagonal/>
    </border>
    <border>
      <left/>
      <right style="medium">
        <color rgb="FF00B0F0"/>
      </right>
      <top style="medium">
        <color rgb="FF00B0F0"/>
      </top>
      <bottom/>
      <diagonal/>
    </border>
    <border>
      <left/>
      <right style="medium">
        <color rgb="FF00B0F0"/>
      </right>
      <top/>
      <bottom/>
      <diagonal/>
    </border>
    <border>
      <left style="medium">
        <color rgb="FF00B0F0"/>
      </left>
      <right/>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dotted">
        <color theme="0" tint="-0.499984740745262"/>
      </left>
      <right style="thin">
        <color rgb="FF00B0F0"/>
      </right>
      <top/>
      <bottom style="dotted">
        <color theme="0" tint="-0.499984740745262"/>
      </bottom>
      <diagonal/>
    </border>
    <border>
      <left style="dotted">
        <color theme="0" tint="-0.499984740745262"/>
      </left>
      <right style="thin">
        <color rgb="FF00B0F0"/>
      </right>
      <top style="thin">
        <color rgb="FF00B0F0"/>
      </top>
      <bottom style="thin">
        <color rgb="FF00B0F0"/>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bottom/>
      <diagonal/>
    </border>
    <border>
      <left/>
      <right style="medium">
        <color rgb="FF0070C0"/>
      </right>
      <top/>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dotted">
        <color theme="0" tint="-0.499984740745262"/>
      </right>
      <top/>
      <bottom style="dotted">
        <color theme="0" tint="-0.499984740745262"/>
      </bottom>
      <diagonal/>
    </border>
    <border>
      <left/>
      <right style="dotted">
        <color theme="0" tint="-0.499984740745262"/>
      </right>
      <top style="thin">
        <color rgb="FF00B0F0"/>
      </top>
      <bottom style="thin">
        <color rgb="FF00B0F0"/>
      </bottom>
      <diagonal/>
    </border>
    <border>
      <left style="medium">
        <color rgb="FF00B0F0"/>
      </left>
      <right/>
      <top style="medium">
        <color rgb="FF00B0F0"/>
      </top>
      <bottom style="medium">
        <color rgb="FF0070C0"/>
      </bottom>
      <diagonal/>
    </border>
    <border>
      <left/>
      <right/>
      <top style="medium">
        <color rgb="FF00B0F0"/>
      </top>
      <bottom style="medium">
        <color rgb="FF0070C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hair">
        <color indexed="54"/>
      </left>
      <right style="hair">
        <color indexed="54"/>
      </right>
      <top style="hair">
        <color indexed="54"/>
      </top>
      <bottom style="hair">
        <color indexed="54"/>
      </bottom>
      <diagonal/>
    </border>
    <border>
      <left style="medium">
        <color indexed="64"/>
      </left>
      <right/>
      <top style="medium">
        <color indexed="64"/>
      </top>
      <bottom style="medium">
        <color indexed="64"/>
      </bottom>
      <diagonal/>
    </border>
    <border>
      <left/>
      <right style="thin">
        <color indexed="54"/>
      </right>
      <top style="medium">
        <color indexed="64"/>
      </top>
      <bottom style="medium">
        <color indexed="64"/>
      </bottom>
      <diagonal/>
    </border>
    <border>
      <left style="thin">
        <color indexed="54"/>
      </left>
      <right style="thin">
        <color indexed="54"/>
      </right>
      <top style="medium">
        <color indexed="64"/>
      </top>
      <bottom style="medium">
        <color indexed="64"/>
      </bottom>
      <diagonal/>
    </border>
    <border>
      <left style="thin">
        <color indexed="54"/>
      </left>
      <right style="medium">
        <color indexed="64"/>
      </right>
      <top style="medium">
        <color indexed="64"/>
      </top>
      <bottom style="medium">
        <color indexed="64"/>
      </bottom>
      <diagonal/>
    </border>
    <border>
      <left style="hair">
        <color indexed="54"/>
      </left>
      <right/>
      <top style="hair">
        <color indexed="54"/>
      </top>
      <bottom style="thin">
        <color indexed="54"/>
      </bottom>
      <diagonal/>
    </border>
    <border>
      <left style="hair">
        <color indexed="64"/>
      </left>
      <right/>
      <top style="thin">
        <color indexed="64"/>
      </top>
      <bottom style="thin">
        <color indexed="64"/>
      </bottom>
      <diagonal/>
    </border>
    <border>
      <left style="hair">
        <color indexed="54"/>
      </left>
      <right style="thin">
        <color indexed="54"/>
      </right>
      <top style="hair">
        <color indexed="54"/>
      </top>
      <bottom/>
      <diagonal/>
    </border>
    <border>
      <left style="hair">
        <color indexed="54"/>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rgb="FF00B0F0"/>
      </left>
      <right/>
      <top style="thin">
        <color rgb="FF00B0F0"/>
      </top>
      <bottom style="thin">
        <color rgb="FF00B0F0"/>
      </bottom>
      <diagonal/>
    </border>
    <border>
      <left style="thin">
        <color rgb="FF00B0F0"/>
      </left>
      <right/>
      <top/>
      <bottom style="dotted">
        <color theme="0" tint="-0.499984740745262"/>
      </bottom>
      <diagonal/>
    </border>
    <border>
      <left style="thin">
        <color rgb="FF00B0F0"/>
      </left>
      <right/>
      <top style="dotted">
        <color theme="0" tint="-0.499984740745262"/>
      </top>
      <bottom style="dotted">
        <color theme="0" tint="-0.499984740745262"/>
      </bottom>
      <diagonal/>
    </border>
    <border>
      <left style="thin">
        <color rgb="FF00B0F0"/>
      </left>
      <right/>
      <top/>
      <bottom/>
      <diagonal/>
    </border>
    <border>
      <left style="thin">
        <color rgb="FF00B0F0"/>
      </left>
      <right style="dotted">
        <color theme="0" tint="-0.34998626667073579"/>
      </right>
      <top style="thin">
        <color rgb="FF00B0F0"/>
      </top>
      <bottom style="thin">
        <color rgb="FF00B0F0"/>
      </bottom>
      <diagonal/>
    </border>
    <border>
      <left style="thin">
        <color rgb="FF00B0F0"/>
      </left>
      <right style="dotted">
        <color theme="0" tint="-0.34998626667073579"/>
      </right>
      <top/>
      <bottom style="dotted">
        <color theme="0" tint="-0.499984740745262"/>
      </bottom>
      <diagonal/>
    </border>
    <border>
      <left style="dotted">
        <color rgb="FF00B0F0"/>
      </left>
      <right style="thin">
        <color rgb="FF00B0F0"/>
      </right>
      <top style="thin">
        <color rgb="FF00B0F0"/>
      </top>
      <bottom style="thin">
        <color rgb="FF00B0F0"/>
      </bottom>
      <diagonal/>
    </border>
    <border>
      <left style="dotted">
        <color rgb="FF00B0F0"/>
      </left>
      <right style="thin">
        <color rgb="FF00B0F0"/>
      </right>
      <top/>
      <bottom style="dotted">
        <color theme="0" tint="-0.499984740745262"/>
      </bottom>
      <diagonal/>
    </border>
    <border>
      <left style="dotted">
        <color rgb="FF00B0F0"/>
      </left>
      <right style="thin">
        <color rgb="FF00B0F0"/>
      </right>
      <top/>
      <bottom/>
      <diagonal/>
    </border>
    <border>
      <left style="thin">
        <color rgb="FF00B0F0"/>
      </left>
      <right/>
      <top style="thin">
        <color rgb="FF00B0F0"/>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style="thin">
        <color rgb="FF00B0F0"/>
      </right>
      <top style="thin">
        <color rgb="FF00B0F0"/>
      </top>
      <bottom style="thin">
        <color rgb="FF00B0F0"/>
      </bottom>
      <diagonal/>
    </border>
    <border>
      <left/>
      <right/>
      <top style="medium">
        <color rgb="FF00B0F0"/>
      </top>
      <bottom/>
      <diagonal/>
    </border>
    <border>
      <left style="thin">
        <color rgb="FF00B0F0"/>
      </left>
      <right style="medium">
        <color rgb="FF00B0F0"/>
      </right>
      <top/>
      <bottom/>
      <diagonal/>
    </border>
    <border>
      <left/>
      <right/>
      <top style="thin">
        <color rgb="FF00B0F0"/>
      </top>
      <bottom/>
      <diagonal/>
    </border>
    <border>
      <left/>
      <right style="thin">
        <color rgb="FF00B0F0"/>
      </right>
      <top style="thin">
        <color rgb="FF00B0F0"/>
      </top>
      <bottom/>
      <diagonal/>
    </border>
    <border>
      <left/>
      <right/>
      <top/>
      <bottom style="thin">
        <color rgb="FF00B0F0"/>
      </bottom>
      <diagonal/>
    </border>
    <border>
      <left/>
      <right style="thin">
        <color rgb="FF00B0F0"/>
      </right>
      <top/>
      <bottom style="thin">
        <color rgb="FF00B0F0"/>
      </bottom>
      <diagonal/>
    </border>
    <border>
      <left style="thin">
        <color rgb="FF00B0F0"/>
      </left>
      <right/>
      <top/>
      <bottom style="thin">
        <color rgb="FF00B0F0"/>
      </bottom>
      <diagonal/>
    </border>
    <border>
      <left style="hair">
        <color indexed="54"/>
      </left>
      <right style="hair">
        <color indexed="54"/>
      </right>
      <top style="thin">
        <color indexed="54"/>
      </top>
      <bottom style="thin">
        <color indexed="54"/>
      </bottom>
      <diagonal/>
    </border>
    <border>
      <left style="hair">
        <color indexed="54"/>
      </left>
      <right style="hair">
        <color indexed="54"/>
      </right>
      <top style="thin">
        <color indexed="54"/>
      </top>
      <bottom/>
      <diagonal/>
    </border>
    <border>
      <left style="thin">
        <color indexed="54"/>
      </left>
      <right style="hair">
        <color indexed="54"/>
      </right>
      <top/>
      <bottom style="thin">
        <color indexed="54"/>
      </bottom>
      <diagonal/>
    </border>
    <border>
      <left style="hair">
        <color indexed="54"/>
      </left>
      <right style="hair">
        <color indexed="54"/>
      </right>
      <top/>
      <bottom style="thin">
        <color indexed="54"/>
      </bottom>
      <diagonal/>
    </border>
    <border>
      <left style="medium">
        <color indexed="54"/>
      </left>
      <right style="hair">
        <color indexed="54"/>
      </right>
      <top style="medium">
        <color indexed="54"/>
      </top>
      <bottom style="medium">
        <color indexed="54"/>
      </bottom>
      <diagonal/>
    </border>
    <border>
      <left style="thin">
        <color rgb="FF00B0F0"/>
      </left>
      <right/>
      <top style="medium">
        <color indexed="54"/>
      </top>
      <bottom style="medium">
        <color indexed="54"/>
      </bottom>
      <diagonal/>
    </border>
    <border>
      <left style="dotted">
        <color rgb="FF00B0F0"/>
      </left>
      <right style="thin">
        <color rgb="FF00B0F0"/>
      </right>
      <top style="medium">
        <color indexed="54"/>
      </top>
      <bottom style="medium">
        <color indexed="54"/>
      </bottom>
      <diagonal/>
    </border>
    <border>
      <left style="hair">
        <color indexed="54"/>
      </left>
      <right style="hair">
        <color indexed="54"/>
      </right>
      <top style="medium">
        <color indexed="54"/>
      </top>
      <bottom style="medium">
        <color indexed="54"/>
      </bottom>
      <diagonal/>
    </border>
    <border>
      <left/>
      <right/>
      <top style="medium">
        <color indexed="54"/>
      </top>
      <bottom style="medium">
        <color indexed="54"/>
      </bottom>
      <diagonal/>
    </border>
    <border>
      <left style="thin">
        <color indexed="54"/>
      </left>
      <right style="hair">
        <color indexed="54"/>
      </right>
      <top style="medium">
        <color indexed="54"/>
      </top>
      <bottom style="medium">
        <color indexed="54"/>
      </bottom>
      <diagonal/>
    </border>
    <border>
      <left style="hair">
        <color indexed="54"/>
      </left>
      <right style="medium">
        <color indexed="54"/>
      </right>
      <top style="medium">
        <color indexed="54"/>
      </top>
      <bottom style="medium">
        <color indexed="54"/>
      </bottom>
      <diagonal/>
    </border>
    <border>
      <left style="thin">
        <color indexed="54"/>
      </left>
      <right style="thin">
        <color indexed="64"/>
      </right>
      <top style="thin">
        <color indexed="54"/>
      </top>
      <bottom style="thin">
        <color indexed="5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hair">
        <color indexed="54"/>
      </right>
      <top style="thin">
        <color indexed="54"/>
      </top>
      <bottom/>
      <diagonal/>
    </border>
    <border>
      <left style="thin">
        <color indexed="64"/>
      </left>
      <right style="thin">
        <color indexed="64"/>
      </right>
      <top style="dotted">
        <color indexed="64"/>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tted">
        <color indexed="64"/>
      </bottom>
      <diagonal/>
    </border>
    <border>
      <left/>
      <right style="thin">
        <color rgb="FF00B0F0"/>
      </right>
      <top/>
      <bottom/>
      <diagonal/>
    </border>
    <border>
      <left style="thin">
        <color rgb="FF00B0F0"/>
      </left>
      <right style="thin">
        <color rgb="FF00B0F0"/>
      </right>
      <top/>
      <bottom/>
      <diagonal/>
    </border>
    <border>
      <left style="medium">
        <color indexed="64"/>
      </left>
      <right style="thin">
        <color indexed="54"/>
      </right>
      <top style="thin">
        <color indexed="54"/>
      </top>
      <bottom style="thin">
        <color indexed="54"/>
      </bottom>
      <diagonal/>
    </border>
    <border>
      <left style="thin">
        <color indexed="54"/>
      </left>
      <right/>
      <top style="thin">
        <color indexed="54"/>
      </top>
      <bottom style="thin">
        <color indexed="54"/>
      </bottom>
      <diagonal/>
    </border>
    <border>
      <left/>
      <right/>
      <top style="thin">
        <color indexed="54"/>
      </top>
      <bottom style="thin">
        <color indexed="54"/>
      </bottom>
      <diagonal/>
    </border>
    <border>
      <left/>
      <right style="medium">
        <color indexed="64"/>
      </right>
      <top style="thin">
        <color indexed="54"/>
      </top>
      <bottom style="thin">
        <color indexed="54"/>
      </bottom>
      <diagonal/>
    </border>
    <border>
      <left style="thin">
        <color indexed="54"/>
      </left>
      <right/>
      <top/>
      <bottom style="thin">
        <color indexed="54"/>
      </bottom>
      <diagonal/>
    </border>
    <border>
      <left style="thin">
        <color indexed="64"/>
      </left>
      <right style="thin">
        <color indexed="64"/>
      </right>
      <top style="thin">
        <color indexed="64"/>
      </top>
      <bottom style="thin">
        <color indexed="64"/>
      </bottom>
      <diagonal/>
    </border>
  </borders>
  <cellStyleXfs count="232">
    <xf numFmtId="0" fontId="0" fillId="0" borderId="0"/>
    <xf numFmtId="0" fontId="168" fillId="0" borderId="0" applyNumberFormat="0" applyFill="0" applyBorder="0" applyAlignment="0" applyProtection="0">
      <alignment vertical="top"/>
      <protection locked="0"/>
    </xf>
    <xf numFmtId="0" fontId="185" fillId="0" borderId="0"/>
    <xf numFmtId="0" fontId="167" fillId="0" borderId="0"/>
    <xf numFmtId="164" fontId="173" fillId="0" borderId="1" applyBorder="0"/>
    <xf numFmtId="0" fontId="188" fillId="0" borderId="0" applyNumberFormat="0" applyFill="0" applyBorder="0" applyAlignment="0" applyProtection="0"/>
    <xf numFmtId="0" fontId="189" fillId="0" borderId="57" applyNumberFormat="0" applyFill="0" applyAlignment="0" applyProtection="0"/>
    <xf numFmtId="0" fontId="190" fillId="0" borderId="58" applyNumberFormat="0" applyFill="0" applyAlignment="0" applyProtection="0"/>
    <xf numFmtId="0" fontId="191" fillId="0" borderId="59" applyNumberFormat="0" applyFill="0" applyAlignment="0" applyProtection="0"/>
    <xf numFmtId="0" fontId="191" fillId="0" borderId="0" applyNumberFormat="0" applyFill="0" applyBorder="0" applyAlignment="0" applyProtection="0"/>
    <xf numFmtId="0" fontId="192" fillId="20" borderId="0" applyNumberFormat="0" applyBorder="0" applyAlignment="0" applyProtection="0"/>
    <xf numFmtId="0" fontId="193" fillId="21" borderId="0" applyNumberFormat="0" applyBorder="0" applyAlignment="0" applyProtection="0"/>
    <xf numFmtId="0" fontId="194" fillId="22" borderId="0" applyNumberFormat="0" applyBorder="0" applyAlignment="0" applyProtection="0"/>
    <xf numFmtId="0" fontId="195" fillId="23" borderId="60" applyNumberFormat="0" applyAlignment="0" applyProtection="0"/>
    <xf numFmtId="0" fontId="196" fillId="24" borderId="61" applyNumberFormat="0" applyAlignment="0" applyProtection="0"/>
    <xf numFmtId="0" fontId="197" fillId="24" borderId="60" applyNumberFormat="0" applyAlignment="0" applyProtection="0"/>
    <xf numFmtId="0" fontId="198" fillId="0" borderId="62" applyNumberFormat="0" applyFill="0" applyAlignment="0" applyProtection="0"/>
    <xf numFmtId="0" fontId="199" fillId="25" borderId="63" applyNumberFormat="0" applyAlignment="0" applyProtection="0"/>
    <xf numFmtId="0" fontId="200" fillId="0" borderId="0" applyNumberFormat="0" applyFill="0" applyBorder="0" applyAlignment="0" applyProtection="0"/>
    <xf numFmtId="0" fontId="201" fillId="0" borderId="0" applyNumberFormat="0" applyFill="0" applyBorder="0" applyAlignment="0" applyProtection="0"/>
    <xf numFmtId="0" fontId="202" fillId="0" borderId="65" applyNumberFormat="0" applyFill="0" applyAlignment="0" applyProtection="0"/>
    <xf numFmtId="0" fontId="203" fillId="27" borderId="0" applyNumberFormat="0" applyBorder="0" applyAlignment="0" applyProtection="0"/>
    <xf numFmtId="0" fontId="164" fillId="28" borderId="0" applyNumberFormat="0" applyBorder="0" applyAlignment="0" applyProtection="0"/>
    <xf numFmtId="0" fontId="164" fillId="29" borderId="0" applyNumberFormat="0" applyBorder="0" applyAlignment="0" applyProtection="0"/>
    <xf numFmtId="0" fontId="203" fillId="30" borderId="0" applyNumberFormat="0" applyBorder="0" applyAlignment="0" applyProtection="0"/>
    <xf numFmtId="0" fontId="203" fillId="31" borderId="0" applyNumberFormat="0" applyBorder="0" applyAlignment="0" applyProtection="0"/>
    <xf numFmtId="0" fontId="164" fillId="32" borderId="0" applyNumberFormat="0" applyBorder="0" applyAlignment="0" applyProtection="0"/>
    <xf numFmtId="0" fontId="164" fillId="33" borderId="0" applyNumberFormat="0" applyBorder="0" applyAlignment="0" applyProtection="0"/>
    <xf numFmtId="0" fontId="203" fillId="34" borderId="0" applyNumberFormat="0" applyBorder="0" applyAlignment="0" applyProtection="0"/>
    <xf numFmtId="0" fontId="203" fillId="35" borderId="0" applyNumberFormat="0" applyBorder="0" applyAlignment="0" applyProtection="0"/>
    <xf numFmtId="0" fontId="164" fillId="36" borderId="0" applyNumberFormat="0" applyBorder="0" applyAlignment="0" applyProtection="0"/>
    <xf numFmtId="0" fontId="164" fillId="37" borderId="0" applyNumberFormat="0" applyBorder="0" applyAlignment="0" applyProtection="0"/>
    <xf numFmtId="0" fontId="203" fillId="38" borderId="0" applyNumberFormat="0" applyBorder="0" applyAlignment="0" applyProtection="0"/>
    <xf numFmtId="0" fontId="203" fillId="39" borderId="0" applyNumberFormat="0" applyBorder="0" applyAlignment="0" applyProtection="0"/>
    <xf numFmtId="0" fontId="164" fillId="40" borderId="0" applyNumberFormat="0" applyBorder="0" applyAlignment="0" applyProtection="0"/>
    <xf numFmtId="0" fontId="164" fillId="41" borderId="0" applyNumberFormat="0" applyBorder="0" applyAlignment="0" applyProtection="0"/>
    <xf numFmtId="0" fontId="203" fillId="42" borderId="0" applyNumberFormat="0" applyBorder="0" applyAlignment="0" applyProtection="0"/>
    <xf numFmtId="0" fontId="203" fillId="43" borderId="0" applyNumberFormat="0" applyBorder="0" applyAlignment="0" applyProtection="0"/>
    <xf numFmtId="0" fontId="164" fillId="44" borderId="0" applyNumberFormat="0" applyBorder="0" applyAlignment="0" applyProtection="0"/>
    <xf numFmtId="0" fontId="164" fillId="45" borderId="0" applyNumberFormat="0" applyBorder="0" applyAlignment="0" applyProtection="0"/>
    <xf numFmtId="0" fontId="203" fillId="46" borderId="0" applyNumberFormat="0" applyBorder="0" applyAlignment="0" applyProtection="0"/>
    <xf numFmtId="0" fontId="203" fillId="47" borderId="0" applyNumberFormat="0" applyBorder="0" applyAlignment="0" applyProtection="0"/>
    <xf numFmtId="0" fontId="164" fillId="48" borderId="0" applyNumberFormat="0" applyBorder="0" applyAlignment="0" applyProtection="0"/>
    <xf numFmtId="0" fontId="164" fillId="49" borderId="0" applyNumberFormat="0" applyBorder="0" applyAlignment="0" applyProtection="0"/>
    <xf numFmtId="0" fontId="203" fillId="50" borderId="0" applyNumberFormat="0" applyBorder="0" applyAlignment="0" applyProtection="0"/>
    <xf numFmtId="0" fontId="164" fillId="0" borderId="0"/>
    <xf numFmtId="0" fontId="164" fillId="26" borderId="64" applyNumberFormat="0" applyFont="0" applyAlignment="0" applyProtection="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3" fillId="0" borderId="0"/>
    <xf numFmtId="0" fontId="162" fillId="0" borderId="0"/>
    <xf numFmtId="0" fontId="161" fillId="0" borderId="0"/>
    <xf numFmtId="0" fontId="160" fillId="0" borderId="0"/>
    <xf numFmtId="0" fontId="159" fillId="0" borderId="0"/>
    <xf numFmtId="0" fontId="158" fillId="0" borderId="0"/>
    <xf numFmtId="0" fontId="157" fillId="0" borderId="0"/>
    <xf numFmtId="0" fontId="156" fillId="0" borderId="0"/>
    <xf numFmtId="0" fontId="155" fillId="0" borderId="0"/>
    <xf numFmtId="0" fontId="154" fillId="0" borderId="0"/>
    <xf numFmtId="0" fontId="153" fillId="0" borderId="0"/>
    <xf numFmtId="0" fontId="152" fillId="0" borderId="0"/>
    <xf numFmtId="0" fontId="151" fillId="0" borderId="0"/>
    <xf numFmtId="0" fontId="150" fillId="0" borderId="0"/>
    <xf numFmtId="0" fontId="149" fillId="0" borderId="0"/>
    <xf numFmtId="0" fontId="148" fillId="0" borderId="0"/>
    <xf numFmtId="0" fontId="147" fillId="0" borderId="0"/>
    <xf numFmtId="0" fontId="146" fillId="0" borderId="0"/>
    <xf numFmtId="0" fontId="145" fillId="0" borderId="0"/>
    <xf numFmtId="0" fontId="144" fillId="0" borderId="0"/>
    <xf numFmtId="0" fontId="143" fillId="0" borderId="0"/>
    <xf numFmtId="0" fontId="142" fillId="0" borderId="0"/>
    <xf numFmtId="0" fontId="141" fillId="0" borderId="0"/>
    <xf numFmtId="0" fontId="140" fillId="0" borderId="0"/>
    <xf numFmtId="0" fontId="139" fillId="0" borderId="0"/>
    <xf numFmtId="0" fontId="138" fillId="0" borderId="0"/>
    <xf numFmtId="0" fontId="137" fillId="0" borderId="0"/>
    <xf numFmtId="0" fontId="136" fillId="0" borderId="0"/>
    <xf numFmtId="0" fontId="135" fillId="0" borderId="0"/>
    <xf numFmtId="0" fontId="134" fillId="0" borderId="0"/>
    <xf numFmtId="0" fontId="133" fillId="0" borderId="0"/>
    <xf numFmtId="0" fontId="132" fillId="0" borderId="0"/>
    <xf numFmtId="0" fontId="131" fillId="0" borderId="0"/>
    <xf numFmtId="0" fontId="130" fillId="0" borderId="0"/>
    <xf numFmtId="0" fontId="129" fillId="0" borderId="0"/>
    <xf numFmtId="0" fontId="128" fillId="0" borderId="0"/>
    <xf numFmtId="0" fontId="127" fillId="0" borderId="0"/>
    <xf numFmtId="0" fontId="126" fillId="0" borderId="0"/>
    <xf numFmtId="0" fontId="125" fillId="0" borderId="0"/>
    <xf numFmtId="0" fontId="124" fillId="0" borderId="0"/>
    <xf numFmtId="0" fontId="123" fillId="0" borderId="0"/>
    <xf numFmtId="0" fontId="122" fillId="0" borderId="0"/>
    <xf numFmtId="0" fontId="121" fillId="0" borderId="0"/>
    <xf numFmtId="0" fontId="120" fillId="0" borderId="0"/>
    <xf numFmtId="0" fontId="118" fillId="0" borderId="0"/>
    <xf numFmtId="0" fontId="117" fillId="0" borderId="0"/>
    <xf numFmtId="0" fontId="116" fillId="0" borderId="0"/>
    <xf numFmtId="0" fontId="115" fillId="0" borderId="0"/>
    <xf numFmtId="0" fontId="114" fillId="0" borderId="0"/>
    <xf numFmtId="0" fontId="113" fillId="0" borderId="0"/>
    <xf numFmtId="0" fontId="112" fillId="0" borderId="0"/>
    <xf numFmtId="0" fontId="111" fillId="0" borderId="0"/>
    <xf numFmtId="0" fontId="110" fillId="0" borderId="0"/>
    <xf numFmtId="0" fontId="109" fillId="0" borderId="0"/>
    <xf numFmtId="0" fontId="108" fillId="0" borderId="0"/>
    <xf numFmtId="0" fontId="107" fillId="0" borderId="0"/>
    <xf numFmtId="0" fontId="106" fillId="0" borderId="0"/>
    <xf numFmtId="0" fontId="105" fillId="0" borderId="0"/>
    <xf numFmtId="0" fontId="104" fillId="0" borderId="0"/>
    <xf numFmtId="0" fontId="103" fillId="0" borderId="0"/>
    <xf numFmtId="0" fontId="102" fillId="0" borderId="0"/>
    <xf numFmtId="0" fontId="101" fillId="0" borderId="0"/>
    <xf numFmtId="0" fontId="100" fillId="0" borderId="0"/>
    <xf numFmtId="0" fontId="99" fillId="0" borderId="0"/>
    <xf numFmtId="0" fontId="98" fillId="0" borderId="0"/>
    <xf numFmtId="0" fontId="97" fillId="0" borderId="0"/>
    <xf numFmtId="0" fontId="96" fillId="0" borderId="0"/>
    <xf numFmtId="0" fontId="95" fillId="0" borderId="0"/>
    <xf numFmtId="0" fontId="94" fillId="0" borderId="0"/>
    <xf numFmtId="0" fontId="93" fillId="0" borderId="0"/>
    <xf numFmtId="0" fontId="92" fillId="0" borderId="0"/>
    <xf numFmtId="0" fontId="91" fillId="0" borderId="0"/>
    <xf numFmtId="0" fontId="90" fillId="0" borderId="0"/>
    <xf numFmtId="0" fontId="89" fillId="0" borderId="0"/>
    <xf numFmtId="0" fontId="88" fillId="0" borderId="0"/>
    <xf numFmtId="0" fontId="87" fillId="0" borderId="0"/>
    <xf numFmtId="0" fontId="86" fillId="0" borderId="0"/>
    <xf numFmtId="0" fontId="85" fillId="0" borderId="0"/>
    <xf numFmtId="0" fontId="84" fillId="0" borderId="0"/>
    <xf numFmtId="0" fontId="83" fillId="0" borderId="0"/>
    <xf numFmtId="0" fontId="82" fillId="0" borderId="0"/>
    <xf numFmtId="0" fontId="81" fillId="0" borderId="0"/>
    <xf numFmtId="0" fontId="80" fillId="0" borderId="0"/>
    <xf numFmtId="0" fontId="79" fillId="0" borderId="0"/>
    <xf numFmtId="0" fontId="78" fillId="0" borderId="0"/>
    <xf numFmtId="0" fontId="77" fillId="0" borderId="0"/>
    <xf numFmtId="0" fontId="76" fillId="0" borderId="0"/>
    <xf numFmtId="0" fontId="75" fillId="0" borderId="0"/>
    <xf numFmtId="0" fontId="74" fillId="0" borderId="0"/>
    <xf numFmtId="0" fontId="73" fillId="0" borderId="0"/>
    <xf numFmtId="0" fontId="72" fillId="0" borderId="0"/>
    <xf numFmtId="0" fontId="71" fillId="0" borderId="0"/>
    <xf numFmtId="0" fontId="70" fillId="0" borderId="0"/>
    <xf numFmtId="0" fontId="69" fillId="0" borderId="0"/>
    <xf numFmtId="0" fontId="68" fillId="0" borderId="0"/>
    <xf numFmtId="0" fontId="67" fillId="0" borderId="0"/>
    <xf numFmtId="0" fontId="66" fillId="0" borderId="0"/>
    <xf numFmtId="0" fontId="65" fillId="0" borderId="0"/>
    <xf numFmtId="0" fontId="64" fillId="0" borderId="0"/>
    <xf numFmtId="0" fontId="63" fillId="0" borderId="0"/>
    <xf numFmtId="0" fontId="62" fillId="0" borderId="0"/>
    <xf numFmtId="0" fontId="61" fillId="0" borderId="0"/>
    <xf numFmtId="0" fontId="60" fillId="0" borderId="0"/>
    <xf numFmtId="0" fontId="59" fillId="0" borderId="0"/>
    <xf numFmtId="0" fontId="58" fillId="0" borderId="0"/>
    <xf numFmtId="0" fontId="57" fillId="0" borderId="0"/>
    <xf numFmtId="0" fontId="56" fillId="0" borderId="0"/>
    <xf numFmtId="0" fontId="55" fillId="0" borderId="0"/>
    <xf numFmtId="0" fontId="54" fillId="0" borderId="0"/>
    <xf numFmtId="0" fontId="53" fillId="0" borderId="0"/>
    <xf numFmtId="0" fontId="52" fillId="0" borderId="0"/>
    <xf numFmtId="0" fontId="51" fillId="0" borderId="0"/>
    <xf numFmtId="0" fontId="50" fillId="0" borderId="0"/>
    <xf numFmtId="0" fontId="49" fillId="0" borderId="0"/>
    <xf numFmtId="0" fontId="48" fillId="0" borderId="0"/>
    <xf numFmtId="0" fontId="47" fillId="0" borderId="0"/>
    <xf numFmtId="0" fontId="46" fillId="0" borderId="0"/>
    <xf numFmtId="0" fontId="45" fillId="0" borderId="0"/>
    <xf numFmtId="0" fontId="44" fillId="0" borderId="0"/>
    <xf numFmtId="0" fontId="43" fillId="0" borderId="0"/>
    <xf numFmtId="0" fontId="42" fillId="0" borderId="0"/>
    <xf numFmtId="0" fontId="41" fillId="0" borderId="0"/>
    <xf numFmtId="0" fontId="40" fillId="0" borderId="0"/>
    <xf numFmtId="0" fontId="39" fillId="0" borderId="0"/>
    <xf numFmtId="0" fontId="38" fillId="0" borderId="0"/>
    <xf numFmtId="0" fontId="37" fillId="0" borderId="0"/>
    <xf numFmtId="0" fontId="36" fillId="0" borderId="0"/>
    <xf numFmtId="0" fontId="35" fillId="0" borderId="0"/>
    <xf numFmtId="0" fontId="34" fillId="0" borderId="0"/>
    <xf numFmtId="0" fontId="33" fillId="0" borderId="0"/>
    <xf numFmtId="0" fontId="32" fillId="0" borderId="0"/>
    <xf numFmtId="0" fontId="31" fillId="0" borderId="0"/>
    <xf numFmtId="0" fontId="30" fillId="0" borderId="0"/>
    <xf numFmtId="0" fontId="29"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2" fillId="0" borderId="0"/>
    <xf numFmtId="0" fontId="1" fillId="0" borderId="0"/>
  </cellStyleXfs>
  <cellXfs count="416">
    <xf numFmtId="0" fontId="0" fillId="0" borderId="0" xfId="0"/>
    <xf numFmtId="0" fontId="0" fillId="0" borderId="0" xfId="0" applyFill="1" applyBorder="1" applyAlignment="1">
      <alignment horizontal="center" vertical="center" wrapText="1"/>
    </xf>
    <xf numFmtId="0" fontId="0" fillId="0" borderId="0" xfId="0" applyFill="1" applyBorder="1" applyAlignment="1">
      <alignment horizontal="left" vertical="center" wrapText="1"/>
    </xf>
    <xf numFmtId="14" fontId="0" fillId="0" borderId="0" xfId="0" applyNumberFormat="1" applyFill="1" applyBorder="1" applyAlignment="1">
      <alignment horizontal="center" vertical="center" wrapText="1"/>
    </xf>
    <xf numFmtId="0" fontId="0" fillId="0" borderId="0" xfId="0" applyAlignment="1">
      <alignment vertical="center"/>
    </xf>
    <xf numFmtId="0" fontId="0" fillId="0" borderId="0" xfId="0" applyAlignment="1">
      <alignment horizontal="center"/>
    </xf>
    <xf numFmtId="0" fontId="176" fillId="0" borderId="0" xfId="0" applyFont="1"/>
    <xf numFmtId="0" fontId="176" fillId="2" borderId="0" xfId="0" applyFont="1" applyFill="1"/>
    <xf numFmtId="0" fontId="167" fillId="0" borderId="0" xfId="3" applyBorder="1"/>
    <xf numFmtId="0" fontId="167" fillId="0" borderId="0" xfId="3" applyFill="1" applyBorder="1"/>
    <xf numFmtId="0" fontId="167" fillId="0" borderId="0" xfId="3" applyBorder="1" applyAlignment="1">
      <alignment horizontal="center"/>
    </xf>
    <xf numFmtId="0" fontId="167" fillId="0" borderId="0" xfId="3"/>
    <xf numFmtId="17" fontId="165" fillId="0" borderId="0" xfId="3" applyNumberFormat="1" applyFont="1" applyBorder="1" applyAlignment="1">
      <alignment horizontal="center"/>
    </xf>
    <xf numFmtId="0" fontId="167" fillId="0" borderId="0" xfId="3" applyAlignment="1">
      <alignment horizontal="center"/>
    </xf>
    <xf numFmtId="0" fontId="176" fillId="0" borderId="0" xfId="3" applyFont="1" applyAlignment="1">
      <alignment horizontal="center"/>
    </xf>
    <xf numFmtId="0" fontId="176" fillId="0" borderId="0" xfId="3" applyFont="1"/>
    <xf numFmtId="15" fontId="167" fillId="2" borderId="3" xfId="0" applyNumberFormat="1" applyFont="1" applyFill="1" applyBorder="1" applyAlignment="1">
      <alignment horizontal="left"/>
    </xf>
    <xf numFmtId="0" fontId="167" fillId="2" borderId="4" xfId="0" applyFont="1" applyFill="1" applyBorder="1" applyAlignment="1">
      <alignment horizontal="center"/>
    </xf>
    <xf numFmtId="0" fontId="165" fillId="5" borderId="5" xfId="0" applyFont="1" applyFill="1" applyBorder="1" applyAlignment="1">
      <alignment horizontal="center" vertical="center" wrapText="1"/>
    </xf>
    <xf numFmtId="0" fontId="176" fillId="9" borderId="0" xfId="0" applyFont="1" applyFill="1"/>
    <xf numFmtId="0" fontId="175" fillId="9" borderId="0" xfId="0" applyFont="1" applyFill="1"/>
    <xf numFmtId="0" fontId="176" fillId="9" borderId="0" xfId="0" applyFont="1" applyFill="1" applyBorder="1"/>
    <xf numFmtId="0" fontId="169" fillId="9" borderId="0" xfId="0" applyFont="1" applyFill="1" applyBorder="1" applyAlignment="1" applyProtection="1">
      <alignment vertical="center"/>
      <protection locked="0"/>
    </xf>
    <xf numFmtId="0" fontId="169" fillId="3" borderId="8" xfId="0" applyFont="1" applyFill="1" applyBorder="1" applyAlignment="1">
      <alignment horizontal="center" vertical="top" wrapText="1"/>
    </xf>
    <xf numFmtId="0" fontId="169" fillId="2" borderId="9" xfId="0" applyFont="1" applyFill="1" applyBorder="1" applyAlignment="1" applyProtection="1">
      <alignment vertical="center"/>
      <protection locked="0"/>
    </xf>
    <xf numFmtId="0" fontId="169" fillId="2" borderId="10" xfId="0" applyFont="1" applyFill="1" applyBorder="1" applyAlignment="1" applyProtection="1">
      <alignment vertical="center"/>
      <protection locked="0"/>
    </xf>
    <xf numFmtId="0" fontId="169" fillId="2" borderId="12" xfId="0" applyFont="1" applyFill="1" applyBorder="1" applyAlignment="1" applyProtection="1">
      <alignment vertical="center"/>
      <protection locked="0"/>
    </xf>
    <xf numFmtId="1" fontId="169" fillId="2" borderId="12" xfId="0" applyNumberFormat="1" applyFont="1" applyFill="1" applyBorder="1" applyAlignment="1" applyProtection="1">
      <alignment horizontal="left" vertical="center"/>
      <protection locked="0"/>
    </xf>
    <xf numFmtId="0" fontId="175" fillId="9" borderId="0" xfId="0" applyFont="1" applyFill="1" applyBorder="1" applyAlignment="1" applyProtection="1">
      <alignment vertical="center" wrapText="1"/>
      <protection locked="0"/>
    </xf>
    <xf numFmtId="9" fontId="169" fillId="9" borderId="0" xfId="0" applyNumberFormat="1" applyFont="1" applyFill="1" applyBorder="1" applyAlignment="1" applyProtection="1">
      <alignment horizontal="left" vertical="center"/>
      <protection locked="0"/>
    </xf>
    <xf numFmtId="0" fontId="175" fillId="9" borderId="0" xfId="0" applyFont="1" applyFill="1" applyBorder="1" applyAlignment="1" applyProtection="1">
      <alignment horizontal="left" vertical="center"/>
      <protection locked="0"/>
    </xf>
    <xf numFmtId="0" fontId="167" fillId="11" borderId="0" xfId="3" applyFill="1" applyBorder="1"/>
    <xf numFmtId="0" fontId="165" fillId="14" borderId="0" xfId="0" applyFont="1" applyFill="1" applyBorder="1" applyAlignment="1">
      <alignment horizontal="left" vertical="center" indent="1"/>
    </xf>
    <xf numFmtId="0" fontId="165" fillId="14" borderId="0" xfId="0" applyFont="1" applyFill="1" applyBorder="1" applyAlignment="1">
      <alignment horizontal="center" vertical="center"/>
    </xf>
    <xf numFmtId="2" fontId="165" fillId="14" borderId="0" xfId="0" applyNumberFormat="1" applyFont="1" applyFill="1" applyBorder="1" applyAlignment="1">
      <alignment horizontal="left" vertical="center"/>
    </xf>
    <xf numFmtId="0" fontId="167" fillId="14" borderId="0" xfId="3" applyFill="1" applyBorder="1"/>
    <xf numFmtId="0" fontId="176" fillId="14" borderId="0" xfId="3" applyFont="1" applyFill="1" applyBorder="1"/>
    <xf numFmtId="0" fontId="167" fillId="14" borderId="0" xfId="3" applyFont="1" applyFill="1" applyBorder="1" applyAlignment="1">
      <alignment horizontal="right" vertical="top" wrapText="1"/>
    </xf>
    <xf numFmtId="0" fontId="175" fillId="14" borderId="0" xfId="3" applyFont="1" applyFill="1" applyBorder="1" applyAlignment="1">
      <alignment horizontal="center" vertical="center"/>
    </xf>
    <xf numFmtId="0" fontId="167" fillId="14" borderId="0" xfId="3" applyFont="1" applyFill="1" applyBorder="1" applyAlignment="1">
      <alignment horizontal="right" vertical="center" wrapText="1"/>
    </xf>
    <xf numFmtId="15" fontId="175" fillId="14" borderId="0" xfId="3" applyNumberFormat="1" applyFont="1" applyFill="1" applyBorder="1" applyAlignment="1">
      <alignment horizontal="center" vertical="center"/>
    </xf>
    <xf numFmtId="0" fontId="167" fillId="14" borderId="0" xfId="3" applyFill="1" applyBorder="1" applyAlignment="1">
      <alignment vertical="top" wrapText="1"/>
    </xf>
    <xf numFmtId="0" fontId="0" fillId="14" borderId="0" xfId="0" applyFill="1" applyBorder="1"/>
    <xf numFmtId="0" fontId="167" fillId="14" borderId="38" xfId="3" applyFill="1" applyBorder="1"/>
    <xf numFmtId="0" fontId="176" fillId="14" borderId="38" xfId="3" applyFont="1" applyFill="1" applyBorder="1"/>
    <xf numFmtId="0" fontId="172" fillId="14" borderId="39" xfId="0" applyFont="1" applyFill="1" applyBorder="1" applyAlignment="1">
      <alignment vertical="center"/>
    </xf>
    <xf numFmtId="0" fontId="167" fillId="14" borderId="39" xfId="3" applyFill="1" applyBorder="1"/>
    <xf numFmtId="0" fontId="167" fillId="14" borderId="40" xfId="3" applyFill="1" applyBorder="1"/>
    <xf numFmtId="0" fontId="167" fillId="14" borderId="41" xfId="3" applyFill="1" applyBorder="1"/>
    <xf numFmtId="0" fontId="167" fillId="14" borderId="42" xfId="3" applyFill="1" applyBorder="1"/>
    <xf numFmtId="0" fontId="165" fillId="14" borderId="41" xfId="0" applyFont="1" applyFill="1" applyBorder="1" applyAlignment="1">
      <alignment horizontal="left" vertical="center" indent="1"/>
    </xf>
    <xf numFmtId="0" fontId="167" fillId="0" borderId="43" xfId="0" applyFont="1" applyFill="1" applyBorder="1" applyAlignment="1">
      <alignment horizontal="center" vertical="center"/>
    </xf>
    <xf numFmtId="0" fontId="174" fillId="14" borderId="0" xfId="3" applyFont="1" applyFill="1" applyBorder="1" applyAlignment="1">
      <alignment horizontal="center"/>
    </xf>
    <xf numFmtId="0" fontId="0" fillId="5" borderId="16" xfId="0" applyFill="1" applyBorder="1" applyAlignment="1">
      <alignment horizontal="center" vertical="center" wrapText="1"/>
    </xf>
    <xf numFmtId="0" fontId="0" fillId="5" borderId="16" xfId="0" applyFill="1" applyBorder="1" applyAlignment="1">
      <alignment horizontal="center" vertical="center"/>
    </xf>
    <xf numFmtId="0" fontId="167" fillId="5" borderId="16" xfId="0" applyFont="1" applyFill="1" applyBorder="1" applyAlignment="1">
      <alignment horizontal="center" vertical="center"/>
    </xf>
    <xf numFmtId="0" fontId="0" fillId="5" borderId="17" xfId="0" applyFill="1" applyBorder="1" applyAlignment="1">
      <alignment horizontal="center" vertical="center" wrapText="1"/>
    </xf>
    <xf numFmtId="14" fontId="168" fillId="16" borderId="18" xfId="1" applyNumberFormat="1" applyFill="1" applyBorder="1" applyAlignment="1" applyProtection="1">
      <alignment horizontal="center" vertical="center" wrapText="1"/>
    </xf>
    <xf numFmtId="0" fontId="0" fillId="11" borderId="0" xfId="0" applyFill="1" applyBorder="1" applyAlignment="1">
      <alignment horizontal="left" vertical="center" wrapText="1"/>
    </xf>
    <xf numFmtId="0" fontId="0" fillId="11" borderId="0" xfId="0" applyFill="1" applyBorder="1" applyAlignment="1">
      <alignment horizontal="center" vertical="center" wrapText="1"/>
    </xf>
    <xf numFmtId="0" fontId="0" fillId="11" borderId="0" xfId="0" applyFill="1"/>
    <xf numFmtId="0" fontId="0" fillId="11" borderId="45" xfId="0" applyFill="1" applyBorder="1" applyAlignment="1">
      <alignment horizontal="left" vertical="center" wrapText="1"/>
    </xf>
    <xf numFmtId="0" fontId="0" fillId="11" borderId="46" xfId="0" applyFill="1" applyBorder="1" applyAlignment="1">
      <alignment horizontal="left" vertical="center" wrapText="1"/>
    </xf>
    <xf numFmtId="0" fontId="0" fillId="11" borderId="46" xfId="0" applyFill="1" applyBorder="1" applyAlignment="1">
      <alignment horizontal="center" vertical="center" wrapText="1"/>
    </xf>
    <xf numFmtId="0" fontId="0" fillId="11" borderId="47" xfId="0" applyFill="1" applyBorder="1"/>
    <xf numFmtId="0" fontId="0" fillId="11" borderId="48" xfId="0" applyFill="1" applyBorder="1" applyAlignment="1">
      <alignment horizontal="left" vertical="center" wrapText="1"/>
    </xf>
    <xf numFmtId="0" fontId="0" fillId="0" borderId="49" xfId="0" applyBorder="1"/>
    <xf numFmtId="0" fontId="0" fillId="11" borderId="49" xfId="0" applyFill="1" applyBorder="1"/>
    <xf numFmtId="0" fontId="0" fillId="11" borderId="50" xfId="0" applyFill="1" applyBorder="1" applyAlignment="1">
      <alignment horizontal="left" vertical="center" wrapText="1"/>
    </xf>
    <xf numFmtId="0" fontId="0" fillId="11" borderId="51" xfId="0" applyFill="1" applyBorder="1" applyAlignment="1">
      <alignment horizontal="left" vertical="center" wrapText="1"/>
    </xf>
    <xf numFmtId="0" fontId="0" fillId="11" borderId="52" xfId="0" applyFill="1" applyBorder="1"/>
    <xf numFmtId="0" fontId="178" fillId="12" borderId="0" xfId="0" applyFont="1" applyFill="1" applyBorder="1" applyAlignment="1">
      <alignment horizontal="left" vertical="center" indent="1"/>
    </xf>
    <xf numFmtId="0" fontId="165" fillId="12" borderId="0" xfId="0" applyFont="1" applyFill="1" applyBorder="1" applyAlignment="1">
      <alignment horizontal="left" vertical="center" indent="1"/>
    </xf>
    <xf numFmtId="0" fontId="167" fillId="0" borderId="53" xfId="0" applyFont="1" applyFill="1" applyBorder="1" applyAlignment="1">
      <alignment horizontal="left" vertical="center" indent="1"/>
    </xf>
    <xf numFmtId="0" fontId="165" fillId="17" borderId="54" xfId="0" applyFont="1" applyFill="1" applyBorder="1" applyAlignment="1">
      <alignment horizontal="center" vertical="center"/>
    </xf>
    <xf numFmtId="14" fontId="165" fillId="12" borderId="0" xfId="3" applyNumberFormat="1" applyFont="1" applyFill="1" applyBorder="1" applyAlignment="1">
      <alignment horizontal="left" vertical="center"/>
    </xf>
    <xf numFmtId="15" fontId="165" fillId="12" borderId="0" xfId="3" applyNumberFormat="1" applyFont="1" applyFill="1" applyBorder="1" applyAlignment="1">
      <alignment horizontal="center" vertical="center"/>
    </xf>
    <xf numFmtId="1" fontId="165" fillId="12" borderId="0" xfId="3" applyNumberFormat="1" applyFont="1" applyFill="1" applyBorder="1" applyAlignment="1">
      <alignment horizontal="center" vertical="center"/>
    </xf>
    <xf numFmtId="0" fontId="0" fillId="0" borderId="19" xfId="0" applyBorder="1" applyAlignment="1">
      <alignment vertical="center"/>
    </xf>
    <xf numFmtId="15" fontId="167" fillId="2" borderId="20" xfId="0" applyNumberFormat="1" applyFont="1" applyFill="1" applyBorder="1" applyAlignment="1">
      <alignment horizontal="left"/>
    </xf>
    <xf numFmtId="0" fontId="167" fillId="2" borderId="21" xfId="0" applyFont="1" applyFill="1" applyBorder="1" applyAlignment="1">
      <alignment horizontal="center"/>
    </xf>
    <xf numFmtId="0" fontId="171" fillId="7" borderId="22" xfId="0" applyFont="1" applyFill="1" applyBorder="1" applyAlignment="1">
      <alignment horizontal="center" vertical="center"/>
    </xf>
    <xf numFmtId="0" fontId="170" fillId="7" borderId="23" xfId="0" applyFont="1" applyFill="1" applyBorder="1" applyAlignment="1">
      <alignment horizontal="center" vertical="center"/>
    </xf>
    <xf numFmtId="0" fontId="177" fillId="0" borderId="0" xfId="0" applyFont="1"/>
    <xf numFmtId="0" fontId="177" fillId="0" borderId="0" xfId="0" applyFont="1" applyAlignment="1">
      <alignment horizontal="center" vertical="center"/>
    </xf>
    <xf numFmtId="0" fontId="177" fillId="0" borderId="0" xfId="0" applyFont="1" applyAlignment="1">
      <alignment horizontal="center"/>
    </xf>
    <xf numFmtId="0" fontId="177" fillId="0" borderId="0" xfId="0" applyFont="1" applyFill="1" applyBorder="1" applyAlignment="1">
      <alignment horizontal="center" vertical="center" wrapText="1"/>
    </xf>
    <xf numFmtId="0" fontId="177" fillId="0" borderId="2" xfId="0" applyFont="1" applyFill="1" applyBorder="1" applyAlignment="1">
      <alignment horizontal="left" vertical="center" wrapText="1"/>
    </xf>
    <xf numFmtId="0" fontId="177" fillId="0" borderId="2" xfId="0" applyFont="1" applyFill="1" applyBorder="1" applyAlignment="1">
      <alignment horizontal="center" vertical="center" wrapText="1"/>
    </xf>
    <xf numFmtId="15" fontId="177" fillId="0" borderId="2" xfId="0" applyNumberFormat="1" applyFont="1" applyFill="1" applyBorder="1" applyAlignment="1">
      <alignment horizontal="center" vertical="center" wrapText="1"/>
    </xf>
    <xf numFmtId="0" fontId="177" fillId="0" borderId="0" xfId="0" applyFont="1" applyAlignment="1">
      <alignment horizontal="left" vertical="center"/>
    </xf>
    <xf numFmtId="0" fontId="165" fillId="5" borderId="66" xfId="0" applyFont="1" applyFill="1" applyBorder="1" applyAlignment="1">
      <alignment horizontal="center" vertical="center" wrapText="1"/>
    </xf>
    <xf numFmtId="49" fontId="174" fillId="19" borderId="66" xfId="0" applyNumberFormat="1" applyFont="1" applyFill="1" applyBorder="1" applyAlignment="1">
      <alignment horizontal="center" vertical="center" wrapText="1"/>
    </xf>
    <xf numFmtId="0" fontId="174" fillId="51" borderId="66" xfId="0" applyNumberFormat="1" applyFont="1" applyFill="1" applyBorder="1" applyAlignment="1">
      <alignment horizontal="center" vertical="center" wrapText="1"/>
    </xf>
    <xf numFmtId="0" fontId="174" fillId="17" borderId="66" xfId="0" applyFont="1" applyFill="1" applyBorder="1" applyAlignment="1">
      <alignment horizontal="center" vertical="center" wrapText="1"/>
    </xf>
    <xf numFmtId="2" fontId="174" fillId="18" borderId="66" xfId="0" applyNumberFormat="1" applyFont="1" applyFill="1" applyBorder="1" applyAlignment="1">
      <alignment horizontal="center" vertical="center" wrapText="1"/>
    </xf>
    <xf numFmtId="0" fontId="165" fillId="10" borderId="66" xfId="0" applyFont="1" applyFill="1" applyBorder="1" applyAlignment="1">
      <alignment horizontal="center" vertical="center" wrapText="1"/>
    </xf>
    <xf numFmtId="0" fontId="165" fillId="51" borderId="54" xfId="0" applyFont="1" applyFill="1" applyBorder="1" applyAlignment="1">
      <alignment horizontal="center" vertical="center"/>
    </xf>
    <xf numFmtId="0" fontId="169" fillId="10" borderId="67" xfId="0" applyFont="1" applyFill="1" applyBorder="1" applyAlignment="1" applyProtection="1">
      <alignment vertical="center"/>
      <protection locked="0"/>
    </xf>
    <xf numFmtId="0" fontId="176" fillId="2" borderId="13" xfId="0" applyFont="1" applyFill="1" applyBorder="1" applyAlignment="1" applyProtection="1">
      <alignment vertical="center"/>
      <protection locked="0"/>
    </xf>
    <xf numFmtId="0" fontId="176" fillId="2" borderId="14" xfId="0" applyFont="1" applyFill="1" applyBorder="1" applyAlignment="1" applyProtection="1">
      <alignment vertical="center"/>
      <protection locked="0"/>
    </xf>
    <xf numFmtId="15" fontId="176" fillId="2" borderId="3" xfId="0" applyNumberFormat="1" applyFont="1" applyFill="1" applyBorder="1" applyAlignment="1">
      <alignment horizontal="left"/>
    </xf>
    <xf numFmtId="9" fontId="167" fillId="2" borderId="71" xfId="0" applyNumberFormat="1" applyFont="1" applyFill="1" applyBorder="1" applyAlignment="1">
      <alignment horizontal="center"/>
    </xf>
    <xf numFmtId="15" fontId="183" fillId="0" borderId="2" xfId="0" applyNumberFormat="1" applyFont="1" applyFill="1" applyBorder="1" applyAlignment="1">
      <alignment horizontal="center" vertical="center" wrapText="1"/>
    </xf>
    <xf numFmtId="0" fontId="177" fillId="0" borderId="0" xfId="0" applyFont="1" applyFill="1"/>
    <xf numFmtId="166" fontId="177" fillId="0" borderId="2" xfId="0" applyNumberFormat="1" applyFont="1" applyFill="1" applyBorder="1" applyAlignment="1">
      <alignment horizontal="center" vertical="center"/>
    </xf>
    <xf numFmtId="9" fontId="170" fillId="7" borderId="72" xfId="0" applyNumberFormat="1" applyFont="1" applyFill="1" applyBorder="1" applyAlignment="1">
      <alignment horizontal="center" vertical="center"/>
    </xf>
    <xf numFmtId="0" fontId="0" fillId="0" borderId="73" xfId="0" applyBorder="1" applyAlignment="1">
      <alignment vertical="center"/>
    </xf>
    <xf numFmtId="0" fontId="0" fillId="0" borderId="74" xfId="0" applyBorder="1" applyAlignment="1">
      <alignment horizontal="center" vertical="center"/>
    </xf>
    <xf numFmtId="22" fontId="0" fillId="0" borderId="0" xfId="0" applyNumberFormat="1"/>
    <xf numFmtId="0" fontId="184" fillId="3" borderId="75" xfId="0" applyFont="1" applyFill="1" applyBorder="1" applyAlignment="1">
      <alignment horizontal="center" vertical="center" wrapText="1"/>
    </xf>
    <xf numFmtId="0" fontId="184" fillId="4" borderId="75" xfId="0" applyFont="1" applyFill="1" applyBorder="1" applyAlignment="1">
      <alignment horizontal="center" vertical="center" wrapText="1"/>
    </xf>
    <xf numFmtId="0" fontId="184" fillId="52" borderId="75" xfId="0" applyFont="1" applyFill="1" applyBorder="1" applyAlignment="1">
      <alignment horizontal="center" vertical="center" wrapText="1"/>
    </xf>
    <xf numFmtId="14" fontId="184" fillId="4" borderId="75" xfId="0" applyNumberFormat="1" applyFont="1" applyFill="1" applyBorder="1" applyAlignment="1">
      <alignment horizontal="center" vertical="center" wrapText="1"/>
    </xf>
    <xf numFmtId="0" fontId="184" fillId="55" borderId="75" xfId="0" applyFont="1" applyFill="1" applyBorder="1" applyAlignment="1">
      <alignment horizontal="center" vertical="center" wrapText="1"/>
    </xf>
    <xf numFmtId="0" fontId="184" fillId="53" borderId="75" xfId="0" applyFont="1" applyFill="1" applyBorder="1" applyAlignment="1">
      <alignment horizontal="center" vertical="center" wrapText="1"/>
    </xf>
    <xf numFmtId="0" fontId="168" fillId="16" borderId="18" xfId="1" applyFill="1" applyBorder="1" applyAlignment="1" applyProtection="1">
      <alignment horizontal="center" vertical="center" wrapText="1"/>
    </xf>
    <xf numFmtId="0" fontId="167" fillId="0" borderId="0" xfId="0" applyFont="1"/>
    <xf numFmtId="0" fontId="186" fillId="12" borderId="46" xfId="3" applyFont="1" applyFill="1" applyBorder="1" applyAlignment="1">
      <alignment vertical="center"/>
    </xf>
    <xf numFmtId="0" fontId="167" fillId="56" borderId="53" xfId="0" applyFont="1" applyFill="1" applyBorder="1" applyAlignment="1">
      <alignment horizontal="left" vertical="center" indent="1"/>
    </xf>
    <xf numFmtId="0" fontId="165" fillId="19" borderId="54" xfId="0" applyFont="1" applyFill="1" applyBorder="1" applyAlignment="1">
      <alignment horizontal="center" vertical="center"/>
    </xf>
    <xf numFmtId="2" fontId="182" fillId="12" borderId="44" xfId="0" applyNumberFormat="1" applyFont="1" applyFill="1" applyBorder="1" applyAlignment="1">
      <alignment horizontal="center" vertical="center"/>
    </xf>
    <xf numFmtId="0" fontId="167" fillId="56" borderId="43" xfId="0" applyFont="1" applyFill="1" applyBorder="1" applyAlignment="1">
      <alignment horizontal="center" vertical="center"/>
    </xf>
    <xf numFmtId="1" fontId="165" fillId="12" borderId="44" xfId="0" applyNumberFormat="1" applyFont="1" applyFill="1" applyBorder="1" applyAlignment="1">
      <alignment horizontal="center" vertical="center"/>
    </xf>
    <xf numFmtId="0" fontId="165" fillId="12" borderId="76" xfId="0" applyFont="1" applyFill="1" applyBorder="1" applyAlignment="1">
      <alignment horizontal="center" vertical="center"/>
    </xf>
    <xf numFmtId="49" fontId="167" fillId="56" borderId="77" xfId="0" applyNumberFormat="1" applyFont="1" applyFill="1" applyBorder="1" applyAlignment="1">
      <alignment horizontal="left" vertical="center" indent="1"/>
    </xf>
    <xf numFmtId="49" fontId="167" fillId="0" borderId="77" xfId="0" applyNumberFormat="1" applyFont="1" applyFill="1" applyBorder="1" applyAlignment="1">
      <alignment horizontal="left" vertical="center" indent="1"/>
    </xf>
    <xf numFmtId="49" fontId="167" fillId="0" borderId="78" xfId="0" applyNumberFormat="1" applyFont="1" applyFill="1" applyBorder="1" applyAlignment="1">
      <alignment horizontal="left" vertical="center" indent="1"/>
    </xf>
    <xf numFmtId="49" fontId="167" fillId="56" borderId="78" xfId="0" applyNumberFormat="1" applyFont="1" applyFill="1" applyBorder="1" applyAlignment="1">
      <alignment horizontal="left" vertical="center" indent="1"/>
    </xf>
    <xf numFmtId="49" fontId="165" fillId="12" borderId="76" xfId="0" applyNumberFormat="1" applyFont="1" applyFill="1" applyBorder="1" applyAlignment="1">
      <alignment horizontal="center" vertical="center"/>
    </xf>
    <xf numFmtId="2" fontId="165" fillId="12" borderId="76" xfId="0" applyNumberFormat="1" applyFont="1" applyFill="1" applyBorder="1" applyAlignment="1">
      <alignment horizontal="center" vertical="center"/>
    </xf>
    <xf numFmtId="0" fontId="165" fillId="18" borderId="80" xfId="0" applyFont="1" applyFill="1" applyBorder="1" applyAlignment="1">
      <alignment horizontal="center" vertical="center"/>
    </xf>
    <xf numFmtId="0" fontId="167" fillId="56" borderId="81" xfId="0" applyFont="1" applyFill="1" applyBorder="1" applyAlignment="1">
      <alignment horizontal="left" vertical="center" indent="1"/>
    </xf>
    <xf numFmtId="0" fontId="167" fillId="0" borderId="81" xfId="0" applyFont="1" applyFill="1" applyBorder="1" applyAlignment="1">
      <alignment horizontal="left" vertical="center" indent="1"/>
    </xf>
    <xf numFmtId="0" fontId="167" fillId="0" borderId="77" xfId="0" applyFont="1" applyFill="1" applyBorder="1" applyAlignment="1">
      <alignment horizontal="center" vertical="center"/>
    </xf>
    <xf numFmtId="0" fontId="167" fillId="56" borderId="77" xfId="0" applyFont="1" applyFill="1" applyBorder="1" applyAlignment="1">
      <alignment horizontal="center" vertical="center"/>
    </xf>
    <xf numFmtId="2" fontId="165" fillId="12" borderId="82" xfId="0" applyNumberFormat="1" applyFont="1" applyFill="1" applyBorder="1" applyAlignment="1">
      <alignment horizontal="center" vertical="center"/>
    </xf>
    <xf numFmtId="9" fontId="167" fillId="56" borderId="83" xfId="0" applyNumberFormat="1" applyFont="1" applyFill="1" applyBorder="1" applyAlignment="1">
      <alignment horizontal="center" vertical="center"/>
    </xf>
    <xf numFmtId="9" fontId="167" fillId="0" borderId="83" xfId="0" applyNumberFormat="1" applyFont="1" applyFill="1" applyBorder="1" applyAlignment="1">
      <alignment horizontal="center" vertical="center"/>
    </xf>
    <xf numFmtId="0" fontId="176" fillId="12" borderId="0" xfId="3" applyFont="1" applyFill="1" applyBorder="1"/>
    <xf numFmtId="0" fontId="167" fillId="0" borderId="79" xfId="0" applyFont="1" applyFill="1" applyBorder="1" applyAlignment="1">
      <alignment horizontal="center" vertical="center"/>
    </xf>
    <xf numFmtId="9" fontId="167" fillId="0" borderId="84" xfId="0" applyNumberFormat="1" applyFont="1" applyFill="1" applyBorder="1" applyAlignment="1">
      <alignment horizontal="center" vertical="center"/>
    </xf>
    <xf numFmtId="0" fontId="167" fillId="12" borderId="76" xfId="0" applyFont="1" applyFill="1" applyBorder="1" applyAlignment="1">
      <alignment horizontal="center" vertical="center"/>
    </xf>
    <xf numFmtId="9" fontId="167" fillId="12" borderId="82" xfId="0" applyNumberFormat="1" applyFont="1" applyFill="1" applyBorder="1" applyAlignment="1">
      <alignment horizontal="center" vertical="center"/>
    </xf>
    <xf numFmtId="0" fontId="167" fillId="12" borderId="0" xfId="3" applyFill="1" applyBorder="1"/>
    <xf numFmtId="0" fontId="165" fillId="14" borderId="85" xfId="3" applyFont="1" applyFill="1" applyBorder="1" applyAlignment="1">
      <alignment horizontal="center" textRotation="45"/>
    </xf>
    <xf numFmtId="0" fontId="204" fillId="14" borderId="0" xfId="0" applyFont="1" applyFill="1" applyBorder="1" applyAlignment="1">
      <alignment horizontal="right" vertical="center" wrapText="1" indent="1"/>
    </xf>
    <xf numFmtId="2" fontId="175" fillId="12" borderId="75" xfId="0" applyNumberFormat="1" applyFont="1" applyFill="1" applyBorder="1" applyAlignment="1">
      <alignment horizontal="center" vertical="center" wrapText="1"/>
    </xf>
    <xf numFmtId="0" fontId="175" fillId="18" borderId="75" xfId="0" applyFont="1" applyFill="1" applyBorder="1" applyAlignment="1">
      <alignment horizontal="center" vertical="center" wrapText="1"/>
    </xf>
    <xf numFmtId="0" fontId="175" fillId="17" borderId="75" xfId="0" applyFont="1" applyFill="1" applyBorder="1" applyAlignment="1">
      <alignment horizontal="center" vertical="center" wrapText="1"/>
    </xf>
    <xf numFmtId="0" fontId="175" fillId="51" borderId="75" xfId="0" applyFont="1" applyFill="1" applyBorder="1" applyAlignment="1">
      <alignment horizontal="center" vertical="center" wrapText="1"/>
    </xf>
    <xf numFmtId="0" fontId="175" fillId="19" borderId="75" xfId="0" applyFont="1" applyFill="1" applyBorder="1" applyAlignment="1">
      <alignment horizontal="center" vertical="center" wrapText="1"/>
    </xf>
    <xf numFmtId="22" fontId="0" fillId="12" borderId="75" xfId="0" applyNumberFormat="1" applyFill="1" applyBorder="1" applyAlignment="1">
      <alignment vertical="center"/>
    </xf>
    <xf numFmtId="2" fontId="169" fillId="12" borderId="75" xfId="0" applyNumberFormat="1" applyFont="1" applyFill="1" applyBorder="1" applyAlignment="1">
      <alignment horizontal="center" vertical="center" wrapText="1"/>
    </xf>
    <xf numFmtId="0" fontId="169" fillId="18" borderId="75" xfId="0" applyFont="1" applyFill="1" applyBorder="1" applyAlignment="1">
      <alignment horizontal="center" vertical="center" wrapText="1"/>
    </xf>
    <xf numFmtId="0" fontId="169" fillId="17" borderId="75" xfId="0" applyFont="1" applyFill="1" applyBorder="1" applyAlignment="1">
      <alignment horizontal="center" vertical="center" wrapText="1"/>
    </xf>
    <xf numFmtId="0" fontId="169" fillId="51" borderId="75" xfId="0" applyFont="1" applyFill="1" applyBorder="1" applyAlignment="1">
      <alignment horizontal="center" vertical="center" wrapText="1"/>
    </xf>
    <xf numFmtId="0" fontId="169" fillId="19" borderId="75" xfId="0" applyFont="1" applyFill="1" applyBorder="1" applyAlignment="1">
      <alignment horizontal="center" vertical="center" wrapText="1"/>
    </xf>
    <xf numFmtId="0" fontId="167" fillId="14" borderId="90" xfId="3" applyFill="1" applyBorder="1"/>
    <xf numFmtId="0" fontId="165" fillId="5" borderId="96" xfId="0" applyFont="1" applyFill="1" applyBorder="1" applyAlignment="1">
      <alignment horizontal="center" vertical="center" wrapText="1"/>
    </xf>
    <xf numFmtId="0" fontId="0" fillId="0" borderId="96" xfId="0" applyBorder="1" applyAlignment="1">
      <alignment horizontal="center"/>
    </xf>
    <xf numFmtId="9" fontId="0" fillId="0" borderId="96" xfId="0" applyNumberFormat="1" applyBorder="1" applyAlignment="1">
      <alignment horizontal="center"/>
    </xf>
    <xf numFmtId="15" fontId="167" fillId="2" borderId="98" xfId="0" applyNumberFormat="1" applyFont="1" applyFill="1" applyBorder="1" applyAlignment="1">
      <alignment horizontal="left"/>
    </xf>
    <xf numFmtId="0" fontId="0" fillId="0" borderId="99" xfId="0" applyBorder="1" applyAlignment="1">
      <alignment horizontal="center"/>
    </xf>
    <xf numFmtId="9" fontId="0" fillId="0" borderId="99" xfId="0" applyNumberFormat="1" applyBorder="1" applyAlignment="1">
      <alignment horizontal="center"/>
    </xf>
    <xf numFmtId="15" fontId="167" fillId="56" borderId="100" xfId="0" applyNumberFormat="1" applyFont="1" applyFill="1" applyBorder="1" applyAlignment="1">
      <alignment horizontal="left"/>
    </xf>
    <xf numFmtId="0" fontId="167" fillId="56" borderId="101" xfId="0" applyFont="1" applyFill="1" applyBorder="1" applyAlignment="1">
      <alignment horizontal="center" vertical="center"/>
    </xf>
    <xf numFmtId="9" fontId="167" fillId="56" borderId="102" xfId="0" applyNumberFormat="1" applyFont="1" applyFill="1" applyBorder="1" applyAlignment="1">
      <alignment horizontal="center" vertical="center"/>
    </xf>
    <xf numFmtId="0" fontId="167" fillId="56" borderId="103" xfId="0" applyFont="1" applyFill="1" applyBorder="1" applyAlignment="1">
      <alignment horizontal="center"/>
    </xf>
    <xf numFmtId="0" fontId="0" fillId="56" borderId="104" xfId="0" applyFill="1" applyBorder="1"/>
    <xf numFmtId="15" fontId="167" fillId="56" borderId="105" xfId="0" applyNumberFormat="1" applyFont="1" applyFill="1" applyBorder="1" applyAlignment="1">
      <alignment horizontal="left"/>
    </xf>
    <xf numFmtId="0" fontId="0" fillId="56" borderId="103" xfId="0" applyFill="1" applyBorder="1" applyAlignment="1">
      <alignment horizontal="center"/>
    </xf>
    <xf numFmtId="9" fontId="0" fillId="56" borderId="106" xfId="0" applyNumberFormat="1" applyFill="1" applyBorder="1" applyAlignment="1">
      <alignment horizontal="center"/>
    </xf>
    <xf numFmtId="0" fontId="165" fillId="5" borderId="107" xfId="0" applyFont="1" applyFill="1" applyBorder="1" applyAlignment="1">
      <alignment horizontal="center" vertical="center" wrapText="1"/>
    </xf>
    <xf numFmtId="0" fontId="167" fillId="0" borderId="101" xfId="0" applyFont="1" applyFill="1" applyBorder="1" applyAlignment="1">
      <alignment horizontal="center" vertical="center"/>
    </xf>
    <xf numFmtId="9" fontId="167" fillId="0" borderId="102" xfId="0" applyNumberFormat="1" applyFont="1" applyFill="1" applyBorder="1" applyAlignment="1">
      <alignment horizontal="center" vertical="center"/>
    </xf>
    <xf numFmtId="0" fontId="167" fillId="0" borderId="103" xfId="0" applyFont="1" applyFill="1" applyBorder="1" applyAlignment="1">
      <alignment horizontal="center"/>
    </xf>
    <xf numFmtId="0" fontId="165" fillId="12" borderId="75" xfId="0" applyFont="1" applyFill="1" applyBorder="1" applyAlignment="1">
      <alignment horizontal="center" vertical="center"/>
    </xf>
    <xf numFmtId="14" fontId="165" fillId="11" borderId="75" xfId="0" applyNumberFormat="1" applyFont="1" applyFill="1" applyBorder="1" applyAlignment="1">
      <alignment horizontal="center" vertical="center"/>
    </xf>
    <xf numFmtId="0" fontId="165" fillId="11" borderId="75" xfId="0" applyFont="1" applyFill="1" applyBorder="1" applyAlignment="1">
      <alignment horizontal="center" vertical="center"/>
    </xf>
    <xf numFmtId="2" fontId="205" fillId="12" borderId="2" xfId="0" applyNumberFormat="1" applyFont="1" applyFill="1" applyBorder="1" applyAlignment="1">
      <alignment horizontal="left" vertical="center"/>
    </xf>
    <xf numFmtId="14" fontId="0" fillId="0" borderId="0" xfId="0" applyNumberFormat="1"/>
    <xf numFmtId="0" fontId="167" fillId="0" borderId="0" xfId="0" applyNumberFormat="1" applyFont="1"/>
    <xf numFmtId="0" fontId="167" fillId="56" borderId="2" xfId="0" applyFont="1" applyFill="1" applyBorder="1" applyAlignment="1">
      <alignment horizontal="center" vertical="center"/>
    </xf>
    <xf numFmtId="15" fontId="167" fillId="56" borderId="2" xfId="0" applyNumberFormat="1" applyFont="1" applyFill="1" applyBorder="1" applyAlignment="1">
      <alignment horizontal="center" vertical="center"/>
    </xf>
    <xf numFmtId="0" fontId="167" fillId="56" borderId="2" xfId="0" applyNumberFormat="1" applyFont="1" applyFill="1" applyBorder="1" applyAlignment="1">
      <alignment horizontal="center" vertical="center"/>
    </xf>
    <xf numFmtId="0" fontId="167" fillId="0" borderId="0" xfId="0" applyFont="1" applyAlignment="1">
      <alignment horizontal="center" vertical="center"/>
    </xf>
    <xf numFmtId="0" fontId="0" fillId="0" borderId="0" xfId="0" applyAlignment="1">
      <alignment horizontal="center" vertical="center"/>
    </xf>
    <xf numFmtId="17" fontId="0" fillId="0" borderId="0" xfId="0" applyNumberFormat="1" applyAlignment="1">
      <alignment horizontal="center" vertical="center"/>
    </xf>
    <xf numFmtId="0" fontId="165" fillId="54" borderId="2" xfId="0" applyFont="1" applyFill="1" applyBorder="1" applyAlignment="1">
      <alignment horizontal="center" vertical="center"/>
    </xf>
    <xf numFmtId="15" fontId="0" fillId="12" borderId="2" xfId="0" applyNumberFormat="1" applyFill="1" applyBorder="1" applyAlignment="1">
      <alignment horizontal="center" vertical="center"/>
    </xf>
    <xf numFmtId="0" fontId="0" fillId="12" borderId="2" xfId="0" applyFill="1" applyBorder="1" applyAlignment="1">
      <alignment horizontal="center" vertical="center"/>
    </xf>
    <xf numFmtId="17" fontId="0" fillId="12" borderId="2" xfId="0" applyNumberFormat="1" applyFill="1" applyBorder="1" applyAlignment="1">
      <alignment horizontal="center" vertical="center"/>
    </xf>
    <xf numFmtId="0" fontId="165" fillId="5" borderId="112" xfId="0" applyFont="1" applyFill="1" applyBorder="1" applyAlignment="1">
      <alignment horizontal="center" vertical="center" wrapText="1"/>
    </xf>
    <xf numFmtId="0" fontId="165" fillId="5" borderId="97" xfId="0" applyFont="1" applyFill="1" applyBorder="1" applyAlignment="1">
      <alignment horizontal="center" vertical="center" wrapText="1"/>
    </xf>
    <xf numFmtId="0" fontId="0" fillId="0" borderId="2" xfId="0" applyBorder="1"/>
    <xf numFmtId="15" fontId="0" fillId="0" borderId="2" xfId="0" applyNumberFormat="1" applyBorder="1"/>
    <xf numFmtId="0" fontId="0" fillId="0" borderId="2" xfId="0" applyNumberFormat="1" applyBorder="1"/>
    <xf numFmtId="15" fontId="176" fillId="5" borderId="18" xfId="0" applyNumberFormat="1" applyFont="1" applyFill="1" applyBorder="1" applyAlignment="1">
      <alignment horizontal="center" vertical="center" wrapText="1"/>
    </xf>
    <xf numFmtId="166" fontId="177" fillId="0" borderId="2" xfId="0" applyNumberFormat="1" applyFont="1" applyFill="1" applyBorder="1" applyAlignment="1">
      <alignment horizontal="center" vertical="center" wrapText="1"/>
    </xf>
    <xf numFmtId="0" fontId="184" fillId="51" borderId="75" xfId="0" applyFont="1" applyFill="1" applyBorder="1" applyAlignment="1">
      <alignment horizontal="center" vertical="center" wrapText="1"/>
    </xf>
    <xf numFmtId="0" fontId="184" fillId="10" borderId="75" xfId="0" applyFont="1" applyFill="1" applyBorder="1" applyAlignment="1">
      <alignment horizontal="center" vertical="center" wrapText="1"/>
    </xf>
    <xf numFmtId="0" fontId="184" fillId="57" borderId="75" xfId="0" applyFont="1" applyFill="1" applyBorder="1" applyAlignment="1">
      <alignment horizontal="center" vertical="center" wrapText="1"/>
    </xf>
    <xf numFmtId="0" fontId="177" fillId="0" borderId="2" xfId="0" applyFont="1" applyFill="1" applyBorder="1" applyAlignment="1">
      <alignment vertical="center" wrapText="1"/>
    </xf>
    <xf numFmtId="0" fontId="184" fillId="0" borderId="0" xfId="0" applyFont="1" applyFill="1" applyBorder="1" applyAlignment="1">
      <alignment horizontal="center" vertical="center" wrapText="1"/>
    </xf>
    <xf numFmtId="14" fontId="184" fillId="0" borderId="0" xfId="0" applyNumberFormat="1" applyFont="1" applyFill="1" applyBorder="1" applyAlignment="1">
      <alignment horizontal="center" vertical="center" wrapText="1"/>
    </xf>
    <xf numFmtId="0" fontId="167" fillId="5" borderId="16" xfId="0" applyFont="1" applyFill="1" applyBorder="1" applyAlignment="1">
      <alignment horizontal="center" vertical="center" wrapText="1"/>
    </xf>
    <xf numFmtId="0" fontId="0" fillId="11" borderId="0" xfId="0" applyFill="1" applyBorder="1"/>
    <xf numFmtId="14" fontId="168" fillId="16" borderId="113" xfId="1" applyNumberFormat="1" applyFill="1" applyBorder="1" applyAlignment="1" applyProtection="1">
      <alignment horizontal="center" vertical="center" wrapText="1"/>
    </xf>
    <xf numFmtId="0" fontId="169" fillId="6" borderId="75" xfId="0" applyFont="1" applyFill="1" applyBorder="1" applyAlignment="1">
      <alignment horizontal="center" vertical="center" wrapText="1"/>
    </xf>
    <xf numFmtId="0" fontId="0" fillId="13" borderId="75" xfId="0" applyFill="1" applyBorder="1" applyAlignment="1">
      <alignment horizontal="center" vertical="center" wrapText="1"/>
    </xf>
    <xf numFmtId="0" fontId="0" fillId="11" borderId="51" xfId="0" applyFill="1" applyBorder="1"/>
    <xf numFmtId="0" fontId="0" fillId="11" borderId="51" xfId="0" applyFill="1" applyBorder="1" applyAlignment="1">
      <alignment horizontal="center"/>
    </xf>
    <xf numFmtId="0" fontId="0" fillId="13" borderId="114" xfId="0" applyFill="1" applyBorder="1" applyAlignment="1">
      <alignment horizontal="center" vertical="center" wrapText="1"/>
    </xf>
    <xf numFmtId="15" fontId="176" fillId="58" borderId="115" xfId="0" applyNumberFormat="1" applyFont="1" applyFill="1" applyBorder="1" applyAlignment="1">
      <alignment horizontal="center" vertical="center" wrapText="1"/>
    </xf>
    <xf numFmtId="15" fontId="176" fillId="58" borderId="18" xfId="0" applyNumberFormat="1" applyFont="1" applyFill="1" applyBorder="1" applyAlignment="1">
      <alignment horizontal="center" vertical="center" wrapText="1"/>
    </xf>
    <xf numFmtId="0" fontId="0" fillId="11" borderId="46" xfId="0" applyFill="1" applyBorder="1"/>
    <xf numFmtId="0" fontId="0" fillId="0" borderId="0" xfId="0" applyBorder="1"/>
    <xf numFmtId="0" fontId="165" fillId="12" borderId="116" xfId="0" applyFont="1" applyFill="1" applyBorder="1" applyAlignment="1">
      <alignment horizontal="center" vertical="center"/>
    </xf>
    <xf numFmtId="0" fontId="165" fillId="12" borderId="79" xfId="0" applyFont="1" applyFill="1" applyBorder="1" applyAlignment="1">
      <alignment horizontal="center" vertical="center"/>
    </xf>
    <xf numFmtId="0" fontId="165" fillId="12" borderId="0" xfId="0" applyFont="1" applyFill="1" applyBorder="1" applyAlignment="1">
      <alignment horizontal="center" vertical="center"/>
    </xf>
    <xf numFmtId="0" fontId="165" fillId="12" borderId="117" xfId="0" applyFont="1" applyFill="1" applyBorder="1" applyAlignment="1">
      <alignment horizontal="center" vertical="center"/>
    </xf>
    <xf numFmtId="0" fontId="165" fillId="0" borderId="86" xfId="3" applyFont="1" applyFill="1" applyBorder="1" applyAlignment="1">
      <alignment horizontal="center"/>
    </xf>
    <xf numFmtId="0" fontId="184" fillId="15" borderId="75" xfId="0" applyFont="1" applyFill="1" applyBorder="1" applyAlignment="1">
      <alignment horizontal="center" vertical="center" wrapText="1"/>
    </xf>
    <xf numFmtId="0" fontId="177" fillId="0" borderId="75" xfId="0" applyFont="1" applyFill="1" applyBorder="1" applyAlignment="1">
      <alignment horizontal="left" vertical="center" wrapText="1"/>
    </xf>
    <xf numFmtId="0" fontId="177" fillId="0" borderId="75" xfId="0" applyFont="1" applyFill="1" applyBorder="1" applyAlignment="1">
      <alignment horizontal="center" vertical="center" wrapText="1"/>
    </xf>
    <xf numFmtId="167" fontId="167" fillId="12" borderId="82" xfId="0" applyNumberFormat="1" applyFont="1" applyFill="1" applyBorder="1" applyAlignment="1">
      <alignment horizontal="center" vertical="center"/>
    </xf>
    <xf numFmtId="167" fontId="0" fillId="0" borderId="2" xfId="0" applyNumberFormat="1" applyBorder="1" applyAlignment="1">
      <alignment horizontal="center"/>
    </xf>
    <xf numFmtId="0" fontId="165" fillId="5" borderId="0" xfId="0" applyFont="1" applyFill="1" applyBorder="1" applyAlignment="1">
      <alignment horizontal="center" vertical="center" wrapText="1"/>
    </xf>
    <xf numFmtId="0" fontId="0" fillId="0" borderId="75" xfId="0" applyNumberFormat="1" applyBorder="1" applyAlignment="1">
      <alignment horizontal="center"/>
    </xf>
    <xf numFmtId="0" fontId="0" fillId="0" borderId="75" xfId="0" applyBorder="1" applyAlignment="1">
      <alignment horizontal="center"/>
    </xf>
    <xf numFmtId="0" fontId="207" fillId="14" borderId="0" xfId="0" applyFont="1" applyFill="1" applyBorder="1" applyAlignment="1">
      <alignment horizontal="center" vertical="center"/>
    </xf>
    <xf numFmtId="0" fontId="204" fillId="13" borderId="86" xfId="3" applyFont="1" applyFill="1" applyBorder="1" applyAlignment="1">
      <alignment horizontal="center" textRotation="45"/>
    </xf>
    <xf numFmtId="0" fontId="0" fillId="0" borderId="0" xfId="0" applyBorder="1" applyAlignment="1">
      <alignment horizontal="center"/>
    </xf>
    <xf numFmtId="0" fontId="169" fillId="2" borderId="118" xfId="0" applyFont="1" applyFill="1" applyBorder="1" applyAlignment="1" applyProtection="1">
      <alignment vertical="center"/>
      <protection locked="0"/>
    </xf>
    <xf numFmtId="0" fontId="175" fillId="2" borderId="119" xfId="0" applyFont="1" applyFill="1" applyBorder="1" applyAlignment="1" applyProtection="1">
      <alignment horizontal="center" vertical="center" wrapText="1"/>
      <protection locked="0"/>
    </xf>
    <xf numFmtId="0" fontId="175" fillId="2" borderId="120" xfId="0" applyFont="1" applyFill="1" applyBorder="1" applyAlignment="1" applyProtection="1">
      <alignment horizontal="center" vertical="center" wrapText="1"/>
      <protection locked="0"/>
    </xf>
    <xf numFmtId="0" fontId="175" fillId="2" borderId="121" xfId="0" applyFont="1" applyFill="1" applyBorder="1" applyAlignment="1" applyProtection="1">
      <alignment horizontal="center" vertical="center" wrapText="1"/>
      <protection locked="0"/>
    </xf>
    <xf numFmtId="0" fontId="176" fillId="9" borderId="18" xfId="0" applyFont="1" applyFill="1" applyBorder="1" applyAlignment="1">
      <alignment horizontal="center" vertical="center"/>
    </xf>
    <xf numFmtId="0" fontId="176" fillId="5" borderId="16" xfId="0" applyFont="1" applyFill="1" applyBorder="1" applyAlignment="1">
      <alignment horizontal="center" vertical="center" wrapText="1"/>
    </xf>
    <xf numFmtId="0" fontId="165" fillId="0" borderId="0" xfId="0" applyFont="1"/>
    <xf numFmtId="15" fontId="167" fillId="2" borderId="122" xfId="0" applyNumberFormat="1" applyFont="1" applyFill="1" applyBorder="1" applyAlignment="1">
      <alignment horizontal="left"/>
    </xf>
    <xf numFmtId="0" fontId="167" fillId="0" borderId="0" xfId="0" applyFont="1" applyFill="1" applyBorder="1" applyAlignment="1">
      <alignment horizontal="center" vertical="center"/>
    </xf>
    <xf numFmtId="9" fontId="167" fillId="0" borderId="0" xfId="0" applyNumberFormat="1" applyFont="1" applyFill="1" applyBorder="1" applyAlignment="1">
      <alignment horizontal="center" vertical="center"/>
    </xf>
    <xf numFmtId="0" fontId="167" fillId="0" borderId="0" xfId="0" applyFont="1" applyFill="1" applyBorder="1" applyAlignment="1">
      <alignment horizontal="center"/>
    </xf>
    <xf numFmtId="0" fontId="0" fillId="0" borderId="123" xfId="0" applyBorder="1" applyAlignment="1">
      <alignment horizontal="center"/>
    </xf>
    <xf numFmtId="15" fontId="167" fillId="2" borderId="0" xfId="0" applyNumberFormat="1" applyFont="1" applyFill="1" applyBorder="1" applyAlignment="1">
      <alignment horizontal="left"/>
    </xf>
    <xf numFmtId="9" fontId="0" fillId="0" borderId="0" xfId="0" applyNumberFormat="1" applyBorder="1" applyAlignment="1">
      <alignment horizontal="center"/>
    </xf>
    <xf numFmtId="0" fontId="177" fillId="0" borderId="0" xfId="0" applyFont="1" applyAlignment="1">
      <alignment horizontal="left"/>
    </xf>
    <xf numFmtId="0" fontId="177" fillId="0" borderId="2" xfId="0" applyNumberFormat="1" applyFont="1" applyFill="1" applyBorder="1" applyAlignment="1">
      <alignment horizontal="left" vertical="center" wrapText="1"/>
    </xf>
    <xf numFmtId="166" fontId="177" fillId="0" borderId="2" xfId="0" applyNumberFormat="1" applyFont="1" applyFill="1" applyBorder="1" applyAlignment="1">
      <alignment horizontal="left" vertical="center" wrapText="1"/>
    </xf>
    <xf numFmtId="0" fontId="184" fillId="17" borderId="75" xfId="0" applyFont="1" applyFill="1" applyBorder="1" applyAlignment="1">
      <alignment horizontal="center" vertical="center" wrapText="1"/>
    </xf>
    <xf numFmtId="0" fontId="184" fillId="11" borderId="2" xfId="0" applyFont="1" applyFill="1" applyBorder="1" applyAlignment="1">
      <alignment horizontal="center" vertical="center" wrapText="1"/>
    </xf>
    <xf numFmtId="15" fontId="183" fillId="11" borderId="2" xfId="0" applyNumberFormat="1" applyFont="1" applyFill="1" applyBorder="1" applyAlignment="1">
      <alignment horizontal="center" vertical="center" wrapText="1"/>
    </xf>
    <xf numFmtId="0" fontId="120" fillId="0" borderId="0" xfId="112"/>
    <xf numFmtId="0" fontId="184" fillId="4" borderId="123" xfId="0" applyFont="1" applyFill="1" applyBorder="1" applyAlignment="1">
      <alignment horizontal="center" vertical="center" wrapText="1"/>
    </xf>
    <xf numFmtId="0" fontId="184" fillId="3" borderId="123" xfId="0" applyFont="1" applyFill="1" applyBorder="1" applyAlignment="1">
      <alignment horizontal="center" vertical="center" wrapText="1"/>
    </xf>
    <xf numFmtId="0" fontId="184" fillId="57" borderId="123" xfId="0" applyFont="1" applyFill="1" applyBorder="1" applyAlignment="1">
      <alignment horizontal="center" vertical="center" wrapText="1"/>
    </xf>
    <xf numFmtId="14" fontId="184" fillId="4" borderId="123" xfId="0" applyNumberFormat="1" applyFont="1" applyFill="1" applyBorder="1" applyAlignment="1">
      <alignment horizontal="center" vertical="center" wrapText="1"/>
    </xf>
    <xf numFmtId="14" fontId="184" fillId="52" borderId="123" xfId="0" applyNumberFormat="1" applyFont="1" applyFill="1" applyBorder="1" applyAlignment="1">
      <alignment horizontal="center" vertical="center" wrapText="1"/>
    </xf>
    <xf numFmtId="0" fontId="184" fillId="17" borderId="123" xfId="0" applyFont="1" applyFill="1" applyBorder="1" applyAlignment="1">
      <alignment horizontal="center" vertical="center" wrapText="1"/>
    </xf>
    <xf numFmtId="2" fontId="165" fillId="62" borderId="0" xfId="0" applyNumberFormat="1" applyFont="1" applyFill="1" applyBorder="1" applyAlignment="1">
      <alignment horizontal="left" vertical="center"/>
    </xf>
    <xf numFmtId="0" fontId="172" fillId="62" borderId="39" xfId="0" applyFont="1" applyFill="1" applyBorder="1" applyAlignment="1">
      <alignment vertical="center"/>
    </xf>
    <xf numFmtId="0" fontId="167" fillId="62" borderId="39" xfId="3" applyFill="1" applyBorder="1"/>
    <xf numFmtId="0" fontId="167" fillId="60" borderId="39" xfId="3" applyFill="1" applyBorder="1"/>
    <xf numFmtId="0" fontId="0" fillId="60" borderId="39" xfId="0" applyFill="1" applyBorder="1"/>
    <xf numFmtId="0" fontId="120" fillId="60" borderId="123" xfId="112" applyFill="1" applyBorder="1" applyAlignment="1">
      <alignment horizontal="center" vertical="center"/>
    </xf>
    <xf numFmtId="0" fontId="120" fillId="62" borderId="123" xfId="112" applyFill="1" applyBorder="1" applyAlignment="1">
      <alignment horizontal="center" vertical="center"/>
    </xf>
    <xf numFmtId="0" fontId="120" fillId="62" borderId="123" xfId="112" applyFill="1" applyBorder="1" applyAlignment="1">
      <alignment horizontal="center" vertical="center" wrapText="1"/>
    </xf>
    <xf numFmtId="0" fontId="120" fillId="60" borderId="123" xfId="112" applyFill="1" applyBorder="1" applyAlignment="1">
      <alignment horizontal="center" vertical="center" wrapText="1"/>
    </xf>
    <xf numFmtId="0" fontId="165" fillId="12" borderId="48" xfId="0" applyFont="1" applyFill="1" applyBorder="1" applyAlignment="1">
      <alignment horizontal="center" vertical="center"/>
    </xf>
    <xf numFmtId="0" fontId="165" fillId="12" borderId="49" xfId="0" applyFont="1" applyFill="1" applyBorder="1" applyAlignment="1">
      <alignment horizontal="center" vertical="center"/>
    </xf>
    <xf numFmtId="0" fontId="179" fillId="12" borderId="48" xfId="0" applyFont="1" applyFill="1" applyBorder="1" applyAlignment="1">
      <alignment horizontal="center" vertical="center"/>
    </xf>
    <xf numFmtId="0" fontId="179" fillId="12" borderId="49" xfId="0" applyFont="1" applyFill="1" applyBorder="1" applyAlignment="1">
      <alignment horizontal="center" vertical="center"/>
    </xf>
    <xf numFmtId="0" fontId="186" fillId="12" borderId="47" xfId="3" applyFont="1" applyFill="1" applyBorder="1" applyAlignment="1">
      <alignment vertical="center"/>
    </xf>
    <xf numFmtId="0" fontId="178" fillId="12" borderId="49" xfId="0" applyFont="1" applyFill="1" applyBorder="1" applyAlignment="1">
      <alignment horizontal="left" vertical="center" indent="1"/>
    </xf>
    <xf numFmtId="0" fontId="180" fillId="12" borderId="45" xfId="3" applyFont="1" applyFill="1" applyBorder="1" applyAlignment="1">
      <alignment horizontal="center" vertical="center"/>
    </xf>
    <xf numFmtId="2" fontId="172" fillId="12" borderId="48" xfId="0" applyNumberFormat="1" applyFont="1" applyFill="1" applyBorder="1" applyAlignment="1">
      <alignment horizontal="left" vertical="center" indent="1"/>
    </xf>
    <xf numFmtId="0" fontId="166" fillId="12" borderId="48" xfId="0" applyNumberFormat="1" applyFont="1" applyFill="1" applyBorder="1" applyAlignment="1">
      <alignment horizontal="left" vertical="center" indent="1"/>
    </xf>
    <xf numFmtId="0" fontId="179" fillId="12" borderId="48" xfId="0" applyFont="1" applyFill="1" applyBorder="1" applyAlignment="1">
      <alignment horizontal="left" vertical="center" indent="1"/>
    </xf>
    <xf numFmtId="0" fontId="165" fillId="12" borderId="48" xfId="0" applyFont="1" applyFill="1" applyBorder="1" applyAlignment="1">
      <alignment horizontal="left" vertical="center" indent="1"/>
    </xf>
    <xf numFmtId="0" fontId="186" fillId="12" borderId="45" xfId="3" applyFont="1" applyFill="1" applyBorder="1" applyAlignment="1">
      <alignment horizontal="center" vertical="center"/>
    </xf>
    <xf numFmtId="0" fontId="186" fillId="12" borderId="47" xfId="3" applyFont="1" applyFill="1" applyBorder="1" applyAlignment="1">
      <alignment horizontal="center" vertical="center"/>
    </xf>
    <xf numFmtId="0" fontId="179" fillId="12" borderId="50" xfId="0" applyFont="1" applyFill="1" applyBorder="1" applyAlignment="1">
      <alignment horizontal="center" vertical="center"/>
    </xf>
    <xf numFmtId="0" fontId="179" fillId="12" borderId="52" xfId="0" applyFont="1" applyFill="1" applyBorder="1" applyAlignment="1">
      <alignment horizontal="center" vertical="center"/>
    </xf>
    <xf numFmtId="0" fontId="187" fillId="12" borderId="48" xfId="0" applyFont="1" applyFill="1" applyBorder="1" applyAlignment="1">
      <alignment horizontal="right" vertical="center" indent="1"/>
    </xf>
    <xf numFmtId="2" fontId="187" fillId="12" borderId="49" xfId="0" applyNumberFormat="1" applyFont="1" applyFill="1" applyBorder="1" applyAlignment="1">
      <alignment horizontal="left" vertical="center" indent="1"/>
    </xf>
    <xf numFmtId="0" fontId="187" fillId="12" borderId="50" xfId="0" applyFont="1" applyFill="1" applyBorder="1" applyAlignment="1">
      <alignment horizontal="right" vertical="center" indent="1"/>
    </xf>
    <xf numFmtId="2" fontId="187" fillId="12" borderId="52" xfId="0" applyNumberFormat="1" applyFont="1" applyFill="1" applyBorder="1" applyAlignment="1">
      <alignment horizontal="left" vertical="center" indent="1"/>
    </xf>
    <xf numFmtId="0" fontId="179" fillId="12" borderId="48" xfId="0" applyFont="1" applyFill="1" applyBorder="1" applyAlignment="1">
      <alignment horizontal="center" vertical="center"/>
    </xf>
    <xf numFmtId="0" fontId="179" fillId="12" borderId="49" xfId="0" applyFont="1" applyFill="1" applyBorder="1" applyAlignment="1">
      <alignment horizontal="center" vertical="center"/>
    </xf>
    <xf numFmtId="0" fontId="165" fillId="12" borderId="49" xfId="0" applyFont="1" applyFill="1" applyBorder="1" applyAlignment="1">
      <alignment horizontal="left" vertical="center" indent="1"/>
    </xf>
    <xf numFmtId="0" fontId="186" fillId="12" borderId="45" xfId="3" applyFont="1" applyFill="1" applyBorder="1" applyAlignment="1">
      <alignment vertical="center"/>
    </xf>
    <xf numFmtId="14" fontId="165" fillId="12" borderId="48" xfId="3" applyNumberFormat="1" applyFont="1" applyFill="1" applyBorder="1" applyAlignment="1">
      <alignment horizontal="left" vertical="center"/>
    </xf>
    <xf numFmtId="0" fontId="167" fillId="12" borderId="49" xfId="3" applyFill="1" applyBorder="1"/>
    <xf numFmtId="15" fontId="165" fillId="12" borderId="48" xfId="3" applyNumberFormat="1" applyFont="1" applyFill="1" applyBorder="1" applyAlignment="1">
      <alignment horizontal="center" vertical="center"/>
    </xf>
    <xf numFmtId="0" fontId="178" fillId="12" borderId="48" xfId="0" applyFont="1" applyFill="1" applyBorder="1" applyAlignment="1">
      <alignment horizontal="left" vertical="center" indent="1"/>
    </xf>
    <xf numFmtId="0" fontId="176" fillId="12" borderId="49" xfId="3" applyFont="1" applyFill="1" applyBorder="1"/>
    <xf numFmtId="0" fontId="165" fillId="12" borderId="51" xfId="0" applyFont="1" applyFill="1" applyBorder="1" applyAlignment="1">
      <alignment horizontal="left" vertical="center" indent="1"/>
    </xf>
    <xf numFmtId="0" fontId="176" fillId="12" borderId="52" xfId="3" applyFont="1" applyFill="1" applyBorder="1"/>
    <xf numFmtId="0" fontId="208" fillId="12" borderId="0" xfId="0" applyFont="1" applyFill="1" applyBorder="1" applyAlignment="1">
      <alignment horizontal="right" vertical="center"/>
    </xf>
    <xf numFmtId="0" fontId="176" fillId="12" borderId="51" xfId="3" applyFont="1" applyFill="1" applyBorder="1"/>
    <xf numFmtId="0" fontId="165" fillId="61" borderId="0" xfId="0" applyFont="1" applyFill="1" applyBorder="1" applyAlignment="1">
      <alignment horizontal="right" vertical="center" indent="1"/>
    </xf>
    <xf numFmtId="0" fontId="165" fillId="61" borderId="49" xfId="0" applyNumberFormat="1" applyFont="1" applyFill="1" applyBorder="1" applyAlignment="1">
      <alignment horizontal="left" vertical="center" indent="1"/>
    </xf>
    <xf numFmtId="2" fontId="165" fillId="62" borderId="49" xfId="0" applyNumberFormat="1" applyFont="1" applyFill="1" applyBorder="1" applyAlignment="1">
      <alignment horizontal="left" vertical="center" indent="1"/>
    </xf>
    <xf numFmtId="0" fontId="165" fillId="61" borderId="48" xfId="0" applyFont="1" applyFill="1" applyBorder="1" applyAlignment="1">
      <alignment horizontal="right" vertical="center" indent="1"/>
    </xf>
    <xf numFmtId="0" fontId="165" fillId="62" borderId="48" xfId="0" applyFont="1" applyFill="1" applyBorder="1" applyAlignment="1">
      <alignment horizontal="right" vertical="center" indent="1"/>
    </xf>
    <xf numFmtId="0" fontId="165" fillId="63" borderId="48" xfId="0" applyFont="1" applyFill="1" applyBorder="1" applyAlignment="1">
      <alignment horizontal="right" vertical="center" indent="1"/>
    </xf>
    <xf numFmtId="2" fontId="165" fillId="63" borderId="49" xfId="0" applyNumberFormat="1" applyFont="1" applyFill="1" applyBorder="1" applyAlignment="1">
      <alignment horizontal="left" vertical="center" indent="1"/>
    </xf>
    <xf numFmtId="0" fontId="165" fillId="59" borderId="48" xfId="0" applyFont="1" applyFill="1" applyBorder="1" applyAlignment="1">
      <alignment horizontal="right" vertical="center" indent="1"/>
    </xf>
    <xf numFmtId="49" fontId="165" fillId="59" borderId="49" xfId="0" applyNumberFormat="1" applyFont="1" applyFill="1" applyBorder="1" applyAlignment="1">
      <alignment horizontal="left" vertical="center" indent="1"/>
    </xf>
    <xf numFmtId="0" fontId="187" fillId="2" borderId="48" xfId="0" applyFont="1" applyFill="1" applyBorder="1" applyAlignment="1">
      <alignment horizontal="right" vertical="center" indent="1"/>
    </xf>
    <xf numFmtId="2" fontId="187" fillId="2" borderId="49" xfId="0" applyNumberFormat="1" applyFont="1" applyFill="1" applyBorder="1" applyAlignment="1">
      <alignment horizontal="left" vertical="center" indent="1"/>
    </xf>
    <xf numFmtId="0" fontId="184" fillId="52" borderId="123" xfId="0" applyFont="1" applyFill="1" applyBorder="1" applyAlignment="1">
      <alignment horizontal="center" vertical="center" wrapText="1"/>
    </xf>
    <xf numFmtId="0" fontId="184" fillId="53" borderId="123" xfId="0" applyFont="1" applyFill="1" applyBorder="1" applyAlignment="1">
      <alignment horizontal="center" vertical="center" wrapText="1"/>
    </xf>
    <xf numFmtId="0" fontId="184" fillId="10" borderId="123" xfId="0" applyFont="1" applyFill="1" applyBorder="1" applyAlignment="1">
      <alignment horizontal="center" vertical="center" wrapText="1"/>
    </xf>
    <xf numFmtId="0" fontId="117" fillId="0" borderId="0" xfId="114"/>
    <xf numFmtId="0" fontId="117" fillId="0" borderId="0" xfId="114" applyAlignment="1">
      <alignment horizontal="center" vertical="center"/>
    </xf>
    <xf numFmtId="0" fontId="117" fillId="0" borderId="0" xfId="114" applyAlignment="1">
      <alignment vertical="center"/>
    </xf>
    <xf numFmtId="0" fontId="117" fillId="0" borderId="123" xfId="114" applyFill="1" applyBorder="1" applyAlignment="1">
      <alignment horizontal="center" vertical="center"/>
    </xf>
    <xf numFmtId="0" fontId="117" fillId="0" borderId="123" xfId="114" applyFill="1" applyBorder="1" applyAlignment="1">
      <alignment horizontal="center" vertical="center" wrapText="1"/>
    </xf>
    <xf numFmtId="0" fontId="117" fillId="0" borderId="123" xfId="114" applyFill="1" applyBorder="1" applyAlignment="1">
      <alignment vertical="center" wrapText="1"/>
    </xf>
    <xf numFmtId="0" fontId="117" fillId="0" borderId="123" xfId="114" applyFill="1" applyBorder="1" applyAlignment="1">
      <alignment horizontal="left" vertical="center" wrapText="1"/>
    </xf>
    <xf numFmtId="14" fontId="117" fillId="0" borderId="123" xfId="114" applyNumberFormat="1" applyFill="1" applyBorder="1" applyAlignment="1">
      <alignment horizontal="center" vertical="center"/>
    </xf>
    <xf numFmtId="0" fontId="120" fillId="11" borderId="123" xfId="112" applyFill="1" applyBorder="1" applyAlignment="1">
      <alignment horizontal="center" vertical="center"/>
    </xf>
    <xf numFmtId="0" fontId="120" fillId="11" borderId="123" xfId="112" applyFill="1" applyBorder="1" applyAlignment="1">
      <alignment horizontal="center" vertical="center" wrapText="1"/>
    </xf>
    <xf numFmtId="0" fontId="120" fillId="11" borderId="123" xfId="112" applyFill="1" applyBorder="1" applyAlignment="1">
      <alignment vertical="center" wrapText="1"/>
    </xf>
    <xf numFmtId="14" fontId="120" fillId="11" borderId="123" xfId="112" applyNumberFormat="1" applyFill="1" applyBorder="1" applyAlignment="1">
      <alignment horizontal="center" vertical="center" wrapText="1"/>
    </xf>
    <xf numFmtId="0" fontId="119" fillId="11" borderId="123" xfId="112" applyFont="1" applyFill="1" applyBorder="1" applyAlignment="1">
      <alignment horizontal="center" vertical="center" wrapText="1"/>
    </xf>
    <xf numFmtId="0" fontId="167" fillId="10" borderId="89" xfId="3" applyFill="1" applyBorder="1"/>
    <xf numFmtId="0" fontId="167" fillId="10" borderId="37" xfId="3" applyFill="1" applyBorder="1"/>
    <xf numFmtId="0" fontId="165" fillId="10" borderId="89" xfId="3" applyFont="1" applyFill="1" applyBorder="1" applyAlignment="1">
      <alignment vertical="center"/>
    </xf>
    <xf numFmtId="2" fontId="209" fillId="12" borderId="49" xfId="0" applyNumberFormat="1" applyFont="1" applyFill="1" applyBorder="1" applyAlignment="1">
      <alignment horizontal="left" vertical="center"/>
    </xf>
    <xf numFmtId="0" fontId="0" fillId="0" borderId="0" xfId="0" applyAlignment="1">
      <alignment horizontal="left"/>
    </xf>
    <xf numFmtId="0" fontId="184" fillId="64" borderId="75" xfId="0" applyFont="1" applyFill="1" applyBorder="1" applyAlignment="1">
      <alignment horizontal="center" vertical="center" wrapText="1"/>
    </xf>
    <xf numFmtId="0" fontId="184" fillId="65" borderId="75" xfId="0" applyFont="1" applyFill="1" applyBorder="1" applyAlignment="1">
      <alignment horizontal="center" vertical="center" wrapText="1"/>
    </xf>
    <xf numFmtId="0" fontId="165" fillId="62" borderId="49" xfId="0" applyFont="1" applyFill="1" applyBorder="1" applyAlignment="1">
      <alignment horizontal="left" vertical="center" indent="1"/>
    </xf>
    <xf numFmtId="0" fontId="165" fillId="60" borderId="49" xfId="0" applyFont="1" applyFill="1" applyBorder="1" applyAlignment="1">
      <alignment horizontal="left" vertical="center" indent="1"/>
    </xf>
    <xf numFmtId="0" fontId="165" fillId="60" borderId="48" xfId="0" applyFont="1" applyFill="1" applyBorder="1" applyAlignment="1">
      <alignment horizontal="right" vertical="center" indent="1"/>
    </xf>
    <xf numFmtId="0" fontId="165" fillId="62" borderId="0" xfId="0" applyFont="1" applyFill="1" applyBorder="1" applyAlignment="1">
      <alignment horizontal="right" vertical="center" indent="1"/>
    </xf>
    <xf numFmtId="0" fontId="165" fillId="63" borderId="49" xfId="0" applyFont="1" applyFill="1" applyBorder="1" applyAlignment="1">
      <alignment horizontal="left" vertical="center" indent="1"/>
    </xf>
    <xf numFmtId="0" fontId="165" fillId="63" borderId="0" xfId="0" applyFont="1" applyFill="1" applyBorder="1" applyAlignment="1">
      <alignment horizontal="right" vertical="center" indent="1"/>
    </xf>
    <xf numFmtId="0" fontId="1" fillId="0" borderId="0" xfId="231"/>
    <xf numFmtId="14" fontId="1" fillId="0" borderId="0" xfId="231" applyNumberFormat="1"/>
    <xf numFmtId="0" fontId="1" fillId="0" borderId="0" xfId="231" applyAlignment="1">
      <alignment wrapText="1"/>
    </xf>
    <xf numFmtId="11" fontId="1" fillId="0" borderId="0" xfId="231" applyNumberFormat="1"/>
    <xf numFmtId="0" fontId="206" fillId="12" borderId="85" xfId="0" applyFont="1" applyFill="1" applyBorder="1" applyAlignment="1">
      <alignment horizontal="center" vertical="center"/>
    </xf>
    <xf numFmtId="0" fontId="206" fillId="12" borderId="91" xfId="0" applyFont="1" applyFill="1" applyBorder="1" applyAlignment="1">
      <alignment horizontal="center" vertical="center"/>
    </xf>
    <xf numFmtId="0" fontId="206" fillId="12" borderId="92" xfId="0" applyFont="1" applyFill="1" applyBorder="1" applyAlignment="1">
      <alignment horizontal="center" vertical="center"/>
    </xf>
    <xf numFmtId="0" fontId="206" fillId="12" borderId="95" xfId="0" applyFont="1" applyFill="1" applyBorder="1" applyAlignment="1">
      <alignment horizontal="center" vertical="center"/>
    </xf>
    <xf numFmtId="0" fontId="206" fillId="12" borderId="93" xfId="0" applyFont="1" applyFill="1" applyBorder="1" applyAlignment="1">
      <alignment horizontal="center" vertical="center"/>
    </xf>
    <xf numFmtId="0" fontId="206" fillId="12" borderId="94" xfId="0" applyFont="1" applyFill="1" applyBorder="1" applyAlignment="1">
      <alignment horizontal="center" vertical="center"/>
    </xf>
    <xf numFmtId="15" fontId="165" fillId="11" borderId="76" xfId="3" applyNumberFormat="1" applyFont="1" applyFill="1" applyBorder="1" applyAlignment="1">
      <alignment horizontal="left" vertical="center" indent="2"/>
    </xf>
    <xf numFmtId="15" fontId="165" fillId="11" borderId="87" xfId="3" applyNumberFormat="1" applyFont="1" applyFill="1" applyBorder="1" applyAlignment="1">
      <alignment horizontal="left" vertical="center" indent="2"/>
    </xf>
    <xf numFmtId="15" fontId="165" fillId="11" borderId="88" xfId="3" applyNumberFormat="1" applyFont="1" applyFill="1" applyBorder="1" applyAlignment="1">
      <alignment horizontal="left" vertical="center" indent="2"/>
    </xf>
    <xf numFmtId="15" fontId="165" fillId="11" borderId="95" xfId="3" applyNumberFormat="1" applyFont="1" applyFill="1" applyBorder="1" applyAlignment="1">
      <alignment horizontal="left" vertical="center" indent="2"/>
    </xf>
    <xf numFmtId="15" fontId="165" fillId="11" borderId="93" xfId="3" applyNumberFormat="1" applyFont="1" applyFill="1" applyBorder="1" applyAlignment="1">
      <alignment horizontal="left" vertical="center" indent="2"/>
    </xf>
    <xf numFmtId="15" fontId="165" fillId="11" borderId="94" xfId="3" applyNumberFormat="1" applyFont="1" applyFill="1" applyBorder="1" applyAlignment="1">
      <alignment horizontal="left" vertical="center" indent="2"/>
    </xf>
    <xf numFmtId="0" fontId="206" fillId="12" borderId="116" xfId="0" applyFont="1" applyFill="1" applyBorder="1" applyAlignment="1">
      <alignment horizontal="center" vertical="center"/>
    </xf>
    <xf numFmtId="22" fontId="167" fillId="10" borderId="89" xfId="3" applyNumberFormat="1" applyFont="1" applyFill="1" applyBorder="1" applyAlignment="1">
      <alignment horizontal="center" vertical="center"/>
    </xf>
    <xf numFmtId="0" fontId="181" fillId="10" borderId="55" xfId="3" applyFont="1" applyFill="1" applyBorder="1" applyAlignment="1">
      <alignment horizontal="center" vertical="center" wrapText="1"/>
    </xf>
    <xf numFmtId="0" fontId="181" fillId="10" borderId="56" xfId="3" applyFont="1" applyFill="1" applyBorder="1" applyAlignment="1">
      <alignment horizontal="center" vertical="center" wrapText="1"/>
    </xf>
    <xf numFmtId="0" fontId="181" fillId="10" borderId="89" xfId="3" applyFont="1" applyFill="1" applyBorder="1" applyAlignment="1">
      <alignment horizontal="center" vertical="center" wrapText="1"/>
    </xf>
    <xf numFmtId="0" fontId="179" fillId="12" borderId="48" xfId="0" applyFont="1" applyFill="1" applyBorder="1" applyAlignment="1">
      <alignment horizontal="center" vertical="center"/>
    </xf>
    <xf numFmtId="0" fontId="179" fillId="12" borderId="49" xfId="0" applyFont="1" applyFill="1" applyBorder="1" applyAlignment="1">
      <alignment horizontal="center" vertical="center"/>
    </xf>
    <xf numFmtId="0" fontId="186" fillId="12" borderId="45" xfId="3" applyFont="1" applyFill="1" applyBorder="1" applyAlignment="1">
      <alignment horizontal="center" vertical="center"/>
    </xf>
    <xf numFmtId="0" fontId="186" fillId="12" borderId="47" xfId="3" applyFont="1" applyFill="1" applyBorder="1" applyAlignment="1">
      <alignment horizontal="center" vertical="center"/>
    </xf>
    <xf numFmtId="0" fontId="165" fillId="10" borderId="89" xfId="3" applyFont="1" applyFill="1" applyBorder="1" applyAlignment="1">
      <alignment horizontal="center" vertical="center"/>
    </xf>
    <xf numFmtId="0" fontId="175" fillId="2" borderId="33" xfId="0" applyFont="1" applyFill="1" applyBorder="1" applyAlignment="1" applyProtection="1">
      <alignment horizontal="left" vertical="center"/>
      <protection locked="0"/>
    </xf>
    <xf numFmtId="0" fontId="175" fillId="2" borderId="34" xfId="0" applyFont="1" applyFill="1" applyBorder="1" applyAlignment="1" applyProtection="1">
      <alignment horizontal="left" vertical="center"/>
      <protection locked="0"/>
    </xf>
    <xf numFmtId="0" fontId="175" fillId="2" borderId="35" xfId="0" applyFont="1" applyFill="1" applyBorder="1" applyAlignment="1" applyProtection="1">
      <alignment horizontal="left" vertical="center"/>
      <protection locked="0"/>
    </xf>
    <xf numFmtId="0" fontId="175" fillId="3" borderId="28" xfId="0" applyFont="1" applyFill="1" applyBorder="1" applyAlignment="1">
      <alignment horizontal="left"/>
    </xf>
    <xf numFmtId="0" fontId="175" fillId="3" borderId="29" xfId="0" applyFont="1" applyFill="1" applyBorder="1" applyAlignment="1">
      <alignment horizontal="left"/>
    </xf>
    <xf numFmtId="0" fontId="175" fillId="3" borderId="30" xfId="0" applyFont="1" applyFill="1" applyBorder="1" applyAlignment="1">
      <alignment horizontal="left"/>
    </xf>
    <xf numFmtId="0" fontId="175" fillId="2" borderId="6" xfId="0" applyFont="1" applyFill="1" applyBorder="1" applyAlignment="1" applyProtection="1">
      <alignment horizontal="left" vertical="center" wrapText="1"/>
      <protection locked="0"/>
    </xf>
    <xf numFmtId="0" fontId="175" fillId="2" borderId="7" xfId="0" applyFont="1" applyFill="1" applyBorder="1" applyAlignment="1" applyProtection="1">
      <alignment horizontal="left" vertical="center" wrapText="1"/>
      <protection locked="0"/>
    </xf>
    <xf numFmtId="0" fontId="175" fillId="2" borderId="11" xfId="0" applyFont="1" applyFill="1" applyBorder="1" applyAlignment="1" applyProtection="1">
      <alignment horizontal="left" vertical="center" wrapText="1"/>
      <protection locked="0"/>
    </xf>
    <xf numFmtId="0" fontId="175" fillId="2" borderId="31" xfId="0" applyFont="1" applyFill="1" applyBorder="1" applyAlignment="1" applyProtection="1">
      <alignment horizontal="left" vertical="center" wrapText="1"/>
      <protection locked="0"/>
    </xf>
    <xf numFmtId="0" fontId="175" fillId="2" borderId="32" xfId="0" applyFont="1" applyFill="1" applyBorder="1" applyAlignment="1" applyProtection="1">
      <alignment horizontal="left" vertical="center" wrapText="1"/>
      <protection locked="0"/>
    </xf>
    <xf numFmtId="0" fontId="175" fillId="2" borderId="26" xfId="0" applyFont="1" applyFill="1" applyBorder="1" applyAlignment="1" applyProtection="1">
      <alignment horizontal="left" vertical="center" wrapText="1"/>
      <protection locked="0"/>
    </xf>
    <xf numFmtId="0" fontId="175" fillId="2" borderId="27" xfId="0" applyFont="1" applyFill="1" applyBorder="1" applyAlignment="1" applyProtection="1">
      <alignment horizontal="left" vertical="center" wrapText="1"/>
      <protection locked="0"/>
    </xf>
    <xf numFmtId="0" fontId="175" fillId="2" borderId="31" xfId="0" applyFont="1" applyFill="1" applyBorder="1" applyAlignment="1" applyProtection="1">
      <alignment horizontal="left" vertical="center"/>
      <protection locked="0"/>
    </xf>
    <xf numFmtId="0" fontId="175" fillId="2" borderId="32" xfId="0" applyFont="1" applyFill="1" applyBorder="1" applyAlignment="1" applyProtection="1">
      <alignment horizontal="left" vertical="center"/>
      <protection locked="0"/>
    </xf>
    <xf numFmtId="0" fontId="175" fillId="10" borderId="68" xfId="0" applyFont="1" applyFill="1" applyBorder="1" applyAlignment="1" applyProtection="1">
      <alignment vertical="center" wrapText="1"/>
      <protection locked="0"/>
    </xf>
    <xf numFmtId="0" fontId="175" fillId="10" borderId="69" xfId="0" applyFont="1" applyFill="1" applyBorder="1" applyAlignment="1" applyProtection="1">
      <alignment vertical="center" wrapText="1"/>
      <protection locked="0"/>
    </xf>
    <xf numFmtId="0" fontId="175" fillId="10" borderId="70" xfId="0" applyFont="1" applyFill="1" applyBorder="1" applyAlignment="1" applyProtection="1">
      <alignment vertical="center" wrapText="1"/>
      <protection locked="0"/>
    </xf>
    <xf numFmtId="0" fontId="175" fillId="2" borderId="24" xfId="0" applyFont="1" applyFill="1" applyBorder="1" applyAlignment="1" applyProtection="1">
      <alignment horizontal="left" vertical="center" wrapText="1"/>
      <protection locked="0"/>
    </xf>
    <xf numFmtId="0" fontId="175" fillId="2" borderId="25" xfId="0" applyFont="1" applyFill="1" applyBorder="1" applyAlignment="1" applyProtection="1">
      <alignment horizontal="left" vertical="center" wrapText="1"/>
      <protection locked="0"/>
    </xf>
    <xf numFmtId="0" fontId="175" fillId="2" borderId="6" xfId="0" applyFont="1" applyFill="1" applyBorder="1" applyAlignment="1" applyProtection="1">
      <alignment horizontal="center" vertical="center" wrapText="1"/>
      <protection locked="0"/>
    </xf>
    <xf numFmtId="0" fontId="175" fillId="2" borderId="7" xfId="0" applyFont="1" applyFill="1" applyBorder="1" applyAlignment="1" applyProtection="1">
      <alignment horizontal="center" vertical="center" wrapText="1"/>
      <protection locked="0"/>
    </xf>
    <xf numFmtId="0" fontId="175" fillId="2" borderId="11" xfId="0" applyFont="1" applyFill="1" applyBorder="1" applyAlignment="1" applyProtection="1">
      <alignment horizontal="center" vertical="center" wrapText="1"/>
      <protection locked="0"/>
    </xf>
    <xf numFmtId="0" fontId="167" fillId="56" borderId="15" xfId="0" applyFont="1" applyFill="1" applyBorder="1" applyAlignment="1">
      <alignment horizontal="center" vertical="center"/>
    </xf>
    <xf numFmtId="0" fontId="167" fillId="56" borderId="17" xfId="0" applyFont="1" applyFill="1" applyBorder="1" applyAlignment="1">
      <alignment horizontal="center" vertical="center"/>
    </xf>
    <xf numFmtId="0" fontId="167" fillId="12" borderId="108" xfId="0" applyFont="1" applyFill="1" applyBorder="1" applyAlignment="1">
      <alignment horizontal="center" vertical="center"/>
    </xf>
    <xf numFmtId="0" fontId="167" fillId="12" borderId="109" xfId="0" applyFont="1" applyFill="1" applyBorder="1" applyAlignment="1">
      <alignment horizontal="center" vertical="center"/>
    </xf>
    <xf numFmtId="0" fontId="167" fillId="12" borderId="110" xfId="0" applyFont="1" applyFill="1" applyBorder="1" applyAlignment="1">
      <alignment horizontal="center" vertical="center"/>
    </xf>
    <xf numFmtId="0" fontId="167" fillId="12" borderId="111" xfId="0" applyFont="1" applyFill="1" applyBorder="1" applyAlignment="1">
      <alignment horizontal="center" vertical="center"/>
    </xf>
    <xf numFmtId="0" fontId="0" fillId="12" borderId="15" xfId="0" applyFill="1" applyBorder="1" applyAlignment="1">
      <alignment horizontal="center" vertical="center"/>
    </xf>
    <xf numFmtId="0" fontId="0" fillId="12" borderId="17" xfId="0" applyFill="1" applyBorder="1" applyAlignment="1">
      <alignment horizontal="center" vertical="center"/>
    </xf>
    <xf numFmtId="165" fontId="170" fillId="8" borderId="36" xfId="0" applyNumberFormat="1" applyFont="1" applyFill="1" applyBorder="1" applyAlignment="1">
      <alignment horizontal="center" vertical="center" wrapText="1"/>
    </xf>
    <xf numFmtId="165" fontId="170" fillId="8" borderId="0" xfId="0" applyNumberFormat="1" applyFont="1" applyFill="1" applyBorder="1" applyAlignment="1">
      <alignment horizontal="center" vertical="center" wrapText="1"/>
    </xf>
    <xf numFmtId="0" fontId="167" fillId="12" borderId="2" xfId="0" applyFont="1" applyFill="1" applyBorder="1" applyAlignment="1">
      <alignment horizontal="center" vertical="center"/>
    </xf>
    <xf numFmtId="0" fontId="184" fillId="59" borderId="2" xfId="0" applyFont="1" applyFill="1" applyBorder="1" applyAlignment="1">
      <alignment horizontal="center" vertical="center" wrapText="1"/>
    </xf>
    <xf numFmtId="15" fontId="183" fillId="59" borderId="2" xfId="0" applyNumberFormat="1" applyFont="1" applyFill="1" applyBorder="1" applyAlignment="1">
      <alignment horizontal="center" vertical="center" wrapText="1"/>
    </xf>
    <xf numFmtId="0" fontId="184" fillId="61" borderId="2" xfId="0" applyFont="1" applyFill="1" applyBorder="1" applyAlignment="1">
      <alignment horizontal="center" vertical="center" wrapText="1"/>
    </xf>
    <xf numFmtId="15" fontId="183" fillId="61" borderId="2" xfId="0" applyNumberFormat="1" applyFont="1" applyFill="1" applyBorder="1" applyAlignment="1">
      <alignment horizontal="center" vertical="center" wrapText="1"/>
    </xf>
    <xf numFmtId="0" fontId="184" fillId="60" borderId="2" xfId="0" applyFont="1" applyFill="1" applyBorder="1" applyAlignment="1">
      <alignment horizontal="center" vertical="center" wrapText="1"/>
    </xf>
    <xf numFmtId="15" fontId="183" fillId="60" borderId="2" xfId="0" applyNumberFormat="1" applyFont="1" applyFill="1" applyBorder="1" applyAlignment="1">
      <alignment horizontal="center" vertical="center" wrapText="1"/>
    </xf>
    <xf numFmtId="0" fontId="117" fillId="62" borderId="123" xfId="114" applyFill="1" applyBorder="1" applyAlignment="1">
      <alignment horizontal="center" vertical="center" wrapText="1"/>
    </xf>
    <xf numFmtId="14" fontId="117" fillId="62" borderId="123" xfId="114" applyNumberFormat="1" applyFill="1" applyBorder="1" applyAlignment="1">
      <alignment horizontal="center" vertical="center"/>
    </xf>
    <xf numFmtId="0" fontId="117" fillId="60" borderId="123" xfId="114" applyFill="1" applyBorder="1" applyAlignment="1">
      <alignment horizontal="center" vertical="center" wrapText="1"/>
    </xf>
    <xf numFmtId="14" fontId="117" fillId="60" borderId="123" xfId="114" applyNumberFormat="1" applyFill="1" applyBorder="1" applyAlignment="1">
      <alignment horizontal="center" vertical="center"/>
    </xf>
    <xf numFmtId="0" fontId="117" fillId="61" borderId="123" xfId="114" applyFill="1" applyBorder="1" applyAlignment="1">
      <alignment horizontal="center" vertical="center" wrapText="1"/>
    </xf>
    <xf numFmtId="14" fontId="117" fillId="61" borderId="123" xfId="114" applyNumberFormat="1" applyFill="1" applyBorder="1" applyAlignment="1">
      <alignment horizontal="center" vertical="center"/>
    </xf>
    <xf numFmtId="0" fontId="117" fillId="61" borderId="123" xfId="114" applyFill="1" applyBorder="1" applyAlignment="1">
      <alignment horizontal="center" vertical="center"/>
    </xf>
    <xf numFmtId="0" fontId="117" fillId="62" borderId="123" xfId="114" applyFill="1" applyBorder="1" applyAlignment="1">
      <alignment horizontal="center" vertical="center"/>
    </xf>
  </cellXfs>
  <cellStyles count="232">
    <cellStyle name="20 % - Accent1" xfId="22" builtinId="30" customBuiltin="1"/>
    <cellStyle name="20 % - Accent2" xfId="26" builtinId="34" customBuiltin="1"/>
    <cellStyle name="20 % - Accent3" xfId="30" builtinId="38" customBuiltin="1"/>
    <cellStyle name="20 % - Accent4" xfId="34" builtinId="42" customBuiltin="1"/>
    <cellStyle name="20 % - Accent5" xfId="38" builtinId="46" customBuiltin="1"/>
    <cellStyle name="20 % - Accent6" xfId="42" builtinId="50" customBuiltin="1"/>
    <cellStyle name="40 % - Accent1" xfId="23" builtinId="31" customBuiltin="1"/>
    <cellStyle name="40 % - Accent2" xfId="27" builtinId="35" customBuiltin="1"/>
    <cellStyle name="40 % - Accent3" xfId="31" builtinId="39" customBuiltin="1"/>
    <cellStyle name="40 % - Accent4" xfId="35" builtinId="43" customBuiltin="1"/>
    <cellStyle name="40 % - Accent5" xfId="39" builtinId="47" customBuiltin="1"/>
    <cellStyle name="40 % - Accent6" xfId="43" builtinId="51" customBuiltin="1"/>
    <cellStyle name="60 % - Accent1" xfId="24" builtinId="32" customBuiltin="1"/>
    <cellStyle name="60 % - Accent2" xfId="28" builtinId="36" customBuiltin="1"/>
    <cellStyle name="60 % - Accent3" xfId="32" builtinId="40" customBuiltin="1"/>
    <cellStyle name="60 % - Accent4" xfId="36" builtinId="44" customBuiltin="1"/>
    <cellStyle name="60 % - Accent5" xfId="40" builtinId="48" customBuiltin="1"/>
    <cellStyle name="60 %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Avertissement" xfId="18" builtinId="11" customBuiltin="1"/>
    <cellStyle name="Calcul" xfId="15" builtinId="22" customBuiltin="1"/>
    <cellStyle name="Cellule liée" xfId="16" builtinId="24" customBuiltin="1"/>
    <cellStyle name="Entrée" xfId="13" builtinId="20" customBuiltin="1"/>
    <cellStyle name="Insatisfaisant" xfId="11" builtinId="27" customBuiltin="1"/>
    <cellStyle name="Lien hypertexte" xfId="1" builtinId="8"/>
    <cellStyle name="Neutre" xfId="12" builtinId="28" customBuiltin="1"/>
    <cellStyle name="Normal" xfId="0" builtinId="0"/>
    <cellStyle name="Normal 10" xfId="47"/>
    <cellStyle name="Normal 10 2" xfId="48"/>
    <cellStyle name="Normal 100" xfId="157"/>
    <cellStyle name="Normal 101" xfId="158"/>
    <cellStyle name="Normal 102" xfId="159"/>
    <cellStyle name="Normal 103" xfId="160"/>
    <cellStyle name="Normal 104" xfId="161"/>
    <cellStyle name="Normal 105" xfId="162"/>
    <cellStyle name="Normal 106" xfId="163"/>
    <cellStyle name="Normal 107" xfId="164"/>
    <cellStyle name="Normal 108" xfId="165"/>
    <cellStyle name="Normal 109" xfId="166"/>
    <cellStyle name="Normal 11" xfId="49"/>
    <cellStyle name="Normal 11 2" xfId="50"/>
    <cellStyle name="Normal 110" xfId="167"/>
    <cellStyle name="Normal 111" xfId="168"/>
    <cellStyle name="Normal 112" xfId="169"/>
    <cellStyle name="Normal 113" xfId="170"/>
    <cellStyle name="Normal 114" xfId="171"/>
    <cellStyle name="Normal 115" xfId="172"/>
    <cellStyle name="Normal 116" xfId="173"/>
    <cellStyle name="Normal 117" xfId="174"/>
    <cellStyle name="Normal 118" xfId="175"/>
    <cellStyle name="Normal 119" xfId="176"/>
    <cellStyle name="Normal 12" xfId="51"/>
    <cellStyle name="Normal 12 2" xfId="52"/>
    <cellStyle name="Normal 120" xfId="177"/>
    <cellStyle name="Normal 121" xfId="178"/>
    <cellStyle name="Normal 122" xfId="179"/>
    <cellStyle name="Normal 123" xfId="180"/>
    <cellStyle name="Normal 124" xfId="181"/>
    <cellStyle name="Normal 125" xfId="182"/>
    <cellStyle name="Normal 126" xfId="183"/>
    <cellStyle name="Normal 127" xfId="184"/>
    <cellStyle name="Normal 128" xfId="185"/>
    <cellStyle name="Normal 129" xfId="186"/>
    <cellStyle name="Normal 13" xfId="53"/>
    <cellStyle name="Normal 130" xfId="187"/>
    <cellStyle name="Normal 131" xfId="188"/>
    <cellStyle name="Normal 132" xfId="189"/>
    <cellStyle name="Normal 133" xfId="190"/>
    <cellStyle name="Normal 134" xfId="191"/>
    <cellStyle name="Normal 135" xfId="192"/>
    <cellStyle name="Normal 136" xfId="193"/>
    <cellStyle name="Normal 137" xfId="194"/>
    <cellStyle name="Normal 138" xfId="195"/>
    <cellStyle name="Normal 139" xfId="196"/>
    <cellStyle name="Normal 14" xfId="70"/>
    <cellStyle name="Normal 140" xfId="197"/>
    <cellStyle name="Normal 141" xfId="198"/>
    <cellStyle name="Normal 142" xfId="199"/>
    <cellStyle name="Normal 143" xfId="200"/>
    <cellStyle name="Normal 144" xfId="201"/>
    <cellStyle name="Normal 145" xfId="202"/>
    <cellStyle name="Normal 146" xfId="203"/>
    <cellStyle name="Normal 147" xfId="204"/>
    <cellStyle name="Normal 148" xfId="205"/>
    <cellStyle name="Normal 149" xfId="206"/>
    <cellStyle name="Normal 15" xfId="71"/>
    <cellStyle name="Normal 150" xfId="207"/>
    <cellStyle name="Normal 151" xfId="208"/>
    <cellStyle name="Normal 152" xfId="209"/>
    <cellStyle name="Normal 153" xfId="210"/>
    <cellStyle name="Normal 154" xfId="211"/>
    <cellStyle name="Normal 155" xfId="212"/>
    <cellStyle name="Normal 156" xfId="213"/>
    <cellStyle name="Normal 157" xfId="214"/>
    <cellStyle name="Normal 158" xfId="216"/>
    <cellStyle name="Normal 159" xfId="217"/>
    <cellStyle name="Normal 16" xfId="72"/>
    <cellStyle name="Normal 160" xfId="218"/>
    <cellStyle name="Normal 161" xfId="219"/>
    <cellStyle name="Normal 162" xfId="220"/>
    <cellStyle name="Normal 163" xfId="221"/>
    <cellStyle name="Normal 164" xfId="222"/>
    <cellStyle name="Normal 165" xfId="223"/>
    <cellStyle name="Normal 166" xfId="224"/>
    <cellStyle name="Normal 167" xfId="225"/>
    <cellStyle name="Normal 168" xfId="226"/>
    <cellStyle name="Normal 169" xfId="227"/>
    <cellStyle name="Normal 17" xfId="73"/>
    <cellStyle name="Normal 170" xfId="228"/>
    <cellStyle name="Normal 171" xfId="229"/>
    <cellStyle name="Normal 172" xfId="230"/>
    <cellStyle name="Normal 173" xfId="231"/>
    <cellStyle name="Normal 18" xfId="74"/>
    <cellStyle name="Normal 19" xfId="75"/>
    <cellStyle name="Normal 2" xfId="2"/>
    <cellStyle name="Normal 2 2" xfId="54"/>
    <cellStyle name="Normal 2 3" xfId="215"/>
    <cellStyle name="Normal 20" xfId="76"/>
    <cellStyle name="Normal 21" xfId="77"/>
    <cellStyle name="Normal 22" xfId="78"/>
    <cellStyle name="Normal 23" xfId="79"/>
    <cellStyle name="Normal 24" xfId="80"/>
    <cellStyle name="Normal 25" xfId="81"/>
    <cellStyle name="Normal 26" xfId="82"/>
    <cellStyle name="Normal 27" xfId="83"/>
    <cellStyle name="Normal 28" xfId="84"/>
    <cellStyle name="Normal 29" xfId="85"/>
    <cellStyle name="Normal 3" xfId="45"/>
    <cellStyle name="Normal 3 2" xfId="55"/>
    <cellStyle name="Normal 3 2 2" xfId="56"/>
    <cellStyle name="Normal 3 3" xfId="57"/>
    <cellStyle name="Normal 30" xfId="86"/>
    <cellStyle name="Normal 31" xfId="87"/>
    <cellStyle name="Normal 32" xfId="88"/>
    <cellStyle name="Normal 33" xfId="89"/>
    <cellStyle name="Normal 34" xfId="90"/>
    <cellStyle name="Normal 35" xfId="91"/>
    <cellStyle name="Normal 36" xfId="92"/>
    <cellStyle name="Normal 37" xfId="93"/>
    <cellStyle name="Normal 38" xfId="94"/>
    <cellStyle name="Normal 39" xfId="95"/>
    <cellStyle name="Normal 4" xfId="58"/>
    <cellStyle name="Normal 4 2" xfId="59"/>
    <cellStyle name="Normal 40" xfId="96"/>
    <cellStyle name="Normal 41" xfId="97"/>
    <cellStyle name="Normal 42" xfId="98"/>
    <cellStyle name="Normal 43" xfId="99"/>
    <cellStyle name="Normal 44" xfId="100"/>
    <cellStyle name="Normal 45" xfId="101"/>
    <cellStyle name="Normal 46" xfId="102"/>
    <cellStyle name="Normal 47" xfId="103"/>
    <cellStyle name="Normal 48" xfId="104"/>
    <cellStyle name="Normal 49" xfId="105"/>
    <cellStyle name="Normal 5" xfId="60"/>
    <cellStyle name="Normal 5 2" xfId="61"/>
    <cellStyle name="Normal 50" xfId="106"/>
    <cellStyle name="Normal 51" xfId="107"/>
    <cellStyle name="Normal 52" xfId="108"/>
    <cellStyle name="Normal 53" xfId="109"/>
    <cellStyle name="Normal 54" xfId="110"/>
    <cellStyle name="Normal 55" xfId="111"/>
    <cellStyle name="Normal 56" xfId="112"/>
    <cellStyle name="Normal 56 2" xfId="114"/>
    <cellStyle name="Normal 57" xfId="113"/>
    <cellStyle name="Normal 58" xfId="115"/>
    <cellStyle name="Normal 59" xfId="116"/>
    <cellStyle name="Normal 6" xfId="62"/>
    <cellStyle name="Normal 6 2" xfId="63"/>
    <cellStyle name="Normal 60" xfId="117"/>
    <cellStyle name="Normal 61" xfId="118"/>
    <cellStyle name="Normal 62" xfId="119"/>
    <cellStyle name="Normal 63" xfId="120"/>
    <cellStyle name="Normal 64" xfId="121"/>
    <cellStyle name="Normal 65" xfId="122"/>
    <cellStyle name="Normal 66" xfId="123"/>
    <cellStyle name="Normal 67" xfId="124"/>
    <cellStyle name="Normal 68" xfId="125"/>
    <cellStyle name="Normal 69" xfId="126"/>
    <cellStyle name="Normal 7" xfId="64"/>
    <cellStyle name="Normal 7 2" xfId="65"/>
    <cellStyle name="Normal 70" xfId="127"/>
    <cellStyle name="Normal 71" xfId="128"/>
    <cellStyle name="Normal 72" xfId="129"/>
    <cellStyle name="Normal 73" xfId="130"/>
    <cellStyle name="Normal 74" xfId="131"/>
    <cellStyle name="Normal 75" xfId="132"/>
    <cellStyle name="Normal 76" xfId="133"/>
    <cellStyle name="Normal 77" xfId="134"/>
    <cellStyle name="Normal 78" xfId="135"/>
    <cellStyle name="Normal 79" xfId="136"/>
    <cellStyle name="Normal 8" xfId="66"/>
    <cellStyle name="Normal 8 2" xfId="67"/>
    <cellStyle name="Normal 80" xfId="137"/>
    <cellStyle name="Normal 81" xfId="138"/>
    <cellStyle name="Normal 82" xfId="139"/>
    <cellStyle name="Normal 83" xfId="140"/>
    <cellStyle name="Normal 84" xfId="141"/>
    <cellStyle name="Normal 85" xfId="142"/>
    <cellStyle name="Normal 86" xfId="143"/>
    <cellStyle name="Normal 87" xfId="144"/>
    <cellStyle name="Normal 88" xfId="145"/>
    <cellStyle name="Normal 89" xfId="146"/>
    <cellStyle name="Normal 9" xfId="68"/>
    <cellStyle name="Normal 9 2" xfId="69"/>
    <cellStyle name="Normal 90" xfId="147"/>
    <cellStyle name="Normal 91" xfId="148"/>
    <cellStyle name="Normal 92" xfId="149"/>
    <cellStyle name="Normal 93" xfId="150"/>
    <cellStyle name="Normal 94" xfId="151"/>
    <cellStyle name="Normal 95" xfId="152"/>
    <cellStyle name="Normal 96" xfId="153"/>
    <cellStyle name="Normal 97" xfId="154"/>
    <cellStyle name="Normal 98" xfId="155"/>
    <cellStyle name="Normal 99" xfId="156"/>
    <cellStyle name="Normal_budget_Archive_Jul03" xfId="3"/>
    <cellStyle name="Note 2" xfId="46"/>
    <cellStyle name="Satisfaisant" xfId="10" builtinId="26" customBuiltin="1"/>
    <cellStyle name="Sortie" xfId="14" builtinId="21" customBuiltin="1"/>
    <cellStyle name="Tableau" xfId="4"/>
    <cellStyle name="Texte explicatif" xfId="19" builtinId="53" customBuiltin="1"/>
    <cellStyle name="Titre" xfId="5" builtinId="15" customBuiltin="1"/>
    <cellStyle name="Titre 1" xfId="6" builtinId="16" customBuiltin="1"/>
    <cellStyle name="Titre 2" xfId="7" builtinId="17" customBuiltin="1"/>
    <cellStyle name="Titre 3" xfId="8" builtinId="18" customBuiltin="1"/>
    <cellStyle name="Titre 4" xfId="9" builtinId="19" customBuiltin="1"/>
    <cellStyle name="Total" xfId="20" builtinId="25" customBuiltin="1"/>
    <cellStyle name="Vérification" xfId="17" builtinId="23" customBuiltin="1"/>
  </cellStyles>
  <dxfs count="7">
    <dxf>
      <fill>
        <patternFill>
          <bgColor rgb="FFFFFF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s>
  <tableStyles count="0" defaultTableStyle="TableStyleMedium9" defaultPivotStyle="PivotStyleLight16"/>
  <colors>
    <mruColors>
      <color rgb="FFFFCC00"/>
      <color rgb="FFCCFFFF"/>
      <color rgb="FFC0C0C0"/>
      <color rgb="FFFFC000"/>
      <color rgb="FFFFCCFF"/>
      <color rgb="FFFF9900"/>
      <color rgb="FF66FF33"/>
      <color rgb="FFD74439"/>
      <color rgb="FF99FF33"/>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64741907261592"/>
          <c:y val="0.11923101679163056"/>
          <c:w val="0.74010259379342291"/>
          <c:h val="0.5865743880537031"/>
        </c:manualLayout>
      </c:layout>
      <c:barChart>
        <c:barDir val="bar"/>
        <c:grouping val="stacked"/>
        <c:varyColors val="0"/>
        <c:ser>
          <c:idx val="0"/>
          <c:order val="0"/>
          <c:tx>
            <c:strRef>
              <c:f>Calculation!$M$2</c:f>
              <c:strCache>
                <c:ptCount val="1"/>
                <c:pt idx="0">
                  <c:v>Late - Red</c:v>
                </c:pt>
              </c:strCache>
            </c:strRef>
          </c:tx>
          <c:spPr>
            <a:solidFill>
              <a:srgbClr val="FF0000"/>
            </a:solidFill>
            <a:ln>
              <a:solidFill>
                <a:schemeClr val="tx1"/>
              </a:solidFill>
            </a:ln>
          </c:spPr>
          <c:invertIfNegative val="0"/>
          <c:cat>
            <c:strRef>
              <c:f>Calculation!$I$3:$I$5</c:f>
              <c:strCache>
                <c:ptCount val="3"/>
                <c:pt idx="0">
                  <c:v>CS-001-1 AIRCRAFT MAINTENANCE</c:v>
                </c:pt>
                <c:pt idx="1">
                  <c:v>CS-001-5 SPECIAL MAINTENANCE SERVICES</c:v>
                </c:pt>
                <c:pt idx="2">
                  <c:v>CS-001-O ORDERING SITE FOR AIRCRAFT MAINTENANCE</c:v>
                </c:pt>
              </c:strCache>
            </c:strRef>
          </c:cat>
          <c:val>
            <c:numRef>
              <c:f>Calculation!$M$3:$M$5</c:f>
              <c:numCache>
                <c:formatCode>General</c:formatCode>
                <c:ptCount val="3"/>
                <c:pt idx="0">
                  <c:v>0</c:v>
                </c:pt>
                <c:pt idx="1">
                  <c:v>0</c:v>
                </c:pt>
                <c:pt idx="2">
                  <c:v>0</c:v>
                </c:pt>
              </c:numCache>
            </c:numRef>
          </c:val>
        </c:ser>
        <c:ser>
          <c:idx val="3"/>
          <c:order val="1"/>
          <c:tx>
            <c:strRef>
              <c:f>Calculation!$L$2</c:f>
              <c:strCache>
                <c:ptCount val="1"/>
                <c:pt idx="0">
                  <c:v>Late</c:v>
                </c:pt>
              </c:strCache>
            </c:strRef>
          </c:tx>
          <c:spPr>
            <a:solidFill>
              <a:srgbClr val="FF9900"/>
            </a:solidFill>
            <a:ln w="12700">
              <a:solidFill>
                <a:schemeClr val="tx1"/>
              </a:solidFill>
            </a:ln>
          </c:spPr>
          <c:invertIfNegative val="0"/>
          <c:cat>
            <c:strRef>
              <c:f>Calculation!$I$3:$I$5</c:f>
              <c:strCache>
                <c:ptCount val="3"/>
                <c:pt idx="0">
                  <c:v>CS-001-1 AIRCRAFT MAINTENANCE</c:v>
                </c:pt>
                <c:pt idx="1">
                  <c:v>CS-001-5 SPECIAL MAINTENANCE SERVICES</c:v>
                </c:pt>
                <c:pt idx="2">
                  <c:v>CS-001-O ORDERING SITE FOR AIRCRAFT MAINTENANCE</c:v>
                </c:pt>
              </c:strCache>
            </c:strRef>
          </c:cat>
          <c:val>
            <c:numRef>
              <c:f>Calculation!$L$3:$L$5</c:f>
              <c:numCache>
                <c:formatCode>General</c:formatCode>
                <c:ptCount val="3"/>
                <c:pt idx="0">
                  <c:v>1</c:v>
                </c:pt>
                <c:pt idx="1">
                  <c:v>0</c:v>
                </c:pt>
                <c:pt idx="2">
                  <c:v>0</c:v>
                </c:pt>
              </c:numCache>
            </c:numRef>
          </c:val>
        </c:ser>
        <c:ser>
          <c:idx val="2"/>
          <c:order val="2"/>
          <c:tx>
            <c:strRef>
              <c:f>Calculation!$K$2</c:f>
              <c:strCache>
                <c:ptCount val="1"/>
                <c:pt idx="0">
                  <c:v>On Time - Alert</c:v>
                </c:pt>
              </c:strCache>
            </c:strRef>
          </c:tx>
          <c:spPr>
            <a:solidFill>
              <a:srgbClr val="FFFF00"/>
            </a:solidFill>
            <a:ln w="12700">
              <a:solidFill>
                <a:prstClr val="black"/>
              </a:solidFill>
            </a:ln>
          </c:spPr>
          <c:invertIfNegative val="0"/>
          <c:cat>
            <c:strRef>
              <c:f>Calculation!$I$3:$I$5</c:f>
              <c:strCache>
                <c:ptCount val="3"/>
                <c:pt idx="0">
                  <c:v>CS-001-1 AIRCRAFT MAINTENANCE</c:v>
                </c:pt>
                <c:pt idx="1">
                  <c:v>CS-001-5 SPECIAL MAINTENANCE SERVICES</c:v>
                </c:pt>
                <c:pt idx="2">
                  <c:v>CS-001-O ORDERING SITE FOR AIRCRAFT MAINTENANCE</c:v>
                </c:pt>
              </c:strCache>
            </c:strRef>
          </c:cat>
          <c:val>
            <c:numRef>
              <c:f>Calculation!$K$3:$K$5</c:f>
              <c:numCache>
                <c:formatCode>General</c:formatCode>
                <c:ptCount val="3"/>
                <c:pt idx="0">
                  <c:v>1</c:v>
                </c:pt>
                <c:pt idx="1">
                  <c:v>2</c:v>
                </c:pt>
                <c:pt idx="2">
                  <c:v>0</c:v>
                </c:pt>
              </c:numCache>
            </c:numRef>
          </c:val>
        </c:ser>
        <c:ser>
          <c:idx val="1"/>
          <c:order val="3"/>
          <c:tx>
            <c:strRef>
              <c:f>Calculation!$J$2</c:f>
              <c:strCache>
                <c:ptCount val="1"/>
                <c:pt idx="0">
                  <c:v>On Time</c:v>
                </c:pt>
              </c:strCache>
            </c:strRef>
          </c:tx>
          <c:spPr>
            <a:solidFill>
              <a:srgbClr val="00B050"/>
            </a:solidFill>
            <a:ln w="12700">
              <a:solidFill>
                <a:prstClr val="black"/>
              </a:solidFill>
            </a:ln>
          </c:spPr>
          <c:invertIfNegative val="0"/>
          <c:cat>
            <c:strRef>
              <c:f>Calculation!$I$3:$I$5</c:f>
              <c:strCache>
                <c:ptCount val="3"/>
                <c:pt idx="0">
                  <c:v>CS-001-1 AIRCRAFT MAINTENANCE</c:v>
                </c:pt>
                <c:pt idx="1">
                  <c:v>CS-001-5 SPECIAL MAINTENANCE SERVICES</c:v>
                </c:pt>
                <c:pt idx="2">
                  <c:v>CS-001-O ORDERING SITE FOR AIRCRAFT MAINTENANCE</c:v>
                </c:pt>
              </c:strCache>
            </c:strRef>
          </c:cat>
          <c:val>
            <c:numRef>
              <c:f>Calculation!$J$3:$J$5</c:f>
              <c:numCache>
                <c:formatCode>General</c:formatCode>
                <c:ptCount val="3"/>
                <c:pt idx="0">
                  <c:v>28</c:v>
                </c:pt>
                <c:pt idx="1">
                  <c:v>3</c:v>
                </c:pt>
                <c:pt idx="2">
                  <c:v>2</c:v>
                </c:pt>
              </c:numCache>
            </c:numRef>
          </c:val>
        </c:ser>
        <c:dLbls>
          <c:showLegendKey val="0"/>
          <c:showVal val="0"/>
          <c:showCatName val="0"/>
          <c:showSerName val="0"/>
          <c:showPercent val="0"/>
          <c:showBubbleSize val="0"/>
        </c:dLbls>
        <c:gapWidth val="150"/>
        <c:overlap val="100"/>
        <c:axId val="326011656"/>
        <c:axId val="326009304"/>
      </c:barChart>
      <c:catAx>
        <c:axId val="326011656"/>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009304"/>
        <c:crosses val="autoZero"/>
        <c:auto val="1"/>
        <c:lblAlgn val="ctr"/>
        <c:lblOffset val="100"/>
        <c:noMultiLvlLbl val="0"/>
      </c:catAx>
      <c:valAx>
        <c:axId val="326009304"/>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011656"/>
        <c:crosses val="autoZero"/>
        <c:crossBetween val="between"/>
      </c:valAx>
      <c:spPr>
        <a:solidFill>
          <a:srgbClr val="FFFFCC"/>
        </a:solidFill>
        <a:ln>
          <a:solidFill>
            <a:schemeClr val="bg2">
              <a:lumMod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5" l="0.70000000000000062" r="0.70000000000000062" t="0.75000000000000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631739935057924"/>
          <c:y val="0.12707481086635875"/>
          <c:w val="0.66735710125608938"/>
          <c:h val="0.65813566599654705"/>
        </c:manualLayout>
      </c:layout>
      <c:barChart>
        <c:barDir val="bar"/>
        <c:grouping val="stacked"/>
        <c:varyColors val="0"/>
        <c:ser>
          <c:idx val="0"/>
          <c:order val="0"/>
          <c:tx>
            <c:strRef>
              <c:f>Calculation!$M$2</c:f>
              <c:strCache>
                <c:ptCount val="1"/>
                <c:pt idx="0">
                  <c:v>Late - Red</c:v>
                </c:pt>
              </c:strCache>
            </c:strRef>
          </c:tx>
          <c:spPr>
            <a:solidFill>
              <a:srgbClr val="FF0000"/>
            </a:solidFill>
            <a:ln>
              <a:solidFill>
                <a:schemeClr val="tx1"/>
              </a:solidFill>
            </a:ln>
          </c:spPr>
          <c:invertIfNegative val="0"/>
          <c:cat>
            <c:strRef>
              <c:f>Calculation!$I$15:$I$16</c:f>
              <c:strCache>
                <c:ptCount val="2"/>
                <c:pt idx="0">
                  <c:v>CS-009-1 ACJ VIP CABIN COMPLETION</c:v>
                </c:pt>
                <c:pt idx="1">
                  <c:v>CS-009-2 ACJ SERVICE CENTER NETWORK</c:v>
                </c:pt>
              </c:strCache>
            </c:strRef>
          </c:cat>
          <c:val>
            <c:numRef>
              <c:f>Calculation!$M$15:$M$16</c:f>
              <c:numCache>
                <c:formatCode>General</c:formatCode>
                <c:ptCount val="2"/>
                <c:pt idx="0">
                  <c:v>0</c:v>
                </c:pt>
                <c:pt idx="1">
                  <c:v>0</c:v>
                </c:pt>
              </c:numCache>
            </c:numRef>
          </c:val>
        </c:ser>
        <c:ser>
          <c:idx val="3"/>
          <c:order val="1"/>
          <c:tx>
            <c:strRef>
              <c:f>Calculation!$L$2</c:f>
              <c:strCache>
                <c:ptCount val="1"/>
                <c:pt idx="0">
                  <c:v>Late</c:v>
                </c:pt>
              </c:strCache>
            </c:strRef>
          </c:tx>
          <c:spPr>
            <a:solidFill>
              <a:srgbClr val="FF9900"/>
            </a:solidFill>
            <a:ln w="12700">
              <a:solidFill>
                <a:schemeClr val="tx1"/>
              </a:solidFill>
            </a:ln>
          </c:spPr>
          <c:invertIfNegative val="0"/>
          <c:cat>
            <c:strRef>
              <c:f>Calculation!$I$15:$I$16</c:f>
              <c:strCache>
                <c:ptCount val="2"/>
                <c:pt idx="0">
                  <c:v>CS-009-1 ACJ VIP CABIN COMPLETION</c:v>
                </c:pt>
                <c:pt idx="1">
                  <c:v>CS-009-2 ACJ SERVICE CENTER NETWORK</c:v>
                </c:pt>
              </c:strCache>
            </c:strRef>
          </c:cat>
          <c:val>
            <c:numRef>
              <c:f>Calculation!$L$15:$L$16</c:f>
              <c:numCache>
                <c:formatCode>General</c:formatCode>
                <c:ptCount val="2"/>
                <c:pt idx="0">
                  <c:v>0</c:v>
                </c:pt>
                <c:pt idx="1">
                  <c:v>0</c:v>
                </c:pt>
              </c:numCache>
            </c:numRef>
          </c:val>
        </c:ser>
        <c:ser>
          <c:idx val="2"/>
          <c:order val="2"/>
          <c:tx>
            <c:strRef>
              <c:f>Calculation!$K$2</c:f>
              <c:strCache>
                <c:ptCount val="1"/>
                <c:pt idx="0">
                  <c:v>On Time - Alert</c:v>
                </c:pt>
              </c:strCache>
            </c:strRef>
          </c:tx>
          <c:spPr>
            <a:solidFill>
              <a:srgbClr val="FFFF00"/>
            </a:solidFill>
            <a:ln w="12700">
              <a:solidFill>
                <a:prstClr val="black"/>
              </a:solidFill>
            </a:ln>
          </c:spPr>
          <c:invertIfNegative val="0"/>
          <c:cat>
            <c:strRef>
              <c:f>Calculation!$I$15:$I$16</c:f>
              <c:strCache>
                <c:ptCount val="2"/>
                <c:pt idx="0">
                  <c:v>CS-009-1 ACJ VIP CABIN COMPLETION</c:v>
                </c:pt>
                <c:pt idx="1">
                  <c:v>CS-009-2 ACJ SERVICE CENTER NETWORK</c:v>
                </c:pt>
              </c:strCache>
            </c:strRef>
          </c:cat>
          <c:val>
            <c:numRef>
              <c:f>Calculation!$K$15:$K$16</c:f>
              <c:numCache>
                <c:formatCode>General</c:formatCode>
                <c:ptCount val="2"/>
                <c:pt idx="0">
                  <c:v>0</c:v>
                </c:pt>
                <c:pt idx="1">
                  <c:v>0</c:v>
                </c:pt>
              </c:numCache>
            </c:numRef>
          </c:val>
        </c:ser>
        <c:ser>
          <c:idx val="1"/>
          <c:order val="3"/>
          <c:tx>
            <c:strRef>
              <c:f>Calculation!$J$2</c:f>
              <c:strCache>
                <c:ptCount val="1"/>
                <c:pt idx="0">
                  <c:v>On Time</c:v>
                </c:pt>
              </c:strCache>
            </c:strRef>
          </c:tx>
          <c:spPr>
            <a:solidFill>
              <a:srgbClr val="00B050"/>
            </a:solidFill>
            <a:ln w="12700">
              <a:solidFill>
                <a:prstClr val="black"/>
              </a:solidFill>
            </a:ln>
          </c:spPr>
          <c:invertIfNegative val="0"/>
          <c:cat>
            <c:strRef>
              <c:f>Calculation!$I$15:$I$16</c:f>
              <c:strCache>
                <c:ptCount val="2"/>
                <c:pt idx="0">
                  <c:v>CS-009-1 ACJ VIP CABIN COMPLETION</c:v>
                </c:pt>
                <c:pt idx="1">
                  <c:v>CS-009-2 ACJ SERVICE CENTER NETWORK</c:v>
                </c:pt>
              </c:strCache>
            </c:strRef>
          </c:cat>
          <c:val>
            <c:numRef>
              <c:f>Calculation!$J$15:$J$16</c:f>
              <c:numCache>
                <c:formatCode>General</c:formatCode>
                <c:ptCount val="2"/>
                <c:pt idx="0">
                  <c:v>5</c:v>
                </c:pt>
                <c:pt idx="1">
                  <c:v>4</c:v>
                </c:pt>
              </c:numCache>
            </c:numRef>
          </c:val>
        </c:ser>
        <c:dLbls>
          <c:showLegendKey val="0"/>
          <c:showVal val="0"/>
          <c:showCatName val="0"/>
          <c:showSerName val="0"/>
          <c:showPercent val="0"/>
          <c:showBubbleSize val="0"/>
        </c:dLbls>
        <c:gapWidth val="150"/>
        <c:overlap val="100"/>
        <c:axId val="326012048"/>
        <c:axId val="326010088"/>
      </c:barChart>
      <c:catAx>
        <c:axId val="326012048"/>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010088"/>
        <c:crosses val="autoZero"/>
        <c:auto val="1"/>
        <c:lblAlgn val="ctr"/>
        <c:lblOffset val="100"/>
        <c:noMultiLvlLbl val="0"/>
      </c:catAx>
      <c:valAx>
        <c:axId val="326010088"/>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012048"/>
        <c:crosses val="autoZero"/>
        <c:crossBetween val="between"/>
      </c:valAx>
      <c:spPr>
        <a:solidFill>
          <a:srgbClr val="FFFFCC"/>
        </a:solidFill>
        <a:ln>
          <a:solidFill>
            <a:schemeClr val="bg2">
              <a:lumMod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5" l="0.70000000000000062" r="0.70000000000000062" t="0.75000000000000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631739935057924"/>
          <c:y val="0.12707481086635875"/>
          <c:w val="0.6943398497505151"/>
          <c:h val="0.65813566599654705"/>
        </c:manualLayout>
      </c:layout>
      <c:barChart>
        <c:barDir val="bar"/>
        <c:grouping val="stacked"/>
        <c:varyColors val="0"/>
        <c:ser>
          <c:idx val="0"/>
          <c:order val="0"/>
          <c:tx>
            <c:strRef>
              <c:f>Calculation!$M$2</c:f>
              <c:strCache>
                <c:ptCount val="1"/>
                <c:pt idx="0">
                  <c:v>Late - Red</c:v>
                </c:pt>
              </c:strCache>
            </c:strRef>
          </c:tx>
          <c:spPr>
            <a:solidFill>
              <a:srgbClr val="FF0000"/>
            </a:solidFill>
            <a:ln>
              <a:solidFill>
                <a:schemeClr val="tx1"/>
              </a:solidFill>
            </a:ln>
          </c:spPr>
          <c:invertIfNegative val="0"/>
          <c:cat>
            <c:strRef>
              <c:f>Calculation!$I$6:$I$8</c:f>
              <c:strCache>
                <c:ptCount val="3"/>
                <c:pt idx="0">
                  <c:v>CS-002-1 COMPONENT MAINTENANCE</c:v>
                </c:pt>
                <c:pt idx="1">
                  <c:v>CS-002-O ORDERING SITE FOR COMPONENT MAINTENANCE</c:v>
                </c:pt>
                <c:pt idx="2">
                  <c:v>CS-002-C A220 SPECIFIC COMPONENT MAINTENANCE</c:v>
                </c:pt>
              </c:strCache>
            </c:strRef>
          </c:cat>
          <c:val>
            <c:numRef>
              <c:f>Calculation!$M$6:$M$8</c:f>
              <c:numCache>
                <c:formatCode>General</c:formatCode>
                <c:ptCount val="3"/>
                <c:pt idx="0">
                  <c:v>0</c:v>
                </c:pt>
                <c:pt idx="1">
                  <c:v>0</c:v>
                </c:pt>
                <c:pt idx="2">
                  <c:v>0</c:v>
                </c:pt>
              </c:numCache>
            </c:numRef>
          </c:val>
        </c:ser>
        <c:ser>
          <c:idx val="3"/>
          <c:order val="1"/>
          <c:tx>
            <c:strRef>
              <c:f>Calculation!$L$2</c:f>
              <c:strCache>
                <c:ptCount val="1"/>
                <c:pt idx="0">
                  <c:v>Late</c:v>
                </c:pt>
              </c:strCache>
              <c:extLst xmlns:c15="http://schemas.microsoft.com/office/drawing/2012/chart"/>
            </c:strRef>
          </c:tx>
          <c:spPr>
            <a:solidFill>
              <a:srgbClr val="FF9900"/>
            </a:solidFill>
            <a:ln w="12700">
              <a:solidFill>
                <a:schemeClr val="tx1"/>
              </a:solidFill>
            </a:ln>
          </c:spPr>
          <c:invertIfNegative val="0"/>
          <c:cat>
            <c:strRef>
              <c:f>Calculation!$I$6:$I$8</c:f>
              <c:strCache>
                <c:ptCount val="3"/>
                <c:pt idx="0">
                  <c:v>CS-002-1 COMPONENT MAINTENANCE</c:v>
                </c:pt>
                <c:pt idx="1">
                  <c:v>CS-002-O ORDERING SITE FOR COMPONENT MAINTENANCE</c:v>
                </c:pt>
                <c:pt idx="2">
                  <c:v>CS-002-C A220 SPECIFIC COMPONENT MAINTENANCE</c:v>
                </c:pt>
              </c:strCache>
            </c:strRef>
          </c:cat>
          <c:val>
            <c:numRef>
              <c:f>Calculation!$L$6:$L$8</c:f>
              <c:numCache>
                <c:formatCode>General</c:formatCode>
                <c:ptCount val="3"/>
                <c:pt idx="0">
                  <c:v>0</c:v>
                </c:pt>
                <c:pt idx="1">
                  <c:v>0</c:v>
                </c:pt>
                <c:pt idx="2">
                  <c:v>0</c:v>
                </c:pt>
              </c:numCache>
            </c:numRef>
          </c:val>
        </c:ser>
        <c:ser>
          <c:idx val="2"/>
          <c:order val="2"/>
          <c:tx>
            <c:strRef>
              <c:f>Calculation!$K$2</c:f>
              <c:strCache>
                <c:ptCount val="1"/>
                <c:pt idx="0">
                  <c:v>On Time - Alert</c:v>
                </c:pt>
              </c:strCache>
            </c:strRef>
          </c:tx>
          <c:spPr>
            <a:solidFill>
              <a:srgbClr val="FFFF00"/>
            </a:solidFill>
            <a:ln w="12700">
              <a:solidFill>
                <a:prstClr val="black"/>
              </a:solidFill>
            </a:ln>
          </c:spPr>
          <c:invertIfNegative val="0"/>
          <c:cat>
            <c:strRef>
              <c:f>Calculation!$I$6:$I$8</c:f>
              <c:strCache>
                <c:ptCount val="3"/>
                <c:pt idx="0">
                  <c:v>CS-002-1 COMPONENT MAINTENANCE</c:v>
                </c:pt>
                <c:pt idx="1">
                  <c:v>CS-002-O ORDERING SITE FOR COMPONENT MAINTENANCE</c:v>
                </c:pt>
                <c:pt idx="2">
                  <c:v>CS-002-C A220 SPECIFIC COMPONENT MAINTENANCE</c:v>
                </c:pt>
              </c:strCache>
            </c:strRef>
          </c:cat>
          <c:val>
            <c:numRef>
              <c:f>Calculation!$K$6:$K$8</c:f>
              <c:numCache>
                <c:formatCode>General</c:formatCode>
                <c:ptCount val="3"/>
                <c:pt idx="0">
                  <c:v>3</c:v>
                </c:pt>
                <c:pt idx="1">
                  <c:v>0</c:v>
                </c:pt>
                <c:pt idx="2">
                  <c:v>0</c:v>
                </c:pt>
              </c:numCache>
            </c:numRef>
          </c:val>
        </c:ser>
        <c:ser>
          <c:idx val="1"/>
          <c:order val="3"/>
          <c:tx>
            <c:strRef>
              <c:f>Calculation!$J$2</c:f>
              <c:strCache>
                <c:ptCount val="1"/>
                <c:pt idx="0">
                  <c:v>On Time</c:v>
                </c:pt>
              </c:strCache>
            </c:strRef>
          </c:tx>
          <c:spPr>
            <a:solidFill>
              <a:srgbClr val="00B050"/>
            </a:solidFill>
            <a:ln w="12700">
              <a:solidFill>
                <a:prstClr val="black"/>
              </a:solidFill>
            </a:ln>
          </c:spPr>
          <c:invertIfNegative val="0"/>
          <c:cat>
            <c:strRef>
              <c:f>Calculation!$I$6:$I$8</c:f>
              <c:strCache>
                <c:ptCount val="3"/>
                <c:pt idx="0">
                  <c:v>CS-002-1 COMPONENT MAINTENANCE</c:v>
                </c:pt>
                <c:pt idx="1">
                  <c:v>CS-002-O ORDERING SITE FOR COMPONENT MAINTENANCE</c:v>
                </c:pt>
                <c:pt idx="2">
                  <c:v>CS-002-C A220 SPECIFIC COMPONENT MAINTENANCE</c:v>
                </c:pt>
              </c:strCache>
            </c:strRef>
          </c:cat>
          <c:val>
            <c:numRef>
              <c:f>Calculation!$J$6:$J$8</c:f>
              <c:numCache>
                <c:formatCode>General</c:formatCode>
                <c:ptCount val="3"/>
                <c:pt idx="0">
                  <c:v>354</c:v>
                </c:pt>
                <c:pt idx="1">
                  <c:v>22</c:v>
                </c:pt>
                <c:pt idx="2">
                  <c:v>0</c:v>
                </c:pt>
              </c:numCache>
            </c:numRef>
          </c:val>
        </c:ser>
        <c:dLbls>
          <c:showLegendKey val="0"/>
          <c:showVal val="0"/>
          <c:showCatName val="0"/>
          <c:showSerName val="0"/>
          <c:showPercent val="0"/>
          <c:showBubbleSize val="0"/>
        </c:dLbls>
        <c:gapWidth val="150"/>
        <c:overlap val="100"/>
        <c:axId val="326010480"/>
        <c:axId val="326012440"/>
        <c:extLst/>
      </c:barChart>
      <c:catAx>
        <c:axId val="326010480"/>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012440"/>
        <c:crosses val="autoZero"/>
        <c:auto val="1"/>
        <c:lblAlgn val="ctr"/>
        <c:lblOffset val="100"/>
        <c:noMultiLvlLbl val="0"/>
      </c:catAx>
      <c:valAx>
        <c:axId val="326012440"/>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010480"/>
        <c:crosses val="autoZero"/>
        <c:crossBetween val="between"/>
      </c:valAx>
      <c:spPr>
        <a:solidFill>
          <a:srgbClr val="FFFFCC"/>
        </a:solidFill>
        <a:ln>
          <a:solidFill>
            <a:schemeClr val="bg2">
              <a:lumMod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5" l="0.70000000000000062" r="0.70000000000000062" t="0.75000000000000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631739935057924"/>
          <c:y val="0.12707481086635875"/>
          <c:w val="0.66754144765855461"/>
          <c:h val="0.65813566599654705"/>
        </c:manualLayout>
      </c:layout>
      <c:barChart>
        <c:barDir val="bar"/>
        <c:grouping val="stacked"/>
        <c:varyColors val="0"/>
        <c:ser>
          <c:idx val="0"/>
          <c:order val="0"/>
          <c:tx>
            <c:strRef>
              <c:f>Calculation!$M$2</c:f>
              <c:strCache>
                <c:ptCount val="1"/>
                <c:pt idx="0">
                  <c:v>Late - Red</c:v>
                </c:pt>
              </c:strCache>
            </c:strRef>
          </c:tx>
          <c:spPr>
            <a:solidFill>
              <a:srgbClr val="FF0000"/>
            </a:solidFill>
            <a:ln>
              <a:solidFill>
                <a:schemeClr val="tx1"/>
              </a:solidFill>
            </a:ln>
          </c:spPr>
          <c:invertIfNegative val="0"/>
          <c:cat>
            <c:strRef>
              <c:f>Calculation!$I$13:$I$14</c:f>
              <c:strCache>
                <c:ptCount val="2"/>
                <c:pt idx="0">
                  <c:v>CS-005-3 CERTIFIED DESIGN CHANGES</c:v>
                </c:pt>
                <c:pt idx="1">
                  <c:v>CS-005-4 CONTINUING AIRWORTHINESS MANAGEMENT TASKS</c:v>
                </c:pt>
              </c:strCache>
            </c:strRef>
          </c:cat>
          <c:val>
            <c:numRef>
              <c:f>Calculation!$M$13:$M$14</c:f>
              <c:numCache>
                <c:formatCode>General</c:formatCode>
                <c:ptCount val="2"/>
                <c:pt idx="0">
                  <c:v>0</c:v>
                </c:pt>
                <c:pt idx="1">
                  <c:v>0</c:v>
                </c:pt>
              </c:numCache>
            </c:numRef>
          </c:val>
        </c:ser>
        <c:ser>
          <c:idx val="3"/>
          <c:order val="1"/>
          <c:tx>
            <c:strRef>
              <c:f>Calculation!$L$2</c:f>
              <c:strCache>
                <c:ptCount val="1"/>
                <c:pt idx="0">
                  <c:v>Late</c:v>
                </c:pt>
              </c:strCache>
            </c:strRef>
          </c:tx>
          <c:spPr>
            <a:solidFill>
              <a:srgbClr val="FF9900"/>
            </a:solidFill>
            <a:ln w="12700">
              <a:solidFill>
                <a:schemeClr val="tx1"/>
              </a:solidFill>
            </a:ln>
          </c:spPr>
          <c:invertIfNegative val="0"/>
          <c:cat>
            <c:strRef>
              <c:f>Calculation!$I$13:$I$14</c:f>
              <c:strCache>
                <c:ptCount val="2"/>
                <c:pt idx="0">
                  <c:v>CS-005-3 CERTIFIED DESIGN CHANGES</c:v>
                </c:pt>
                <c:pt idx="1">
                  <c:v>CS-005-4 CONTINUING AIRWORTHINESS MANAGEMENT TASKS</c:v>
                </c:pt>
              </c:strCache>
            </c:strRef>
          </c:cat>
          <c:val>
            <c:numRef>
              <c:f>Calculation!$L$13:$L$14</c:f>
              <c:numCache>
                <c:formatCode>General</c:formatCode>
                <c:ptCount val="2"/>
                <c:pt idx="0">
                  <c:v>0</c:v>
                </c:pt>
                <c:pt idx="1">
                  <c:v>0</c:v>
                </c:pt>
              </c:numCache>
            </c:numRef>
          </c:val>
        </c:ser>
        <c:ser>
          <c:idx val="2"/>
          <c:order val="2"/>
          <c:tx>
            <c:strRef>
              <c:f>Calculation!$K$2</c:f>
              <c:strCache>
                <c:ptCount val="1"/>
                <c:pt idx="0">
                  <c:v>On Time - Alert</c:v>
                </c:pt>
              </c:strCache>
            </c:strRef>
          </c:tx>
          <c:spPr>
            <a:solidFill>
              <a:srgbClr val="FFFF00"/>
            </a:solidFill>
            <a:ln w="12700">
              <a:solidFill>
                <a:prstClr val="black"/>
              </a:solidFill>
            </a:ln>
          </c:spPr>
          <c:invertIfNegative val="0"/>
          <c:cat>
            <c:strRef>
              <c:f>Calculation!$I$13:$I$14</c:f>
              <c:strCache>
                <c:ptCount val="2"/>
                <c:pt idx="0">
                  <c:v>CS-005-3 CERTIFIED DESIGN CHANGES</c:v>
                </c:pt>
                <c:pt idx="1">
                  <c:v>CS-005-4 CONTINUING AIRWORTHINESS MANAGEMENT TASKS</c:v>
                </c:pt>
              </c:strCache>
            </c:strRef>
          </c:cat>
          <c:val>
            <c:numRef>
              <c:f>Calculation!$K$13:$K$14</c:f>
              <c:numCache>
                <c:formatCode>General</c:formatCode>
                <c:ptCount val="2"/>
                <c:pt idx="0">
                  <c:v>0</c:v>
                </c:pt>
                <c:pt idx="1">
                  <c:v>0</c:v>
                </c:pt>
              </c:numCache>
            </c:numRef>
          </c:val>
        </c:ser>
        <c:ser>
          <c:idx val="1"/>
          <c:order val="3"/>
          <c:tx>
            <c:strRef>
              <c:f>Calculation!$J$2</c:f>
              <c:strCache>
                <c:ptCount val="1"/>
                <c:pt idx="0">
                  <c:v>On Time</c:v>
                </c:pt>
              </c:strCache>
            </c:strRef>
          </c:tx>
          <c:spPr>
            <a:solidFill>
              <a:srgbClr val="00B050"/>
            </a:solidFill>
            <a:ln w="12700">
              <a:solidFill>
                <a:prstClr val="black"/>
              </a:solidFill>
            </a:ln>
          </c:spPr>
          <c:invertIfNegative val="0"/>
          <c:cat>
            <c:strRef>
              <c:f>Calculation!$I$13:$I$14</c:f>
              <c:strCache>
                <c:ptCount val="2"/>
                <c:pt idx="0">
                  <c:v>CS-005-3 CERTIFIED DESIGN CHANGES</c:v>
                </c:pt>
                <c:pt idx="1">
                  <c:v>CS-005-4 CONTINUING AIRWORTHINESS MANAGEMENT TASKS</c:v>
                </c:pt>
              </c:strCache>
            </c:strRef>
          </c:cat>
          <c:val>
            <c:numRef>
              <c:f>Calculation!$J$13:$J$14</c:f>
              <c:numCache>
                <c:formatCode>General</c:formatCode>
                <c:ptCount val="2"/>
                <c:pt idx="0">
                  <c:v>5</c:v>
                </c:pt>
                <c:pt idx="1">
                  <c:v>7</c:v>
                </c:pt>
              </c:numCache>
            </c:numRef>
          </c:val>
        </c:ser>
        <c:dLbls>
          <c:showLegendKey val="0"/>
          <c:showVal val="0"/>
          <c:showCatName val="0"/>
          <c:showSerName val="0"/>
          <c:showPercent val="0"/>
          <c:showBubbleSize val="0"/>
        </c:dLbls>
        <c:gapWidth val="150"/>
        <c:overlap val="100"/>
        <c:axId val="326010872"/>
        <c:axId val="326460616"/>
      </c:barChart>
      <c:catAx>
        <c:axId val="326010872"/>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460616"/>
        <c:crosses val="autoZero"/>
        <c:auto val="1"/>
        <c:lblAlgn val="ctr"/>
        <c:lblOffset val="100"/>
        <c:noMultiLvlLbl val="0"/>
      </c:catAx>
      <c:valAx>
        <c:axId val="326460616"/>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010872"/>
        <c:crosses val="autoZero"/>
        <c:crossBetween val="between"/>
        <c:majorUnit val="1"/>
      </c:valAx>
      <c:spPr>
        <a:solidFill>
          <a:srgbClr val="FFFFCC"/>
        </a:solidFill>
        <a:ln>
          <a:solidFill>
            <a:schemeClr val="bg2">
              <a:lumMod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5" l="0.70000000000000062" r="0.70000000000000062" t="0.75000000000000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64741907261592"/>
          <c:y val="0.11923101679163056"/>
          <c:w val="0.74010259379342291"/>
          <c:h val="0.5865743880537031"/>
        </c:manualLayout>
      </c:layout>
      <c:barChart>
        <c:barDir val="bar"/>
        <c:grouping val="stacked"/>
        <c:varyColors val="0"/>
        <c:ser>
          <c:idx val="0"/>
          <c:order val="0"/>
          <c:tx>
            <c:strRef>
              <c:f>Calculation!$M$2</c:f>
              <c:strCache>
                <c:ptCount val="1"/>
                <c:pt idx="0">
                  <c:v>Late - Red</c:v>
                </c:pt>
              </c:strCache>
            </c:strRef>
          </c:tx>
          <c:spPr>
            <a:solidFill>
              <a:srgbClr val="FF0000"/>
            </a:solidFill>
            <a:ln>
              <a:solidFill>
                <a:schemeClr val="tx1"/>
              </a:solidFill>
            </a:ln>
          </c:spPr>
          <c:invertIfNegative val="0"/>
          <c:cat>
            <c:strRef>
              <c:f>Calculation!$I$11:$I$12</c:f>
              <c:strCache>
                <c:ptCount val="2"/>
                <c:pt idx="0">
                  <c:v>CS-004-1 NEW SURPLUS OR USED PARTS DISTRIBUTION</c:v>
                </c:pt>
                <c:pt idx="1">
                  <c:v>CS-004-O ORDERING SITE FOR USED PARTS DISTRIBUTION</c:v>
                </c:pt>
              </c:strCache>
            </c:strRef>
          </c:cat>
          <c:val>
            <c:numRef>
              <c:f>Calculation!$M$11:$M$12</c:f>
              <c:numCache>
                <c:formatCode>General</c:formatCode>
                <c:ptCount val="2"/>
                <c:pt idx="0">
                  <c:v>0</c:v>
                </c:pt>
                <c:pt idx="1">
                  <c:v>0</c:v>
                </c:pt>
              </c:numCache>
            </c:numRef>
          </c:val>
        </c:ser>
        <c:ser>
          <c:idx val="3"/>
          <c:order val="1"/>
          <c:tx>
            <c:strRef>
              <c:f>Calculation!$L$2</c:f>
              <c:strCache>
                <c:ptCount val="1"/>
                <c:pt idx="0">
                  <c:v>Late</c:v>
                </c:pt>
              </c:strCache>
            </c:strRef>
          </c:tx>
          <c:spPr>
            <a:solidFill>
              <a:srgbClr val="FF9900"/>
            </a:solidFill>
            <a:ln w="12700">
              <a:solidFill>
                <a:schemeClr val="tx1"/>
              </a:solidFill>
            </a:ln>
          </c:spPr>
          <c:invertIfNegative val="0"/>
          <c:cat>
            <c:strRef>
              <c:f>Calculation!$I$11:$I$12</c:f>
              <c:strCache>
                <c:ptCount val="2"/>
                <c:pt idx="0">
                  <c:v>CS-004-1 NEW SURPLUS OR USED PARTS DISTRIBUTION</c:v>
                </c:pt>
                <c:pt idx="1">
                  <c:v>CS-004-O ORDERING SITE FOR USED PARTS DISTRIBUTION</c:v>
                </c:pt>
              </c:strCache>
            </c:strRef>
          </c:cat>
          <c:val>
            <c:numRef>
              <c:f>Calculation!$L$11:$L$12</c:f>
              <c:numCache>
                <c:formatCode>General</c:formatCode>
                <c:ptCount val="2"/>
                <c:pt idx="0">
                  <c:v>0</c:v>
                </c:pt>
                <c:pt idx="1">
                  <c:v>0</c:v>
                </c:pt>
              </c:numCache>
            </c:numRef>
          </c:val>
        </c:ser>
        <c:ser>
          <c:idx val="2"/>
          <c:order val="2"/>
          <c:tx>
            <c:strRef>
              <c:f>Calculation!$K$2</c:f>
              <c:strCache>
                <c:ptCount val="1"/>
                <c:pt idx="0">
                  <c:v>On Time - Alert</c:v>
                </c:pt>
              </c:strCache>
            </c:strRef>
          </c:tx>
          <c:spPr>
            <a:solidFill>
              <a:srgbClr val="FFFF00"/>
            </a:solidFill>
            <a:ln w="12700">
              <a:solidFill>
                <a:prstClr val="black"/>
              </a:solidFill>
            </a:ln>
          </c:spPr>
          <c:invertIfNegative val="0"/>
          <c:cat>
            <c:strRef>
              <c:f>Calculation!$I$11:$I$12</c:f>
              <c:strCache>
                <c:ptCount val="2"/>
                <c:pt idx="0">
                  <c:v>CS-004-1 NEW SURPLUS OR USED PARTS DISTRIBUTION</c:v>
                </c:pt>
                <c:pt idx="1">
                  <c:v>CS-004-O ORDERING SITE FOR USED PARTS DISTRIBUTION</c:v>
                </c:pt>
              </c:strCache>
            </c:strRef>
          </c:cat>
          <c:val>
            <c:numRef>
              <c:f>Calculation!$K$11:$K$12</c:f>
              <c:numCache>
                <c:formatCode>General</c:formatCode>
                <c:ptCount val="2"/>
                <c:pt idx="0">
                  <c:v>1</c:v>
                </c:pt>
                <c:pt idx="1">
                  <c:v>0</c:v>
                </c:pt>
              </c:numCache>
            </c:numRef>
          </c:val>
        </c:ser>
        <c:ser>
          <c:idx val="1"/>
          <c:order val="3"/>
          <c:tx>
            <c:strRef>
              <c:f>Calculation!$J$2</c:f>
              <c:strCache>
                <c:ptCount val="1"/>
                <c:pt idx="0">
                  <c:v>On Time</c:v>
                </c:pt>
              </c:strCache>
            </c:strRef>
          </c:tx>
          <c:spPr>
            <a:solidFill>
              <a:srgbClr val="00B050"/>
            </a:solidFill>
            <a:ln w="12700">
              <a:solidFill>
                <a:prstClr val="black"/>
              </a:solidFill>
            </a:ln>
          </c:spPr>
          <c:invertIfNegative val="0"/>
          <c:cat>
            <c:strRef>
              <c:f>Calculation!$I$11:$I$12</c:f>
              <c:strCache>
                <c:ptCount val="2"/>
                <c:pt idx="0">
                  <c:v>CS-004-1 NEW SURPLUS OR USED PARTS DISTRIBUTION</c:v>
                </c:pt>
                <c:pt idx="1">
                  <c:v>CS-004-O ORDERING SITE FOR USED PARTS DISTRIBUTION</c:v>
                </c:pt>
              </c:strCache>
            </c:strRef>
          </c:cat>
          <c:val>
            <c:numRef>
              <c:f>Calculation!$J$11:$J$12</c:f>
              <c:numCache>
                <c:formatCode>General</c:formatCode>
                <c:ptCount val="2"/>
                <c:pt idx="0">
                  <c:v>13</c:v>
                </c:pt>
                <c:pt idx="1">
                  <c:v>0</c:v>
                </c:pt>
              </c:numCache>
            </c:numRef>
          </c:val>
        </c:ser>
        <c:dLbls>
          <c:showLegendKey val="0"/>
          <c:showVal val="0"/>
          <c:showCatName val="0"/>
          <c:showSerName val="0"/>
          <c:showPercent val="0"/>
          <c:showBubbleSize val="0"/>
        </c:dLbls>
        <c:gapWidth val="150"/>
        <c:overlap val="100"/>
        <c:axId val="326462576"/>
        <c:axId val="326458264"/>
      </c:barChart>
      <c:catAx>
        <c:axId val="326462576"/>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458264"/>
        <c:crosses val="autoZero"/>
        <c:auto val="1"/>
        <c:lblAlgn val="ctr"/>
        <c:lblOffset val="100"/>
        <c:noMultiLvlLbl val="0"/>
      </c:catAx>
      <c:valAx>
        <c:axId val="326458264"/>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462576"/>
        <c:crosses val="autoZero"/>
        <c:crossBetween val="between"/>
      </c:valAx>
      <c:spPr>
        <a:solidFill>
          <a:srgbClr val="FFFFCC"/>
        </a:solidFill>
        <a:ln>
          <a:solidFill>
            <a:schemeClr val="bg2">
              <a:lumMod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5" l="0.70000000000000062" r="0.70000000000000062" t="0.75000000000000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345689178716528E-2"/>
          <c:y val="6.3931024604680559E-2"/>
          <c:w val="0.66175153353467242"/>
          <c:h val="0.68350468399620334"/>
        </c:manualLayout>
      </c:layout>
      <c:barChart>
        <c:barDir val="col"/>
        <c:grouping val="clustered"/>
        <c:varyColors val="0"/>
        <c:ser>
          <c:idx val="0"/>
          <c:order val="0"/>
          <c:tx>
            <c:strRef>
              <c:f>Calculation!$AN$6</c:f>
              <c:strCache>
                <c:ptCount val="1"/>
                <c:pt idx="0">
                  <c:v>Total Late SCR</c:v>
                </c:pt>
              </c:strCache>
            </c:strRef>
          </c:tx>
          <c:spPr>
            <a:solidFill>
              <a:srgbClr val="FFC000"/>
            </a:solidFill>
          </c:spPr>
          <c:invertIfNegative val="0"/>
          <c:cat>
            <c:numRef>
              <c:f>Calculation!$AM$7:$AM$18</c:f>
              <c:numCache>
                <c:formatCode>d\-mmm\-yy</c:formatCode>
                <c:ptCount val="12"/>
                <c:pt idx="0">
                  <c:v>44408</c:v>
                </c:pt>
                <c:pt idx="1">
                  <c:v>44439</c:v>
                </c:pt>
                <c:pt idx="2">
                  <c:v>44469</c:v>
                </c:pt>
                <c:pt idx="3">
                  <c:v>44500</c:v>
                </c:pt>
                <c:pt idx="4">
                  <c:v>44530</c:v>
                </c:pt>
                <c:pt idx="5">
                  <c:v>44561</c:v>
                </c:pt>
                <c:pt idx="6">
                  <c:v>44592</c:v>
                </c:pt>
                <c:pt idx="7">
                  <c:v>44620</c:v>
                </c:pt>
                <c:pt idx="8">
                  <c:v>44651</c:v>
                </c:pt>
                <c:pt idx="9">
                  <c:v>44681</c:v>
                </c:pt>
                <c:pt idx="10">
                  <c:v>44712</c:v>
                </c:pt>
                <c:pt idx="11">
                  <c:v>44742</c:v>
                </c:pt>
              </c:numCache>
            </c:numRef>
          </c:cat>
          <c:val>
            <c:numRef>
              <c:f>Calculation!$AN$7:$AN$18</c:f>
              <c:numCache>
                <c:formatCode>General</c:formatCode>
                <c:ptCount val="12"/>
                <c:pt idx="0">
                  <c:v>4</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Calculation!$AO$6</c:f>
              <c:strCache>
                <c:ptCount val="1"/>
                <c:pt idx="0">
                  <c:v>Late SCR &gt; 2 m</c:v>
                </c:pt>
              </c:strCache>
            </c:strRef>
          </c:tx>
          <c:spPr>
            <a:solidFill>
              <a:srgbClr val="FF0000"/>
            </a:solidFill>
          </c:spPr>
          <c:invertIfNegative val="0"/>
          <c:cat>
            <c:numRef>
              <c:f>Calculation!$AM$7:$AM$18</c:f>
              <c:numCache>
                <c:formatCode>d\-mmm\-yy</c:formatCode>
                <c:ptCount val="12"/>
                <c:pt idx="0">
                  <c:v>44408</c:v>
                </c:pt>
                <c:pt idx="1">
                  <c:v>44439</c:v>
                </c:pt>
                <c:pt idx="2">
                  <c:v>44469</c:v>
                </c:pt>
                <c:pt idx="3">
                  <c:v>44500</c:v>
                </c:pt>
                <c:pt idx="4">
                  <c:v>44530</c:v>
                </c:pt>
                <c:pt idx="5">
                  <c:v>44561</c:v>
                </c:pt>
                <c:pt idx="6">
                  <c:v>44592</c:v>
                </c:pt>
                <c:pt idx="7">
                  <c:v>44620</c:v>
                </c:pt>
                <c:pt idx="8">
                  <c:v>44651</c:v>
                </c:pt>
                <c:pt idx="9">
                  <c:v>44681</c:v>
                </c:pt>
                <c:pt idx="10">
                  <c:v>44712</c:v>
                </c:pt>
                <c:pt idx="11">
                  <c:v>44742</c:v>
                </c:pt>
              </c:numCache>
            </c:numRef>
          </c:cat>
          <c:val>
            <c:numRef>
              <c:f>Calculation!$AO$7:$AO$18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3"/>
          <c:tx>
            <c:strRef>
              <c:f>Calculation!$AS$6</c:f>
              <c:strCache>
                <c:ptCount val="1"/>
                <c:pt idx="0">
                  <c:v>Coming 2 months</c:v>
                </c:pt>
              </c:strCache>
            </c:strRef>
          </c:tx>
          <c:spPr>
            <a:solidFill>
              <a:schemeClr val="bg1">
                <a:lumMod val="65000"/>
              </a:schemeClr>
            </a:solidFill>
          </c:spPr>
          <c:invertIfNegative val="0"/>
          <c:cat>
            <c:numRef>
              <c:f>Calculation!$AM$7:$AM$18</c:f>
              <c:numCache>
                <c:formatCode>d\-mmm\-yy</c:formatCode>
                <c:ptCount val="12"/>
                <c:pt idx="0">
                  <c:v>44408</c:v>
                </c:pt>
                <c:pt idx="1">
                  <c:v>44439</c:v>
                </c:pt>
                <c:pt idx="2">
                  <c:v>44469</c:v>
                </c:pt>
                <c:pt idx="3">
                  <c:v>44500</c:v>
                </c:pt>
                <c:pt idx="4">
                  <c:v>44530</c:v>
                </c:pt>
                <c:pt idx="5">
                  <c:v>44561</c:v>
                </c:pt>
                <c:pt idx="6">
                  <c:v>44592</c:v>
                </c:pt>
                <c:pt idx="7">
                  <c:v>44620</c:v>
                </c:pt>
                <c:pt idx="8">
                  <c:v>44651</c:v>
                </c:pt>
                <c:pt idx="9">
                  <c:v>44681</c:v>
                </c:pt>
                <c:pt idx="10">
                  <c:v>44712</c:v>
                </c:pt>
                <c:pt idx="11">
                  <c:v>44742</c:v>
                </c:pt>
              </c:numCache>
            </c:numRef>
          </c:cat>
          <c:val>
            <c:numRef>
              <c:f>Calculation!$AS$7:$AS$18</c:f>
              <c:numCache>
                <c:formatCode>General</c:formatCode>
                <c:ptCount val="12"/>
                <c:pt idx="0">
                  <c:v>36</c:v>
                </c:pt>
                <c:pt idx="1">
                  <c:v>21</c:v>
                </c:pt>
                <c:pt idx="2">
                  <c:v>42</c:v>
                </c:pt>
                <c:pt idx="3">
                  <c:v>39</c:v>
                </c:pt>
                <c:pt idx="4">
                  <c:v>25</c:v>
                </c:pt>
                <c:pt idx="5">
                  <c:v>10</c:v>
                </c:pt>
                <c:pt idx="6">
                  <c:v>14</c:v>
                </c:pt>
                <c:pt idx="7">
                  <c:v>32</c:v>
                </c:pt>
                <c:pt idx="8">
                  <c:v>68</c:v>
                </c:pt>
                <c:pt idx="9">
                  <c:v>27</c:v>
                </c:pt>
                <c:pt idx="10">
                  <c:v>0</c:v>
                </c:pt>
                <c:pt idx="11">
                  <c:v>0</c:v>
                </c:pt>
              </c:numCache>
            </c:numRef>
          </c:val>
        </c:ser>
        <c:dLbls>
          <c:showLegendKey val="0"/>
          <c:showVal val="0"/>
          <c:showCatName val="0"/>
          <c:showSerName val="0"/>
          <c:showPercent val="0"/>
          <c:showBubbleSize val="0"/>
        </c:dLbls>
        <c:gapWidth val="150"/>
        <c:axId val="326461792"/>
        <c:axId val="326456304"/>
      </c:barChart>
      <c:lineChart>
        <c:grouping val="standard"/>
        <c:varyColors val="0"/>
        <c:ser>
          <c:idx val="4"/>
          <c:order val="2"/>
          <c:tx>
            <c:strRef>
              <c:f>Calculation!$AR$6</c:f>
              <c:strCache>
                <c:ptCount val="1"/>
                <c:pt idx="0">
                  <c:v>% On Time</c:v>
                </c:pt>
              </c:strCache>
            </c:strRef>
          </c:tx>
          <c:spPr>
            <a:ln>
              <a:solidFill>
                <a:srgbClr val="00B050"/>
              </a:solidFill>
            </a:ln>
          </c:spPr>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Calculation!$AM$7:$AM$18</c:f>
              <c:numCache>
                <c:formatCode>d\-mmm\-yy</c:formatCode>
                <c:ptCount val="12"/>
                <c:pt idx="0">
                  <c:v>44408</c:v>
                </c:pt>
                <c:pt idx="1">
                  <c:v>44439</c:v>
                </c:pt>
                <c:pt idx="2">
                  <c:v>44469</c:v>
                </c:pt>
                <c:pt idx="3">
                  <c:v>44500</c:v>
                </c:pt>
                <c:pt idx="4">
                  <c:v>44530</c:v>
                </c:pt>
                <c:pt idx="5">
                  <c:v>44561</c:v>
                </c:pt>
                <c:pt idx="6">
                  <c:v>44592</c:v>
                </c:pt>
                <c:pt idx="7">
                  <c:v>44620</c:v>
                </c:pt>
                <c:pt idx="8">
                  <c:v>44651</c:v>
                </c:pt>
                <c:pt idx="9">
                  <c:v>44681</c:v>
                </c:pt>
                <c:pt idx="10">
                  <c:v>44712</c:v>
                </c:pt>
                <c:pt idx="11">
                  <c:v>44742</c:v>
                </c:pt>
              </c:numCache>
            </c:numRef>
          </c:cat>
          <c:val>
            <c:numRef>
              <c:f>Calculation!$AR$7:$AR$18</c:f>
              <c:numCache>
                <c:formatCode>0.0%</c:formatCode>
                <c:ptCount val="12"/>
                <c:pt idx="0">
                  <c:v>0.98982188295165396</c:v>
                </c:pt>
                <c:pt idx="1">
                  <c:v>1</c:v>
                </c:pt>
                <c:pt idx="2">
                  <c:v>1</c:v>
                </c:pt>
                <c:pt idx="3">
                  <c:v>1</c:v>
                </c:pt>
                <c:pt idx="4">
                  <c:v>1</c:v>
                </c:pt>
                <c:pt idx="5">
                  <c:v>1</c:v>
                </c:pt>
                <c:pt idx="6">
                  <c:v>1</c:v>
                </c:pt>
                <c:pt idx="7">
                  <c:v>1</c:v>
                </c:pt>
                <c:pt idx="8">
                  <c:v>1</c:v>
                </c:pt>
                <c:pt idx="9">
                  <c:v>1</c:v>
                </c:pt>
                <c:pt idx="10">
                  <c:v>1</c:v>
                </c:pt>
                <c:pt idx="11">
                  <c:v>1</c:v>
                </c:pt>
              </c:numCache>
            </c:numRef>
          </c:val>
          <c:smooth val="0"/>
        </c:ser>
        <c:dLbls>
          <c:showLegendKey val="0"/>
          <c:showVal val="0"/>
          <c:showCatName val="0"/>
          <c:showSerName val="0"/>
          <c:showPercent val="0"/>
          <c:showBubbleSize val="0"/>
        </c:dLbls>
        <c:marker val="1"/>
        <c:smooth val="0"/>
        <c:axId val="326459048"/>
        <c:axId val="326463752"/>
      </c:lineChart>
      <c:dateAx>
        <c:axId val="326461792"/>
        <c:scaling>
          <c:orientation val="minMax"/>
        </c:scaling>
        <c:delete val="0"/>
        <c:axPos val="b"/>
        <c:numFmt formatCode="d\-mmm\-yy" sourceLinked="1"/>
        <c:majorTickMark val="out"/>
        <c:minorTickMark val="none"/>
        <c:tickLblPos val="nextTo"/>
        <c:crossAx val="326456304"/>
        <c:crosses val="autoZero"/>
        <c:auto val="1"/>
        <c:lblOffset val="100"/>
        <c:baseTimeUnit val="months"/>
      </c:dateAx>
      <c:valAx>
        <c:axId val="326456304"/>
        <c:scaling>
          <c:orientation val="minMax"/>
        </c:scaling>
        <c:delete val="0"/>
        <c:axPos val="l"/>
        <c:majorGridlines/>
        <c:numFmt formatCode="General" sourceLinked="1"/>
        <c:majorTickMark val="out"/>
        <c:minorTickMark val="none"/>
        <c:tickLblPos val="nextTo"/>
        <c:crossAx val="326461792"/>
        <c:crosses val="autoZero"/>
        <c:crossBetween val="between"/>
      </c:valAx>
      <c:valAx>
        <c:axId val="326463752"/>
        <c:scaling>
          <c:orientation val="minMax"/>
          <c:max val="1"/>
          <c:min val="0.70000000000000007"/>
        </c:scaling>
        <c:delete val="0"/>
        <c:axPos val="r"/>
        <c:numFmt formatCode="0.0%" sourceLinked="1"/>
        <c:majorTickMark val="out"/>
        <c:minorTickMark val="none"/>
        <c:tickLblPos val="nextTo"/>
        <c:crossAx val="326459048"/>
        <c:crosses val="max"/>
        <c:crossBetween val="between"/>
      </c:valAx>
      <c:dateAx>
        <c:axId val="326459048"/>
        <c:scaling>
          <c:orientation val="minMax"/>
        </c:scaling>
        <c:delete val="1"/>
        <c:axPos val="b"/>
        <c:numFmt formatCode="d\-mmm\-yy" sourceLinked="1"/>
        <c:majorTickMark val="out"/>
        <c:minorTickMark val="none"/>
        <c:tickLblPos val="nextTo"/>
        <c:crossAx val="326463752"/>
        <c:crosses val="autoZero"/>
        <c:auto val="1"/>
        <c:lblOffset val="100"/>
        <c:baseTimeUnit val="months"/>
      </c:date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64741907261592"/>
          <c:y val="0.11923101679163056"/>
          <c:w val="0.74010259379342291"/>
          <c:h val="0.5865743880537031"/>
        </c:manualLayout>
      </c:layout>
      <c:barChart>
        <c:barDir val="bar"/>
        <c:grouping val="stacked"/>
        <c:varyColors val="0"/>
        <c:ser>
          <c:idx val="0"/>
          <c:order val="0"/>
          <c:tx>
            <c:strRef>
              <c:f>Calculation!$M$2</c:f>
              <c:strCache>
                <c:ptCount val="1"/>
                <c:pt idx="0">
                  <c:v>Late - Red</c:v>
                </c:pt>
              </c:strCache>
            </c:strRef>
          </c:tx>
          <c:spPr>
            <a:solidFill>
              <a:srgbClr val="FF0000"/>
            </a:solidFill>
            <a:ln>
              <a:solidFill>
                <a:schemeClr val="tx1"/>
              </a:solidFill>
            </a:ln>
          </c:spPr>
          <c:invertIfNegative val="0"/>
          <c:cat>
            <c:strRef>
              <c:f>Calculation!$I$9:$I$10</c:f>
              <c:strCache>
                <c:ptCount val="2"/>
                <c:pt idx="0">
                  <c:v>CS-001-3 AIRCRAFT MAINTENANCE TASK SUBCONTRACTING</c:v>
                </c:pt>
                <c:pt idx="1">
                  <c:v>CS-002-3 COMPONENT MAINTENANCE TASK SUBCONTRACTING</c:v>
                </c:pt>
              </c:strCache>
            </c:strRef>
          </c:cat>
          <c:val>
            <c:numRef>
              <c:f>Calculation!$M$9:$M$10</c:f>
              <c:numCache>
                <c:formatCode>General</c:formatCode>
                <c:ptCount val="2"/>
                <c:pt idx="0">
                  <c:v>0</c:v>
                </c:pt>
                <c:pt idx="1">
                  <c:v>0</c:v>
                </c:pt>
              </c:numCache>
            </c:numRef>
          </c:val>
        </c:ser>
        <c:ser>
          <c:idx val="3"/>
          <c:order val="1"/>
          <c:tx>
            <c:strRef>
              <c:f>Calculation!$L$2</c:f>
              <c:strCache>
                <c:ptCount val="1"/>
                <c:pt idx="0">
                  <c:v>Late</c:v>
                </c:pt>
              </c:strCache>
            </c:strRef>
          </c:tx>
          <c:spPr>
            <a:solidFill>
              <a:srgbClr val="FF9900"/>
            </a:solidFill>
            <a:ln w="12700">
              <a:solidFill>
                <a:schemeClr val="tx1"/>
              </a:solidFill>
            </a:ln>
          </c:spPr>
          <c:invertIfNegative val="0"/>
          <c:cat>
            <c:strRef>
              <c:f>Calculation!$I$9:$I$10</c:f>
              <c:strCache>
                <c:ptCount val="2"/>
                <c:pt idx="0">
                  <c:v>CS-001-3 AIRCRAFT MAINTENANCE TASK SUBCONTRACTING</c:v>
                </c:pt>
                <c:pt idx="1">
                  <c:v>CS-002-3 COMPONENT MAINTENANCE TASK SUBCONTRACTING</c:v>
                </c:pt>
              </c:strCache>
            </c:strRef>
          </c:cat>
          <c:val>
            <c:numRef>
              <c:f>Calculation!$L$9:$L$10</c:f>
              <c:numCache>
                <c:formatCode>General</c:formatCode>
                <c:ptCount val="2"/>
                <c:pt idx="0">
                  <c:v>0</c:v>
                </c:pt>
                <c:pt idx="1">
                  <c:v>0</c:v>
                </c:pt>
              </c:numCache>
            </c:numRef>
          </c:val>
        </c:ser>
        <c:ser>
          <c:idx val="2"/>
          <c:order val="2"/>
          <c:tx>
            <c:strRef>
              <c:f>Calculation!$K$2</c:f>
              <c:strCache>
                <c:ptCount val="1"/>
                <c:pt idx="0">
                  <c:v>On Time - Alert</c:v>
                </c:pt>
              </c:strCache>
            </c:strRef>
          </c:tx>
          <c:spPr>
            <a:solidFill>
              <a:srgbClr val="FFFF00"/>
            </a:solidFill>
            <a:ln w="12700">
              <a:solidFill>
                <a:prstClr val="black"/>
              </a:solidFill>
            </a:ln>
          </c:spPr>
          <c:invertIfNegative val="0"/>
          <c:cat>
            <c:strRef>
              <c:f>Calculation!$I$9:$I$10</c:f>
              <c:strCache>
                <c:ptCount val="2"/>
                <c:pt idx="0">
                  <c:v>CS-001-3 AIRCRAFT MAINTENANCE TASK SUBCONTRACTING</c:v>
                </c:pt>
                <c:pt idx="1">
                  <c:v>CS-002-3 COMPONENT MAINTENANCE TASK SUBCONTRACTING</c:v>
                </c:pt>
              </c:strCache>
            </c:strRef>
          </c:cat>
          <c:val>
            <c:numRef>
              <c:f>Calculation!$K$9:$K$10</c:f>
              <c:numCache>
                <c:formatCode>General</c:formatCode>
                <c:ptCount val="2"/>
                <c:pt idx="0">
                  <c:v>1</c:v>
                </c:pt>
                <c:pt idx="1">
                  <c:v>0</c:v>
                </c:pt>
              </c:numCache>
            </c:numRef>
          </c:val>
        </c:ser>
        <c:ser>
          <c:idx val="1"/>
          <c:order val="3"/>
          <c:tx>
            <c:strRef>
              <c:f>Calculation!$J$2</c:f>
              <c:strCache>
                <c:ptCount val="1"/>
                <c:pt idx="0">
                  <c:v>On Time</c:v>
                </c:pt>
              </c:strCache>
            </c:strRef>
          </c:tx>
          <c:spPr>
            <a:solidFill>
              <a:srgbClr val="00B050"/>
            </a:solidFill>
            <a:ln w="12700">
              <a:solidFill>
                <a:prstClr val="black"/>
              </a:solidFill>
            </a:ln>
          </c:spPr>
          <c:invertIfNegative val="0"/>
          <c:cat>
            <c:strRef>
              <c:f>Calculation!$I$9:$I$10</c:f>
              <c:strCache>
                <c:ptCount val="2"/>
                <c:pt idx="0">
                  <c:v>CS-001-3 AIRCRAFT MAINTENANCE TASK SUBCONTRACTING</c:v>
                </c:pt>
                <c:pt idx="1">
                  <c:v>CS-002-3 COMPONENT MAINTENANCE TASK SUBCONTRACTING</c:v>
                </c:pt>
              </c:strCache>
            </c:strRef>
          </c:cat>
          <c:val>
            <c:numRef>
              <c:f>Calculation!$J$9:$J$10</c:f>
              <c:numCache>
                <c:formatCode>General</c:formatCode>
                <c:ptCount val="2"/>
                <c:pt idx="0">
                  <c:v>1</c:v>
                </c:pt>
                <c:pt idx="1">
                  <c:v>0</c:v>
                </c:pt>
              </c:numCache>
            </c:numRef>
          </c:val>
        </c:ser>
        <c:dLbls>
          <c:showLegendKey val="0"/>
          <c:showVal val="0"/>
          <c:showCatName val="0"/>
          <c:showSerName val="0"/>
          <c:showPercent val="0"/>
          <c:showBubbleSize val="0"/>
        </c:dLbls>
        <c:gapWidth val="150"/>
        <c:overlap val="100"/>
        <c:axId val="326457480"/>
        <c:axId val="326459832"/>
      </c:barChart>
      <c:catAx>
        <c:axId val="326457480"/>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459832"/>
        <c:crosses val="autoZero"/>
        <c:auto val="1"/>
        <c:lblAlgn val="ctr"/>
        <c:lblOffset val="100"/>
        <c:noMultiLvlLbl val="0"/>
      </c:catAx>
      <c:valAx>
        <c:axId val="326459832"/>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326457480"/>
        <c:crosses val="autoZero"/>
        <c:crossBetween val="between"/>
      </c:valAx>
      <c:spPr>
        <a:solidFill>
          <a:srgbClr val="FFFFCC"/>
        </a:solidFill>
        <a:ln>
          <a:solidFill>
            <a:schemeClr val="bg2">
              <a:lumMod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5" l="0.70000000000000062" r="0.70000000000000062" t="0.75000000000000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552450</xdr:colOff>
      <xdr:row>21</xdr:row>
      <xdr:rowOff>0</xdr:rowOff>
    </xdr:from>
    <xdr:to>
      <xdr:col>0</xdr:col>
      <xdr:colOff>419100</xdr:colOff>
      <xdr:row>21</xdr:row>
      <xdr:rowOff>0</xdr:rowOff>
    </xdr:to>
    <xdr:sp macro="" textlink="">
      <xdr:nvSpPr>
        <xdr:cNvPr id="11279" name="AutoShape 15"/>
        <xdr:cNvSpPr>
          <a:spLocks noChangeArrowheads="1"/>
        </xdr:cNvSpPr>
      </xdr:nvSpPr>
      <xdr:spPr bwMode="auto">
        <a:xfrm>
          <a:off x="552450" y="1238250"/>
          <a:ext cx="0" cy="0"/>
        </a:xfrm>
        <a:prstGeom prst="roundRect">
          <a:avLst>
            <a:gd name="adj" fmla="val 16667"/>
          </a:avLst>
        </a:prstGeom>
        <a:gradFill rotWithShape="0">
          <a:gsLst>
            <a:gs pos="0">
              <a:srgbClr val="FFFF99"/>
            </a:gs>
            <a:gs pos="100000">
              <a:srgbClr val="FFFF99">
                <a:gamma/>
                <a:shade val="46275"/>
                <a:invGamma/>
              </a:srgbClr>
            </a:gs>
          </a:gsLst>
          <a:lin ang="5400000" scaled="1"/>
        </a:gradFill>
        <a:ln w="9525">
          <a:solidFill>
            <a:srgbClr val="000000"/>
          </a:solidFill>
          <a:round/>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Analysis 2002</a:t>
          </a:r>
        </a:p>
      </xdr:txBody>
    </xdr:sp>
    <xdr:clientData/>
  </xdr:twoCellAnchor>
  <xdr:twoCellAnchor>
    <xdr:from>
      <xdr:col>16</xdr:col>
      <xdr:colOff>119062</xdr:colOff>
      <xdr:row>1</xdr:row>
      <xdr:rowOff>35718</xdr:rowOff>
    </xdr:from>
    <xdr:to>
      <xdr:col>18</xdr:col>
      <xdr:colOff>119061</xdr:colOff>
      <xdr:row>3</xdr:row>
      <xdr:rowOff>130970</xdr:rowOff>
    </xdr:to>
    <xdr:sp macro="[0]!Menu_Parameters" textlink="">
      <xdr:nvSpPr>
        <xdr:cNvPr id="26" name="AutoShape 21"/>
        <xdr:cNvSpPr>
          <a:spLocks noChangeArrowheads="1"/>
        </xdr:cNvSpPr>
      </xdr:nvSpPr>
      <xdr:spPr bwMode="auto">
        <a:xfrm>
          <a:off x="15847218" y="511968"/>
          <a:ext cx="952499" cy="702471"/>
        </a:xfrm>
        <a:prstGeom prst="bevel">
          <a:avLst>
            <a:gd name="adj" fmla="val 12500"/>
          </a:avLst>
        </a:prstGeom>
        <a:solidFill>
          <a:srgbClr val="66FF33"/>
        </a:solidFill>
        <a:ln w="12700">
          <a:solidFill>
            <a:srgbClr val="009900"/>
          </a:solidFill>
          <a:miter lim="800000"/>
          <a:headEnd/>
          <a:tailEnd/>
        </a:ln>
      </xdr:spPr>
      <xdr:txBody>
        <a:bodyPr vertOverflow="clip" wrap="square" lIns="27432" tIns="22860" rIns="27432" bIns="22860" anchor="ctr" upright="1"/>
        <a:lstStyle/>
        <a:p>
          <a:pPr marL="0" indent="0" algn="ctr" rtl="0">
            <a:defRPr sz="1000"/>
          </a:pPr>
          <a:r>
            <a:rPr lang="en-GB" sz="1000" b="1" i="0" u="none" strike="noStrike" baseline="0">
              <a:solidFill>
                <a:srgbClr val="000000"/>
              </a:solidFill>
              <a:latin typeface="Arial"/>
              <a:ea typeface="+mn-ea"/>
              <a:cs typeface="Arial"/>
            </a:rPr>
            <a:t>Update  Parameters</a:t>
          </a:r>
        </a:p>
      </xdr:txBody>
    </xdr:sp>
    <xdr:clientData/>
  </xdr:twoCellAnchor>
  <xdr:twoCellAnchor>
    <xdr:from>
      <xdr:col>16</xdr:col>
      <xdr:colOff>107158</xdr:colOff>
      <xdr:row>4</xdr:row>
      <xdr:rowOff>11907</xdr:rowOff>
    </xdr:from>
    <xdr:to>
      <xdr:col>18</xdr:col>
      <xdr:colOff>130970</xdr:colOff>
      <xdr:row>7</xdr:row>
      <xdr:rowOff>142876</xdr:rowOff>
    </xdr:to>
    <xdr:sp macro="[0]!Menu_People" textlink="">
      <xdr:nvSpPr>
        <xdr:cNvPr id="27" name="AutoShape 21"/>
        <xdr:cNvSpPr>
          <a:spLocks noChangeArrowheads="1"/>
        </xdr:cNvSpPr>
      </xdr:nvSpPr>
      <xdr:spPr bwMode="auto">
        <a:xfrm>
          <a:off x="15835314" y="1285876"/>
          <a:ext cx="976312" cy="702469"/>
        </a:xfrm>
        <a:prstGeom prst="bevel">
          <a:avLst>
            <a:gd name="adj" fmla="val 12500"/>
          </a:avLst>
        </a:prstGeom>
        <a:solidFill>
          <a:srgbClr val="66FF33"/>
        </a:solidFill>
        <a:ln w="12700">
          <a:solidFill>
            <a:srgbClr val="009900"/>
          </a:solidFill>
          <a:miter lim="800000"/>
          <a:headEnd/>
          <a:tailEnd/>
        </a:ln>
      </xdr:spPr>
      <xdr:txBody>
        <a:bodyPr vertOverflow="clip" wrap="square" lIns="27432" tIns="22860" rIns="27432" bIns="22860" anchor="ctr" upright="1"/>
        <a:lstStyle/>
        <a:p>
          <a:pPr marL="0" indent="0" algn="ctr" rtl="0">
            <a:defRPr sz="1000"/>
          </a:pPr>
          <a:r>
            <a:rPr lang="en-GB" sz="1000" b="1" i="0" u="none" strike="noStrike" baseline="0">
              <a:solidFill>
                <a:srgbClr val="000000"/>
              </a:solidFill>
              <a:latin typeface="Arial"/>
              <a:ea typeface="+mn-ea"/>
              <a:cs typeface="Arial"/>
            </a:rPr>
            <a:t>Update  People</a:t>
          </a:r>
        </a:p>
      </xdr:txBody>
    </xdr:sp>
    <xdr:clientData/>
  </xdr:twoCellAnchor>
  <xdr:twoCellAnchor>
    <xdr:from>
      <xdr:col>0</xdr:col>
      <xdr:colOff>35719</xdr:colOff>
      <xdr:row>1</xdr:row>
      <xdr:rowOff>35718</xdr:rowOff>
    </xdr:from>
    <xdr:to>
      <xdr:col>1</xdr:col>
      <xdr:colOff>166688</xdr:colOff>
      <xdr:row>1</xdr:row>
      <xdr:rowOff>369094</xdr:rowOff>
    </xdr:to>
    <xdr:sp macro="[0]!Menu_UpdateActions_Status" textlink="">
      <xdr:nvSpPr>
        <xdr:cNvPr id="28" name="AutoShape 21"/>
        <xdr:cNvSpPr>
          <a:spLocks noChangeArrowheads="1"/>
        </xdr:cNvSpPr>
      </xdr:nvSpPr>
      <xdr:spPr bwMode="auto">
        <a:xfrm>
          <a:off x="35719" y="511968"/>
          <a:ext cx="833438" cy="333376"/>
        </a:xfrm>
        <a:prstGeom prst="bevel">
          <a:avLst>
            <a:gd name="adj" fmla="val 12500"/>
          </a:avLst>
        </a:prstGeom>
        <a:ln>
          <a:headEnd/>
          <a:tailEnd/>
        </a:ln>
      </xdr:spPr>
      <xdr:style>
        <a:lnRef idx="2">
          <a:schemeClr val="accent4">
            <a:shade val="50000"/>
          </a:schemeClr>
        </a:lnRef>
        <a:fillRef idx="1">
          <a:schemeClr val="accent4"/>
        </a:fillRef>
        <a:effectRef idx="0">
          <a:schemeClr val="accent4"/>
        </a:effectRef>
        <a:fontRef idx="minor">
          <a:schemeClr val="lt1"/>
        </a:fontRef>
      </xdr:style>
      <xdr:txBody>
        <a:bodyPr vertOverflow="clip" wrap="square" lIns="27432" tIns="22860" rIns="27432" bIns="22860" anchor="ctr" upright="1"/>
        <a:lstStyle/>
        <a:p>
          <a:pPr algn="ctr" rtl="0">
            <a:defRPr sz="1000"/>
          </a:pPr>
          <a:r>
            <a:rPr lang="en-GB" sz="1000" b="1" i="0" u="none" strike="noStrike" baseline="0">
              <a:solidFill>
                <a:schemeClr val="bg1"/>
              </a:solidFill>
              <a:latin typeface="Arial"/>
              <a:cs typeface="Arial"/>
            </a:rPr>
            <a:t>Update </a:t>
          </a:r>
        </a:p>
      </xdr:txBody>
    </xdr:sp>
    <xdr:clientData/>
  </xdr:twoCellAnchor>
  <xdr:twoCellAnchor>
    <xdr:from>
      <xdr:col>1</xdr:col>
      <xdr:colOff>250030</xdr:colOff>
      <xdr:row>1</xdr:row>
      <xdr:rowOff>23811</xdr:rowOff>
    </xdr:from>
    <xdr:to>
      <xdr:col>1</xdr:col>
      <xdr:colOff>1071562</xdr:colOff>
      <xdr:row>1</xdr:row>
      <xdr:rowOff>381000</xdr:rowOff>
    </xdr:to>
    <xdr:sp macro="[0]!Menu_ModActions" textlink="">
      <xdr:nvSpPr>
        <xdr:cNvPr id="13" name="AutoShape 21"/>
        <xdr:cNvSpPr>
          <a:spLocks noChangeArrowheads="1"/>
        </xdr:cNvSpPr>
      </xdr:nvSpPr>
      <xdr:spPr bwMode="auto">
        <a:xfrm>
          <a:off x="952499" y="500061"/>
          <a:ext cx="821532" cy="357189"/>
        </a:xfrm>
        <a:prstGeom prst="bevel">
          <a:avLst>
            <a:gd name="adj" fmla="val 12500"/>
          </a:avLst>
        </a:prstGeom>
        <a:solidFill>
          <a:srgbClr val="00CCFF"/>
        </a:solidFill>
        <a:ln w="12700">
          <a:solidFill>
            <a:srgbClr val="0066CC"/>
          </a:solidFill>
          <a:miter lim="800000"/>
          <a:headEnd/>
          <a:tailEnd/>
        </a:ln>
        <a:effectLst/>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SCR</a:t>
          </a:r>
        </a:p>
      </xdr:txBody>
    </xdr:sp>
    <xdr:clientData/>
  </xdr:twoCellAnchor>
  <xdr:twoCellAnchor editAs="oneCell">
    <xdr:from>
      <xdr:col>8</xdr:col>
      <xdr:colOff>10581</xdr:colOff>
      <xdr:row>14</xdr:row>
      <xdr:rowOff>316031</xdr:rowOff>
    </xdr:from>
    <xdr:to>
      <xdr:col>8</xdr:col>
      <xdr:colOff>359019</xdr:colOff>
      <xdr:row>14</xdr:row>
      <xdr:rowOff>632559</xdr:rowOff>
    </xdr:to>
    <xdr:sp macro="" textlink="">
      <xdr:nvSpPr>
        <xdr:cNvPr id="2" name="Bent Arrow 1"/>
        <xdr:cNvSpPr/>
      </xdr:nvSpPr>
      <xdr:spPr bwMode="auto">
        <a:xfrm rot="5400000">
          <a:off x="10262248" y="3663134"/>
          <a:ext cx="316528" cy="348438"/>
        </a:xfrm>
        <a:prstGeom prst="bentArrow">
          <a:avLst>
            <a:gd name="adj1" fmla="val 10272"/>
            <a:gd name="adj2" fmla="val 13217"/>
            <a:gd name="adj3" fmla="val 23950"/>
            <a:gd name="adj4" fmla="val 47093"/>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editAs="oneCell">
    <xdr:from>
      <xdr:col>8</xdr:col>
      <xdr:colOff>30956</xdr:colOff>
      <xdr:row>12</xdr:row>
      <xdr:rowOff>261940</xdr:rowOff>
    </xdr:from>
    <xdr:to>
      <xdr:col>9</xdr:col>
      <xdr:colOff>470021</xdr:colOff>
      <xdr:row>14</xdr:row>
      <xdr:rowOff>609664</xdr:rowOff>
    </xdr:to>
    <xdr:sp macro="" textlink="">
      <xdr:nvSpPr>
        <xdr:cNvPr id="10" name="Bent Arrow 9"/>
        <xdr:cNvSpPr/>
      </xdr:nvSpPr>
      <xdr:spPr bwMode="auto">
        <a:xfrm rot="5400000">
          <a:off x="11710223" y="3477392"/>
          <a:ext cx="1083531" cy="1105815"/>
        </a:xfrm>
        <a:prstGeom prst="bentArrow">
          <a:avLst>
            <a:gd name="adj1" fmla="val 4633"/>
            <a:gd name="adj2" fmla="val 5967"/>
            <a:gd name="adj3" fmla="val 10256"/>
            <a:gd name="adj4" fmla="val 47093"/>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xdr:from>
      <xdr:col>0</xdr:col>
      <xdr:colOff>0</xdr:colOff>
      <xdr:row>61</xdr:row>
      <xdr:rowOff>11908</xdr:rowOff>
    </xdr:from>
    <xdr:to>
      <xdr:col>6</xdr:col>
      <xdr:colOff>0</xdr:colOff>
      <xdr:row>66</xdr:row>
      <xdr:rowOff>4762</xdr:rowOff>
    </xdr:to>
    <xdr:graphicFrame macro="">
      <xdr:nvGraphicFramePr>
        <xdr:cNvPr id="11"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xdr:colOff>
      <xdr:row>72</xdr:row>
      <xdr:rowOff>1</xdr:rowOff>
    </xdr:from>
    <xdr:to>
      <xdr:col>18</xdr:col>
      <xdr:colOff>0</xdr:colOff>
      <xdr:row>77</xdr:row>
      <xdr:rowOff>11907</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xdr:colOff>
      <xdr:row>61</xdr:row>
      <xdr:rowOff>11905</xdr:rowOff>
    </xdr:from>
    <xdr:to>
      <xdr:col>18</xdr:col>
      <xdr:colOff>0</xdr:colOff>
      <xdr:row>66</xdr:row>
      <xdr:rowOff>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xdr:colOff>
      <xdr:row>83</xdr:row>
      <xdr:rowOff>11907</xdr:rowOff>
    </xdr:from>
    <xdr:to>
      <xdr:col>18</xdr:col>
      <xdr:colOff>0</xdr:colOff>
      <xdr:row>88</xdr:row>
      <xdr:rowOff>11907</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83</xdr:row>
      <xdr:rowOff>0</xdr:rowOff>
    </xdr:from>
    <xdr:to>
      <xdr:col>6</xdr:col>
      <xdr:colOff>0</xdr:colOff>
      <xdr:row>88</xdr:row>
      <xdr:rowOff>0</xdr:rowOff>
    </xdr:to>
    <xdr:graphicFrame macro="">
      <xdr:nvGraphicFramePr>
        <xdr:cNvPr id="21"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14</xdr:row>
      <xdr:rowOff>130969</xdr:rowOff>
    </xdr:from>
    <xdr:to>
      <xdr:col>6</xdr:col>
      <xdr:colOff>23813</xdr:colOff>
      <xdr:row>36</xdr:row>
      <xdr:rowOff>119063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393700</xdr:colOff>
          <xdr:row>13</xdr:row>
          <xdr:rowOff>127000</xdr:rowOff>
        </xdr:from>
        <xdr:to>
          <xdr:col>5</xdr:col>
          <xdr:colOff>1765300</xdr:colOff>
          <xdr:row>13</xdr:row>
          <xdr:rowOff>381000</xdr:rowOff>
        </xdr:to>
        <xdr:sp macro="" textlink="">
          <xdr:nvSpPr>
            <xdr:cNvPr id="1030" name="CheckBox21"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72</xdr:row>
      <xdr:rowOff>11907</xdr:rowOff>
    </xdr:from>
    <xdr:to>
      <xdr:col>6</xdr:col>
      <xdr:colOff>0</xdr:colOff>
      <xdr:row>77</xdr:row>
      <xdr:rowOff>0</xdr:rowOff>
    </xdr:to>
    <xdr:graphicFrame macro="">
      <xdr:nvGraphicFramePr>
        <xdr:cNvPr id="23"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214312</xdr:colOff>
      <xdr:row>1</xdr:row>
      <xdr:rowOff>23812</xdr:rowOff>
    </xdr:from>
    <xdr:to>
      <xdr:col>3</xdr:col>
      <xdr:colOff>1035844</xdr:colOff>
      <xdr:row>1</xdr:row>
      <xdr:rowOff>381001</xdr:rowOff>
    </xdr:to>
    <xdr:sp macro="[0]!Menu_NAAAnal" textlink="">
      <xdr:nvSpPr>
        <xdr:cNvPr id="30" name="AutoShape 21"/>
        <xdr:cNvSpPr>
          <a:spLocks noChangeArrowheads="1"/>
        </xdr:cNvSpPr>
      </xdr:nvSpPr>
      <xdr:spPr bwMode="auto">
        <a:xfrm>
          <a:off x="3929062" y="500062"/>
          <a:ext cx="821532" cy="357189"/>
        </a:xfrm>
        <a:prstGeom prst="bevel">
          <a:avLst>
            <a:gd name="adj" fmla="val 12500"/>
          </a:avLst>
        </a:prstGeom>
        <a:solidFill>
          <a:srgbClr val="00CCFF"/>
        </a:solidFill>
        <a:ln w="12700">
          <a:solidFill>
            <a:srgbClr val="0066CC"/>
          </a:solidFill>
          <a:miter lim="800000"/>
          <a:headEnd/>
          <a:tailEnd/>
        </a:ln>
        <a:effectLst/>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NAA</a:t>
          </a:r>
        </a:p>
      </xdr:txBody>
    </xdr:sp>
    <xdr:clientData/>
  </xdr:twoCellAnchor>
  <xdr:twoCellAnchor>
    <xdr:from>
      <xdr:col>5</xdr:col>
      <xdr:colOff>381000</xdr:colOff>
      <xdr:row>1</xdr:row>
      <xdr:rowOff>23813</xdr:rowOff>
    </xdr:from>
    <xdr:to>
      <xdr:col>5</xdr:col>
      <xdr:colOff>1202532</xdr:colOff>
      <xdr:row>1</xdr:row>
      <xdr:rowOff>381002</xdr:rowOff>
    </xdr:to>
    <xdr:sp macro="[0]!Menu_QMSAnal" textlink="">
      <xdr:nvSpPr>
        <xdr:cNvPr id="34" name="AutoShape 21"/>
        <xdr:cNvSpPr>
          <a:spLocks noChangeArrowheads="1"/>
        </xdr:cNvSpPr>
      </xdr:nvSpPr>
      <xdr:spPr bwMode="auto">
        <a:xfrm>
          <a:off x="6941344" y="500063"/>
          <a:ext cx="821532" cy="357189"/>
        </a:xfrm>
        <a:prstGeom prst="bevel">
          <a:avLst>
            <a:gd name="adj" fmla="val 12500"/>
          </a:avLst>
        </a:prstGeom>
        <a:solidFill>
          <a:srgbClr val="00CCFF"/>
        </a:solidFill>
        <a:ln w="12700">
          <a:solidFill>
            <a:srgbClr val="0066CC"/>
          </a:solidFill>
          <a:miter lim="800000"/>
          <a:headEnd/>
          <a:tailEnd/>
        </a:ln>
        <a:effectLst/>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QMS</a:t>
          </a:r>
        </a:p>
      </xdr:txBody>
    </xdr:sp>
    <xdr:clientData/>
  </xdr:twoCellAnchor>
  <xdr:twoCellAnchor>
    <xdr:from>
      <xdr:col>7</xdr:col>
      <xdr:colOff>428626</xdr:colOff>
      <xdr:row>1</xdr:row>
      <xdr:rowOff>23812</xdr:rowOff>
    </xdr:from>
    <xdr:to>
      <xdr:col>7</xdr:col>
      <xdr:colOff>1250157</xdr:colOff>
      <xdr:row>1</xdr:row>
      <xdr:rowOff>381001</xdr:rowOff>
    </xdr:to>
    <xdr:sp macro="[0]!Menu_SyncBlock" textlink="">
      <xdr:nvSpPr>
        <xdr:cNvPr id="37" name="AutoShape 21"/>
        <xdr:cNvSpPr>
          <a:spLocks noChangeArrowheads="1"/>
        </xdr:cNvSpPr>
      </xdr:nvSpPr>
      <xdr:spPr bwMode="auto">
        <a:xfrm>
          <a:off x="9775032" y="500062"/>
          <a:ext cx="821531" cy="357189"/>
        </a:xfrm>
        <a:prstGeom prst="bevel">
          <a:avLst>
            <a:gd name="adj" fmla="val 12500"/>
          </a:avLst>
        </a:prstGeom>
        <a:solidFill>
          <a:srgbClr val="00CCFF"/>
        </a:solidFill>
        <a:ln w="12700">
          <a:solidFill>
            <a:srgbClr val="0066CC"/>
          </a:solidFill>
          <a:miter lim="800000"/>
          <a:headEnd/>
          <a:tailEnd/>
        </a:ln>
        <a:effectLst/>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Block</a:t>
          </a:r>
        </a:p>
      </xdr:txBody>
    </xdr:sp>
    <xdr:clientData/>
  </xdr:twoCellAnchor>
  <xdr:twoCellAnchor>
    <xdr:from>
      <xdr:col>2</xdr:col>
      <xdr:colOff>35719</xdr:colOff>
      <xdr:row>1</xdr:row>
      <xdr:rowOff>35719</xdr:rowOff>
    </xdr:from>
    <xdr:to>
      <xdr:col>3</xdr:col>
      <xdr:colOff>166688</xdr:colOff>
      <xdr:row>1</xdr:row>
      <xdr:rowOff>369095</xdr:rowOff>
    </xdr:to>
    <xdr:sp macro="[0]!UpdateNAA_Status" textlink="">
      <xdr:nvSpPr>
        <xdr:cNvPr id="24" name="AutoShape 21"/>
        <xdr:cNvSpPr>
          <a:spLocks noChangeArrowheads="1"/>
        </xdr:cNvSpPr>
      </xdr:nvSpPr>
      <xdr:spPr bwMode="auto">
        <a:xfrm>
          <a:off x="3048000" y="511969"/>
          <a:ext cx="833438" cy="333376"/>
        </a:xfrm>
        <a:prstGeom prst="bevel">
          <a:avLst>
            <a:gd name="adj" fmla="val 12500"/>
          </a:avLst>
        </a:prstGeom>
        <a:ln>
          <a:headEnd/>
          <a:tailEnd/>
        </a:ln>
      </xdr:spPr>
      <xdr:style>
        <a:lnRef idx="2">
          <a:schemeClr val="accent4">
            <a:shade val="50000"/>
          </a:schemeClr>
        </a:lnRef>
        <a:fillRef idx="1">
          <a:schemeClr val="accent4"/>
        </a:fillRef>
        <a:effectRef idx="0">
          <a:schemeClr val="accent4"/>
        </a:effectRef>
        <a:fontRef idx="minor">
          <a:schemeClr val="lt1"/>
        </a:fontRef>
      </xdr:style>
      <xdr:txBody>
        <a:bodyPr vertOverflow="clip" wrap="square" lIns="27432" tIns="22860" rIns="27432" bIns="22860" anchor="ctr" upright="1"/>
        <a:lstStyle/>
        <a:p>
          <a:pPr algn="ctr" rtl="0">
            <a:defRPr sz="1000"/>
          </a:pPr>
          <a:r>
            <a:rPr lang="en-GB" sz="1000" b="1" i="0" u="none" strike="noStrike" baseline="0">
              <a:solidFill>
                <a:schemeClr val="bg1"/>
              </a:solidFill>
              <a:latin typeface="Arial"/>
              <a:cs typeface="Arial"/>
            </a:rPr>
            <a:t>Update </a:t>
          </a:r>
        </a:p>
      </xdr:txBody>
    </xdr:sp>
    <xdr:clientData/>
  </xdr:twoCellAnchor>
  <xdr:twoCellAnchor>
    <xdr:from>
      <xdr:col>4</xdr:col>
      <xdr:colOff>47625</xdr:colOff>
      <xdr:row>1</xdr:row>
      <xdr:rowOff>35719</xdr:rowOff>
    </xdr:from>
    <xdr:to>
      <xdr:col>5</xdr:col>
      <xdr:colOff>345282</xdr:colOff>
      <xdr:row>1</xdr:row>
      <xdr:rowOff>369095</xdr:rowOff>
    </xdr:to>
    <xdr:sp macro="[0]!UpdateQMS_Status" textlink="">
      <xdr:nvSpPr>
        <xdr:cNvPr id="29" name="AutoShape 21"/>
        <xdr:cNvSpPr>
          <a:spLocks noChangeArrowheads="1"/>
        </xdr:cNvSpPr>
      </xdr:nvSpPr>
      <xdr:spPr bwMode="auto">
        <a:xfrm>
          <a:off x="6072188" y="511969"/>
          <a:ext cx="833438" cy="333376"/>
        </a:xfrm>
        <a:prstGeom prst="bevel">
          <a:avLst>
            <a:gd name="adj" fmla="val 12500"/>
          </a:avLst>
        </a:prstGeom>
        <a:ln>
          <a:headEnd/>
          <a:tailEnd/>
        </a:ln>
      </xdr:spPr>
      <xdr:style>
        <a:lnRef idx="2">
          <a:schemeClr val="accent4">
            <a:shade val="50000"/>
          </a:schemeClr>
        </a:lnRef>
        <a:fillRef idx="1">
          <a:schemeClr val="accent4"/>
        </a:fillRef>
        <a:effectRef idx="0">
          <a:schemeClr val="accent4"/>
        </a:effectRef>
        <a:fontRef idx="minor">
          <a:schemeClr val="lt1"/>
        </a:fontRef>
      </xdr:style>
      <xdr:txBody>
        <a:bodyPr vertOverflow="clip" wrap="square" lIns="27432" tIns="22860" rIns="27432" bIns="22860" anchor="ctr" upright="1"/>
        <a:lstStyle/>
        <a:p>
          <a:pPr algn="ctr" rtl="0">
            <a:defRPr sz="1000"/>
          </a:pPr>
          <a:r>
            <a:rPr lang="en-GB" sz="1000" b="1" i="0" u="none" strike="noStrike" baseline="0">
              <a:solidFill>
                <a:schemeClr val="bg1"/>
              </a:solidFill>
              <a:latin typeface="Arial"/>
              <a:cs typeface="Arial"/>
            </a:rPr>
            <a:t>Update </a:t>
          </a:r>
        </a:p>
      </xdr:txBody>
    </xdr:sp>
    <xdr:clientData/>
  </xdr:twoCellAnchor>
  <xdr:twoCellAnchor>
    <xdr:from>
      <xdr:col>6</xdr:col>
      <xdr:colOff>35719</xdr:colOff>
      <xdr:row>1</xdr:row>
      <xdr:rowOff>47625</xdr:rowOff>
    </xdr:from>
    <xdr:to>
      <xdr:col>7</xdr:col>
      <xdr:colOff>381001</xdr:colOff>
      <xdr:row>1</xdr:row>
      <xdr:rowOff>381001</xdr:rowOff>
    </xdr:to>
    <xdr:sp macro="[0]!UpdateBlock_Status" textlink="">
      <xdr:nvSpPr>
        <xdr:cNvPr id="32" name="AutoShape 21"/>
        <xdr:cNvSpPr>
          <a:spLocks noChangeArrowheads="1"/>
        </xdr:cNvSpPr>
      </xdr:nvSpPr>
      <xdr:spPr bwMode="auto">
        <a:xfrm>
          <a:off x="8893969" y="523875"/>
          <a:ext cx="833438" cy="333376"/>
        </a:xfrm>
        <a:prstGeom prst="bevel">
          <a:avLst>
            <a:gd name="adj" fmla="val 12500"/>
          </a:avLst>
        </a:prstGeom>
        <a:ln>
          <a:headEnd/>
          <a:tailEnd/>
        </a:ln>
      </xdr:spPr>
      <xdr:style>
        <a:lnRef idx="2">
          <a:schemeClr val="accent4">
            <a:shade val="50000"/>
          </a:schemeClr>
        </a:lnRef>
        <a:fillRef idx="1">
          <a:schemeClr val="accent4"/>
        </a:fillRef>
        <a:effectRef idx="0">
          <a:schemeClr val="accent4"/>
        </a:effectRef>
        <a:fontRef idx="minor">
          <a:schemeClr val="lt1"/>
        </a:fontRef>
      </xdr:style>
      <xdr:txBody>
        <a:bodyPr vertOverflow="clip" wrap="square" lIns="27432" tIns="22860" rIns="27432" bIns="22860" anchor="ctr" upright="1"/>
        <a:lstStyle/>
        <a:p>
          <a:pPr algn="ctr" rtl="0">
            <a:defRPr sz="1000"/>
          </a:pPr>
          <a:r>
            <a:rPr lang="en-GB" sz="1000" b="1" i="0" u="none" strike="noStrike" baseline="0">
              <a:solidFill>
                <a:schemeClr val="bg1"/>
              </a:solidFill>
              <a:latin typeface="Arial"/>
              <a:cs typeface="Arial"/>
            </a:rPr>
            <a:t>Update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152400</xdr:colOff>
      <xdr:row>1</xdr:row>
      <xdr:rowOff>0</xdr:rowOff>
    </xdr:from>
    <xdr:to>
      <xdr:col>7</xdr:col>
      <xdr:colOff>919842</xdr:colOff>
      <xdr:row>6</xdr:row>
      <xdr:rowOff>134711</xdr:rowOff>
    </xdr:to>
    <xdr:sp macro="[0]!Menu.Menu" textlink="">
      <xdr:nvSpPr>
        <xdr:cNvPr id="2" name="AutoShape 532"/>
        <xdr:cNvSpPr>
          <a:spLocks noChangeArrowheads="1"/>
        </xdr:cNvSpPr>
      </xdr:nvSpPr>
      <xdr:spPr bwMode="auto">
        <a:xfrm>
          <a:off x="6029325" y="152400"/>
          <a:ext cx="976992" cy="934811"/>
        </a:xfrm>
        <a:prstGeom prst="bevel">
          <a:avLst>
            <a:gd name="adj" fmla="val 12500"/>
          </a:avLst>
        </a:prstGeom>
        <a:solidFill>
          <a:srgbClr val="000080"/>
        </a:solidFill>
        <a:ln w="12700">
          <a:solidFill>
            <a:srgbClr val="FFFFFF"/>
          </a:solidFill>
          <a:miter lim="800000"/>
          <a:headEnd/>
          <a:tailEnd/>
        </a:ln>
        <a:effectLst/>
      </xdr:spPr>
      <xdr:txBody>
        <a:bodyPr vertOverflow="clip" wrap="square" lIns="27432" tIns="22860" rIns="27432" bIns="22860" anchor="ctr" upright="1"/>
        <a:lstStyle/>
        <a:p>
          <a:pPr algn="ctr" rtl="0">
            <a:defRPr sz="1000"/>
          </a:pPr>
          <a:r>
            <a:rPr lang="en-GB" sz="1000" b="1" i="0" u="none" strike="noStrike" baseline="0">
              <a:solidFill>
                <a:srgbClr val="FFFFFF"/>
              </a:solidFill>
              <a:latin typeface="Arial"/>
              <a:cs typeface="Arial"/>
            </a:rPr>
            <a:t>Menu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142875</xdr:colOff>
      <xdr:row>0</xdr:row>
      <xdr:rowOff>152400</xdr:rowOff>
    </xdr:from>
    <xdr:to>
      <xdr:col>8</xdr:col>
      <xdr:colOff>981075</xdr:colOff>
      <xdr:row>5</xdr:row>
      <xdr:rowOff>28575</xdr:rowOff>
    </xdr:to>
    <xdr:sp macro="[0]!Menu.Menu" textlink="">
      <xdr:nvSpPr>
        <xdr:cNvPr id="2" name="AutoShape 532"/>
        <xdr:cNvSpPr>
          <a:spLocks noChangeArrowheads="1"/>
        </xdr:cNvSpPr>
      </xdr:nvSpPr>
      <xdr:spPr bwMode="auto">
        <a:xfrm>
          <a:off x="6229350" y="152400"/>
          <a:ext cx="838200" cy="828675"/>
        </a:xfrm>
        <a:prstGeom prst="bevel">
          <a:avLst>
            <a:gd name="adj" fmla="val 12500"/>
          </a:avLst>
        </a:prstGeom>
        <a:solidFill>
          <a:srgbClr val="000080"/>
        </a:solidFill>
        <a:ln w="12700">
          <a:solidFill>
            <a:srgbClr val="FFFFFF"/>
          </a:solidFill>
          <a:miter lim="800000"/>
          <a:headEnd/>
          <a:tailEnd/>
        </a:ln>
        <a:effectLst/>
      </xdr:spPr>
      <xdr:txBody>
        <a:bodyPr vertOverflow="clip" wrap="square" lIns="27432" tIns="22860" rIns="27432" bIns="22860" anchor="ctr" upright="1"/>
        <a:lstStyle/>
        <a:p>
          <a:pPr algn="ctr" rtl="0">
            <a:defRPr sz="1000"/>
          </a:pPr>
          <a:r>
            <a:rPr lang="en-GB" sz="1000" b="1" i="0" u="none" strike="noStrike" baseline="0">
              <a:solidFill>
                <a:srgbClr val="FFFFFF"/>
              </a:solidFill>
              <a:latin typeface="Arial"/>
              <a:cs typeface="Arial"/>
            </a:rPr>
            <a:t>Menu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R_LogBook%20v7-Draft%20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USTOMERSERVICE/QUALITY_SC/SUPPLIER_CONTROL/SUPPLIERS%20FOLLOW%20UP/QR%20DESIGNATION%20and%20GROUPS/Airbus%20Approved%20FHS%20Repair%20Stations%20List_LS1242263-v30_Mod_070115_for%20Grou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Supplier Control Review"/>
      <sheetName val="Fixed Parameters"/>
      <sheetName val="QMS Data"/>
      <sheetName val="QMS Analysis"/>
      <sheetName val="NAA Data"/>
      <sheetName val="NAA Analysis"/>
      <sheetName val="GROUP Data"/>
      <sheetName val="Supplier Control Review Report"/>
      <sheetName val="People"/>
      <sheetName val="Synchro and Block"/>
      <sheetName val="Calculation"/>
      <sheetName val="SCR Format"/>
      <sheetName val="Update Log"/>
    </sheetNames>
    <sheetDataSet>
      <sheetData sheetId="0">
        <row r="17">
          <cell r="B17">
            <v>43922</v>
          </cell>
          <cell r="E17">
            <v>1</v>
          </cell>
          <cell r="F17" t="b">
            <v>0</v>
          </cell>
        </row>
      </sheetData>
      <sheetData sheetId="1" refreshError="1"/>
      <sheetData sheetId="2">
        <row r="4">
          <cell r="B4" t="str">
            <v>CS-001-1 AIRCRAFT MAINTENANCE</v>
          </cell>
        </row>
        <row r="5">
          <cell r="B5" t="str">
            <v>CS-001-5 SPECIAL MAINTENANCE SERVICES</v>
          </cell>
        </row>
        <row r="6">
          <cell r="B6" t="str">
            <v>CS-001-O ORDERING SITE FOR AIRCRAFT MAINTENANCE</v>
          </cell>
        </row>
        <row r="7">
          <cell r="B7" t="str">
            <v>CS-002-1 COMPONENT MAINTENANCE</v>
          </cell>
        </row>
        <row r="8">
          <cell r="B8" t="str">
            <v>CS-002-O ORDERING SITE FOR COMPONENT MAINTENANCE</v>
          </cell>
        </row>
        <row r="9">
          <cell r="B9" t="str">
            <v>CS-002-C A220 SPECIFIC COMPONENT MAINTENANCE</v>
          </cell>
        </row>
        <row r="10">
          <cell r="B10" t="str">
            <v>CS-001-3 AIRCRAFT MAINTENANCE TASK SUBCONTRACTING</v>
          </cell>
        </row>
        <row r="11">
          <cell r="B11" t="str">
            <v>CS-002-3 COMPONENT MAINTENANCE TASK SUBCONTRACTING</v>
          </cell>
        </row>
        <row r="12">
          <cell r="B12" t="str">
            <v>CS-004-1 NEW SURPLUS OR USED PARTS DISTRIBUTION</v>
          </cell>
        </row>
        <row r="13">
          <cell r="B13" t="str">
            <v>CS-004-O ORDERING SITE FOR USED PARTS DISTRIBUTION</v>
          </cell>
        </row>
        <row r="14">
          <cell r="B14" t="str">
            <v>CS-005-3 CERTIFIED DESIGN CHANGES</v>
          </cell>
        </row>
        <row r="15">
          <cell r="B15" t="str">
            <v>CS-005-4 CONTINUING AIRWORTHINESS MANAGEMENT TASKS</v>
          </cell>
        </row>
        <row r="16">
          <cell r="B16" t="str">
            <v>CS-009-1 ACJ VIP CABIN COMPLETION</v>
          </cell>
        </row>
        <row r="17">
          <cell r="B17" t="str">
            <v>CS-009-2 ACJ SERVICE CENTER NETWORK</v>
          </cell>
        </row>
      </sheetData>
      <sheetData sheetId="3" refreshError="1"/>
      <sheetData sheetId="4"/>
      <sheetData sheetId="5" refreshError="1"/>
      <sheetData sheetId="6"/>
      <sheetData sheetId="7" refreshError="1"/>
      <sheetData sheetId="8" refreshError="1"/>
      <sheetData sheetId="9" refreshError="1"/>
      <sheetData sheetId="10" refreshError="1"/>
      <sheetData sheetId="11">
        <row r="2">
          <cell r="A2" t="str">
            <v>Name</v>
          </cell>
        </row>
      </sheetData>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sheetName val="Log"/>
      <sheetName val="Change_Analysis"/>
      <sheetName val="Previous_List"/>
      <sheetName val="List_Data_New"/>
      <sheetName val="Country"/>
      <sheetName val="MRO"/>
      <sheetName val="Sheet2"/>
      <sheetName val="Sheet1"/>
      <sheetName val="Airbus Approved FHS Repair Stat"/>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rgb="FF000080"/>
  </sheetPr>
  <dimension ref="A1:BN26127"/>
  <sheetViews>
    <sheetView tabSelected="1" zoomScale="80" zoomScaleNormal="80" workbookViewId="0">
      <selection sqref="A1:H1"/>
    </sheetView>
  </sheetViews>
  <sheetFormatPr baseColWidth="10" defaultColWidth="11.453125" defaultRowHeight="12.5"/>
  <cols>
    <col min="1" max="1" width="10.54296875" style="11" customWidth="1"/>
    <col min="2" max="2" width="33.81640625" style="11" customWidth="1"/>
    <col min="3" max="3" width="10.54296875" style="31" customWidth="1"/>
    <col min="4" max="4" width="35.26953125" style="11" customWidth="1"/>
    <col min="5" max="5" width="8" style="31" customWidth="1"/>
    <col min="6" max="6" width="36.81640625" style="9" customWidth="1"/>
    <col min="7" max="7" width="7.26953125" style="31" customWidth="1"/>
    <col min="8" max="8" width="37.453125" style="31" customWidth="1"/>
    <col min="9" max="9" width="10" style="31" customWidth="1"/>
    <col min="10" max="10" width="10.453125" style="31" customWidth="1"/>
    <col min="11" max="14" width="6.7265625" style="31" customWidth="1"/>
    <col min="15" max="16" width="6.7265625" style="9" customWidth="1"/>
    <col min="17" max="18" width="7.1796875" style="9" customWidth="1"/>
    <col min="19" max="19" width="2.54296875" style="9" customWidth="1"/>
    <col min="20" max="32" width="11.453125" style="13" customWidth="1"/>
    <col min="33" max="16384" width="11.453125" style="11"/>
  </cols>
  <sheetData>
    <row r="1" spans="1:66" ht="37.5" customHeight="1" thickBot="1">
      <c r="A1" s="360" t="s">
        <v>790</v>
      </c>
      <c r="B1" s="361"/>
      <c r="C1" s="362"/>
      <c r="D1" s="362"/>
      <c r="E1" s="361"/>
      <c r="F1" s="361"/>
      <c r="G1" s="361"/>
      <c r="H1" s="361"/>
      <c r="I1" s="367" t="s">
        <v>39</v>
      </c>
      <c r="J1" s="367"/>
      <c r="K1" s="331"/>
      <c r="L1" s="331"/>
      <c r="M1" s="331"/>
      <c r="N1" s="359">
        <v>44774.367094907408</v>
      </c>
      <c r="O1" s="359"/>
      <c r="P1" s="359"/>
      <c r="Q1" s="329"/>
      <c r="R1" s="329"/>
      <c r="S1" s="330"/>
      <c r="AF1" s="11"/>
    </row>
    <row r="2" spans="1:66" ht="36" customHeight="1">
      <c r="A2" s="281"/>
      <c r="B2" s="282"/>
      <c r="C2" s="365"/>
      <c r="D2" s="366"/>
      <c r="E2" s="365"/>
      <c r="F2" s="366"/>
      <c r="G2" s="276"/>
      <c r="H2" s="274"/>
      <c r="I2" s="292"/>
      <c r="J2" s="118"/>
      <c r="K2" s="118"/>
      <c r="L2" s="118"/>
      <c r="M2" s="118"/>
      <c r="N2" s="118"/>
      <c r="O2" s="118"/>
      <c r="P2" s="118"/>
      <c r="Q2" s="118"/>
      <c r="R2" s="118"/>
      <c r="S2" s="274"/>
      <c r="AF2" s="11"/>
    </row>
    <row r="3" spans="1:66" ht="15" customHeight="1">
      <c r="A3" s="309">
        <v>444</v>
      </c>
      <c r="B3" s="310" t="s">
        <v>26</v>
      </c>
      <c r="C3" s="270"/>
      <c r="D3" s="271"/>
      <c r="E3" s="220"/>
      <c r="F3" s="271"/>
      <c r="G3" s="277"/>
      <c r="H3" s="275"/>
      <c r="I3" s="293"/>
      <c r="J3" s="75"/>
      <c r="K3" s="75"/>
      <c r="L3" s="75"/>
      <c r="M3" s="75"/>
      <c r="N3" s="75"/>
      <c r="O3" s="144"/>
      <c r="P3" s="144"/>
      <c r="Q3" s="144"/>
      <c r="R3" s="144"/>
      <c r="S3" s="294"/>
      <c r="T3" s="10"/>
      <c r="U3" s="10"/>
      <c r="V3" s="10"/>
      <c r="W3" s="10"/>
      <c r="X3" s="10"/>
      <c r="Y3" s="10"/>
      <c r="Z3" s="10"/>
      <c r="AA3" s="10"/>
      <c r="AB3" s="10"/>
      <c r="AC3" s="10"/>
      <c r="AD3" s="10"/>
      <c r="AE3" s="10"/>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row>
    <row r="4" spans="1:66" ht="15" customHeight="1">
      <c r="A4" s="305">
        <v>8</v>
      </c>
      <c r="B4" s="303" t="s">
        <v>4332</v>
      </c>
      <c r="C4" s="305">
        <v>111</v>
      </c>
      <c r="D4" s="303" t="s">
        <v>4239</v>
      </c>
      <c r="E4" s="302">
        <v>15</v>
      </c>
      <c r="F4" s="303" t="s">
        <v>3632</v>
      </c>
      <c r="G4" s="278"/>
      <c r="H4" s="275"/>
      <c r="I4" s="295"/>
      <c r="J4" s="76"/>
      <c r="K4" s="76"/>
      <c r="L4" s="76"/>
      <c r="M4" s="76"/>
      <c r="N4" s="76"/>
      <c r="O4" s="144"/>
      <c r="P4" s="144"/>
      <c r="Q4" s="144"/>
      <c r="R4" s="144"/>
      <c r="S4" s="294"/>
      <c r="T4" s="12"/>
      <c r="U4" s="12"/>
      <c r="V4" s="12"/>
      <c r="W4" s="12"/>
      <c r="X4" s="12"/>
      <c r="Y4" s="12"/>
      <c r="Z4" s="12"/>
      <c r="AA4" s="12"/>
      <c r="AB4" s="12"/>
      <c r="AC4" s="12"/>
      <c r="AD4" s="12"/>
      <c r="AE4" s="12"/>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row>
    <row r="5" spans="1:66" s="15" customFormat="1" ht="15" customHeight="1">
      <c r="A5" s="338">
        <v>1</v>
      </c>
      <c r="B5" s="337" t="s">
        <v>4333</v>
      </c>
      <c r="C5" s="338">
        <v>15</v>
      </c>
      <c r="D5" s="337" t="s">
        <v>3631</v>
      </c>
      <c r="E5" s="341">
        <v>0</v>
      </c>
      <c r="F5" s="340" t="s">
        <v>3631</v>
      </c>
      <c r="G5" s="338">
        <v>1</v>
      </c>
      <c r="H5" s="337" t="s">
        <v>4326</v>
      </c>
      <c r="I5" s="296"/>
      <c r="J5" s="71"/>
      <c r="K5" s="71"/>
      <c r="L5" s="71"/>
      <c r="M5" s="71"/>
      <c r="N5" s="71"/>
      <c r="O5" s="139"/>
      <c r="P5" s="139"/>
      <c r="Q5" s="139"/>
      <c r="R5" s="139"/>
      <c r="S5" s="297"/>
      <c r="T5" s="14"/>
      <c r="U5" s="14"/>
      <c r="V5" s="14"/>
      <c r="W5" s="14"/>
      <c r="X5" s="14"/>
      <c r="Y5" s="14"/>
      <c r="Z5" s="14"/>
      <c r="AA5" s="14"/>
      <c r="AB5" s="14"/>
      <c r="AC5" s="14"/>
      <c r="AD5" s="14"/>
      <c r="AE5" s="14"/>
    </row>
    <row r="6" spans="1:66" s="15" customFormat="1" ht="15" customHeight="1">
      <c r="A6" s="307">
        <v>0</v>
      </c>
      <c r="B6" s="308" t="s">
        <v>4334</v>
      </c>
      <c r="C6" s="306">
        <v>6</v>
      </c>
      <c r="D6" s="304" t="s">
        <v>4331</v>
      </c>
      <c r="E6" s="341">
        <v>0</v>
      </c>
      <c r="F6" s="308" t="s">
        <v>3630</v>
      </c>
      <c r="G6" s="306">
        <v>1</v>
      </c>
      <c r="H6" s="304" t="s">
        <v>4048</v>
      </c>
      <c r="I6" s="296"/>
      <c r="J6" s="71"/>
      <c r="K6" s="75"/>
      <c r="L6" s="75"/>
      <c r="M6" s="75"/>
      <c r="N6" s="75"/>
      <c r="O6" s="139"/>
      <c r="P6" s="139"/>
      <c r="Q6" s="139"/>
      <c r="R6" s="139"/>
      <c r="S6" s="297"/>
      <c r="T6" s="14"/>
      <c r="U6" s="14"/>
      <c r="V6" s="14"/>
      <c r="W6" s="14"/>
      <c r="X6" s="14"/>
      <c r="Y6" s="14"/>
      <c r="Z6" s="14"/>
      <c r="AA6" s="14"/>
      <c r="AB6" s="14"/>
      <c r="AC6" s="14"/>
      <c r="AD6" s="14"/>
      <c r="AE6" s="14"/>
    </row>
    <row r="7" spans="1:66" s="15" customFormat="1" ht="15" customHeight="1">
      <c r="A7" s="285"/>
      <c r="B7" s="286"/>
      <c r="C7" s="306">
        <v>4</v>
      </c>
      <c r="D7" s="336" t="s">
        <v>3630</v>
      </c>
      <c r="E7" s="302">
        <v>7</v>
      </c>
      <c r="F7" s="303" t="s">
        <v>4034</v>
      </c>
      <c r="G7" s="279"/>
      <c r="H7" s="275"/>
      <c r="I7" s="296"/>
      <c r="J7" s="71"/>
      <c r="K7" s="77"/>
      <c r="L7" s="77"/>
      <c r="M7" s="77"/>
      <c r="N7" s="77"/>
      <c r="O7" s="139"/>
      <c r="P7" s="139"/>
      <c r="Q7" s="139"/>
      <c r="R7" s="139"/>
      <c r="S7" s="297"/>
      <c r="T7" s="14"/>
      <c r="U7" s="14"/>
      <c r="V7" s="14"/>
      <c r="W7" s="14"/>
      <c r="X7" s="14"/>
      <c r="Y7" s="14"/>
      <c r="Z7" s="14"/>
      <c r="AA7" s="14"/>
      <c r="AB7" s="14"/>
      <c r="AC7" s="14"/>
      <c r="AD7" s="14"/>
      <c r="AE7" s="14"/>
    </row>
    <row r="8" spans="1:66" s="15" customFormat="1" ht="15" customHeight="1">
      <c r="A8" s="311">
        <v>453</v>
      </c>
      <c r="B8" s="312" t="s">
        <v>0</v>
      </c>
      <c r="C8" s="270"/>
      <c r="D8" s="271"/>
      <c r="E8" s="339">
        <v>1</v>
      </c>
      <c r="F8" s="336" t="s">
        <v>4036</v>
      </c>
      <c r="G8" s="280"/>
      <c r="H8" s="275"/>
      <c r="I8" s="296"/>
      <c r="J8" s="71"/>
      <c r="K8" s="72"/>
      <c r="L8" s="72"/>
      <c r="M8" s="72"/>
      <c r="N8" s="72"/>
      <c r="O8" s="139"/>
      <c r="P8" s="139"/>
      <c r="Q8" s="139"/>
      <c r="R8" s="139"/>
      <c r="S8" s="297"/>
      <c r="T8" s="14"/>
      <c r="U8" s="14"/>
      <c r="V8" s="14"/>
      <c r="W8" s="14"/>
      <c r="X8" s="14"/>
      <c r="Y8" s="14"/>
      <c r="Z8" s="14"/>
      <c r="AA8" s="14"/>
      <c r="AB8" s="14"/>
      <c r="AC8" s="14"/>
      <c r="AD8" s="14"/>
      <c r="AE8" s="14"/>
    </row>
    <row r="9" spans="1:66" s="15" customFormat="1" ht="15" customHeight="1">
      <c r="A9" s="285"/>
      <c r="B9" s="286"/>
      <c r="C9" s="363"/>
      <c r="D9" s="364"/>
      <c r="E9" s="339">
        <v>1</v>
      </c>
      <c r="F9" s="304" t="s">
        <v>4035</v>
      </c>
      <c r="G9" s="280"/>
      <c r="H9" s="291"/>
      <c r="I9" s="280"/>
      <c r="J9" s="72"/>
      <c r="K9" s="72"/>
      <c r="L9" s="72"/>
      <c r="M9" s="72"/>
      <c r="N9" s="72"/>
      <c r="O9" s="139"/>
      <c r="P9" s="139"/>
      <c r="Q9" s="139"/>
      <c r="R9" s="139"/>
      <c r="S9" s="297"/>
      <c r="T9" s="14"/>
      <c r="U9" s="14"/>
      <c r="V9" s="14"/>
      <c r="W9" s="14"/>
      <c r="X9" s="14"/>
      <c r="Y9" s="14"/>
      <c r="Z9" s="14"/>
      <c r="AA9" s="14"/>
      <c r="AB9" s="14"/>
      <c r="AC9" s="14"/>
      <c r="AD9" s="14"/>
      <c r="AE9" s="14"/>
    </row>
    <row r="10" spans="1:66" s="15" customFormat="1" ht="5.25" customHeight="1">
      <c r="A10" s="285"/>
      <c r="B10" s="286"/>
      <c r="C10" s="272"/>
      <c r="D10" s="273"/>
      <c r="E10" s="272"/>
      <c r="F10" s="273"/>
      <c r="G10" s="289"/>
      <c r="H10" s="290"/>
      <c r="I10" s="289"/>
      <c r="J10" s="72"/>
      <c r="K10" s="72"/>
      <c r="L10" s="72"/>
      <c r="M10" s="72"/>
      <c r="N10" s="72"/>
      <c r="O10" s="139"/>
      <c r="P10" s="139"/>
      <c r="Q10" s="139"/>
      <c r="R10" s="139"/>
      <c r="S10" s="297"/>
      <c r="T10" s="14"/>
      <c r="U10" s="14"/>
      <c r="V10" s="14"/>
      <c r="W10" s="14"/>
      <c r="X10" s="14"/>
      <c r="Y10" s="14"/>
      <c r="Z10" s="14"/>
      <c r="AA10" s="14"/>
      <c r="AB10" s="14"/>
      <c r="AC10" s="14"/>
      <c r="AD10" s="14"/>
      <c r="AE10" s="14"/>
    </row>
    <row r="11" spans="1:66" s="15" customFormat="1" ht="27.75" customHeight="1">
      <c r="A11" s="300">
        <f ca="1">Calculation!AT18</f>
        <v>2</v>
      </c>
      <c r="B11" s="332" t="s">
        <v>4327</v>
      </c>
      <c r="C11" s="300">
        <v>0</v>
      </c>
      <c r="D11" s="332" t="s">
        <v>4328</v>
      </c>
      <c r="E11" s="300">
        <v>0</v>
      </c>
      <c r="F11" s="332" t="s">
        <v>4330</v>
      </c>
      <c r="G11" s="300">
        <v>0</v>
      </c>
      <c r="H11" s="332" t="s">
        <v>4329</v>
      </c>
      <c r="I11" s="289"/>
      <c r="J11" s="72"/>
      <c r="K11" s="72"/>
      <c r="L11" s="72"/>
      <c r="M11" s="72"/>
      <c r="N11" s="72"/>
      <c r="O11" s="139"/>
      <c r="P11" s="139"/>
      <c r="Q11" s="139"/>
      <c r="R11" s="139"/>
      <c r="S11" s="297"/>
      <c r="T11" s="14"/>
      <c r="U11" s="14"/>
      <c r="V11" s="14"/>
      <c r="W11" s="14"/>
      <c r="X11" s="14"/>
      <c r="Y11" s="14"/>
      <c r="Z11" s="14"/>
      <c r="AA11" s="14"/>
      <c r="AB11" s="14"/>
      <c r="AC11" s="14"/>
      <c r="AD11" s="14"/>
      <c r="AE11" s="14"/>
    </row>
    <row r="12" spans="1:66" s="15" customFormat="1" ht="6.75" customHeight="1" thickBot="1">
      <c r="A12" s="287"/>
      <c r="B12" s="288"/>
      <c r="C12" s="283"/>
      <c r="D12" s="284"/>
      <c r="E12" s="283"/>
      <c r="F12" s="284"/>
      <c r="G12" s="283"/>
      <c r="H12" s="284"/>
      <c r="I12" s="283"/>
      <c r="J12" s="298"/>
      <c r="K12" s="298"/>
      <c r="L12" s="298"/>
      <c r="M12" s="298"/>
      <c r="N12" s="298"/>
      <c r="O12" s="301"/>
      <c r="P12" s="301"/>
      <c r="Q12" s="301"/>
      <c r="R12" s="301"/>
      <c r="S12" s="299"/>
      <c r="T12" s="14"/>
      <c r="U12" s="14"/>
      <c r="V12" s="14"/>
      <c r="W12" s="14"/>
      <c r="X12" s="14"/>
      <c r="Y12" s="14"/>
      <c r="Z12" s="14"/>
      <c r="AA12" s="14"/>
      <c r="AB12" s="14"/>
      <c r="AC12" s="14"/>
      <c r="AD12" s="14"/>
      <c r="AE12" s="14"/>
    </row>
    <row r="13" spans="1:66" s="15" customFormat="1" ht="16.5" customHeight="1">
      <c r="A13" s="45"/>
      <c r="B13" s="32"/>
      <c r="C13" s="32"/>
      <c r="D13" s="33"/>
      <c r="E13" s="32"/>
      <c r="F13" s="34"/>
      <c r="G13" s="32"/>
      <c r="H13" s="146" t="s">
        <v>1285</v>
      </c>
      <c r="I13" s="33"/>
      <c r="J13" s="33"/>
      <c r="K13" s="33"/>
      <c r="L13" s="33"/>
      <c r="M13" s="36"/>
      <c r="N13" s="36"/>
      <c r="O13" s="36"/>
      <c r="P13" s="36"/>
      <c r="Q13" s="36"/>
      <c r="R13" s="36"/>
      <c r="S13" s="44"/>
      <c r="T13" s="14"/>
      <c r="U13" s="14"/>
      <c r="V13" s="14"/>
      <c r="W13" s="14"/>
      <c r="X13" s="14"/>
      <c r="Y13" s="14"/>
      <c r="Z13" s="14"/>
      <c r="AA13" s="14"/>
      <c r="AB13" s="14"/>
      <c r="AC13" s="14"/>
      <c r="AD13" s="14"/>
      <c r="AE13" s="14"/>
    </row>
    <row r="14" spans="1:66" s="15" customFormat="1" ht="36.75" customHeight="1">
      <c r="A14" s="179" t="s">
        <v>718</v>
      </c>
      <c r="B14" s="178">
        <v>44378</v>
      </c>
      <c r="C14" s="34"/>
      <c r="D14" s="177" t="s">
        <v>720</v>
      </c>
      <c r="E14" s="179">
        <v>1</v>
      </c>
      <c r="F14" s="180" t="b">
        <v>0</v>
      </c>
      <c r="G14" s="32"/>
      <c r="H14" s="146" t="s">
        <v>1284</v>
      </c>
      <c r="I14" s="33"/>
      <c r="J14" s="33"/>
      <c r="K14" s="231">
        <f ca="1">Calculation!AT18</f>
        <v>2</v>
      </c>
      <c r="L14" s="34" t="s">
        <v>1289</v>
      </c>
      <c r="M14" s="52"/>
      <c r="N14" s="52"/>
      <c r="O14" s="36"/>
      <c r="P14" s="36"/>
      <c r="Q14" s="36"/>
      <c r="R14" s="36"/>
      <c r="S14" s="44"/>
      <c r="T14" s="14"/>
      <c r="U14" s="14"/>
      <c r="V14" s="14"/>
      <c r="W14" s="14"/>
      <c r="X14" s="14"/>
      <c r="Y14" s="14"/>
      <c r="Z14" s="14"/>
      <c r="AA14" s="14"/>
      <c r="AB14" s="14"/>
      <c r="AC14" s="14"/>
      <c r="AD14" s="14"/>
      <c r="AE14" s="14"/>
    </row>
    <row r="15" spans="1:66" s="15" customFormat="1" ht="59.25" customHeight="1">
      <c r="A15" s="34"/>
      <c r="B15" s="34"/>
      <c r="C15" s="34"/>
      <c r="D15" s="34"/>
      <c r="E15" s="34"/>
      <c r="F15" s="34"/>
      <c r="G15" s="32"/>
      <c r="H15" s="146" t="s">
        <v>704</v>
      </c>
      <c r="I15" s="33"/>
      <c r="J15" s="33"/>
      <c r="K15" s="232" t="s">
        <v>700</v>
      </c>
      <c r="L15" s="232" t="s">
        <v>701</v>
      </c>
      <c r="M15" s="232" t="s">
        <v>703</v>
      </c>
      <c r="N15" s="232" t="s">
        <v>702</v>
      </c>
      <c r="O15" s="232" t="s">
        <v>0</v>
      </c>
      <c r="P15" s="145"/>
      <c r="Q15" s="36"/>
      <c r="R15" s="36"/>
      <c r="S15" s="44"/>
      <c r="T15" s="14"/>
      <c r="U15" s="14"/>
      <c r="V15" s="14"/>
      <c r="W15" s="14"/>
      <c r="X15" s="14"/>
      <c r="Y15" s="14"/>
      <c r="Z15" s="14"/>
      <c r="AA15" s="14"/>
      <c r="AB15" s="14"/>
      <c r="AC15" s="14"/>
      <c r="AD15" s="14"/>
      <c r="AE15" s="14"/>
    </row>
    <row r="16" spans="1:66" s="15" customFormat="1" ht="18.75" customHeight="1">
      <c r="A16" s="261"/>
      <c r="B16" s="34"/>
      <c r="C16" s="32"/>
      <c r="D16" s="34"/>
      <c r="E16" s="34"/>
      <c r="F16" s="34"/>
      <c r="G16" s="32"/>
      <c r="H16" s="124" t="str">
        <f>Calc_Person</f>
        <v>Name</v>
      </c>
      <c r="I16" s="130" t="s">
        <v>699</v>
      </c>
      <c r="J16" s="136" t="str">
        <f>Calculation!G2</f>
        <v>% Late</v>
      </c>
      <c r="K16" s="131"/>
      <c r="L16" s="74"/>
      <c r="M16" s="97"/>
      <c r="N16" s="120"/>
      <c r="O16" s="121" t="s">
        <v>13</v>
      </c>
      <c r="P16" s="36"/>
      <c r="Q16" s="36"/>
      <c r="R16" s="36"/>
      <c r="S16" s="44"/>
      <c r="T16" s="14"/>
      <c r="U16" s="14"/>
      <c r="V16" s="14"/>
      <c r="W16" s="14"/>
      <c r="X16" s="14"/>
      <c r="Y16" s="14"/>
      <c r="Z16" s="14"/>
      <c r="AA16" s="14"/>
      <c r="AB16" s="14"/>
      <c r="AC16" s="14"/>
      <c r="AD16" s="14"/>
      <c r="AE16" s="14"/>
    </row>
    <row r="17" spans="1:32" s="15" customFormat="1" ht="15" customHeight="1">
      <c r="A17" s="262"/>
      <c r="B17" s="32"/>
      <c r="C17" s="32"/>
      <c r="D17" s="33"/>
      <c r="E17" s="32"/>
      <c r="F17" s="34"/>
      <c r="G17" s="32"/>
      <c r="H17" s="125" t="str">
        <f>Calculation!A3</f>
        <v>BONZOM Frederick</v>
      </c>
      <c r="I17" s="135">
        <f>Calculation!E3</f>
        <v>0</v>
      </c>
      <c r="J17" s="137">
        <f>Calculation!G3</f>
        <v>0</v>
      </c>
      <c r="K17" s="132">
        <f>Calculation!E3</f>
        <v>0</v>
      </c>
      <c r="L17" s="119">
        <f>Calculation!D3</f>
        <v>0</v>
      </c>
      <c r="M17" s="119">
        <f>Calculation!C3</f>
        <v>0</v>
      </c>
      <c r="N17" s="119">
        <f>Calculation!B3</f>
        <v>28</v>
      </c>
      <c r="O17" s="122">
        <f>Calculation!F3</f>
        <v>28</v>
      </c>
      <c r="P17" s="36"/>
      <c r="Q17" s="36"/>
      <c r="R17" s="36"/>
      <c r="S17" s="44"/>
      <c r="T17" s="14"/>
      <c r="U17" s="14"/>
      <c r="V17" s="14"/>
      <c r="W17" s="14"/>
      <c r="X17" s="14"/>
      <c r="Y17" s="14"/>
      <c r="Z17" s="14"/>
      <c r="AA17" s="14"/>
      <c r="AB17" s="14"/>
      <c r="AC17" s="14"/>
      <c r="AD17" s="14"/>
      <c r="AE17" s="14"/>
    </row>
    <row r="18" spans="1:32" s="15" customFormat="1" ht="15" customHeight="1">
      <c r="A18" s="262"/>
      <c r="B18" s="32"/>
      <c r="C18" s="32"/>
      <c r="D18" s="33"/>
      <c r="E18" s="32"/>
      <c r="F18" s="34"/>
      <c r="G18" s="32"/>
      <c r="H18" s="126" t="str">
        <f>Calculation!A4</f>
        <v>HONTANS Vincent</v>
      </c>
      <c r="I18" s="134">
        <f>Calculation!E4</f>
        <v>0</v>
      </c>
      <c r="J18" s="138">
        <f>Calculation!G4</f>
        <v>0</v>
      </c>
      <c r="K18" s="133">
        <f>Calculation!E4</f>
        <v>0</v>
      </c>
      <c r="L18" s="73">
        <f>Calculation!D4</f>
        <v>0</v>
      </c>
      <c r="M18" s="73">
        <f>Calculation!C4</f>
        <v>2</v>
      </c>
      <c r="N18" s="73">
        <f>Calculation!B4</f>
        <v>46</v>
      </c>
      <c r="O18" s="51">
        <f>Calculation!F4</f>
        <v>48</v>
      </c>
      <c r="P18" s="36"/>
      <c r="Q18" s="36"/>
      <c r="R18" s="36"/>
      <c r="S18" s="44"/>
      <c r="T18" s="14"/>
      <c r="U18" s="14"/>
      <c r="V18" s="14"/>
      <c r="W18" s="14"/>
      <c r="X18" s="14"/>
      <c r="Y18" s="14"/>
      <c r="Z18" s="14"/>
      <c r="AA18" s="14"/>
      <c r="AB18" s="14"/>
      <c r="AC18" s="14"/>
      <c r="AD18" s="14"/>
      <c r="AE18" s="14"/>
    </row>
    <row r="19" spans="1:32" s="15" customFormat="1" ht="15" customHeight="1">
      <c r="A19" s="262"/>
      <c r="B19" s="32"/>
      <c r="C19" s="32"/>
      <c r="D19" s="33"/>
      <c r="E19" s="32"/>
      <c r="F19" s="34"/>
      <c r="G19" s="32"/>
      <c r="H19" s="125" t="str">
        <f>Calculation!A5</f>
        <v>JOYAU Maurice</v>
      </c>
      <c r="I19" s="135">
        <f>Calculation!E5</f>
        <v>0</v>
      </c>
      <c r="J19" s="137">
        <f>Calculation!G5</f>
        <v>0</v>
      </c>
      <c r="K19" s="132">
        <f>Calculation!E5</f>
        <v>0</v>
      </c>
      <c r="L19" s="119">
        <f>Calculation!D5</f>
        <v>0</v>
      </c>
      <c r="M19" s="119">
        <f>Calculation!C5</f>
        <v>0</v>
      </c>
      <c r="N19" s="119">
        <f>Calculation!B5</f>
        <v>24</v>
      </c>
      <c r="O19" s="122">
        <f>Calculation!F5</f>
        <v>24</v>
      </c>
      <c r="P19" s="36"/>
      <c r="Q19" s="36"/>
      <c r="R19" s="36"/>
      <c r="S19" s="44"/>
      <c r="T19" s="14"/>
      <c r="U19" s="14"/>
      <c r="V19" s="14"/>
      <c r="W19" s="14"/>
      <c r="X19" s="14"/>
      <c r="Y19" s="14"/>
      <c r="Z19" s="14"/>
      <c r="AA19" s="14"/>
      <c r="AB19" s="14"/>
      <c r="AC19" s="14"/>
      <c r="AD19" s="14"/>
      <c r="AE19" s="14"/>
    </row>
    <row r="20" spans="1:32" s="15" customFormat="1" ht="15" customHeight="1">
      <c r="A20" s="263"/>
      <c r="B20" s="35"/>
      <c r="C20" s="35"/>
      <c r="D20" s="35"/>
      <c r="E20" s="35"/>
      <c r="F20" s="36"/>
      <c r="G20" s="35"/>
      <c r="H20" s="126" t="str">
        <f>Calculation!A6</f>
        <v>MAVANDIYOOR Jayaram</v>
      </c>
      <c r="I20" s="134">
        <f>Calculation!E6</f>
        <v>0</v>
      </c>
      <c r="J20" s="138">
        <f>Calculation!G6</f>
        <v>3.8461538461538464E-2</v>
      </c>
      <c r="K20" s="133">
        <f>Calculation!E6</f>
        <v>0</v>
      </c>
      <c r="L20" s="73">
        <f>Calculation!D6</f>
        <v>1</v>
      </c>
      <c r="M20" s="73">
        <f>Calculation!C6</f>
        <v>5</v>
      </c>
      <c r="N20" s="73">
        <f>Calculation!B6</f>
        <v>20</v>
      </c>
      <c r="O20" s="51">
        <f>Calculation!F6</f>
        <v>26</v>
      </c>
      <c r="P20" s="36"/>
      <c r="Q20" s="36"/>
      <c r="R20" s="36"/>
      <c r="S20" s="44"/>
      <c r="T20" s="14"/>
      <c r="U20" s="14"/>
      <c r="V20" s="14"/>
      <c r="W20" s="14"/>
      <c r="X20" s="14"/>
      <c r="Y20" s="14"/>
      <c r="Z20" s="14"/>
      <c r="AA20" s="14"/>
      <c r="AB20" s="14"/>
      <c r="AC20" s="14"/>
      <c r="AD20" s="14"/>
      <c r="AE20" s="14"/>
    </row>
    <row r="21" spans="1:32" s="15" customFormat="1" ht="15" customHeight="1">
      <c r="A21" s="263"/>
      <c r="B21" s="35"/>
      <c r="C21" s="35"/>
      <c r="D21" s="35"/>
      <c r="E21" s="35"/>
      <c r="F21" s="36"/>
      <c r="G21" s="35"/>
      <c r="H21" s="125" t="str">
        <f>Calculation!A7</f>
        <v>MOCA Elena</v>
      </c>
      <c r="I21" s="135">
        <f>Calculation!E7</f>
        <v>0</v>
      </c>
      <c r="J21" s="137">
        <f>Calculation!G7</f>
        <v>0</v>
      </c>
      <c r="K21" s="132">
        <f>Calculation!E7</f>
        <v>0</v>
      </c>
      <c r="L21" s="119">
        <f>Calculation!D7</f>
        <v>0</v>
      </c>
      <c r="M21" s="119">
        <f>Calculation!C7</f>
        <v>1</v>
      </c>
      <c r="N21" s="119">
        <f>Calculation!B7</f>
        <v>26</v>
      </c>
      <c r="O21" s="122">
        <f>Calculation!F7</f>
        <v>27</v>
      </c>
      <c r="P21" s="36"/>
      <c r="Q21" s="36"/>
      <c r="R21" s="36"/>
      <c r="S21" s="44"/>
      <c r="T21" s="14"/>
      <c r="U21" s="14"/>
      <c r="V21" s="14"/>
      <c r="W21" s="14"/>
      <c r="X21" s="14"/>
      <c r="Y21" s="14"/>
      <c r="Z21" s="14"/>
      <c r="AA21" s="14"/>
      <c r="AB21" s="14"/>
      <c r="AC21" s="14"/>
      <c r="AD21" s="14"/>
      <c r="AE21" s="14"/>
    </row>
    <row r="22" spans="1:32" ht="15" customHeight="1">
      <c r="A22" s="263"/>
      <c r="B22" s="35"/>
      <c r="C22" s="35"/>
      <c r="D22" s="35"/>
      <c r="E22" s="35"/>
      <c r="F22" s="35"/>
      <c r="G22" s="35"/>
      <c r="H22" s="127" t="str">
        <f>Calculation!A8</f>
        <v>PEREZ VALDERRAMA Guillermo</v>
      </c>
      <c r="I22" s="134">
        <f>Calculation!E8</f>
        <v>0</v>
      </c>
      <c r="J22" s="138">
        <f>Calculation!G8</f>
        <v>0</v>
      </c>
      <c r="K22" s="133">
        <f>Calculation!E8</f>
        <v>0</v>
      </c>
      <c r="L22" s="73">
        <f>Calculation!D8</f>
        <v>0</v>
      </c>
      <c r="M22" s="73">
        <f>Calculation!C8</f>
        <v>0</v>
      </c>
      <c r="N22" s="73">
        <f>Calculation!B8</f>
        <v>22</v>
      </c>
      <c r="O22" s="51">
        <f>Calculation!F8</f>
        <v>22</v>
      </c>
      <c r="P22" s="35"/>
      <c r="Q22" s="35"/>
      <c r="R22" s="35"/>
      <c r="S22" s="43"/>
      <c r="AF22" s="11"/>
    </row>
    <row r="23" spans="1:32" ht="15" customHeight="1">
      <c r="A23" s="263"/>
      <c r="B23" s="35"/>
      <c r="C23" s="35"/>
      <c r="D23" s="35"/>
      <c r="E23" s="35"/>
      <c r="F23" s="35"/>
      <c r="G23" s="35"/>
      <c r="H23" s="128" t="str">
        <f>Calculation!A9</f>
        <v>AUBERT Nathalie</v>
      </c>
      <c r="I23" s="135">
        <f>Calculation!E9</f>
        <v>0</v>
      </c>
      <c r="J23" s="137">
        <f>Calculation!G9</f>
        <v>0</v>
      </c>
      <c r="K23" s="132">
        <f>Calculation!E9</f>
        <v>0</v>
      </c>
      <c r="L23" s="119">
        <f>Calculation!D9</f>
        <v>0</v>
      </c>
      <c r="M23" s="119">
        <f>Calculation!C9</f>
        <v>0</v>
      </c>
      <c r="N23" s="119">
        <f>Calculation!B9</f>
        <v>15</v>
      </c>
      <c r="O23" s="122">
        <f>Calculation!F9</f>
        <v>15</v>
      </c>
      <c r="P23" s="35"/>
      <c r="Q23" s="35"/>
      <c r="R23" s="35"/>
      <c r="S23" s="43"/>
      <c r="AF23" s="11"/>
    </row>
    <row r="24" spans="1:32" ht="15" customHeight="1">
      <c r="A24" s="263"/>
      <c r="B24" s="35"/>
      <c r="C24" s="35"/>
      <c r="D24" s="35"/>
      <c r="E24" s="35"/>
      <c r="F24" s="35"/>
      <c r="G24" s="35"/>
      <c r="H24" s="127" t="str">
        <f>Calculation!A10</f>
        <v>PIERRE Frederic</v>
      </c>
      <c r="I24" s="134">
        <f>Calculation!E10</f>
        <v>0</v>
      </c>
      <c r="J24" s="138">
        <f>Calculation!G10</f>
        <v>0</v>
      </c>
      <c r="K24" s="133">
        <f>Calculation!E10</f>
        <v>0</v>
      </c>
      <c r="L24" s="73">
        <f>Calculation!D10</f>
        <v>0</v>
      </c>
      <c r="M24" s="73">
        <f>Calculation!C10</f>
        <v>0</v>
      </c>
      <c r="N24" s="73">
        <f>Calculation!B10</f>
        <v>5</v>
      </c>
      <c r="O24" s="51">
        <f>Calculation!F10</f>
        <v>5</v>
      </c>
      <c r="P24" s="35"/>
      <c r="Q24" s="35"/>
      <c r="R24" s="35"/>
      <c r="S24" s="43"/>
      <c r="AF24" s="11"/>
    </row>
    <row r="25" spans="1:32" ht="15" customHeight="1">
      <c r="A25" s="263"/>
      <c r="B25" s="37"/>
      <c r="C25" s="38"/>
      <c r="D25" s="35"/>
      <c r="E25" s="38"/>
      <c r="F25" s="35"/>
      <c r="G25" s="38"/>
      <c r="H25" s="128" t="str">
        <f>Calculation!A11</f>
        <v>VIGIER Christine</v>
      </c>
      <c r="I25" s="135">
        <f>Calculation!E11</f>
        <v>0</v>
      </c>
      <c r="J25" s="137">
        <f>Calculation!G11</f>
        <v>0</v>
      </c>
      <c r="K25" s="132">
        <f>Calculation!E11</f>
        <v>0</v>
      </c>
      <c r="L25" s="119">
        <f>Calculation!D11</f>
        <v>0</v>
      </c>
      <c r="M25" s="119">
        <f>Calculation!C11</f>
        <v>0</v>
      </c>
      <c r="N25" s="119">
        <f>Calculation!B11</f>
        <v>20</v>
      </c>
      <c r="O25" s="122">
        <f>Calculation!F11</f>
        <v>20</v>
      </c>
      <c r="P25" s="35"/>
      <c r="Q25" s="35"/>
      <c r="R25" s="35"/>
      <c r="S25" s="43"/>
      <c r="AF25" s="11"/>
    </row>
    <row r="26" spans="1:32" ht="15" customHeight="1">
      <c r="A26" s="263"/>
      <c r="B26" s="39"/>
      <c r="C26" s="40"/>
      <c r="D26" s="35"/>
      <c r="E26" s="40"/>
      <c r="F26" s="35"/>
      <c r="G26" s="40"/>
      <c r="H26" s="127" t="str">
        <f>Calculation!A12</f>
        <v>RENOUARD OLIVIER</v>
      </c>
      <c r="I26" s="134">
        <f>Calculation!E12</f>
        <v>0</v>
      </c>
      <c r="J26" s="138">
        <f>Calculation!G12</f>
        <v>0</v>
      </c>
      <c r="K26" s="133">
        <f>Calculation!E12</f>
        <v>0</v>
      </c>
      <c r="L26" s="73">
        <f>Calculation!D12</f>
        <v>0</v>
      </c>
      <c r="M26" s="73">
        <f>Calculation!C12</f>
        <v>0</v>
      </c>
      <c r="N26" s="73">
        <f>Calculation!B12</f>
        <v>0</v>
      </c>
      <c r="O26" s="51">
        <f>Calculation!F12</f>
        <v>0</v>
      </c>
      <c r="P26" s="35"/>
      <c r="Q26" s="35"/>
      <c r="R26" s="35"/>
      <c r="S26" s="43"/>
      <c r="AF26" s="11"/>
    </row>
    <row r="27" spans="1:32" ht="15" customHeight="1">
      <c r="A27" s="264"/>
      <c r="B27" s="35"/>
      <c r="C27" s="35"/>
      <c r="D27" s="41"/>
      <c r="E27" s="35"/>
      <c r="F27" s="35"/>
      <c r="G27" s="35"/>
      <c r="H27" s="128" t="str">
        <f>Calculation!A13</f>
        <v>ROBERT Valentin</v>
      </c>
      <c r="I27" s="135">
        <f>Calculation!E13</f>
        <v>0</v>
      </c>
      <c r="J27" s="137">
        <f>Calculation!G13</f>
        <v>0</v>
      </c>
      <c r="K27" s="132">
        <f>Calculation!E13</f>
        <v>0</v>
      </c>
      <c r="L27" s="119">
        <f>Calculation!D13</f>
        <v>0</v>
      </c>
      <c r="M27" s="119">
        <f>Calculation!C13</f>
        <v>0</v>
      </c>
      <c r="N27" s="119">
        <f>Calculation!B13</f>
        <v>22</v>
      </c>
      <c r="O27" s="122">
        <f>Calculation!F13</f>
        <v>22</v>
      </c>
      <c r="P27" s="35"/>
      <c r="Q27" s="35"/>
      <c r="R27" s="35"/>
      <c r="S27" s="43"/>
      <c r="AF27" s="11"/>
    </row>
    <row r="28" spans="1:32" ht="15" customHeight="1">
      <c r="A28" s="264"/>
      <c r="B28" s="35"/>
      <c r="C28" s="35"/>
      <c r="D28" s="41"/>
      <c r="E28" s="35"/>
      <c r="F28" s="35"/>
      <c r="G28" s="35"/>
      <c r="H28" s="127" t="str">
        <f>Calculation!A14</f>
        <v>POMMIER Corinne</v>
      </c>
      <c r="I28" s="134">
        <f>Calculation!E14</f>
        <v>0</v>
      </c>
      <c r="J28" s="138">
        <f>Calculation!G14</f>
        <v>0</v>
      </c>
      <c r="K28" s="133">
        <f>Calculation!E14</f>
        <v>0</v>
      </c>
      <c r="L28" s="73">
        <f>Calculation!D14</f>
        <v>0</v>
      </c>
      <c r="M28" s="73">
        <f>Calculation!C14</f>
        <v>0</v>
      </c>
      <c r="N28" s="73">
        <f>Calculation!B14</f>
        <v>26</v>
      </c>
      <c r="O28" s="51">
        <f>Calculation!F14</f>
        <v>26</v>
      </c>
      <c r="P28" s="35"/>
      <c r="Q28" s="35"/>
      <c r="R28" s="35"/>
      <c r="S28" s="43"/>
      <c r="AF28" s="11"/>
    </row>
    <row r="29" spans="1:32" ht="15" customHeight="1">
      <c r="A29" s="264"/>
      <c r="B29" s="35"/>
      <c r="C29" s="35"/>
      <c r="D29" s="41"/>
      <c r="E29" s="35"/>
      <c r="F29" s="35"/>
      <c r="G29" s="35"/>
      <c r="H29" s="128" t="str">
        <f>Calculation!A15</f>
        <v>BIGNET Karel</v>
      </c>
      <c r="I29" s="135">
        <f>Calculation!E15</f>
        <v>0</v>
      </c>
      <c r="J29" s="137">
        <f>Calculation!G15</f>
        <v>0</v>
      </c>
      <c r="K29" s="132">
        <f>Calculation!E15</f>
        <v>0</v>
      </c>
      <c r="L29" s="119">
        <f>Calculation!D15</f>
        <v>0</v>
      </c>
      <c r="M29" s="119">
        <f>Calculation!C15</f>
        <v>0</v>
      </c>
      <c r="N29" s="119">
        <f>Calculation!B15</f>
        <v>39</v>
      </c>
      <c r="O29" s="122">
        <f>Calculation!F15</f>
        <v>39</v>
      </c>
      <c r="P29" s="35"/>
      <c r="Q29" s="35"/>
      <c r="R29" s="35"/>
      <c r="S29" s="43"/>
      <c r="AF29" s="11"/>
    </row>
    <row r="30" spans="1:32" ht="15" customHeight="1">
      <c r="A30" s="264"/>
      <c r="B30" s="35"/>
      <c r="C30" s="35"/>
      <c r="D30" s="35"/>
      <c r="E30" s="35"/>
      <c r="F30" s="35"/>
      <c r="G30" s="35"/>
      <c r="H30" s="127" t="str">
        <f>Calculation!A16</f>
        <v>FOUCAUD Pauline</v>
      </c>
      <c r="I30" s="134">
        <f>Calculation!E16</f>
        <v>0</v>
      </c>
      <c r="J30" s="138">
        <f>Calculation!G16</f>
        <v>0</v>
      </c>
      <c r="K30" s="133">
        <f>Calculation!E16</f>
        <v>0</v>
      </c>
      <c r="L30" s="73">
        <f>Calculation!D16</f>
        <v>0</v>
      </c>
      <c r="M30" s="73">
        <f>Calculation!C16</f>
        <v>0</v>
      </c>
      <c r="N30" s="73">
        <f>Calculation!B16</f>
        <v>29</v>
      </c>
      <c r="O30" s="51">
        <f>Calculation!F16</f>
        <v>29</v>
      </c>
      <c r="P30" s="35"/>
      <c r="Q30" s="35"/>
      <c r="R30" s="35"/>
      <c r="S30" s="43"/>
      <c r="AF30" s="11"/>
    </row>
    <row r="31" spans="1:32" ht="15" customHeight="1">
      <c r="A31" s="265"/>
      <c r="B31" s="42"/>
      <c r="C31" s="42"/>
      <c r="D31" s="35"/>
      <c r="E31" s="42"/>
      <c r="F31" s="35"/>
      <c r="G31" s="42"/>
      <c r="H31" s="127" t="str">
        <f>Calculation!A17</f>
        <v>FEREY Laurent</v>
      </c>
      <c r="I31" s="134">
        <f>Calculation!E17</f>
        <v>0</v>
      </c>
      <c r="J31" s="138">
        <f>Calculation!G17</f>
        <v>0</v>
      </c>
      <c r="K31" s="133">
        <f>Calculation!E17</f>
        <v>0</v>
      </c>
      <c r="L31" s="73">
        <f>Calculation!D17</f>
        <v>0</v>
      </c>
      <c r="M31" s="73">
        <f>Calculation!C17</f>
        <v>0</v>
      </c>
      <c r="N31" s="73">
        <f>Calculation!B17</f>
        <v>51</v>
      </c>
      <c r="O31" s="51">
        <f>Calculation!F17</f>
        <v>51</v>
      </c>
      <c r="P31" s="35"/>
      <c r="Q31" s="35"/>
      <c r="R31" s="35"/>
      <c r="S31" s="43"/>
      <c r="AF31" s="11"/>
    </row>
    <row r="32" spans="1:32" ht="15" customHeight="1">
      <c r="A32" s="264"/>
      <c r="B32" s="35"/>
      <c r="C32" s="35"/>
      <c r="D32" s="35"/>
      <c r="E32" s="35"/>
      <c r="F32" s="35"/>
      <c r="G32" s="35"/>
      <c r="H32" s="127" t="str">
        <f>Calculation!A18</f>
        <v>DELOHEN Barbara</v>
      </c>
      <c r="I32" s="140">
        <f>Calculation!E18</f>
        <v>0</v>
      </c>
      <c r="J32" s="141">
        <f>Calculation!G18</f>
        <v>0</v>
      </c>
      <c r="K32" s="133">
        <f>Calculation!E18</f>
        <v>0</v>
      </c>
      <c r="L32" s="73">
        <f>Calculation!D18</f>
        <v>0</v>
      </c>
      <c r="M32" s="73">
        <f>Calculation!C18</f>
        <v>0</v>
      </c>
      <c r="N32" s="73">
        <f>Calculation!B18</f>
        <v>25</v>
      </c>
      <c r="O32" s="51">
        <f>Calculation!F18</f>
        <v>25</v>
      </c>
      <c r="P32" s="35"/>
      <c r="Q32" s="35"/>
      <c r="R32" s="35"/>
      <c r="S32" s="43"/>
      <c r="AF32" s="11"/>
    </row>
    <row r="33" spans="1:32" ht="15" customHeight="1">
      <c r="A33" s="264"/>
      <c r="B33" s="35"/>
      <c r="C33" s="35"/>
      <c r="D33" s="35"/>
      <c r="E33" s="35"/>
      <c r="F33" s="35"/>
      <c r="G33" s="35"/>
      <c r="H33" s="127" t="str">
        <f>Calculation!A19</f>
        <v>RORATO Frederic</v>
      </c>
      <c r="I33" s="140">
        <f>Calculation!E19</f>
        <v>0</v>
      </c>
      <c r="J33" s="141">
        <f>Calculation!G19</f>
        <v>0</v>
      </c>
      <c r="K33" s="133">
        <f>Calculation!E19</f>
        <v>0</v>
      </c>
      <c r="L33" s="73">
        <f>Calculation!D19</f>
        <v>0</v>
      </c>
      <c r="M33" s="73">
        <f>Calculation!C19</f>
        <v>0</v>
      </c>
      <c r="N33" s="73">
        <f>Calculation!B19</f>
        <v>25</v>
      </c>
      <c r="O33" s="51">
        <f>Calculation!F19</f>
        <v>25</v>
      </c>
      <c r="P33" s="35"/>
      <c r="Q33" s="35"/>
      <c r="R33" s="35"/>
      <c r="S33" s="43"/>
      <c r="AF33" s="11"/>
    </row>
    <row r="34" spans="1:32" ht="15" customHeight="1">
      <c r="A34" s="264"/>
      <c r="B34" s="35"/>
      <c r="C34" s="35"/>
      <c r="D34" s="35"/>
      <c r="E34" s="35"/>
      <c r="F34" s="35"/>
      <c r="G34" s="35"/>
      <c r="H34" s="127" t="str">
        <f>Calculation!A20</f>
        <v xml:space="preserve">LEMAIGNEN Pierre </v>
      </c>
      <c r="I34" s="140">
        <f>Calculation!E20</f>
        <v>0</v>
      </c>
      <c r="J34" s="141">
        <f>Calculation!G20</f>
        <v>0</v>
      </c>
      <c r="K34" s="133">
        <f>Calculation!E20</f>
        <v>0</v>
      </c>
      <c r="L34" s="73">
        <f>Calculation!D20</f>
        <v>0</v>
      </c>
      <c r="M34" s="73">
        <f>Calculation!C20</f>
        <v>0</v>
      </c>
      <c r="N34" s="73">
        <f>Calculation!B20</f>
        <v>21</v>
      </c>
      <c r="O34" s="51">
        <f>Calculation!F20</f>
        <v>21</v>
      </c>
      <c r="P34" s="35"/>
      <c r="Q34" s="35"/>
      <c r="R34" s="35"/>
      <c r="S34" s="43"/>
      <c r="AF34" s="11"/>
    </row>
    <row r="35" spans="1:32" ht="15" customHeight="1">
      <c r="A35" s="264"/>
      <c r="B35" s="35"/>
      <c r="C35" s="35"/>
      <c r="D35" s="35"/>
      <c r="E35" s="35"/>
      <c r="F35" s="35"/>
      <c r="G35" s="35"/>
      <c r="H35" s="127">
        <f>Calculation!A21</f>
        <v>0</v>
      </c>
      <c r="I35" s="140">
        <f>Calculation!E21</f>
        <v>0</v>
      </c>
      <c r="J35" s="141" t="str">
        <f>Calculation!G21</f>
        <v/>
      </c>
      <c r="K35" s="133">
        <f>Calculation!E21</f>
        <v>0</v>
      </c>
      <c r="L35" s="73">
        <f>Calculation!D21</f>
        <v>0</v>
      </c>
      <c r="M35" s="73">
        <f>Calculation!C21</f>
        <v>0</v>
      </c>
      <c r="N35" s="73">
        <f>Calculation!B21</f>
        <v>0</v>
      </c>
      <c r="O35" s="51" t="str">
        <f>Calculation!F21</f>
        <v/>
      </c>
      <c r="P35" s="35"/>
      <c r="Q35" s="35"/>
      <c r="R35" s="35"/>
      <c r="S35" s="43"/>
      <c r="AF35" s="11"/>
    </row>
    <row r="36" spans="1:32" ht="15" customHeight="1">
      <c r="A36" s="264"/>
      <c r="B36" s="35"/>
      <c r="C36" s="35"/>
      <c r="D36" s="35"/>
      <c r="E36" s="35"/>
      <c r="F36" s="35"/>
      <c r="G36" s="35"/>
      <c r="H36" s="127">
        <f>Calculation!A22</f>
        <v>0</v>
      </c>
      <c r="I36" s="140">
        <f>Calculation!E22</f>
        <v>0</v>
      </c>
      <c r="J36" s="141" t="str">
        <f>Calculation!G22</f>
        <v/>
      </c>
      <c r="K36" s="133">
        <f>Calculation!E22</f>
        <v>0</v>
      </c>
      <c r="L36" s="73">
        <f>Calculation!D22</f>
        <v>0</v>
      </c>
      <c r="M36" s="73">
        <f>Calculation!C22</f>
        <v>0</v>
      </c>
      <c r="N36" s="73">
        <f>Calculation!B22</f>
        <v>0</v>
      </c>
      <c r="O36" s="51" t="str">
        <f>Calculation!F22</f>
        <v/>
      </c>
      <c r="P36" s="35"/>
      <c r="Q36" s="35"/>
      <c r="R36" s="35"/>
      <c r="S36" s="43"/>
      <c r="AF36" s="11"/>
    </row>
    <row r="37" spans="1:32" ht="15" customHeight="1">
      <c r="A37" s="264"/>
      <c r="B37" s="35"/>
      <c r="C37" s="35"/>
      <c r="D37" s="35"/>
      <c r="E37" s="35"/>
      <c r="F37" s="35"/>
      <c r="G37" s="35"/>
      <c r="H37" s="127">
        <f>Calculation!A23</f>
        <v>0</v>
      </c>
      <c r="I37" s="140">
        <f>Calculation!E23</f>
        <v>0</v>
      </c>
      <c r="J37" s="141" t="str">
        <f>Calculation!G23</f>
        <v/>
      </c>
      <c r="K37" s="133">
        <f>Calculation!E23</f>
        <v>0</v>
      </c>
      <c r="L37" s="73">
        <f>Calculation!D23</f>
        <v>0</v>
      </c>
      <c r="M37" s="73">
        <f>Calculation!C23</f>
        <v>0</v>
      </c>
      <c r="N37" s="73">
        <f>Calculation!B23</f>
        <v>0</v>
      </c>
      <c r="O37" s="51" t="str">
        <f>Calculation!F23</f>
        <v/>
      </c>
      <c r="P37" s="35"/>
      <c r="Q37" s="35"/>
      <c r="R37" s="35"/>
      <c r="S37" s="43"/>
      <c r="AF37" s="11"/>
    </row>
    <row r="38" spans="1:32" ht="15" customHeight="1">
      <c r="A38" s="264"/>
      <c r="B38" s="35"/>
      <c r="C38" s="35"/>
      <c r="D38" s="35"/>
      <c r="E38" s="35"/>
      <c r="F38" s="35"/>
      <c r="G38" s="35"/>
      <c r="H38" s="127">
        <f>Calculation!A24</f>
        <v>0</v>
      </c>
      <c r="I38" s="140">
        <f>Calculation!E24</f>
        <v>0</v>
      </c>
      <c r="J38" s="141" t="str">
        <f>Calculation!G24</f>
        <v/>
      </c>
      <c r="K38" s="133">
        <f>Calculation!E24</f>
        <v>0</v>
      </c>
      <c r="L38" s="73">
        <f>Calculation!D24</f>
        <v>0</v>
      </c>
      <c r="M38" s="73">
        <f>Calculation!C24</f>
        <v>0</v>
      </c>
      <c r="N38" s="73">
        <f>Calculation!B24</f>
        <v>0</v>
      </c>
      <c r="O38" s="51" t="str">
        <f>Calculation!F24</f>
        <v/>
      </c>
      <c r="P38" s="35"/>
      <c r="Q38" s="35"/>
      <c r="R38" s="35"/>
      <c r="S38" s="43"/>
      <c r="AF38" s="11"/>
    </row>
    <row r="39" spans="1:32" ht="15" customHeight="1">
      <c r="A39" s="264"/>
      <c r="B39" s="35"/>
      <c r="C39" s="35"/>
      <c r="D39" s="35"/>
      <c r="E39" s="35"/>
      <c r="F39" s="35"/>
      <c r="G39" s="35"/>
      <c r="H39" s="127">
        <f>Calculation!A25</f>
        <v>0</v>
      </c>
      <c r="I39" s="140">
        <f>Calculation!E25</f>
        <v>0</v>
      </c>
      <c r="J39" s="141" t="str">
        <f>Calculation!G25</f>
        <v/>
      </c>
      <c r="K39" s="133">
        <f>Calculation!E25</f>
        <v>0</v>
      </c>
      <c r="L39" s="73">
        <f>Calculation!D25</f>
        <v>0</v>
      </c>
      <c r="M39" s="73">
        <f>Calculation!C25</f>
        <v>0</v>
      </c>
      <c r="N39" s="73">
        <f>Calculation!B25</f>
        <v>0</v>
      </c>
      <c r="O39" s="51" t="str">
        <f>Calculation!F25</f>
        <v/>
      </c>
      <c r="P39" s="35"/>
      <c r="Q39" s="35"/>
      <c r="R39" s="35"/>
      <c r="S39" s="43"/>
      <c r="AF39" s="11"/>
    </row>
    <row r="40" spans="1:32" ht="15" customHeight="1">
      <c r="A40" s="264"/>
      <c r="B40" s="35"/>
      <c r="C40" s="35"/>
      <c r="D40" s="35"/>
      <c r="E40" s="35"/>
      <c r="F40" s="35"/>
      <c r="G40" s="35"/>
      <c r="H40" s="127">
        <f>Calculation!A26</f>
        <v>0</v>
      </c>
      <c r="I40" s="140">
        <f>Calculation!E26</f>
        <v>0</v>
      </c>
      <c r="J40" s="141" t="str">
        <f>Calculation!G26</f>
        <v/>
      </c>
      <c r="K40" s="133">
        <f>Calculation!E26</f>
        <v>0</v>
      </c>
      <c r="L40" s="73">
        <f>Calculation!D26</f>
        <v>0</v>
      </c>
      <c r="M40" s="73">
        <f>Calculation!C26</f>
        <v>0</v>
      </c>
      <c r="N40" s="73">
        <f>Calculation!B26</f>
        <v>0</v>
      </c>
      <c r="O40" s="51" t="str">
        <f>Calculation!F26</f>
        <v/>
      </c>
      <c r="P40" s="35"/>
      <c r="Q40" s="35"/>
      <c r="R40" s="35"/>
      <c r="S40" s="43"/>
      <c r="AF40" s="11"/>
    </row>
    <row r="41" spans="1:32" ht="15" customHeight="1">
      <c r="A41" s="264"/>
      <c r="B41" s="35"/>
      <c r="C41" s="35"/>
      <c r="D41" s="35"/>
      <c r="E41" s="35"/>
      <c r="F41" s="35"/>
      <c r="G41" s="35"/>
      <c r="H41" s="127">
        <f>Calculation!A27</f>
        <v>0</v>
      </c>
      <c r="I41" s="140">
        <f>Calculation!E27</f>
        <v>0</v>
      </c>
      <c r="J41" s="141" t="str">
        <f>Calculation!G27</f>
        <v/>
      </c>
      <c r="K41" s="133">
        <f>Calculation!E27</f>
        <v>0</v>
      </c>
      <c r="L41" s="73">
        <f>Calculation!D27</f>
        <v>0</v>
      </c>
      <c r="M41" s="73">
        <f>Calculation!C27</f>
        <v>0</v>
      </c>
      <c r="N41" s="73">
        <f>Calculation!B27</f>
        <v>0</v>
      </c>
      <c r="O41" s="51" t="str">
        <f>Calculation!F27</f>
        <v/>
      </c>
      <c r="P41" s="35"/>
      <c r="Q41" s="35"/>
      <c r="R41" s="35"/>
      <c r="S41" s="43"/>
      <c r="AF41" s="11"/>
    </row>
    <row r="42" spans="1:32" ht="15" customHeight="1">
      <c r="A42" s="264"/>
      <c r="B42" s="35"/>
      <c r="C42" s="35"/>
      <c r="D42" s="35"/>
      <c r="E42" s="35"/>
      <c r="F42" s="35"/>
      <c r="G42" s="35"/>
      <c r="H42" s="127">
        <f>Calculation!A28</f>
        <v>0</v>
      </c>
      <c r="I42" s="140">
        <f>Calculation!E28</f>
        <v>0</v>
      </c>
      <c r="J42" s="141" t="str">
        <f>Calculation!G28</f>
        <v/>
      </c>
      <c r="K42" s="133">
        <f>Calculation!E28</f>
        <v>0</v>
      </c>
      <c r="L42" s="73">
        <f>Calculation!D28</f>
        <v>0</v>
      </c>
      <c r="M42" s="73">
        <f>Calculation!C28</f>
        <v>0</v>
      </c>
      <c r="N42" s="73">
        <f>Calculation!B28</f>
        <v>0</v>
      </c>
      <c r="O42" s="51" t="str">
        <f>Calculation!F28</f>
        <v/>
      </c>
      <c r="P42" s="35"/>
      <c r="Q42" s="35"/>
      <c r="R42" s="35"/>
      <c r="S42" s="43"/>
      <c r="AF42" s="11"/>
    </row>
    <row r="43" spans="1:32" ht="15" customHeight="1">
      <c r="A43" s="264"/>
      <c r="B43" s="35"/>
      <c r="C43" s="35"/>
      <c r="D43" s="35"/>
      <c r="E43" s="35"/>
      <c r="F43" s="35"/>
      <c r="G43" s="35"/>
      <c r="H43" s="127">
        <f>Calculation!A29</f>
        <v>0</v>
      </c>
      <c r="I43" s="140">
        <f>Calculation!E29</f>
        <v>0</v>
      </c>
      <c r="J43" s="141" t="str">
        <f>Calculation!G29</f>
        <v/>
      </c>
      <c r="K43" s="133">
        <f>Calculation!E29</f>
        <v>0</v>
      </c>
      <c r="L43" s="73">
        <f>Calculation!D29</f>
        <v>0</v>
      </c>
      <c r="M43" s="73">
        <f>Calculation!C29</f>
        <v>0</v>
      </c>
      <c r="N43" s="73">
        <f>Calculation!B29</f>
        <v>0</v>
      </c>
      <c r="O43" s="51" t="str">
        <f>Calculation!F29</f>
        <v/>
      </c>
      <c r="P43" s="35"/>
      <c r="Q43" s="35"/>
      <c r="R43" s="35"/>
      <c r="S43" s="43"/>
      <c r="AF43" s="11"/>
    </row>
    <row r="44" spans="1:32" ht="15" customHeight="1">
      <c r="A44" s="264"/>
      <c r="B44" s="35"/>
      <c r="C44" s="35"/>
      <c r="D44" s="35"/>
      <c r="E44" s="35"/>
      <c r="F44" s="35"/>
      <c r="G44" s="35"/>
      <c r="H44" s="127">
        <f>Calculation!A30</f>
        <v>0</v>
      </c>
      <c r="I44" s="140">
        <f>Calculation!E30</f>
        <v>0</v>
      </c>
      <c r="J44" s="141" t="str">
        <f>Calculation!G30</f>
        <v/>
      </c>
      <c r="K44" s="133">
        <f>Calculation!E30</f>
        <v>0</v>
      </c>
      <c r="L44" s="73">
        <f>Calculation!D30</f>
        <v>0</v>
      </c>
      <c r="M44" s="73">
        <f>Calculation!C30</f>
        <v>0</v>
      </c>
      <c r="N44" s="73">
        <f>Calculation!B30</f>
        <v>0</v>
      </c>
      <c r="O44" s="51" t="str">
        <f>Calculation!F30</f>
        <v/>
      </c>
      <c r="P44" s="35"/>
      <c r="Q44" s="35"/>
      <c r="R44" s="35"/>
      <c r="S44" s="43"/>
      <c r="AF44" s="11"/>
    </row>
    <row r="45" spans="1:32" ht="15" customHeight="1">
      <c r="A45" s="264"/>
      <c r="B45" s="35"/>
      <c r="C45" s="35"/>
      <c r="D45" s="35"/>
      <c r="E45" s="35"/>
      <c r="F45" s="35"/>
      <c r="G45" s="35"/>
      <c r="H45" s="127">
        <f>Calculation!A31</f>
        <v>0</v>
      </c>
      <c r="I45" s="140">
        <f>Calculation!E31</f>
        <v>0</v>
      </c>
      <c r="J45" s="141" t="str">
        <f>Calculation!G31</f>
        <v/>
      </c>
      <c r="K45" s="133">
        <f>Calculation!E31</f>
        <v>0</v>
      </c>
      <c r="L45" s="73">
        <f>Calculation!D31</f>
        <v>0</v>
      </c>
      <c r="M45" s="73">
        <f>Calculation!C31</f>
        <v>0</v>
      </c>
      <c r="N45" s="73">
        <f>Calculation!B31</f>
        <v>0</v>
      </c>
      <c r="O45" s="51" t="str">
        <f>Calculation!F31</f>
        <v/>
      </c>
      <c r="P45" s="35"/>
      <c r="Q45" s="35"/>
      <c r="R45" s="35"/>
      <c r="S45" s="43"/>
      <c r="AF45" s="11"/>
    </row>
    <row r="46" spans="1:32" ht="15" customHeight="1">
      <c r="A46" s="264"/>
      <c r="B46" s="35"/>
      <c r="C46" s="35"/>
      <c r="D46" s="35"/>
      <c r="E46" s="35"/>
      <c r="F46" s="35"/>
      <c r="G46" s="35"/>
      <c r="H46" s="127">
        <f>Calculation!A32</f>
        <v>0</v>
      </c>
      <c r="I46" s="140">
        <f>Calculation!E32</f>
        <v>0</v>
      </c>
      <c r="J46" s="141" t="str">
        <f>Calculation!G32</f>
        <v/>
      </c>
      <c r="K46" s="133">
        <f>Calculation!E32</f>
        <v>0</v>
      </c>
      <c r="L46" s="73">
        <f>Calculation!D32</f>
        <v>0</v>
      </c>
      <c r="M46" s="73">
        <f>Calculation!C32</f>
        <v>0</v>
      </c>
      <c r="N46" s="73">
        <f>Calculation!B32</f>
        <v>0</v>
      </c>
      <c r="O46" s="51" t="str">
        <f>Calculation!F32</f>
        <v/>
      </c>
      <c r="P46" s="35"/>
      <c r="Q46" s="35"/>
      <c r="R46" s="35"/>
      <c r="S46" s="43"/>
      <c r="AF46" s="11"/>
    </row>
    <row r="47" spans="1:32" ht="15" customHeight="1">
      <c r="A47" s="264"/>
      <c r="B47" s="35"/>
      <c r="C47" s="35"/>
      <c r="D47" s="35"/>
      <c r="E47" s="35"/>
      <c r="F47" s="35"/>
      <c r="G47" s="35"/>
      <c r="H47" s="127">
        <f>Calculation!A33</f>
        <v>0</v>
      </c>
      <c r="I47" s="140">
        <f>Calculation!E33</f>
        <v>0</v>
      </c>
      <c r="J47" s="141" t="str">
        <f>Calculation!G33</f>
        <v/>
      </c>
      <c r="K47" s="133">
        <f>Calculation!E33</f>
        <v>0</v>
      </c>
      <c r="L47" s="73">
        <f>Calculation!D33</f>
        <v>0</v>
      </c>
      <c r="M47" s="73">
        <f>Calculation!C33</f>
        <v>0</v>
      </c>
      <c r="N47" s="73">
        <f>Calculation!B33</f>
        <v>0</v>
      </c>
      <c r="O47" s="51" t="str">
        <f>Calculation!F33</f>
        <v/>
      </c>
      <c r="P47" s="35"/>
      <c r="Q47" s="35"/>
      <c r="R47" s="35"/>
      <c r="S47" s="43"/>
      <c r="AF47" s="11"/>
    </row>
    <row r="48" spans="1:32" ht="15" customHeight="1">
      <c r="A48" s="264"/>
      <c r="B48" s="35"/>
      <c r="C48" s="35"/>
      <c r="D48" s="35"/>
      <c r="E48" s="35"/>
      <c r="F48" s="35"/>
      <c r="G48" s="35"/>
      <c r="H48" s="127">
        <f>Calculation!A34</f>
        <v>0</v>
      </c>
      <c r="I48" s="140">
        <f>Calculation!E34</f>
        <v>0</v>
      </c>
      <c r="J48" s="141" t="str">
        <f>Calculation!G34</f>
        <v/>
      </c>
      <c r="K48" s="133">
        <f>Calculation!E34</f>
        <v>0</v>
      </c>
      <c r="L48" s="73">
        <f>Calculation!D34</f>
        <v>0</v>
      </c>
      <c r="M48" s="73">
        <f>Calculation!C34</f>
        <v>0</v>
      </c>
      <c r="N48" s="73">
        <f>Calculation!B34</f>
        <v>0</v>
      </c>
      <c r="O48" s="51" t="str">
        <f>Calculation!F34</f>
        <v/>
      </c>
      <c r="P48" s="35"/>
      <c r="Q48" s="35"/>
      <c r="R48" s="35"/>
      <c r="S48" s="43"/>
      <c r="AF48" s="11"/>
    </row>
    <row r="49" spans="1:32" ht="15" customHeight="1">
      <c r="A49" s="264"/>
      <c r="B49" s="35"/>
      <c r="C49" s="35"/>
      <c r="D49" s="35"/>
      <c r="E49" s="35"/>
      <c r="F49" s="35"/>
      <c r="G49" s="35"/>
      <c r="H49" s="127">
        <f>Calculation!A35</f>
        <v>0</v>
      </c>
      <c r="I49" s="140">
        <f>Calculation!E35</f>
        <v>0</v>
      </c>
      <c r="J49" s="141" t="str">
        <f>Calculation!G35</f>
        <v/>
      </c>
      <c r="K49" s="133">
        <f>Calculation!E35</f>
        <v>0</v>
      </c>
      <c r="L49" s="73">
        <f>Calculation!D35</f>
        <v>0</v>
      </c>
      <c r="M49" s="73">
        <f>Calculation!C35</f>
        <v>0</v>
      </c>
      <c r="N49" s="73">
        <f>Calculation!B35</f>
        <v>0</v>
      </c>
      <c r="O49" s="51" t="str">
        <f>Calculation!F35</f>
        <v/>
      </c>
      <c r="P49" s="35"/>
      <c r="Q49" s="35"/>
      <c r="R49" s="35"/>
      <c r="S49" s="43"/>
      <c r="AF49" s="11"/>
    </row>
    <row r="50" spans="1:32" ht="15" customHeight="1">
      <c r="A50" s="264"/>
      <c r="B50" s="35"/>
      <c r="C50" s="35"/>
      <c r="D50" s="35"/>
      <c r="E50" s="35"/>
      <c r="F50" s="35"/>
      <c r="G50" s="35"/>
      <c r="H50" s="127">
        <f>Calculation!A36</f>
        <v>0</v>
      </c>
      <c r="I50" s="140">
        <f>Calculation!E36</f>
        <v>0</v>
      </c>
      <c r="J50" s="141" t="str">
        <f>Calculation!G36</f>
        <v/>
      </c>
      <c r="K50" s="133">
        <f>Calculation!E36</f>
        <v>0</v>
      </c>
      <c r="L50" s="73">
        <f>Calculation!D36</f>
        <v>0</v>
      </c>
      <c r="M50" s="73">
        <f>Calculation!C36</f>
        <v>0</v>
      </c>
      <c r="N50" s="73">
        <f>Calculation!B36</f>
        <v>0</v>
      </c>
      <c r="O50" s="51" t="str">
        <f>Calculation!F36</f>
        <v/>
      </c>
      <c r="P50" s="35"/>
      <c r="Q50" s="35"/>
      <c r="R50" s="35"/>
      <c r="S50" s="43"/>
      <c r="AF50" s="11"/>
    </row>
    <row r="51" spans="1:32" ht="15" customHeight="1">
      <c r="A51" s="264"/>
      <c r="B51" s="35"/>
      <c r="C51" s="35"/>
      <c r="D51" s="35"/>
      <c r="E51" s="35"/>
      <c r="F51" s="35"/>
      <c r="G51" s="35"/>
      <c r="H51" s="127">
        <f>Calculation!A37</f>
        <v>0</v>
      </c>
      <c r="I51" s="140">
        <f>Calculation!E37</f>
        <v>0</v>
      </c>
      <c r="J51" s="141" t="str">
        <f>Calculation!G37</f>
        <v/>
      </c>
      <c r="K51" s="133">
        <f>Calculation!E37</f>
        <v>0</v>
      </c>
      <c r="L51" s="73">
        <f>Calculation!D37</f>
        <v>0</v>
      </c>
      <c r="M51" s="73">
        <f>Calculation!C37</f>
        <v>0</v>
      </c>
      <c r="N51" s="73">
        <f>Calculation!B37</f>
        <v>0</v>
      </c>
      <c r="O51" s="51" t="str">
        <f>Calculation!F37</f>
        <v/>
      </c>
      <c r="P51" s="35"/>
      <c r="Q51" s="35"/>
      <c r="R51" s="35"/>
      <c r="S51" s="43"/>
      <c r="AF51" s="11"/>
    </row>
    <row r="52" spans="1:32" ht="15" customHeight="1">
      <c r="A52" s="263"/>
      <c r="B52" s="35"/>
      <c r="C52" s="35"/>
      <c r="D52" s="35"/>
      <c r="E52" s="35"/>
      <c r="F52" s="35"/>
      <c r="G52" s="35"/>
      <c r="H52" s="129" t="str">
        <f>Calculation!A38</f>
        <v>Total</v>
      </c>
      <c r="I52" s="142">
        <f>Calculation!E38</f>
        <v>0</v>
      </c>
      <c r="J52" s="226">
        <f>Calculation!G38</f>
        <v>2.2075055187637969E-3</v>
      </c>
      <c r="K52" s="131">
        <f>Calculation!E38</f>
        <v>0</v>
      </c>
      <c r="L52" s="74">
        <f>Calculation!D38</f>
        <v>1</v>
      </c>
      <c r="M52" s="97">
        <f>Calculation!C38</f>
        <v>8</v>
      </c>
      <c r="N52" s="120">
        <f>Calculation!B38</f>
        <v>444</v>
      </c>
      <c r="O52" s="123">
        <f>Calculation!F38</f>
        <v>453</v>
      </c>
      <c r="P52" s="35"/>
      <c r="Q52" s="35"/>
      <c r="R52" s="35"/>
      <c r="S52" s="43"/>
      <c r="AF52" s="11"/>
    </row>
    <row r="53" spans="1:32" ht="15" customHeight="1">
      <c r="A53" s="46"/>
      <c r="B53" s="35"/>
      <c r="C53" s="35"/>
      <c r="D53" s="35"/>
      <c r="E53" s="35"/>
      <c r="F53" s="35"/>
      <c r="G53" s="35"/>
      <c r="H53" s="32"/>
      <c r="I53" s="32"/>
      <c r="J53" s="32"/>
      <c r="K53" s="32"/>
      <c r="L53" s="32"/>
      <c r="M53" s="32"/>
      <c r="N53" s="32"/>
      <c r="O53" s="35"/>
      <c r="P53" s="35"/>
      <c r="Q53" s="35"/>
      <c r="R53" s="35"/>
      <c r="S53" s="43"/>
      <c r="AF53" s="11"/>
    </row>
    <row r="54" spans="1:32" ht="15" customHeight="1">
      <c r="A54" s="46"/>
      <c r="B54" s="35"/>
      <c r="C54" s="35"/>
      <c r="D54" s="35"/>
      <c r="E54" s="35"/>
      <c r="F54" s="35"/>
      <c r="G54" s="35"/>
      <c r="H54" s="32"/>
      <c r="I54" s="32"/>
      <c r="J54" s="32"/>
      <c r="K54" s="32"/>
      <c r="L54" s="32"/>
      <c r="M54" s="32"/>
      <c r="N54" s="32"/>
      <c r="O54" s="35"/>
      <c r="P54" s="35"/>
      <c r="Q54" s="35"/>
      <c r="R54" s="35"/>
      <c r="S54" s="43"/>
      <c r="AF54" s="11"/>
    </row>
    <row r="55" spans="1:32" ht="15" customHeight="1">
      <c r="A55" s="46"/>
      <c r="B55" s="35"/>
      <c r="C55" s="35"/>
      <c r="D55" s="35"/>
      <c r="E55" s="35"/>
      <c r="F55" s="35"/>
      <c r="G55" s="35"/>
      <c r="H55" s="32"/>
      <c r="I55" s="32"/>
      <c r="J55" s="32"/>
      <c r="K55" s="32"/>
      <c r="L55" s="32"/>
      <c r="M55" s="32"/>
      <c r="N55" s="32"/>
      <c r="O55" s="35"/>
      <c r="P55" s="35"/>
      <c r="Q55" s="35"/>
      <c r="R55" s="35"/>
      <c r="S55" s="43"/>
      <c r="AF55" s="11"/>
    </row>
    <row r="56" spans="1:32" ht="15" customHeight="1">
      <c r="A56" s="46"/>
      <c r="B56" s="35"/>
      <c r="C56" s="35"/>
      <c r="D56" s="35"/>
      <c r="E56" s="35"/>
      <c r="F56" s="35"/>
      <c r="G56" s="35"/>
      <c r="H56" s="32"/>
      <c r="I56" s="32"/>
      <c r="J56" s="32"/>
      <c r="K56" s="32"/>
      <c r="L56" s="32"/>
      <c r="M56" s="32"/>
      <c r="N56" s="32"/>
      <c r="O56" s="35"/>
      <c r="P56" s="35"/>
      <c r="Q56" s="35"/>
      <c r="R56" s="35"/>
      <c r="S56" s="43"/>
      <c r="AF56" s="11"/>
    </row>
    <row r="57" spans="1:32" ht="20.149999999999999" customHeight="1">
      <c r="A57" s="346" t="s">
        <v>710</v>
      </c>
      <c r="B57" s="347"/>
      <c r="C57" s="347"/>
      <c r="D57" s="347"/>
      <c r="E57" s="347"/>
      <c r="F57" s="348"/>
      <c r="G57" s="35"/>
      <c r="H57" s="346" t="s">
        <v>712</v>
      </c>
      <c r="I57" s="347"/>
      <c r="J57" s="347"/>
      <c r="K57" s="347"/>
      <c r="L57" s="347"/>
      <c r="M57" s="347"/>
      <c r="N57" s="347"/>
      <c r="O57" s="347"/>
      <c r="P57" s="347"/>
      <c r="Q57" s="347"/>
      <c r="R57" s="348"/>
      <c r="S57" s="43"/>
      <c r="AF57" s="11"/>
    </row>
    <row r="58" spans="1:32" ht="15" customHeight="1">
      <c r="A58" s="352" t="str">
        <f>Calculation!I3</f>
        <v>CS-001-1 AIRCRAFT MAINTENANCE</v>
      </c>
      <c r="B58" s="353"/>
      <c r="C58" s="353"/>
      <c r="D58" s="354"/>
      <c r="E58" s="222">
        <f>Calculation!N3</f>
        <v>30</v>
      </c>
      <c r="F58" s="218"/>
      <c r="G58" s="35"/>
      <c r="H58" s="352" t="str">
        <f>Calculation!I6</f>
        <v>CS-002-1 COMPONENT MAINTENANCE</v>
      </c>
      <c r="I58" s="353"/>
      <c r="J58" s="353"/>
      <c r="K58" s="354"/>
      <c r="L58" s="222">
        <f>Calculation!N6</f>
        <v>357</v>
      </c>
      <c r="M58" s="219"/>
      <c r="N58" s="220"/>
      <c r="O58" s="220"/>
      <c r="P58" s="220"/>
      <c r="Q58" s="220"/>
      <c r="R58" s="218"/>
      <c r="S58" s="43"/>
      <c r="AF58" s="11"/>
    </row>
    <row r="59" spans="1:32" ht="15" customHeight="1">
      <c r="A59" s="355" t="str">
        <f>Calculation!I4</f>
        <v>CS-001-5 SPECIAL MAINTENANCE SERVICES</v>
      </c>
      <c r="B59" s="356"/>
      <c r="C59" s="356"/>
      <c r="D59" s="357"/>
      <c r="E59" s="222">
        <f>Calculation!N4</f>
        <v>5</v>
      </c>
      <c r="F59" s="218"/>
      <c r="G59" s="35"/>
      <c r="H59" s="352" t="str">
        <f>Calculation!I7</f>
        <v>CS-002-O ORDERING SITE FOR COMPONENT MAINTENANCE</v>
      </c>
      <c r="I59" s="353"/>
      <c r="J59" s="353"/>
      <c r="K59" s="354"/>
      <c r="L59" s="222">
        <f>Calculation!N7</f>
        <v>22</v>
      </c>
      <c r="M59" s="219"/>
      <c r="N59" s="220"/>
      <c r="O59" s="220"/>
      <c r="P59" s="220"/>
      <c r="Q59" s="220"/>
      <c r="R59" s="218"/>
      <c r="S59" s="43"/>
      <c r="AF59" s="11"/>
    </row>
    <row r="60" spans="1:32" ht="15" customHeight="1">
      <c r="A60" s="355" t="str">
        <f>Calculation!I5</f>
        <v>CS-001-O ORDERING SITE FOR AIRCRAFT MAINTENANCE</v>
      </c>
      <c r="B60" s="356"/>
      <c r="C60" s="356"/>
      <c r="D60" s="357"/>
      <c r="E60" s="222">
        <f>Calculation!N5</f>
        <v>2</v>
      </c>
      <c r="F60" s="218"/>
      <c r="G60" s="35"/>
      <c r="H60" s="352" t="str">
        <f>Calculation!I8</f>
        <v>CS-002-C A220 SPECIFIC COMPONENT MAINTENANCE</v>
      </c>
      <c r="I60" s="353"/>
      <c r="J60" s="353"/>
      <c r="K60" s="354"/>
      <c r="L60" s="222">
        <f>Calculation!N8</f>
        <v>0</v>
      </c>
      <c r="M60" s="220"/>
      <c r="N60" s="220"/>
      <c r="O60" s="220"/>
      <c r="P60" s="220"/>
      <c r="Q60" s="220"/>
      <c r="R60" s="218"/>
      <c r="S60" s="43"/>
      <c r="AF60" s="11"/>
    </row>
    <row r="61" spans="1:32" ht="15" customHeight="1">
      <c r="A61" s="346"/>
      <c r="B61" s="347"/>
      <c r="C61" s="347"/>
      <c r="D61" s="347"/>
      <c r="E61" s="347"/>
      <c r="F61" s="358"/>
      <c r="G61" s="35"/>
      <c r="H61" s="219"/>
      <c r="I61" s="220"/>
      <c r="J61" s="220"/>
      <c r="K61" s="220"/>
      <c r="L61" s="220"/>
      <c r="M61" s="220"/>
      <c r="N61" s="220"/>
      <c r="O61" s="220"/>
      <c r="P61" s="220"/>
      <c r="Q61" s="220"/>
      <c r="R61" s="218"/>
      <c r="S61" s="43"/>
      <c r="AF61" s="11"/>
    </row>
    <row r="62" spans="1:32" ht="15" customHeight="1">
      <c r="A62" s="46"/>
      <c r="B62" s="35"/>
      <c r="C62" s="35"/>
      <c r="D62" s="35"/>
      <c r="E62" s="35"/>
      <c r="F62" s="35"/>
      <c r="G62" s="35"/>
      <c r="H62" s="32"/>
      <c r="I62" s="32"/>
      <c r="J62" s="32"/>
      <c r="K62" s="32"/>
      <c r="L62" s="32"/>
      <c r="M62" s="32"/>
      <c r="N62" s="32"/>
      <c r="O62" s="35"/>
      <c r="P62" s="35"/>
      <c r="Q62" s="35"/>
      <c r="R62" s="35"/>
      <c r="S62" s="43"/>
      <c r="AF62" s="11"/>
    </row>
    <row r="63" spans="1:32" ht="15" customHeight="1">
      <c r="A63" s="46"/>
      <c r="B63" s="35"/>
      <c r="C63" s="35"/>
      <c r="D63" s="35"/>
      <c r="E63" s="35"/>
      <c r="F63" s="35"/>
      <c r="G63" s="35"/>
      <c r="H63" s="32"/>
      <c r="I63" s="32"/>
      <c r="J63" s="32"/>
      <c r="K63" s="32"/>
      <c r="L63" s="32"/>
      <c r="M63" s="32"/>
      <c r="N63" s="32"/>
      <c r="O63" s="35"/>
      <c r="P63" s="35"/>
      <c r="Q63" s="35"/>
      <c r="R63" s="35"/>
      <c r="S63" s="43"/>
      <c r="AF63" s="11"/>
    </row>
    <row r="64" spans="1:32" ht="15" customHeight="1">
      <c r="A64" s="35"/>
      <c r="B64" s="35"/>
      <c r="C64" s="35"/>
      <c r="D64" s="35"/>
      <c r="E64" s="35"/>
      <c r="F64" s="35"/>
      <c r="G64" s="35"/>
      <c r="H64" s="32"/>
      <c r="I64" s="32"/>
      <c r="J64" s="32"/>
      <c r="K64" s="32"/>
      <c r="L64" s="32"/>
      <c r="M64" s="32"/>
      <c r="N64" s="32"/>
      <c r="O64" s="35"/>
      <c r="P64" s="35"/>
      <c r="Q64" s="35"/>
      <c r="R64" s="35"/>
      <c r="S64" s="43"/>
      <c r="AF64" s="11"/>
    </row>
    <row r="65" spans="1:32" ht="15" customHeight="1">
      <c r="A65" s="35"/>
      <c r="B65" s="35"/>
      <c r="C65" s="35"/>
      <c r="D65" s="35"/>
      <c r="E65" s="35"/>
      <c r="F65" s="35"/>
      <c r="G65" s="35"/>
      <c r="H65" s="32"/>
      <c r="I65" s="32"/>
      <c r="J65" s="32"/>
      <c r="K65" s="32"/>
      <c r="L65" s="32"/>
      <c r="M65" s="32"/>
      <c r="N65" s="32"/>
      <c r="O65" s="35"/>
      <c r="P65" s="35"/>
      <c r="Q65" s="35"/>
      <c r="R65" s="35"/>
      <c r="S65" s="43"/>
      <c r="AF65" s="11"/>
    </row>
    <row r="66" spans="1:32" ht="15" customHeight="1">
      <c r="A66" s="35"/>
      <c r="B66" s="35"/>
      <c r="C66" s="35"/>
      <c r="D66" s="35"/>
      <c r="E66" s="35"/>
      <c r="F66" s="35"/>
      <c r="G66" s="35"/>
      <c r="H66" s="32"/>
      <c r="I66" s="32"/>
      <c r="J66" s="32"/>
      <c r="K66" s="32"/>
      <c r="L66" s="32"/>
      <c r="M66" s="32"/>
      <c r="N66" s="32"/>
      <c r="O66" s="35"/>
      <c r="P66" s="35"/>
      <c r="Q66" s="35"/>
      <c r="R66" s="35"/>
      <c r="S66" s="43"/>
      <c r="AF66" s="11"/>
    </row>
    <row r="67" spans="1:32" ht="15" customHeight="1">
      <c r="A67" s="349"/>
      <c r="B67" s="350"/>
      <c r="C67" s="350"/>
      <c r="D67" s="350"/>
      <c r="E67" s="350"/>
      <c r="F67" s="351"/>
      <c r="G67" s="35"/>
      <c r="H67" s="349"/>
      <c r="I67" s="350"/>
      <c r="J67" s="350"/>
      <c r="K67" s="350"/>
      <c r="L67" s="350"/>
      <c r="M67" s="350"/>
      <c r="N67" s="350"/>
      <c r="O67" s="350"/>
      <c r="P67" s="350"/>
      <c r="Q67" s="350"/>
      <c r="R67" s="351"/>
      <c r="S67" s="43"/>
      <c r="AF67" s="11"/>
    </row>
    <row r="68" spans="1:32" ht="20.149999999999999" customHeight="1">
      <c r="A68" s="35"/>
      <c r="B68" s="35"/>
      <c r="C68" s="35"/>
      <c r="D68" s="35"/>
      <c r="E68" s="35"/>
      <c r="F68" s="35"/>
      <c r="G68" s="35"/>
      <c r="H68" s="32"/>
      <c r="I68" s="32"/>
      <c r="J68" s="32"/>
      <c r="K68" s="32"/>
      <c r="L68" s="32"/>
      <c r="M68" s="32"/>
      <c r="N68" s="32"/>
      <c r="O68" s="35"/>
      <c r="P68" s="35"/>
      <c r="Q68" s="35"/>
      <c r="R68" s="35"/>
      <c r="S68" s="43"/>
      <c r="AF68" s="11"/>
    </row>
    <row r="69" spans="1:32" ht="20.149999999999999" customHeight="1">
      <c r="A69" s="346" t="s">
        <v>711</v>
      </c>
      <c r="B69" s="347"/>
      <c r="C69" s="347"/>
      <c r="D69" s="347"/>
      <c r="E69" s="347"/>
      <c r="F69" s="348"/>
      <c r="G69" s="35"/>
      <c r="H69" s="346" t="s">
        <v>789</v>
      </c>
      <c r="I69" s="347"/>
      <c r="J69" s="347"/>
      <c r="K69" s="347"/>
      <c r="L69" s="347"/>
      <c r="M69" s="347"/>
      <c r="N69" s="347"/>
      <c r="O69" s="347"/>
      <c r="P69" s="347"/>
      <c r="Q69" s="347"/>
      <c r="R69" s="348"/>
      <c r="S69" s="158"/>
      <c r="AF69" s="11"/>
    </row>
    <row r="70" spans="1:32" ht="15" customHeight="1">
      <c r="A70" s="352" t="str">
        <f>Calculation!I9</f>
        <v>CS-001-3 AIRCRAFT MAINTENANCE TASK SUBCONTRACTING</v>
      </c>
      <c r="B70" s="353"/>
      <c r="C70" s="353"/>
      <c r="D70" s="354"/>
      <c r="E70" s="222">
        <f>Calculation!N9</f>
        <v>2</v>
      </c>
      <c r="F70" s="221"/>
      <c r="G70" s="35"/>
      <c r="H70" s="352" t="str">
        <f>Calculation!I15</f>
        <v>CS-009-1 ACJ VIP CABIN COMPLETION</v>
      </c>
      <c r="I70" s="353"/>
      <c r="J70" s="353"/>
      <c r="K70" s="354"/>
      <c r="L70" s="222">
        <f>Calculation!N15</f>
        <v>5</v>
      </c>
      <c r="M70" s="219"/>
      <c r="N70" s="220"/>
      <c r="O70" s="220"/>
      <c r="P70" s="220"/>
      <c r="Q70" s="220"/>
      <c r="R70" s="218"/>
      <c r="S70" s="43"/>
      <c r="AF70" s="11"/>
    </row>
    <row r="71" spans="1:32" ht="15" customHeight="1">
      <c r="A71" s="352" t="str">
        <f>Calculation!I10</f>
        <v>CS-002-3 COMPONENT MAINTENANCE TASK SUBCONTRACTING</v>
      </c>
      <c r="B71" s="353"/>
      <c r="C71" s="353"/>
      <c r="D71" s="354"/>
      <c r="E71" s="222">
        <f>Calculation!N10</f>
        <v>0</v>
      </c>
      <c r="F71" s="221"/>
      <c r="G71" s="35"/>
      <c r="H71" s="352" t="str">
        <f>Calculation!I16</f>
        <v>CS-009-2 ACJ SERVICE CENTER NETWORK</v>
      </c>
      <c r="I71" s="353"/>
      <c r="J71" s="353"/>
      <c r="K71" s="354"/>
      <c r="L71" s="222">
        <f>Calculation!N16</f>
        <v>4</v>
      </c>
      <c r="M71" s="219"/>
      <c r="N71" s="220"/>
      <c r="O71" s="220"/>
      <c r="P71" s="220"/>
      <c r="Q71" s="220"/>
      <c r="R71" s="218"/>
      <c r="S71" s="43"/>
      <c r="AF71" s="11"/>
    </row>
    <row r="72" spans="1:32" ht="15" customHeight="1">
      <c r="A72" s="346"/>
      <c r="B72" s="347"/>
      <c r="C72" s="347"/>
      <c r="D72" s="347"/>
      <c r="E72" s="347"/>
      <c r="F72" s="358"/>
      <c r="G72" s="35"/>
      <c r="H72" s="219"/>
      <c r="I72" s="220"/>
      <c r="J72" s="220"/>
      <c r="K72" s="220"/>
      <c r="L72" s="220"/>
      <c r="M72" s="220"/>
      <c r="N72" s="220"/>
      <c r="O72" s="220"/>
      <c r="P72" s="220"/>
      <c r="Q72" s="220"/>
      <c r="R72" s="218"/>
      <c r="S72" s="43"/>
      <c r="AF72" s="11"/>
    </row>
    <row r="73" spans="1:32" ht="15" customHeight="1">
      <c r="A73" s="46"/>
      <c r="B73" s="35"/>
      <c r="C73" s="35"/>
      <c r="D73" s="35"/>
      <c r="E73" s="35"/>
      <c r="F73" s="35"/>
      <c r="G73" s="35"/>
      <c r="H73" s="32"/>
      <c r="I73" s="32"/>
      <c r="J73" s="32"/>
      <c r="K73" s="32"/>
      <c r="L73" s="32"/>
      <c r="M73" s="32"/>
      <c r="N73" s="32"/>
      <c r="O73" s="35"/>
      <c r="P73" s="35"/>
      <c r="Q73" s="35"/>
      <c r="R73" s="35"/>
      <c r="S73" s="43"/>
      <c r="AF73" s="11"/>
    </row>
    <row r="74" spans="1:32" ht="15" customHeight="1">
      <c r="A74" s="46"/>
      <c r="B74" s="35"/>
      <c r="C74" s="35"/>
      <c r="D74" s="35"/>
      <c r="E74" s="35"/>
      <c r="F74" s="35"/>
      <c r="G74" s="35"/>
      <c r="H74" s="32"/>
      <c r="I74" s="32"/>
      <c r="J74" s="32"/>
      <c r="K74" s="32"/>
      <c r="L74" s="32"/>
      <c r="M74" s="32"/>
      <c r="N74" s="32"/>
      <c r="O74" s="35"/>
      <c r="P74" s="35"/>
      <c r="Q74" s="35"/>
      <c r="R74" s="35"/>
      <c r="S74" s="43"/>
      <c r="AF74" s="11"/>
    </row>
    <row r="75" spans="1:32" ht="15" customHeight="1">
      <c r="A75" s="46"/>
      <c r="B75" s="35"/>
      <c r="C75" s="35"/>
      <c r="D75" s="35"/>
      <c r="E75" s="35"/>
      <c r="F75" s="35"/>
      <c r="G75" s="35"/>
      <c r="H75" s="32"/>
      <c r="I75" s="32"/>
      <c r="J75" s="32"/>
      <c r="K75" s="32"/>
      <c r="L75" s="32"/>
      <c r="M75" s="32"/>
      <c r="N75" s="32"/>
      <c r="O75" s="35"/>
      <c r="P75" s="35"/>
      <c r="Q75" s="35"/>
      <c r="R75" s="35"/>
      <c r="S75" s="43"/>
      <c r="AF75" s="11"/>
    </row>
    <row r="76" spans="1:32" ht="15" customHeight="1">
      <c r="A76" s="46"/>
      <c r="B76" s="35"/>
      <c r="C76" s="35"/>
      <c r="D76" s="35"/>
      <c r="E76" s="35"/>
      <c r="F76" s="35"/>
      <c r="G76" s="35"/>
      <c r="H76" s="32"/>
      <c r="I76" s="32"/>
      <c r="J76" s="32"/>
      <c r="K76" s="32"/>
      <c r="L76" s="32"/>
      <c r="M76" s="32"/>
      <c r="N76" s="32"/>
      <c r="O76" s="35"/>
      <c r="P76" s="35"/>
      <c r="Q76" s="35"/>
      <c r="R76" s="35"/>
      <c r="S76" s="43"/>
      <c r="AF76" s="11"/>
    </row>
    <row r="77" spans="1:32" ht="15" customHeight="1">
      <c r="A77" s="46"/>
      <c r="B77" s="35"/>
      <c r="C77" s="35"/>
      <c r="D77" s="35"/>
      <c r="E77" s="35"/>
      <c r="F77" s="35"/>
      <c r="G77" s="35"/>
      <c r="H77" s="32"/>
      <c r="I77" s="32"/>
      <c r="J77" s="32"/>
      <c r="K77" s="32"/>
      <c r="L77" s="32"/>
      <c r="M77" s="32"/>
      <c r="N77" s="32"/>
      <c r="O77" s="35"/>
      <c r="P77" s="35"/>
      <c r="Q77" s="35"/>
      <c r="R77" s="35"/>
      <c r="S77" s="43"/>
      <c r="AF77" s="11"/>
    </row>
    <row r="78" spans="1:32" ht="15" customHeight="1">
      <c r="A78" s="349"/>
      <c r="B78" s="350"/>
      <c r="C78" s="350"/>
      <c r="D78" s="350"/>
      <c r="E78" s="350"/>
      <c r="F78" s="351"/>
      <c r="G78" s="35"/>
      <c r="H78" s="349"/>
      <c r="I78" s="350"/>
      <c r="J78" s="350"/>
      <c r="K78" s="350"/>
      <c r="L78" s="350"/>
      <c r="M78" s="350"/>
      <c r="N78" s="350"/>
      <c r="O78" s="350"/>
      <c r="P78" s="350"/>
      <c r="Q78" s="350"/>
      <c r="R78" s="351"/>
      <c r="S78" s="43"/>
      <c r="AF78" s="11"/>
    </row>
    <row r="79" spans="1:32" ht="20.149999999999999" customHeight="1">
      <c r="A79" s="46"/>
      <c r="B79" s="35"/>
      <c r="C79" s="35"/>
      <c r="D79" s="35"/>
      <c r="E79" s="35"/>
      <c r="F79" s="35"/>
      <c r="G79" s="35"/>
      <c r="H79" s="32"/>
      <c r="I79" s="32"/>
      <c r="J79" s="32"/>
      <c r="K79" s="32"/>
      <c r="L79" s="32"/>
      <c r="M79" s="32"/>
      <c r="N79" s="32"/>
      <c r="O79" s="35"/>
      <c r="P79" s="35"/>
      <c r="Q79" s="35"/>
      <c r="R79" s="35"/>
      <c r="S79" s="43"/>
      <c r="AF79" s="11"/>
    </row>
    <row r="80" spans="1:32" ht="20.149999999999999" customHeight="1">
      <c r="A80" s="346" t="s">
        <v>1192</v>
      </c>
      <c r="B80" s="347"/>
      <c r="C80" s="347"/>
      <c r="D80" s="347"/>
      <c r="E80" s="347"/>
      <c r="F80" s="348"/>
      <c r="G80" s="35"/>
      <c r="H80" s="346" t="s">
        <v>770</v>
      </c>
      <c r="I80" s="347"/>
      <c r="J80" s="347"/>
      <c r="K80" s="347"/>
      <c r="L80" s="347"/>
      <c r="M80" s="347"/>
      <c r="N80" s="347"/>
      <c r="O80" s="347"/>
      <c r="P80" s="347"/>
      <c r="Q80" s="347"/>
      <c r="R80" s="348"/>
      <c r="S80" s="43"/>
      <c r="AF80" s="11"/>
    </row>
    <row r="81" spans="1:32" ht="15" customHeight="1">
      <c r="A81" s="352" t="str">
        <f>Calculation!I11</f>
        <v>CS-004-1 NEW SURPLUS OR USED PARTS DISTRIBUTION</v>
      </c>
      <c r="B81" s="353"/>
      <c r="C81" s="353"/>
      <c r="D81" s="354"/>
      <c r="E81" s="222">
        <f>Calculation!N11</f>
        <v>14</v>
      </c>
      <c r="F81" s="221"/>
      <c r="G81" s="35"/>
      <c r="H81" s="352" t="str">
        <f>Calculation!I13</f>
        <v>CS-005-3 CERTIFIED DESIGN CHANGES</v>
      </c>
      <c r="I81" s="353"/>
      <c r="J81" s="353"/>
      <c r="K81" s="354"/>
      <c r="L81" s="222">
        <f>Calculation!N13</f>
        <v>5</v>
      </c>
      <c r="M81" s="219"/>
      <c r="N81" s="220"/>
      <c r="O81" s="220"/>
      <c r="P81" s="220"/>
      <c r="Q81" s="220"/>
      <c r="R81" s="218"/>
      <c r="S81" s="43"/>
      <c r="AF81" s="11"/>
    </row>
    <row r="82" spans="1:32" ht="15" customHeight="1">
      <c r="A82" s="352" t="str">
        <f>Calculation!I12</f>
        <v>CS-004-O ORDERING SITE FOR USED PARTS DISTRIBUTION</v>
      </c>
      <c r="B82" s="353"/>
      <c r="C82" s="353"/>
      <c r="D82" s="354"/>
      <c r="E82" s="222">
        <f>Calculation!N12</f>
        <v>0</v>
      </c>
      <c r="F82" s="221"/>
      <c r="G82" s="35"/>
      <c r="H82" s="352" t="str">
        <f>Calculation!I14</f>
        <v>CS-005-4 CONTINUING AIRWORTHINESS MANAGEMENT TASKS</v>
      </c>
      <c r="I82" s="353"/>
      <c r="J82" s="353"/>
      <c r="K82" s="354"/>
      <c r="L82" s="222">
        <f>Calculation!N14</f>
        <v>7</v>
      </c>
      <c r="M82" s="219"/>
      <c r="N82" s="220"/>
      <c r="O82" s="220"/>
      <c r="P82" s="220"/>
      <c r="Q82" s="220"/>
      <c r="R82" s="218"/>
      <c r="S82" s="43"/>
      <c r="AF82" s="11"/>
    </row>
    <row r="83" spans="1:32" ht="15" customHeight="1">
      <c r="A83" s="346"/>
      <c r="B83" s="347"/>
      <c r="C83" s="347"/>
      <c r="D83" s="347"/>
      <c r="E83" s="347"/>
      <c r="F83" s="358"/>
      <c r="G83" s="35"/>
      <c r="H83" s="219"/>
      <c r="I83" s="220"/>
      <c r="J83" s="220"/>
      <c r="K83" s="220"/>
      <c r="L83" s="220"/>
      <c r="M83" s="220"/>
      <c r="N83" s="220"/>
      <c r="O83" s="220"/>
      <c r="P83" s="220"/>
      <c r="Q83" s="220"/>
      <c r="R83" s="218"/>
      <c r="S83" s="43"/>
      <c r="AF83" s="11"/>
    </row>
    <row r="84" spans="1:32" ht="15" customHeight="1">
      <c r="A84" s="46"/>
      <c r="B84" s="35"/>
      <c r="C84" s="35"/>
      <c r="D84" s="35"/>
      <c r="E84" s="35"/>
      <c r="F84" s="35"/>
      <c r="G84" s="35"/>
      <c r="H84" s="32"/>
      <c r="I84" s="32"/>
      <c r="J84" s="32"/>
      <c r="K84" s="32"/>
      <c r="L84" s="32"/>
      <c r="M84" s="32"/>
      <c r="N84" s="32"/>
      <c r="O84" s="35"/>
      <c r="P84" s="35"/>
      <c r="Q84" s="35"/>
      <c r="R84" s="35"/>
      <c r="S84" s="43"/>
      <c r="AF84" s="11"/>
    </row>
    <row r="85" spans="1:32" ht="15" customHeight="1">
      <c r="A85" s="46"/>
      <c r="B85" s="35"/>
      <c r="C85" s="35"/>
      <c r="D85" s="35"/>
      <c r="E85" s="35"/>
      <c r="F85" s="35"/>
      <c r="G85" s="35"/>
      <c r="H85" s="32"/>
      <c r="I85" s="32"/>
      <c r="J85" s="32"/>
      <c r="K85" s="32"/>
      <c r="L85" s="32"/>
      <c r="M85" s="32"/>
      <c r="N85" s="32"/>
      <c r="O85" s="35"/>
      <c r="P85" s="35"/>
      <c r="Q85" s="35"/>
      <c r="R85" s="35"/>
      <c r="S85" s="43"/>
      <c r="AF85" s="11"/>
    </row>
    <row r="86" spans="1:32" ht="15" customHeight="1">
      <c r="A86" s="46"/>
      <c r="B86" s="35"/>
      <c r="C86" s="35"/>
      <c r="D86" s="35"/>
      <c r="E86" s="35"/>
      <c r="F86" s="35"/>
      <c r="G86" s="35"/>
      <c r="H86" s="32"/>
      <c r="I86" s="32"/>
      <c r="J86" s="32"/>
      <c r="K86" s="32"/>
      <c r="L86" s="32"/>
      <c r="M86" s="32"/>
      <c r="N86" s="32"/>
      <c r="O86" s="35"/>
      <c r="P86" s="35"/>
      <c r="Q86" s="35"/>
      <c r="R86" s="35"/>
      <c r="S86" s="43"/>
      <c r="AF86" s="11"/>
    </row>
    <row r="87" spans="1:32" ht="15" customHeight="1">
      <c r="A87" s="46"/>
      <c r="B87" s="35"/>
      <c r="C87" s="35"/>
      <c r="D87" s="35"/>
      <c r="E87" s="35"/>
      <c r="F87" s="35"/>
      <c r="G87" s="35"/>
      <c r="H87" s="32"/>
      <c r="I87" s="32"/>
      <c r="J87" s="32"/>
      <c r="K87" s="32"/>
      <c r="L87" s="32"/>
      <c r="M87" s="32"/>
      <c r="N87" s="32"/>
      <c r="O87" s="35"/>
      <c r="P87" s="35"/>
      <c r="Q87" s="35"/>
      <c r="R87" s="35"/>
      <c r="S87" s="43"/>
      <c r="AF87" s="11"/>
    </row>
    <row r="88" spans="1:32" ht="15" customHeight="1">
      <c r="A88" s="46"/>
      <c r="B88" s="35"/>
      <c r="C88" s="35"/>
      <c r="D88" s="35"/>
      <c r="E88" s="35"/>
      <c r="F88" s="35"/>
      <c r="G88" s="35"/>
      <c r="H88" s="32"/>
      <c r="I88" s="32"/>
      <c r="J88" s="32"/>
      <c r="K88" s="32"/>
      <c r="L88" s="32"/>
      <c r="M88" s="32"/>
      <c r="N88" s="32"/>
      <c r="O88" s="35"/>
      <c r="P88" s="35"/>
      <c r="Q88" s="35"/>
      <c r="R88" s="35"/>
      <c r="S88" s="43"/>
      <c r="AF88" s="11"/>
    </row>
    <row r="89" spans="1:32" ht="15" customHeight="1">
      <c r="A89" s="349"/>
      <c r="B89" s="350"/>
      <c r="C89" s="350"/>
      <c r="D89" s="350"/>
      <c r="E89" s="350"/>
      <c r="F89" s="351"/>
      <c r="G89" s="35"/>
      <c r="H89" s="349"/>
      <c r="I89" s="350"/>
      <c r="J89" s="350"/>
      <c r="K89" s="350"/>
      <c r="L89" s="350"/>
      <c r="M89" s="350"/>
      <c r="N89" s="350"/>
      <c r="O89" s="350"/>
      <c r="P89" s="350"/>
      <c r="Q89" s="350"/>
      <c r="R89" s="351"/>
      <c r="S89" s="43"/>
      <c r="AF89" s="11"/>
    </row>
    <row r="90" spans="1:32" ht="20.149999999999999" customHeight="1">
      <c r="A90" s="46"/>
      <c r="B90" s="35"/>
      <c r="C90" s="35"/>
      <c r="D90" s="35"/>
      <c r="E90" s="35"/>
      <c r="F90" s="35"/>
      <c r="G90" s="35"/>
      <c r="H90" s="32"/>
      <c r="I90" s="32"/>
      <c r="J90" s="32"/>
      <c r="K90" s="32"/>
      <c r="L90" s="32"/>
      <c r="M90" s="32"/>
      <c r="N90" s="32"/>
      <c r="O90" s="35"/>
      <c r="P90" s="35"/>
      <c r="Q90" s="35"/>
      <c r="R90" s="35"/>
      <c r="S90" s="43"/>
      <c r="AF90" s="11"/>
    </row>
    <row r="91" spans="1:32" ht="12.75" customHeight="1">
      <c r="A91" s="46"/>
      <c r="B91" s="35"/>
      <c r="C91" s="35"/>
      <c r="D91" s="35"/>
      <c r="E91" s="35"/>
      <c r="F91" s="35"/>
      <c r="G91" s="35"/>
      <c r="H91" s="32"/>
      <c r="I91" s="32"/>
      <c r="J91" s="32"/>
      <c r="K91" s="32"/>
      <c r="L91" s="32"/>
      <c r="M91" s="32"/>
      <c r="N91" s="32"/>
      <c r="O91" s="35"/>
      <c r="P91" s="35"/>
      <c r="Q91" s="35"/>
      <c r="R91" s="35"/>
      <c r="S91" s="43"/>
      <c r="AF91" s="11"/>
    </row>
    <row r="92" spans="1:32" ht="15" customHeight="1" thickBot="1">
      <c r="A92" s="47"/>
      <c r="B92" s="48"/>
      <c r="C92" s="48"/>
      <c r="D92" s="48"/>
      <c r="E92" s="48"/>
      <c r="F92" s="48"/>
      <c r="G92" s="48"/>
      <c r="H92" s="50"/>
      <c r="I92" s="50"/>
      <c r="J92" s="50"/>
      <c r="K92" s="50"/>
      <c r="L92" s="50"/>
      <c r="M92" s="50"/>
      <c r="N92" s="50"/>
      <c r="O92" s="48"/>
      <c r="P92" s="48"/>
      <c r="Q92" s="48"/>
      <c r="R92" s="48"/>
      <c r="S92" s="49"/>
      <c r="T92" s="10"/>
    </row>
    <row r="93" spans="1:32">
      <c r="A93" s="31"/>
      <c r="B93" s="31"/>
      <c r="D93" s="31"/>
      <c r="F93" s="31"/>
      <c r="O93" s="31"/>
      <c r="P93" s="31"/>
      <c r="Q93" s="31"/>
      <c r="R93" s="31"/>
      <c r="S93" s="31"/>
      <c r="T93" s="10"/>
    </row>
    <row r="94" spans="1:32">
      <c r="A94" s="31"/>
      <c r="B94" s="31"/>
      <c r="D94" s="31"/>
      <c r="F94" s="31"/>
      <c r="O94" s="31"/>
      <c r="P94" s="31"/>
      <c r="Q94" s="31"/>
      <c r="R94" s="31"/>
      <c r="S94" s="31"/>
      <c r="T94" s="10"/>
    </row>
    <row r="95" spans="1:32">
      <c r="A95" s="31"/>
      <c r="B95" s="31"/>
      <c r="D95" s="31"/>
      <c r="F95" s="31"/>
      <c r="O95" s="31"/>
      <c r="P95" s="31"/>
      <c r="Q95" s="31"/>
      <c r="R95" s="31"/>
      <c r="S95" s="31"/>
      <c r="T95" s="10"/>
    </row>
    <row r="96" spans="1:32">
      <c r="A96" s="31"/>
      <c r="B96" s="31"/>
      <c r="D96" s="31"/>
      <c r="F96" s="31"/>
      <c r="O96" s="31"/>
      <c r="P96" s="31"/>
      <c r="Q96" s="31"/>
      <c r="R96" s="31"/>
      <c r="S96" s="31"/>
      <c r="T96" s="10"/>
    </row>
    <row r="97" spans="1:20">
      <c r="A97" s="31"/>
      <c r="B97" s="31"/>
      <c r="D97" s="31"/>
      <c r="F97" s="31"/>
      <c r="O97" s="31"/>
      <c r="P97" s="31"/>
      <c r="Q97" s="31"/>
      <c r="R97" s="31"/>
      <c r="S97" s="31"/>
      <c r="T97" s="10"/>
    </row>
    <row r="98" spans="1:20">
      <c r="A98" s="31"/>
      <c r="B98" s="31"/>
      <c r="D98" s="31"/>
      <c r="F98" s="31"/>
      <c r="O98" s="31"/>
      <c r="P98" s="31"/>
      <c r="Q98" s="31"/>
      <c r="R98" s="31"/>
      <c r="S98" s="31"/>
      <c r="T98" s="10"/>
    </row>
    <row r="99" spans="1:20">
      <c r="A99" s="31"/>
      <c r="B99" s="31"/>
      <c r="D99" s="31"/>
      <c r="F99" s="31"/>
      <c r="O99" s="31"/>
      <c r="P99" s="31"/>
      <c r="Q99" s="31"/>
      <c r="R99" s="31"/>
      <c r="S99" s="31"/>
      <c r="T99" s="10"/>
    </row>
    <row r="100" spans="1:20">
      <c r="A100" s="31"/>
      <c r="B100" s="31"/>
      <c r="D100" s="31"/>
      <c r="F100" s="31"/>
      <c r="O100" s="31"/>
      <c r="P100" s="31"/>
      <c r="Q100" s="31"/>
      <c r="R100" s="31"/>
      <c r="S100" s="31"/>
      <c r="T100" s="10"/>
    </row>
    <row r="101" spans="1:20">
      <c r="A101" s="31"/>
      <c r="B101" s="31"/>
      <c r="D101" s="31"/>
      <c r="F101" s="31"/>
      <c r="O101" s="31"/>
      <c r="P101" s="31"/>
      <c r="Q101" s="31"/>
      <c r="R101" s="31"/>
      <c r="S101" s="31"/>
      <c r="T101" s="10"/>
    </row>
    <row r="102" spans="1:20">
      <c r="A102" s="31"/>
      <c r="B102" s="31"/>
      <c r="D102" s="31"/>
      <c r="F102" s="31"/>
      <c r="O102" s="31"/>
      <c r="P102" s="31"/>
      <c r="Q102" s="31"/>
      <c r="R102" s="31"/>
      <c r="S102" s="31"/>
      <c r="T102" s="10"/>
    </row>
    <row r="103" spans="1:20">
      <c r="A103" s="31"/>
      <c r="B103" s="31"/>
      <c r="D103" s="31"/>
      <c r="F103" s="31"/>
      <c r="O103" s="31"/>
      <c r="P103" s="31"/>
      <c r="Q103" s="31"/>
      <c r="R103" s="31"/>
      <c r="S103" s="31"/>
      <c r="T103" s="10"/>
    </row>
    <row r="104" spans="1:20">
      <c r="A104" s="31"/>
      <c r="B104" s="31"/>
      <c r="D104" s="31"/>
      <c r="F104" s="31"/>
      <c r="O104" s="31"/>
      <c r="P104" s="31"/>
      <c r="Q104" s="31"/>
      <c r="R104" s="31"/>
      <c r="S104" s="31"/>
      <c r="T104" s="10"/>
    </row>
    <row r="105" spans="1:20">
      <c r="A105" s="31"/>
      <c r="B105" s="31"/>
      <c r="D105" s="31"/>
      <c r="F105" s="31"/>
      <c r="O105" s="31"/>
      <c r="P105" s="31"/>
      <c r="Q105" s="31"/>
      <c r="R105" s="31"/>
      <c r="S105" s="31"/>
      <c r="T105" s="10"/>
    </row>
    <row r="106" spans="1:20">
      <c r="A106" s="31"/>
      <c r="B106" s="31"/>
      <c r="D106" s="31"/>
      <c r="F106" s="31"/>
      <c r="O106" s="31"/>
      <c r="P106" s="31"/>
      <c r="Q106" s="31"/>
      <c r="R106" s="31"/>
      <c r="S106" s="31"/>
      <c r="T106" s="10"/>
    </row>
    <row r="107" spans="1:20">
      <c r="A107" s="31"/>
      <c r="B107" s="31"/>
      <c r="D107" s="31"/>
      <c r="F107" s="31"/>
      <c r="O107" s="31"/>
      <c r="P107" s="31"/>
      <c r="Q107" s="31"/>
      <c r="R107" s="31"/>
      <c r="S107" s="31"/>
      <c r="T107" s="10"/>
    </row>
    <row r="108" spans="1:20">
      <c r="A108" s="31"/>
      <c r="B108" s="31"/>
      <c r="D108" s="31"/>
      <c r="F108" s="31"/>
      <c r="O108" s="31"/>
      <c r="P108" s="31"/>
      <c r="Q108" s="31"/>
      <c r="R108" s="31"/>
      <c r="S108" s="31"/>
      <c r="T108" s="10"/>
    </row>
    <row r="109" spans="1:20">
      <c r="A109" s="31"/>
      <c r="B109" s="31"/>
      <c r="D109" s="31"/>
      <c r="F109" s="31"/>
      <c r="O109" s="31"/>
      <c r="P109" s="31"/>
      <c r="Q109" s="31"/>
      <c r="R109" s="31"/>
      <c r="S109" s="31"/>
      <c r="T109" s="10"/>
    </row>
    <row r="110" spans="1:20">
      <c r="A110" s="31"/>
      <c r="B110" s="31"/>
      <c r="D110" s="31"/>
      <c r="F110" s="31"/>
      <c r="O110" s="31"/>
      <c r="P110" s="31"/>
      <c r="Q110" s="31"/>
      <c r="R110" s="31"/>
      <c r="S110" s="31"/>
      <c r="T110" s="10"/>
    </row>
    <row r="111" spans="1:20">
      <c r="A111" s="31"/>
      <c r="B111" s="31"/>
      <c r="D111" s="31"/>
      <c r="F111" s="31"/>
      <c r="O111" s="31"/>
      <c r="P111" s="31"/>
      <c r="Q111" s="31"/>
      <c r="R111" s="31"/>
      <c r="S111" s="31"/>
      <c r="T111" s="10"/>
    </row>
    <row r="112" spans="1:20">
      <c r="A112" s="8"/>
      <c r="B112" s="8"/>
      <c r="D112" s="8"/>
      <c r="T112" s="10"/>
    </row>
    <row r="113" spans="1:20">
      <c r="A113" s="8"/>
      <c r="B113" s="8"/>
      <c r="D113" s="8"/>
      <c r="T113" s="10"/>
    </row>
    <row r="114" spans="1:20">
      <c r="A114" s="8"/>
      <c r="B114" s="8"/>
      <c r="D114" s="8"/>
      <c r="T114" s="10"/>
    </row>
    <row r="115" spans="1:20">
      <c r="A115" s="8"/>
      <c r="B115" s="8"/>
      <c r="D115" s="8"/>
      <c r="T115" s="10"/>
    </row>
    <row r="116" spans="1:20">
      <c r="A116" s="8"/>
      <c r="B116" s="8"/>
      <c r="D116" s="8"/>
      <c r="T116" s="10"/>
    </row>
    <row r="117" spans="1:20">
      <c r="A117" s="8"/>
      <c r="B117" s="8"/>
      <c r="D117" s="8"/>
      <c r="T117" s="10"/>
    </row>
    <row r="118" spans="1:20">
      <c r="A118" s="8"/>
      <c r="B118" s="8"/>
      <c r="D118" s="8"/>
      <c r="T118" s="10"/>
    </row>
    <row r="119" spans="1:20">
      <c r="A119" s="8"/>
      <c r="B119" s="8"/>
      <c r="D119" s="8"/>
      <c r="T119" s="10"/>
    </row>
    <row r="120" spans="1:20">
      <c r="A120" s="8"/>
      <c r="B120" s="8"/>
      <c r="D120" s="8"/>
      <c r="T120" s="10"/>
    </row>
    <row r="121" spans="1:20">
      <c r="A121" s="8"/>
      <c r="B121" s="8"/>
      <c r="D121" s="8"/>
      <c r="T121" s="10"/>
    </row>
    <row r="122" spans="1:20">
      <c r="A122" s="8"/>
      <c r="B122" s="8"/>
      <c r="D122" s="8"/>
      <c r="T122" s="10"/>
    </row>
    <row r="123" spans="1:20">
      <c r="A123" s="8"/>
      <c r="B123" s="8"/>
      <c r="D123" s="8"/>
      <c r="T123" s="10"/>
    </row>
    <row r="124" spans="1:20">
      <c r="A124" s="8"/>
      <c r="B124" s="8"/>
      <c r="D124" s="8"/>
      <c r="T124" s="10"/>
    </row>
    <row r="125" spans="1:20">
      <c r="A125" s="8"/>
      <c r="B125" s="8"/>
      <c r="D125" s="8"/>
      <c r="T125" s="10"/>
    </row>
    <row r="126" spans="1:20">
      <c r="A126" s="8"/>
      <c r="B126" s="8"/>
      <c r="D126" s="8"/>
      <c r="T126" s="10"/>
    </row>
    <row r="127" spans="1:20">
      <c r="A127" s="8"/>
      <c r="B127" s="8"/>
      <c r="D127" s="8"/>
      <c r="T127" s="10"/>
    </row>
    <row r="128" spans="1:20">
      <c r="A128" s="8"/>
      <c r="B128" s="8"/>
      <c r="D128" s="8"/>
      <c r="T128" s="10"/>
    </row>
    <row r="129" spans="1:20">
      <c r="A129" s="8"/>
      <c r="B129" s="8"/>
      <c r="D129" s="8"/>
      <c r="T129" s="10"/>
    </row>
    <row r="130" spans="1:20">
      <c r="A130" s="8"/>
      <c r="B130" s="8"/>
      <c r="D130" s="8"/>
      <c r="T130" s="10"/>
    </row>
    <row r="131" spans="1:20">
      <c r="A131" s="8"/>
      <c r="B131" s="8"/>
      <c r="D131" s="8"/>
      <c r="T131" s="10"/>
    </row>
    <row r="132" spans="1:20">
      <c r="A132" s="8"/>
      <c r="B132" s="8"/>
      <c r="D132" s="8"/>
      <c r="T132" s="10"/>
    </row>
    <row r="133" spans="1:20">
      <c r="A133" s="8"/>
      <c r="B133" s="8"/>
      <c r="D133" s="8"/>
      <c r="T133" s="10"/>
    </row>
    <row r="134" spans="1:20">
      <c r="A134" s="8"/>
      <c r="B134" s="8"/>
      <c r="D134" s="8"/>
      <c r="T134" s="10"/>
    </row>
    <row r="135" spans="1:20">
      <c r="A135" s="8"/>
      <c r="B135" s="8"/>
      <c r="D135" s="8"/>
      <c r="T135" s="10"/>
    </row>
    <row r="136" spans="1:20">
      <c r="A136" s="8"/>
      <c r="B136" s="8"/>
      <c r="D136" s="8"/>
      <c r="T136" s="10"/>
    </row>
    <row r="137" spans="1:20">
      <c r="A137" s="8"/>
      <c r="B137" s="8"/>
      <c r="D137" s="8"/>
      <c r="T137" s="10"/>
    </row>
    <row r="138" spans="1:20">
      <c r="A138" s="8"/>
      <c r="B138" s="8"/>
      <c r="D138" s="8"/>
      <c r="T138" s="10"/>
    </row>
    <row r="139" spans="1:20">
      <c r="A139" s="8"/>
      <c r="B139" s="8"/>
      <c r="D139" s="8"/>
      <c r="T139" s="10"/>
    </row>
    <row r="140" spans="1:20">
      <c r="A140" s="8"/>
      <c r="B140" s="8"/>
      <c r="D140" s="8"/>
      <c r="T140" s="10"/>
    </row>
    <row r="141" spans="1:20">
      <c r="A141" s="8"/>
      <c r="B141" s="8"/>
      <c r="D141" s="8"/>
      <c r="T141" s="10"/>
    </row>
    <row r="142" spans="1:20">
      <c r="A142" s="8"/>
      <c r="B142" s="8"/>
      <c r="D142" s="8"/>
      <c r="T142" s="10"/>
    </row>
    <row r="143" spans="1:20">
      <c r="A143" s="8"/>
      <c r="B143" s="8"/>
      <c r="D143" s="8"/>
      <c r="T143" s="10"/>
    </row>
    <row r="144" spans="1:20">
      <c r="A144" s="8"/>
      <c r="B144" s="8"/>
      <c r="D144" s="8"/>
      <c r="T144" s="10"/>
    </row>
    <row r="145" spans="1:20">
      <c r="A145" s="8"/>
      <c r="B145" s="8"/>
      <c r="D145" s="8"/>
      <c r="T145" s="10"/>
    </row>
    <row r="146" spans="1:20">
      <c r="A146" s="8"/>
      <c r="B146" s="8"/>
      <c r="D146" s="8"/>
      <c r="T146" s="10"/>
    </row>
    <row r="147" spans="1:20">
      <c r="A147" s="8"/>
      <c r="B147" s="8"/>
      <c r="D147" s="8"/>
      <c r="T147" s="10"/>
    </row>
    <row r="148" spans="1:20">
      <c r="A148" s="8"/>
      <c r="B148" s="8"/>
      <c r="D148" s="8"/>
      <c r="T148" s="10"/>
    </row>
    <row r="149" spans="1:20">
      <c r="A149" s="8"/>
      <c r="B149" s="8"/>
      <c r="D149" s="8"/>
      <c r="T149" s="10"/>
    </row>
    <row r="150" spans="1:20">
      <c r="A150" s="8"/>
      <c r="B150" s="8"/>
      <c r="D150" s="8"/>
      <c r="T150" s="10"/>
    </row>
    <row r="151" spans="1:20">
      <c r="A151" s="8"/>
      <c r="B151" s="8"/>
      <c r="D151" s="8"/>
      <c r="T151" s="10"/>
    </row>
    <row r="152" spans="1:20">
      <c r="A152" s="8"/>
      <c r="B152" s="8"/>
      <c r="D152" s="8"/>
      <c r="T152" s="10"/>
    </row>
    <row r="153" spans="1:20">
      <c r="A153" s="8"/>
      <c r="B153" s="8"/>
      <c r="D153" s="8"/>
      <c r="T153" s="10"/>
    </row>
    <row r="154" spans="1:20">
      <c r="A154" s="8"/>
      <c r="B154" s="8"/>
      <c r="D154" s="8"/>
      <c r="T154" s="10"/>
    </row>
    <row r="155" spans="1:20">
      <c r="A155" s="8"/>
      <c r="B155" s="8"/>
      <c r="D155" s="8"/>
      <c r="T155" s="10"/>
    </row>
    <row r="156" spans="1:20">
      <c r="A156" s="8"/>
      <c r="B156" s="8"/>
      <c r="D156" s="8"/>
      <c r="T156" s="10"/>
    </row>
    <row r="157" spans="1:20">
      <c r="A157" s="8"/>
      <c r="B157" s="8"/>
      <c r="D157" s="8"/>
      <c r="T157" s="10"/>
    </row>
    <row r="158" spans="1:20">
      <c r="A158" s="8"/>
      <c r="B158" s="8"/>
      <c r="D158" s="8"/>
      <c r="T158" s="10"/>
    </row>
    <row r="159" spans="1:20">
      <c r="A159" s="8"/>
      <c r="B159" s="8"/>
      <c r="D159" s="8"/>
      <c r="T159" s="10"/>
    </row>
    <row r="160" spans="1:20">
      <c r="A160" s="8"/>
      <c r="B160" s="8"/>
      <c r="D160" s="8"/>
      <c r="T160" s="10"/>
    </row>
    <row r="161" spans="1:20">
      <c r="A161" s="8"/>
      <c r="B161" s="8"/>
      <c r="D161" s="8"/>
      <c r="T161" s="10"/>
    </row>
    <row r="162" spans="1:20">
      <c r="A162" s="8"/>
      <c r="B162" s="8"/>
      <c r="D162" s="8"/>
      <c r="T162" s="10"/>
    </row>
    <row r="163" spans="1:20">
      <c r="A163" s="8"/>
      <c r="B163" s="8"/>
      <c r="D163" s="8"/>
      <c r="T163" s="10"/>
    </row>
    <row r="164" spans="1:20">
      <c r="A164" s="8"/>
      <c r="B164" s="8"/>
      <c r="D164" s="8"/>
      <c r="T164" s="10"/>
    </row>
    <row r="165" spans="1:20">
      <c r="A165" s="8"/>
      <c r="B165" s="8"/>
      <c r="D165" s="8"/>
      <c r="T165" s="10"/>
    </row>
    <row r="166" spans="1:20">
      <c r="A166" s="8"/>
      <c r="B166" s="8"/>
      <c r="D166" s="8"/>
      <c r="T166" s="10"/>
    </row>
    <row r="167" spans="1:20">
      <c r="A167" s="8"/>
      <c r="B167" s="8"/>
      <c r="D167" s="8"/>
      <c r="T167" s="10"/>
    </row>
    <row r="168" spans="1:20">
      <c r="A168" s="8"/>
      <c r="B168" s="8"/>
      <c r="D168" s="8"/>
      <c r="T168" s="10"/>
    </row>
    <row r="169" spans="1:20">
      <c r="A169" s="8"/>
      <c r="B169" s="8"/>
      <c r="D169" s="8"/>
      <c r="T169" s="10"/>
    </row>
    <row r="170" spans="1:20">
      <c r="A170" s="8"/>
      <c r="B170" s="8"/>
      <c r="D170" s="8"/>
      <c r="T170" s="10"/>
    </row>
    <row r="171" spans="1:20">
      <c r="A171" s="8"/>
      <c r="B171" s="8"/>
      <c r="D171" s="8"/>
      <c r="T171" s="10"/>
    </row>
    <row r="172" spans="1:20">
      <c r="A172" s="8"/>
      <c r="B172" s="8"/>
      <c r="D172" s="8"/>
      <c r="T172" s="10"/>
    </row>
    <row r="173" spans="1:20">
      <c r="A173" s="8"/>
      <c r="B173" s="8"/>
      <c r="D173" s="8"/>
      <c r="T173" s="10"/>
    </row>
    <row r="174" spans="1:20">
      <c r="A174" s="8"/>
      <c r="B174" s="8"/>
      <c r="D174" s="8"/>
      <c r="T174" s="10"/>
    </row>
    <row r="175" spans="1:20">
      <c r="A175" s="8"/>
      <c r="B175" s="8"/>
      <c r="D175" s="8"/>
      <c r="T175" s="10"/>
    </row>
    <row r="176" spans="1:20">
      <c r="A176" s="8"/>
      <c r="B176" s="8"/>
      <c r="D176" s="8"/>
      <c r="T176" s="10"/>
    </row>
    <row r="177" spans="1:20">
      <c r="A177" s="8"/>
      <c r="B177" s="8"/>
      <c r="D177" s="8"/>
      <c r="T177" s="10"/>
    </row>
    <row r="178" spans="1:20">
      <c r="A178" s="8"/>
      <c r="B178" s="8"/>
      <c r="D178" s="8"/>
      <c r="T178" s="10"/>
    </row>
    <row r="179" spans="1:20">
      <c r="A179" s="8"/>
      <c r="B179" s="8"/>
      <c r="D179" s="8"/>
      <c r="T179" s="10"/>
    </row>
    <row r="180" spans="1:20">
      <c r="A180" s="8"/>
      <c r="B180" s="8"/>
      <c r="D180" s="8"/>
      <c r="T180" s="10"/>
    </row>
    <row r="181" spans="1:20">
      <c r="A181" s="8"/>
      <c r="B181" s="8"/>
      <c r="D181" s="8"/>
      <c r="T181" s="10"/>
    </row>
    <row r="182" spans="1:20">
      <c r="A182" s="8"/>
      <c r="B182" s="8"/>
      <c r="D182" s="8"/>
      <c r="T182" s="10"/>
    </row>
    <row r="183" spans="1:20">
      <c r="A183" s="8"/>
      <c r="B183" s="8"/>
      <c r="D183" s="8"/>
      <c r="T183" s="10"/>
    </row>
    <row r="184" spans="1:20">
      <c r="A184" s="8"/>
      <c r="B184" s="8"/>
      <c r="D184" s="8"/>
      <c r="T184" s="10"/>
    </row>
    <row r="185" spans="1:20">
      <c r="A185" s="8"/>
      <c r="B185" s="8"/>
      <c r="D185" s="8"/>
      <c r="T185" s="10"/>
    </row>
    <row r="186" spans="1:20">
      <c r="A186" s="8"/>
      <c r="B186" s="8"/>
      <c r="D186" s="8"/>
      <c r="T186" s="10"/>
    </row>
    <row r="187" spans="1:20">
      <c r="A187" s="8"/>
      <c r="B187" s="8"/>
      <c r="D187" s="8"/>
      <c r="T187" s="10"/>
    </row>
    <row r="188" spans="1:20">
      <c r="A188" s="8"/>
      <c r="B188" s="8"/>
      <c r="D188" s="8"/>
      <c r="T188" s="10"/>
    </row>
    <row r="189" spans="1:20">
      <c r="A189" s="8"/>
      <c r="B189" s="8"/>
      <c r="D189" s="8"/>
      <c r="T189" s="10"/>
    </row>
    <row r="190" spans="1:20">
      <c r="A190" s="8"/>
      <c r="B190" s="8"/>
      <c r="D190" s="8"/>
      <c r="T190" s="10"/>
    </row>
    <row r="191" spans="1:20">
      <c r="A191" s="8"/>
      <c r="B191" s="8"/>
      <c r="D191" s="8"/>
      <c r="T191" s="10"/>
    </row>
    <row r="192" spans="1:20">
      <c r="A192" s="8"/>
      <c r="B192" s="8"/>
      <c r="D192" s="8"/>
      <c r="T192" s="10"/>
    </row>
    <row r="193" spans="1:20">
      <c r="A193" s="8"/>
      <c r="B193" s="8"/>
      <c r="D193" s="8"/>
      <c r="T193" s="10"/>
    </row>
    <row r="194" spans="1:20">
      <c r="A194" s="8"/>
      <c r="B194" s="8"/>
      <c r="D194" s="8"/>
      <c r="T194" s="10"/>
    </row>
    <row r="195" spans="1:20">
      <c r="A195" s="8"/>
      <c r="B195" s="8"/>
      <c r="D195" s="8"/>
      <c r="T195" s="10"/>
    </row>
    <row r="196" spans="1:20">
      <c r="A196" s="8"/>
      <c r="B196" s="8"/>
      <c r="D196" s="8"/>
      <c r="T196" s="10"/>
    </row>
    <row r="197" spans="1:20">
      <c r="A197" s="8"/>
      <c r="B197" s="8"/>
      <c r="D197" s="8"/>
      <c r="T197" s="10"/>
    </row>
    <row r="198" spans="1:20">
      <c r="A198" s="8"/>
      <c r="B198" s="8"/>
      <c r="D198" s="8"/>
      <c r="T198" s="10"/>
    </row>
    <row r="199" spans="1:20">
      <c r="A199" s="8"/>
      <c r="B199" s="8"/>
      <c r="D199" s="8"/>
      <c r="T199" s="10"/>
    </row>
    <row r="200" spans="1:20">
      <c r="A200" s="8"/>
      <c r="B200" s="8"/>
      <c r="D200" s="8"/>
      <c r="T200" s="10"/>
    </row>
    <row r="201" spans="1:20">
      <c r="A201" s="8"/>
      <c r="B201" s="8"/>
      <c r="D201" s="8"/>
      <c r="T201" s="10"/>
    </row>
    <row r="202" spans="1:20">
      <c r="A202" s="8"/>
      <c r="B202" s="8"/>
      <c r="D202" s="8"/>
      <c r="T202" s="10"/>
    </row>
    <row r="203" spans="1:20">
      <c r="A203" s="8"/>
      <c r="B203" s="8"/>
      <c r="D203" s="8"/>
      <c r="T203" s="10"/>
    </row>
    <row r="204" spans="1:20">
      <c r="A204" s="8"/>
      <c r="B204" s="8"/>
      <c r="D204" s="8"/>
      <c r="T204" s="10"/>
    </row>
    <row r="205" spans="1:20">
      <c r="A205" s="8"/>
      <c r="B205" s="8"/>
      <c r="D205" s="8"/>
      <c r="T205" s="10"/>
    </row>
    <row r="206" spans="1:20">
      <c r="A206" s="8"/>
      <c r="B206" s="8"/>
      <c r="D206" s="8"/>
      <c r="T206" s="10"/>
    </row>
    <row r="207" spans="1:20">
      <c r="A207" s="8"/>
      <c r="B207" s="8"/>
      <c r="D207" s="8"/>
      <c r="T207" s="10"/>
    </row>
    <row r="208" spans="1:20">
      <c r="T208" s="10"/>
    </row>
    <row r="209" spans="20:20">
      <c r="T209" s="10"/>
    </row>
    <row r="210" spans="20:20">
      <c r="T210" s="10"/>
    </row>
    <row r="211" spans="20:20">
      <c r="T211" s="10"/>
    </row>
    <row r="212" spans="20:20">
      <c r="T212" s="10"/>
    </row>
    <row r="213" spans="20:20">
      <c r="T213" s="10"/>
    </row>
    <row r="214" spans="20:20">
      <c r="T214" s="10"/>
    </row>
    <row r="215" spans="20:20">
      <c r="T215" s="10"/>
    </row>
    <row r="216" spans="20:20">
      <c r="T216" s="10"/>
    </row>
    <row r="217" spans="20:20">
      <c r="T217" s="10"/>
    </row>
    <row r="218" spans="20:20">
      <c r="T218" s="10"/>
    </row>
    <row r="219" spans="20:20">
      <c r="T219" s="10"/>
    </row>
    <row r="220" spans="20:20">
      <c r="T220" s="10"/>
    </row>
    <row r="221" spans="20:20">
      <c r="T221" s="10"/>
    </row>
    <row r="222" spans="20:20">
      <c r="T222" s="10"/>
    </row>
    <row r="223" spans="20:20">
      <c r="T223" s="10"/>
    </row>
    <row r="224" spans="20:20">
      <c r="T224" s="10"/>
    </row>
    <row r="225" spans="20:20">
      <c r="T225" s="10"/>
    </row>
    <row r="226" spans="20:20">
      <c r="T226" s="10"/>
    </row>
    <row r="227" spans="20:20">
      <c r="T227" s="10"/>
    </row>
    <row r="228" spans="20:20">
      <c r="T228" s="10"/>
    </row>
    <row r="229" spans="20:20">
      <c r="T229" s="10"/>
    </row>
    <row r="230" spans="20:20">
      <c r="T230" s="10"/>
    </row>
    <row r="231" spans="20:20">
      <c r="T231" s="10"/>
    </row>
    <row r="232" spans="20:20">
      <c r="T232" s="10"/>
    </row>
    <row r="233" spans="20:20">
      <c r="T233" s="10"/>
    </row>
    <row r="234" spans="20:20">
      <c r="T234" s="10"/>
    </row>
    <row r="235" spans="20:20">
      <c r="T235" s="10"/>
    </row>
    <row r="236" spans="20:20">
      <c r="T236" s="10"/>
    </row>
    <row r="237" spans="20:20">
      <c r="T237" s="10"/>
    </row>
    <row r="238" spans="20:20">
      <c r="T238" s="10"/>
    </row>
    <row r="239" spans="20:20">
      <c r="T239" s="10"/>
    </row>
    <row r="240" spans="20:20">
      <c r="T240" s="10"/>
    </row>
    <row r="241" spans="20:20">
      <c r="T241" s="10"/>
    </row>
    <row r="242" spans="20:20">
      <c r="T242" s="10"/>
    </row>
    <row r="243" spans="20:20">
      <c r="T243" s="10"/>
    </row>
    <row r="244" spans="20:20">
      <c r="T244" s="10"/>
    </row>
    <row r="245" spans="20:20">
      <c r="T245" s="10"/>
    </row>
    <row r="246" spans="20:20">
      <c r="T246" s="10"/>
    </row>
    <row r="247" spans="20:20">
      <c r="T247" s="10"/>
    </row>
    <row r="248" spans="20:20">
      <c r="T248" s="10"/>
    </row>
    <row r="249" spans="20:20">
      <c r="T249" s="10"/>
    </row>
    <row r="250" spans="20:20">
      <c r="T250" s="10"/>
    </row>
    <row r="251" spans="20:20">
      <c r="T251" s="10"/>
    </row>
    <row r="252" spans="20:20">
      <c r="T252" s="10"/>
    </row>
    <row r="253" spans="20:20">
      <c r="T253" s="10"/>
    </row>
    <row r="254" spans="20:20">
      <c r="T254" s="10"/>
    </row>
    <row r="255" spans="20:20">
      <c r="T255" s="10"/>
    </row>
    <row r="256" spans="20:20">
      <c r="T256" s="10"/>
    </row>
    <row r="257" spans="20:20">
      <c r="T257" s="10"/>
    </row>
    <row r="258" spans="20:20">
      <c r="T258" s="10"/>
    </row>
    <row r="259" spans="20:20">
      <c r="T259" s="10"/>
    </row>
    <row r="260" spans="20:20">
      <c r="T260" s="10"/>
    </row>
    <row r="261" spans="20:20">
      <c r="T261" s="10"/>
    </row>
    <row r="262" spans="20:20">
      <c r="T262" s="10"/>
    </row>
    <row r="263" spans="20:20">
      <c r="T263" s="10"/>
    </row>
    <row r="264" spans="20:20">
      <c r="T264" s="10"/>
    </row>
    <row r="265" spans="20:20">
      <c r="T265" s="10"/>
    </row>
    <row r="266" spans="20:20">
      <c r="T266" s="10"/>
    </row>
    <row r="267" spans="20:20">
      <c r="T267" s="10"/>
    </row>
    <row r="268" spans="20:20">
      <c r="T268" s="10"/>
    </row>
    <row r="269" spans="20:20">
      <c r="T269" s="10"/>
    </row>
    <row r="270" spans="20:20">
      <c r="T270" s="10"/>
    </row>
    <row r="271" spans="20:20">
      <c r="T271" s="10"/>
    </row>
    <row r="272" spans="20:20">
      <c r="T272" s="10"/>
    </row>
    <row r="273" spans="20:20">
      <c r="T273" s="10"/>
    </row>
    <row r="274" spans="20:20">
      <c r="T274" s="10"/>
    </row>
    <row r="275" spans="20:20">
      <c r="T275" s="10"/>
    </row>
    <row r="276" spans="20:20">
      <c r="T276" s="10"/>
    </row>
    <row r="277" spans="20:20">
      <c r="T277" s="10"/>
    </row>
    <row r="278" spans="20:20">
      <c r="T278" s="10"/>
    </row>
    <row r="279" spans="20:20">
      <c r="T279" s="10"/>
    </row>
    <row r="280" spans="20:20">
      <c r="T280" s="10"/>
    </row>
    <row r="281" spans="20:20">
      <c r="T281" s="10"/>
    </row>
    <row r="282" spans="20:20">
      <c r="T282" s="10"/>
    </row>
    <row r="283" spans="20:20">
      <c r="T283" s="10"/>
    </row>
    <row r="284" spans="20:20">
      <c r="T284" s="10"/>
    </row>
    <row r="285" spans="20:20">
      <c r="T285" s="10"/>
    </row>
    <row r="286" spans="20:20">
      <c r="T286" s="10"/>
    </row>
    <row r="287" spans="20:20">
      <c r="T287" s="10"/>
    </row>
    <row r="288" spans="20:20">
      <c r="T288" s="10"/>
    </row>
    <row r="289" spans="20:20">
      <c r="T289" s="10"/>
    </row>
    <row r="290" spans="20:20">
      <c r="T290" s="10"/>
    </row>
    <row r="291" spans="20:20">
      <c r="T291" s="10"/>
    </row>
    <row r="292" spans="20:20">
      <c r="T292" s="10"/>
    </row>
    <row r="293" spans="20:20">
      <c r="T293" s="10"/>
    </row>
    <row r="294" spans="20:20">
      <c r="T294" s="10"/>
    </row>
    <row r="295" spans="20:20">
      <c r="T295" s="10"/>
    </row>
    <row r="296" spans="20:20">
      <c r="T296" s="10"/>
    </row>
    <row r="297" spans="20:20">
      <c r="T297" s="10"/>
    </row>
    <row r="298" spans="20:20">
      <c r="T298" s="10"/>
    </row>
    <row r="299" spans="20:20">
      <c r="T299" s="10"/>
    </row>
    <row r="300" spans="20:20">
      <c r="T300" s="10"/>
    </row>
    <row r="301" spans="20:20">
      <c r="T301" s="10"/>
    </row>
    <row r="302" spans="20:20">
      <c r="T302" s="10"/>
    </row>
    <row r="303" spans="20:20">
      <c r="T303" s="10"/>
    </row>
    <row r="304" spans="20:20">
      <c r="T304" s="10"/>
    </row>
    <row r="305" spans="20:20">
      <c r="T305" s="10"/>
    </row>
    <row r="306" spans="20:20">
      <c r="T306" s="10"/>
    </row>
    <row r="307" spans="20:20">
      <c r="T307" s="10"/>
    </row>
    <row r="308" spans="20:20">
      <c r="T308" s="10"/>
    </row>
    <row r="309" spans="20:20">
      <c r="T309" s="10"/>
    </row>
    <row r="310" spans="20:20">
      <c r="T310" s="10"/>
    </row>
    <row r="311" spans="20:20">
      <c r="T311" s="10"/>
    </row>
    <row r="312" spans="20:20">
      <c r="T312" s="10"/>
    </row>
    <row r="313" spans="20:20">
      <c r="T313" s="10"/>
    </row>
    <row r="314" spans="20:20">
      <c r="T314" s="10"/>
    </row>
    <row r="315" spans="20:20">
      <c r="T315" s="10"/>
    </row>
    <row r="316" spans="20:20">
      <c r="T316" s="10"/>
    </row>
    <row r="317" spans="20:20">
      <c r="T317" s="10"/>
    </row>
    <row r="318" spans="20:20">
      <c r="T318" s="10"/>
    </row>
    <row r="319" spans="20:20">
      <c r="T319" s="10"/>
    </row>
    <row r="320" spans="20:20">
      <c r="T320" s="10"/>
    </row>
    <row r="321" spans="20:20">
      <c r="T321" s="10"/>
    </row>
    <row r="322" spans="20:20">
      <c r="T322" s="10"/>
    </row>
    <row r="323" spans="20:20">
      <c r="T323" s="10"/>
    </row>
    <row r="324" spans="20:20">
      <c r="T324" s="10"/>
    </row>
    <row r="325" spans="20:20">
      <c r="T325" s="10"/>
    </row>
    <row r="326" spans="20:20">
      <c r="T326" s="10"/>
    </row>
    <row r="327" spans="20:20">
      <c r="T327" s="10"/>
    </row>
    <row r="328" spans="20:20">
      <c r="T328" s="10"/>
    </row>
    <row r="329" spans="20:20">
      <c r="T329" s="10"/>
    </row>
    <row r="330" spans="20:20">
      <c r="T330" s="10"/>
    </row>
    <row r="331" spans="20:20">
      <c r="T331" s="10"/>
    </row>
    <row r="332" spans="20:20">
      <c r="T332" s="10"/>
    </row>
    <row r="333" spans="20:20">
      <c r="T333" s="10"/>
    </row>
    <row r="334" spans="20:20">
      <c r="T334" s="10"/>
    </row>
    <row r="335" spans="20:20">
      <c r="T335" s="10"/>
    </row>
    <row r="336" spans="20:20">
      <c r="T336" s="10"/>
    </row>
    <row r="337" spans="20:20">
      <c r="T337" s="10"/>
    </row>
    <row r="338" spans="20:20">
      <c r="T338" s="10"/>
    </row>
    <row r="339" spans="20:20">
      <c r="T339" s="10"/>
    </row>
    <row r="340" spans="20:20">
      <c r="T340" s="10"/>
    </row>
    <row r="341" spans="20:20">
      <c r="T341" s="10"/>
    </row>
    <row r="342" spans="20:20">
      <c r="T342" s="10"/>
    </row>
    <row r="343" spans="20:20">
      <c r="T343" s="10"/>
    </row>
    <row r="344" spans="20:20">
      <c r="T344" s="10"/>
    </row>
    <row r="345" spans="20:20">
      <c r="T345" s="10"/>
    </row>
    <row r="346" spans="20:20">
      <c r="T346" s="10"/>
    </row>
    <row r="347" spans="20:20">
      <c r="T347" s="10"/>
    </row>
    <row r="348" spans="20:20">
      <c r="T348" s="10"/>
    </row>
    <row r="349" spans="20:20">
      <c r="T349" s="10"/>
    </row>
    <row r="350" spans="20:20">
      <c r="T350" s="10"/>
    </row>
    <row r="351" spans="20:20">
      <c r="T351" s="10"/>
    </row>
    <row r="352" spans="20:20">
      <c r="T352" s="10"/>
    </row>
    <row r="353" spans="20:20">
      <c r="T353" s="10"/>
    </row>
    <row r="354" spans="20:20">
      <c r="T354" s="10"/>
    </row>
    <row r="355" spans="20:20">
      <c r="T355" s="10"/>
    </row>
    <row r="356" spans="20:20">
      <c r="T356" s="10"/>
    </row>
    <row r="357" spans="20:20">
      <c r="T357" s="10"/>
    </row>
    <row r="358" spans="20:20">
      <c r="T358" s="10"/>
    </row>
    <row r="359" spans="20:20">
      <c r="T359" s="10"/>
    </row>
    <row r="360" spans="20:20">
      <c r="T360" s="10"/>
    </row>
    <row r="361" spans="20:20">
      <c r="T361" s="10"/>
    </row>
    <row r="362" spans="20:20">
      <c r="T362" s="10"/>
    </row>
    <row r="363" spans="20:20">
      <c r="T363" s="10"/>
    </row>
    <row r="364" spans="20:20">
      <c r="T364" s="10"/>
    </row>
    <row r="365" spans="20:20">
      <c r="T365" s="10"/>
    </row>
    <row r="366" spans="20:20">
      <c r="T366" s="10"/>
    </row>
    <row r="367" spans="20:20">
      <c r="T367" s="10"/>
    </row>
    <row r="368" spans="20:20">
      <c r="T368" s="10"/>
    </row>
    <row r="369" spans="20:20">
      <c r="T369" s="10"/>
    </row>
    <row r="370" spans="20:20">
      <c r="T370" s="10"/>
    </row>
    <row r="371" spans="20:20">
      <c r="T371" s="10"/>
    </row>
    <row r="372" spans="20:20">
      <c r="T372" s="10"/>
    </row>
    <row r="373" spans="20:20">
      <c r="T373" s="10"/>
    </row>
    <row r="374" spans="20:20">
      <c r="T374" s="10"/>
    </row>
    <row r="375" spans="20:20">
      <c r="T375" s="10"/>
    </row>
    <row r="376" spans="20:20">
      <c r="T376" s="10"/>
    </row>
    <row r="377" spans="20:20">
      <c r="T377" s="10"/>
    </row>
    <row r="378" spans="20:20">
      <c r="T378" s="10"/>
    </row>
    <row r="379" spans="20:20">
      <c r="T379" s="10"/>
    </row>
    <row r="380" spans="20:20">
      <c r="T380" s="10"/>
    </row>
    <row r="381" spans="20:20">
      <c r="T381" s="10"/>
    </row>
    <row r="382" spans="20:20">
      <c r="T382" s="10"/>
    </row>
    <row r="383" spans="20:20">
      <c r="T383" s="10"/>
    </row>
    <row r="384" spans="20:20">
      <c r="T384" s="10"/>
    </row>
    <row r="385" spans="20:20">
      <c r="T385" s="10"/>
    </row>
    <row r="386" spans="20:20">
      <c r="T386" s="10"/>
    </row>
    <row r="387" spans="20:20">
      <c r="T387" s="10"/>
    </row>
    <row r="388" spans="20:20">
      <c r="T388" s="10"/>
    </row>
    <row r="389" spans="20:20">
      <c r="T389" s="10"/>
    </row>
    <row r="390" spans="20:20">
      <c r="T390" s="10"/>
    </row>
    <row r="391" spans="20:20">
      <c r="T391" s="10"/>
    </row>
    <row r="392" spans="20:20">
      <c r="T392" s="10"/>
    </row>
    <row r="393" spans="20:20">
      <c r="T393" s="10"/>
    </row>
    <row r="394" spans="20:20">
      <c r="T394" s="10"/>
    </row>
    <row r="395" spans="20:20">
      <c r="T395" s="10"/>
    </row>
    <row r="396" spans="20:20">
      <c r="T396" s="10"/>
    </row>
    <row r="397" spans="20:20">
      <c r="T397" s="10"/>
    </row>
    <row r="398" spans="20:20">
      <c r="T398" s="10"/>
    </row>
    <row r="399" spans="20:20">
      <c r="T399" s="10"/>
    </row>
    <row r="400" spans="20:20">
      <c r="T400" s="10"/>
    </row>
    <row r="401" spans="20:20">
      <c r="T401" s="10"/>
    </row>
    <row r="402" spans="20:20">
      <c r="T402" s="10"/>
    </row>
    <row r="403" spans="20:20">
      <c r="T403" s="10"/>
    </row>
    <row r="404" spans="20:20">
      <c r="T404" s="10"/>
    </row>
    <row r="405" spans="20:20">
      <c r="T405" s="10"/>
    </row>
    <row r="406" spans="20:20">
      <c r="T406" s="10"/>
    </row>
    <row r="407" spans="20:20">
      <c r="T407" s="10"/>
    </row>
    <row r="408" spans="20:20">
      <c r="T408" s="10"/>
    </row>
    <row r="409" spans="20:20">
      <c r="T409" s="10"/>
    </row>
    <row r="410" spans="20:20">
      <c r="T410" s="10"/>
    </row>
    <row r="411" spans="20:20">
      <c r="T411" s="10"/>
    </row>
    <row r="412" spans="20:20">
      <c r="T412" s="10"/>
    </row>
    <row r="413" spans="20:20">
      <c r="T413" s="10"/>
    </row>
    <row r="414" spans="20:20">
      <c r="T414" s="10"/>
    </row>
    <row r="415" spans="20:20">
      <c r="T415" s="10"/>
    </row>
    <row r="416" spans="20:20">
      <c r="T416" s="10"/>
    </row>
    <row r="417" spans="20:20">
      <c r="T417" s="10"/>
    </row>
    <row r="418" spans="20:20">
      <c r="T418" s="10"/>
    </row>
    <row r="419" spans="20:20">
      <c r="T419" s="10"/>
    </row>
    <row r="420" spans="20:20">
      <c r="T420" s="10"/>
    </row>
    <row r="421" spans="20:20">
      <c r="T421" s="10"/>
    </row>
    <row r="422" spans="20:20">
      <c r="T422" s="10"/>
    </row>
    <row r="423" spans="20:20">
      <c r="T423" s="10"/>
    </row>
    <row r="424" spans="20:20">
      <c r="T424" s="10"/>
    </row>
    <row r="425" spans="20:20">
      <c r="T425" s="10"/>
    </row>
    <row r="426" spans="20:20">
      <c r="T426" s="10"/>
    </row>
    <row r="427" spans="20:20">
      <c r="T427" s="10"/>
    </row>
    <row r="428" spans="20:20">
      <c r="T428" s="10"/>
    </row>
    <row r="429" spans="20:20">
      <c r="T429" s="10"/>
    </row>
    <row r="430" spans="20:20">
      <c r="T430" s="10"/>
    </row>
    <row r="431" spans="20:20">
      <c r="T431" s="10"/>
    </row>
    <row r="432" spans="20:20">
      <c r="T432" s="10"/>
    </row>
    <row r="433" spans="20:20">
      <c r="T433" s="10"/>
    </row>
    <row r="434" spans="20:20">
      <c r="T434" s="10"/>
    </row>
    <row r="435" spans="20:20">
      <c r="T435" s="10"/>
    </row>
    <row r="436" spans="20:20">
      <c r="T436" s="10"/>
    </row>
    <row r="437" spans="20:20">
      <c r="T437" s="10"/>
    </row>
    <row r="438" spans="20:20">
      <c r="T438" s="10"/>
    </row>
    <row r="439" spans="20:20">
      <c r="T439" s="10"/>
    </row>
    <row r="440" spans="20:20">
      <c r="T440" s="10"/>
    </row>
    <row r="441" spans="20:20">
      <c r="T441" s="10"/>
    </row>
    <row r="442" spans="20:20">
      <c r="T442" s="10"/>
    </row>
    <row r="443" spans="20:20">
      <c r="T443" s="10"/>
    </row>
    <row r="444" spans="20:20">
      <c r="T444" s="10"/>
    </row>
    <row r="445" spans="20:20">
      <c r="T445" s="10"/>
    </row>
    <row r="446" spans="20:20">
      <c r="T446" s="10"/>
    </row>
    <row r="447" spans="20:20">
      <c r="T447" s="10"/>
    </row>
    <row r="448" spans="20:20">
      <c r="T448" s="10"/>
    </row>
    <row r="449" spans="20:20">
      <c r="T449" s="10"/>
    </row>
    <row r="450" spans="20:20">
      <c r="T450" s="10"/>
    </row>
    <row r="451" spans="20:20">
      <c r="T451" s="10"/>
    </row>
    <row r="452" spans="20:20">
      <c r="T452" s="10"/>
    </row>
    <row r="453" spans="20:20">
      <c r="T453" s="10"/>
    </row>
    <row r="454" spans="20:20">
      <c r="T454" s="10"/>
    </row>
    <row r="455" spans="20:20">
      <c r="T455" s="10"/>
    </row>
    <row r="456" spans="20:20">
      <c r="T456" s="10"/>
    </row>
    <row r="457" spans="20:20">
      <c r="T457" s="10"/>
    </row>
    <row r="458" spans="20:20">
      <c r="T458" s="10"/>
    </row>
    <row r="459" spans="20:20">
      <c r="T459" s="10"/>
    </row>
    <row r="460" spans="20:20">
      <c r="T460" s="10"/>
    </row>
    <row r="461" spans="20:20">
      <c r="T461" s="10"/>
    </row>
    <row r="462" spans="20:20">
      <c r="T462" s="10"/>
    </row>
    <row r="463" spans="20:20">
      <c r="T463" s="10"/>
    </row>
    <row r="464" spans="20:20">
      <c r="T464" s="10"/>
    </row>
    <row r="465" spans="20:20">
      <c r="T465" s="10"/>
    </row>
    <row r="466" spans="20:20">
      <c r="T466" s="10"/>
    </row>
    <row r="467" spans="20:20">
      <c r="T467" s="10"/>
    </row>
    <row r="468" spans="20:20">
      <c r="T468" s="10"/>
    </row>
    <row r="469" spans="20:20">
      <c r="T469" s="10"/>
    </row>
    <row r="470" spans="20:20">
      <c r="T470" s="10"/>
    </row>
    <row r="471" spans="20:20">
      <c r="T471" s="10"/>
    </row>
    <row r="472" spans="20:20">
      <c r="T472" s="10"/>
    </row>
    <row r="473" spans="20:20">
      <c r="T473" s="10"/>
    </row>
    <row r="474" spans="20:20">
      <c r="T474" s="10"/>
    </row>
    <row r="475" spans="20:20">
      <c r="T475" s="10"/>
    </row>
    <row r="476" spans="20:20">
      <c r="T476" s="10"/>
    </row>
    <row r="477" spans="20:20">
      <c r="T477" s="10"/>
    </row>
    <row r="478" spans="20:20">
      <c r="T478" s="10"/>
    </row>
    <row r="479" spans="20:20">
      <c r="T479" s="10"/>
    </row>
    <row r="480" spans="20:20">
      <c r="T480" s="10"/>
    </row>
    <row r="481" spans="20:20">
      <c r="T481" s="10"/>
    </row>
    <row r="482" spans="20:20">
      <c r="T482" s="10"/>
    </row>
    <row r="483" spans="20:20">
      <c r="T483" s="10"/>
    </row>
    <row r="484" spans="20:20">
      <c r="T484" s="10"/>
    </row>
    <row r="485" spans="20:20">
      <c r="T485" s="10"/>
    </row>
    <row r="486" spans="20:20">
      <c r="T486" s="10"/>
    </row>
    <row r="487" spans="20:20">
      <c r="T487" s="10"/>
    </row>
    <row r="488" spans="20:20">
      <c r="T488" s="10"/>
    </row>
    <row r="489" spans="20:20">
      <c r="T489" s="10"/>
    </row>
    <row r="490" spans="20:20">
      <c r="T490" s="10"/>
    </row>
    <row r="491" spans="20:20">
      <c r="T491" s="10"/>
    </row>
    <row r="492" spans="20:20">
      <c r="T492" s="10"/>
    </row>
    <row r="493" spans="20:20">
      <c r="T493" s="10"/>
    </row>
    <row r="494" spans="20:20">
      <c r="T494" s="10"/>
    </row>
    <row r="495" spans="20:20">
      <c r="T495" s="10"/>
    </row>
    <row r="496" spans="20:20">
      <c r="T496" s="10"/>
    </row>
    <row r="497" spans="20:20">
      <c r="T497" s="10"/>
    </row>
    <row r="498" spans="20:20">
      <c r="T498" s="10"/>
    </row>
    <row r="499" spans="20:20">
      <c r="T499" s="10"/>
    </row>
    <row r="500" spans="20:20">
      <c r="T500" s="10"/>
    </row>
    <row r="501" spans="20:20">
      <c r="T501" s="10"/>
    </row>
    <row r="502" spans="20:20">
      <c r="T502" s="10"/>
    </row>
    <row r="503" spans="20:20">
      <c r="T503" s="10"/>
    </row>
    <row r="504" spans="20:20">
      <c r="T504" s="10"/>
    </row>
    <row r="505" spans="20:20">
      <c r="T505" s="10"/>
    </row>
    <row r="506" spans="20:20">
      <c r="T506" s="10"/>
    </row>
    <row r="507" spans="20:20">
      <c r="T507" s="10"/>
    </row>
    <row r="508" spans="20:20">
      <c r="T508" s="10"/>
    </row>
    <row r="509" spans="20:20">
      <c r="T509" s="10"/>
    </row>
    <row r="510" spans="20:20">
      <c r="T510" s="10"/>
    </row>
    <row r="511" spans="20:20">
      <c r="T511" s="10"/>
    </row>
    <row r="512" spans="20:20">
      <c r="T512" s="10"/>
    </row>
    <row r="513" spans="20:20">
      <c r="T513" s="10"/>
    </row>
    <row r="514" spans="20:20">
      <c r="T514" s="10"/>
    </row>
    <row r="515" spans="20:20">
      <c r="T515" s="10"/>
    </row>
    <row r="516" spans="20:20">
      <c r="T516" s="10"/>
    </row>
    <row r="517" spans="20:20">
      <c r="T517" s="10"/>
    </row>
    <row r="518" spans="20:20">
      <c r="T518" s="10"/>
    </row>
    <row r="519" spans="20:20">
      <c r="T519" s="10"/>
    </row>
    <row r="520" spans="20:20">
      <c r="T520" s="10"/>
    </row>
    <row r="521" spans="20:20">
      <c r="T521" s="10"/>
    </row>
    <row r="522" spans="20:20">
      <c r="T522" s="10"/>
    </row>
    <row r="523" spans="20:20">
      <c r="T523" s="10"/>
    </row>
    <row r="524" spans="20:20">
      <c r="T524" s="10"/>
    </row>
    <row r="525" spans="20:20">
      <c r="T525" s="10"/>
    </row>
    <row r="526" spans="20:20">
      <c r="T526" s="10"/>
    </row>
    <row r="527" spans="20:20">
      <c r="T527" s="10"/>
    </row>
    <row r="528" spans="20:20">
      <c r="T528" s="10"/>
    </row>
    <row r="529" spans="20:20">
      <c r="T529" s="10"/>
    </row>
    <row r="530" spans="20:20">
      <c r="T530" s="10"/>
    </row>
    <row r="531" spans="20:20">
      <c r="T531" s="10"/>
    </row>
    <row r="532" spans="20:20">
      <c r="T532" s="10"/>
    </row>
    <row r="533" spans="20:20">
      <c r="T533" s="10"/>
    </row>
    <row r="534" spans="20:20">
      <c r="T534" s="10"/>
    </row>
    <row r="535" spans="20:20">
      <c r="T535" s="10"/>
    </row>
    <row r="536" spans="20:20">
      <c r="T536" s="10"/>
    </row>
    <row r="537" spans="20:20">
      <c r="T537" s="10"/>
    </row>
    <row r="538" spans="20:20">
      <c r="T538" s="10"/>
    </row>
    <row r="539" spans="20:20">
      <c r="T539" s="10"/>
    </row>
    <row r="540" spans="20:20">
      <c r="T540" s="10"/>
    </row>
    <row r="541" spans="20:20">
      <c r="T541" s="10"/>
    </row>
    <row r="542" spans="20:20">
      <c r="T542" s="10"/>
    </row>
    <row r="543" spans="20:20">
      <c r="T543" s="10"/>
    </row>
    <row r="544" spans="20:20">
      <c r="T544" s="10"/>
    </row>
    <row r="545" spans="20:20">
      <c r="T545" s="10"/>
    </row>
    <row r="546" spans="20:20">
      <c r="T546" s="10"/>
    </row>
    <row r="547" spans="20:20">
      <c r="T547" s="10"/>
    </row>
    <row r="548" spans="20:20">
      <c r="T548" s="10"/>
    </row>
    <row r="549" spans="20:20">
      <c r="T549" s="10"/>
    </row>
    <row r="550" spans="20:20">
      <c r="T550" s="10"/>
    </row>
    <row r="551" spans="20:20">
      <c r="T551" s="10"/>
    </row>
    <row r="552" spans="20:20">
      <c r="T552" s="10"/>
    </row>
    <row r="553" spans="20:20">
      <c r="T553" s="10"/>
    </row>
    <row r="554" spans="20:20">
      <c r="T554" s="10"/>
    </row>
    <row r="555" spans="20:20">
      <c r="T555" s="10"/>
    </row>
    <row r="556" spans="20:20">
      <c r="T556" s="10"/>
    </row>
    <row r="557" spans="20:20">
      <c r="T557" s="10"/>
    </row>
    <row r="558" spans="20:20">
      <c r="T558" s="10"/>
    </row>
    <row r="559" spans="20:20">
      <c r="T559" s="10"/>
    </row>
    <row r="560" spans="20:20">
      <c r="T560" s="10"/>
    </row>
    <row r="561" spans="20:20">
      <c r="T561" s="10"/>
    </row>
    <row r="562" spans="20:20">
      <c r="T562" s="10"/>
    </row>
    <row r="563" spans="20:20">
      <c r="T563" s="10"/>
    </row>
    <row r="564" spans="20:20">
      <c r="T564" s="10"/>
    </row>
    <row r="565" spans="20:20">
      <c r="T565" s="10"/>
    </row>
    <row r="566" spans="20:20">
      <c r="T566" s="10"/>
    </row>
    <row r="567" spans="20:20">
      <c r="T567" s="10"/>
    </row>
    <row r="568" spans="20:20">
      <c r="T568" s="10"/>
    </row>
    <row r="569" spans="20:20">
      <c r="T569" s="10"/>
    </row>
    <row r="570" spans="20:20">
      <c r="T570" s="10"/>
    </row>
    <row r="571" spans="20:20">
      <c r="T571" s="10"/>
    </row>
    <row r="572" spans="20:20">
      <c r="T572" s="10"/>
    </row>
    <row r="573" spans="20:20">
      <c r="T573" s="10"/>
    </row>
    <row r="574" spans="20:20">
      <c r="T574" s="10"/>
    </row>
    <row r="575" spans="20:20">
      <c r="T575" s="10"/>
    </row>
    <row r="576" spans="20:20">
      <c r="T576" s="10"/>
    </row>
    <row r="577" spans="20:20">
      <c r="T577" s="10"/>
    </row>
    <row r="578" spans="20:20">
      <c r="T578" s="10"/>
    </row>
    <row r="579" spans="20:20">
      <c r="T579" s="10"/>
    </row>
    <row r="580" spans="20:20">
      <c r="T580" s="10"/>
    </row>
    <row r="581" spans="20:20">
      <c r="T581" s="10"/>
    </row>
    <row r="582" spans="20:20">
      <c r="T582" s="10"/>
    </row>
    <row r="583" spans="20:20">
      <c r="T583" s="10"/>
    </row>
    <row r="584" spans="20:20">
      <c r="T584" s="10"/>
    </row>
    <row r="585" spans="20:20">
      <c r="T585" s="10"/>
    </row>
    <row r="586" spans="20:20">
      <c r="T586" s="10"/>
    </row>
    <row r="587" spans="20:20">
      <c r="T587" s="10"/>
    </row>
    <row r="588" spans="20:20">
      <c r="T588" s="10"/>
    </row>
    <row r="589" spans="20:20">
      <c r="T589" s="10"/>
    </row>
    <row r="590" spans="20:20">
      <c r="T590" s="10"/>
    </row>
    <row r="591" spans="20:20">
      <c r="T591" s="10"/>
    </row>
    <row r="592" spans="20:20">
      <c r="T592" s="10"/>
    </row>
    <row r="593" spans="20:20">
      <c r="T593" s="10"/>
    </row>
    <row r="594" spans="20:20">
      <c r="T594" s="10"/>
    </row>
    <row r="595" spans="20:20">
      <c r="T595" s="10"/>
    </row>
    <row r="596" spans="20:20">
      <c r="T596" s="10"/>
    </row>
    <row r="597" spans="20:20">
      <c r="T597" s="10"/>
    </row>
    <row r="598" spans="20:20">
      <c r="T598" s="10"/>
    </row>
    <row r="599" spans="20:20">
      <c r="T599" s="10"/>
    </row>
    <row r="600" spans="20:20">
      <c r="T600" s="10"/>
    </row>
    <row r="601" spans="20:20">
      <c r="T601" s="10"/>
    </row>
    <row r="602" spans="20:20">
      <c r="T602" s="10"/>
    </row>
    <row r="603" spans="20:20">
      <c r="T603" s="10"/>
    </row>
    <row r="604" spans="20:20">
      <c r="T604" s="10"/>
    </row>
    <row r="605" spans="20:20">
      <c r="T605" s="10"/>
    </row>
    <row r="606" spans="20:20">
      <c r="T606" s="10"/>
    </row>
    <row r="607" spans="20:20">
      <c r="T607" s="10"/>
    </row>
    <row r="608" spans="20:20">
      <c r="T608" s="10"/>
    </row>
    <row r="609" spans="20:20">
      <c r="T609" s="10"/>
    </row>
    <row r="610" spans="20:20">
      <c r="T610" s="10"/>
    </row>
    <row r="611" spans="20:20">
      <c r="T611" s="10"/>
    </row>
    <row r="612" spans="20:20">
      <c r="T612" s="10"/>
    </row>
    <row r="613" spans="20:20">
      <c r="T613" s="10"/>
    </row>
    <row r="614" spans="20:20">
      <c r="T614" s="10"/>
    </row>
    <row r="615" spans="20:20">
      <c r="T615" s="10"/>
    </row>
    <row r="616" spans="20:20">
      <c r="T616" s="10"/>
    </row>
    <row r="617" spans="20:20">
      <c r="T617" s="10"/>
    </row>
    <row r="618" spans="20:20">
      <c r="T618" s="10"/>
    </row>
    <row r="619" spans="20:20">
      <c r="T619" s="10"/>
    </row>
    <row r="620" spans="20:20">
      <c r="T620" s="10"/>
    </row>
    <row r="621" spans="20:20">
      <c r="T621" s="10"/>
    </row>
    <row r="622" spans="20:20">
      <c r="T622" s="10"/>
    </row>
    <row r="623" spans="20:20">
      <c r="T623" s="10"/>
    </row>
    <row r="624" spans="20:20">
      <c r="T624" s="10"/>
    </row>
    <row r="625" spans="20:20">
      <c r="T625" s="10"/>
    </row>
    <row r="626" spans="20:20">
      <c r="T626" s="10"/>
    </row>
    <row r="627" spans="20:20">
      <c r="T627" s="10"/>
    </row>
    <row r="628" spans="20:20">
      <c r="T628" s="10"/>
    </row>
    <row r="629" spans="20:20">
      <c r="T629" s="10"/>
    </row>
    <row r="630" spans="20:20">
      <c r="T630" s="10"/>
    </row>
    <row r="631" spans="20:20">
      <c r="T631" s="10"/>
    </row>
    <row r="632" spans="20:20">
      <c r="T632" s="10"/>
    </row>
    <row r="633" spans="20:20">
      <c r="T633" s="10"/>
    </row>
    <row r="634" spans="20:20">
      <c r="T634" s="10"/>
    </row>
    <row r="635" spans="20:20">
      <c r="T635" s="10"/>
    </row>
    <row r="636" spans="20:20">
      <c r="T636" s="10"/>
    </row>
    <row r="637" spans="20:20">
      <c r="T637" s="10"/>
    </row>
    <row r="638" spans="20:20">
      <c r="T638" s="10"/>
    </row>
    <row r="639" spans="20:20">
      <c r="T639" s="10"/>
    </row>
    <row r="640" spans="20:20">
      <c r="T640" s="10"/>
    </row>
    <row r="641" spans="20:20">
      <c r="T641" s="10"/>
    </row>
    <row r="642" spans="20:20">
      <c r="T642" s="10"/>
    </row>
    <row r="643" spans="20:20">
      <c r="T643" s="10"/>
    </row>
    <row r="644" spans="20:20">
      <c r="T644" s="10"/>
    </row>
    <row r="645" spans="20:20">
      <c r="T645" s="10"/>
    </row>
    <row r="646" spans="20:20">
      <c r="T646" s="10"/>
    </row>
    <row r="647" spans="20:20">
      <c r="T647" s="10"/>
    </row>
    <row r="648" spans="20:20">
      <c r="T648" s="10"/>
    </row>
    <row r="649" spans="20:20">
      <c r="T649" s="10"/>
    </row>
    <row r="650" spans="20:20">
      <c r="T650" s="10"/>
    </row>
    <row r="651" spans="20:20">
      <c r="T651" s="10"/>
    </row>
    <row r="652" spans="20:20">
      <c r="T652" s="10"/>
    </row>
    <row r="653" spans="20:20">
      <c r="T653" s="10"/>
    </row>
    <row r="654" spans="20:20">
      <c r="T654" s="10"/>
    </row>
    <row r="655" spans="20:20">
      <c r="T655" s="10"/>
    </row>
    <row r="656" spans="20:20">
      <c r="T656" s="10"/>
    </row>
    <row r="657" spans="20:20">
      <c r="T657" s="10"/>
    </row>
    <row r="658" spans="20:20">
      <c r="T658" s="10"/>
    </row>
    <row r="659" spans="20:20">
      <c r="T659" s="10"/>
    </row>
    <row r="660" spans="20:20">
      <c r="T660" s="10"/>
    </row>
    <row r="661" spans="20:20">
      <c r="T661" s="10"/>
    </row>
    <row r="662" spans="20:20">
      <c r="T662" s="10"/>
    </row>
    <row r="663" spans="20:20">
      <c r="T663" s="10"/>
    </row>
    <row r="664" spans="20:20">
      <c r="T664" s="10"/>
    </row>
    <row r="665" spans="20:20">
      <c r="T665" s="10"/>
    </row>
    <row r="666" spans="20:20">
      <c r="T666" s="10"/>
    </row>
    <row r="667" spans="20:20">
      <c r="T667" s="10"/>
    </row>
    <row r="668" spans="20:20">
      <c r="T668" s="10"/>
    </row>
    <row r="669" spans="20:20">
      <c r="T669" s="10"/>
    </row>
    <row r="670" spans="20:20">
      <c r="T670" s="10"/>
    </row>
    <row r="671" spans="20:20">
      <c r="T671" s="10"/>
    </row>
    <row r="672" spans="20:20">
      <c r="T672" s="10"/>
    </row>
    <row r="673" spans="20:20">
      <c r="T673" s="10"/>
    </row>
    <row r="674" spans="20:20">
      <c r="T674" s="10"/>
    </row>
    <row r="675" spans="20:20">
      <c r="T675" s="10"/>
    </row>
    <row r="676" spans="20:20">
      <c r="T676" s="10"/>
    </row>
    <row r="677" spans="20:20">
      <c r="T677" s="10"/>
    </row>
    <row r="678" spans="20:20">
      <c r="T678" s="10"/>
    </row>
    <row r="679" spans="20:20">
      <c r="T679" s="10"/>
    </row>
    <row r="680" spans="20:20">
      <c r="T680" s="10"/>
    </row>
    <row r="681" spans="20:20">
      <c r="T681" s="10"/>
    </row>
    <row r="682" spans="20:20">
      <c r="T682" s="10"/>
    </row>
    <row r="683" spans="20:20">
      <c r="T683" s="10"/>
    </row>
    <row r="684" spans="20:20">
      <c r="T684" s="10"/>
    </row>
    <row r="685" spans="20:20">
      <c r="T685" s="10"/>
    </row>
    <row r="686" spans="20:20">
      <c r="T686" s="10"/>
    </row>
    <row r="687" spans="20:20">
      <c r="T687" s="10"/>
    </row>
    <row r="688" spans="20:20">
      <c r="T688" s="10"/>
    </row>
    <row r="689" spans="20:20">
      <c r="T689" s="10"/>
    </row>
    <row r="690" spans="20:20">
      <c r="T690" s="10"/>
    </row>
    <row r="691" spans="20:20">
      <c r="T691" s="10"/>
    </row>
    <row r="692" spans="20:20">
      <c r="T692" s="10"/>
    </row>
    <row r="693" spans="20:20">
      <c r="T693" s="10"/>
    </row>
    <row r="694" spans="20:20">
      <c r="T694" s="10"/>
    </row>
    <row r="695" spans="20:20">
      <c r="T695" s="10"/>
    </row>
    <row r="696" spans="20:20">
      <c r="T696" s="10"/>
    </row>
    <row r="697" spans="20:20">
      <c r="T697" s="10"/>
    </row>
    <row r="698" spans="20:20">
      <c r="T698" s="10"/>
    </row>
    <row r="699" spans="20:20">
      <c r="T699" s="10"/>
    </row>
    <row r="700" spans="20:20">
      <c r="T700" s="10"/>
    </row>
    <row r="701" spans="20:20">
      <c r="T701" s="10"/>
    </row>
    <row r="702" spans="20:20">
      <c r="T702" s="10"/>
    </row>
    <row r="703" spans="20:20">
      <c r="T703" s="10"/>
    </row>
    <row r="704" spans="20:20">
      <c r="T704" s="10"/>
    </row>
    <row r="705" spans="20:20">
      <c r="T705" s="10"/>
    </row>
    <row r="706" spans="20:20">
      <c r="T706" s="10"/>
    </row>
    <row r="707" spans="20:20">
      <c r="T707" s="10"/>
    </row>
    <row r="708" spans="20:20">
      <c r="T708" s="10"/>
    </row>
    <row r="709" spans="20:20">
      <c r="T709" s="10"/>
    </row>
    <row r="710" spans="20:20">
      <c r="T710" s="10"/>
    </row>
    <row r="711" spans="20:20">
      <c r="T711" s="10"/>
    </row>
    <row r="712" spans="20:20">
      <c r="T712" s="10"/>
    </row>
    <row r="713" spans="20:20">
      <c r="T713" s="10"/>
    </row>
    <row r="714" spans="20:20">
      <c r="T714" s="10"/>
    </row>
    <row r="715" spans="20:20">
      <c r="T715" s="10"/>
    </row>
    <row r="716" spans="20:20">
      <c r="T716" s="10"/>
    </row>
    <row r="717" spans="20:20">
      <c r="T717" s="10"/>
    </row>
    <row r="718" spans="20:20">
      <c r="T718" s="10"/>
    </row>
    <row r="719" spans="20:20">
      <c r="T719" s="10"/>
    </row>
    <row r="720" spans="20:20">
      <c r="T720" s="10"/>
    </row>
    <row r="721" spans="20:20">
      <c r="T721" s="10"/>
    </row>
    <row r="722" spans="20:20">
      <c r="T722" s="10"/>
    </row>
    <row r="723" spans="20:20">
      <c r="T723" s="10"/>
    </row>
    <row r="724" spans="20:20">
      <c r="T724" s="10"/>
    </row>
    <row r="725" spans="20:20">
      <c r="T725" s="10"/>
    </row>
    <row r="726" spans="20:20">
      <c r="T726" s="10"/>
    </row>
    <row r="727" spans="20:20">
      <c r="T727" s="10"/>
    </row>
    <row r="728" spans="20:20">
      <c r="T728" s="10"/>
    </row>
    <row r="729" spans="20:20">
      <c r="T729" s="10"/>
    </row>
    <row r="730" spans="20:20">
      <c r="T730" s="10"/>
    </row>
    <row r="731" spans="20:20">
      <c r="T731" s="10"/>
    </row>
    <row r="732" spans="20:20">
      <c r="T732" s="10"/>
    </row>
    <row r="733" spans="20:20">
      <c r="T733" s="10"/>
    </row>
    <row r="734" spans="20:20">
      <c r="T734" s="10"/>
    </row>
    <row r="735" spans="20:20">
      <c r="T735" s="10"/>
    </row>
    <row r="736" spans="20:20">
      <c r="T736" s="10"/>
    </row>
    <row r="737" spans="20:20">
      <c r="T737" s="10"/>
    </row>
    <row r="738" spans="20:20">
      <c r="T738" s="10"/>
    </row>
    <row r="739" spans="20:20">
      <c r="T739" s="10"/>
    </row>
    <row r="740" spans="20:20">
      <c r="T740" s="10"/>
    </row>
    <row r="741" spans="20:20">
      <c r="T741" s="10"/>
    </row>
    <row r="742" spans="20:20">
      <c r="T742" s="10"/>
    </row>
    <row r="743" spans="20:20">
      <c r="T743" s="10"/>
    </row>
    <row r="744" spans="20:20">
      <c r="T744" s="10"/>
    </row>
    <row r="745" spans="20:20">
      <c r="T745" s="10"/>
    </row>
    <row r="746" spans="20:20">
      <c r="T746" s="10"/>
    </row>
    <row r="747" spans="20:20">
      <c r="T747" s="10"/>
    </row>
    <row r="748" spans="20:20">
      <c r="T748" s="10"/>
    </row>
    <row r="749" spans="20:20">
      <c r="T749" s="10"/>
    </row>
    <row r="750" spans="20:20">
      <c r="T750" s="10"/>
    </row>
    <row r="751" spans="20:20">
      <c r="T751" s="10"/>
    </row>
    <row r="752" spans="20:20">
      <c r="T752" s="10"/>
    </row>
    <row r="753" spans="20:20">
      <c r="T753" s="10"/>
    </row>
    <row r="754" spans="20:20">
      <c r="T754" s="10"/>
    </row>
    <row r="755" spans="20:20">
      <c r="T755" s="10"/>
    </row>
    <row r="756" spans="20:20">
      <c r="T756" s="10"/>
    </row>
    <row r="757" spans="20:20">
      <c r="T757" s="10"/>
    </row>
    <row r="758" spans="20:20">
      <c r="T758" s="10"/>
    </row>
    <row r="759" spans="20:20">
      <c r="T759" s="10"/>
    </row>
    <row r="760" spans="20:20">
      <c r="T760" s="10"/>
    </row>
    <row r="761" spans="20:20">
      <c r="T761" s="10"/>
    </row>
    <row r="762" spans="20:20">
      <c r="T762" s="10"/>
    </row>
    <row r="763" spans="20:20">
      <c r="T763" s="10"/>
    </row>
    <row r="764" spans="20:20">
      <c r="T764" s="10"/>
    </row>
    <row r="765" spans="20:20">
      <c r="T765" s="10"/>
    </row>
    <row r="766" spans="20:20">
      <c r="T766" s="10"/>
    </row>
    <row r="767" spans="20:20">
      <c r="T767" s="10"/>
    </row>
    <row r="768" spans="20:20">
      <c r="T768" s="10"/>
    </row>
    <row r="769" spans="20:20">
      <c r="T769" s="10"/>
    </row>
    <row r="770" spans="20:20">
      <c r="T770" s="10"/>
    </row>
    <row r="771" spans="20:20">
      <c r="T771" s="10"/>
    </row>
    <row r="772" spans="20:20">
      <c r="T772" s="10"/>
    </row>
    <row r="773" spans="20:20">
      <c r="T773" s="10"/>
    </row>
    <row r="774" spans="20:20">
      <c r="T774" s="10"/>
    </row>
    <row r="775" spans="20:20">
      <c r="T775" s="10"/>
    </row>
    <row r="776" spans="20:20">
      <c r="T776" s="10"/>
    </row>
    <row r="777" spans="20:20">
      <c r="T777" s="10"/>
    </row>
    <row r="778" spans="20:20">
      <c r="T778" s="10"/>
    </row>
    <row r="779" spans="20:20">
      <c r="T779" s="10"/>
    </row>
    <row r="780" spans="20:20">
      <c r="T780" s="10"/>
    </row>
    <row r="781" spans="20:20">
      <c r="T781" s="10"/>
    </row>
    <row r="782" spans="20:20">
      <c r="T782" s="10"/>
    </row>
    <row r="783" spans="20:20">
      <c r="T783" s="10"/>
    </row>
    <row r="784" spans="20:20">
      <c r="T784" s="10"/>
    </row>
    <row r="785" spans="20:20">
      <c r="T785" s="10"/>
    </row>
    <row r="786" spans="20:20">
      <c r="T786" s="10"/>
    </row>
    <row r="787" spans="20:20">
      <c r="T787" s="10"/>
    </row>
    <row r="788" spans="20:20">
      <c r="T788" s="10"/>
    </row>
    <row r="789" spans="20:20">
      <c r="T789" s="10"/>
    </row>
    <row r="790" spans="20:20">
      <c r="T790" s="10"/>
    </row>
    <row r="791" spans="20:20">
      <c r="T791" s="10"/>
    </row>
    <row r="792" spans="20:20">
      <c r="T792" s="10"/>
    </row>
    <row r="793" spans="20:20">
      <c r="T793" s="10"/>
    </row>
    <row r="794" spans="20:20">
      <c r="T794" s="10"/>
    </row>
    <row r="795" spans="20:20">
      <c r="T795" s="10"/>
    </row>
    <row r="796" spans="20:20">
      <c r="T796" s="10"/>
    </row>
    <row r="797" spans="20:20">
      <c r="T797" s="10"/>
    </row>
    <row r="798" spans="20:20">
      <c r="T798" s="10"/>
    </row>
    <row r="799" spans="20:20">
      <c r="T799" s="10"/>
    </row>
    <row r="800" spans="20:20">
      <c r="T800" s="10"/>
    </row>
    <row r="801" spans="20:20">
      <c r="T801" s="10"/>
    </row>
    <row r="802" spans="20:20">
      <c r="T802" s="10"/>
    </row>
    <row r="803" spans="20:20">
      <c r="T803" s="10"/>
    </row>
    <row r="804" spans="20:20">
      <c r="T804" s="10"/>
    </row>
    <row r="805" spans="20:20">
      <c r="T805" s="10"/>
    </row>
    <row r="806" spans="20:20">
      <c r="T806" s="10"/>
    </row>
    <row r="807" spans="20:20">
      <c r="T807" s="10"/>
    </row>
    <row r="808" spans="20:20">
      <c r="T808" s="10"/>
    </row>
    <row r="809" spans="20:20">
      <c r="T809" s="10"/>
    </row>
    <row r="810" spans="20:20">
      <c r="T810" s="10"/>
    </row>
    <row r="811" spans="20:20">
      <c r="T811" s="10"/>
    </row>
    <row r="812" spans="20:20">
      <c r="T812" s="10"/>
    </row>
    <row r="813" spans="20:20">
      <c r="T813" s="10"/>
    </row>
    <row r="814" spans="20:20">
      <c r="T814" s="10"/>
    </row>
    <row r="815" spans="20:20">
      <c r="T815" s="10"/>
    </row>
    <row r="816" spans="20:20">
      <c r="T816" s="10"/>
    </row>
    <row r="817" spans="20:20">
      <c r="T817" s="10"/>
    </row>
    <row r="818" spans="20:20">
      <c r="T818" s="10"/>
    </row>
    <row r="819" spans="20:20">
      <c r="T819" s="10"/>
    </row>
    <row r="820" spans="20:20">
      <c r="T820" s="10"/>
    </row>
    <row r="821" spans="20:20">
      <c r="T821" s="10"/>
    </row>
    <row r="822" spans="20:20">
      <c r="T822" s="10"/>
    </row>
    <row r="823" spans="20:20">
      <c r="T823" s="10"/>
    </row>
    <row r="824" spans="20:20">
      <c r="T824" s="10"/>
    </row>
    <row r="825" spans="20:20">
      <c r="T825" s="10"/>
    </row>
    <row r="826" spans="20:20">
      <c r="T826" s="10"/>
    </row>
    <row r="827" spans="20:20">
      <c r="T827" s="10"/>
    </row>
    <row r="828" spans="20:20">
      <c r="T828" s="10"/>
    </row>
    <row r="829" spans="20:20">
      <c r="T829" s="10"/>
    </row>
    <row r="830" spans="20:20">
      <c r="T830" s="10"/>
    </row>
    <row r="831" spans="20:20">
      <c r="T831" s="10"/>
    </row>
    <row r="832" spans="20:20">
      <c r="T832" s="10"/>
    </row>
    <row r="833" spans="20:20">
      <c r="T833" s="10"/>
    </row>
    <row r="834" spans="20:20">
      <c r="T834" s="10"/>
    </row>
    <row r="835" spans="20:20">
      <c r="T835" s="10"/>
    </row>
    <row r="836" spans="20:20">
      <c r="T836" s="10"/>
    </row>
    <row r="837" spans="20:20">
      <c r="T837" s="10"/>
    </row>
    <row r="838" spans="20:20">
      <c r="T838" s="10"/>
    </row>
    <row r="839" spans="20:20">
      <c r="T839" s="10"/>
    </row>
    <row r="840" spans="20:20">
      <c r="T840" s="10"/>
    </row>
    <row r="841" spans="20:20">
      <c r="T841" s="10"/>
    </row>
    <row r="842" spans="20:20">
      <c r="T842" s="10"/>
    </row>
    <row r="843" spans="20:20">
      <c r="T843" s="10"/>
    </row>
    <row r="844" spans="20:20">
      <c r="T844" s="10"/>
    </row>
    <row r="845" spans="20:20">
      <c r="T845" s="10"/>
    </row>
    <row r="846" spans="20:20">
      <c r="T846" s="10"/>
    </row>
    <row r="847" spans="20:20">
      <c r="T847" s="10"/>
    </row>
    <row r="848" spans="20:20">
      <c r="T848" s="10"/>
    </row>
    <row r="849" spans="20:20">
      <c r="T849" s="10"/>
    </row>
    <row r="850" spans="20:20">
      <c r="T850" s="10"/>
    </row>
    <row r="851" spans="20:20">
      <c r="T851" s="10"/>
    </row>
    <row r="852" spans="20:20">
      <c r="T852" s="10"/>
    </row>
    <row r="853" spans="20:20">
      <c r="T853" s="10"/>
    </row>
    <row r="854" spans="20:20">
      <c r="T854" s="10"/>
    </row>
    <row r="855" spans="20:20">
      <c r="T855" s="10"/>
    </row>
    <row r="856" spans="20:20">
      <c r="T856" s="10"/>
    </row>
    <row r="857" spans="20:20">
      <c r="T857" s="10"/>
    </row>
    <row r="858" spans="20:20">
      <c r="T858" s="10"/>
    </row>
    <row r="859" spans="20:20">
      <c r="T859" s="10"/>
    </row>
    <row r="860" spans="20:20">
      <c r="T860" s="10"/>
    </row>
    <row r="861" spans="20:20">
      <c r="T861" s="10"/>
    </row>
    <row r="862" spans="20:20">
      <c r="T862" s="10"/>
    </row>
    <row r="863" spans="20:20">
      <c r="T863" s="10"/>
    </row>
    <row r="864" spans="20:20">
      <c r="T864" s="10"/>
    </row>
    <row r="865" spans="20:20">
      <c r="T865" s="10"/>
    </row>
    <row r="866" spans="20:20">
      <c r="T866" s="10"/>
    </row>
    <row r="867" spans="20:20">
      <c r="T867" s="10"/>
    </row>
    <row r="868" spans="20:20">
      <c r="T868" s="10"/>
    </row>
    <row r="869" spans="20:20">
      <c r="T869" s="10"/>
    </row>
    <row r="870" spans="20:20">
      <c r="T870" s="10"/>
    </row>
    <row r="871" spans="20:20">
      <c r="T871" s="10"/>
    </row>
    <row r="872" spans="20:20">
      <c r="T872" s="10"/>
    </row>
    <row r="873" spans="20:20">
      <c r="T873" s="10"/>
    </row>
    <row r="874" spans="20:20">
      <c r="T874" s="10"/>
    </row>
    <row r="875" spans="20:20">
      <c r="T875" s="10"/>
    </row>
    <row r="876" spans="20:20">
      <c r="T876" s="10"/>
    </row>
    <row r="877" spans="20:20">
      <c r="T877" s="10"/>
    </row>
    <row r="878" spans="20:20">
      <c r="T878" s="10"/>
    </row>
    <row r="879" spans="20:20">
      <c r="T879" s="10"/>
    </row>
    <row r="880" spans="20:20">
      <c r="T880" s="10"/>
    </row>
    <row r="881" spans="20:20">
      <c r="T881" s="10"/>
    </row>
    <row r="882" spans="20:20">
      <c r="T882" s="10"/>
    </row>
    <row r="883" spans="20:20">
      <c r="T883" s="10"/>
    </row>
    <row r="884" spans="20:20">
      <c r="T884" s="10"/>
    </row>
    <row r="885" spans="20:20">
      <c r="T885" s="10"/>
    </row>
    <row r="886" spans="20:20">
      <c r="T886" s="10"/>
    </row>
    <row r="887" spans="20:20">
      <c r="T887" s="10"/>
    </row>
    <row r="888" spans="20:20">
      <c r="T888" s="10"/>
    </row>
    <row r="889" spans="20:20">
      <c r="T889" s="10"/>
    </row>
    <row r="890" spans="20:20">
      <c r="T890" s="10"/>
    </row>
    <row r="891" spans="20:20">
      <c r="T891" s="10"/>
    </row>
    <row r="892" spans="20:20">
      <c r="T892" s="10"/>
    </row>
    <row r="893" spans="20:20">
      <c r="T893" s="10"/>
    </row>
    <row r="894" spans="20:20">
      <c r="T894" s="10"/>
    </row>
    <row r="895" spans="20:20">
      <c r="T895" s="10"/>
    </row>
    <row r="896" spans="20:20">
      <c r="T896" s="10"/>
    </row>
    <row r="897" spans="20:20">
      <c r="T897" s="10"/>
    </row>
    <row r="898" spans="20:20">
      <c r="T898" s="10"/>
    </row>
    <row r="899" spans="20:20">
      <c r="T899" s="10"/>
    </row>
    <row r="900" spans="20:20">
      <c r="T900" s="10"/>
    </row>
    <row r="901" spans="20:20">
      <c r="T901" s="10"/>
    </row>
    <row r="902" spans="20:20">
      <c r="T902" s="10"/>
    </row>
    <row r="903" spans="20:20">
      <c r="T903" s="10"/>
    </row>
    <row r="904" spans="20:20">
      <c r="T904" s="10"/>
    </row>
    <row r="905" spans="20:20">
      <c r="T905" s="10"/>
    </row>
    <row r="906" spans="20:20">
      <c r="T906" s="10"/>
    </row>
    <row r="907" spans="20:20">
      <c r="T907" s="10"/>
    </row>
    <row r="908" spans="20:20">
      <c r="T908" s="10"/>
    </row>
    <row r="909" spans="20:20">
      <c r="T909" s="10"/>
    </row>
    <row r="910" spans="20:20">
      <c r="T910" s="10"/>
    </row>
    <row r="911" spans="20:20">
      <c r="T911" s="10"/>
    </row>
    <row r="912" spans="20:20">
      <c r="T912" s="10"/>
    </row>
    <row r="913" spans="20:20">
      <c r="T913" s="10"/>
    </row>
    <row r="914" spans="20:20">
      <c r="T914" s="10"/>
    </row>
    <row r="915" spans="20:20">
      <c r="T915" s="10"/>
    </row>
    <row r="916" spans="20:20">
      <c r="T916" s="10"/>
    </row>
    <row r="917" spans="20:20">
      <c r="T917" s="10"/>
    </row>
    <row r="918" spans="20:20">
      <c r="T918" s="10"/>
    </row>
    <row r="919" spans="20:20">
      <c r="T919" s="10"/>
    </row>
    <row r="920" spans="20:20">
      <c r="T920" s="10"/>
    </row>
    <row r="921" spans="20:20">
      <c r="T921" s="10"/>
    </row>
    <row r="922" spans="20:20">
      <c r="T922" s="10"/>
    </row>
    <row r="923" spans="20:20">
      <c r="T923" s="10"/>
    </row>
    <row r="924" spans="20:20">
      <c r="T924" s="10"/>
    </row>
    <row r="925" spans="20:20">
      <c r="T925" s="10"/>
    </row>
    <row r="926" spans="20:20">
      <c r="T926" s="10"/>
    </row>
    <row r="927" spans="20:20">
      <c r="T927" s="10"/>
    </row>
    <row r="928" spans="20:20">
      <c r="T928" s="10"/>
    </row>
    <row r="929" spans="20:20">
      <c r="T929" s="10"/>
    </row>
    <row r="930" spans="20:20">
      <c r="T930" s="10"/>
    </row>
    <row r="931" spans="20:20">
      <c r="T931" s="10"/>
    </row>
    <row r="932" spans="20:20">
      <c r="T932" s="10"/>
    </row>
    <row r="933" spans="20:20">
      <c r="T933" s="10"/>
    </row>
    <row r="934" spans="20:20">
      <c r="T934" s="10"/>
    </row>
    <row r="935" spans="20:20">
      <c r="T935" s="10"/>
    </row>
    <row r="936" spans="20:20">
      <c r="T936" s="10"/>
    </row>
    <row r="937" spans="20:20">
      <c r="T937" s="10"/>
    </row>
    <row r="938" spans="20:20">
      <c r="T938" s="10"/>
    </row>
    <row r="939" spans="20:20">
      <c r="T939" s="10"/>
    </row>
    <row r="940" spans="20:20">
      <c r="T940" s="10"/>
    </row>
    <row r="941" spans="20:20">
      <c r="T941" s="10"/>
    </row>
    <row r="942" spans="20:20">
      <c r="T942" s="10"/>
    </row>
    <row r="943" spans="20:20">
      <c r="T943" s="10"/>
    </row>
    <row r="944" spans="20:20">
      <c r="T944" s="10"/>
    </row>
    <row r="945" spans="20:20">
      <c r="T945" s="10"/>
    </row>
    <row r="946" spans="20:20">
      <c r="T946" s="10"/>
    </row>
    <row r="947" spans="20:20">
      <c r="T947" s="10"/>
    </row>
    <row r="948" spans="20:20">
      <c r="T948" s="10"/>
    </row>
    <row r="949" spans="20:20">
      <c r="T949" s="10"/>
    </row>
    <row r="950" spans="20:20">
      <c r="T950" s="10"/>
    </row>
    <row r="951" spans="20:20">
      <c r="T951" s="10"/>
    </row>
    <row r="952" spans="20:20">
      <c r="T952" s="10"/>
    </row>
    <row r="953" spans="20:20">
      <c r="T953" s="10"/>
    </row>
    <row r="954" spans="20:20">
      <c r="T954" s="10"/>
    </row>
    <row r="955" spans="20:20">
      <c r="T955" s="10"/>
    </row>
    <row r="956" spans="20:20">
      <c r="T956" s="10"/>
    </row>
    <row r="957" spans="20:20">
      <c r="T957" s="10"/>
    </row>
    <row r="958" spans="20:20">
      <c r="T958" s="10"/>
    </row>
    <row r="959" spans="20:20">
      <c r="T959" s="10"/>
    </row>
    <row r="960" spans="20:20">
      <c r="T960" s="10"/>
    </row>
    <row r="961" spans="20:20">
      <c r="T961" s="10"/>
    </row>
    <row r="962" spans="20:20">
      <c r="T962" s="10"/>
    </row>
    <row r="963" spans="20:20">
      <c r="T963" s="10"/>
    </row>
    <row r="964" spans="20:20">
      <c r="T964" s="10"/>
    </row>
    <row r="965" spans="20:20">
      <c r="T965" s="10"/>
    </row>
    <row r="966" spans="20:20">
      <c r="T966" s="10"/>
    </row>
    <row r="967" spans="20:20">
      <c r="T967" s="10"/>
    </row>
    <row r="968" spans="20:20">
      <c r="T968" s="10"/>
    </row>
    <row r="969" spans="20:20">
      <c r="T969" s="10"/>
    </row>
    <row r="970" spans="20:20">
      <c r="T970" s="10"/>
    </row>
    <row r="971" spans="20:20">
      <c r="T971" s="10"/>
    </row>
    <row r="972" spans="20:20">
      <c r="T972" s="10"/>
    </row>
    <row r="973" spans="20:20">
      <c r="T973" s="10"/>
    </row>
    <row r="974" spans="20:20">
      <c r="T974" s="10"/>
    </row>
    <row r="975" spans="20:20">
      <c r="T975" s="10"/>
    </row>
    <row r="976" spans="20:20">
      <c r="T976" s="10"/>
    </row>
    <row r="977" spans="20:20">
      <c r="T977" s="10"/>
    </row>
    <row r="978" spans="20:20">
      <c r="T978" s="10"/>
    </row>
    <row r="979" spans="20:20">
      <c r="T979" s="10"/>
    </row>
    <row r="980" spans="20:20">
      <c r="T980" s="10"/>
    </row>
    <row r="981" spans="20:20">
      <c r="T981" s="10"/>
    </row>
    <row r="982" spans="20:20">
      <c r="T982" s="10"/>
    </row>
    <row r="983" spans="20:20">
      <c r="T983" s="10"/>
    </row>
    <row r="984" spans="20:20">
      <c r="T984" s="10"/>
    </row>
    <row r="985" spans="20:20">
      <c r="T985" s="10"/>
    </row>
    <row r="986" spans="20:20">
      <c r="T986" s="10"/>
    </row>
    <row r="987" spans="20:20">
      <c r="T987" s="10"/>
    </row>
    <row r="988" spans="20:20">
      <c r="T988" s="10"/>
    </row>
    <row r="989" spans="20:20">
      <c r="T989" s="10"/>
    </row>
    <row r="990" spans="20:20">
      <c r="T990" s="10"/>
    </row>
    <row r="991" spans="20:20">
      <c r="T991" s="10"/>
    </row>
    <row r="992" spans="20:20">
      <c r="T992" s="10"/>
    </row>
    <row r="993" spans="20:20">
      <c r="T993" s="10"/>
    </row>
    <row r="994" spans="20:20">
      <c r="T994" s="10"/>
    </row>
    <row r="995" spans="20:20">
      <c r="T995" s="10"/>
    </row>
    <row r="996" spans="20:20">
      <c r="T996" s="10"/>
    </row>
    <row r="997" spans="20:20">
      <c r="T997" s="10"/>
    </row>
    <row r="998" spans="20:20">
      <c r="T998" s="10"/>
    </row>
    <row r="999" spans="20:20">
      <c r="T999" s="10"/>
    </row>
    <row r="1000" spans="20:20">
      <c r="T1000" s="10"/>
    </row>
    <row r="1001" spans="20:20">
      <c r="T1001" s="10"/>
    </row>
    <row r="1002" spans="20:20">
      <c r="T1002" s="10"/>
    </row>
    <row r="1003" spans="20:20">
      <c r="T1003" s="10"/>
    </row>
    <row r="1004" spans="20:20">
      <c r="T1004" s="10"/>
    </row>
    <row r="1005" spans="20:20">
      <c r="T1005" s="10"/>
    </row>
    <row r="1006" spans="20:20">
      <c r="T1006" s="10"/>
    </row>
    <row r="1007" spans="20:20">
      <c r="T1007" s="10"/>
    </row>
    <row r="1008" spans="20:20">
      <c r="T1008" s="10"/>
    </row>
    <row r="1009" spans="20:20">
      <c r="T1009" s="10"/>
    </row>
    <row r="1010" spans="20:20">
      <c r="T1010" s="10"/>
    </row>
    <row r="1011" spans="20:20">
      <c r="T1011" s="10"/>
    </row>
    <row r="1012" spans="20:20">
      <c r="T1012" s="10"/>
    </row>
    <row r="1013" spans="20:20">
      <c r="T1013" s="10"/>
    </row>
    <row r="1014" spans="20:20">
      <c r="T1014" s="10"/>
    </row>
    <row r="1015" spans="20:20">
      <c r="T1015" s="10"/>
    </row>
    <row r="1016" spans="20:20">
      <c r="T1016" s="10"/>
    </row>
    <row r="1017" spans="20:20">
      <c r="T1017" s="10"/>
    </row>
    <row r="1018" spans="20:20">
      <c r="T1018" s="10"/>
    </row>
    <row r="1019" spans="20:20">
      <c r="T1019" s="10"/>
    </row>
    <row r="1020" spans="20:20">
      <c r="T1020" s="10"/>
    </row>
    <row r="1021" spans="20:20">
      <c r="T1021" s="10"/>
    </row>
    <row r="1022" spans="20:20">
      <c r="T1022" s="10"/>
    </row>
    <row r="1023" spans="20:20">
      <c r="T1023" s="10"/>
    </row>
    <row r="1024" spans="20:20">
      <c r="T1024" s="10"/>
    </row>
    <row r="1025" spans="20:20">
      <c r="T1025" s="10"/>
    </row>
    <row r="1026" spans="20:20">
      <c r="T1026" s="10"/>
    </row>
    <row r="1027" spans="20:20">
      <c r="T1027" s="10"/>
    </row>
    <row r="1028" spans="20:20">
      <c r="T1028" s="10"/>
    </row>
    <row r="1029" spans="20:20">
      <c r="T1029" s="10"/>
    </row>
    <row r="1030" spans="20:20">
      <c r="T1030" s="10"/>
    </row>
    <row r="1031" spans="20:20">
      <c r="T1031" s="10"/>
    </row>
    <row r="1032" spans="20:20">
      <c r="T1032" s="10"/>
    </row>
    <row r="1033" spans="20:20">
      <c r="T1033" s="10"/>
    </row>
    <row r="1034" spans="20:20">
      <c r="T1034" s="10"/>
    </row>
    <row r="1035" spans="20:20">
      <c r="T1035" s="10"/>
    </row>
    <row r="1036" spans="20:20">
      <c r="T1036" s="10"/>
    </row>
    <row r="1037" spans="20:20">
      <c r="T1037" s="10"/>
    </row>
    <row r="1038" spans="20:20">
      <c r="T1038" s="10"/>
    </row>
    <row r="1039" spans="20:20">
      <c r="T1039" s="10"/>
    </row>
    <row r="1040" spans="20:20">
      <c r="T1040" s="10"/>
    </row>
    <row r="1041" spans="20:20">
      <c r="T1041" s="10"/>
    </row>
    <row r="1042" spans="20:20">
      <c r="T1042" s="10"/>
    </row>
    <row r="1043" spans="20:20">
      <c r="T1043" s="10"/>
    </row>
    <row r="1044" spans="20:20">
      <c r="T1044" s="10"/>
    </row>
    <row r="1045" spans="20:20">
      <c r="T1045" s="10"/>
    </row>
    <row r="1046" spans="20:20">
      <c r="T1046" s="10"/>
    </row>
    <row r="1047" spans="20:20">
      <c r="T1047" s="10"/>
    </row>
    <row r="1048" spans="20:20">
      <c r="T1048" s="10"/>
    </row>
    <row r="1049" spans="20:20">
      <c r="T1049" s="10"/>
    </row>
    <row r="1050" spans="20:20">
      <c r="T1050" s="10"/>
    </row>
    <row r="1051" spans="20:20">
      <c r="T1051" s="10"/>
    </row>
    <row r="1052" spans="20:20">
      <c r="T1052" s="10"/>
    </row>
    <row r="1053" spans="20:20">
      <c r="T1053" s="10"/>
    </row>
    <row r="1054" spans="20:20">
      <c r="T1054" s="10"/>
    </row>
    <row r="1055" spans="20:20">
      <c r="T1055" s="10"/>
    </row>
    <row r="1056" spans="20:20">
      <c r="T1056" s="10"/>
    </row>
    <row r="1057" spans="20:20">
      <c r="T1057" s="10"/>
    </row>
    <row r="1058" spans="20:20">
      <c r="T1058" s="10"/>
    </row>
    <row r="1059" spans="20:20">
      <c r="T1059" s="10"/>
    </row>
    <row r="1060" spans="20:20">
      <c r="T1060" s="10"/>
    </row>
    <row r="1061" spans="20:20">
      <c r="T1061" s="10"/>
    </row>
    <row r="1062" spans="20:20">
      <c r="T1062" s="10"/>
    </row>
    <row r="1063" spans="20:20">
      <c r="T1063" s="10"/>
    </row>
    <row r="1064" spans="20:20">
      <c r="T1064" s="10"/>
    </row>
    <row r="1065" spans="20:20">
      <c r="T1065" s="10"/>
    </row>
    <row r="1066" spans="20:20">
      <c r="T1066" s="10"/>
    </row>
    <row r="1067" spans="20:20">
      <c r="T1067" s="10"/>
    </row>
    <row r="1068" spans="20:20">
      <c r="T1068" s="10"/>
    </row>
    <row r="1069" spans="20:20">
      <c r="T1069" s="10"/>
    </row>
    <row r="1070" spans="20:20">
      <c r="T1070" s="10"/>
    </row>
    <row r="1071" spans="20:20">
      <c r="T1071" s="10"/>
    </row>
    <row r="1072" spans="20:20">
      <c r="T1072" s="10"/>
    </row>
    <row r="1073" spans="20:20">
      <c r="T1073" s="10"/>
    </row>
    <row r="1074" spans="20:20">
      <c r="T1074" s="10"/>
    </row>
    <row r="1075" spans="20:20">
      <c r="T1075" s="10"/>
    </row>
    <row r="1076" spans="20:20">
      <c r="T1076" s="10"/>
    </row>
    <row r="1077" spans="20:20">
      <c r="T1077" s="10"/>
    </row>
    <row r="1078" spans="20:20">
      <c r="T1078" s="10"/>
    </row>
    <row r="1079" spans="20:20">
      <c r="T1079" s="10"/>
    </row>
    <row r="1080" spans="20:20">
      <c r="T1080" s="10"/>
    </row>
    <row r="1081" spans="20:20">
      <c r="T1081" s="10"/>
    </row>
    <row r="1082" spans="20:20">
      <c r="T1082" s="10"/>
    </row>
    <row r="1083" spans="20:20">
      <c r="T1083" s="10"/>
    </row>
    <row r="1084" spans="20:20">
      <c r="T1084" s="10"/>
    </row>
    <row r="1085" spans="20:20">
      <c r="T1085" s="10"/>
    </row>
    <row r="1086" spans="20:20">
      <c r="T1086" s="10"/>
    </row>
    <row r="1087" spans="20:20">
      <c r="T1087" s="10"/>
    </row>
    <row r="1088" spans="20:20">
      <c r="T1088" s="10"/>
    </row>
    <row r="1089" spans="20:20">
      <c r="T1089" s="10"/>
    </row>
    <row r="1090" spans="20:20">
      <c r="T1090" s="10"/>
    </row>
    <row r="1091" spans="20:20">
      <c r="T1091" s="10"/>
    </row>
    <row r="1092" spans="20:20">
      <c r="T1092" s="10"/>
    </row>
    <row r="1093" spans="20:20">
      <c r="T1093" s="10"/>
    </row>
    <row r="1094" spans="20:20">
      <c r="T1094" s="10"/>
    </row>
    <row r="1095" spans="20:20">
      <c r="T1095" s="10"/>
    </row>
    <row r="1096" spans="20:20">
      <c r="T1096" s="10"/>
    </row>
    <row r="1097" spans="20:20">
      <c r="T1097" s="10"/>
    </row>
    <row r="1098" spans="20:20">
      <c r="T1098" s="10"/>
    </row>
    <row r="1099" spans="20:20">
      <c r="T1099" s="10"/>
    </row>
    <row r="1100" spans="20:20">
      <c r="T1100" s="10"/>
    </row>
    <row r="1101" spans="20:20">
      <c r="T1101" s="10"/>
    </row>
    <row r="1102" spans="20:20">
      <c r="T1102" s="10"/>
    </row>
    <row r="1103" spans="20:20">
      <c r="T1103" s="10"/>
    </row>
    <row r="1104" spans="20:20">
      <c r="T1104" s="10"/>
    </row>
    <row r="1105" spans="20:20">
      <c r="T1105" s="10"/>
    </row>
    <row r="1106" spans="20:20">
      <c r="T1106" s="10"/>
    </row>
    <row r="1107" spans="20:20">
      <c r="T1107" s="10"/>
    </row>
    <row r="1108" spans="20:20">
      <c r="T1108" s="10"/>
    </row>
    <row r="1109" spans="20:20">
      <c r="T1109" s="10"/>
    </row>
    <row r="1110" spans="20:20">
      <c r="T1110" s="10"/>
    </row>
    <row r="1111" spans="20:20">
      <c r="T1111" s="10"/>
    </row>
    <row r="1112" spans="20:20">
      <c r="T1112" s="10"/>
    </row>
    <row r="1113" spans="20:20">
      <c r="T1113" s="10"/>
    </row>
    <row r="1114" spans="20:20">
      <c r="T1114" s="10"/>
    </row>
    <row r="1115" spans="20:20">
      <c r="T1115" s="10"/>
    </row>
    <row r="1116" spans="20:20">
      <c r="T1116" s="10"/>
    </row>
    <row r="1117" spans="20:20">
      <c r="T1117" s="10"/>
    </row>
    <row r="1118" spans="20:20">
      <c r="T1118" s="10"/>
    </row>
    <row r="1119" spans="20:20">
      <c r="T1119" s="10"/>
    </row>
    <row r="1120" spans="20:20">
      <c r="T1120" s="10"/>
    </row>
    <row r="1121" spans="20:20">
      <c r="T1121" s="10"/>
    </row>
    <row r="1122" spans="20:20">
      <c r="T1122" s="10"/>
    </row>
    <row r="1123" spans="20:20">
      <c r="T1123" s="10"/>
    </row>
    <row r="1124" spans="20:20">
      <c r="T1124" s="10"/>
    </row>
    <row r="1125" spans="20:20">
      <c r="T1125" s="10"/>
    </row>
    <row r="1126" spans="20:20">
      <c r="T1126" s="10"/>
    </row>
    <row r="1127" spans="20:20">
      <c r="T1127" s="10"/>
    </row>
    <row r="1128" spans="20:20">
      <c r="T1128" s="10"/>
    </row>
    <row r="1129" spans="20:20">
      <c r="T1129" s="10"/>
    </row>
    <row r="1130" spans="20:20">
      <c r="T1130" s="10"/>
    </row>
    <row r="1131" spans="20:20">
      <c r="T1131" s="10"/>
    </row>
    <row r="1132" spans="20:20">
      <c r="T1132" s="10"/>
    </row>
    <row r="1133" spans="20:20">
      <c r="T1133" s="10"/>
    </row>
    <row r="1134" spans="20:20">
      <c r="T1134" s="10"/>
    </row>
    <row r="1135" spans="20:20">
      <c r="T1135" s="10"/>
    </row>
    <row r="1136" spans="20:20">
      <c r="T1136" s="10"/>
    </row>
    <row r="1137" spans="20:20">
      <c r="T1137" s="10"/>
    </row>
    <row r="1138" spans="20:20">
      <c r="T1138" s="10"/>
    </row>
    <row r="1139" spans="20:20">
      <c r="T1139" s="10"/>
    </row>
    <row r="1140" spans="20:20">
      <c r="T1140" s="10"/>
    </row>
    <row r="1141" spans="20:20">
      <c r="T1141" s="10"/>
    </row>
    <row r="1142" spans="20:20">
      <c r="T1142" s="10"/>
    </row>
    <row r="1143" spans="20:20">
      <c r="T1143" s="10"/>
    </row>
    <row r="1144" spans="20:20">
      <c r="T1144" s="10"/>
    </row>
    <row r="1145" spans="20:20">
      <c r="T1145" s="10"/>
    </row>
    <row r="1146" spans="20:20">
      <c r="T1146" s="10"/>
    </row>
    <row r="1147" spans="20:20">
      <c r="T1147" s="10"/>
    </row>
    <row r="1148" spans="20:20">
      <c r="T1148" s="10"/>
    </row>
    <row r="1149" spans="20:20">
      <c r="T1149" s="10"/>
    </row>
    <row r="1150" spans="20:20">
      <c r="T1150" s="10"/>
    </row>
    <row r="1151" spans="20:20">
      <c r="T1151" s="10"/>
    </row>
    <row r="1152" spans="20:20">
      <c r="T1152" s="10"/>
    </row>
    <row r="1153" spans="20:20">
      <c r="T1153" s="10"/>
    </row>
    <row r="1154" spans="20:20">
      <c r="T1154" s="10"/>
    </row>
    <row r="1155" spans="20:20">
      <c r="T1155" s="10"/>
    </row>
    <row r="1156" spans="20:20">
      <c r="T1156" s="10"/>
    </row>
    <row r="1157" spans="20:20">
      <c r="T1157" s="10"/>
    </row>
    <row r="1158" spans="20:20">
      <c r="T1158" s="10"/>
    </row>
    <row r="1159" spans="20:20">
      <c r="T1159" s="10"/>
    </row>
    <row r="1160" spans="20:20">
      <c r="T1160" s="10"/>
    </row>
    <row r="1161" spans="20:20">
      <c r="T1161" s="10"/>
    </row>
    <row r="1162" spans="20:20">
      <c r="T1162" s="10"/>
    </row>
    <row r="1163" spans="20:20">
      <c r="T1163" s="10"/>
    </row>
    <row r="1164" spans="20:20">
      <c r="T1164" s="10"/>
    </row>
    <row r="1165" spans="20:20">
      <c r="T1165" s="10"/>
    </row>
    <row r="1166" spans="20:20">
      <c r="T1166" s="10"/>
    </row>
    <row r="1167" spans="20:20">
      <c r="T1167" s="10"/>
    </row>
    <row r="1168" spans="20:20">
      <c r="T1168" s="10"/>
    </row>
    <row r="1169" spans="20:20">
      <c r="T1169" s="10"/>
    </row>
    <row r="1170" spans="20:20">
      <c r="T1170" s="10"/>
    </row>
    <row r="1171" spans="20:20">
      <c r="T1171" s="10"/>
    </row>
    <row r="1172" spans="20:20">
      <c r="T1172" s="10"/>
    </row>
    <row r="1173" spans="20:20">
      <c r="T1173" s="10"/>
    </row>
    <row r="1174" spans="20:20">
      <c r="T1174" s="10"/>
    </row>
    <row r="1175" spans="20:20">
      <c r="T1175" s="10"/>
    </row>
    <row r="1176" spans="20:20">
      <c r="T1176" s="10"/>
    </row>
    <row r="1177" spans="20:20">
      <c r="T1177" s="10"/>
    </row>
    <row r="1178" spans="20:20">
      <c r="T1178" s="10"/>
    </row>
    <row r="1179" spans="20:20">
      <c r="T1179" s="10"/>
    </row>
    <row r="1180" spans="20:20">
      <c r="T1180" s="10"/>
    </row>
    <row r="1181" spans="20:20">
      <c r="T1181" s="10"/>
    </row>
    <row r="1182" spans="20:20">
      <c r="T1182" s="10"/>
    </row>
    <row r="1183" spans="20:20">
      <c r="T1183" s="10"/>
    </row>
    <row r="1184" spans="20:20">
      <c r="T1184" s="10"/>
    </row>
    <row r="1185" spans="20:20">
      <c r="T1185" s="10"/>
    </row>
    <row r="1186" spans="20:20">
      <c r="T1186" s="10"/>
    </row>
    <row r="1187" spans="20:20">
      <c r="T1187" s="10"/>
    </row>
    <row r="1188" spans="20:20">
      <c r="T1188" s="10"/>
    </row>
    <row r="1189" spans="20:20">
      <c r="T1189" s="10"/>
    </row>
    <row r="1190" spans="20:20">
      <c r="T1190" s="10"/>
    </row>
    <row r="1191" spans="20:20">
      <c r="T1191" s="10"/>
    </row>
    <row r="1192" spans="20:20">
      <c r="T1192" s="10"/>
    </row>
    <row r="1193" spans="20:20">
      <c r="T1193" s="10"/>
    </row>
    <row r="1194" spans="20:20">
      <c r="T1194" s="10"/>
    </row>
    <row r="1195" spans="20:20">
      <c r="T1195" s="10"/>
    </row>
    <row r="1196" spans="20:20">
      <c r="T1196" s="10"/>
    </row>
    <row r="1197" spans="20:20">
      <c r="T1197" s="10"/>
    </row>
    <row r="1198" spans="20:20">
      <c r="T1198" s="10"/>
    </row>
    <row r="1199" spans="20:20">
      <c r="T1199" s="10"/>
    </row>
    <row r="1200" spans="20:20">
      <c r="T1200" s="10"/>
    </row>
    <row r="1201" spans="20:20">
      <c r="T1201" s="10"/>
    </row>
    <row r="1202" spans="20:20">
      <c r="T1202" s="10"/>
    </row>
    <row r="1203" spans="20:20">
      <c r="T1203" s="10"/>
    </row>
    <row r="1204" spans="20:20">
      <c r="T1204" s="10"/>
    </row>
    <row r="1205" spans="20:20">
      <c r="T1205" s="10"/>
    </row>
    <row r="1206" spans="20:20">
      <c r="T1206" s="10"/>
    </row>
    <row r="1207" spans="20:20">
      <c r="T1207" s="10"/>
    </row>
    <row r="1208" spans="20:20">
      <c r="T1208" s="10"/>
    </row>
    <row r="1209" spans="20:20">
      <c r="T1209" s="10"/>
    </row>
    <row r="1210" spans="20:20">
      <c r="T1210" s="10"/>
    </row>
    <row r="1211" spans="20:20">
      <c r="T1211" s="10"/>
    </row>
    <row r="1212" spans="20:20">
      <c r="T1212" s="10"/>
    </row>
    <row r="1213" spans="20:20">
      <c r="T1213" s="10"/>
    </row>
    <row r="1214" spans="20:20">
      <c r="T1214" s="10"/>
    </row>
    <row r="1215" spans="20:20">
      <c r="T1215" s="10"/>
    </row>
    <row r="1216" spans="20:20">
      <c r="T1216" s="10"/>
    </row>
    <row r="1217" spans="20:20">
      <c r="T1217" s="10"/>
    </row>
    <row r="1218" spans="20:20">
      <c r="T1218" s="10"/>
    </row>
    <row r="1219" spans="20:20">
      <c r="T1219" s="10"/>
    </row>
    <row r="1220" spans="20:20">
      <c r="T1220" s="10"/>
    </row>
    <row r="1221" spans="20:20">
      <c r="T1221" s="10"/>
    </row>
    <row r="1222" spans="20:20">
      <c r="T1222" s="10"/>
    </row>
    <row r="1223" spans="20:20">
      <c r="T1223" s="10"/>
    </row>
    <row r="1224" spans="20:20">
      <c r="T1224" s="10"/>
    </row>
    <row r="1225" spans="20:20">
      <c r="T1225" s="10"/>
    </row>
    <row r="1226" spans="20:20">
      <c r="T1226" s="10"/>
    </row>
    <row r="1227" spans="20:20">
      <c r="T1227" s="10"/>
    </row>
    <row r="1228" spans="20:20">
      <c r="T1228" s="10"/>
    </row>
    <row r="1229" spans="20:20">
      <c r="T1229" s="10"/>
    </row>
    <row r="1230" spans="20:20">
      <c r="T1230" s="10"/>
    </row>
    <row r="1231" spans="20:20">
      <c r="T1231" s="10"/>
    </row>
    <row r="1232" spans="20:20">
      <c r="T1232" s="10"/>
    </row>
    <row r="1233" spans="20:20">
      <c r="T1233" s="10"/>
    </row>
    <row r="1234" spans="20:20">
      <c r="T1234" s="10"/>
    </row>
    <row r="1235" spans="20:20">
      <c r="T1235" s="10"/>
    </row>
    <row r="1236" spans="20:20">
      <c r="T1236" s="10"/>
    </row>
    <row r="1237" spans="20:20">
      <c r="T1237" s="10"/>
    </row>
    <row r="1238" spans="20:20">
      <c r="T1238" s="10"/>
    </row>
    <row r="1239" spans="20:20">
      <c r="T1239" s="10"/>
    </row>
    <row r="1240" spans="20:20">
      <c r="T1240" s="10"/>
    </row>
    <row r="1241" spans="20:20">
      <c r="T1241" s="10"/>
    </row>
    <row r="1242" spans="20:20">
      <c r="T1242" s="10"/>
    </row>
    <row r="1243" spans="20:20">
      <c r="T1243" s="10"/>
    </row>
    <row r="1244" spans="20:20">
      <c r="T1244" s="10"/>
    </row>
    <row r="1245" spans="20:20">
      <c r="T1245" s="10"/>
    </row>
    <row r="1246" spans="20:20">
      <c r="T1246" s="10"/>
    </row>
    <row r="1247" spans="20:20">
      <c r="T1247" s="10"/>
    </row>
    <row r="1248" spans="20:20">
      <c r="T1248" s="10"/>
    </row>
    <row r="1249" spans="20:20">
      <c r="T1249" s="10"/>
    </row>
    <row r="1250" spans="20:20">
      <c r="T1250" s="10"/>
    </row>
    <row r="1251" spans="20:20">
      <c r="T1251" s="10"/>
    </row>
    <row r="1252" spans="20:20">
      <c r="T1252" s="10"/>
    </row>
    <row r="1253" spans="20:20">
      <c r="T1253" s="10"/>
    </row>
    <row r="1254" spans="20:20">
      <c r="T1254" s="10"/>
    </row>
    <row r="1255" spans="20:20">
      <c r="T1255" s="10"/>
    </row>
    <row r="1256" spans="20:20">
      <c r="T1256" s="10"/>
    </row>
    <row r="1257" spans="20:20">
      <c r="T1257" s="10"/>
    </row>
    <row r="1258" spans="20:20">
      <c r="T1258" s="10"/>
    </row>
    <row r="1259" spans="20:20">
      <c r="T1259" s="10"/>
    </row>
    <row r="1260" spans="20:20">
      <c r="T1260" s="10"/>
    </row>
    <row r="1261" spans="20:20">
      <c r="T1261" s="10"/>
    </row>
    <row r="1262" spans="20:20">
      <c r="T1262" s="10"/>
    </row>
    <row r="1263" spans="20:20">
      <c r="T1263" s="10"/>
    </row>
    <row r="1264" spans="20:20">
      <c r="T1264" s="10"/>
    </row>
    <row r="1265" spans="20:20">
      <c r="T1265" s="10"/>
    </row>
    <row r="1266" spans="20:20">
      <c r="T1266" s="10"/>
    </row>
    <row r="1267" spans="20:20">
      <c r="T1267" s="10"/>
    </row>
    <row r="1268" spans="20:20">
      <c r="T1268" s="10"/>
    </row>
    <row r="1269" spans="20:20">
      <c r="T1269" s="10"/>
    </row>
    <row r="1270" spans="20:20">
      <c r="T1270" s="10"/>
    </row>
    <row r="1271" spans="20:20">
      <c r="T1271" s="10"/>
    </row>
    <row r="1272" spans="20:20">
      <c r="T1272" s="10"/>
    </row>
    <row r="1273" spans="20:20">
      <c r="T1273" s="10"/>
    </row>
    <row r="1274" spans="20:20">
      <c r="T1274" s="10"/>
    </row>
    <row r="1275" spans="20:20">
      <c r="T1275" s="10"/>
    </row>
    <row r="1276" spans="20:20">
      <c r="T1276" s="10"/>
    </row>
    <row r="1277" spans="20:20">
      <c r="T1277" s="10"/>
    </row>
    <row r="1278" spans="20:20">
      <c r="T1278" s="10"/>
    </row>
    <row r="1279" spans="20:20">
      <c r="T1279" s="10"/>
    </row>
    <row r="1280" spans="20:20">
      <c r="T1280" s="10"/>
    </row>
    <row r="1281" spans="20:20">
      <c r="T1281" s="10"/>
    </row>
    <row r="1282" spans="20:20">
      <c r="T1282" s="10"/>
    </row>
    <row r="1283" spans="20:20">
      <c r="T1283" s="10"/>
    </row>
    <row r="1284" spans="20:20">
      <c r="T1284" s="10"/>
    </row>
    <row r="1285" spans="20:20">
      <c r="T1285" s="10"/>
    </row>
    <row r="1286" spans="20:20">
      <c r="T1286" s="10"/>
    </row>
    <row r="1287" spans="20:20">
      <c r="T1287" s="10"/>
    </row>
    <row r="1288" spans="20:20">
      <c r="T1288" s="10"/>
    </row>
    <row r="1289" spans="20:20">
      <c r="T1289" s="10"/>
    </row>
    <row r="1290" spans="20:20">
      <c r="T1290" s="10"/>
    </row>
    <row r="1291" spans="20:20">
      <c r="T1291" s="10"/>
    </row>
    <row r="1292" spans="20:20">
      <c r="T1292" s="10"/>
    </row>
    <row r="1293" spans="20:20">
      <c r="T1293" s="10"/>
    </row>
    <row r="1294" spans="20:20">
      <c r="T1294" s="10"/>
    </row>
    <row r="1295" spans="20:20">
      <c r="T1295" s="10"/>
    </row>
    <row r="1296" spans="20:20">
      <c r="T1296" s="10"/>
    </row>
    <row r="1297" spans="20:20">
      <c r="T1297" s="10"/>
    </row>
    <row r="1298" spans="20:20">
      <c r="T1298" s="10"/>
    </row>
    <row r="1299" spans="20:20">
      <c r="T1299" s="10"/>
    </row>
    <row r="1300" spans="20:20">
      <c r="T1300" s="10"/>
    </row>
    <row r="1301" spans="20:20">
      <c r="T1301" s="10"/>
    </row>
    <row r="1302" spans="20:20">
      <c r="T1302" s="10"/>
    </row>
    <row r="1303" spans="20:20">
      <c r="T1303" s="10"/>
    </row>
    <row r="1304" spans="20:20">
      <c r="T1304" s="10"/>
    </row>
    <row r="1305" spans="20:20">
      <c r="T1305" s="10"/>
    </row>
    <row r="1306" spans="20:20">
      <c r="T1306" s="10"/>
    </row>
    <row r="1307" spans="20:20">
      <c r="T1307" s="10"/>
    </row>
    <row r="1308" spans="20:20">
      <c r="T1308" s="10"/>
    </row>
    <row r="1309" spans="20:20">
      <c r="T1309" s="10"/>
    </row>
    <row r="1310" spans="20:20">
      <c r="T1310" s="10"/>
    </row>
    <row r="1311" spans="20:20">
      <c r="T1311" s="10"/>
    </row>
    <row r="1312" spans="20:20">
      <c r="T1312" s="10"/>
    </row>
    <row r="1313" spans="20:20">
      <c r="T1313" s="10"/>
    </row>
    <row r="1314" spans="20:20">
      <c r="T1314" s="10"/>
    </row>
    <row r="1315" spans="20:20">
      <c r="T1315" s="10"/>
    </row>
    <row r="1316" spans="20:20">
      <c r="T1316" s="10"/>
    </row>
    <row r="1317" spans="20:20">
      <c r="T1317" s="10"/>
    </row>
    <row r="1318" spans="20:20">
      <c r="T1318" s="10"/>
    </row>
    <row r="1319" spans="20:20">
      <c r="T1319" s="10"/>
    </row>
    <row r="1320" spans="20:20">
      <c r="T1320" s="10"/>
    </row>
    <row r="1321" spans="20:20">
      <c r="T1321" s="10"/>
    </row>
    <row r="1322" spans="20:20">
      <c r="T1322" s="10"/>
    </row>
    <row r="1323" spans="20:20">
      <c r="T1323" s="10"/>
    </row>
    <row r="1324" spans="20:20">
      <c r="T1324" s="10"/>
    </row>
    <row r="1325" spans="20:20">
      <c r="T1325" s="10"/>
    </row>
    <row r="1326" spans="20:20">
      <c r="T1326" s="10"/>
    </row>
    <row r="1327" spans="20:20">
      <c r="T1327" s="10"/>
    </row>
    <row r="1328" spans="20:20">
      <c r="T1328" s="10"/>
    </row>
    <row r="1329" spans="20:20">
      <c r="T1329" s="10"/>
    </row>
    <row r="1330" spans="20:20">
      <c r="T1330" s="10"/>
    </row>
    <row r="1331" spans="20:20">
      <c r="T1331" s="10"/>
    </row>
    <row r="1332" spans="20:20">
      <c r="T1332" s="10"/>
    </row>
    <row r="1333" spans="20:20">
      <c r="T1333" s="10"/>
    </row>
    <row r="1334" spans="20:20">
      <c r="T1334" s="10"/>
    </row>
    <row r="1335" spans="20:20">
      <c r="T1335" s="10"/>
    </row>
    <row r="1336" spans="20:20">
      <c r="T1336" s="10"/>
    </row>
    <row r="1337" spans="20:20">
      <c r="T1337" s="10"/>
    </row>
    <row r="1338" spans="20:20">
      <c r="T1338" s="10"/>
    </row>
    <row r="1339" spans="20:20">
      <c r="T1339" s="10"/>
    </row>
    <row r="1340" spans="20:20">
      <c r="T1340" s="10"/>
    </row>
    <row r="1341" spans="20:20">
      <c r="T1341" s="10"/>
    </row>
    <row r="1342" spans="20:20">
      <c r="T1342" s="10"/>
    </row>
    <row r="1343" spans="20:20">
      <c r="T1343" s="10"/>
    </row>
    <row r="1344" spans="20:20">
      <c r="T1344" s="10"/>
    </row>
    <row r="1345" spans="20:20">
      <c r="T1345" s="10"/>
    </row>
    <row r="1346" spans="20:20">
      <c r="T1346" s="10"/>
    </row>
    <row r="1347" spans="20:20">
      <c r="T1347" s="10"/>
    </row>
    <row r="1348" spans="20:20">
      <c r="T1348" s="10"/>
    </row>
    <row r="1349" spans="20:20">
      <c r="T1349" s="10"/>
    </row>
    <row r="1350" spans="20:20">
      <c r="T1350" s="10"/>
    </row>
    <row r="1351" spans="20:20">
      <c r="T1351" s="10"/>
    </row>
    <row r="1352" spans="20:20">
      <c r="T1352" s="10"/>
    </row>
    <row r="1353" spans="20:20">
      <c r="T1353" s="10"/>
    </row>
    <row r="1354" spans="20:20">
      <c r="T1354" s="10"/>
    </row>
    <row r="1355" spans="20:20">
      <c r="T1355" s="10"/>
    </row>
    <row r="1356" spans="20:20">
      <c r="T1356" s="10"/>
    </row>
    <row r="1357" spans="20:20">
      <c r="T1357" s="10"/>
    </row>
    <row r="1358" spans="20:20">
      <c r="T1358" s="10"/>
    </row>
    <row r="1359" spans="20:20">
      <c r="T1359" s="10"/>
    </row>
    <row r="1360" spans="20:20">
      <c r="T1360" s="10"/>
    </row>
    <row r="1361" spans="20:20">
      <c r="T1361" s="10"/>
    </row>
    <row r="1362" spans="20:20">
      <c r="T1362" s="10"/>
    </row>
    <row r="1363" spans="20:20">
      <c r="T1363" s="10"/>
    </row>
    <row r="1364" spans="20:20">
      <c r="T1364" s="10"/>
    </row>
    <row r="1365" spans="20:20">
      <c r="T1365" s="10"/>
    </row>
    <row r="1366" spans="20:20">
      <c r="T1366" s="10"/>
    </row>
    <row r="1367" spans="20:20">
      <c r="T1367" s="10"/>
    </row>
    <row r="1368" spans="20:20">
      <c r="T1368" s="10"/>
    </row>
    <row r="1369" spans="20:20">
      <c r="T1369" s="10"/>
    </row>
    <row r="1370" spans="20:20">
      <c r="T1370" s="10"/>
    </row>
    <row r="1371" spans="20:20">
      <c r="T1371" s="10"/>
    </row>
    <row r="1372" spans="20:20">
      <c r="T1372" s="10"/>
    </row>
    <row r="1373" spans="20:20">
      <c r="T1373" s="10"/>
    </row>
    <row r="1374" spans="20:20">
      <c r="T1374" s="10"/>
    </row>
    <row r="1375" spans="20:20">
      <c r="T1375" s="10"/>
    </row>
    <row r="1376" spans="20:20">
      <c r="T1376" s="10"/>
    </row>
    <row r="1377" spans="20:20">
      <c r="T1377" s="10"/>
    </row>
    <row r="1378" spans="20:20">
      <c r="T1378" s="10"/>
    </row>
    <row r="1379" spans="20:20">
      <c r="T1379" s="10"/>
    </row>
    <row r="1380" spans="20:20">
      <c r="T1380" s="10"/>
    </row>
    <row r="1381" spans="20:20">
      <c r="T1381" s="10"/>
    </row>
    <row r="1382" spans="20:20">
      <c r="T1382" s="10"/>
    </row>
    <row r="1383" spans="20:20">
      <c r="T1383" s="10"/>
    </row>
    <row r="1384" spans="20:20">
      <c r="T1384" s="10"/>
    </row>
    <row r="1385" spans="20:20">
      <c r="T1385" s="10"/>
    </row>
    <row r="1386" spans="20:20">
      <c r="T1386" s="10"/>
    </row>
    <row r="1387" spans="20:20">
      <c r="T1387" s="10"/>
    </row>
    <row r="1388" spans="20:20">
      <c r="T1388" s="10"/>
    </row>
    <row r="1389" spans="20:20">
      <c r="T1389" s="10"/>
    </row>
    <row r="1390" spans="20:20">
      <c r="T1390" s="10"/>
    </row>
    <row r="1391" spans="20:20">
      <c r="T1391" s="10"/>
    </row>
    <row r="1392" spans="20:20">
      <c r="T1392" s="10"/>
    </row>
    <row r="1393" spans="20:20">
      <c r="T1393" s="10"/>
    </row>
    <row r="1394" spans="20:20">
      <c r="T1394" s="10"/>
    </row>
    <row r="1395" spans="20:20">
      <c r="T1395" s="10"/>
    </row>
    <row r="1396" spans="20:20">
      <c r="T1396" s="10"/>
    </row>
    <row r="1397" spans="20:20">
      <c r="T1397" s="10"/>
    </row>
    <row r="1398" spans="20:20">
      <c r="T1398" s="10"/>
    </row>
    <row r="1399" spans="20:20">
      <c r="T1399" s="10"/>
    </row>
    <row r="1400" spans="20:20">
      <c r="T1400" s="10"/>
    </row>
    <row r="1401" spans="20:20">
      <c r="T1401" s="10"/>
    </row>
    <row r="1402" spans="20:20">
      <c r="T1402" s="10"/>
    </row>
    <row r="1403" spans="20:20">
      <c r="T1403" s="10"/>
    </row>
    <row r="1404" spans="20:20">
      <c r="T1404" s="10"/>
    </row>
    <row r="1405" spans="20:20">
      <c r="T1405" s="10"/>
    </row>
    <row r="1406" spans="20:20">
      <c r="T1406" s="10"/>
    </row>
    <row r="1407" spans="20:20">
      <c r="T1407" s="10"/>
    </row>
    <row r="1408" spans="20:20">
      <c r="T1408" s="10"/>
    </row>
    <row r="1409" spans="20:20">
      <c r="T1409" s="10"/>
    </row>
    <row r="1410" spans="20:20">
      <c r="T1410" s="10"/>
    </row>
    <row r="1411" spans="20:20">
      <c r="T1411" s="10"/>
    </row>
    <row r="1412" spans="20:20">
      <c r="T1412" s="10"/>
    </row>
    <row r="1413" spans="20:20">
      <c r="T1413" s="10"/>
    </row>
    <row r="1414" spans="20:20">
      <c r="T1414" s="10"/>
    </row>
    <row r="1415" spans="20:20">
      <c r="T1415" s="10"/>
    </row>
    <row r="1416" spans="20:20">
      <c r="T1416" s="10"/>
    </row>
    <row r="1417" spans="20:20">
      <c r="T1417" s="10"/>
    </row>
    <row r="1418" spans="20:20">
      <c r="T1418" s="10"/>
    </row>
    <row r="1419" spans="20:20">
      <c r="T1419" s="10"/>
    </row>
    <row r="1420" spans="20:20">
      <c r="T1420" s="10"/>
    </row>
    <row r="1421" spans="20:20">
      <c r="T1421" s="10"/>
    </row>
    <row r="1422" spans="20:20">
      <c r="T1422" s="10"/>
    </row>
    <row r="1423" spans="20:20">
      <c r="T1423" s="10"/>
    </row>
    <row r="1424" spans="20:20">
      <c r="T1424" s="10"/>
    </row>
    <row r="1425" spans="20:20">
      <c r="T1425" s="10"/>
    </row>
    <row r="1426" spans="20:20">
      <c r="T1426" s="10"/>
    </row>
    <row r="1427" spans="20:20">
      <c r="T1427" s="10"/>
    </row>
    <row r="1428" spans="20:20">
      <c r="T1428" s="10"/>
    </row>
    <row r="1429" spans="20:20">
      <c r="T1429" s="10"/>
    </row>
    <row r="1430" spans="20:20">
      <c r="T1430" s="10"/>
    </row>
    <row r="1431" spans="20:20">
      <c r="T1431" s="10"/>
    </row>
    <row r="1432" spans="20:20">
      <c r="T1432" s="10"/>
    </row>
    <row r="1433" spans="20:20">
      <c r="T1433" s="10"/>
    </row>
    <row r="1434" spans="20:20">
      <c r="T1434" s="10"/>
    </row>
    <row r="1435" spans="20:20">
      <c r="T1435" s="10"/>
    </row>
    <row r="1436" spans="20:20">
      <c r="T1436" s="10"/>
    </row>
    <row r="1437" spans="20:20">
      <c r="T1437" s="10"/>
    </row>
    <row r="1438" spans="20:20">
      <c r="T1438" s="10"/>
    </row>
    <row r="1439" spans="20:20">
      <c r="T1439" s="10"/>
    </row>
    <row r="1440" spans="20:20">
      <c r="T1440" s="10"/>
    </row>
    <row r="1441" spans="20:20">
      <c r="T1441" s="10"/>
    </row>
    <row r="1442" spans="20:20">
      <c r="T1442" s="10"/>
    </row>
    <row r="1443" spans="20:20">
      <c r="T1443" s="10"/>
    </row>
    <row r="1444" spans="20:20">
      <c r="T1444" s="10"/>
    </row>
    <row r="1445" spans="20:20">
      <c r="T1445" s="10"/>
    </row>
    <row r="1446" spans="20:20">
      <c r="T1446" s="10"/>
    </row>
    <row r="1447" spans="20:20">
      <c r="T1447" s="10"/>
    </row>
    <row r="1448" spans="20:20">
      <c r="T1448" s="10"/>
    </row>
    <row r="1449" spans="20:20">
      <c r="T1449" s="10"/>
    </row>
    <row r="1450" spans="20:20">
      <c r="T1450" s="10"/>
    </row>
    <row r="1451" spans="20:20">
      <c r="T1451" s="10"/>
    </row>
    <row r="1452" spans="20:20">
      <c r="T1452" s="10"/>
    </row>
    <row r="1453" spans="20:20">
      <c r="T1453" s="10"/>
    </row>
    <row r="1454" spans="20:20">
      <c r="T1454" s="10"/>
    </row>
    <row r="1455" spans="20:20">
      <c r="T1455" s="10"/>
    </row>
    <row r="1456" spans="20:20">
      <c r="T1456" s="10"/>
    </row>
    <row r="1457" spans="20:20">
      <c r="T1457" s="10"/>
    </row>
    <row r="1458" spans="20:20">
      <c r="T1458" s="10"/>
    </row>
    <row r="1459" spans="20:20">
      <c r="T1459" s="10"/>
    </row>
    <row r="1460" spans="20:20">
      <c r="T1460" s="10"/>
    </row>
    <row r="1461" spans="20:20">
      <c r="T1461" s="10"/>
    </row>
    <row r="1462" spans="20:20">
      <c r="T1462" s="10"/>
    </row>
    <row r="1463" spans="20:20">
      <c r="T1463" s="10"/>
    </row>
    <row r="1464" spans="20:20">
      <c r="T1464" s="10"/>
    </row>
    <row r="1465" spans="20:20">
      <c r="T1465" s="10"/>
    </row>
    <row r="1466" spans="20:20">
      <c r="T1466" s="10"/>
    </row>
    <row r="1467" spans="20:20">
      <c r="T1467" s="10"/>
    </row>
    <row r="1468" spans="20:20">
      <c r="T1468" s="10"/>
    </row>
    <row r="1469" spans="20:20">
      <c r="T1469" s="10"/>
    </row>
    <row r="1470" spans="20:20">
      <c r="T1470" s="10"/>
    </row>
    <row r="1471" spans="20:20">
      <c r="T1471" s="10"/>
    </row>
    <row r="1472" spans="20:20">
      <c r="T1472" s="10"/>
    </row>
    <row r="1473" spans="20:20">
      <c r="T1473" s="10"/>
    </row>
    <row r="1474" spans="20:20">
      <c r="T1474" s="10"/>
    </row>
    <row r="1475" spans="20:20">
      <c r="T1475" s="10"/>
    </row>
    <row r="1476" spans="20:20">
      <c r="T1476" s="10"/>
    </row>
    <row r="1477" spans="20:20">
      <c r="T1477" s="10"/>
    </row>
    <row r="1478" spans="20:20">
      <c r="T1478" s="10"/>
    </row>
    <row r="1479" spans="20:20">
      <c r="T1479" s="10"/>
    </row>
    <row r="1480" spans="20:20">
      <c r="T1480" s="10"/>
    </row>
    <row r="1481" spans="20:20">
      <c r="T1481" s="10"/>
    </row>
    <row r="1482" spans="20:20">
      <c r="T1482" s="10"/>
    </row>
    <row r="1483" spans="20:20">
      <c r="T1483" s="10"/>
    </row>
    <row r="1484" spans="20:20">
      <c r="T1484" s="10"/>
    </row>
    <row r="1485" spans="20:20">
      <c r="T1485" s="10"/>
    </row>
    <row r="1486" spans="20:20">
      <c r="T1486" s="10"/>
    </row>
    <row r="1487" spans="20:20">
      <c r="T1487" s="10"/>
    </row>
    <row r="1488" spans="20:20">
      <c r="T1488" s="10"/>
    </row>
    <row r="1489" spans="20:20">
      <c r="T1489" s="10"/>
    </row>
    <row r="1490" spans="20:20">
      <c r="T1490" s="10"/>
    </row>
    <row r="1491" spans="20:20">
      <c r="T1491" s="10"/>
    </row>
    <row r="1492" spans="20:20">
      <c r="T1492" s="10"/>
    </row>
    <row r="1493" spans="20:20">
      <c r="T1493" s="10"/>
    </row>
    <row r="1494" spans="20:20">
      <c r="T1494" s="10"/>
    </row>
    <row r="1495" spans="20:20">
      <c r="T1495" s="10"/>
    </row>
    <row r="1496" spans="20:20">
      <c r="T1496" s="10"/>
    </row>
    <row r="1497" spans="20:20">
      <c r="T1497" s="10"/>
    </row>
    <row r="1498" spans="20:20">
      <c r="T1498" s="10"/>
    </row>
    <row r="1499" spans="20:20">
      <c r="T1499" s="10"/>
    </row>
    <row r="1500" spans="20:20">
      <c r="T1500" s="10"/>
    </row>
    <row r="1501" spans="20:20">
      <c r="T1501" s="10"/>
    </row>
    <row r="1502" spans="20:20">
      <c r="T1502" s="10"/>
    </row>
    <row r="1503" spans="20:20">
      <c r="T1503" s="10"/>
    </row>
    <row r="1504" spans="20:20">
      <c r="T1504" s="10"/>
    </row>
    <row r="1505" spans="20:20">
      <c r="T1505" s="10"/>
    </row>
    <row r="1506" spans="20:20">
      <c r="T1506" s="10"/>
    </row>
    <row r="1507" spans="20:20">
      <c r="T1507" s="10"/>
    </row>
    <row r="1508" spans="20:20">
      <c r="T1508" s="10"/>
    </row>
    <row r="1509" spans="20:20">
      <c r="T1509" s="10"/>
    </row>
    <row r="1510" spans="20:20">
      <c r="T1510" s="10"/>
    </row>
    <row r="1511" spans="20:20">
      <c r="T1511" s="10"/>
    </row>
    <row r="1512" spans="20:20">
      <c r="T1512" s="10"/>
    </row>
    <row r="1513" spans="20:20">
      <c r="T1513" s="10"/>
    </row>
    <row r="1514" spans="20:20">
      <c r="T1514" s="10"/>
    </row>
    <row r="1515" spans="20:20">
      <c r="T1515" s="10"/>
    </row>
    <row r="1516" spans="20:20">
      <c r="T1516" s="10"/>
    </row>
    <row r="1517" spans="20:20">
      <c r="T1517" s="10"/>
    </row>
    <row r="1518" spans="20:20">
      <c r="T1518" s="10"/>
    </row>
    <row r="1519" spans="20:20">
      <c r="T1519" s="10"/>
    </row>
    <row r="1520" spans="20:20">
      <c r="T1520" s="10"/>
    </row>
    <row r="1521" spans="20:20">
      <c r="T1521" s="10"/>
    </row>
    <row r="1522" spans="20:20">
      <c r="T1522" s="10"/>
    </row>
    <row r="1523" spans="20:20">
      <c r="T1523" s="10"/>
    </row>
    <row r="1524" spans="20:20">
      <c r="T1524" s="10"/>
    </row>
    <row r="1525" spans="20:20">
      <c r="T1525" s="10"/>
    </row>
    <row r="1526" spans="20:20">
      <c r="T1526" s="10"/>
    </row>
    <row r="1527" spans="20:20">
      <c r="T1527" s="10"/>
    </row>
    <row r="1528" spans="20:20">
      <c r="T1528" s="10"/>
    </row>
    <row r="1529" spans="20:20">
      <c r="T1529" s="10"/>
    </row>
    <row r="1530" spans="20:20">
      <c r="T1530" s="10"/>
    </row>
    <row r="1531" spans="20:20">
      <c r="T1531" s="10"/>
    </row>
    <row r="1532" spans="20:20">
      <c r="T1532" s="10"/>
    </row>
    <row r="1533" spans="20:20">
      <c r="T1533" s="10"/>
    </row>
    <row r="1534" spans="20:20">
      <c r="T1534" s="10"/>
    </row>
    <row r="1535" spans="20:20">
      <c r="T1535" s="10"/>
    </row>
    <row r="1536" spans="20:20">
      <c r="T1536" s="10"/>
    </row>
    <row r="1537" spans="20:20">
      <c r="T1537" s="10"/>
    </row>
    <row r="1538" spans="20:20">
      <c r="T1538" s="10"/>
    </row>
    <row r="1539" spans="20:20">
      <c r="T1539" s="10"/>
    </row>
    <row r="1540" spans="20:20">
      <c r="T1540" s="10"/>
    </row>
    <row r="1541" spans="20:20">
      <c r="T1541" s="10"/>
    </row>
    <row r="1542" spans="20:20">
      <c r="T1542" s="10"/>
    </row>
    <row r="1543" spans="20:20">
      <c r="T1543" s="10"/>
    </row>
    <row r="1544" spans="20:20">
      <c r="T1544" s="10"/>
    </row>
    <row r="1545" spans="20:20">
      <c r="T1545" s="10"/>
    </row>
    <row r="1546" spans="20:20">
      <c r="T1546" s="10"/>
    </row>
    <row r="1547" spans="20:20">
      <c r="T1547" s="10"/>
    </row>
    <row r="1548" spans="20:20">
      <c r="T1548" s="10"/>
    </row>
    <row r="1549" spans="20:20">
      <c r="T1549" s="10"/>
    </row>
    <row r="1550" spans="20:20">
      <c r="T1550" s="10"/>
    </row>
    <row r="1551" spans="20:20">
      <c r="T1551" s="10"/>
    </row>
    <row r="1552" spans="20:20">
      <c r="T1552" s="10"/>
    </row>
    <row r="1553" spans="20:20">
      <c r="T1553" s="10"/>
    </row>
    <row r="1554" spans="20:20">
      <c r="T1554" s="10"/>
    </row>
    <row r="1555" spans="20:20">
      <c r="T1555" s="10"/>
    </row>
    <row r="1556" spans="20:20">
      <c r="T1556" s="10"/>
    </row>
    <row r="1557" spans="20:20">
      <c r="T1557" s="10"/>
    </row>
    <row r="1558" spans="20:20">
      <c r="T1558" s="10"/>
    </row>
    <row r="1559" spans="20:20">
      <c r="T1559" s="10"/>
    </row>
    <row r="1560" spans="20:20">
      <c r="T1560" s="10"/>
    </row>
    <row r="1561" spans="20:20">
      <c r="T1561" s="10"/>
    </row>
    <row r="1562" spans="20:20">
      <c r="T1562" s="10"/>
    </row>
    <row r="1563" spans="20:20">
      <c r="T1563" s="10"/>
    </row>
    <row r="1564" spans="20:20">
      <c r="T1564" s="10"/>
    </row>
    <row r="1565" spans="20:20">
      <c r="T1565" s="10"/>
    </row>
    <row r="1566" spans="20:20">
      <c r="T1566" s="10"/>
    </row>
    <row r="1567" spans="20:20">
      <c r="T1567" s="10"/>
    </row>
    <row r="1568" spans="20:20">
      <c r="T1568" s="10"/>
    </row>
    <row r="1569" spans="20:20">
      <c r="T1569" s="10"/>
    </row>
    <row r="1570" spans="20:20">
      <c r="T1570" s="10"/>
    </row>
    <row r="1571" spans="20:20">
      <c r="T1571" s="10"/>
    </row>
    <row r="1572" spans="20:20">
      <c r="T1572" s="10"/>
    </row>
    <row r="1573" spans="20:20">
      <c r="T1573" s="10"/>
    </row>
    <row r="1574" spans="20:20">
      <c r="T1574" s="10"/>
    </row>
    <row r="1575" spans="20:20">
      <c r="T1575" s="10"/>
    </row>
    <row r="1576" spans="20:20">
      <c r="T1576" s="10"/>
    </row>
    <row r="1577" spans="20:20">
      <c r="T1577" s="10"/>
    </row>
    <row r="1578" spans="20:20">
      <c r="T1578" s="10"/>
    </row>
    <row r="1579" spans="20:20">
      <c r="T1579" s="10"/>
    </row>
    <row r="1580" spans="20:20">
      <c r="T1580" s="10"/>
    </row>
    <row r="1581" spans="20:20">
      <c r="T1581" s="10"/>
    </row>
    <row r="1582" spans="20:20">
      <c r="T1582" s="10"/>
    </row>
    <row r="1583" spans="20:20">
      <c r="T1583" s="10"/>
    </row>
    <row r="1584" spans="20:20">
      <c r="T1584" s="10"/>
    </row>
    <row r="1585" spans="20:20">
      <c r="T1585" s="10"/>
    </row>
    <row r="1586" spans="20:20">
      <c r="T1586" s="10"/>
    </row>
    <row r="1587" spans="20:20">
      <c r="T1587" s="10"/>
    </row>
    <row r="1588" spans="20:20">
      <c r="T1588" s="10"/>
    </row>
    <row r="1589" spans="20:20">
      <c r="T1589" s="10"/>
    </row>
    <row r="1590" spans="20:20">
      <c r="T1590" s="10"/>
    </row>
    <row r="1591" spans="20:20">
      <c r="T1591" s="10"/>
    </row>
    <row r="1592" spans="20:20">
      <c r="T1592" s="10"/>
    </row>
    <row r="1593" spans="20:20">
      <c r="T1593" s="10"/>
    </row>
    <row r="1594" spans="20:20">
      <c r="T1594" s="10"/>
    </row>
    <row r="1595" spans="20:20">
      <c r="T1595" s="10"/>
    </row>
    <row r="1596" spans="20:20">
      <c r="T1596" s="10"/>
    </row>
    <row r="1597" spans="20:20">
      <c r="T1597" s="10"/>
    </row>
    <row r="1598" spans="20:20">
      <c r="T1598" s="10"/>
    </row>
    <row r="1599" spans="20:20">
      <c r="T1599" s="10"/>
    </row>
    <row r="1600" spans="20:20">
      <c r="T1600" s="10"/>
    </row>
    <row r="1601" spans="20:20">
      <c r="T1601" s="10"/>
    </row>
    <row r="1602" spans="20:20">
      <c r="T1602" s="10"/>
    </row>
    <row r="1603" spans="20:20">
      <c r="T1603" s="10"/>
    </row>
    <row r="1604" spans="20:20">
      <c r="T1604" s="10"/>
    </row>
    <row r="1605" spans="20:20">
      <c r="T1605" s="10"/>
    </row>
    <row r="1606" spans="20:20">
      <c r="T1606" s="10"/>
    </row>
    <row r="1607" spans="20:20">
      <c r="T1607" s="10"/>
    </row>
    <row r="1608" spans="20:20">
      <c r="T1608" s="10"/>
    </row>
    <row r="1609" spans="20:20">
      <c r="T1609" s="10"/>
    </row>
    <row r="1610" spans="20:20">
      <c r="T1610" s="10"/>
    </row>
    <row r="1611" spans="20:20">
      <c r="T1611" s="10"/>
    </row>
    <row r="1612" spans="20:20">
      <c r="T1612" s="10"/>
    </row>
    <row r="1613" spans="20:20">
      <c r="T1613" s="10"/>
    </row>
    <row r="1614" spans="20:20">
      <c r="T1614" s="10"/>
    </row>
    <row r="1615" spans="20:20">
      <c r="T1615" s="10"/>
    </row>
    <row r="1616" spans="20:20">
      <c r="T1616" s="10"/>
    </row>
    <row r="1617" spans="20:20">
      <c r="T1617" s="10"/>
    </row>
    <row r="1618" spans="20:20">
      <c r="T1618" s="10"/>
    </row>
    <row r="1619" spans="20:20">
      <c r="T1619" s="10"/>
    </row>
    <row r="1620" spans="20:20">
      <c r="T1620" s="10"/>
    </row>
    <row r="1621" spans="20:20">
      <c r="T1621" s="10"/>
    </row>
    <row r="1622" spans="20:20">
      <c r="T1622" s="10"/>
    </row>
    <row r="1623" spans="20:20">
      <c r="T1623" s="10"/>
    </row>
    <row r="1624" spans="20:20">
      <c r="T1624" s="10"/>
    </row>
    <row r="1625" spans="20:20">
      <c r="T1625" s="10"/>
    </row>
    <row r="1626" spans="20:20">
      <c r="T1626" s="10"/>
    </row>
    <row r="1627" spans="20:20">
      <c r="T1627" s="10"/>
    </row>
    <row r="1628" spans="20:20">
      <c r="T1628" s="10"/>
    </row>
    <row r="1629" spans="20:20">
      <c r="T1629" s="10"/>
    </row>
    <row r="1630" spans="20:20">
      <c r="T1630" s="10"/>
    </row>
    <row r="1631" spans="20:20">
      <c r="T1631" s="10"/>
    </row>
    <row r="1632" spans="20:20">
      <c r="T1632" s="10"/>
    </row>
    <row r="1633" spans="20:20">
      <c r="T1633" s="10"/>
    </row>
    <row r="1634" spans="20:20">
      <c r="T1634" s="10"/>
    </row>
    <row r="1635" spans="20:20">
      <c r="T1635" s="10"/>
    </row>
    <row r="1636" spans="20:20">
      <c r="T1636" s="10"/>
    </row>
    <row r="1637" spans="20:20">
      <c r="T1637" s="10"/>
    </row>
    <row r="1638" spans="20:20">
      <c r="T1638" s="10"/>
    </row>
    <row r="1639" spans="20:20">
      <c r="T1639" s="10"/>
    </row>
    <row r="1640" spans="20:20">
      <c r="T1640" s="10"/>
    </row>
    <row r="1641" spans="20:20">
      <c r="T1641" s="10"/>
    </row>
    <row r="1642" spans="20:20">
      <c r="T1642" s="10"/>
    </row>
    <row r="1643" spans="20:20">
      <c r="T1643" s="10"/>
    </row>
    <row r="1644" spans="20:20">
      <c r="T1644" s="10"/>
    </row>
    <row r="1645" spans="20:20">
      <c r="T1645" s="10"/>
    </row>
    <row r="1646" spans="20:20">
      <c r="T1646" s="10"/>
    </row>
    <row r="1647" spans="20:20">
      <c r="T1647" s="10"/>
    </row>
    <row r="1648" spans="20:20">
      <c r="T1648" s="10"/>
    </row>
    <row r="1649" spans="20:20">
      <c r="T1649" s="10"/>
    </row>
    <row r="1650" spans="20:20">
      <c r="T1650" s="10"/>
    </row>
    <row r="1651" spans="20:20">
      <c r="T1651" s="10"/>
    </row>
    <row r="1652" spans="20:20">
      <c r="T1652" s="10"/>
    </row>
    <row r="1653" spans="20:20">
      <c r="T1653" s="10"/>
    </row>
    <row r="1654" spans="20:20">
      <c r="T1654" s="10"/>
    </row>
    <row r="1655" spans="20:20">
      <c r="T1655" s="10"/>
    </row>
    <row r="1656" spans="20:20">
      <c r="T1656" s="10"/>
    </row>
    <row r="1657" spans="20:20">
      <c r="T1657" s="10"/>
    </row>
    <row r="1658" spans="20:20">
      <c r="T1658" s="10"/>
    </row>
    <row r="1659" spans="20:20">
      <c r="T1659" s="10"/>
    </row>
    <row r="1660" spans="20:20">
      <c r="T1660" s="10"/>
    </row>
    <row r="1661" spans="20:20">
      <c r="T1661" s="10"/>
    </row>
    <row r="1662" spans="20:20">
      <c r="T1662" s="10"/>
    </row>
    <row r="1663" spans="20:20">
      <c r="T1663" s="10"/>
    </row>
    <row r="1664" spans="20:20">
      <c r="T1664" s="10"/>
    </row>
    <row r="1665" spans="20:20">
      <c r="T1665" s="10"/>
    </row>
    <row r="1666" spans="20:20">
      <c r="T1666" s="10"/>
    </row>
    <row r="1667" spans="20:20">
      <c r="T1667" s="10"/>
    </row>
    <row r="1668" spans="20:20">
      <c r="T1668" s="10"/>
    </row>
    <row r="1669" spans="20:20">
      <c r="T1669" s="10"/>
    </row>
    <row r="1670" spans="20:20">
      <c r="T1670" s="10"/>
    </row>
    <row r="1671" spans="20:20">
      <c r="T1671" s="10"/>
    </row>
    <row r="1672" spans="20:20">
      <c r="T1672" s="10"/>
    </row>
    <row r="1673" spans="20:20">
      <c r="T1673" s="10"/>
    </row>
    <row r="1674" spans="20:20">
      <c r="T1674" s="10"/>
    </row>
    <row r="1675" spans="20:20">
      <c r="T1675" s="10"/>
    </row>
    <row r="1676" spans="20:20">
      <c r="T1676" s="10"/>
    </row>
    <row r="1677" spans="20:20">
      <c r="T1677" s="10"/>
    </row>
    <row r="1678" spans="20:20">
      <c r="T1678" s="10"/>
    </row>
    <row r="1679" spans="20:20">
      <c r="T1679" s="10"/>
    </row>
    <row r="1680" spans="20:20">
      <c r="T1680" s="10"/>
    </row>
    <row r="1681" spans="20:20">
      <c r="T1681" s="10"/>
    </row>
    <row r="1682" spans="20:20">
      <c r="T1682" s="10"/>
    </row>
    <row r="1683" spans="20:20">
      <c r="T1683" s="10"/>
    </row>
    <row r="1684" spans="20:20">
      <c r="T1684" s="10"/>
    </row>
    <row r="1685" spans="20:20">
      <c r="T1685" s="10"/>
    </row>
    <row r="1686" spans="20:20">
      <c r="T1686" s="10"/>
    </row>
    <row r="1687" spans="20:20">
      <c r="T1687" s="10"/>
    </row>
    <row r="1688" spans="20:20">
      <c r="T1688" s="10"/>
    </row>
    <row r="1689" spans="20:20">
      <c r="T1689" s="10"/>
    </row>
    <row r="1690" spans="20:20">
      <c r="T1690" s="10"/>
    </row>
    <row r="1691" spans="20:20">
      <c r="T1691" s="10"/>
    </row>
    <row r="1692" spans="20:20">
      <c r="T1692" s="10"/>
    </row>
    <row r="1693" spans="20:20">
      <c r="T1693" s="10"/>
    </row>
    <row r="1694" spans="20:20">
      <c r="T1694" s="10"/>
    </row>
    <row r="1695" spans="20:20">
      <c r="T1695" s="10"/>
    </row>
    <row r="1696" spans="20:20">
      <c r="T1696" s="10"/>
    </row>
    <row r="1697" spans="20:20">
      <c r="T1697" s="10"/>
    </row>
    <row r="1698" spans="20:20">
      <c r="T1698" s="10"/>
    </row>
    <row r="1699" spans="20:20">
      <c r="T1699" s="10"/>
    </row>
    <row r="1700" spans="20:20">
      <c r="T1700" s="10"/>
    </row>
    <row r="1701" spans="20:20">
      <c r="T1701" s="10"/>
    </row>
    <row r="1702" spans="20:20">
      <c r="T1702" s="10"/>
    </row>
    <row r="1703" spans="20:20">
      <c r="T1703" s="10"/>
    </row>
    <row r="1704" spans="20:20">
      <c r="T1704" s="10"/>
    </row>
    <row r="1705" spans="20:20">
      <c r="T1705" s="10"/>
    </row>
    <row r="1706" spans="20:20">
      <c r="T1706" s="10"/>
    </row>
    <row r="1707" spans="20:20">
      <c r="T1707" s="10"/>
    </row>
    <row r="1708" spans="20:20">
      <c r="T1708" s="10"/>
    </row>
    <row r="1709" spans="20:20">
      <c r="T1709" s="10"/>
    </row>
    <row r="1710" spans="20:20">
      <c r="T1710" s="10"/>
    </row>
    <row r="1711" spans="20:20">
      <c r="T1711" s="10"/>
    </row>
    <row r="1712" spans="20:20">
      <c r="T1712" s="10"/>
    </row>
    <row r="1713" spans="20:20">
      <c r="T1713" s="10"/>
    </row>
    <row r="1714" spans="20:20">
      <c r="T1714" s="10"/>
    </row>
    <row r="1715" spans="20:20">
      <c r="T1715" s="10"/>
    </row>
    <row r="1716" spans="20:20">
      <c r="T1716" s="10"/>
    </row>
    <row r="1717" spans="20:20">
      <c r="T1717" s="10"/>
    </row>
    <row r="1718" spans="20:20">
      <c r="T1718" s="10"/>
    </row>
    <row r="1719" spans="20:20">
      <c r="T1719" s="10"/>
    </row>
    <row r="1720" spans="20:20">
      <c r="T1720" s="10"/>
    </row>
    <row r="1721" spans="20:20">
      <c r="T1721" s="10"/>
    </row>
    <row r="1722" spans="20:20">
      <c r="T1722" s="10"/>
    </row>
    <row r="1723" spans="20:20">
      <c r="T1723" s="10"/>
    </row>
    <row r="1724" spans="20:20">
      <c r="T1724" s="10"/>
    </row>
    <row r="1725" spans="20:20">
      <c r="T1725" s="10"/>
    </row>
    <row r="1726" spans="20:20">
      <c r="T1726" s="10"/>
    </row>
    <row r="1727" spans="20:20">
      <c r="T1727" s="10"/>
    </row>
    <row r="1728" spans="20:20">
      <c r="T1728" s="10"/>
    </row>
    <row r="1729" spans="20:20">
      <c r="T1729" s="10"/>
    </row>
    <row r="1730" spans="20:20">
      <c r="T1730" s="10"/>
    </row>
    <row r="1731" spans="20:20">
      <c r="T1731" s="10"/>
    </row>
    <row r="1732" spans="20:20">
      <c r="T1732" s="10"/>
    </row>
    <row r="1733" spans="20:20">
      <c r="T1733" s="10"/>
    </row>
    <row r="1734" spans="20:20">
      <c r="T1734" s="10"/>
    </row>
    <row r="1735" spans="20:20">
      <c r="T1735" s="10"/>
    </row>
    <row r="1736" spans="20:20">
      <c r="T1736" s="10"/>
    </row>
    <row r="1737" spans="20:20">
      <c r="T1737" s="10"/>
    </row>
    <row r="1738" spans="20:20">
      <c r="T1738" s="10"/>
    </row>
    <row r="1739" spans="20:20">
      <c r="T1739" s="10"/>
    </row>
    <row r="1740" spans="20:20">
      <c r="T1740" s="10"/>
    </row>
    <row r="1741" spans="20:20">
      <c r="T1741" s="10"/>
    </row>
    <row r="1742" spans="20:20">
      <c r="T1742" s="10"/>
    </row>
    <row r="1743" spans="20:20">
      <c r="T1743" s="10"/>
    </row>
    <row r="1744" spans="20:20">
      <c r="T1744" s="10"/>
    </row>
    <row r="1745" spans="20:20">
      <c r="T1745" s="10"/>
    </row>
    <row r="1746" spans="20:20">
      <c r="T1746" s="10"/>
    </row>
    <row r="1747" spans="20:20">
      <c r="T1747" s="10"/>
    </row>
    <row r="1748" spans="20:20">
      <c r="T1748" s="10"/>
    </row>
    <row r="1749" spans="20:20">
      <c r="T1749" s="10"/>
    </row>
    <row r="1750" spans="20:20">
      <c r="T1750" s="10"/>
    </row>
    <row r="1751" spans="20:20">
      <c r="T1751" s="10"/>
    </row>
    <row r="1752" spans="20:20">
      <c r="T1752" s="10"/>
    </row>
    <row r="1753" spans="20:20">
      <c r="T1753" s="10"/>
    </row>
    <row r="1754" spans="20:20">
      <c r="T1754" s="10"/>
    </row>
    <row r="1755" spans="20:20">
      <c r="T1755" s="10"/>
    </row>
    <row r="1756" spans="20:20">
      <c r="T1756" s="10"/>
    </row>
    <row r="1757" spans="20:20">
      <c r="T1757" s="10"/>
    </row>
    <row r="1758" spans="20:20">
      <c r="T1758" s="10"/>
    </row>
    <row r="1759" spans="20:20">
      <c r="T1759" s="10"/>
    </row>
    <row r="1760" spans="20:20">
      <c r="T1760" s="10"/>
    </row>
    <row r="1761" spans="20:20">
      <c r="T1761" s="10"/>
    </row>
    <row r="1762" spans="20:20">
      <c r="T1762" s="10"/>
    </row>
    <row r="1763" spans="20:20">
      <c r="T1763" s="10"/>
    </row>
    <row r="1764" spans="20:20">
      <c r="T1764" s="10"/>
    </row>
    <row r="1765" spans="20:20">
      <c r="T1765" s="10"/>
    </row>
    <row r="1766" spans="20:20">
      <c r="T1766" s="10"/>
    </row>
    <row r="1767" spans="20:20">
      <c r="T1767" s="10"/>
    </row>
    <row r="1768" spans="20:20">
      <c r="T1768" s="10"/>
    </row>
    <row r="1769" spans="20:20">
      <c r="T1769" s="10"/>
    </row>
    <row r="1770" spans="20:20">
      <c r="T1770" s="10"/>
    </row>
    <row r="1771" spans="20:20">
      <c r="T1771" s="10"/>
    </row>
    <row r="1772" spans="20:20">
      <c r="T1772" s="10"/>
    </row>
    <row r="1773" spans="20:20">
      <c r="T1773" s="10"/>
    </row>
    <row r="1774" spans="20:20">
      <c r="T1774" s="10"/>
    </row>
    <row r="1775" spans="20:20">
      <c r="T1775" s="10"/>
    </row>
    <row r="1776" spans="20:20">
      <c r="T1776" s="10"/>
    </row>
    <row r="1777" spans="20:20">
      <c r="T1777" s="10"/>
    </row>
    <row r="1778" spans="20:20">
      <c r="T1778" s="10"/>
    </row>
    <row r="1779" spans="20:20">
      <c r="T1779" s="10"/>
    </row>
    <row r="1780" spans="20:20">
      <c r="T1780" s="10"/>
    </row>
    <row r="1781" spans="20:20">
      <c r="T1781" s="10"/>
    </row>
    <row r="1782" spans="20:20">
      <c r="T1782" s="10"/>
    </row>
    <row r="1783" spans="20:20">
      <c r="T1783" s="10"/>
    </row>
    <row r="1784" spans="20:20">
      <c r="T1784" s="10"/>
    </row>
    <row r="1785" spans="20:20">
      <c r="T1785" s="10"/>
    </row>
    <row r="1786" spans="20:20">
      <c r="T1786" s="10"/>
    </row>
    <row r="1787" spans="20:20">
      <c r="T1787" s="10"/>
    </row>
    <row r="1788" spans="20:20">
      <c r="T1788" s="10"/>
    </row>
    <row r="1789" spans="20:20">
      <c r="T1789" s="10"/>
    </row>
    <row r="1790" spans="20:20">
      <c r="T1790" s="10"/>
    </row>
    <row r="1791" spans="20:20">
      <c r="T1791" s="10"/>
    </row>
    <row r="1792" spans="20:20">
      <c r="T1792" s="10"/>
    </row>
    <row r="1793" spans="20:20">
      <c r="T1793" s="10"/>
    </row>
    <row r="1794" spans="20:20">
      <c r="T1794" s="10"/>
    </row>
    <row r="1795" spans="20:20">
      <c r="T1795" s="10"/>
    </row>
    <row r="1796" spans="20:20">
      <c r="T1796" s="10"/>
    </row>
    <row r="1797" spans="20:20">
      <c r="T1797" s="10"/>
    </row>
    <row r="1798" spans="20:20">
      <c r="T1798" s="10"/>
    </row>
    <row r="1799" spans="20:20">
      <c r="T1799" s="10"/>
    </row>
    <row r="1800" spans="20:20">
      <c r="T1800" s="10"/>
    </row>
    <row r="1801" spans="20:20">
      <c r="T1801" s="10"/>
    </row>
    <row r="1802" spans="20:20">
      <c r="T1802" s="10"/>
    </row>
    <row r="1803" spans="20:20">
      <c r="T1803" s="10"/>
    </row>
    <row r="1804" spans="20:20">
      <c r="T1804" s="10"/>
    </row>
    <row r="1805" spans="20:20">
      <c r="T1805" s="10"/>
    </row>
    <row r="1806" spans="20:20">
      <c r="T1806" s="10"/>
    </row>
    <row r="1807" spans="20:20">
      <c r="T1807" s="10"/>
    </row>
    <row r="1808" spans="20:20">
      <c r="T1808" s="10"/>
    </row>
    <row r="1809" spans="20:20">
      <c r="T1809" s="10"/>
    </row>
    <row r="1810" spans="20:20">
      <c r="T1810" s="10"/>
    </row>
    <row r="1811" spans="20:20">
      <c r="T1811" s="10"/>
    </row>
    <row r="1812" spans="20:20">
      <c r="T1812" s="10"/>
    </row>
    <row r="1813" spans="20:20">
      <c r="T1813" s="10"/>
    </row>
    <row r="1814" spans="20:20">
      <c r="T1814" s="10"/>
    </row>
    <row r="1815" spans="20:20">
      <c r="T1815" s="10"/>
    </row>
    <row r="1816" spans="20:20">
      <c r="T1816" s="10"/>
    </row>
    <row r="1817" spans="20:20">
      <c r="T1817" s="10"/>
    </row>
    <row r="1818" spans="20:20">
      <c r="T1818" s="10"/>
    </row>
    <row r="1819" spans="20:20">
      <c r="T1819" s="10"/>
    </row>
    <row r="1820" spans="20:20">
      <c r="T1820" s="10"/>
    </row>
    <row r="1821" spans="20:20">
      <c r="T1821" s="10"/>
    </row>
    <row r="1822" spans="20:20">
      <c r="T1822" s="10"/>
    </row>
    <row r="1823" spans="20:20">
      <c r="T1823" s="10"/>
    </row>
    <row r="1824" spans="20:20">
      <c r="T1824" s="10"/>
    </row>
    <row r="1825" spans="20:20">
      <c r="T1825" s="10"/>
    </row>
    <row r="1826" spans="20:20">
      <c r="T1826" s="10"/>
    </row>
    <row r="1827" spans="20:20">
      <c r="T1827" s="10"/>
    </row>
    <row r="1828" spans="20:20">
      <c r="T1828" s="10"/>
    </row>
    <row r="1829" spans="20:20">
      <c r="T1829" s="10"/>
    </row>
    <row r="1830" spans="20:20">
      <c r="T1830" s="10"/>
    </row>
    <row r="1831" spans="20:20">
      <c r="T1831" s="10"/>
    </row>
    <row r="1832" spans="20:20">
      <c r="T1832" s="10"/>
    </row>
    <row r="1833" spans="20:20">
      <c r="T1833" s="10"/>
    </row>
    <row r="1834" spans="20:20">
      <c r="T1834" s="10"/>
    </row>
    <row r="1835" spans="20:20">
      <c r="T1835" s="10"/>
    </row>
    <row r="1836" spans="20:20">
      <c r="T1836" s="10"/>
    </row>
    <row r="1837" spans="20:20">
      <c r="T1837" s="10"/>
    </row>
    <row r="1838" spans="20:20">
      <c r="T1838" s="10"/>
    </row>
    <row r="1839" spans="20:20">
      <c r="T1839" s="10"/>
    </row>
    <row r="1840" spans="20:20">
      <c r="T1840" s="10"/>
    </row>
    <row r="1841" spans="20:20">
      <c r="T1841" s="10"/>
    </row>
    <row r="1842" spans="20:20">
      <c r="T1842" s="10"/>
    </row>
    <row r="1843" spans="20:20">
      <c r="T1843" s="10"/>
    </row>
    <row r="1844" spans="20:20">
      <c r="T1844" s="10"/>
    </row>
    <row r="1845" spans="20:20">
      <c r="T1845" s="10"/>
    </row>
    <row r="1846" spans="20:20">
      <c r="T1846" s="10"/>
    </row>
    <row r="1847" spans="20:20">
      <c r="T1847" s="10"/>
    </row>
    <row r="1848" spans="20:20">
      <c r="T1848" s="10"/>
    </row>
    <row r="1849" spans="20:20">
      <c r="T1849" s="10"/>
    </row>
    <row r="1850" spans="20:20">
      <c r="T1850" s="10"/>
    </row>
    <row r="1851" spans="20:20">
      <c r="T1851" s="10"/>
    </row>
    <row r="1852" spans="20:20">
      <c r="T1852" s="10"/>
    </row>
    <row r="1853" spans="20:20">
      <c r="T1853" s="10"/>
    </row>
    <row r="1854" spans="20:20">
      <c r="T1854" s="10"/>
    </row>
    <row r="1855" spans="20:20">
      <c r="T1855" s="10"/>
    </row>
    <row r="1856" spans="20:20">
      <c r="T1856" s="10"/>
    </row>
    <row r="1857" spans="20:20">
      <c r="T1857" s="10"/>
    </row>
    <row r="1858" spans="20:20">
      <c r="T1858" s="10"/>
    </row>
    <row r="1859" spans="20:20">
      <c r="T1859" s="10"/>
    </row>
    <row r="1860" spans="20:20">
      <c r="T1860" s="10"/>
    </row>
    <row r="1861" spans="20:20">
      <c r="T1861" s="10"/>
    </row>
    <row r="1862" spans="20:20">
      <c r="T1862" s="10"/>
    </row>
    <row r="1863" spans="20:20">
      <c r="T1863" s="10"/>
    </row>
    <row r="1864" spans="20:20">
      <c r="T1864" s="10"/>
    </row>
    <row r="1865" spans="20:20">
      <c r="T1865" s="10"/>
    </row>
    <row r="1866" spans="20:20">
      <c r="T1866" s="10"/>
    </row>
    <row r="1867" spans="20:20">
      <c r="T1867" s="10"/>
    </row>
    <row r="1868" spans="20:20">
      <c r="T1868" s="10"/>
    </row>
    <row r="1869" spans="20:20">
      <c r="T1869" s="10"/>
    </row>
    <row r="1870" spans="20:20">
      <c r="T1870" s="10"/>
    </row>
    <row r="1871" spans="20:20">
      <c r="T1871" s="10"/>
    </row>
    <row r="1872" spans="20:20">
      <c r="T1872" s="10"/>
    </row>
    <row r="1873" spans="20:20">
      <c r="T1873" s="10"/>
    </row>
    <row r="1874" spans="20:20">
      <c r="T1874" s="10"/>
    </row>
    <row r="1875" spans="20:20">
      <c r="T1875" s="10"/>
    </row>
    <row r="1876" spans="20:20">
      <c r="T1876" s="10"/>
    </row>
    <row r="1877" spans="20:20">
      <c r="T1877" s="10"/>
    </row>
    <row r="1878" spans="20:20">
      <c r="T1878" s="10"/>
    </row>
    <row r="1879" spans="20:20">
      <c r="T1879" s="10"/>
    </row>
    <row r="1880" spans="20:20">
      <c r="T1880" s="10"/>
    </row>
    <row r="1881" spans="20:20">
      <c r="T1881" s="10"/>
    </row>
    <row r="1882" spans="20:20">
      <c r="T1882" s="10"/>
    </row>
    <row r="1883" spans="20:20">
      <c r="T1883" s="10"/>
    </row>
    <row r="1884" spans="20:20">
      <c r="T1884" s="10"/>
    </row>
    <row r="1885" spans="20:20">
      <c r="T1885" s="10"/>
    </row>
    <row r="1886" spans="20:20">
      <c r="T1886" s="10"/>
    </row>
    <row r="1887" spans="20:20">
      <c r="T1887" s="10"/>
    </row>
    <row r="1888" spans="20:20">
      <c r="T1888" s="10"/>
    </row>
    <row r="1889" spans="20:20">
      <c r="T1889" s="10"/>
    </row>
    <row r="1890" spans="20:20">
      <c r="T1890" s="10"/>
    </row>
    <row r="1891" spans="20:20">
      <c r="T1891" s="10"/>
    </row>
    <row r="1892" spans="20:20">
      <c r="T1892" s="10"/>
    </row>
    <row r="1893" spans="20:20">
      <c r="T1893" s="10"/>
    </row>
    <row r="1894" spans="20:20">
      <c r="T1894" s="10"/>
    </row>
    <row r="1895" spans="20:20">
      <c r="T1895" s="10"/>
    </row>
    <row r="1896" spans="20:20">
      <c r="T1896" s="10"/>
    </row>
    <row r="1897" spans="20:20">
      <c r="T1897" s="10"/>
    </row>
    <row r="1898" spans="20:20">
      <c r="T1898" s="10"/>
    </row>
    <row r="1899" spans="20:20">
      <c r="T1899" s="10"/>
    </row>
    <row r="1900" spans="20:20">
      <c r="T1900" s="10"/>
    </row>
    <row r="1901" spans="20:20">
      <c r="T1901" s="10"/>
    </row>
    <row r="1902" spans="20:20">
      <c r="T1902" s="10"/>
    </row>
    <row r="1903" spans="20:20">
      <c r="T1903" s="10"/>
    </row>
    <row r="1904" spans="20:20">
      <c r="T1904" s="10"/>
    </row>
    <row r="1905" spans="20:20">
      <c r="T1905" s="10"/>
    </row>
    <row r="1906" spans="20:20">
      <c r="T1906" s="10"/>
    </row>
    <row r="1907" spans="20:20">
      <c r="T1907" s="10"/>
    </row>
    <row r="1908" spans="20:20">
      <c r="T1908" s="10"/>
    </row>
    <row r="1909" spans="20:20">
      <c r="T1909" s="10"/>
    </row>
    <row r="1910" spans="20:20">
      <c r="T1910" s="10"/>
    </row>
    <row r="1911" spans="20:20">
      <c r="T1911" s="10"/>
    </row>
    <row r="1912" spans="20:20">
      <c r="T1912" s="10"/>
    </row>
    <row r="1913" spans="20:20">
      <c r="T1913" s="10"/>
    </row>
    <row r="1914" spans="20:20">
      <c r="T1914" s="10"/>
    </row>
    <row r="1915" spans="20:20">
      <c r="T1915" s="10"/>
    </row>
    <row r="1916" spans="20:20">
      <c r="T1916" s="10"/>
    </row>
    <row r="1917" spans="20:20">
      <c r="T1917" s="10"/>
    </row>
    <row r="1918" spans="20:20">
      <c r="T1918" s="10"/>
    </row>
    <row r="1919" spans="20:20">
      <c r="T1919" s="10"/>
    </row>
    <row r="1920" spans="20:20">
      <c r="T1920" s="10"/>
    </row>
    <row r="1921" spans="20:20">
      <c r="T1921" s="10"/>
    </row>
    <row r="1922" spans="20:20">
      <c r="T1922" s="10"/>
    </row>
    <row r="1923" spans="20:20">
      <c r="T1923" s="10"/>
    </row>
    <row r="1924" spans="20:20">
      <c r="T1924" s="10"/>
    </row>
    <row r="1925" spans="20:20">
      <c r="T1925" s="10"/>
    </row>
    <row r="1926" spans="20:20">
      <c r="T1926" s="10"/>
    </row>
    <row r="1927" spans="20:20">
      <c r="T1927" s="10"/>
    </row>
    <row r="1928" spans="20:20">
      <c r="T1928" s="10"/>
    </row>
    <row r="1929" spans="20:20">
      <c r="T1929" s="10"/>
    </row>
    <row r="1930" spans="20:20">
      <c r="T1930" s="10"/>
    </row>
    <row r="1931" spans="20:20">
      <c r="T1931" s="10"/>
    </row>
    <row r="1932" spans="20:20">
      <c r="T1932" s="10"/>
    </row>
    <row r="1933" spans="20:20">
      <c r="T1933" s="10"/>
    </row>
    <row r="1934" spans="20:20">
      <c r="T1934" s="10"/>
    </row>
    <row r="1935" spans="20:20">
      <c r="T1935" s="10"/>
    </row>
    <row r="1936" spans="20:20">
      <c r="T1936" s="10"/>
    </row>
    <row r="1937" spans="20:20">
      <c r="T1937" s="10"/>
    </row>
    <row r="1938" spans="20:20">
      <c r="T1938" s="10"/>
    </row>
    <row r="1939" spans="20:20">
      <c r="T1939" s="10"/>
    </row>
    <row r="1940" spans="20:20">
      <c r="T1940" s="10"/>
    </row>
    <row r="1941" spans="20:20">
      <c r="T1941" s="10"/>
    </row>
    <row r="1942" spans="20:20">
      <c r="T1942" s="10"/>
    </row>
    <row r="1943" spans="20:20">
      <c r="T1943" s="10"/>
    </row>
    <row r="1944" spans="20:20">
      <c r="T1944" s="10"/>
    </row>
    <row r="1945" spans="20:20">
      <c r="T1945" s="10"/>
    </row>
    <row r="1946" spans="20:20">
      <c r="T1946" s="10"/>
    </row>
    <row r="1947" spans="20:20">
      <c r="T1947" s="10"/>
    </row>
    <row r="1948" spans="20:20">
      <c r="T1948" s="10"/>
    </row>
    <row r="1949" spans="20:20">
      <c r="T1949" s="10"/>
    </row>
    <row r="1950" spans="20:20">
      <c r="T1950" s="10"/>
    </row>
    <row r="1951" spans="20:20">
      <c r="T1951" s="10"/>
    </row>
    <row r="1952" spans="20:20">
      <c r="T1952" s="10"/>
    </row>
    <row r="1953" spans="20:20">
      <c r="T1953" s="10"/>
    </row>
    <row r="1954" spans="20:20">
      <c r="T1954" s="10"/>
    </row>
    <row r="1955" spans="20:20">
      <c r="T1955" s="10"/>
    </row>
    <row r="1956" spans="20:20">
      <c r="T1956" s="10"/>
    </row>
    <row r="1957" spans="20:20">
      <c r="T1957" s="10"/>
    </row>
    <row r="1958" spans="20:20">
      <c r="T1958" s="10"/>
    </row>
    <row r="1959" spans="20:20">
      <c r="T1959" s="10"/>
    </row>
    <row r="1960" spans="20:20">
      <c r="T1960" s="10"/>
    </row>
    <row r="1961" spans="20:20">
      <c r="T1961" s="10"/>
    </row>
    <row r="1962" spans="20:20">
      <c r="T1962" s="10"/>
    </row>
    <row r="1963" spans="20:20">
      <c r="T1963" s="10"/>
    </row>
    <row r="1964" spans="20:20">
      <c r="T1964" s="10"/>
    </row>
    <row r="1965" spans="20:20">
      <c r="T1965" s="10"/>
    </row>
    <row r="1966" spans="20:20">
      <c r="T1966" s="10"/>
    </row>
    <row r="1967" spans="20:20">
      <c r="T1967" s="10"/>
    </row>
    <row r="1968" spans="20:20">
      <c r="T1968" s="10"/>
    </row>
    <row r="1969" spans="20:20">
      <c r="T1969" s="10"/>
    </row>
    <row r="1970" spans="20:20">
      <c r="T1970" s="10"/>
    </row>
    <row r="1971" spans="20:20">
      <c r="T1971" s="10"/>
    </row>
    <row r="1972" spans="20:20">
      <c r="T1972" s="10"/>
    </row>
    <row r="1973" spans="20:20">
      <c r="T1973" s="10"/>
    </row>
    <row r="1974" spans="20:20">
      <c r="T1974" s="10"/>
    </row>
    <row r="1975" spans="20:20">
      <c r="T1975" s="10"/>
    </row>
    <row r="1976" spans="20:20">
      <c r="T1976" s="10"/>
    </row>
    <row r="1977" spans="20:20">
      <c r="T1977" s="10"/>
    </row>
    <row r="1978" spans="20:20">
      <c r="T1978" s="10"/>
    </row>
    <row r="1979" spans="20:20">
      <c r="T1979" s="10"/>
    </row>
    <row r="1980" spans="20:20">
      <c r="T1980" s="10"/>
    </row>
    <row r="1981" spans="20:20">
      <c r="T1981" s="10"/>
    </row>
    <row r="1982" spans="20:20">
      <c r="T1982" s="10"/>
    </row>
    <row r="1983" spans="20:20">
      <c r="T1983" s="10"/>
    </row>
    <row r="1984" spans="20:20">
      <c r="T1984" s="10"/>
    </row>
    <row r="1985" spans="20:20">
      <c r="T1985" s="10"/>
    </row>
    <row r="1986" spans="20:20">
      <c r="T1986" s="10"/>
    </row>
    <row r="1987" spans="20:20">
      <c r="T1987" s="10"/>
    </row>
    <row r="1988" spans="20:20">
      <c r="T1988" s="10"/>
    </row>
    <row r="1989" spans="20:20">
      <c r="T1989" s="10"/>
    </row>
    <row r="1990" spans="20:20">
      <c r="T1990" s="10"/>
    </row>
    <row r="1991" spans="20:20">
      <c r="T1991" s="10"/>
    </row>
    <row r="1992" spans="20:20">
      <c r="T1992" s="10"/>
    </row>
    <row r="1993" spans="20:20">
      <c r="T1993" s="10"/>
    </row>
    <row r="1994" spans="20:20">
      <c r="T1994" s="10"/>
    </row>
    <row r="1995" spans="20:20">
      <c r="T1995" s="10"/>
    </row>
    <row r="1996" spans="20:20">
      <c r="T1996" s="10"/>
    </row>
    <row r="1997" spans="20:20">
      <c r="T1997" s="10"/>
    </row>
    <row r="1998" spans="20:20">
      <c r="T1998" s="10"/>
    </row>
    <row r="1999" spans="20:20">
      <c r="T1999" s="10"/>
    </row>
    <row r="2000" spans="20:20">
      <c r="T2000" s="10"/>
    </row>
    <row r="2001" spans="20:20">
      <c r="T2001" s="10"/>
    </row>
    <row r="2002" spans="20:20">
      <c r="T2002" s="10"/>
    </row>
    <row r="2003" spans="20:20">
      <c r="T2003" s="10"/>
    </row>
    <row r="2004" spans="20:20">
      <c r="T2004" s="10"/>
    </row>
    <row r="2005" spans="20:20">
      <c r="T2005" s="10"/>
    </row>
    <row r="2006" spans="20:20">
      <c r="T2006" s="10"/>
    </row>
    <row r="2007" spans="20:20">
      <c r="T2007" s="10"/>
    </row>
    <row r="2008" spans="20:20">
      <c r="T2008" s="10"/>
    </row>
    <row r="2009" spans="20:20">
      <c r="T2009" s="10"/>
    </row>
    <row r="2010" spans="20:20">
      <c r="T2010" s="10"/>
    </row>
    <row r="2011" spans="20:20">
      <c r="T2011" s="10"/>
    </row>
    <row r="2012" spans="20:20">
      <c r="T2012" s="10"/>
    </row>
    <row r="2013" spans="20:20">
      <c r="T2013" s="10"/>
    </row>
    <row r="2014" spans="20:20">
      <c r="T2014" s="10"/>
    </row>
    <row r="2015" spans="20:20">
      <c r="T2015" s="10"/>
    </row>
    <row r="2016" spans="20:20">
      <c r="T2016" s="10"/>
    </row>
    <row r="2017" spans="20:20">
      <c r="T2017" s="10"/>
    </row>
    <row r="2018" spans="20:20">
      <c r="T2018" s="10"/>
    </row>
    <row r="2019" spans="20:20">
      <c r="T2019" s="10"/>
    </row>
    <row r="2020" spans="20:20">
      <c r="T2020" s="10"/>
    </row>
    <row r="2021" spans="20:20">
      <c r="T2021" s="10"/>
    </row>
    <row r="2022" spans="20:20">
      <c r="T2022" s="10"/>
    </row>
    <row r="2023" spans="20:20">
      <c r="T2023" s="10"/>
    </row>
    <row r="2024" spans="20:20">
      <c r="T2024" s="10"/>
    </row>
    <row r="2025" spans="20:20">
      <c r="T2025" s="10"/>
    </row>
    <row r="2026" spans="20:20">
      <c r="T2026" s="10"/>
    </row>
    <row r="2027" spans="20:20">
      <c r="T2027" s="10"/>
    </row>
    <row r="2028" spans="20:20">
      <c r="T2028" s="10"/>
    </row>
    <row r="2029" spans="20:20">
      <c r="T2029" s="10"/>
    </row>
    <row r="2030" spans="20:20">
      <c r="T2030" s="10"/>
    </row>
    <row r="2031" spans="20:20">
      <c r="T2031" s="10"/>
    </row>
    <row r="2032" spans="20:20">
      <c r="T2032" s="10"/>
    </row>
    <row r="2033" spans="20:20">
      <c r="T2033" s="10"/>
    </row>
    <row r="2034" spans="20:20">
      <c r="T2034" s="10"/>
    </row>
    <row r="2035" spans="20:20">
      <c r="T2035" s="10"/>
    </row>
    <row r="2036" spans="20:20">
      <c r="T2036" s="10"/>
    </row>
    <row r="2037" spans="20:20">
      <c r="T2037" s="10"/>
    </row>
    <row r="2038" spans="20:20">
      <c r="T2038" s="10"/>
    </row>
    <row r="2039" spans="20:20">
      <c r="T2039" s="10"/>
    </row>
    <row r="2040" spans="20:20">
      <c r="T2040" s="10"/>
    </row>
    <row r="2041" spans="20:20">
      <c r="T2041" s="10"/>
    </row>
    <row r="2042" spans="20:20">
      <c r="T2042" s="10"/>
    </row>
    <row r="2043" spans="20:20">
      <c r="T2043" s="10"/>
    </row>
    <row r="2044" spans="20:20">
      <c r="T2044" s="10"/>
    </row>
    <row r="2045" spans="20:20">
      <c r="T2045" s="10"/>
    </row>
    <row r="2046" spans="20:20">
      <c r="T2046" s="10"/>
    </row>
    <row r="2047" spans="20:20">
      <c r="T2047" s="10"/>
    </row>
    <row r="2048" spans="20:20">
      <c r="T2048" s="10"/>
    </row>
    <row r="2049" spans="20:20">
      <c r="T2049" s="10"/>
    </row>
    <row r="2050" spans="20:20">
      <c r="T2050" s="10"/>
    </row>
    <row r="2051" spans="20:20">
      <c r="T2051" s="10"/>
    </row>
    <row r="2052" spans="20:20">
      <c r="T2052" s="10"/>
    </row>
    <row r="2053" spans="20:20">
      <c r="T2053" s="10"/>
    </row>
    <row r="2054" spans="20:20">
      <c r="T2054" s="10"/>
    </row>
    <row r="2055" spans="20:20">
      <c r="T2055" s="10"/>
    </row>
    <row r="2056" spans="20:20">
      <c r="T2056" s="10"/>
    </row>
    <row r="2057" spans="20:20">
      <c r="T2057" s="10"/>
    </row>
    <row r="2058" spans="20:20">
      <c r="T2058" s="10"/>
    </row>
    <row r="2059" spans="20:20">
      <c r="T2059" s="10"/>
    </row>
    <row r="2060" spans="20:20">
      <c r="T2060" s="10"/>
    </row>
    <row r="2061" spans="20:20">
      <c r="T2061" s="10"/>
    </row>
    <row r="2062" spans="20:20">
      <c r="T2062" s="10"/>
    </row>
    <row r="2063" spans="20:20">
      <c r="T2063" s="10"/>
    </row>
    <row r="2064" spans="20:20">
      <c r="T2064" s="10"/>
    </row>
    <row r="2065" spans="20:20">
      <c r="T2065" s="10"/>
    </row>
    <row r="2066" spans="20:20">
      <c r="T2066" s="10"/>
    </row>
    <row r="2067" spans="20:20">
      <c r="T2067" s="10"/>
    </row>
    <row r="2068" spans="20:20">
      <c r="T2068" s="10"/>
    </row>
    <row r="2069" spans="20:20">
      <c r="T2069" s="10"/>
    </row>
    <row r="2070" spans="20:20">
      <c r="T2070" s="10"/>
    </row>
    <row r="2071" spans="20:20">
      <c r="T2071" s="10"/>
    </row>
    <row r="2072" spans="20:20">
      <c r="T2072" s="10"/>
    </row>
    <row r="2073" spans="20:20">
      <c r="T2073" s="10"/>
    </row>
    <row r="2074" spans="20:20">
      <c r="T2074" s="10"/>
    </row>
    <row r="2075" spans="20:20">
      <c r="T2075" s="10"/>
    </row>
    <row r="2076" spans="20:20">
      <c r="T2076" s="10"/>
    </row>
    <row r="2077" spans="20:20">
      <c r="T2077" s="10"/>
    </row>
    <row r="2078" spans="20:20">
      <c r="T2078" s="10"/>
    </row>
    <row r="2079" spans="20:20">
      <c r="T2079" s="10"/>
    </row>
    <row r="2080" spans="20:20">
      <c r="T2080" s="10"/>
    </row>
    <row r="2081" spans="20:20">
      <c r="T2081" s="10"/>
    </row>
    <row r="2082" spans="20:20">
      <c r="T2082" s="10"/>
    </row>
    <row r="2083" spans="20:20">
      <c r="T2083" s="10"/>
    </row>
    <row r="2084" spans="20:20">
      <c r="T2084" s="10"/>
    </row>
    <row r="2085" spans="20:20">
      <c r="T2085" s="10"/>
    </row>
    <row r="2086" spans="20:20">
      <c r="T2086" s="10"/>
    </row>
    <row r="2087" spans="20:20">
      <c r="T2087" s="10"/>
    </row>
    <row r="2088" spans="20:20">
      <c r="T2088" s="10"/>
    </row>
    <row r="2089" spans="20:20">
      <c r="T2089" s="10"/>
    </row>
    <row r="2090" spans="20:20">
      <c r="T2090" s="10"/>
    </row>
    <row r="2091" spans="20:20">
      <c r="T2091" s="10"/>
    </row>
    <row r="2092" spans="20:20">
      <c r="T2092" s="10"/>
    </row>
    <row r="2093" spans="20:20">
      <c r="T2093" s="10"/>
    </row>
    <row r="2094" spans="20:20">
      <c r="T2094" s="10"/>
    </row>
    <row r="2095" spans="20:20">
      <c r="T2095" s="10"/>
    </row>
    <row r="2096" spans="20:20">
      <c r="T2096" s="10"/>
    </row>
    <row r="2097" spans="20:20">
      <c r="T2097" s="10"/>
    </row>
    <row r="2098" spans="20:20">
      <c r="T2098" s="10"/>
    </row>
    <row r="2099" spans="20:20">
      <c r="T2099" s="10"/>
    </row>
    <row r="2100" spans="20:20">
      <c r="T2100" s="10"/>
    </row>
    <row r="2101" spans="20:20">
      <c r="T2101" s="10"/>
    </row>
    <row r="2102" spans="20:20">
      <c r="T2102" s="10"/>
    </row>
    <row r="2103" spans="20:20">
      <c r="T2103" s="10"/>
    </row>
    <row r="2104" spans="20:20">
      <c r="T2104" s="10"/>
    </row>
    <row r="2105" spans="20:20">
      <c r="T2105" s="10"/>
    </row>
    <row r="2106" spans="20:20">
      <c r="T2106" s="10"/>
    </row>
    <row r="2107" spans="20:20">
      <c r="T2107" s="10"/>
    </row>
    <row r="2108" spans="20:20">
      <c r="T2108" s="10"/>
    </row>
    <row r="2109" spans="20:20">
      <c r="T2109" s="10"/>
    </row>
    <row r="2110" spans="20:20">
      <c r="T2110" s="10"/>
    </row>
    <row r="2111" spans="20:20">
      <c r="T2111" s="10"/>
    </row>
    <row r="2112" spans="20:20">
      <c r="T2112" s="10"/>
    </row>
    <row r="2113" spans="20:20">
      <c r="T2113" s="10"/>
    </row>
    <row r="2114" spans="20:20">
      <c r="T2114" s="10"/>
    </row>
    <row r="2115" spans="20:20">
      <c r="T2115" s="10"/>
    </row>
    <row r="2116" spans="20:20">
      <c r="T2116" s="10"/>
    </row>
    <row r="2117" spans="20:20">
      <c r="T2117" s="10"/>
    </row>
    <row r="2118" spans="20:20">
      <c r="T2118" s="10"/>
    </row>
    <row r="2119" spans="20:20">
      <c r="T2119" s="10"/>
    </row>
    <row r="2120" spans="20:20">
      <c r="T2120" s="10"/>
    </row>
    <row r="2121" spans="20:20">
      <c r="T2121" s="10"/>
    </row>
    <row r="2122" spans="20:20">
      <c r="T2122" s="10"/>
    </row>
    <row r="2123" spans="20:20">
      <c r="T2123" s="10"/>
    </row>
    <row r="2124" spans="20:20">
      <c r="T2124" s="10"/>
    </row>
    <row r="2125" spans="20:20">
      <c r="T2125" s="10"/>
    </row>
    <row r="2126" spans="20:20">
      <c r="T2126" s="10"/>
    </row>
    <row r="2127" spans="20:20">
      <c r="T2127" s="10"/>
    </row>
    <row r="2128" spans="20:20">
      <c r="T2128" s="10"/>
    </row>
    <row r="2129" spans="20:20">
      <c r="T2129" s="10"/>
    </row>
    <row r="2130" spans="20:20">
      <c r="T2130" s="10"/>
    </row>
    <row r="2131" spans="20:20">
      <c r="T2131" s="10"/>
    </row>
    <row r="2132" spans="20:20">
      <c r="T2132" s="10"/>
    </row>
    <row r="2133" spans="20:20">
      <c r="T2133" s="10"/>
    </row>
    <row r="2134" spans="20:20">
      <c r="T2134" s="10"/>
    </row>
    <row r="2135" spans="20:20">
      <c r="T2135" s="10"/>
    </row>
    <row r="2136" spans="20:20">
      <c r="T2136" s="10"/>
    </row>
    <row r="2137" spans="20:20">
      <c r="T2137" s="10"/>
    </row>
    <row r="2138" spans="20:20">
      <c r="T2138" s="10"/>
    </row>
    <row r="2139" spans="20:20">
      <c r="T2139" s="10"/>
    </row>
    <row r="2140" spans="20:20">
      <c r="T2140" s="10"/>
    </row>
    <row r="2141" spans="20:20">
      <c r="T2141" s="10"/>
    </row>
    <row r="2142" spans="20:20">
      <c r="T2142" s="10"/>
    </row>
    <row r="2143" spans="20:20">
      <c r="T2143" s="10"/>
    </row>
    <row r="2144" spans="20:20">
      <c r="T2144" s="10"/>
    </row>
    <row r="2145" spans="20:20">
      <c r="T2145" s="10"/>
    </row>
    <row r="2146" spans="20:20">
      <c r="T2146" s="10"/>
    </row>
    <row r="2147" spans="20:20">
      <c r="T2147" s="10"/>
    </row>
    <row r="2148" spans="20:20">
      <c r="T2148" s="10"/>
    </row>
    <row r="2149" spans="20:20">
      <c r="T2149" s="10"/>
    </row>
    <row r="2150" spans="20:20">
      <c r="T2150" s="10"/>
    </row>
    <row r="2151" spans="20:20">
      <c r="T2151" s="10"/>
    </row>
    <row r="2152" spans="20:20">
      <c r="T2152" s="10"/>
    </row>
    <row r="2153" spans="20:20">
      <c r="T2153" s="10"/>
    </row>
    <row r="2154" spans="20:20">
      <c r="T2154" s="10"/>
    </row>
    <row r="2155" spans="20:20">
      <c r="T2155" s="10"/>
    </row>
    <row r="2156" spans="20:20">
      <c r="T2156" s="10"/>
    </row>
    <row r="2157" spans="20:20">
      <c r="T2157" s="10"/>
    </row>
    <row r="2158" spans="20:20">
      <c r="T2158" s="10"/>
    </row>
    <row r="2159" spans="20:20">
      <c r="T2159" s="10"/>
    </row>
    <row r="2160" spans="20:20">
      <c r="T2160" s="10"/>
    </row>
    <row r="2161" spans="20:20">
      <c r="T2161" s="10"/>
    </row>
    <row r="2162" spans="20:20">
      <c r="T2162" s="10"/>
    </row>
    <row r="2163" spans="20:20">
      <c r="T2163" s="10"/>
    </row>
    <row r="2164" spans="20:20">
      <c r="T2164" s="10"/>
    </row>
    <row r="2165" spans="20:20">
      <c r="T2165" s="10"/>
    </row>
    <row r="2166" spans="20:20">
      <c r="T2166" s="10"/>
    </row>
    <row r="2167" spans="20:20">
      <c r="T2167" s="10"/>
    </row>
    <row r="2168" spans="20:20">
      <c r="T2168" s="10"/>
    </row>
    <row r="2169" spans="20:20">
      <c r="T2169" s="10"/>
    </row>
    <row r="2170" spans="20:20">
      <c r="T2170" s="10"/>
    </row>
    <row r="2171" spans="20:20">
      <c r="T2171" s="10"/>
    </row>
    <row r="2172" spans="20:20">
      <c r="T2172" s="10"/>
    </row>
    <row r="2173" spans="20:20">
      <c r="T2173" s="10"/>
    </row>
    <row r="2174" spans="20:20">
      <c r="T2174" s="10"/>
    </row>
    <row r="2175" spans="20:20">
      <c r="T2175" s="10"/>
    </row>
    <row r="2176" spans="20:20">
      <c r="T2176" s="10"/>
    </row>
    <row r="2177" spans="20:20">
      <c r="T2177" s="10"/>
    </row>
    <row r="2178" spans="20:20">
      <c r="T2178" s="10"/>
    </row>
    <row r="2179" spans="20:20">
      <c r="T2179" s="10"/>
    </row>
    <row r="2180" spans="20:20">
      <c r="T2180" s="10"/>
    </row>
    <row r="2181" spans="20:20">
      <c r="T2181" s="10"/>
    </row>
    <row r="2182" spans="20:20">
      <c r="T2182" s="10"/>
    </row>
    <row r="2183" spans="20:20">
      <c r="T2183" s="10"/>
    </row>
    <row r="2184" spans="20:20">
      <c r="T2184" s="10"/>
    </row>
    <row r="2185" spans="20:20">
      <c r="T2185" s="10"/>
    </row>
    <row r="2186" spans="20:20">
      <c r="T2186" s="10"/>
    </row>
    <row r="2187" spans="20:20">
      <c r="T2187" s="10"/>
    </row>
    <row r="2188" spans="20:20">
      <c r="T2188" s="10"/>
    </row>
    <row r="2189" spans="20:20">
      <c r="T2189" s="10"/>
    </row>
    <row r="2190" spans="20:20">
      <c r="T2190" s="10"/>
    </row>
    <row r="2191" spans="20:20">
      <c r="T2191" s="10"/>
    </row>
    <row r="2192" spans="20:20">
      <c r="T2192" s="10"/>
    </row>
    <row r="2193" spans="20:20">
      <c r="T2193" s="10"/>
    </row>
    <row r="2194" spans="20:20">
      <c r="T2194" s="10"/>
    </row>
    <row r="2195" spans="20:20">
      <c r="T2195" s="10"/>
    </row>
    <row r="2196" spans="20:20">
      <c r="T2196" s="10"/>
    </row>
    <row r="2197" spans="20:20">
      <c r="T2197" s="10"/>
    </row>
    <row r="2198" spans="20:20">
      <c r="T2198" s="10"/>
    </row>
    <row r="2199" spans="20:20">
      <c r="T2199" s="10"/>
    </row>
    <row r="2200" spans="20:20">
      <c r="T2200" s="10"/>
    </row>
    <row r="2201" spans="20:20">
      <c r="T2201" s="10"/>
    </row>
    <row r="2202" spans="20:20">
      <c r="T2202" s="10"/>
    </row>
    <row r="2203" spans="20:20">
      <c r="T2203" s="10"/>
    </row>
    <row r="2204" spans="20:20">
      <c r="T2204" s="10"/>
    </row>
    <row r="2205" spans="20:20">
      <c r="T2205" s="10"/>
    </row>
    <row r="2206" spans="20:20">
      <c r="T2206" s="10"/>
    </row>
    <row r="2207" spans="20:20">
      <c r="T2207" s="10"/>
    </row>
    <row r="2208" spans="20:20">
      <c r="T2208" s="10"/>
    </row>
    <row r="2209" spans="20:20">
      <c r="T2209" s="10"/>
    </row>
    <row r="2210" spans="20:20">
      <c r="T2210" s="10"/>
    </row>
    <row r="2211" spans="20:20">
      <c r="T2211" s="10"/>
    </row>
    <row r="2212" spans="20:20">
      <c r="T2212" s="10"/>
    </row>
    <row r="2213" spans="20:20">
      <c r="T2213" s="10"/>
    </row>
    <row r="2214" spans="20:20">
      <c r="T2214" s="10"/>
    </row>
    <row r="2215" spans="20:20">
      <c r="T2215" s="10"/>
    </row>
    <row r="2216" spans="20:20">
      <c r="T2216" s="10"/>
    </row>
    <row r="2217" spans="20:20">
      <c r="T2217" s="10"/>
    </row>
    <row r="2218" spans="20:20">
      <c r="T2218" s="10"/>
    </row>
    <row r="2219" spans="20:20">
      <c r="T2219" s="10"/>
    </row>
    <row r="2220" spans="20:20">
      <c r="T2220" s="10"/>
    </row>
    <row r="2221" spans="20:20">
      <c r="T2221" s="10"/>
    </row>
    <row r="2222" spans="20:20">
      <c r="T2222" s="10"/>
    </row>
    <row r="2223" spans="20:20">
      <c r="T2223" s="10"/>
    </row>
    <row r="2224" spans="20:20">
      <c r="T2224" s="10"/>
    </row>
    <row r="2225" spans="20:20">
      <c r="T2225" s="10"/>
    </row>
    <row r="2226" spans="20:20">
      <c r="T2226" s="10"/>
    </row>
    <row r="2227" spans="20:20">
      <c r="T2227" s="10"/>
    </row>
    <row r="2228" spans="20:20">
      <c r="T2228" s="10"/>
    </row>
    <row r="2229" spans="20:20">
      <c r="T2229" s="10"/>
    </row>
    <row r="2230" spans="20:20">
      <c r="T2230" s="10"/>
    </row>
    <row r="2231" spans="20:20">
      <c r="T2231" s="10"/>
    </row>
    <row r="2232" spans="20:20">
      <c r="T2232" s="10"/>
    </row>
    <row r="2233" spans="20:20">
      <c r="T2233" s="10"/>
    </row>
    <row r="2234" spans="20:20">
      <c r="T2234" s="10"/>
    </row>
    <row r="2235" spans="20:20">
      <c r="T2235" s="10"/>
    </row>
    <row r="2236" spans="20:20">
      <c r="T2236" s="10"/>
    </row>
    <row r="2237" spans="20:20">
      <c r="T2237" s="10"/>
    </row>
    <row r="2238" spans="20:20">
      <c r="T2238" s="10"/>
    </row>
    <row r="2239" spans="20:20">
      <c r="T2239" s="10"/>
    </row>
    <row r="2240" spans="20:20">
      <c r="T2240" s="10"/>
    </row>
    <row r="2241" spans="20:20">
      <c r="T2241" s="10"/>
    </row>
    <row r="2242" spans="20:20">
      <c r="T2242" s="10"/>
    </row>
    <row r="2243" spans="20:20">
      <c r="T2243" s="10"/>
    </row>
    <row r="2244" spans="20:20">
      <c r="T2244" s="10"/>
    </row>
    <row r="2245" spans="20:20">
      <c r="T2245" s="10"/>
    </row>
    <row r="2246" spans="20:20">
      <c r="T2246" s="10"/>
    </row>
    <row r="2247" spans="20:20">
      <c r="T2247" s="10"/>
    </row>
    <row r="2248" spans="20:20">
      <c r="T2248" s="10"/>
    </row>
    <row r="2249" spans="20:20">
      <c r="T2249" s="10"/>
    </row>
    <row r="2250" spans="20:20">
      <c r="T2250" s="10"/>
    </row>
    <row r="2251" spans="20:20">
      <c r="T2251" s="10"/>
    </row>
    <row r="2252" spans="20:20">
      <c r="T2252" s="10"/>
    </row>
    <row r="2253" spans="20:20">
      <c r="T2253" s="10"/>
    </row>
    <row r="2254" spans="20:20">
      <c r="T2254" s="10"/>
    </row>
    <row r="2255" spans="20:20">
      <c r="T2255" s="10"/>
    </row>
    <row r="2256" spans="20:20">
      <c r="T2256" s="10"/>
    </row>
    <row r="2257" spans="20:20">
      <c r="T2257" s="10"/>
    </row>
    <row r="2258" spans="20:20">
      <c r="T2258" s="10"/>
    </row>
    <row r="2259" spans="20:20">
      <c r="T2259" s="10"/>
    </row>
    <row r="2260" spans="20:20">
      <c r="T2260" s="10"/>
    </row>
    <row r="2261" spans="20:20">
      <c r="T2261" s="10"/>
    </row>
    <row r="2262" spans="20:20">
      <c r="T2262" s="10"/>
    </row>
    <row r="2263" spans="20:20">
      <c r="T2263" s="10"/>
    </row>
    <row r="2264" spans="20:20">
      <c r="T2264" s="10"/>
    </row>
    <row r="2265" spans="20:20">
      <c r="T2265" s="10"/>
    </row>
    <row r="2266" spans="20:20">
      <c r="T2266" s="10"/>
    </row>
    <row r="2267" spans="20:20">
      <c r="T2267" s="10"/>
    </row>
    <row r="2268" spans="20:20">
      <c r="T2268" s="10"/>
    </row>
    <row r="2269" spans="20:20">
      <c r="T2269" s="10"/>
    </row>
    <row r="2270" spans="20:20">
      <c r="T2270" s="10"/>
    </row>
    <row r="2271" spans="20:20">
      <c r="T2271" s="10"/>
    </row>
    <row r="2272" spans="20:20">
      <c r="T2272" s="10"/>
    </row>
    <row r="2273" spans="20:20">
      <c r="T2273" s="10"/>
    </row>
    <row r="2274" spans="20:20">
      <c r="T2274" s="10"/>
    </row>
    <row r="2275" spans="20:20">
      <c r="T2275" s="10"/>
    </row>
    <row r="2276" spans="20:20">
      <c r="T2276" s="10"/>
    </row>
    <row r="2277" spans="20:20">
      <c r="T2277" s="10"/>
    </row>
    <row r="2278" spans="20:20">
      <c r="T2278" s="10"/>
    </row>
    <row r="2279" spans="20:20">
      <c r="T2279" s="10"/>
    </row>
    <row r="2280" spans="20:20">
      <c r="T2280" s="10"/>
    </row>
    <row r="2281" spans="20:20">
      <c r="T2281" s="10"/>
    </row>
    <row r="2282" spans="20:20">
      <c r="T2282" s="10"/>
    </row>
    <row r="2283" spans="20:20">
      <c r="T2283" s="10"/>
    </row>
    <row r="2284" spans="20:20">
      <c r="T2284" s="10"/>
    </row>
    <row r="2285" spans="20:20">
      <c r="T2285" s="10"/>
    </row>
    <row r="2286" spans="20:20">
      <c r="T2286" s="10"/>
    </row>
    <row r="2287" spans="20:20">
      <c r="T2287" s="10"/>
    </row>
    <row r="2288" spans="20:20">
      <c r="T2288" s="10"/>
    </row>
    <row r="2289" spans="20:20">
      <c r="T2289" s="10"/>
    </row>
    <row r="2290" spans="20:20">
      <c r="T2290" s="10"/>
    </row>
    <row r="2291" spans="20:20">
      <c r="T2291" s="10"/>
    </row>
    <row r="2292" spans="20:20">
      <c r="T2292" s="10"/>
    </row>
    <row r="2293" spans="20:20">
      <c r="T2293" s="10"/>
    </row>
    <row r="2294" spans="20:20">
      <c r="T2294" s="10"/>
    </row>
    <row r="2295" spans="20:20">
      <c r="T2295" s="10"/>
    </row>
    <row r="2296" spans="20:20">
      <c r="T2296" s="10"/>
    </row>
    <row r="2297" spans="20:20">
      <c r="T2297" s="10"/>
    </row>
    <row r="2298" spans="20:20">
      <c r="T2298" s="10"/>
    </row>
    <row r="2299" spans="20:20">
      <c r="T2299" s="10"/>
    </row>
    <row r="2300" spans="20:20">
      <c r="T2300" s="10"/>
    </row>
    <row r="2301" spans="20:20">
      <c r="T2301" s="10"/>
    </row>
    <row r="2302" spans="20:20">
      <c r="T2302" s="10"/>
    </row>
    <row r="2303" spans="20:20">
      <c r="T2303" s="10"/>
    </row>
    <row r="2304" spans="20:20">
      <c r="T2304" s="10"/>
    </row>
    <row r="2305" spans="20:20">
      <c r="T2305" s="10"/>
    </row>
    <row r="2306" spans="20:20">
      <c r="T2306" s="10"/>
    </row>
    <row r="2307" spans="20:20">
      <c r="T2307" s="10"/>
    </row>
    <row r="2308" spans="20:20">
      <c r="T2308" s="10"/>
    </row>
    <row r="2309" spans="20:20">
      <c r="T2309" s="10"/>
    </row>
    <row r="2310" spans="20:20">
      <c r="T2310" s="10"/>
    </row>
    <row r="2311" spans="20:20">
      <c r="T2311" s="10"/>
    </row>
    <row r="2312" spans="20:20">
      <c r="T2312" s="10"/>
    </row>
    <row r="2313" spans="20:20">
      <c r="T2313" s="10"/>
    </row>
    <row r="2314" spans="20:20">
      <c r="T2314" s="10"/>
    </row>
    <row r="2315" spans="20:20">
      <c r="T2315" s="10"/>
    </row>
    <row r="2316" spans="20:20">
      <c r="T2316" s="10"/>
    </row>
    <row r="2317" spans="20:20">
      <c r="T2317" s="10"/>
    </row>
    <row r="2318" spans="20:20">
      <c r="T2318" s="10"/>
    </row>
    <row r="2319" spans="20:20">
      <c r="T2319" s="10"/>
    </row>
    <row r="2320" spans="20:20">
      <c r="T2320" s="10"/>
    </row>
    <row r="2321" spans="20:20">
      <c r="T2321" s="10"/>
    </row>
    <row r="2322" spans="20:20">
      <c r="T2322" s="10"/>
    </row>
    <row r="2323" spans="20:20">
      <c r="T2323" s="10"/>
    </row>
    <row r="2324" spans="20:20">
      <c r="T2324" s="10"/>
    </row>
    <row r="2325" spans="20:20">
      <c r="T2325" s="10"/>
    </row>
    <row r="2326" spans="20:20">
      <c r="T2326" s="10"/>
    </row>
    <row r="2327" spans="20:20">
      <c r="T2327" s="10"/>
    </row>
    <row r="2328" spans="20:20">
      <c r="T2328" s="10"/>
    </row>
    <row r="2329" spans="20:20">
      <c r="T2329" s="10"/>
    </row>
    <row r="2330" spans="20:20">
      <c r="T2330" s="10"/>
    </row>
    <row r="2331" spans="20:20">
      <c r="T2331" s="10"/>
    </row>
    <row r="2332" spans="20:20">
      <c r="T2332" s="10"/>
    </row>
    <row r="2333" spans="20:20">
      <c r="T2333" s="10"/>
    </row>
    <row r="2334" spans="20:20">
      <c r="T2334" s="10"/>
    </row>
    <row r="2335" spans="20:20">
      <c r="T2335" s="10"/>
    </row>
    <row r="2336" spans="20:20">
      <c r="T2336" s="10"/>
    </row>
    <row r="2337" spans="20:20">
      <c r="T2337" s="10"/>
    </row>
    <row r="2338" spans="20:20">
      <c r="T2338" s="10"/>
    </row>
    <row r="2339" spans="20:20">
      <c r="T2339" s="10"/>
    </row>
    <row r="2340" spans="20:20">
      <c r="T2340" s="10"/>
    </row>
    <row r="2341" spans="20:20">
      <c r="T2341" s="10"/>
    </row>
    <row r="2342" spans="20:20">
      <c r="T2342" s="10"/>
    </row>
    <row r="2343" spans="20:20">
      <c r="T2343" s="10"/>
    </row>
    <row r="2344" spans="20:20">
      <c r="T2344" s="10"/>
    </row>
    <row r="2345" spans="20:20">
      <c r="T2345" s="10"/>
    </row>
    <row r="2346" spans="20:20">
      <c r="T2346" s="10"/>
    </row>
    <row r="2347" spans="20:20">
      <c r="T2347" s="10"/>
    </row>
    <row r="2348" spans="20:20">
      <c r="T2348" s="10"/>
    </row>
    <row r="2349" spans="20:20">
      <c r="T2349" s="10"/>
    </row>
    <row r="2350" spans="20:20">
      <c r="T2350" s="10"/>
    </row>
    <row r="2351" spans="20:20">
      <c r="T2351" s="10"/>
    </row>
    <row r="2352" spans="20:20">
      <c r="T2352" s="10"/>
    </row>
    <row r="2353" spans="20:20">
      <c r="T2353" s="10"/>
    </row>
    <row r="2354" spans="20:20">
      <c r="T2354" s="10"/>
    </row>
    <row r="2355" spans="20:20">
      <c r="T2355" s="10"/>
    </row>
    <row r="2356" spans="20:20">
      <c r="T2356" s="10"/>
    </row>
    <row r="2357" spans="20:20">
      <c r="T2357" s="10"/>
    </row>
    <row r="2358" spans="20:20">
      <c r="T2358" s="10"/>
    </row>
    <row r="2359" spans="20:20">
      <c r="T2359" s="10"/>
    </row>
    <row r="2360" spans="20:20">
      <c r="T2360" s="10"/>
    </row>
    <row r="2361" spans="20:20">
      <c r="T2361" s="10"/>
    </row>
    <row r="2362" spans="20:20">
      <c r="T2362" s="10"/>
    </row>
    <row r="2363" spans="20:20">
      <c r="T2363" s="10"/>
    </row>
    <row r="2364" spans="20:20">
      <c r="T2364" s="10"/>
    </row>
    <row r="2365" spans="20:20">
      <c r="T2365" s="10"/>
    </row>
    <row r="2366" spans="20:20">
      <c r="T2366" s="10"/>
    </row>
    <row r="2367" spans="20:20">
      <c r="T2367" s="10"/>
    </row>
    <row r="2368" spans="20:20">
      <c r="T2368" s="10"/>
    </row>
    <row r="2369" spans="20:20">
      <c r="T2369" s="10"/>
    </row>
    <row r="2370" spans="20:20">
      <c r="T2370" s="10"/>
    </row>
    <row r="2371" spans="20:20">
      <c r="T2371" s="10"/>
    </row>
    <row r="2372" spans="20:20">
      <c r="T2372" s="10"/>
    </row>
    <row r="2373" spans="20:20">
      <c r="T2373" s="10"/>
    </row>
    <row r="2374" spans="20:20">
      <c r="T2374" s="10"/>
    </row>
    <row r="2375" spans="20:20">
      <c r="T2375" s="10"/>
    </row>
    <row r="2376" spans="20:20">
      <c r="T2376" s="10"/>
    </row>
    <row r="2377" spans="20:20">
      <c r="T2377" s="10"/>
    </row>
    <row r="2378" spans="20:20">
      <c r="T2378" s="10"/>
    </row>
    <row r="2379" spans="20:20">
      <c r="T2379" s="10"/>
    </row>
    <row r="2380" spans="20:20">
      <c r="T2380" s="10"/>
    </row>
    <row r="2381" spans="20:20">
      <c r="T2381" s="10"/>
    </row>
    <row r="2382" spans="20:20">
      <c r="T2382" s="10"/>
    </row>
    <row r="2383" spans="20:20">
      <c r="T2383" s="10"/>
    </row>
    <row r="2384" spans="20:20">
      <c r="T2384" s="10"/>
    </row>
    <row r="2385" spans="20:20">
      <c r="T2385" s="10"/>
    </row>
    <row r="2386" spans="20:20">
      <c r="T2386" s="10"/>
    </row>
    <row r="2387" spans="20:20">
      <c r="T2387" s="10"/>
    </row>
    <row r="2388" spans="20:20">
      <c r="T2388" s="10"/>
    </row>
    <row r="2389" spans="20:20">
      <c r="T2389" s="10"/>
    </row>
    <row r="2390" spans="20:20">
      <c r="T2390" s="10"/>
    </row>
    <row r="2391" spans="20:20">
      <c r="T2391" s="10"/>
    </row>
    <row r="2392" spans="20:20">
      <c r="T2392" s="10"/>
    </row>
    <row r="2393" spans="20:20">
      <c r="T2393" s="10"/>
    </row>
    <row r="2394" spans="20:20">
      <c r="T2394" s="10"/>
    </row>
    <row r="2395" spans="20:20">
      <c r="T2395" s="10"/>
    </row>
    <row r="2396" spans="20:20">
      <c r="T2396" s="10"/>
    </row>
    <row r="2397" spans="20:20">
      <c r="T2397" s="10"/>
    </row>
    <row r="2398" spans="20:20">
      <c r="T2398" s="10"/>
    </row>
    <row r="2399" spans="20:20">
      <c r="T2399" s="10"/>
    </row>
    <row r="2400" spans="20:20">
      <c r="T2400" s="10"/>
    </row>
    <row r="2401" spans="20:20">
      <c r="T2401" s="10"/>
    </row>
    <row r="2402" spans="20:20">
      <c r="T2402" s="10"/>
    </row>
    <row r="2403" spans="20:20">
      <c r="T2403" s="10"/>
    </row>
    <row r="2404" spans="20:20">
      <c r="T2404" s="10"/>
    </row>
    <row r="2405" spans="20:20">
      <c r="T2405" s="10"/>
    </row>
    <row r="2406" spans="20:20">
      <c r="T2406" s="10"/>
    </row>
    <row r="2407" spans="20:20">
      <c r="T2407" s="10"/>
    </row>
    <row r="2408" spans="20:20">
      <c r="T2408" s="10"/>
    </row>
    <row r="2409" spans="20:20">
      <c r="T2409" s="10"/>
    </row>
    <row r="2410" spans="20:20">
      <c r="T2410" s="10"/>
    </row>
    <row r="2411" spans="20:20">
      <c r="T2411" s="10"/>
    </row>
    <row r="2412" spans="20:20">
      <c r="T2412" s="10"/>
    </row>
    <row r="2413" spans="20:20">
      <c r="T2413" s="10"/>
    </row>
    <row r="2414" spans="20:20">
      <c r="T2414" s="10"/>
    </row>
    <row r="2415" spans="20:20">
      <c r="T2415" s="10"/>
    </row>
    <row r="2416" spans="20:20">
      <c r="T2416" s="10"/>
    </row>
    <row r="2417" spans="20:20">
      <c r="T2417" s="10"/>
    </row>
    <row r="2418" spans="20:20">
      <c r="T2418" s="10"/>
    </row>
    <row r="2419" spans="20:20">
      <c r="T2419" s="10"/>
    </row>
    <row r="2420" spans="20:20">
      <c r="T2420" s="10"/>
    </row>
    <row r="2421" spans="20:20">
      <c r="T2421" s="10"/>
    </row>
    <row r="2422" spans="20:20">
      <c r="T2422" s="10"/>
    </row>
    <row r="2423" spans="20:20">
      <c r="T2423" s="10"/>
    </row>
    <row r="2424" spans="20:20">
      <c r="T2424" s="10"/>
    </row>
    <row r="2425" spans="20:20">
      <c r="T2425" s="10"/>
    </row>
    <row r="2426" spans="20:20">
      <c r="T2426" s="10"/>
    </row>
    <row r="2427" spans="20:20">
      <c r="T2427" s="10"/>
    </row>
    <row r="2428" spans="20:20">
      <c r="T2428" s="10"/>
    </row>
    <row r="2429" spans="20:20">
      <c r="T2429" s="10"/>
    </row>
    <row r="2430" spans="20:20">
      <c r="T2430" s="10"/>
    </row>
    <row r="2431" spans="20:20">
      <c r="T2431" s="10"/>
    </row>
    <row r="2432" spans="20:20">
      <c r="T2432" s="10"/>
    </row>
    <row r="2433" spans="20:20">
      <c r="T2433" s="10"/>
    </row>
    <row r="2434" spans="20:20">
      <c r="T2434" s="10"/>
    </row>
    <row r="2435" spans="20:20">
      <c r="T2435" s="10"/>
    </row>
    <row r="2436" spans="20:20">
      <c r="T2436" s="10"/>
    </row>
    <row r="2437" spans="20:20">
      <c r="T2437" s="10"/>
    </row>
    <row r="2438" spans="20:20">
      <c r="T2438" s="10"/>
    </row>
    <row r="2439" spans="20:20">
      <c r="T2439" s="10"/>
    </row>
    <row r="2440" spans="20:20">
      <c r="T2440" s="10"/>
    </row>
    <row r="2441" spans="20:20">
      <c r="T2441" s="10"/>
    </row>
    <row r="2442" spans="20:20">
      <c r="T2442" s="10"/>
    </row>
    <row r="2443" spans="20:20">
      <c r="T2443" s="10"/>
    </row>
    <row r="2444" spans="20:20">
      <c r="T2444" s="10"/>
    </row>
    <row r="2445" spans="20:20">
      <c r="T2445" s="10"/>
    </row>
    <row r="2446" spans="20:20">
      <c r="T2446" s="10"/>
    </row>
    <row r="2447" spans="20:20">
      <c r="T2447" s="10"/>
    </row>
    <row r="2448" spans="20:20">
      <c r="T2448" s="10"/>
    </row>
    <row r="2449" spans="20:20">
      <c r="T2449" s="10"/>
    </row>
    <row r="2450" spans="20:20">
      <c r="T2450" s="10"/>
    </row>
    <row r="2451" spans="20:20">
      <c r="T2451" s="10"/>
    </row>
    <row r="2452" spans="20:20">
      <c r="T2452" s="10"/>
    </row>
    <row r="2453" spans="20:20">
      <c r="T2453" s="10"/>
    </row>
    <row r="2454" spans="20:20">
      <c r="T2454" s="10"/>
    </row>
    <row r="2455" spans="20:20">
      <c r="T2455" s="10"/>
    </row>
    <row r="2456" spans="20:20">
      <c r="T2456" s="10"/>
    </row>
    <row r="2457" spans="20:20">
      <c r="T2457" s="10"/>
    </row>
    <row r="2458" spans="20:20">
      <c r="T2458" s="10"/>
    </row>
    <row r="2459" spans="20:20">
      <c r="T2459" s="10"/>
    </row>
    <row r="2460" spans="20:20">
      <c r="T2460" s="10"/>
    </row>
    <row r="2461" spans="20:20">
      <c r="T2461" s="10"/>
    </row>
    <row r="2462" spans="20:20">
      <c r="T2462" s="10"/>
    </row>
    <row r="2463" spans="20:20">
      <c r="T2463" s="10"/>
    </row>
    <row r="2464" spans="20:20">
      <c r="T2464" s="10"/>
    </row>
    <row r="2465" spans="20:20">
      <c r="T2465" s="10"/>
    </row>
    <row r="2466" spans="20:20">
      <c r="T2466" s="10"/>
    </row>
    <row r="2467" spans="20:20">
      <c r="T2467" s="10"/>
    </row>
    <row r="2468" spans="20:20">
      <c r="T2468" s="10"/>
    </row>
    <row r="2469" spans="20:20">
      <c r="T2469" s="10"/>
    </row>
    <row r="2470" spans="20:20">
      <c r="T2470" s="10"/>
    </row>
    <row r="2471" spans="20:20">
      <c r="T2471" s="10"/>
    </row>
    <row r="2472" spans="20:20">
      <c r="T2472" s="10"/>
    </row>
    <row r="2473" spans="20:20">
      <c r="T2473" s="10"/>
    </row>
    <row r="2474" spans="20:20">
      <c r="T2474" s="10"/>
    </row>
    <row r="2475" spans="20:20">
      <c r="T2475" s="10"/>
    </row>
    <row r="2476" spans="20:20">
      <c r="T2476" s="10"/>
    </row>
    <row r="2477" spans="20:20">
      <c r="T2477" s="10"/>
    </row>
    <row r="2478" spans="20:20">
      <c r="T2478" s="10"/>
    </row>
    <row r="2479" spans="20:20">
      <c r="T2479" s="10"/>
    </row>
    <row r="2480" spans="20:20">
      <c r="T2480" s="10"/>
    </row>
    <row r="2481" spans="20:20">
      <c r="T2481" s="10"/>
    </row>
    <row r="2482" spans="20:20">
      <c r="T2482" s="10"/>
    </row>
    <row r="2483" spans="20:20">
      <c r="T2483" s="10"/>
    </row>
    <row r="2484" spans="20:20">
      <c r="T2484" s="10"/>
    </row>
    <row r="2485" spans="20:20">
      <c r="T2485" s="10"/>
    </row>
    <row r="2486" spans="20:20">
      <c r="T2486" s="10"/>
    </row>
    <row r="2487" spans="20:20">
      <c r="T2487" s="10"/>
    </row>
    <row r="2488" spans="20:20">
      <c r="T2488" s="10"/>
    </row>
    <row r="2489" spans="20:20">
      <c r="T2489" s="10"/>
    </row>
    <row r="2490" spans="20:20">
      <c r="T2490" s="10"/>
    </row>
    <row r="2491" spans="20:20">
      <c r="T2491" s="10"/>
    </row>
    <row r="2492" spans="20:20">
      <c r="T2492" s="10"/>
    </row>
    <row r="2493" spans="20:20">
      <c r="T2493" s="10"/>
    </row>
    <row r="2494" spans="20:20">
      <c r="T2494" s="10"/>
    </row>
    <row r="2495" spans="20:20">
      <c r="T2495" s="10"/>
    </row>
    <row r="2496" spans="20:20">
      <c r="T2496" s="10"/>
    </row>
    <row r="2497" spans="20:20">
      <c r="T2497" s="10"/>
    </row>
    <row r="2498" spans="20:20">
      <c r="T2498" s="10"/>
    </row>
    <row r="2499" spans="20:20">
      <c r="T2499" s="10"/>
    </row>
    <row r="2500" spans="20:20">
      <c r="T2500" s="10"/>
    </row>
    <row r="2501" spans="20:20">
      <c r="T2501" s="10"/>
    </row>
    <row r="2502" spans="20:20">
      <c r="T2502" s="10"/>
    </row>
    <row r="2503" spans="20:20">
      <c r="T2503" s="10"/>
    </row>
    <row r="2504" spans="20:20">
      <c r="T2504" s="10"/>
    </row>
    <row r="2505" spans="20:20">
      <c r="T2505" s="10"/>
    </row>
    <row r="2506" spans="20:20">
      <c r="T2506" s="10"/>
    </row>
    <row r="2507" spans="20:20">
      <c r="T2507" s="10"/>
    </row>
    <row r="2508" spans="20:20">
      <c r="T2508" s="10"/>
    </row>
    <row r="2509" spans="20:20">
      <c r="T2509" s="10"/>
    </row>
    <row r="2510" spans="20:20">
      <c r="T2510" s="10"/>
    </row>
    <row r="2511" spans="20:20">
      <c r="T2511" s="10"/>
    </row>
    <row r="2512" spans="20:20">
      <c r="T2512" s="10"/>
    </row>
    <row r="2513" spans="20:20">
      <c r="T2513" s="10"/>
    </row>
    <row r="2514" spans="20:20">
      <c r="T2514" s="10"/>
    </row>
    <row r="2515" spans="20:20">
      <c r="T2515" s="10"/>
    </row>
    <row r="2516" spans="20:20">
      <c r="T2516" s="10"/>
    </row>
    <row r="2517" spans="20:20">
      <c r="T2517" s="10"/>
    </row>
    <row r="2518" spans="20:20">
      <c r="T2518" s="10"/>
    </row>
    <row r="2519" spans="20:20">
      <c r="T2519" s="10"/>
    </row>
    <row r="2520" spans="20:20">
      <c r="T2520" s="10"/>
    </row>
    <row r="2521" spans="20:20">
      <c r="T2521" s="10"/>
    </row>
    <row r="2522" spans="20:20">
      <c r="T2522" s="10"/>
    </row>
    <row r="2523" spans="20:20">
      <c r="T2523" s="10"/>
    </row>
    <row r="2524" spans="20:20">
      <c r="T2524" s="10"/>
    </row>
    <row r="2525" spans="20:20">
      <c r="T2525" s="10"/>
    </row>
    <row r="2526" spans="20:20">
      <c r="T2526" s="10"/>
    </row>
    <row r="2527" spans="20:20">
      <c r="T2527" s="10"/>
    </row>
    <row r="2528" spans="20:20">
      <c r="T2528" s="10"/>
    </row>
    <row r="2529" spans="20:20">
      <c r="T2529" s="10"/>
    </row>
    <row r="2530" spans="20:20">
      <c r="T2530" s="10"/>
    </row>
    <row r="2531" spans="20:20">
      <c r="T2531" s="10"/>
    </row>
    <row r="2532" spans="20:20">
      <c r="T2532" s="10"/>
    </row>
    <row r="2533" spans="20:20">
      <c r="T2533" s="10"/>
    </row>
    <row r="2534" spans="20:20">
      <c r="T2534" s="10"/>
    </row>
    <row r="2535" spans="20:20">
      <c r="T2535" s="10"/>
    </row>
    <row r="2536" spans="20:20">
      <c r="T2536" s="10"/>
    </row>
    <row r="2537" spans="20:20">
      <c r="T2537" s="10"/>
    </row>
    <row r="2538" spans="20:20">
      <c r="T2538" s="10"/>
    </row>
    <row r="2539" spans="20:20">
      <c r="T2539" s="10"/>
    </row>
    <row r="2540" spans="20:20">
      <c r="T2540" s="10"/>
    </row>
    <row r="2541" spans="20:20">
      <c r="T2541" s="10"/>
    </row>
    <row r="2542" spans="20:20">
      <c r="T2542" s="10"/>
    </row>
    <row r="2543" spans="20:20">
      <c r="T2543" s="10"/>
    </row>
    <row r="2544" spans="20:20">
      <c r="T2544" s="10"/>
    </row>
    <row r="2545" spans="20:20">
      <c r="T2545" s="10"/>
    </row>
    <row r="2546" spans="20:20">
      <c r="T2546" s="10"/>
    </row>
    <row r="2547" spans="20:20">
      <c r="T2547" s="10"/>
    </row>
    <row r="2548" spans="20:20">
      <c r="T2548" s="10"/>
    </row>
    <row r="2549" spans="20:20">
      <c r="T2549" s="10"/>
    </row>
    <row r="2550" spans="20:20">
      <c r="T2550" s="10"/>
    </row>
    <row r="2551" spans="20:20">
      <c r="T2551" s="10"/>
    </row>
    <row r="2552" spans="20:20">
      <c r="T2552" s="10"/>
    </row>
    <row r="2553" spans="20:20">
      <c r="T2553" s="10"/>
    </row>
    <row r="2554" spans="20:20">
      <c r="T2554" s="10"/>
    </row>
    <row r="2555" spans="20:20">
      <c r="T2555" s="10"/>
    </row>
    <row r="2556" spans="20:20">
      <c r="T2556" s="10"/>
    </row>
    <row r="2557" spans="20:20">
      <c r="T2557" s="10"/>
    </row>
    <row r="2558" spans="20:20">
      <c r="T2558" s="10"/>
    </row>
    <row r="2559" spans="20:20">
      <c r="T2559" s="10"/>
    </row>
    <row r="2560" spans="20:20">
      <c r="T2560" s="10"/>
    </row>
    <row r="2561" spans="20:20">
      <c r="T2561" s="10"/>
    </row>
    <row r="2562" spans="20:20">
      <c r="T2562" s="10"/>
    </row>
    <row r="2563" spans="20:20">
      <c r="T2563" s="10"/>
    </row>
    <row r="2564" spans="20:20">
      <c r="T2564" s="10"/>
    </row>
    <row r="2565" spans="20:20">
      <c r="T2565" s="10"/>
    </row>
    <row r="2566" spans="20:20">
      <c r="T2566" s="10"/>
    </row>
    <row r="2567" spans="20:20">
      <c r="T2567" s="10"/>
    </row>
    <row r="2568" spans="20:20">
      <c r="T2568" s="10"/>
    </row>
    <row r="2569" spans="20:20">
      <c r="T2569" s="10"/>
    </row>
    <row r="2570" spans="20:20">
      <c r="T2570" s="10"/>
    </row>
    <row r="2571" spans="20:20">
      <c r="T2571" s="10"/>
    </row>
    <row r="2572" spans="20:20">
      <c r="T2572" s="10"/>
    </row>
    <row r="2573" spans="20:20">
      <c r="T2573" s="10"/>
    </row>
    <row r="2574" spans="20:20">
      <c r="T2574" s="10"/>
    </row>
    <row r="2575" spans="20:20">
      <c r="T2575" s="10"/>
    </row>
    <row r="2576" spans="20:20">
      <c r="T2576" s="10"/>
    </row>
    <row r="2577" spans="20:20">
      <c r="T2577" s="10"/>
    </row>
    <row r="2578" spans="20:20">
      <c r="T2578" s="10"/>
    </row>
    <row r="2579" spans="20:20">
      <c r="T2579" s="10"/>
    </row>
    <row r="2580" spans="20:20">
      <c r="T2580" s="10"/>
    </row>
    <row r="2581" spans="20:20">
      <c r="T2581" s="10"/>
    </row>
    <row r="2582" spans="20:20">
      <c r="T2582" s="10"/>
    </row>
    <row r="2583" spans="20:20">
      <c r="T2583" s="10"/>
    </row>
    <row r="2584" spans="20:20">
      <c r="T2584" s="10"/>
    </row>
    <row r="2585" spans="20:20">
      <c r="T2585" s="10"/>
    </row>
    <row r="2586" spans="20:20">
      <c r="T2586" s="10"/>
    </row>
    <row r="2587" spans="20:20">
      <c r="T2587" s="10"/>
    </row>
    <row r="2588" spans="20:20">
      <c r="T2588" s="10"/>
    </row>
    <row r="2589" spans="20:20">
      <c r="T2589" s="10"/>
    </row>
    <row r="2590" spans="20:20">
      <c r="T2590" s="10"/>
    </row>
    <row r="2591" spans="20:20">
      <c r="T2591" s="10"/>
    </row>
    <row r="2592" spans="20:20">
      <c r="T2592" s="10"/>
    </row>
    <row r="2593" spans="20:20">
      <c r="T2593" s="10"/>
    </row>
    <row r="2594" spans="20:20">
      <c r="T2594" s="10"/>
    </row>
    <row r="2595" spans="20:20">
      <c r="T2595" s="10"/>
    </row>
    <row r="2596" spans="20:20">
      <c r="T2596" s="10"/>
    </row>
    <row r="2597" spans="20:20">
      <c r="T2597" s="10"/>
    </row>
    <row r="2598" spans="20:20">
      <c r="T2598" s="10"/>
    </row>
    <row r="2599" spans="20:20">
      <c r="T2599" s="10"/>
    </row>
    <row r="2600" spans="20:20">
      <c r="T2600" s="10"/>
    </row>
    <row r="2601" spans="20:20">
      <c r="T2601" s="10"/>
    </row>
    <row r="2602" spans="20:20">
      <c r="T2602" s="10"/>
    </row>
    <row r="2603" spans="20:20">
      <c r="T2603" s="10"/>
    </row>
    <row r="2604" spans="20:20">
      <c r="T2604" s="10"/>
    </row>
    <row r="2605" spans="20:20">
      <c r="T2605" s="10"/>
    </row>
    <row r="2606" spans="20:20">
      <c r="T2606" s="10"/>
    </row>
    <row r="2607" spans="20:20">
      <c r="T2607" s="10"/>
    </row>
    <row r="2608" spans="20:20">
      <c r="T2608" s="10"/>
    </row>
    <row r="2609" spans="20:20">
      <c r="T2609" s="10"/>
    </row>
    <row r="2610" spans="20:20">
      <c r="T2610" s="10"/>
    </row>
    <row r="2611" spans="20:20">
      <c r="T2611" s="10"/>
    </row>
    <row r="2612" spans="20:20">
      <c r="T2612" s="10"/>
    </row>
    <row r="2613" spans="20:20">
      <c r="T2613" s="10"/>
    </row>
    <row r="2614" spans="20:20">
      <c r="T2614" s="10"/>
    </row>
    <row r="2615" spans="20:20">
      <c r="T2615" s="10"/>
    </row>
    <row r="2616" spans="20:20">
      <c r="T2616" s="10"/>
    </row>
    <row r="2617" spans="20:20">
      <c r="T2617" s="10"/>
    </row>
    <row r="2618" spans="20:20">
      <c r="T2618" s="10"/>
    </row>
    <row r="2619" spans="20:20">
      <c r="T2619" s="10"/>
    </row>
    <row r="2620" spans="20:20">
      <c r="T2620" s="10"/>
    </row>
    <row r="2621" spans="20:20">
      <c r="T2621" s="10"/>
    </row>
    <row r="2622" spans="20:20">
      <c r="T2622" s="10"/>
    </row>
    <row r="2623" spans="20:20">
      <c r="T2623" s="10"/>
    </row>
    <row r="2624" spans="20:20">
      <c r="T2624" s="10"/>
    </row>
    <row r="2625" spans="20:20">
      <c r="T2625" s="10"/>
    </row>
    <row r="2626" spans="20:20">
      <c r="T2626" s="10"/>
    </row>
    <row r="2627" spans="20:20">
      <c r="T2627" s="10"/>
    </row>
    <row r="2628" spans="20:20">
      <c r="T2628" s="10"/>
    </row>
    <row r="2629" spans="20:20">
      <c r="T2629" s="10"/>
    </row>
    <row r="2630" spans="20:20">
      <c r="T2630" s="10"/>
    </row>
    <row r="2631" spans="20:20">
      <c r="T2631" s="10"/>
    </row>
    <row r="2632" spans="20:20">
      <c r="T2632" s="10"/>
    </row>
    <row r="2633" spans="20:20">
      <c r="T2633" s="10"/>
    </row>
    <row r="2634" spans="20:20">
      <c r="T2634" s="10"/>
    </row>
    <row r="2635" spans="20:20">
      <c r="T2635" s="10"/>
    </row>
    <row r="2636" spans="20:20">
      <c r="T2636" s="10"/>
    </row>
    <row r="2637" spans="20:20">
      <c r="T2637" s="10"/>
    </row>
    <row r="2638" spans="20:20">
      <c r="T2638" s="10"/>
    </row>
    <row r="2639" spans="20:20">
      <c r="T2639" s="10"/>
    </row>
    <row r="2640" spans="20:20">
      <c r="T2640" s="10"/>
    </row>
    <row r="2641" spans="20:20">
      <c r="T2641" s="10"/>
    </row>
    <row r="2642" spans="20:20">
      <c r="T2642" s="10"/>
    </row>
    <row r="2643" spans="20:20">
      <c r="T2643" s="10"/>
    </row>
    <row r="2644" spans="20:20">
      <c r="T2644" s="10"/>
    </row>
    <row r="2645" spans="20:20">
      <c r="T2645" s="10"/>
    </row>
    <row r="2646" spans="20:20">
      <c r="T2646" s="10"/>
    </row>
    <row r="2647" spans="20:20">
      <c r="T2647" s="10"/>
    </row>
    <row r="2648" spans="20:20">
      <c r="T2648" s="10"/>
    </row>
    <row r="2649" spans="20:20">
      <c r="T2649" s="10"/>
    </row>
    <row r="2650" spans="20:20">
      <c r="T2650" s="10"/>
    </row>
    <row r="2651" spans="20:20">
      <c r="T2651" s="10"/>
    </row>
    <row r="2652" spans="20:20">
      <c r="T2652" s="10"/>
    </row>
    <row r="2653" spans="20:20">
      <c r="T2653" s="10"/>
    </row>
    <row r="2654" spans="20:20">
      <c r="T2654" s="10"/>
    </row>
    <row r="2655" spans="20:20">
      <c r="T2655" s="10"/>
    </row>
    <row r="2656" spans="20:20">
      <c r="T2656" s="10"/>
    </row>
    <row r="2657" spans="20:20">
      <c r="T2657" s="10"/>
    </row>
    <row r="2658" spans="20:20">
      <c r="T2658" s="10"/>
    </row>
    <row r="2659" spans="20:20">
      <c r="T2659" s="10"/>
    </row>
    <row r="2660" spans="20:20">
      <c r="T2660" s="10"/>
    </row>
    <row r="2661" spans="20:20">
      <c r="T2661" s="10"/>
    </row>
    <row r="2662" spans="20:20">
      <c r="T2662" s="10"/>
    </row>
    <row r="2663" spans="20:20">
      <c r="T2663" s="10"/>
    </row>
    <row r="2664" spans="20:20">
      <c r="T2664" s="10"/>
    </row>
    <row r="2665" spans="20:20">
      <c r="T2665" s="10"/>
    </row>
    <row r="2666" spans="20:20">
      <c r="T2666" s="10"/>
    </row>
    <row r="2667" spans="20:20">
      <c r="T2667" s="10"/>
    </row>
    <row r="2668" spans="20:20">
      <c r="T2668" s="10"/>
    </row>
    <row r="2669" spans="20:20">
      <c r="T2669" s="10"/>
    </row>
    <row r="2670" spans="20:20">
      <c r="T2670" s="10"/>
    </row>
    <row r="2671" spans="20:20">
      <c r="T2671" s="10"/>
    </row>
    <row r="2672" spans="20:20">
      <c r="T2672" s="10"/>
    </row>
    <row r="2673" spans="20:20">
      <c r="T2673" s="10"/>
    </row>
    <row r="2674" spans="20:20">
      <c r="T2674" s="10"/>
    </row>
    <row r="2675" spans="20:20">
      <c r="T2675" s="10"/>
    </row>
    <row r="2676" spans="20:20">
      <c r="T2676" s="10"/>
    </row>
    <row r="2677" spans="20:20">
      <c r="T2677" s="10"/>
    </row>
    <row r="2678" spans="20:20">
      <c r="T2678" s="10"/>
    </row>
    <row r="2679" spans="20:20">
      <c r="T2679" s="10"/>
    </row>
    <row r="2680" spans="20:20">
      <c r="T2680" s="10"/>
    </row>
    <row r="2681" spans="20:20">
      <c r="T2681" s="10"/>
    </row>
    <row r="2682" spans="20:20">
      <c r="T2682" s="10"/>
    </row>
    <row r="2683" spans="20:20">
      <c r="T2683" s="10"/>
    </row>
    <row r="2684" spans="20:20">
      <c r="T2684" s="10"/>
    </row>
    <row r="2685" spans="20:20">
      <c r="T2685" s="10"/>
    </row>
    <row r="2686" spans="20:20">
      <c r="T2686" s="10"/>
    </row>
    <row r="2687" spans="20:20">
      <c r="T2687" s="10"/>
    </row>
    <row r="2688" spans="20:20">
      <c r="T2688" s="10"/>
    </row>
    <row r="2689" spans="20:20">
      <c r="T2689" s="10"/>
    </row>
    <row r="2690" spans="20:20">
      <c r="T2690" s="10"/>
    </row>
    <row r="2691" spans="20:20">
      <c r="T2691" s="10"/>
    </row>
    <row r="2692" spans="20:20">
      <c r="T2692" s="10"/>
    </row>
    <row r="2693" spans="20:20">
      <c r="T2693" s="10"/>
    </row>
    <row r="2694" spans="20:20">
      <c r="T2694" s="10"/>
    </row>
    <row r="2695" spans="20:20">
      <c r="T2695" s="10"/>
    </row>
    <row r="2696" spans="20:20">
      <c r="T2696" s="10"/>
    </row>
    <row r="2697" spans="20:20">
      <c r="T2697" s="10"/>
    </row>
    <row r="2698" spans="20:20">
      <c r="T2698" s="10"/>
    </row>
    <row r="2699" spans="20:20">
      <c r="T2699" s="10"/>
    </row>
    <row r="2700" spans="20:20">
      <c r="T2700" s="10"/>
    </row>
    <row r="2701" spans="20:20">
      <c r="T2701" s="10"/>
    </row>
    <row r="2702" spans="20:20">
      <c r="T2702" s="10"/>
    </row>
    <row r="2703" spans="20:20">
      <c r="T2703" s="10"/>
    </row>
    <row r="2704" spans="20:20">
      <c r="T2704" s="10"/>
    </row>
    <row r="2705" spans="20:20">
      <c r="T2705" s="10"/>
    </row>
    <row r="2706" spans="20:20">
      <c r="T2706" s="10"/>
    </row>
    <row r="2707" spans="20:20">
      <c r="T2707" s="10"/>
    </row>
    <row r="2708" spans="20:20">
      <c r="T2708" s="10"/>
    </row>
    <row r="2709" spans="20:20">
      <c r="T2709" s="10"/>
    </row>
    <row r="2710" spans="20:20">
      <c r="T2710" s="10"/>
    </row>
    <row r="2711" spans="20:20">
      <c r="T2711" s="10"/>
    </row>
    <row r="2712" spans="20:20">
      <c r="T2712" s="10"/>
    </row>
    <row r="2713" spans="20:20">
      <c r="T2713" s="10"/>
    </row>
    <row r="2714" spans="20:20">
      <c r="T2714" s="10"/>
    </row>
    <row r="2715" spans="20:20">
      <c r="T2715" s="10"/>
    </row>
    <row r="2716" spans="20:20">
      <c r="T2716" s="10"/>
    </row>
    <row r="2717" spans="20:20">
      <c r="T2717" s="10"/>
    </row>
    <row r="2718" spans="20:20">
      <c r="T2718" s="10"/>
    </row>
    <row r="2719" spans="20:20">
      <c r="T2719" s="10"/>
    </row>
    <row r="2720" spans="20:20">
      <c r="T2720" s="10"/>
    </row>
    <row r="2721" spans="20:20">
      <c r="T2721" s="10"/>
    </row>
    <row r="2722" spans="20:20">
      <c r="T2722" s="10"/>
    </row>
    <row r="2723" spans="20:20">
      <c r="T2723" s="10"/>
    </row>
    <row r="2724" spans="20:20">
      <c r="T2724" s="10"/>
    </row>
    <row r="2725" spans="20:20">
      <c r="T2725" s="10"/>
    </row>
    <row r="2726" spans="20:20">
      <c r="T2726" s="10"/>
    </row>
    <row r="2727" spans="20:20">
      <c r="T2727" s="10"/>
    </row>
    <row r="2728" spans="20:20">
      <c r="T2728" s="10"/>
    </row>
    <row r="2729" spans="20:20">
      <c r="T2729" s="10"/>
    </row>
    <row r="2730" spans="20:20">
      <c r="T2730" s="10"/>
    </row>
    <row r="2731" spans="20:20">
      <c r="T2731" s="10"/>
    </row>
    <row r="2732" spans="20:20">
      <c r="T2732" s="10"/>
    </row>
    <row r="2733" spans="20:20">
      <c r="T2733" s="10"/>
    </row>
    <row r="2734" spans="20:20">
      <c r="T2734" s="10"/>
    </row>
    <row r="2735" spans="20:20">
      <c r="T2735" s="10"/>
    </row>
    <row r="2736" spans="20:20">
      <c r="T2736" s="10"/>
    </row>
    <row r="2737" spans="20:20">
      <c r="T2737" s="10"/>
    </row>
    <row r="2738" spans="20:20">
      <c r="T2738" s="10"/>
    </row>
    <row r="2739" spans="20:20">
      <c r="T2739" s="10"/>
    </row>
    <row r="2740" spans="20:20">
      <c r="T2740" s="10"/>
    </row>
    <row r="2741" spans="20:20">
      <c r="T2741" s="10"/>
    </row>
    <row r="2742" spans="20:20">
      <c r="T2742" s="10"/>
    </row>
    <row r="2743" spans="20:20">
      <c r="T2743" s="10"/>
    </row>
    <row r="2744" spans="20:20">
      <c r="T2744" s="10"/>
    </row>
    <row r="2745" spans="20:20">
      <c r="T2745" s="10"/>
    </row>
    <row r="2746" spans="20:20">
      <c r="T2746" s="10"/>
    </row>
    <row r="2747" spans="20:20">
      <c r="T2747" s="10"/>
    </row>
    <row r="2748" spans="20:20">
      <c r="T2748" s="10"/>
    </row>
    <row r="2749" spans="20:20">
      <c r="T2749" s="10"/>
    </row>
    <row r="2750" spans="20:20">
      <c r="T2750" s="10"/>
    </row>
    <row r="2751" spans="20:20">
      <c r="T2751" s="10"/>
    </row>
    <row r="2752" spans="20:20">
      <c r="T2752" s="10"/>
    </row>
    <row r="2753" spans="20:20">
      <c r="T2753" s="10"/>
    </row>
    <row r="2754" spans="20:20">
      <c r="T2754" s="10"/>
    </row>
    <row r="2755" spans="20:20">
      <c r="T2755" s="10"/>
    </row>
    <row r="2756" spans="20:20">
      <c r="T2756" s="10"/>
    </row>
    <row r="2757" spans="20:20">
      <c r="T2757" s="10"/>
    </row>
    <row r="2758" spans="20:20">
      <c r="T2758" s="10"/>
    </row>
    <row r="2759" spans="20:20">
      <c r="T2759" s="10"/>
    </row>
    <row r="2760" spans="20:20">
      <c r="T2760" s="10"/>
    </row>
    <row r="2761" spans="20:20">
      <c r="T2761" s="10"/>
    </row>
    <row r="2762" spans="20:20">
      <c r="T2762" s="10"/>
    </row>
    <row r="2763" spans="20:20">
      <c r="T2763" s="10"/>
    </row>
    <row r="2764" spans="20:20">
      <c r="T2764" s="10"/>
    </row>
    <row r="2765" spans="20:20">
      <c r="T2765" s="10"/>
    </row>
    <row r="2766" spans="20:20">
      <c r="T2766" s="10"/>
    </row>
    <row r="2767" spans="20:20">
      <c r="T2767" s="10"/>
    </row>
    <row r="2768" spans="20:20">
      <c r="T2768" s="10"/>
    </row>
    <row r="2769" spans="20:20">
      <c r="T2769" s="10"/>
    </row>
    <row r="2770" spans="20:20">
      <c r="T2770" s="10"/>
    </row>
    <row r="2771" spans="20:20">
      <c r="T2771" s="10"/>
    </row>
    <row r="2772" spans="20:20">
      <c r="T2772" s="10"/>
    </row>
    <row r="2773" spans="20:20">
      <c r="T2773" s="10"/>
    </row>
    <row r="2774" spans="20:20">
      <c r="T2774" s="10"/>
    </row>
    <row r="2775" spans="20:20">
      <c r="T2775" s="10"/>
    </row>
    <row r="2776" spans="20:20">
      <c r="T2776" s="10"/>
    </row>
    <row r="2777" spans="20:20">
      <c r="T2777" s="10"/>
    </row>
    <row r="2778" spans="20:20">
      <c r="T2778" s="10"/>
    </row>
    <row r="2779" spans="20:20">
      <c r="T2779" s="10"/>
    </row>
    <row r="2780" spans="20:20">
      <c r="T2780" s="10"/>
    </row>
    <row r="2781" spans="20:20">
      <c r="T2781" s="10"/>
    </row>
    <row r="2782" spans="20:20">
      <c r="T2782" s="10"/>
    </row>
    <row r="2783" spans="20:20">
      <c r="T2783" s="10"/>
    </row>
    <row r="2784" spans="20:20">
      <c r="T2784" s="10"/>
    </row>
    <row r="2785" spans="20:20">
      <c r="T2785" s="10"/>
    </row>
    <row r="2786" spans="20:20">
      <c r="T2786" s="10"/>
    </row>
    <row r="2787" spans="20:20">
      <c r="T2787" s="10"/>
    </row>
    <row r="2788" spans="20:20">
      <c r="T2788" s="10"/>
    </row>
    <row r="2789" spans="20:20">
      <c r="T2789" s="10"/>
    </row>
    <row r="2790" spans="20:20">
      <c r="T2790" s="10"/>
    </row>
    <row r="2791" spans="20:20">
      <c r="T2791" s="10"/>
    </row>
    <row r="2792" spans="20:20">
      <c r="T2792" s="10"/>
    </row>
    <row r="2793" spans="20:20">
      <c r="T2793" s="10"/>
    </row>
    <row r="2794" spans="20:20">
      <c r="T2794" s="10"/>
    </row>
    <row r="2795" spans="20:20">
      <c r="T2795" s="10"/>
    </row>
    <row r="2796" spans="20:20">
      <c r="T2796" s="10"/>
    </row>
    <row r="2797" spans="20:20">
      <c r="T2797" s="10"/>
    </row>
    <row r="2798" spans="20:20">
      <c r="T2798" s="10"/>
    </row>
    <row r="2799" spans="20:20">
      <c r="T2799" s="10"/>
    </row>
    <row r="2800" spans="20:20">
      <c r="T2800" s="10"/>
    </row>
    <row r="2801" spans="20:20">
      <c r="T2801" s="10"/>
    </row>
    <row r="2802" spans="20:20">
      <c r="T2802" s="10"/>
    </row>
    <row r="2803" spans="20:20">
      <c r="T2803" s="10"/>
    </row>
    <row r="2804" spans="20:20">
      <c r="T2804" s="10"/>
    </row>
    <row r="2805" spans="20:20">
      <c r="T2805" s="10"/>
    </row>
    <row r="2806" spans="20:20">
      <c r="T2806" s="10"/>
    </row>
    <row r="2807" spans="20:20">
      <c r="T2807" s="10"/>
    </row>
    <row r="2808" spans="20:20">
      <c r="T2808" s="10"/>
    </row>
    <row r="2809" spans="20:20">
      <c r="T2809" s="10"/>
    </row>
    <row r="2810" spans="20:20">
      <c r="T2810" s="10"/>
    </row>
    <row r="2811" spans="20:20">
      <c r="T2811" s="10"/>
    </row>
    <row r="2812" spans="20:20">
      <c r="T2812" s="10"/>
    </row>
    <row r="2813" spans="20:20">
      <c r="T2813" s="10"/>
    </row>
    <row r="2814" spans="20:20">
      <c r="T2814" s="10"/>
    </row>
    <row r="2815" spans="20:20">
      <c r="T2815" s="10"/>
    </row>
    <row r="2816" spans="20:20">
      <c r="T2816" s="10"/>
    </row>
    <row r="2817" spans="20:20">
      <c r="T2817" s="10"/>
    </row>
    <row r="2818" spans="20:20">
      <c r="T2818" s="10"/>
    </row>
    <row r="2819" spans="20:20">
      <c r="T2819" s="10"/>
    </row>
    <row r="2820" spans="20:20">
      <c r="T2820" s="10"/>
    </row>
    <row r="2821" spans="20:20">
      <c r="T2821" s="10"/>
    </row>
    <row r="2822" spans="20:20">
      <c r="T2822" s="10"/>
    </row>
    <row r="2823" spans="20:20">
      <c r="T2823" s="10"/>
    </row>
    <row r="2824" spans="20:20">
      <c r="T2824" s="10"/>
    </row>
    <row r="2825" spans="20:20">
      <c r="T2825" s="10"/>
    </row>
    <row r="2826" spans="20:20">
      <c r="T2826" s="10"/>
    </row>
    <row r="2827" spans="20:20">
      <c r="T2827" s="10"/>
    </row>
    <row r="2828" spans="20:20">
      <c r="T2828" s="10"/>
    </row>
    <row r="2829" spans="20:20">
      <c r="T2829" s="10"/>
    </row>
    <row r="2830" spans="20:20">
      <c r="T2830" s="10"/>
    </row>
    <row r="2831" spans="20:20">
      <c r="T2831" s="10"/>
    </row>
    <row r="2832" spans="20:20">
      <c r="T2832" s="10"/>
    </row>
    <row r="2833" spans="20:20">
      <c r="T2833" s="10"/>
    </row>
    <row r="2834" spans="20:20">
      <c r="T2834" s="10"/>
    </row>
    <row r="2835" spans="20:20">
      <c r="T2835" s="10"/>
    </row>
    <row r="2836" spans="20:20">
      <c r="T2836" s="10"/>
    </row>
    <row r="2837" spans="20:20">
      <c r="T2837" s="10"/>
    </row>
    <row r="2838" spans="20:20">
      <c r="T2838" s="10"/>
    </row>
    <row r="2839" spans="20:20">
      <c r="T2839" s="10"/>
    </row>
    <row r="2840" spans="20:20">
      <c r="T2840" s="10"/>
    </row>
    <row r="2841" spans="20:20">
      <c r="T2841" s="10"/>
    </row>
    <row r="2842" spans="20:20">
      <c r="T2842" s="10"/>
    </row>
    <row r="2843" spans="20:20">
      <c r="T2843" s="10"/>
    </row>
    <row r="2844" spans="20:20">
      <c r="T2844" s="10"/>
    </row>
    <row r="2845" spans="20:20">
      <c r="T2845" s="10"/>
    </row>
    <row r="2846" spans="20:20">
      <c r="T2846" s="10"/>
    </row>
    <row r="2847" spans="20:20">
      <c r="T2847" s="10"/>
    </row>
    <row r="2848" spans="20:20">
      <c r="T2848" s="10"/>
    </row>
    <row r="2849" spans="20:20">
      <c r="T2849" s="10"/>
    </row>
    <row r="2850" spans="20:20">
      <c r="T2850" s="10"/>
    </row>
    <row r="2851" spans="20:20">
      <c r="T2851" s="10"/>
    </row>
    <row r="2852" spans="20:20">
      <c r="T2852" s="10"/>
    </row>
    <row r="2853" spans="20:20">
      <c r="T2853" s="10"/>
    </row>
    <row r="2854" spans="20:20">
      <c r="T2854" s="10"/>
    </row>
    <row r="2855" spans="20:20">
      <c r="T2855" s="10"/>
    </row>
    <row r="2856" spans="20:20">
      <c r="T2856" s="10"/>
    </row>
    <row r="2857" spans="20:20">
      <c r="T2857" s="10"/>
    </row>
    <row r="2858" spans="20:20">
      <c r="T2858" s="10"/>
    </row>
    <row r="2859" spans="20:20">
      <c r="T2859" s="10"/>
    </row>
    <row r="2860" spans="20:20">
      <c r="T2860" s="10"/>
    </row>
    <row r="2861" spans="20:20">
      <c r="T2861" s="10"/>
    </row>
    <row r="2862" spans="20:20">
      <c r="T2862" s="10"/>
    </row>
    <row r="2863" spans="20:20">
      <c r="T2863" s="10"/>
    </row>
    <row r="2864" spans="20:20">
      <c r="T2864" s="10"/>
    </row>
    <row r="2865" spans="20:20">
      <c r="T2865" s="10"/>
    </row>
    <row r="2866" spans="20:20">
      <c r="T2866" s="10"/>
    </row>
    <row r="2867" spans="20:20">
      <c r="T2867" s="10"/>
    </row>
    <row r="2868" spans="20:20">
      <c r="T2868" s="10"/>
    </row>
    <row r="2869" spans="20:20">
      <c r="T2869" s="10"/>
    </row>
    <row r="2870" spans="20:20">
      <c r="T2870" s="10"/>
    </row>
    <row r="2871" spans="20:20">
      <c r="T2871" s="10"/>
    </row>
    <row r="2872" spans="20:20">
      <c r="T2872" s="10"/>
    </row>
    <row r="2873" spans="20:20">
      <c r="T2873" s="10"/>
    </row>
    <row r="2874" spans="20:20">
      <c r="T2874" s="10"/>
    </row>
    <row r="2875" spans="20:20">
      <c r="T2875" s="10"/>
    </row>
    <row r="2876" spans="20:20">
      <c r="T2876" s="10"/>
    </row>
    <row r="2877" spans="20:20">
      <c r="T2877" s="10"/>
    </row>
    <row r="2878" spans="20:20">
      <c r="T2878" s="10"/>
    </row>
    <row r="2879" spans="20:20">
      <c r="T2879" s="10"/>
    </row>
    <row r="2880" spans="20:20">
      <c r="T2880" s="10"/>
    </row>
    <row r="2881" spans="20:20">
      <c r="T2881" s="10"/>
    </row>
    <row r="2882" spans="20:20">
      <c r="T2882" s="10"/>
    </row>
    <row r="2883" spans="20:20">
      <c r="T2883" s="10"/>
    </row>
    <row r="2884" spans="20:20">
      <c r="T2884" s="10"/>
    </row>
    <row r="2885" spans="20:20">
      <c r="T2885" s="10"/>
    </row>
    <row r="2886" spans="20:20">
      <c r="T2886" s="10"/>
    </row>
    <row r="2887" spans="20:20">
      <c r="T2887" s="10"/>
    </row>
    <row r="2888" spans="20:20">
      <c r="T2888" s="10"/>
    </row>
    <row r="2889" spans="20:20">
      <c r="T2889" s="10"/>
    </row>
    <row r="2890" spans="20:20">
      <c r="T2890" s="10"/>
    </row>
    <row r="2891" spans="20:20">
      <c r="T2891" s="10"/>
    </row>
    <row r="2892" spans="20:20">
      <c r="T2892" s="10"/>
    </row>
    <row r="2893" spans="20:20">
      <c r="T2893" s="10"/>
    </row>
    <row r="2894" spans="20:20">
      <c r="T2894" s="10"/>
    </row>
    <row r="2895" spans="20:20">
      <c r="T2895" s="10"/>
    </row>
    <row r="2896" spans="20:20">
      <c r="T2896" s="10"/>
    </row>
    <row r="2897" spans="20:20">
      <c r="T2897" s="10"/>
    </row>
    <row r="2898" spans="20:20">
      <c r="T2898" s="10"/>
    </row>
    <row r="2899" spans="20:20">
      <c r="T2899" s="10"/>
    </row>
    <row r="2900" spans="20:20">
      <c r="T2900" s="10"/>
    </row>
    <row r="2901" spans="20:20">
      <c r="T2901" s="10"/>
    </row>
    <row r="2902" spans="20:20">
      <c r="T2902" s="10"/>
    </row>
    <row r="2903" spans="20:20">
      <c r="T2903" s="10"/>
    </row>
    <row r="2904" spans="20:20">
      <c r="T2904" s="10"/>
    </row>
    <row r="2905" spans="20:20">
      <c r="T2905" s="10"/>
    </row>
    <row r="2906" spans="20:20">
      <c r="T2906" s="10"/>
    </row>
    <row r="2907" spans="20:20">
      <c r="T2907" s="10"/>
    </row>
    <row r="2908" spans="20:20">
      <c r="T2908" s="10"/>
    </row>
    <row r="2909" spans="20:20">
      <c r="T2909" s="10"/>
    </row>
    <row r="2910" spans="20:20">
      <c r="T2910" s="10"/>
    </row>
    <row r="2911" spans="20:20">
      <c r="T2911" s="10"/>
    </row>
    <row r="2912" spans="20:20">
      <c r="T2912" s="10"/>
    </row>
    <row r="2913" spans="20:20">
      <c r="T2913" s="10"/>
    </row>
    <row r="2914" spans="20:20">
      <c r="T2914" s="10"/>
    </row>
    <row r="2915" spans="20:20">
      <c r="T2915" s="10"/>
    </row>
    <row r="2916" spans="20:20">
      <c r="T2916" s="10"/>
    </row>
    <row r="2917" spans="20:20">
      <c r="T2917" s="10"/>
    </row>
    <row r="2918" spans="20:20">
      <c r="T2918" s="10"/>
    </row>
    <row r="2919" spans="20:20">
      <c r="T2919" s="10"/>
    </row>
    <row r="2920" spans="20:20">
      <c r="T2920" s="10"/>
    </row>
    <row r="2921" spans="20:20">
      <c r="T2921" s="10"/>
    </row>
    <row r="2922" spans="20:20">
      <c r="T2922" s="10"/>
    </row>
    <row r="2923" spans="20:20">
      <c r="T2923" s="10"/>
    </row>
    <row r="2924" spans="20:20">
      <c r="T2924" s="10"/>
    </row>
    <row r="2925" spans="20:20">
      <c r="T2925" s="10"/>
    </row>
    <row r="2926" spans="20:20">
      <c r="T2926" s="10"/>
    </row>
    <row r="2927" spans="20:20">
      <c r="T2927" s="10"/>
    </row>
    <row r="2928" spans="20:20">
      <c r="T2928" s="10"/>
    </row>
    <row r="2929" spans="20:20">
      <c r="T2929" s="10"/>
    </row>
    <row r="2930" spans="20:20">
      <c r="T2930" s="10"/>
    </row>
    <row r="2931" spans="20:20">
      <c r="T2931" s="10"/>
    </row>
    <row r="2932" spans="20:20">
      <c r="T2932" s="10"/>
    </row>
    <row r="2933" spans="20:20">
      <c r="T2933" s="10"/>
    </row>
    <row r="2934" spans="20:20">
      <c r="T2934" s="10"/>
    </row>
    <row r="2935" spans="20:20">
      <c r="T2935" s="10"/>
    </row>
    <row r="2936" spans="20:20">
      <c r="T2936" s="10"/>
    </row>
    <row r="2937" spans="20:20">
      <c r="T2937" s="10"/>
    </row>
    <row r="2938" spans="20:20">
      <c r="T2938" s="10"/>
    </row>
    <row r="2939" spans="20:20">
      <c r="T2939" s="10"/>
    </row>
    <row r="2940" spans="20:20">
      <c r="T2940" s="10"/>
    </row>
    <row r="2941" spans="20:20">
      <c r="T2941" s="10"/>
    </row>
    <row r="2942" spans="20:20">
      <c r="T2942" s="10"/>
    </row>
    <row r="2943" spans="20:20">
      <c r="T2943" s="10"/>
    </row>
    <row r="2944" spans="20:20">
      <c r="T2944" s="10"/>
    </row>
    <row r="2945" spans="20:20">
      <c r="T2945" s="10"/>
    </row>
    <row r="2946" spans="20:20">
      <c r="T2946" s="10"/>
    </row>
    <row r="2947" spans="20:20">
      <c r="T2947" s="10"/>
    </row>
    <row r="2948" spans="20:20">
      <c r="T2948" s="10"/>
    </row>
    <row r="2949" spans="20:20">
      <c r="T2949" s="10"/>
    </row>
    <row r="2950" spans="20:20">
      <c r="T2950" s="10"/>
    </row>
    <row r="2951" spans="20:20">
      <c r="T2951" s="10"/>
    </row>
    <row r="2952" spans="20:20">
      <c r="T2952" s="10"/>
    </row>
    <row r="2953" spans="20:20">
      <c r="T2953" s="10"/>
    </row>
    <row r="2954" spans="20:20">
      <c r="T2954" s="10"/>
    </row>
    <row r="2955" spans="20:20">
      <c r="T2955" s="10"/>
    </row>
    <row r="2956" spans="20:20">
      <c r="T2956" s="10"/>
    </row>
    <row r="2957" spans="20:20">
      <c r="T2957" s="10"/>
    </row>
    <row r="2958" spans="20:20">
      <c r="T2958" s="10"/>
    </row>
    <row r="2959" spans="20:20">
      <c r="T2959" s="10"/>
    </row>
    <row r="2960" spans="20:20">
      <c r="T2960" s="10"/>
    </row>
    <row r="2961" spans="20:20">
      <c r="T2961" s="10"/>
    </row>
    <row r="2962" spans="20:20">
      <c r="T2962" s="10"/>
    </row>
    <row r="2963" spans="20:20">
      <c r="T2963" s="10"/>
    </row>
    <row r="2964" spans="20:20">
      <c r="T2964" s="10"/>
    </row>
    <row r="2965" spans="20:20">
      <c r="T2965" s="10"/>
    </row>
    <row r="2966" spans="20:20">
      <c r="T2966" s="10"/>
    </row>
    <row r="2967" spans="20:20">
      <c r="T2967" s="10"/>
    </row>
    <row r="2968" spans="20:20">
      <c r="T2968" s="10"/>
    </row>
    <row r="2969" spans="20:20">
      <c r="T2969" s="10"/>
    </row>
    <row r="2970" spans="20:20">
      <c r="T2970" s="10"/>
    </row>
    <row r="2971" spans="20:20">
      <c r="T2971" s="10"/>
    </row>
    <row r="2972" spans="20:20">
      <c r="T2972" s="10"/>
    </row>
    <row r="2973" spans="20:20">
      <c r="T2973" s="10"/>
    </row>
    <row r="2974" spans="20:20">
      <c r="T2974" s="10"/>
    </row>
    <row r="2975" spans="20:20">
      <c r="T2975" s="10"/>
    </row>
    <row r="2976" spans="20:20">
      <c r="T2976" s="10"/>
    </row>
    <row r="2977" spans="20:20">
      <c r="T2977" s="10"/>
    </row>
    <row r="2978" spans="20:20">
      <c r="T2978" s="10"/>
    </row>
    <row r="2979" spans="20:20">
      <c r="T2979" s="10"/>
    </row>
    <row r="2980" spans="20:20">
      <c r="T2980" s="10"/>
    </row>
    <row r="2981" spans="20:20">
      <c r="T2981" s="10"/>
    </row>
    <row r="2982" spans="20:20">
      <c r="T2982" s="10"/>
    </row>
    <row r="2983" spans="20:20">
      <c r="T2983" s="10"/>
    </row>
    <row r="2984" spans="20:20">
      <c r="T2984" s="10"/>
    </row>
    <row r="2985" spans="20:20">
      <c r="T2985" s="10"/>
    </row>
    <row r="2986" spans="20:20">
      <c r="T2986" s="10"/>
    </row>
    <row r="2987" spans="20:20">
      <c r="T2987" s="10"/>
    </row>
    <row r="2988" spans="20:20">
      <c r="T2988" s="10"/>
    </row>
    <row r="2989" spans="20:20">
      <c r="T2989" s="10"/>
    </row>
    <row r="2990" spans="20:20">
      <c r="T2990" s="10"/>
    </row>
    <row r="2991" spans="20:20">
      <c r="T2991" s="10"/>
    </row>
    <row r="2992" spans="20:20">
      <c r="T2992" s="10"/>
    </row>
    <row r="2993" spans="20:20">
      <c r="T2993" s="10"/>
    </row>
    <row r="2994" spans="20:20">
      <c r="T2994" s="10"/>
    </row>
    <row r="2995" spans="20:20">
      <c r="T2995" s="10"/>
    </row>
    <row r="2996" spans="20:20">
      <c r="T2996" s="10"/>
    </row>
    <row r="2997" spans="20:20">
      <c r="T2997" s="10"/>
    </row>
    <row r="2998" spans="20:20">
      <c r="T2998" s="10"/>
    </row>
    <row r="2999" spans="20:20">
      <c r="T2999" s="10"/>
    </row>
    <row r="3000" spans="20:20">
      <c r="T3000" s="10"/>
    </row>
    <row r="3001" spans="20:20">
      <c r="T3001" s="10"/>
    </row>
    <row r="3002" spans="20:20">
      <c r="T3002" s="10"/>
    </row>
    <row r="3003" spans="20:20">
      <c r="T3003" s="10"/>
    </row>
    <row r="3004" spans="20:20">
      <c r="T3004" s="10"/>
    </row>
    <row r="3005" spans="20:20">
      <c r="T3005" s="10"/>
    </row>
    <row r="3006" spans="20:20">
      <c r="T3006" s="10"/>
    </row>
    <row r="3007" spans="20:20">
      <c r="T3007" s="10"/>
    </row>
    <row r="3008" spans="20:20">
      <c r="T3008" s="10"/>
    </row>
    <row r="3009" spans="20:20">
      <c r="T3009" s="10"/>
    </row>
    <row r="3010" spans="20:20">
      <c r="T3010" s="10"/>
    </row>
    <row r="3011" spans="20:20">
      <c r="T3011" s="10"/>
    </row>
    <row r="3012" spans="20:20">
      <c r="T3012" s="10"/>
    </row>
    <row r="3013" spans="20:20">
      <c r="T3013" s="10"/>
    </row>
    <row r="3014" spans="20:20">
      <c r="T3014" s="10"/>
    </row>
    <row r="3015" spans="20:20">
      <c r="T3015" s="10"/>
    </row>
    <row r="3016" spans="20:20">
      <c r="T3016" s="10"/>
    </row>
    <row r="3017" spans="20:20">
      <c r="T3017" s="10"/>
    </row>
    <row r="3018" spans="20:20">
      <c r="T3018" s="10"/>
    </row>
    <row r="3019" spans="20:20">
      <c r="T3019" s="10"/>
    </row>
    <row r="3020" spans="20:20">
      <c r="T3020" s="10"/>
    </row>
    <row r="3021" spans="20:20">
      <c r="T3021" s="10"/>
    </row>
    <row r="3022" spans="20:20">
      <c r="T3022" s="10"/>
    </row>
    <row r="3023" spans="20:20">
      <c r="T3023" s="10"/>
    </row>
    <row r="3024" spans="20:20">
      <c r="T3024" s="10"/>
    </row>
    <row r="3025" spans="20:20">
      <c r="T3025" s="10"/>
    </row>
    <row r="3026" spans="20:20">
      <c r="T3026" s="10"/>
    </row>
    <row r="3027" spans="20:20">
      <c r="T3027" s="10"/>
    </row>
    <row r="3028" spans="20:20">
      <c r="T3028" s="10"/>
    </row>
    <row r="3029" spans="20:20">
      <c r="T3029" s="10"/>
    </row>
    <row r="3030" spans="20:20">
      <c r="T3030" s="10"/>
    </row>
    <row r="3031" spans="20:20">
      <c r="T3031" s="10"/>
    </row>
    <row r="3032" spans="20:20">
      <c r="T3032" s="10"/>
    </row>
    <row r="3033" spans="20:20">
      <c r="T3033" s="10"/>
    </row>
    <row r="3034" spans="20:20">
      <c r="T3034" s="10"/>
    </row>
    <row r="3035" spans="20:20">
      <c r="T3035" s="10"/>
    </row>
    <row r="3036" spans="20:20">
      <c r="T3036" s="10"/>
    </row>
    <row r="3037" spans="20:20">
      <c r="T3037" s="10"/>
    </row>
    <row r="3038" spans="20:20">
      <c r="T3038" s="10"/>
    </row>
    <row r="3039" spans="20:20">
      <c r="T3039" s="10"/>
    </row>
    <row r="3040" spans="20:20">
      <c r="T3040" s="10"/>
    </row>
    <row r="3041" spans="20:20">
      <c r="T3041" s="10"/>
    </row>
    <row r="3042" spans="20:20">
      <c r="T3042" s="10"/>
    </row>
    <row r="3043" spans="20:20">
      <c r="T3043" s="10"/>
    </row>
    <row r="3044" spans="20:20">
      <c r="T3044" s="10"/>
    </row>
    <row r="3045" spans="20:20">
      <c r="T3045" s="10"/>
    </row>
    <row r="3046" spans="20:20">
      <c r="T3046" s="10"/>
    </row>
    <row r="3047" spans="20:20">
      <c r="T3047" s="10"/>
    </row>
    <row r="3048" spans="20:20">
      <c r="T3048" s="10"/>
    </row>
    <row r="3049" spans="20:20">
      <c r="T3049" s="10"/>
    </row>
    <row r="3050" spans="20:20">
      <c r="T3050" s="10"/>
    </row>
    <row r="3051" spans="20:20">
      <c r="T3051" s="10"/>
    </row>
    <row r="3052" spans="20:20">
      <c r="T3052" s="10"/>
    </row>
    <row r="3053" spans="20:20">
      <c r="T3053" s="10"/>
    </row>
    <row r="3054" spans="20:20">
      <c r="T3054" s="10"/>
    </row>
    <row r="3055" spans="20:20">
      <c r="T3055" s="10"/>
    </row>
    <row r="3056" spans="20:20">
      <c r="T3056" s="10"/>
    </row>
    <row r="3057" spans="20:20">
      <c r="T3057" s="10"/>
    </row>
    <row r="3058" spans="20:20">
      <c r="T3058" s="10"/>
    </row>
    <row r="3059" spans="20:20">
      <c r="T3059" s="10"/>
    </row>
    <row r="3060" spans="20:20">
      <c r="T3060" s="10"/>
    </row>
    <row r="3061" spans="20:20">
      <c r="T3061" s="10"/>
    </row>
    <row r="3062" spans="20:20">
      <c r="T3062" s="10"/>
    </row>
    <row r="3063" spans="20:20">
      <c r="T3063" s="10"/>
    </row>
    <row r="3064" spans="20:20">
      <c r="T3064" s="10"/>
    </row>
    <row r="3065" spans="20:20">
      <c r="T3065" s="10"/>
    </row>
    <row r="3066" spans="20:20">
      <c r="T3066" s="10"/>
    </row>
    <row r="3067" spans="20:20">
      <c r="T3067" s="10"/>
    </row>
    <row r="3068" spans="20:20">
      <c r="T3068" s="10"/>
    </row>
    <row r="3069" spans="20:20">
      <c r="T3069" s="10"/>
    </row>
    <row r="3070" spans="20:20">
      <c r="T3070" s="10"/>
    </row>
    <row r="3071" spans="20:20">
      <c r="T3071" s="10"/>
    </row>
    <row r="3072" spans="20:20">
      <c r="T3072" s="10"/>
    </row>
    <row r="3073" spans="20:20">
      <c r="T3073" s="10"/>
    </row>
    <row r="3074" spans="20:20">
      <c r="T3074" s="10"/>
    </row>
    <row r="3075" spans="20:20">
      <c r="T3075" s="10"/>
    </row>
    <row r="3076" spans="20:20">
      <c r="T3076" s="10"/>
    </row>
    <row r="3077" spans="20:20">
      <c r="T3077" s="10"/>
    </row>
    <row r="3078" spans="20:20">
      <c r="T3078" s="10"/>
    </row>
    <row r="3079" spans="20:20">
      <c r="T3079" s="10"/>
    </row>
    <row r="3080" spans="20:20">
      <c r="T3080" s="10"/>
    </row>
    <row r="3081" spans="20:20">
      <c r="T3081" s="10"/>
    </row>
    <row r="3082" spans="20:20">
      <c r="T3082" s="10"/>
    </row>
    <row r="3083" spans="20:20">
      <c r="T3083" s="10"/>
    </row>
    <row r="3084" spans="20:20">
      <c r="T3084" s="10"/>
    </row>
    <row r="3085" spans="20:20">
      <c r="T3085" s="10"/>
    </row>
    <row r="3086" spans="20:20">
      <c r="T3086" s="10"/>
    </row>
    <row r="3087" spans="20:20">
      <c r="T3087" s="10"/>
    </row>
    <row r="3088" spans="20:20">
      <c r="T3088" s="10"/>
    </row>
    <row r="3089" spans="20:20">
      <c r="T3089" s="10"/>
    </row>
    <row r="3090" spans="20:20">
      <c r="T3090" s="10"/>
    </row>
    <row r="3091" spans="20:20">
      <c r="T3091" s="10"/>
    </row>
    <row r="3092" spans="20:20">
      <c r="T3092" s="10"/>
    </row>
    <row r="3093" spans="20:20">
      <c r="T3093" s="10"/>
    </row>
    <row r="3094" spans="20:20">
      <c r="T3094" s="10"/>
    </row>
    <row r="3095" spans="20:20">
      <c r="T3095" s="10"/>
    </row>
    <row r="3096" spans="20:20">
      <c r="T3096" s="10"/>
    </row>
    <row r="3097" spans="20:20">
      <c r="T3097" s="10"/>
    </row>
    <row r="3098" spans="20:20">
      <c r="T3098" s="10"/>
    </row>
    <row r="3099" spans="20:20">
      <c r="T3099" s="10"/>
    </row>
    <row r="3100" spans="20:20">
      <c r="T3100" s="10"/>
    </row>
    <row r="3101" spans="20:20">
      <c r="T3101" s="10"/>
    </row>
    <row r="3102" spans="20:20">
      <c r="T3102" s="10"/>
    </row>
    <row r="3103" spans="20:20">
      <c r="T3103" s="10"/>
    </row>
    <row r="3104" spans="20:20">
      <c r="T3104" s="10"/>
    </row>
    <row r="3105" spans="20:20">
      <c r="T3105" s="10"/>
    </row>
    <row r="3106" spans="20:20">
      <c r="T3106" s="10"/>
    </row>
    <row r="3107" spans="20:20">
      <c r="T3107" s="10"/>
    </row>
    <row r="3108" spans="20:20">
      <c r="T3108" s="10"/>
    </row>
    <row r="3109" spans="20:20">
      <c r="T3109" s="10"/>
    </row>
    <row r="3110" spans="20:20">
      <c r="T3110" s="10"/>
    </row>
    <row r="3111" spans="20:20">
      <c r="T3111" s="10"/>
    </row>
    <row r="3112" spans="20:20">
      <c r="T3112" s="10"/>
    </row>
    <row r="3113" spans="20:20">
      <c r="T3113" s="10"/>
    </row>
    <row r="3114" spans="20:20">
      <c r="T3114" s="10"/>
    </row>
    <row r="3115" spans="20:20">
      <c r="T3115" s="10"/>
    </row>
    <row r="3116" spans="20:20">
      <c r="T3116" s="10"/>
    </row>
    <row r="3117" spans="20:20">
      <c r="T3117" s="10"/>
    </row>
    <row r="3118" spans="20:20">
      <c r="T3118" s="10"/>
    </row>
    <row r="3119" spans="20:20">
      <c r="T3119" s="10"/>
    </row>
    <row r="3120" spans="20:20">
      <c r="T3120" s="10"/>
    </row>
    <row r="3121" spans="20:20">
      <c r="T3121" s="10"/>
    </row>
    <row r="3122" spans="20:20">
      <c r="T3122" s="10"/>
    </row>
    <row r="3123" spans="20:20">
      <c r="T3123" s="10"/>
    </row>
    <row r="3124" spans="20:20">
      <c r="T3124" s="10"/>
    </row>
    <row r="3125" spans="20:20">
      <c r="T3125" s="10"/>
    </row>
    <row r="3126" spans="20:20">
      <c r="T3126" s="10"/>
    </row>
    <row r="3127" spans="20:20">
      <c r="T3127" s="10"/>
    </row>
    <row r="3128" spans="20:20">
      <c r="T3128" s="10"/>
    </row>
    <row r="3129" spans="20:20">
      <c r="T3129" s="10"/>
    </row>
    <row r="3130" spans="20:20">
      <c r="T3130" s="10"/>
    </row>
    <row r="3131" spans="20:20">
      <c r="T3131" s="10"/>
    </row>
    <row r="3132" spans="20:20">
      <c r="T3132" s="10"/>
    </row>
    <row r="3133" spans="20:20">
      <c r="T3133" s="10"/>
    </row>
    <row r="3134" spans="20:20">
      <c r="T3134" s="10"/>
    </row>
    <row r="3135" spans="20:20">
      <c r="T3135" s="10"/>
    </row>
    <row r="3136" spans="20:20">
      <c r="T3136" s="10"/>
    </row>
    <row r="3137" spans="20:20">
      <c r="T3137" s="10"/>
    </row>
    <row r="3138" spans="20:20">
      <c r="T3138" s="10"/>
    </row>
    <row r="3139" spans="20:20">
      <c r="T3139" s="10"/>
    </row>
    <row r="3140" spans="20:20">
      <c r="T3140" s="10"/>
    </row>
    <row r="3141" spans="20:20">
      <c r="T3141" s="10"/>
    </row>
    <row r="3142" spans="20:20">
      <c r="T3142" s="10"/>
    </row>
    <row r="3143" spans="20:20">
      <c r="T3143" s="10"/>
    </row>
    <row r="3144" spans="20:20">
      <c r="T3144" s="10"/>
    </row>
    <row r="3145" spans="20:20">
      <c r="T3145" s="10"/>
    </row>
    <row r="3146" spans="20:20">
      <c r="T3146" s="10"/>
    </row>
    <row r="3147" spans="20:20">
      <c r="T3147" s="10"/>
    </row>
    <row r="3148" spans="20:20">
      <c r="T3148" s="10"/>
    </row>
    <row r="3149" spans="20:20">
      <c r="T3149" s="10"/>
    </row>
    <row r="3150" spans="20:20">
      <c r="T3150" s="10"/>
    </row>
    <row r="3151" spans="20:20">
      <c r="T3151" s="10"/>
    </row>
    <row r="3152" spans="20:20">
      <c r="T3152" s="10"/>
    </row>
    <row r="3153" spans="20:20">
      <c r="T3153" s="10"/>
    </row>
    <row r="3154" spans="20:20">
      <c r="T3154" s="10"/>
    </row>
    <row r="3155" spans="20:20">
      <c r="T3155" s="10"/>
    </row>
    <row r="3156" spans="20:20">
      <c r="T3156" s="10"/>
    </row>
    <row r="3157" spans="20:20">
      <c r="T3157" s="10"/>
    </row>
    <row r="3158" spans="20:20">
      <c r="T3158" s="10"/>
    </row>
    <row r="3159" spans="20:20">
      <c r="T3159" s="10"/>
    </row>
    <row r="3160" spans="20:20">
      <c r="T3160" s="10"/>
    </row>
    <row r="3161" spans="20:20">
      <c r="T3161" s="10"/>
    </row>
    <row r="3162" spans="20:20">
      <c r="T3162" s="10"/>
    </row>
    <row r="3163" spans="20:20">
      <c r="T3163" s="10"/>
    </row>
    <row r="3164" spans="20:20">
      <c r="T3164" s="10"/>
    </row>
    <row r="3165" spans="20:20">
      <c r="T3165" s="10"/>
    </row>
    <row r="3166" spans="20:20">
      <c r="T3166" s="10"/>
    </row>
    <row r="3167" spans="20:20">
      <c r="T3167" s="10"/>
    </row>
    <row r="3168" spans="20:20">
      <c r="T3168" s="10"/>
    </row>
    <row r="3169" spans="20:20">
      <c r="T3169" s="10"/>
    </row>
    <row r="3170" spans="20:20">
      <c r="T3170" s="10"/>
    </row>
    <row r="3171" spans="20:20">
      <c r="T3171" s="10"/>
    </row>
    <row r="3172" spans="20:20">
      <c r="T3172" s="10"/>
    </row>
    <row r="3173" spans="20:20">
      <c r="T3173" s="10"/>
    </row>
    <row r="3174" spans="20:20">
      <c r="T3174" s="10"/>
    </row>
    <row r="3175" spans="20:20">
      <c r="T3175" s="10"/>
    </row>
    <row r="3176" spans="20:20">
      <c r="T3176" s="10"/>
    </row>
    <row r="3177" spans="20:20">
      <c r="T3177" s="10"/>
    </row>
    <row r="3178" spans="20:20">
      <c r="T3178" s="10"/>
    </row>
    <row r="3179" spans="20:20">
      <c r="T3179" s="10"/>
    </row>
    <row r="3180" spans="20:20">
      <c r="T3180" s="10"/>
    </row>
    <row r="3181" spans="20:20">
      <c r="T3181" s="10"/>
    </row>
    <row r="3182" spans="20:20">
      <c r="T3182" s="10"/>
    </row>
    <row r="3183" spans="20:20">
      <c r="T3183" s="10"/>
    </row>
    <row r="3184" spans="20:20">
      <c r="T3184" s="10"/>
    </row>
    <row r="3185" spans="20:20">
      <c r="T3185" s="10"/>
    </row>
    <row r="3186" spans="20:20">
      <c r="T3186" s="10"/>
    </row>
    <row r="3187" spans="20:20">
      <c r="T3187" s="10"/>
    </row>
    <row r="3188" spans="20:20">
      <c r="T3188" s="10"/>
    </row>
    <row r="3189" spans="20:20">
      <c r="T3189" s="10"/>
    </row>
    <row r="3190" spans="20:20">
      <c r="T3190" s="10"/>
    </row>
    <row r="3191" spans="20:20">
      <c r="T3191" s="10"/>
    </row>
    <row r="3192" spans="20:20">
      <c r="T3192" s="10"/>
    </row>
    <row r="3193" spans="20:20">
      <c r="T3193" s="10"/>
    </row>
    <row r="3194" spans="20:20">
      <c r="T3194" s="10"/>
    </row>
    <row r="3195" spans="20:20">
      <c r="T3195" s="10"/>
    </row>
    <row r="3196" spans="20:20">
      <c r="T3196" s="10"/>
    </row>
    <row r="3197" spans="20:20">
      <c r="T3197" s="10"/>
    </row>
    <row r="3198" spans="20:20">
      <c r="T3198" s="10"/>
    </row>
    <row r="3199" spans="20:20">
      <c r="T3199" s="10"/>
    </row>
    <row r="3200" spans="20:20">
      <c r="T3200" s="10"/>
    </row>
    <row r="3201" spans="20:20">
      <c r="T3201" s="10"/>
    </row>
    <row r="3202" spans="20:20">
      <c r="T3202" s="10"/>
    </row>
    <row r="3203" spans="20:20">
      <c r="T3203" s="10"/>
    </row>
    <row r="3204" spans="20:20">
      <c r="T3204" s="10"/>
    </row>
    <row r="3205" spans="20:20">
      <c r="T3205" s="10"/>
    </row>
    <row r="3206" spans="20:20">
      <c r="T3206" s="10"/>
    </row>
    <row r="3207" spans="20:20">
      <c r="T3207" s="10"/>
    </row>
    <row r="3208" spans="20:20">
      <c r="T3208" s="10"/>
    </row>
    <row r="3209" spans="20:20">
      <c r="T3209" s="10"/>
    </row>
    <row r="3210" spans="20:20">
      <c r="T3210" s="10"/>
    </row>
    <row r="3211" spans="20:20">
      <c r="T3211" s="10"/>
    </row>
    <row r="3212" spans="20:20">
      <c r="T3212" s="10"/>
    </row>
    <row r="3213" spans="20:20">
      <c r="T3213" s="10"/>
    </row>
    <row r="3214" spans="20:20">
      <c r="T3214" s="10"/>
    </row>
    <row r="3215" spans="20:20">
      <c r="T3215" s="10"/>
    </row>
    <row r="3216" spans="20:20">
      <c r="T3216" s="10"/>
    </row>
    <row r="3217" spans="20:20">
      <c r="T3217" s="10"/>
    </row>
    <row r="3218" spans="20:20">
      <c r="T3218" s="10"/>
    </row>
    <row r="3219" spans="20:20">
      <c r="T3219" s="10"/>
    </row>
    <row r="3220" spans="20:20">
      <c r="T3220" s="10"/>
    </row>
    <row r="3221" spans="20:20">
      <c r="T3221" s="10"/>
    </row>
    <row r="3222" spans="20:20">
      <c r="T3222" s="10"/>
    </row>
    <row r="3223" spans="20:20">
      <c r="T3223" s="10"/>
    </row>
    <row r="3224" spans="20:20">
      <c r="T3224" s="10"/>
    </row>
    <row r="3225" spans="20:20">
      <c r="T3225" s="10"/>
    </row>
    <row r="3226" spans="20:20">
      <c r="T3226" s="10"/>
    </row>
    <row r="3227" spans="20:20">
      <c r="T3227" s="10"/>
    </row>
    <row r="3228" spans="20:20">
      <c r="T3228" s="10"/>
    </row>
    <row r="3229" spans="20:20">
      <c r="T3229" s="10"/>
    </row>
    <row r="3230" spans="20:20">
      <c r="T3230" s="10"/>
    </row>
    <row r="3231" spans="20:20">
      <c r="T3231" s="10"/>
    </row>
    <row r="3232" spans="20:20">
      <c r="T3232" s="10"/>
    </row>
    <row r="3233" spans="20:20">
      <c r="T3233" s="10"/>
    </row>
    <row r="3234" spans="20:20">
      <c r="T3234" s="10"/>
    </row>
    <row r="3235" spans="20:20">
      <c r="T3235" s="10"/>
    </row>
    <row r="3236" spans="20:20">
      <c r="T3236" s="10"/>
    </row>
    <row r="3237" spans="20:20">
      <c r="T3237" s="10"/>
    </row>
    <row r="3238" spans="20:20">
      <c r="T3238" s="10"/>
    </row>
    <row r="3239" spans="20:20">
      <c r="T3239" s="10"/>
    </row>
    <row r="3240" spans="20:20">
      <c r="T3240" s="10"/>
    </row>
    <row r="3241" spans="20:20">
      <c r="T3241" s="10"/>
    </row>
    <row r="3242" spans="20:20">
      <c r="T3242" s="10"/>
    </row>
    <row r="3243" spans="20:20">
      <c r="T3243" s="10"/>
    </row>
    <row r="3244" spans="20:20">
      <c r="T3244" s="10"/>
    </row>
    <row r="3245" spans="20:20">
      <c r="T3245" s="10"/>
    </row>
    <row r="3246" spans="20:20">
      <c r="T3246" s="10"/>
    </row>
    <row r="3247" spans="20:20">
      <c r="T3247" s="10"/>
    </row>
    <row r="3248" spans="20:20">
      <c r="T3248" s="10"/>
    </row>
    <row r="3249" spans="20:20">
      <c r="T3249" s="10"/>
    </row>
    <row r="3250" spans="20:20">
      <c r="T3250" s="10"/>
    </row>
    <row r="3251" spans="20:20">
      <c r="T3251" s="10"/>
    </row>
    <row r="3252" spans="20:20">
      <c r="T3252" s="10"/>
    </row>
    <row r="3253" spans="20:20">
      <c r="T3253" s="10"/>
    </row>
    <row r="3254" spans="20:20">
      <c r="T3254" s="10"/>
    </row>
    <row r="3255" spans="20:20">
      <c r="T3255" s="10"/>
    </row>
    <row r="3256" spans="20:20">
      <c r="T3256" s="10"/>
    </row>
    <row r="3257" spans="20:20">
      <c r="T3257" s="10"/>
    </row>
    <row r="3258" spans="20:20">
      <c r="T3258" s="10"/>
    </row>
    <row r="3259" spans="20:20">
      <c r="T3259" s="10"/>
    </row>
    <row r="3260" spans="20:20">
      <c r="T3260" s="10"/>
    </row>
    <row r="3261" spans="20:20">
      <c r="T3261" s="10"/>
    </row>
    <row r="3262" spans="20:20">
      <c r="T3262" s="10"/>
    </row>
    <row r="3263" spans="20:20">
      <c r="T3263" s="10"/>
    </row>
    <row r="3264" spans="20:20">
      <c r="T3264" s="10"/>
    </row>
    <row r="3265" spans="20:20">
      <c r="T3265" s="10"/>
    </row>
    <row r="3266" spans="20:20">
      <c r="T3266" s="10"/>
    </row>
    <row r="3267" spans="20:20">
      <c r="T3267" s="10"/>
    </row>
    <row r="3268" spans="20:20">
      <c r="T3268" s="10"/>
    </row>
    <row r="3269" spans="20:20">
      <c r="T3269" s="10"/>
    </row>
    <row r="3270" spans="20:20">
      <c r="T3270" s="10"/>
    </row>
    <row r="3271" spans="20:20">
      <c r="T3271" s="10"/>
    </row>
    <row r="3272" spans="20:20">
      <c r="T3272" s="10"/>
    </row>
    <row r="3273" spans="20:20">
      <c r="T3273" s="10"/>
    </row>
    <row r="3274" spans="20:20">
      <c r="T3274" s="10"/>
    </row>
    <row r="3275" spans="20:20">
      <c r="T3275" s="10"/>
    </row>
    <row r="3276" spans="20:20">
      <c r="T3276" s="10"/>
    </row>
    <row r="3277" spans="20:20">
      <c r="T3277" s="10"/>
    </row>
    <row r="3278" spans="20:20">
      <c r="T3278" s="10"/>
    </row>
    <row r="3279" spans="20:20">
      <c r="T3279" s="10"/>
    </row>
    <row r="3280" spans="20:20">
      <c r="T3280" s="10"/>
    </row>
    <row r="3281" spans="20:20">
      <c r="T3281" s="10"/>
    </row>
    <row r="3282" spans="20:20">
      <c r="T3282" s="10"/>
    </row>
    <row r="3283" spans="20:20">
      <c r="T3283" s="10"/>
    </row>
    <row r="3284" spans="20:20">
      <c r="T3284" s="10"/>
    </row>
    <row r="3285" spans="20:20">
      <c r="T3285" s="10"/>
    </row>
    <row r="3286" spans="20:20">
      <c r="T3286" s="10"/>
    </row>
    <row r="3287" spans="20:20">
      <c r="T3287" s="10"/>
    </row>
    <row r="3288" spans="20:20">
      <c r="T3288" s="10"/>
    </row>
    <row r="3289" spans="20:20">
      <c r="T3289" s="10"/>
    </row>
    <row r="3290" spans="20:20">
      <c r="T3290" s="10"/>
    </row>
    <row r="3291" spans="20:20">
      <c r="T3291" s="10"/>
    </row>
    <row r="3292" spans="20:20">
      <c r="T3292" s="10"/>
    </row>
    <row r="3293" spans="20:20">
      <c r="T3293" s="10"/>
    </row>
    <row r="3294" spans="20:20">
      <c r="T3294" s="10"/>
    </row>
    <row r="3295" spans="20:20">
      <c r="T3295" s="10"/>
    </row>
    <row r="3296" spans="20:20">
      <c r="T3296" s="10"/>
    </row>
    <row r="3297" spans="20:20">
      <c r="T3297" s="10"/>
    </row>
    <row r="3298" spans="20:20">
      <c r="T3298" s="10"/>
    </row>
    <row r="3299" spans="20:20">
      <c r="T3299" s="10"/>
    </row>
    <row r="3300" spans="20:20">
      <c r="T3300" s="10"/>
    </row>
    <row r="3301" spans="20:20">
      <c r="T3301" s="10"/>
    </row>
    <row r="3302" spans="20:20">
      <c r="T3302" s="10"/>
    </row>
    <row r="3303" spans="20:20">
      <c r="T3303" s="10"/>
    </row>
    <row r="3304" spans="20:20">
      <c r="T3304" s="10"/>
    </row>
    <row r="3305" spans="20:20">
      <c r="T3305" s="10"/>
    </row>
    <row r="3306" spans="20:20">
      <c r="T3306" s="10"/>
    </row>
    <row r="3307" spans="20:20">
      <c r="T3307" s="10"/>
    </row>
    <row r="3308" spans="20:20">
      <c r="T3308" s="10"/>
    </row>
    <row r="3309" spans="20:20">
      <c r="T3309" s="10"/>
    </row>
    <row r="3310" spans="20:20">
      <c r="T3310" s="10"/>
    </row>
    <row r="3311" spans="20:20">
      <c r="T3311" s="10"/>
    </row>
    <row r="3312" spans="20:20">
      <c r="T3312" s="10"/>
    </row>
    <row r="3313" spans="20:20">
      <c r="T3313" s="10"/>
    </row>
    <row r="3314" spans="20:20">
      <c r="T3314" s="10"/>
    </row>
    <row r="3315" spans="20:20">
      <c r="T3315" s="10"/>
    </row>
    <row r="3316" spans="20:20">
      <c r="T3316" s="10"/>
    </row>
    <row r="3317" spans="20:20">
      <c r="T3317" s="10"/>
    </row>
    <row r="3318" spans="20:20">
      <c r="T3318" s="10"/>
    </row>
    <row r="3319" spans="20:20">
      <c r="T3319" s="10"/>
    </row>
    <row r="3320" spans="20:20">
      <c r="T3320" s="10"/>
    </row>
    <row r="3321" spans="20:20">
      <c r="T3321" s="10"/>
    </row>
    <row r="3322" spans="20:20">
      <c r="T3322" s="10"/>
    </row>
    <row r="3323" spans="20:20">
      <c r="T3323" s="10"/>
    </row>
    <row r="3324" spans="20:20">
      <c r="T3324" s="10"/>
    </row>
    <row r="3325" spans="20:20">
      <c r="T3325" s="10"/>
    </row>
    <row r="3326" spans="20:20">
      <c r="T3326" s="10"/>
    </row>
    <row r="3327" spans="20:20">
      <c r="T3327" s="10"/>
    </row>
    <row r="3328" spans="20:20">
      <c r="T3328" s="10"/>
    </row>
    <row r="3329" spans="20:20">
      <c r="T3329" s="10"/>
    </row>
    <row r="3330" spans="20:20">
      <c r="T3330" s="10"/>
    </row>
    <row r="3331" spans="20:20">
      <c r="T3331" s="10"/>
    </row>
    <row r="3332" spans="20:20">
      <c r="T3332" s="10"/>
    </row>
    <row r="3333" spans="20:20">
      <c r="T3333" s="10"/>
    </row>
    <row r="3334" spans="20:20">
      <c r="T3334" s="10"/>
    </row>
    <row r="3335" spans="20:20">
      <c r="T3335" s="10"/>
    </row>
    <row r="3336" spans="20:20">
      <c r="T3336" s="10"/>
    </row>
    <row r="3337" spans="20:20">
      <c r="T3337" s="10"/>
    </row>
    <row r="3338" spans="20:20">
      <c r="T3338" s="10"/>
    </row>
    <row r="3339" spans="20:20">
      <c r="T3339" s="10"/>
    </row>
    <row r="3340" spans="20:20">
      <c r="T3340" s="10"/>
    </row>
    <row r="3341" spans="20:20">
      <c r="T3341" s="10"/>
    </row>
    <row r="3342" spans="20:20">
      <c r="T3342" s="10"/>
    </row>
    <row r="3343" spans="20:20">
      <c r="T3343" s="10"/>
    </row>
    <row r="3344" spans="20:20">
      <c r="T3344" s="10"/>
    </row>
    <row r="3345" spans="20:20">
      <c r="T3345" s="10"/>
    </row>
    <row r="3346" spans="20:20">
      <c r="T3346" s="10"/>
    </row>
    <row r="3347" spans="20:20">
      <c r="T3347" s="10"/>
    </row>
    <row r="3348" spans="20:20">
      <c r="T3348" s="10"/>
    </row>
    <row r="3349" spans="20:20">
      <c r="T3349" s="10"/>
    </row>
    <row r="3350" spans="20:20">
      <c r="T3350" s="10"/>
    </row>
    <row r="3351" spans="20:20">
      <c r="T3351" s="10"/>
    </row>
    <row r="3352" spans="20:20">
      <c r="T3352" s="10"/>
    </row>
    <row r="3353" spans="20:20">
      <c r="T3353" s="10"/>
    </row>
    <row r="3354" spans="20:20">
      <c r="T3354" s="10"/>
    </row>
    <row r="3355" spans="20:20">
      <c r="T3355" s="10"/>
    </row>
    <row r="3356" spans="20:20">
      <c r="T3356" s="10"/>
    </row>
    <row r="3357" spans="20:20">
      <c r="T3357" s="10"/>
    </row>
    <row r="3358" spans="20:20">
      <c r="T3358" s="10"/>
    </row>
    <row r="3359" spans="20:20">
      <c r="T3359" s="10"/>
    </row>
    <row r="3360" spans="20:20">
      <c r="T3360" s="10"/>
    </row>
    <row r="3361" spans="20:20">
      <c r="T3361" s="10"/>
    </row>
    <row r="3362" spans="20:20">
      <c r="T3362" s="10"/>
    </row>
    <row r="3363" spans="20:20">
      <c r="T3363" s="10"/>
    </row>
    <row r="3364" spans="20:20">
      <c r="T3364" s="10"/>
    </row>
    <row r="3365" spans="20:20">
      <c r="T3365" s="10"/>
    </row>
    <row r="3366" spans="20:20">
      <c r="T3366" s="10"/>
    </row>
    <row r="3367" spans="20:20">
      <c r="T3367" s="10"/>
    </row>
    <row r="3368" spans="20:20">
      <c r="T3368" s="10"/>
    </row>
    <row r="3369" spans="20:20">
      <c r="T3369" s="10"/>
    </row>
    <row r="3370" spans="20:20">
      <c r="T3370" s="10"/>
    </row>
    <row r="3371" spans="20:20">
      <c r="T3371" s="10"/>
    </row>
    <row r="3372" spans="20:20">
      <c r="T3372" s="10"/>
    </row>
    <row r="3373" spans="20:20">
      <c r="T3373" s="10"/>
    </row>
    <row r="3374" spans="20:20">
      <c r="T3374" s="10"/>
    </row>
    <row r="3375" spans="20:20">
      <c r="T3375" s="10"/>
    </row>
    <row r="3376" spans="20:20">
      <c r="T3376" s="10"/>
    </row>
    <row r="3377" spans="20:20">
      <c r="T3377" s="10"/>
    </row>
    <row r="3378" spans="20:20">
      <c r="T3378" s="10"/>
    </row>
    <row r="3379" spans="20:20">
      <c r="T3379" s="10"/>
    </row>
    <row r="3380" spans="20:20">
      <c r="T3380" s="10"/>
    </row>
    <row r="3381" spans="20:20">
      <c r="T3381" s="10"/>
    </row>
    <row r="3382" spans="20:20">
      <c r="T3382" s="10"/>
    </row>
    <row r="3383" spans="20:20">
      <c r="T3383" s="10"/>
    </row>
    <row r="3384" spans="20:20">
      <c r="T3384" s="10"/>
    </row>
    <row r="3385" spans="20:20">
      <c r="T3385" s="10"/>
    </row>
    <row r="3386" spans="20:20">
      <c r="T3386" s="10"/>
    </row>
    <row r="3387" spans="20:20">
      <c r="T3387" s="10"/>
    </row>
    <row r="3388" spans="20:20">
      <c r="T3388" s="10"/>
    </row>
    <row r="3389" spans="20:20">
      <c r="T3389" s="10"/>
    </row>
    <row r="3390" spans="20:20">
      <c r="T3390" s="10"/>
    </row>
    <row r="3391" spans="20:20">
      <c r="T3391" s="10"/>
    </row>
    <row r="3392" spans="20:20">
      <c r="T3392" s="10"/>
    </row>
    <row r="3393" spans="20:20">
      <c r="T3393" s="10"/>
    </row>
    <row r="3394" spans="20:20">
      <c r="T3394" s="10"/>
    </row>
    <row r="3395" spans="20:20">
      <c r="T3395" s="10"/>
    </row>
    <row r="3396" spans="20:20">
      <c r="T3396" s="10"/>
    </row>
    <row r="3397" spans="20:20">
      <c r="T3397" s="10"/>
    </row>
    <row r="3398" spans="20:20">
      <c r="T3398" s="10"/>
    </row>
    <row r="3399" spans="20:20">
      <c r="T3399" s="10"/>
    </row>
    <row r="3400" spans="20:20">
      <c r="T3400" s="10"/>
    </row>
    <row r="3401" spans="20:20">
      <c r="T3401" s="10"/>
    </row>
    <row r="3402" spans="20:20">
      <c r="T3402" s="10"/>
    </row>
    <row r="3403" spans="20:20">
      <c r="T3403" s="10"/>
    </row>
    <row r="3404" spans="20:20">
      <c r="T3404" s="10"/>
    </row>
    <row r="3405" spans="20:20">
      <c r="T3405" s="10"/>
    </row>
    <row r="3406" spans="20:20">
      <c r="T3406" s="10"/>
    </row>
    <row r="3407" spans="20:20">
      <c r="T3407" s="10"/>
    </row>
    <row r="3408" spans="20:20">
      <c r="T3408" s="10"/>
    </row>
    <row r="3409" spans="20:20">
      <c r="T3409" s="10"/>
    </row>
    <row r="3410" spans="20:20">
      <c r="T3410" s="10"/>
    </row>
    <row r="3411" spans="20:20">
      <c r="T3411" s="10"/>
    </row>
    <row r="3412" spans="20:20">
      <c r="T3412" s="10"/>
    </row>
    <row r="3413" spans="20:20">
      <c r="T3413" s="10"/>
    </row>
    <row r="3414" spans="20:20">
      <c r="T3414" s="10"/>
    </row>
    <row r="3415" spans="20:20">
      <c r="T3415" s="10"/>
    </row>
    <row r="3416" spans="20:20">
      <c r="T3416" s="10"/>
    </row>
    <row r="3417" spans="20:20">
      <c r="T3417" s="10"/>
    </row>
    <row r="3418" spans="20:20">
      <c r="T3418" s="10"/>
    </row>
    <row r="3419" spans="20:20">
      <c r="T3419" s="10"/>
    </row>
    <row r="3420" spans="20:20">
      <c r="T3420" s="10"/>
    </row>
    <row r="3421" spans="20:20">
      <c r="T3421" s="10"/>
    </row>
    <row r="3422" spans="20:20">
      <c r="T3422" s="10"/>
    </row>
    <row r="3423" spans="20:20">
      <c r="T3423" s="10"/>
    </row>
    <row r="3424" spans="20:20">
      <c r="T3424" s="10"/>
    </row>
    <row r="3425" spans="20:20">
      <c r="T3425" s="10"/>
    </row>
    <row r="3426" spans="20:20">
      <c r="T3426" s="10"/>
    </row>
    <row r="3427" spans="20:20">
      <c r="T3427" s="10"/>
    </row>
    <row r="3428" spans="20:20">
      <c r="T3428" s="10"/>
    </row>
    <row r="3429" spans="20:20">
      <c r="T3429" s="10"/>
    </row>
    <row r="3430" spans="20:20">
      <c r="T3430" s="10"/>
    </row>
    <row r="3431" spans="20:20">
      <c r="T3431" s="10"/>
    </row>
    <row r="3432" spans="20:20">
      <c r="T3432" s="10"/>
    </row>
    <row r="3433" spans="20:20">
      <c r="T3433" s="10"/>
    </row>
    <row r="3434" spans="20:20">
      <c r="T3434" s="10"/>
    </row>
    <row r="3435" spans="20:20">
      <c r="T3435" s="10"/>
    </row>
    <row r="3436" spans="20:20">
      <c r="T3436" s="10"/>
    </row>
    <row r="3437" spans="20:20">
      <c r="T3437" s="10"/>
    </row>
    <row r="3438" spans="20:20">
      <c r="T3438" s="10"/>
    </row>
    <row r="3439" spans="20:20">
      <c r="T3439" s="10"/>
    </row>
    <row r="3440" spans="20:20">
      <c r="T3440" s="10"/>
    </row>
    <row r="3441" spans="20:20">
      <c r="T3441" s="10"/>
    </row>
    <row r="3442" spans="20:20">
      <c r="T3442" s="10"/>
    </row>
    <row r="3443" spans="20:20">
      <c r="T3443" s="10"/>
    </row>
    <row r="3444" spans="20:20">
      <c r="T3444" s="10"/>
    </row>
    <row r="3445" spans="20:20">
      <c r="T3445" s="10"/>
    </row>
    <row r="3446" spans="20:20">
      <c r="T3446" s="10"/>
    </row>
    <row r="3447" spans="20:20">
      <c r="T3447" s="10"/>
    </row>
    <row r="3448" spans="20:20">
      <c r="T3448" s="10"/>
    </row>
    <row r="3449" spans="20:20">
      <c r="T3449" s="10"/>
    </row>
    <row r="3450" spans="20:20">
      <c r="T3450" s="10"/>
    </row>
    <row r="3451" spans="20:20">
      <c r="T3451" s="10"/>
    </row>
    <row r="3452" spans="20:20">
      <c r="T3452" s="10"/>
    </row>
    <row r="3453" spans="20:20">
      <c r="T3453" s="10"/>
    </row>
    <row r="3454" spans="20:20">
      <c r="T3454" s="10"/>
    </row>
    <row r="3455" spans="20:20">
      <c r="T3455" s="10"/>
    </row>
    <row r="3456" spans="20:20">
      <c r="T3456" s="10"/>
    </row>
    <row r="3457" spans="20:20">
      <c r="T3457" s="10"/>
    </row>
    <row r="3458" spans="20:20">
      <c r="T3458" s="10"/>
    </row>
    <row r="3459" spans="20:20">
      <c r="T3459" s="10"/>
    </row>
    <row r="3460" spans="20:20">
      <c r="T3460" s="10"/>
    </row>
    <row r="3461" spans="20:20">
      <c r="T3461" s="10"/>
    </row>
    <row r="3462" spans="20:20">
      <c r="T3462" s="10"/>
    </row>
    <row r="3463" spans="20:20">
      <c r="T3463" s="10"/>
    </row>
    <row r="3464" spans="20:20">
      <c r="T3464" s="10"/>
    </row>
    <row r="3465" spans="20:20">
      <c r="T3465" s="10"/>
    </row>
    <row r="3466" spans="20:20">
      <c r="T3466" s="10"/>
    </row>
    <row r="3467" spans="20:20">
      <c r="T3467" s="10"/>
    </row>
    <row r="3468" spans="20:20">
      <c r="T3468" s="10"/>
    </row>
    <row r="3469" spans="20:20">
      <c r="T3469" s="10"/>
    </row>
    <row r="3470" spans="20:20">
      <c r="T3470" s="10"/>
    </row>
    <row r="3471" spans="20:20">
      <c r="T3471" s="10"/>
    </row>
    <row r="3472" spans="20:20">
      <c r="T3472" s="10"/>
    </row>
    <row r="3473" spans="20:20">
      <c r="T3473" s="10"/>
    </row>
    <row r="3474" spans="20:20">
      <c r="T3474" s="10"/>
    </row>
    <row r="3475" spans="20:20">
      <c r="T3475" s="10"/>
    </row>
    <row r="3476" spans="20:20">
      <c r="T3476" s="10"/>
    </row>
    <row r="3477" spans="20:20">
      <c r="T3477" s="10"/>
    </row>
    <row r="3478" spans="20:20">
      <c r="T3478" s="10"/>
    </row>
    <row r="3479" spans="20:20">
      <c r="T3479" s="10"/>
    </row>
    <row r="3480" spans="20:20">
      <c r="T3480" s="10"/>
    </row>
    <row r="3481" spans="20:20">
      <c r="T3481" s="10"/>
    </row>
    <row r="3482" spans="20:20">
      <c r="T3482" s="10"/>
    </row>
    <row r="3483" spans="20:20">
      <c r="T3483" s="10"/>
    </row>
    <row r="3484" spans="20:20">
      <c r="T3484" s="10"/>
    </row>
    <row r="3485" spans="20:20">
      <c r="T3485" s="10"/>
    </row>
    <row r="3486" spans="20:20">
      <c r="T3486" s="10"/>
    </row>
    <row r="3487" spans="20:20">
      <c r="T3487" s="10"/>
    </row>
    <row r="3488" spans="20:20">
      <c r="T3488" s="10"/>
    </row>
    <row r="3489" spans="20:20">
      <c r="T3489" s="10"/>
    </row>
    <row r="3490" spans="20:20">
      <c r="T3490" s="10"/>
    </row>
    <row r="3491" spans="20:20">
      <c r="T3491" s="10"/>
    </row>
    <row r="3492" spans="20:20">
      <c r="T3492" s="10"/>
    </row>
    <row r="3493" spans="20:20">
      <c r="T3493" s="10"/>
    </row>
    <row r="3494" spans="20:20">
      <c r="T3494" s="10"/>
    </row>
    <row r="3495" spans="20:20">
      <c r="T3495" s="10"/>
    </row>
    <row r="3496" spans="20:20">
      <c r="T3496" s="10"/>
    </row>
    <row r="3497" spans="20:20">
      <c r="T3497" s="10"/>
    </row>
    <row r="3498" spans="20:20">
      <c r="T3498" s="10"/>
    </row>
    <row r="3499" spans="20:20">
      <c r="T3499" s="10"/>
    </row>
    <row r="3500" spans="20:20">
      <c r="T3500" s="10"/>
    </row>
    <row r="3501" spans="20:20">
      <c r="T3501" s="10"/>
    </row>
    <row r="3502" spans="20:20">
      <c r="T3502" s="10"/>
    </row>
    <row r="3503" spans="20:20">
      <c r="T3503" s="10"/>
    </row>
    <row r="3504" spans="20:20">
      <c r="T3504" s="10"/>
    </row>
    <row r="3505" spans="20:20">
      <c r="T3505" s="10"/>
    </row>
    <row r="3506" spans="20:20">
      <c r="T3506" s="10"/>
    </row>
    <row r="3507" spans="20:20">
      <c r="T3507" s="10"/>
    </row>
    <row r="3508" spans="20:20">
      <c r="T3508" s="10"/>
    </row>
    <row r="3509" spans="20:20">
      <c r="T3509" s="10"/>
    </row>
    <row r="3510" spans="20:20">
      <c r="T3510" s="10"/>
    </row>
    <row r="3511" spans="20:20">
      <c r="T3511" s="10"/>
    </row>
    <row r="3512" spans="20:20">
      <c r="T3512" s="10"/>
    </row>
    <row r="3513" spans="20:20">
      <c r="T3513" s="10"/>
    </row>
    <row r="3514" spans="20:20">
      <c r="T3514" s="10"/>
    </row>
    <row r="3515" spans="20:20">
      <c r="T3515" s="10"/>
    </row>
    <row r="3516" spans="20:20">
      <c r="T3516" s="10"/>
    </row>
    <row r="3517" spans="20:20">
      <c r="T3517" s="10"/>
    </row>
    <row r="3518" spans="20:20">
      <c r="T3518" s="10"/>
    </row>
    <row r="3519" spans="20:20">
      <c r="T3519" s="10"/>
    </row>
    <row r="3520" spans="20:20">
      <c r="T3520" s="10"/>
    </row>
    <row r="3521" spans="20:20">
      <c r="T3521" s="10"/>
    </row>
    <row r="3522" spans="20:20">
      <c r="T3522" s="10"/>
    </row>
    <row r="3523" spans="20:20">
      <c r="T3523" s="10"/>
    </row>
    <row r="3524" spans="20:20">
      <c r="T3524" s="10"/>
    </row>
    <row r="3525" spans="20:20">
      <c r="T3525" s="10"/>
    </row>
    <row r="3526" spans="20:20">
      <c r="T3526" s="10"/>
    </row>
    <row r="3527" spans="20:20">
      <c r="T3527" s="10"/>
    </row>
    <row r="3528" spans="20:20">
      <c r="T3528" s="10"/>
    </row>
    <row r="3529" spans="20:20">
      <c r="T3529" s="10"/>
    </row>
    <row r="3530" spans="20:20">
      <c r="T3530" s="10"/>
    </row>
    <row r="3531" spans="20:20">
      <c r="T3531" s="10"/>
    </row>
    <row r="3532" spans="20:20">
      <c r="T3532" s="10"/>
    </row>
    <row r="3533" spans="20:20">
      <c r="T3533" s="10"/>
    </row>
    <row r="3534" spans="20:20">
      <c r="T3534" s="10"/>
    </row>
    <row r="3535" spans="20:20">
      <c r="T3535" s="10"/>
    </row>
    <row r="3536" spans="20:20">
      <c r="T3536" s="10"/>
    </row>
    <row r="3537" spans="20:20">
      <c r="T3537" s="10"/>
    </row>
    <row r="3538" spans="20:20">
      <c r="T3538" s="10"/>
    </row>
    <row r="3539" spans="20:20">
      <c r="T3539" s="10"/>
    </row>
    <row r="3540" spans="20:20">
      <c r="T3540" s="10"/>
    </row>
    <row r="3541" spans="20:20">
      <c r="T3541" s="10"/>
    </row>
    <row r="3542" spans="20:20">
      <c r="T3542" s="10"/>
    </row>
    <row r="3543" spans="20:20">
      <c r="T3543" s="10"/>
    </row>
    <row r="3544" spans="20:20">
      <c r="T3544" s="10"/>
    </row>
    <row r="3545" spans="20:20">
      <c r="T3545" s="10"/>
    </row>
    <row r="3546" spans="20:20">
      <c r="T3546" s="10"/>
    </row>
    <row r="3547" spans="20:20">
      <c r="T3547" s="10"/>
    </row>
    <row r="3548" spans="20:20">
      <c r="T3548" s="10"/>
    </row>
    <row r="3549" spans="20:20">
      <c r="T3549" s="10"/>
    </row>
    <row r="3550" spans="20:20">
      <c r="T3550" s="10"/>
    </row>
    <row r="3551" spans="20:20">
      <c r="T3551" s="10"/>
    </row>
    <row r="3552" spans="20:20">
      <c r="T3552" s="10"/>
    </row>
    <row r="3553" spans="20:20">
      <c r="T3553" s="10"/>
    </row>
    <row r="3554" spans="20:20">
      <c r="T3554" s="10"/>
    </row>
    <row r="3555" spans="20:20">
      <c r="T3555" s="10"/>
    </row>
    <row r="3556" spans="20:20">
      <c r="T3556" s="10"/>
    </row>
    <row r="3557" spans="20:20">
      <c r="T3557" s="10"/>
    </row>
    <row r="3558" spans="20:20">
      <c r="T3558" s="10"/>
    </row>
    <row r="3559" spans="20:20">
      <c r="T3559" s="10"/>
    </row>
    <row r="3560" spans="20:20">
      <c r="T3560" s="10"/>
    </row>
    <row r="3561" spans="20:20">
      <c r="T3561" s="10"/>
    </row>
    <row r="3562" spans="20:20">
      <c r="T3562" s="10"/>
    </row>
    <row r="3563" spans="20:20">
      <c r="T3563" s="10"/>
    </row>
    <row r="3564" spans="20:20">
      <c r="T3564" s="10"/>
    </row>
    <row r="3565" spans="20:20">
      <c r="T3565" s="10"/>
    </row>
    <row r="3566" spans="20:20">
      <c r="T3566" s="10"/>
    </row>
    <row r="3567" spans="20:20">
      <c r="T3567" s="10"/>
    </row>
    <row r="3568" spans="20:20">
      <c r="T3568" s="10"/>
    </row>
    <row r="3569" spans="20:20">
      <c r="T3569" s="10"/>
    </row>
    <row r="3570" spans="20:20">
      <c r="T3570" s="10"/>
    </row>
    <row r="3571" spans="20:20">
      <c r="T3571" s="10"/>
    </row>
    <row r="3572" spans="20:20">
      <c r="T3572" s="10"/>
    </row>
    <row r="3573" spans="20:20">
      <c r="T3573" s="10"/>
    </row>
    <row r="3574" spans="20:20">
      <c r="T3574" s="10"/>
    </row>
    <row r="3575" spans="20:20">
      <c r="T3575" s="10"/>
    </row>
    <row r="3576" spans="20:20">
      <c r="T3576" s="10"/>
    </row>
    <row r="3577" spans="20:20">
      <c r="T3577" s="10"/>
    </row>
    <row r="3578" spans="20:20">
      <c r="T3578" s="10"/>
    </row>
    <row r="3579" spans="20:20">
      <c r="T3579" s="10"/>
    </row>
    <row r="3580" spans="20:20">
      <c r="T3580" s="10"/>
    </row>
    <row r="3581" spans="20:20">
      <c r="T3581" s="10"/>
    </row>
    <row r="3582" spans="20:20">
      <c r="T3582" s="10"/>
    </row>
    <row r="3583" spans="20:20">
      <c r="T3583" s="10"/>
    </row>
    <row r="3584" spans="20:20">
      <c r="T3584" s="10"/>
    </row>
    <row r="3585" spans="20:20">
      <c r="T3585" s="10"/>
    </row>
    <row r="3586" spans="20:20">
      <c r="T3586" s="10"/>
    </row>
    <row r="3587" spans="20:20">
      <c r="T3587" s="10"/>
    </row>
    <row r="3588" spans="20:20">
      <c r="T3588" s="10"/>
    </row>
    <row r="3589" spans="20:20">
      <c r="T3589" s="10"/>
    </row>
    <row r="3590" spans="20:20">
      <c r="T3590" s="10"/>
    </row>
    <row r="3591" spans="20:20">
      <c r="T3591" s="10"/>
    </row>
    <row r="3592" spans="20:20">
      <c r="T3592" s="10"/>
    </row>
    <row r="3593" spans="20:20">
      <c r="T3593" s="10"/>
    </row>
    <row r="3594" spans="20:20">
      <c r="T3594" s="10"/>
    </row>
    <row r="3595" spans="20:20">
      <c r="T3595" s="10"/>
    </row>
    <row r="3596" spans="20:20">
      <c r="T3596" s="10"/>
    </row>
    <row r="3597" spans="20:20">
      <c r="T3597" s="10"/>
    </row>
    <row r="3598" spans="20:20">
      <c r="T3598" s="10"/>
    </row>
    <row r="3599" spans="20:20">
      <c r="T3599" s="10"/>
    </row>
    <row r="3600" spans="20:20">
      <c r="T3600" s="10"/>
    </row>
    <row r="3601" spans="20:20">
      <c r="T3601" s="10"/>
    </row>
    <row r="3602" spans="20:20">
      <c r="T3602" s="10"/>
    </row>
    <row r="3603" spans="20:20">
      <c r="T3603" s="10"/>
    </row>
    <row r="3604" spans="20:20">
      <c r="T3604" s="10"/>
    </row>
    <row r="3605" spans="20:20">
      <c r="T3605" s="10"/>
    </row>
    <row r="3606" spans="20:20">
      <c r="T3606" s="10"/>
    </row>
    <row r="3607" spans="20:20">
      <c r="T3607" s="10"/>
    </row>
    <row r="3608" spans="20:20">
      <c r="T3608" s="10"/>
    </row>
    <row r="3609" spans="20:20">
      <c r="T3609" s="10"/>
    </row>
    <row r="3610" spans="20:20">
      <c r="T3610" s="10"/>
    </row>
    <row r="3611" spans="20:20">
      <c r="T3611" s="10"/>
    </row>
    <row r="3612" spans="20:20">
      <c r="T3612" s="10"/>
    </row>
    <row r="3613" spans="20:20">
      <c r="T3613" s="10"/>
    </row>
    <row r="3614" spans="20:20">
      <c r="T3614" s="10"/>
    </row>
    <row r="3615" spans="20:20">
      <c r="T3615" s="10"/>
    </row>
    <row r="3616" spans="20:20">
      <c r="T3616" s="10"/>
    </row>
    <row r="3617" spans="20:20">
      <c r="T3617" s="10"/>
    </row>
    <row r="3618" spans="20:20">
      <c r="T3618" s="10"/>
    </row>
    <row r="3619" spans="20:20">
      <c r="T3619" s="10"/>
    </row>
    <row r="3620" spans="20:20">
      <c r="T3620" s="10"/>
    </row>
    <row r="3621" spans="20:20">
      <c r="T3621" s="10"/>
    </row>
    <row r="3622" spans="20:20">
      <c r="T3622" s="10"/>
    </row>
    <row r="3623" spans="20:20">
      <c r="T3623" s="10"/>
    </row>
    <row r="3624" spans="20:20">
      <c r="T3624" s="10"/>
    </row>
    <row r="3625" spans="20:20">
      <c r="T3625" s="10"/>
    </row>
    <row r="3626" spans="20:20">
      <c r="T3626" s="10"/>
    </row>
    <row r="3627" spans="20:20">
      <c r="T3627" s="10"/>
    </row>
    <row r="3628" spans="20:20">
      <c r="T3628" s="10"/>
    </row>
    <row r="3629" spans="20:20">
      <c r="T3629" s="10"/>
    </row>
    <row r="3630" spans="20:20">
      <c r="T3630" s="10"/>
    </row>
    <row r="3631" spans="20:20">
      <c r="T3631" s="10"/>
    </row>
    <row r="3632" spans="20:20">
      <c r="T3632" s="10"/>
    </row>
    <row r="3633" spans="20:20">
      <c r="T3633" s="10"/>
    </row>
    <row r="3634" spans="20:20">
      <c r="T3634" s="10"/>
    </row>
    <row r="3635" spans="20:20">
      <c r="T3635" s="10"/>
    </row>
    <row r="3636" spans="20:20">
      <c r="T3636" s="10"/>
    </row>
    <row r="3637" spans="20:20">
      <c r="T3637" s="10"/>
    </row>
    <row r="3638" spans="20:20">
      <c r="T3638" s="10"/>
    </row>
    <row r="3639" spans="20:20">
      <c r="T3639" s="10"/>
    </row>
    <row r="3640" spans="20:20">
      <c r="T3640" s="10"/>
    </row>
    <row r="3641" spans="20:20">
      <c r="T3641" s="10"/>
    </row>
    <row r="3642" spans="20:20">
      <c r="T3642" s="10"/>
    </row>
    <row r="3643" spans="20:20">
      <c r="T3643" s="10"/>
    </row>
    <row r="3644" spans="20:20">
      <c r="T3644" s="10"/>
    </row>
    <row r="3645" spans="20:20">
      <c r="T3645" s="10"/>
    </row>
    <row r="3646" spans="20:20">
      <c r="T3646" s="10"/>
    </row>
    <row r="3647" spans="20:20">
      <c r="T3647" s="10"/>
    </row>
    <row r="3648" spans="20:20">
      <c r="T3648" s="10"/>
    </row>
    <row r="3649" spans="20:20">
      <c r="T3649" s="10"/>
    </row>
    <row r="3650" spans="20:20">
      <c r="T3650" s="10"/>
    </row>
    <row r="3651" spans="20:20">
      <c r="T3651" s="10"/>
    </row>
    <row r="3652" spans="20:20">
      <c r="T3652" s="10"/>
    </row>
    <row r="3653" spans="20:20">
      <c r="T3653" s="10"/>
    </row>
    <row r="3654" spans="20:20">
      <c r="T3654" s="10"/>
    </row>
    <row r="3655" spans="20:20">
      <c r="T3655" s="10"/>
    </row>
    <row r="3656" spans="20:20">
      <c r="T3656" s="10"/>
    </row>
    <row r="3657" spans="20:20">
      <c r="T3657" s="10"/>
    </row>
    <row r="3658" spans="20:20">
      <c r="T3658" s="10"/>
    </row>
    <row r="3659" spans="20:20">
      <c r="T3659" s="10"/>
    </row>
    <row r="3660" spans="20:20">
      <c r="T3660" s="10"/>
    </row>
    <row r="3661" spans="20:20">
      <c r="T3661" s="10"/>
    </row>
    <row r="3662" spans="20:20">
      <c r="T3662" s="10"/>
    </row>
    <row r="3663" spans="20:20">
      <c r="T3663" s="10"/>
    </row>
    <row r="3664" spans="20:20">
      <c r="T3664" s="10"/>
    </row>
    <row r="3665" spans="20:20">
      <c r="T3665" s="10"/>
    </row>
    <row r="3666" spans="20:20">
      <c r="T3666" s="10"/>
    </row>
    <row r="3667" spans="20:20">
      <c r="T3667" s="10"/>
    </row>
    <row r="3668" spans="20:20">
      <c r="T3668" s="10"/>
    </row>
    <row r="3669" spans="20:20">
      <c r="T3669" s="10"/>
    </row>
    <row r="3670" spans="20:20">
      <c r="T3670" s="10"/>
    </row>
    <row r="3671" spans="20:20">
      <c r="T3671" s="10"/>
    </row>
    <row r="3672" spans="20:20">
      <c r="T3672" s="10"/>
    </row>
    <row r="3673" spans="20:20">
      <c r="T3673" s="10"/>
    </row>
    <row r="3674" spans="20:20">
      <c r="T3674" s="10"/>
    </row>
    <row r="3675" spans="20:20">
      <c r="T3675" s="10"/>
    </row>
    <row r="3676" spans="20:20">
      <c r="T3676" s="10"/>
    </row>
    <row r="3677" spans="20:20">
      <c r="T3677" s="10"/>
    </row>
    <row r="3678" spans="20:20">
      <c r="T3678" s="10"/>
    </row>
    <row r="3679" spans="20:20">
      <c r="T3679" s="10"/>
    </row>
    <row r="3680" spans="20:20">
      <c r="T3680" s="10"/>
    </row>
    <row r="3681" spans="20:20">
      <c r="T3681" s="10"/>
    </row>
    <row r="3682" spans="20:20">
      <c r="T3682" s="10"/>
    </row>
    <row r="3683" spans="20:20">
      <c r="T3683" s="10"/>
    </row>
    <row r="3684" spans="20:20">
      <c r="T3684" s="10"/>
    </row>
    <row r="3685" spans="20:20">
      <c r="T3685" s="10"/>
    </row>
    <row r="3686" spans="20:20">
      <c r="T3686" s="10"/>
    </row>
    <row r="3687" spans="20:20">
      <c r="T3687" s="10"/>
    </row>
    <row r="3688" spans="20:20">
      <c r="T3688" s="10"/>
    </row>
    <row r="3689" spans="20:20">
      <c r="T3689" s="10"/>
    </row>
    <row r="3690" spans="20:20">
      <c r="T3690" s="10"/>
    </row>
    <row r="3691" spans="20:20">
      <c r="T3691" s="10"/>
    </row>
    <row r="3692" spans="20:20">
      <c r="T3692" s="10"/>
    </row>
    <row r="3693" spans="20:20">
      <c r="T3693" s="10"/>
    </row>
    <row r="3694" spans="20:20">
      <c r="T3694" s="10"/>
    </row>
    <row r="3695" spans="20:20">
      <c r="T3695" s="10"/>
    </row>
    <row r="3696" spans="20:20">
      <c r="T3696" s="10"/>
    </row>
    <row r="3697" spans="20:20">
      <c r="T3697" s="10"/>
    </row>
    <row r="3698" spans="20:20">
      <c r="T3698" s="10"/>
    </row>
    <row r="3699" spans="20:20">
      <c r="T3699" s="10"/>
    </row>
    <row r="3700" spans="20:20">
      <c r="T3700" s="10"/>
    </row>
    <row r="3701" spans="20:20">
      <c r="T3701" s="10"/>
    </row>
    <row r="3702" spans="20:20">
      <c r="T3702" s="10"/>
    </row>
    <row r="3703" spans="20:20">
      <c r="T3703" s="10"/>
    </row>
    <row r="3704" spans="20:20">
      <c r="T3704" s="10"/>
    </row>
    <row r="3705" spans="20:20">
      <c r="T3705" s="10"/>
    </row>
    <row r="3706" spans="20:20">
      <c r="T3706" s="10"/>
    </row>
    <row r="3707" spans="20:20">
      <c r="T3707" s="10"/>
    </row>
    <row r="3708" spans="20:20">
      <c r="T3708" s="10"/>
    </row>
    <row r="3709" spans="20:20">
      <c r="T3709" s="10"/>
    </row>
    <row r="3710" spans="20:20">
      <c r="T3710" s="10"/>
    </row>
    <row r="3711" spans="20:20">
      <c r="T3711" s="10"/>
    </row>
    <row r="3712" spans="20:20">
      <c r="T3712" s="10"/>
    </row>
    <row r="3713" spans="20:20">
      <c r="T3713" s="10"/>
    </row>
    <row r="3714" spans="20:20">
      <c r="T3714" s="10"/>
    </row>
    <row r="3715" spans="20:20">
      <c r="T3715" s="10"/>
    </row>
    <row r="3716" spans="20:20">
      <c r="T3716" s="10"/>
    </row>
    <row r="3717" spans="20:20">
      <c r="T3717" s="10"/>
    </row>
    <row r="3718" spans="20:20">
      <c r="T3718" s="10"/>
    </row>
    <row r="3719" spans="20:20">
      <c r="T3719" s="10"/>
    </row>
    <row r="3720" spans="20:20">
      <c r="T3720" s="10"/>
    </row>
    <row r="3721" spans="20:20">
      <c r="T3721" s="10"/>
    </row>
    <row r="3722" spans="20:20">
      <c r="T3722" s="10"/>
    </row>
    <row r="3723" spans="20:20">
      <c r="T3723" s="10"/>
    </row>
    <row r="3724" spans="20:20">
      <c r="T3724" s="10"/>
    </row>
    <row r="3725" spans="20:20">
      <c r="T3725" s="10"/>
    </row>
    <row r="3726" spans="20:20">
      <c r="T3726" s="10"/>
    </row>
    <row r="3727" spans="20:20">
      <c r="T3727" s="10"/>
    </row>
    <row r="3728" spans="20:20">
      <c r="T3728" s="10"/>
    </row>
    <row r="3729" spans="20:20">
      <c r="T3729" s="10"/>
    </row>
    <row r="3730" spans="20:20">
      <c r="T3730" s="10"/>
    </row>
    <row r="3731" spans="20:20">
      <c r="T3731" s="10"/>
    </row>
    <row r="3732" spans="20:20">
      <c r="T3732" s="10"/>
    </row>
    <row r="3733" spans="20:20">
      <c r="T3733" s="10"/>
    </row>
    <row r="3734" spans="20:20">
      <c r="T3734" s="10"/>
    </row>
    <row r="3735" spans="20:20">
      <c r="T3735" s="10"/>
    </row>
    <row r="3736" spans="20:20">
      <c r="T3736" s="10"/>
    </row>
    <row r="3737" spans="20:20">
      <c r="T3737" s="10"/>
    </row>
    <row r="3738" spans="20:20">
      <c r="T3738" s="10"/>
    </row>
    <row r="3739" spans="20:20">
      <c r="T3739" s="10"/>
    </row>
    <row r="3740" spans="20:20">
      <c r="T3740" s="10"/>
    </row>
    <row r="3741" spans="20:20">
      <c r="T3741" s="10"/>
    </row>
    <row r="3742" spans="20:20">
      <c r="T3742" s="10"/>
    </row>
    <row r="3743" spans="20:20">
      <c r="T3743" s="10"/>
    </row>
    <row r="3744" spans="20:20">
      <c r="T3744" s="10"/>
    </row>
    <row r="3745" spans="20:20">
      <c r="T3745" s="10"/>
    </row>
    <row r="3746" spans="20:20">
      <c r="T3746" s="10"/>
    </row>
    <row r="3747" spans="20:20">
      <c r="T3747" s="10"/>
    </row>
    <row r="3748" spans="20:20">
      <c r="T3748" s="10"/>
    </row>
    <row r="3749" spans="20:20">
      <c r="T3749" s="10"/>
    </row>
    <row r="3750" spans="20:20">
      <c r="T3750" s="10"/>
    </row>
    <row r="3751" spans="20:20">
      <c r="T3751" s="10"/>
    </row>
    <row r="3752" spans="20:20">
      <c r="T3752" s="10"/>
    </row>
    <row r="3753" spans="20:20">
      <c r="T3753" s="10"/>
    </row>
    <row r="3754" spans="20:20">
      <c r="T3754" s="10"/>
    </row>
    <row r="3755" spans="20:20">
      <c r="T3755" s="10"/>
    </row>
    <row r="3756" spans="20:20">
      <c r="T3756" s="10"/>
    </row>
    <row r="3757" spans="20:20">
      <c r="T3757" s="10"/>
    </row>
    <row r="3758" spans="20:20">
      <c r="T3758" s="10"/>
    </row>
    <row r="3759" spans="20:20">
      <c r="T3759" s="10"/>
    </row>
    <row r="3760" spans="20:20">
      <c r="T3760" s="10"/>
    </row>
    <row r="3761" spans="20:20">
      <c r="T3761" s="10"/>
    </row>
    <row r="3762" spans="20:20">
      <c r="T3762" s="10"/>
    </row>
    <row r="3763" spans="20:20">
      <c r="T3763" s="10"/>
    </row>
    <row r="3764" spans="20:20">
      <c r="T3764" s="10"/>
    </row>
    <row r="3765" spans="20:20">
      <c r="T3765" s="10"/>
    </row>
    <row r="3766" spans="20:20">
      <c r="T3766" s="10"/>
    </row>
    <row r="3767" spans="20:20">
      <c r="T3767" s="10"/>
    </row>
    <row r="3768" spans="20:20">
      <c r="T3768" s="10"/>
    </row>
    <row r="3769" spans="20:20">
      <c r="T3769" s="10"/>
    </row>
    <row r="3770" spans="20:20">
      <c r="T3770" s="10"/>
    </row>
    <row r="3771" spans="20:20">
      <c r="T3771" s="10"/>
    </row>
    <row r="3772" spans="20:20">
      <c r="T3772" s="10"/>
    </row>
    <row r="3773" spans="20:20">
      <c r="T3773" s="10"/>
    </row>
    <row r="3774" spans="20:20">
      <c r="T3774" s="10"/>
    </row>
    <row r="3775" spans="20:20">
      <c r="T3775" s="10"/>
    </row>
    <row r="3776" spans="20:20">
      <c r="T3776" s="10"/>
    </row>
    <row r="3777" spans="20:20">
      <c r="T3777" s="10"/>
    </row>
    <row r="3778" spans="20:20">
      <c r="T3778" s="10"/>
    </row>
    <row r="3779" spans="20:20">
      <c r="T3779" s="10"/>
    </row>
    <row r="3780" spans="20:20">
      <c r="T3780" s="10"/>
    </row>
    <row r="3781" spans="20:20">
      <c r="T3781" s="10"/>
    </row>
    <row r="3782" spans="20:20">
      <c r="T3782" s="10"/>
    </row>
    <row r="3783" spans="20:20">
      <c r="T3783" s="10"/>
    </row>
    <row r="3784" spans="20:20">
      <c r="T3784" s="10"/>
    </row>
    <row r="3785" spans="20:20">
      <c r="T3785" s="10"/>
    </row>
    <row r="3786" spans="20:20">
      <c r="T3786" s="10"/>
    </row>
    <row r="3787" spans="20:20">
      <c r="T3787" s="10"/>
    </row>
    <row r="3788" spans="20:20">
      <c r="T3788" s="10"/>
    </row>
    <row r="3789" spans="20:20">
      <c r="T3789" s="10"/>
    </row>
    <row r="3790" spans="20:20">
      <c r="T3790" s="10"/>
    </row>
    <row r="3791" spans="20:20">
      <c r="T3791" s="10"/>
    </row>
    <row r="3792" spans="20:20">
      <c r="T3792" s="10"/>
    </row>
    <row r="3793" spans="20:20">
      <c r="T3793" s="10"/>
    </row>
    <row r="3794" spans="20:20">
      <c r="T3794" s="10"/>
    </row>
    <row r="3795" spans="20:20">
      <c r="T3795" s="10"/>
    </row>
    <row r="3796" spans="20:20">
      <c r="T3796" s="10"/>
    </row>
    <row r="3797" spans="20:20">
      <c r="T3797" s="10"/>
    </row>
    <row r="3798" spans="20:20">
      <c r="T3798" s="10"/>
    </row>
    <row r="3799" spans="20:20">
      <c r="T3799" s="10"/>
    </row>
    <row r="3800" spans="20:20">
      <c r="T3800" s="10"/>
    </row>
    <row r="3801" spans="20:20">
      <c r="T3801" s="10"/>
    </row>
    <row r="3802" spans="20:20">
      <c r="T3802" s="10"/>
    </row>
    <row r="3803" spans="20:20">
      <c r="T3803" s="10"/>
    </row>
    <row r="3804" spans="20:20">
      <c r="T3804" s="10"/>
    </row>
    <row r="3805" spans="20:20">
      <c r="T3805" s="10"/>
    </row>
    <row r="3806" spans="20:20">
      <c r="T3806" s="10"/>
    </row>
    <row r="3807" spans="20:20">
      <c r="T3807" s="10"/>
    </row>
    <row r="3808" spans="20:20">
      <c r="T3808" s="10"/>
    </row>
    <row r="3809" spans="20:20">
      <c r="T3809" s="10"/>
    </row>
    <row r="3810" spans="20:20">
      <c r="T3810" s="10"/>
    </row>
    <row r="3811" spans="20:20">
      <c r="T3811" s="10"/>
    </row>
    <row r="3812" spans="20:20">
      <c r="T3812" s="10"/>
    </row>
    <row r="3813" spans="20:20">
      <c r="T3813" s="10"/>
    </row>
    <row r="3814" spans="20:20">
      <c r="T3814" s="10"/>
    </row>
    <row r="3815" spans="20:20">
      <c r="T3815" s="10"/>
    </row>
    <row r="3816" spans="20:20">
      <c r="T3816" s="10"/>
    </row>
    <row r="3817" spans="20:20">
      <c r="T3817" s="10"/>
    </row>
    <row r="3818" spans="20:20">
      <c r="T3818" s="10"/>
    </row>
    <row r="3819" spans="20:20">
      <c r="T3819" s="10"/>
    </row>
    <row r="3820" spans="20:20">
      <c r="T3820" s="10"/>
    </row>
    <row r="3821" spans="20:20">
      <c r="T3821" s="10"/>
    </row>
    <row r="3822" spans="20:20">
      <c r="T3822" s="10"/>
    </row>
    <row r="3823" spans="20:20">
      <c r="T3823" s="10"/>
    </row>
    <row r="3824" spans="20:20">
      <c r="T3824" s="10"/>
    </row>
    <row r="3825" spans="20:20">
      <c r="T3825" s="10"/>
    </row>
    <row r="3826" spans="20:20">
      <c r="T3826" s="10"/>
    </row>
    <row r="3827" spans="20:20">
      <c r="T3827" s="10"/>
    </row>
    <row r="3828" spans="20:20">
      <c r="T3828" s="10"/>
    </row>
    <row r="3829" spans="20:20">
      <c r="T3829" s="10"/>
    </row>
    <row r="3830" spans="20:20">
      <c r="T3830" s="10"/>
    </row>
    <row r="3831" spans="20:20">
      <c r="T3831" s="10"/>
    </row>
    <row r="3832" spans="20:20">
      <c r="T3832" s="10"/>
    </row>
    <row r="3833" spans="20:20">
      <c r="T3833" s="10"/>
    </row>
    <row r="3834" spans="20:20">
      <c r="T3834" s="10"/>
    </row>
    <row r="3835" spans="20:20">
      <c r="T3835" s="10"/>
    </row>
    <row r="3836" spans="20:20">
      <c r="T3836" s="10"/>
    </row>
    <row r="3837" spans="20:20">
      <c r="T3837" s="10"/>
    </row>
    <row r="3838" spans="20:20">
      <c r="T3838" s="10"/>
    </row>
    <row r="3839" spans="20:20">
      <c r="T3839" s="10"/>
    </row>
    <row r="3840" spans="20:20">
      <c r="T3840" s="10"/>
    </row>
    <row r="3841" spans="20:20">
      <c r="T3841" s="10"/>
    </row>
    <row r="3842" spans="20:20">
      <c r="T3842" s="10"/>
    </row>
    <row r="3843" spans="20:20">
      <c r="T3843" s="10"/>
    </row>
    <row r="3844" spans="20:20">
      <c r="T3844" s="10"/>
    </row>
    <row r="3845" spans="20:20">
      <c r="T3845" s="10"/>
    </row>
    <row r="3846" spans="20:20">
      <c r="T3846" s="10"/>
    </row>
    <row r="3847" spans="20:20">
      <c r="T3847" s="10"/>
    </row>
    <row r="3848" spans="20:20">
      <c r="T3848" s="10"/>
    </row>
    <row r="3849" spans="20:20">
      <c r="T3849" s="10"/>
    </row>
    <row r="3850" spans="20:20">
      <c r="T3850" s="10"/>
    </row>
    <row r="3851" spans="20:20">
      <c r="T3851" s="10"/>
    </row>
    <row r="3852" spans="20:20">
      <c r="T3852" s="10"/>
    </row>
    <row r="3853" spans="20:20">
      <c r="T3853" s="10"/>
    </row>
    <row r="3854" spans="20:20">
      <c r="T3854" s="10"/>
    </row>
    <row r="3855" spans="20:20">
      <c r="T3855" s="10"/>
    </row>
    <row r="3856" spans="20:20">
      <c r="T3856" s="10"/>
    </row>
    <row r="3857" spans="20:20">
      <c r="T3857" s="10"/>
    </row>
    <row r="3858" spans="20:20">
      <c r="T3858" s="10"/>
    </row>
    <row r="3859" spans="20:20">
      <c r="T3859" s="10"/>
    </row>
    <row r="3860" spans="20:20">
      <c r="T3860" s="10"/>
    </row>
    <row r="3861" spans="20:20">
      <c r="T3861" s="10"/>
    </row>
    <row r="3862" spans="20:20">
      <c r="T3862" s="10"/>
    </row>
    <row r="3863" spans="20:20">
      <c r="T3863" s="10"/>
    </row>
    <row r="3864" spans="20:20">
      <c r="T3864" s="10"/>
    </row>
    <row r="3865" spans="20:20">
      <c r="T3865" s="10"/>
    </row>
    <row r="3866" spans="20:20">
      <c r="T3866" s="10"/>
    </row>
    <row r="3867" spans="20:20">
      <c r="T3867" s="10"/>
    </row>
    <row r="3868" spans="20:20">
      <c r="T3868" s="10"/>
    </row>
    <row r="3869" spans="20:20">
      <c r="T3869" s="10"/>
    </row>
    <row r="3870" spans="20:20">
      <c r="T3870" s="10"/>
    </row>
    <row r="3871" spans="20:20">
      <c r="T3871" s="10"/>
    </row>
    <row r="3872" spans="20:20">
      <c r="T3872" s="10"/>
    </row>
    <row r="3873" spans="20:20">
      <c r="T3873" s="10"/>
    </row>
    <row r="3874" spans="20:20">
      <c r="T3874" s="10"/>
    </row>
    <row r="3875" spans="20:20">
      <c r="T3875" s="10"/>
    </row>
    <row r="3876" spans="20:20">
      <c r="T3876" s="10"/>
    </row>
    <row r="3877" spans="20:20">
      <c r="T3877" s="10"/>
    </row>
    <row r="3878" spans="20:20">
      <c r="T3878" s="10"/>
    </row>
    <row r="3879" spans="20:20">
      <c r="T3879" s="10"/>
    </row>
    <row r="3880" spans="20:20">
      <c r="T3880" s="10"/>
    </row>
    <row r="3881" spans="20:20">
      <c r="T3881" s="10"/>
    </row>
    <row r="3882" spans="20:20">
      <c r="T3882" s="10"/>
    </row>
    <row r="3883" spans="20:20">
      <c r="T3883" s="10"/>
    </row>
    <row r="3884" spans="20:20">
      <c r="T3884" s="10"/>
    </row>
    <row r="3885" spans="20:20">
      <c r="T3885" s="10"/>
    </row>
    <row r="3886" spans="20:20">
      <c r="T3886" s="10"/>
    </row>
    <row r="3887" spans="20:20">
      <c r="T3887" s="10"/>
    </row>
    <row r="3888" spans="20:20">
      <c r="T3888" s="10"/>
    </row>
    <row r="3889" spans="20:20">
      <c r="T3889" s="10"/>
    </row>
    <row r="3890" spans="20:20">
      <c r="T3890" s="10"/>
    </row>
    <row r="3891" spans="20:20">
      <c r="T3891" s="10"/>
    </row>
    <row r="3892" spans="20:20">
      <c r="T3892" s="10"/>
    </row>
    <row r="3893" spans="20:20">
      <c r="T3893" s="10"/>
    </row>
    <row r="3894" spans="20:20">
      <c r="T3894" s="10"/>
    </row>
    <row r="3895" spans="20:20">
      <c r="T3895" s="10"/>
    </row>
    <row r="3896" spans="20:20">
      <c r="T3896" s="10"/>
    </row>
    <row r="3897" spans="20:20">
      <c r="T3897" s="10"/>
    </row>
    <row r="3898" spans="20:20">
      <c r="T3898" s="10"/>
    </row>
    <row r="3899" spans="20:20">
      <c r="T3899" s="10"/>
    </row>
    <row r="3900" spans="20:20">
      <c r="T3900" s="10"/>
    </row>
    <row r="3901" spans="20:20">
      <c r="T3901" s="10"/>
    </row>
    <row r="3902" spans="20:20">
      <c r="T3902" s="10"/>
    </row>
    <row r="3903" spans="20:20">
      <c r="T3903" s="10"/>
    </row>
    <row r="3904" spans="20:20">
      <c r="T3904" s="10"/>
    </row>
    <row r="3905" spans="20:20">
      <c r="T3905" s="10"/>
    </row>
    <row r="3906" spans="20:20">
      <c r="T3906" s="10"/>
    </row>
    <row r="3907" spans="20:20">
      <c r="T3907" s="10"/>
    </row>
    <row r="3908" spans="20:20">
      <c r="T3908" s="10"/>
    </row>
    <row r="3909" spans="20:20">
      <c r="T3909" s="10"/>
    </row>
    <row r="3910" spans="20:20">
      <c r="T3910" s="10"/>
    </row>
    <row r="3911" spans="20:20">
      <c r="T3911" s="10"/>
    </row>
    <row r="3912" spans="20:20">
      <c r="T3912" s="10"/>
    </row>
    <row r="3913" spans="20:20">
      <c r="T3913" s="10"/>
    </row>
    <row r="3914" spans="20:20">
      <c r="T3914" s="10"/>
    </row>
    <row r="3915" spans="20:20">
      <c r="T3915" s="10"/>
    </row>
    <row r="3916" spans="20:20">
      <c r="T3916" s="10"/>
    </row>
    <row r="3917" spans="20:20">
      <c r="T3917" s="10"/>
    </row>
    <row r="3918" spans="20:20">
      <c r="T3918" s="10"/>
    </row>
    <row r="3919" spans="20:20">
      <c r="T3919" s="10"/>
    </row>
    <row r="3920" spans="20:20">
      <c r="T3920" s="10"/>
    </row>
    <row r="3921" spans="20:20">
      <c r="T3921" s="10"/>
    </row>
    <row r="3922" spans="20:20">
      <c r="T3922" s="10"/>
    </row>
    <row r="3923" spans="20:20">
      <c r="T3923" s="10"/>
    </row>
    <row r="3924" spans="20:20">
      <c r="T3924" s="10"/>
    </row>
    <row r="3925" spans="20:20">
      <c r="T3925" s="10"/>
    </row>
    <row r="3926" spans="20:20">
      <c r="T3926" s="10"/>
    </row>
    <row r="3927" spans="20:20">
      <c r="T3927" s="10"/>
    </row>
    <row r="3928" spans="20:20">
      <c r="T3928" s="10"/>
    </row>
    <row r="3929" spans="20:20">
      <c r="T3929" s="10"/>
    </row>
    <row r="3930" spans="20:20">
      <c r="T3930" s="10"/>
    </row>
    <row r="3931" spans="20:20">
      <c r="T3931" s="10"/>
    </row>
    <row r="3932" spans="20:20">
      <c r="T3932" s="10"/>
    </row>
    <row r="3933" spans="20:20">
      <c r="T3933" s="10"/>
    </row>
    <row r="3934" spans="20:20">
      <c r="T3934" s="10"/>
    </row>
    <row r="3935" spans="20:20">
      <c r="T3935" s="10"/>
    </row>
    <row r="3936" spans="20:20">
      <c r="T3936" s="10"/>
    </row>
    <row r="3937" spans="20:20">
      <c r="T3937" s="10"/>
    </row>
    <row r="3938" spans="20:20">
      <c r="T3938" s="10"/>
    </row>
    <row r="3939" spans="20:20">
      <c r="T3939" s="10"/>
    </row>
    <row r="3940" spans="20:20">
      <c r="T3940" s="10"/>
    </row>
    <row r="3941" spans="20:20">
      <c r="T3941" s="10"/>
    </row>
    <row r="3942" spans="20:20">
      <c r="T3942" s="10"/>
    </row>
    <row r="3943" spans="20:20">
      <c r="T3943" s="10"/>
    </row>
    <row r="3944" spans="20:20">
      <c r="T3944" s="10"/>
    </row>
    <row r="3945" spans="20:20">
      <c r="T3945" s="10"/>
    </row>
    <row r="3946" spans="20:20">
      <c r="T3946" s="10"/>
    </row>
    <row r="3947" spans="20:20">
      <c r="T3947" s="10"/>
    </row>
    <row r="3948" spans="20:20">
      <c r="T3948" s="10"/>
    </row>
    <row r="3949" spans="20:20">
      <c r="T3949" s="10"/>
    </row>
    <row r="3950" spans="20:20">
      <c r="T3950" s="10"/>
    </row>
    <row r="3951" spans="20:20">
      <c r="T3951" s="10"/>
    </row>
    <row r="3952" spans="20:20">
      <c r="T3952" s="10"/>
    </row>
    <row r="3953" spans="20:20">
      <c r="T3953" s="10"/>
    </row>
    <row r="3954" spans="20:20">
      <c r="T3954" s="10"/>
    </row>
    <row r="3955" spans="20:20">
      <c r="T3955" s="10"/>
    </row>
    <row r="3956" spans="20:20">
      <c r="T3956" s="10"/>
    </row>
    <row r="3957" spans="20:20">
      <c r="T3957" s="10"/>
    </row>
    <row r="3958" spans="20:20">
      <c r="T3958" s="10"/>
    </row>
    <row r="3959" spans="20:20">
      <c r="T3959" s="10"/>
    </row>
    <row r="3960" spans="20:20">
      <c r="T3960" s="10"/>
    </row>
    <row r="3961" spans="20:20">
      <c r="T3961" s="10"/>
    </row>
    <row r="3962" spans="20:20">
      <c r="T3962" s="10"/>
    </row>
    <row r="3963" spans="20:20">
      <c r="T3963" s="10"/>
    </row>
    <row r="3964" spans="20:20">
      <c r="T3964" s="10"/>
    </row>
    <row r="3965" spans="20:20">
      <c r="T3965" s="10"/>
    </row>
    <row r="3966" spans="20:20">
      <c r="T3966" s="10"/>
    </row>
    <row r="3967" spans="20:20">
      <c r="T3967" s="10"/>
    </row>
    <row r="3968" spans="20:20">
      <c r="T3968" s="10"/>
    </row>
    <row r="3969" spans="20:20">
      <c r="T3969" s="10"/>
    </row>
    <row r="3970" spans="20:20">
      <c r="T3970" s="10"/>
    </row>
    <row r="3971" spans="20:20">
      <c r="T3971" s="10"/>
    </row>
    <row r="3972" spans="20:20">
      <c r="T3972" s="10"/>
    </row>
    <row r="3973" spans="20:20">
      <c r="T3973" s="10"/>
    </row>
    <row r="3974" spans="20:20">
      <c r="T3974" s="10"/>
    </row>
    <row r="3975" spans="20:20">
      <c r="T3975" s="10"/>
    </row>
    <row r="3976" spans="20:20">
      <c r="T3976" s="10"/>
    </row>
    <row r="3977" spans="20:20">
      <c r="T3977" s="10"/>
    </row>
    <row r="3978" spans="20:20">
      <c r="T3978" s="10"/>
    </row>
    <row r="3979" spans="20:20">
      <c r="T3979" s="10"/>
    </row>
    <row r="3980" spans="20:20">
      <c r="T3980" s="10"/>
    </row>
    <row r="3981" spans="20:20">
      <c r="T3981" s="10"/>
    </row>
    <row r="3982" spans="20:20">
      <c r="T3982" s="10"/>
    </row>
    <row r="3983" spans="20:20">
      <c r="T3983" s="10"/>
    </row>
    <row r="3984" spans="20:20">
      <c r="T3984" s="10"/>
    </row>
    <row r="3985" spans="20:20">
      <c r="T3985" s="10"/>
    </row>
    <row r="3986" spans="20:20">
      <c r="T3986" s="10"/>
    </row>
    <row r="3987" spans="20:20">
      <c r="T3987" s="10"/>
    </row>
    <row r="3988" spans="20:20">
      <c r="T3988" s="10"/>
    </row>
    <row r="3989" spans="20:20">
      <c r="T3989" s="10"/>
    </row>
    <row r="3990" spans="20:20">
      <c r="T3990" s="10"/>
    </row>
    <row r="3991" spans="20:20">
      <c r="T3991" s="10"/>
    </row>
    <row r="3992" spans="20:20">
      <c r="T3992" s="10"/>
    </row>
    <row r="3993" spans="20:20">
      <c r="T3993" s="10"/>
    </row>
    <row r="3994" spans="20:20">
      <c r="T3994" s="10"/>
    </row>
    <row r="3995" spans="20:20">
      <c r="T3995" s="10"/>
    </row>
    <row r="3996" spans="20:20">
      <c r="T3996" s="10"/>
    </row>
    <row r="3997" spans="20:20">
      <c r="T3997" s="10"/>
    </row>
    <row r="3998" spans="20:20">
      <c r="T3998" s="10"/>
    </row>
    <row r="3999" spans="20:20">
      <c r="T3999" s="10"/>
    </row>
    <row r="4000" spans="20:20">
      <c r="T4000" s="10"/>
    </row>
    <row r="4001" spans="20:20">
      <c r="T4001" s="10"/>
    </row>
    <row r="4002" spans="20:20">
      <c r="T4002" s="10"/>
    </row>
    <row r="4003" spans="20:20">
      <c r="T4003" s="10"/>
    </row>
    <row r="4004" spans="20:20">
      <c r="T4004" s="10"/>
    </row>
    <row r="4005" spans="20:20">
      <c r="T4005" s="10"/>
    </row>
    <row r="4006" spans="20:20">
      <c r="T4006" s="10"/>
    </row>
    <row r="4007" spans="20:20">
      <c r="T4007" s="10"/>
    </row>
    <row r="4008" spans="20:20">
      <c r="T4008" s="10"/>
    </row>
    <row r="4009" spans="20:20">
      <c r="T4009" s="10"/>
    </row>
    <row r="4010" spans="20:20">
      <c r="T4010" s="10"/>
    </row>
    <row r="4011" spans="20:20">
      <c r="T4011" s="10"/>
    </row>
    <row r="4012" spans="20:20">
      <c r="T4012" s="10"/>
    </row>
    <row r="4013" spans="20:20">
      <c r="T4013" s="10"/>
    </row>
    <row r="4014" spans="20:20">
      <c r="T4014" s="10"/>
    </row>
    <row r="4015" spans="20:20">
      <c r="T4015" s="10"/>
    </row>
    <row r="4016" spans="20:20">
      <c r="T4016" s="10"/>
    </row>
    <row r="4017" spans="20:20">
      <c r="T4017" s="10"/>
    </row>
    <row r="4018" spans="20:20">
      <c r="T4018" s="10"/>
    </row>
    <row r="4019" spans="20:20">
      <c r="T4019" s="10"/>
    </row>
    <row r="4020" spans="20:20">
      <c r="T4020" s="10"/>
    </row>
    <row r="4021" spans="20:20">
      <c r="T4021" s="10"/>
    </row>
    <row r="4022" spans="20:20">
      <c r="T4022" s="10"/>
    </row>
    <row r="4023" spans="20:20">
      <c r="T4023" s="10"/>
    </row>
    <row r="4024" spans="20:20">
      <c r="T4024" s="10"/>
    </row>
    <row r="4025" spans="20:20">
      <c r="T4025" s="10"/>
    </row>
    <row r="4026" spans="20:20">
      <c r="T4026" s="10"/>
    </row>
    <row r="4027" spans="20:20">
      <c r="T4027" s="10"/>
    </row>
    <row r="4028" spans="20:20">
      <c r="T4028" s="10"/>
    </row>
    <row r="4029" spans="20:20">
      <c r="T4029" s="10"/>
    </row>
    <row r="4030" spans="20:20">
      <c r="T4030" s="10"/>
    </row>
    <row r="4031" spans="20:20">
      <c r="T4031" s="10"/>
    </row>
    <row r="4032" spans="20:20">
      <c r="T4032" s="10"/>
    </row>
    <row r="4033" spans="20:20">
      <c r="T4033" s="10"/>
    </row>
    <row r="4034" spans="20:20">
      <c r="T4034" s="10"/>
    </row>
    <row r="4035" spans="20:20">
      <c r="T4035" s="10"/>
    </row>
    <row r="4036" spans="20:20">
      <c r="T4036" s="10"/>
    </row>
    <row r="4037" spans="20:20">
      <c r="T4037" s="10"/>
    </row>
    <row r="4038" spans="20:20">
      <c r="T4038" s="10"/>
    </row>
    <row r="4039" spans="20:20">
      <c r="T4039" s="10"/>
    </row>
    <row r="4040" spans="20:20">
      <c r="T4040" s="10"/>
    </row>
    <row r="4041" spans="20:20">
      <c r="T4041" s="10"/>
    </row>
    <row r="4042" spans="20:20">
      <c r="T4042" s="10"/>
    </row>
    <row r="4043" spans="20:20">
      <c r="T4043" s="10"/>
    </row>
    <row r="4044" spans="20:20">
      <c r="T4044" s="10"/>
    </row>
    <row r="4045" spans="20:20">
      <c r="T4045" s="10"/>
    </row>
    <row r="4046" spans="20:20">
      <c r="T4046" s="10"/>
    </row>
    <row r="4047" spans="20:20">
      <c r="T4047" s="10"/>
    </row>
    <row r="4048" spans="20:20">
      <c r="T4048" s="10"/>
    </row>
    <row r="4049" spans="20:20">
      <c r="T4049" s="10"/>
    </row>
    <row r="4050" spans="20:20">
      <c r="T4050" s="10"/>
    </row>
    <row r="4051" spans="20:20">
      <c r="T4051" s="10"/>
    </row>
    <row r="4052" spans="20:20">
      <c r="T4052" s="10"/>
    </row>
    <row r="4053" spans="20:20">
      <c r="T4053" s="10"/>
    </row>
    <row r="4054" spans="20:20">
      <c r="T4054" s="10"/>
    </row>
    <row r="4055" spans="20:20">
      <c r="T4055" s="10"/>
    </row>
    <row r="4056" spans="20:20">
      <c r="T4056" s="10"/>
    </row>
    <row r="4057" spans="20:20">
      <c r="T4057" s="10"/>
    </row>
    <row r="4058" spans="20:20">
      <c r="T4058" s="10"/>
    </row>
    <row r="4059" spans="20:20">
      <c r="T4059" s="10"/>
    </row>
    <row r="4060" spans="20:20">
      <c r="T4060" s="10"/>
    </row>
    <row r="4061" spans="20:20">
      <c r="T4061" s="10"/>
    </row>
    <row r="4062" spans="20:20">
      <c r="T4062" s="10"/>
    </row>
    <row r="4063" spans="20:20">
      <c r="T4063" s="10"/>
    </row>
    <row r="4064" spans="20:20">
      <c r="T4064" s="10"/>
    </row>
    <row r="4065" spans="20:20">
      <c r="T4065" s="10"/>
    </row>
    <row r="4066" spans="20:20">
      <c r="T4066" s="10"/>
    </row>
    <row r="4067" spans="20:20">
      <c r="T4067" s="10"/>
    </row>
    <row r="4068" spans="20:20">
      <c r="T4068" s="10"/>
    </row>
    <row r="4069" spans="20:20">
      <c r="T4069" s="10"/>
    </row>
    <row r="4070" spans="20:20">
      <c r="T4070" s="10"/>
    </row>
    <row r="4071" spans="20:20">
      <c r="T4071" s="10"/>
    </row>
    <row r="4072" spans="20:20">
      <c r="T4072" s="10"/>
    </row>
    <row r="4073" spans="20:20">
      <c r="T4073" s="10"/>
    </row>
    <row r="4074" spans="20:20">
      <c r="T4074" s="10"/>
    </row>
    <row r="4075" spans="20:20">
      <c r="T4075" s="10"/>
    </row>
    <row r="4076" spans="20:20">
      <c r="T4076" s="10"/>
    </row>
    <row r="4077" spans="20:20">
      <c r="T4077" s="10"/>
    </row>
    <row r="4078" spans="20:20">
      <c r="T4078" s="10"/>
    </row>
    <row r="4079" spans="20:20">
      <c r="T4079" s="10"/>
    </row>
    <row r="4080" spans="20:20">
      <c r="T4080" s="10"/>
    </row>
    <row r="4081" spans="20:20">
      <c r="T4081" s="10"/>
    </row>
    <row r="4082" spans="20:20">
      <c r="T4082" s="10"/>
    </row>
    <row r="4083" spans="20:20">
      <c r="T4083" s="10"/>
    </row>
    <row r="4084" spans="20:20">
      <c r="T4084" s="10"/>
    </row>
    <row r="4085" spans="20:20">
      <c r="T4085" s="10"/>
    </row>
    <row r="4086" spans="20:20">
      <c r="T4086" s="10"/>
    </row>
    <row r="4087" spans="20:20">
      <c r="T4087" s="10"/>
    </row>
    <row r="4088" spans="20:20">
      <c r="T4088" s="10"/>
    </row>
    <row r="4089" spans="20:20">
      <c r="T4089" s="10"/>
    </row>
    <row r="4090" spans="20:20">
      <c r="T4090" s="10"/>
    </row>
    <row r="4091" spans="20:20">
      <c r="T4091" s="10"/>
    </row>
    <row r="4092" spans="20:20">
      <c r="T4092" s="10"/>
    </row>
    <row r="4093" spans="20:20">
      <c r="T4093" s="10"/>
    </row>
    <row r="4094" spans="20:20">
      <c r="T4094" s="10"/>
    </row>
    <row r="4095" spans="20:20">
      <c r="T4095" s="10"/>
    </row>
    <row r="4096" spans="20:20">
      <c r="T4096" s="10"/>
    </row>
    <row r="4097" spans="20:20">
      <c r="T4097" s="10"/>
    </row>
    <row r="4098" spans="20:20">
      <c r="T4098" s="10"/>
    </row>
    <row r="4099" spans="20:20">
      <c r="T4099" s="10"/>
    </row>
    <row r="4100" spans="20:20">
      <c r="T4100" s="10"/>
    </row>
    <row r="4101" spans="20:20">
      <c r="T4101" s="10"/>
    </row>
    <row r="4102" spans="20:20">
      <c r="T4102" s="10"/>
    </row>
    <row r="4103" spans="20:20">
      <c r="T4103" s="10"/>
    </row>
    <row r="4104" spans="20:20">
      <c r="T4104" s="10"/>
    </row>
    <row r="4105" spans="20:20">
      <c r="T4105" s="10"/>
    </row>
    <row r="4106" spans="20:20">
      <c r="T4106" s="10"/>
    </row>
    <row r="4107" spans="20:20">
      <c r="T4107" s="10"/>
    </row>
    <row r="4108" spans="20:20">
      <c r="T4108" s="10"/>
    </row>
    <row r="4109" spans="20:20">
      <c r="T4109" s="10"/>
    </row>
    <row r="4110" spans="20:20">
      <c r="T4110" s="10"/>
    </row>
    <row r="4111" spans="20:20">
      <c r="T4111" s="10"/>
    </row>
    <row r="4112" spans="20:20">
      <c r="T4112" s="10"/>
    </row>
    <row r="4113" spans="20:20">
      <c r="T4113" s="10"/>
    </row>
    <row r="4114" spans="20:20">
      <c r="T4114" s="10"/>
    </row>
    <row r="4115" spans="20:20">
      <c r="T4115" s="10"/>
    </row>
    <row r="4116" spans="20:20">
      <c r="T4116" s="10"/>
    </row>
    <row r="4117" spans="20:20">
      <c r="T4117" s="10"/>
    </row>
    <row r="4118" spans="20:20">
      <c r="T4118" s="10"/>
    </row>
    <row r="4119" spans="20:20">
      <c r="T4119" s="10"/>
    </row>
    <row r="4120" spans="20:20">
      <c r="T4120" s="10"/>
    </row>
    <row r="4121" spans="20:20">
      <c r="T4121" s="10"/>
    </row>
    <row r="4122" spans="20:20">
      <c r="T4122" s="10"/>
    </row>
    <row r="4123" spans="20:20">
      <c r="T4123" s="10"/>
    </row>
    <row r="4124" spans="20:20">
      <c r="T4124" s="10"/>
    </row>
    <row r="4125" spans="20:20">
      <c r="T4125" s="10"/>
    </row>
    <row r="4126" spans="20:20">
      <c r="T4126" s="10"/>
    </row>
    <row r="4127" spans="20:20">
      <c r="T4127" s="10"/>
    </row>
    <row r="4128" spans="20:20">
      <c r="T4128" s="10"/>
    </row>
    <row r="4129" spans="20:20">
      <c r="T4129" s="10"/>
    </row>
    <row r="4130" spans="20:20">
      <c r="T4130" s="10"/>
    </row>
    <row r="4131" spans="20:20">
      <c r="T4131" s="10"/>
    </row>
    <row r="4132" spans="20:20">
      <c r="T4132" s="10"/>
    </row>
    <row r="4133" spans="20:20">
      <c r="T4133" s="10"/>
    </row>
    <row r="4134" spans="20:20">
      <c r="T4134" s="10"/>
    </row>
    <row r="4135" spans="20:20">
      <c r="T4135" s="10"/>
    </row>
    <row r="4136" spans="20:20">
      <c r="T4136" s="10"/>
    </row>
    <row r="4137" spans="20:20">
      <c r="T4137" s="10"/>
    </row>
    <row r="4138" spans="20:20">
      <c r="T4138" s="10"/>
    </row>
    <row r="4139" spans="20:20">
      <c r="T4139" s="10"/>
    </row>
    <row r="4140" spans="20:20">
      <c r="T4140" s="10"/>
    </row>
    <row r="4141" spans="20:20">
      <c r="T4141" s="10"/>
    </row>
    <row r="4142" spans="20:20">
      <c r="T4142" s="10"/>
    </row>
    <row r="4143" spans="20:20">
      <c r="T4143" s="10"/>
    </row>
    <row r="4144" spans="20:20">
      <c r="T4144" s="10"/>
    </row>
    <row r="4145" spans="20:20">
      <c r="T4145" s="10"/>
    </row>
    <row r="4146" spans="20:20">
      <c r="T4146" s="10"/>
    </row>
    <row r="4147" spans="20:20">
      <c r="T4147" s="10"/>
    </row>
    <row r="4148" spans="20:20">
      <c r="T4148" s="10"/>
    </row>
    <row r="4149" spans="20:20">
      <c r="T4149" s="10"/>
    </row>
    <row r="4150" spans="20:20">
      <c r="T4150" s="10"/>
    </row>
    <row r="4151" spans="20:20">
      <c r="T4151" s="10"/>
    </row>
    <row r="4152" spans="20:20">
      <c r="T4152" s="10"/>
    </row>
    <row r="4153" spans="20:20">
      <c r="T4153" s="10"/>
    </row>
    <row r="4154" spans="20:20">
      <c r="T4154" s="10"/>
    </row>
    <row r="4155" spans="20:20">
      <c r="T4155" s="10"/>
    </row>
    <row r="4156" spans="20:20">
      <c r="T4156" s="10"/>
    </row>
    <row r="4157" spans="20:20">
      <c r="T4157" s="10"/>
    </row>
    <row r="4158" spans="20:20">
      <c r="T4158" s="10"/>
    </row>
    <row r="4159" spans="20:20">
      <c r="T4159" s="10"/>
    </row>
    <row r="4160" spans="20:20">
      <c r="T4160" s="10"/>
    </row>
    <row r="4161" spans="20:20">
      <c r="T4161" s="10"/>
    </row>
    <row r="4162" spans="20:20">
      <c r="T4162" s="10"/>
    </row>
    <row r="4163" spans="20:20">
      <c r="T4163" s="10"/>
    </row>
    <row r="4164" spans="20:20">
      <c r="T4164" s="10"/>
    </row>
    <row r="4165" spans="20:20">
      <c r="T4165" s="10"/>
    </row>
    <row r="4166" spans="20:20">
      <c r="T4166" s="10"/>
    </row>
    <row r="4167" spans="20:20">
      <c r="T4167" s="10"/>
    </row>
    <row r="4168" spans="20:20">
      <c r="T4168" s="10"/>
    </row>
    <row r="4169" spans="20:20">
      <c r="T4169" s="10"/>
    </row>
    <row r="4170" spans="20:20">
      <c r="T4170" s="10"/>
    </row>
    <row r="4171" spans="20:20">
      <c r="T4171" s="10"/>
    </row>
    <row r="4172" spans="20:20">
      <c r="T4172" s="10"/>
    </row>
    <row r="4173" spans="20:20">
      <c r="T4173" s="10"/>
    </row>
    <row r="4174" spans="20:20">
      <c r="T4174" s="10"/>
    </row>
    <row r="4175" spans="20:20">
      <c r="T4175" s="10"/>
    </row>
    <row r="4176" spans="20:20">
      <c r="T4176" s="10"/>
    </row>
    <row r="4177" spans="20:20">
      <c r="T4177" s="10"/>
    </row>
    <row r="4178" spans="20:20">
      <c r="T4178" s="10"/>
    </row>
    <row r="4179" spans="20:20">
      <c r="T4179" s="10"/>
    </row>
    <row r="4180" spans="20:20">
      <c r="T4180" s="10"/>
    </row>
    <row r="4181" spans="20:20">
      <c r="T4181" s="10"/>
    </row>
    <row r="4182" spans="20:20">
      <c r="T4182" s="10"/>
    </row>
    <row r="4183" spans="20:20">
      <c r="T4183" s="10"/>
    </row>
    <row r="4184" spans="20:20">
      <c r="T4184" s="10"/>
    </row>
    <row r="4185" spans="20:20">
      <c r="T4185" s="10"/>
    </row>
    <row r="4186" spans="20:20">
      <c r="T4186" s="10"/>
    </row>
    <row r="4187" spans="20:20">
      <c r="T4187" s="10"/>
    </row>
    <row r="4188" spans="20:20">
      <c r="T4188" s="10"/>
    </row>
    <row r="4189" spans="20:20">
      <c r="T4189" s="10"/>
    </row>
    <row r="4190" spans="20:20">
      <c r="T4190" s="10"/>
    </row>
    <row r="4191" spans="20:20">
      <c r="T4191" s="10"/>
    </row>
    <row r="4192" spans="20:20">
      <c r="T4192" s="10"/>
    </row>
    <row r="4193" spans="20:20">
      <c r="T4193" s="10"/>
    </row>
    <row r="4194" spans="20:20">
      <c r="T4194" s="10"/>
    </row>
    <row r="4195" spans="20:20">
      <c r="T4195" s="10"/>
    </row>
    <row r="4196" spans="20:20">
      <c r="T4196" s="10"/>
    </row>
    <row r="4197" spans="20:20">
      <c r="T4197" s="10"/>
    </row>
    <row r="4198" spans="20:20">
      <c r="T4198" s="10"/>
    </row>
    <row r="4199" spans="20:20">
      <c r="T4199" s="10"/>
    </row>
    <row r="4200" spans="20:20">
      <c r="T4200" s="10"/>
    </row>
    <row r="4201" spans="20:20">
      <c r="T4201" s="10"/>
    </row>
    <row r="4202" spans="20:20">
      <c r="T4202" s="10"/>
    </row>
    <row r="4203" spans="20:20">
      <c r="T4203" s="10"/>
    </row>
    <row r="4204" spans="20:20">
      <c r="T4204" s="10"/>
    </row>
    <row r="4205" spans="20:20">
      <c r="T4205" s="10"/>
    </row>
    <row r="4206" spans="20:20">
      <c r="T4206" s="10"/>
    </row>
    <row r="4207" spans="20:20">
      <c r="T4207" s="10"/>
    </row>
    <row r="4208" spans="20:20">
      <c r="T4208" s="10"/>
    </row>
    <row r="4209" spans="20:20">
      <c r="T4209" s="10"/>
    </row>
    <row r="4210" spans="20:20">
      <c r="T4210" s="10"/>
    </row>
    <row r="4211" spans="20:20">
      <c r="T4211" s="10"/>
    </row>
    <row r="4212" spans="20:20">
      <c r="T4212" s="10"/>
    </row>
    <row r="4213" spans="20:20">
      <c r="T4213" s="10"/>
    </row>
    <row r="4214" spans="20:20">
      <c r="T4214" s="10"/>
    </row>
    <row r="4215" spans="20:20">
      <c r="T4215" s="10"/>
    </row>
    <row r="4216" spans="20:20">
      <c r="T4216" s="10"/>
    </row>
    <row r="4217" spans="20:20">
      <c r="T4217" s="10"/>
    </row>
    <row r="4218" spans="20:20">
      <c r="T4218" s="10"/>
    </row>
    <row r="4219" spans="20:20">
      <c r="T4219" s="10"/>
    </row>
    <row r="4220" spans="20:20">
      <c r="T4220" s="10"/>
    </row>
    <row r="4221" spans="20:20">
      <c r="T4221" s="10"/>
    </row>
    <row r="4222" spans="20:20">
      <c r="T4222" s="10"/>
    </row>
    <row r="4223" spans="20:20">
      <c r="T4223" s="10"/>
    </row>
    <row r="4224" spans="20:20">
      <c r="T4224" s="10"/>
    </row>
    <row r="4225" spans="20:20">
      <c r="T4225" s="10"/>
    </row>
    <row r="4226" spans="20:20">
      <c r="T4226" s="10"/>
    </row>
    <row r="4227" spans="20:20">
      <c r="T4227" s="10"/>
    </row>
    <row r="4228" spans="20:20">
      <c r="T4228" s="10"/>
    </row>
    <row r="4229" spans="20:20">
      <c r="T4229" s="10"/>
    </row>
    <row r="4230" spans="20:20">
      <c r="T4230" s="10"/>
    </row>
    <row r="4231" spans="20:20">
      <c r="T4231" s="10"/>
    </row>
    <row r="4232" spans="20:20">
      <c r="T4232" s="10"/>
    </row>
    <row r="4233" spans="20:20">
      <c r="T4233" s="10"/>
    </row>
    <row r="4234" spans="20:20">
      <c r="T4234" s="10"/>
    </row>
    <row r="4235" spans="20:20">
      <c r="T4235" s="10"/>
    </row>
    <row r="4236" spans="20:20">
      <c r="T4236" s="10"/>
    </row>
    <row r="4237" spans="20:20">
      <c r="T4237" s="10"/>
    </row>
    <row r="4238" spans="20:20">
      <c r="T4238" s="10"/>
    </row>
    <row r="4239" spans="20:20">
      <c r="T4239" s="10"/>
    </row>
    <row r="4240" spans="20:20">
      <c r="T4240" s="10"/>
    </row>
    <row r="4241" spans="20:20">
      <c r="T4241" s="10"/>
    </row>
    <row r="4242" spans="20:20">
      <c r="T4242" s="10"/>
    </row>
    <row r="4243" spans="20:20">
      <c r="T4243" s="10"/>
    </row>
    <row r="4244" spans="20:20">
      <c r="T4244" s="10"/>
    </row>
    <row r="4245" spans="20:20">
      <c r="T4245" s="10"/>
    </row>
    <row r="4246" spans="20:20">
      <c r="T4246" s="10"/>
    </row>
    <row r="4247" spans="20:20">
      <c r="T4247" s="10"/>
    </row>
    <row r="4248" spans="20:20">
      <c r="T4248" s="10"/>
    </row>
    <row r="4249" spans="20:20">
      <c r="T4249" s="10"/>
    </row>
    <row r="4250" spans="20:20">
      <c r="T4250" s="10"/>
    </row>
    <row r="4251" spans="20:20">
      <c r="T4251" s="10"/>
    </row>
    <row r="4252" spans="20:20">
      <c r="T4252" s="10"/>
    </row>
    <row r="4253" spans="20:20">
      <c r="T4253" s="10"/>
    </row>
    <row r="4254" spans="20:20">
      <c r="T4254" s="10"/>
    </row>
    <row r="4255" spans="20:20">
      <c r="T4255" s="10"/>
    </row>
    <row r="4256" spans="20:20">
      <c r="T4256" s="10"/>
    </row>
    <row r="4257" spans="20:20">
      <c r="T4257" s="10"/>
    </row>
    <row r="4258" spans="20:20">
      <c r="T4258" s="10"/>
    </row>
    <row r="4259" spans="20:20">
      <c r="T4259" s="10"/>
    </row>
    <row r="4260" spans="20:20">
      <c r="T4260" s="10"/>
    </row>
    <row r="4261" spans="20:20">
      <c r="T4261" s="10"/>
    </row>
    <row r="4262" spans="20:20">
      <c r="T4262" s="10"/>
    </row>
    <row r="4263" spans="20:20">
      <c r="T4263" s="10"/>
    </row>
    <row r="4264" spans="20:20">
      <c r="T4264" s="10"/>
    </row>
    <row r="4265" spans="20:20">
      <c r="T4265" s="10"/>
    </row>
    <row r="4266" spans="20:20">
      <c r="T4266" s="10"/>
    </row>
    <row r="4267" spans="20:20">
      <c r="T4267" s="10"/>
    </row>
    <row r="4268" spans="20:20">
      <c r="T4268" s="10"/>
    </row>
    <row r="4269" spans="20:20">
      <c r="T4269" s="10"/>
    </row>
    <row r="4270" spans="20:20">
      <c r="T4270" s="10"/>
    </row>
    <row r="4271" spans="20:20">
      <c r="T4271" s="10"/>
    </row>
    <row r="4272" spans="20:20">
      <c r="T4272" s="10"/>
    </row>
    <row r="4273" spans="20:20">
      <c r="T4273" s="10"/>
    </row>
    <row r="4274" spans="20:20">
      <c r="T4274" s="10"/>
    </row>
    <row r="4275" spans="20:20">
      <c r="T4275" s="10"/>
    </row>
    <row r="4276" spans="20:20">
      <c r="T4276" s="10"/>
    </row>
    <row r="4277" spans="20:20">
      <c r="T4277" s="10"/>
    </row>
    <row r="4278" spans="20:20">
      <c r="T4278" s="10"/>
    </row>
    <row r="4279" spans="20:20">
      <c r="T4279" s="10"/>
    </row>
    <row r="4280" spans="20:20">
      <c r="T4280" s="10"/>
    </row>
    <row r="4281" spans="20:20">
      <c r="T4281" s="10"/>
    </row>
    <row r="4282" spans="20:20">
      <c r="T4282" s="10"/>
    </row>
    <row r="4283" spans="20:20">
      <c r="T4283" s="10"/>
    </row>
    <row r="4284" spans="20:20">
      <c r="T4284" s="10"/>
    </row>
    <row r="4285" spans="20:20">
      <c r="T4285" s="10"/>
    </row>
    <row r="4286" spans="20:20">
      <c r="T4286" s="10"/>
    </row>
    <row r="4287" spans="20:20">
      <c r="T4287" s="10"/>
    </row>
    <row r="4288" spans="20:20">
      <c r="T4288" s="10"/>
    </row>
    <row r="4289" spans="20:20">
      <c r="T4289" s="10"/>
    </row>
    <row r="4290" spans="20:20">
      <c r="T4290" s="10"/>
    </row>
    <row r="4291" spans="20:20">
      <c r="T4291" s="10"/>
    </row>
    <row r="4292" spans="20:20">
      <c r="T4292" s="10"/>
    </row>
    <row r="4293" spans="20:20">
      <c r="T4293" s="10"/>
    </row>
    <row r="4294" spans="20:20">
      <c r="T4294" s="10"/>
    </row>
    <row r="4295" spans="20:20">
      <c r="T4295" s="10"/>
    </row>
    <row r="4296" spans="20:20">
      <c r="T4296" s="10"/>
    </row>
    <row r="4297" spans="20:20">
      <c r="T4297" s="10"/>
    </row>
    <row r="4298" spans="20:20">
      <c r="T4298" s="10"/>
    </row>
    <row r="4299" spans="20:20">
      <c r="T4299" s="10"/>
    </row>
    <row r="4300" spans="20:20">
      <c r="T4300" s="10"/>
    </row>
    <row r="4301" spans="20:20">
      <c r="T4301" s="10"/>
    </row>
    <row r="4302" spans="20:20">
      <c r="T4302" s="10"/>
    </row>
    <row r="4303" spans="20:20">
      <c r="T4303" s="10"/>
    </row>
    <row r="4304" spans="20:20">
      <c r="T4304" s="10"/>
    </row>
    <row r="4305" spans="20:20">
      <c r="T4305" s="10"/>
    </row>
    <row r="4306" spans="20:20">
      <c r="T4306" s="10"/>
    </row>
    <row r="4307" spans="20:20">
      <c r="T4307" s="10"/>
    </row>
    <row r="4308" spans="20:20">
      <c r="T4308" s="10"/>
    </row>
    <row r="4309" spans="20:20">
      <c r="T4309" s="10"/>
    </row>
    <row r="4310" spans="20:20">
      <c r="T4310" s="10"/>
    </row>
    <row r="4311" spans="20:20">
      <c r="T4311" s="10"/>
    </row>
    <row r="4312" spans="20:20">
      <c r="T4312" s="10"/>
    </row>
    <row r="4313" spans="20:20">
      <c r="T4313" s="10"/>
    </row>
    <row r="4314" spans="20:20">
      <c r="T4314" s="10"/>
    </row>
    <row r="4315" spans="20:20">
      <c r="T4315" s="10"/>
    </row>
    <row r="4316" spans="20:20">
      <c r="T4316" s="10"/>
    </row>
    <row r="4317" spans="20:20">
      <c r="T4317" s="10"/>
    </row>
    <row r="4318" spans="20:20">
      <c r="T4318" s="10"/>
    </row>
    <row r="4319" spans="20:20">
      <c r="T4319" s="10"/>
    </row>
    <row r="4320" spans="20:20">
      <c r="T4320" s="10"/>
    </row>
    <row r="4321" spans="20:20">
      <c r="T4321" s="10"/>
    </row>
    <row r="4322" spans="20:20">
      <c r="T4322" s="10"/>
    </row>
    <row r="4323" spans="20:20">
      <c r="T4323" s="10"/>
    </row>
    <row r="4324" spans="20:20">
      <c r="T4324" s="10"/>
    </row>
    <row r="4325" spans="20:20">
      <c r="T4325" s="10"/>
    </row>
    <row r="4326" spans="20:20">
      <c r="T4326" s="10"/>
    </row>
    <row r="4327" spans="20:20">
      <c r="T4327" s="10"/>
    </row>
    <row r="4328" spans="20:20">
      <c r="T4328" s="10"/>
    </row>
    <row r="4329" spans="20:20">
      <c r="T4329" s="10"/>
    </row>
    <row r="4330" spans="20:20">
      <c r="T4330" s="10"/>
    </row>
    <row r="4331" spans="20:20">
      <c r="T4331" s="10"/>
    </row>
    <row r="4332" spans="20:20">
      <c r="T4332" s="10"/>
    </row>
    <row r="4333" spans="20:20">
      <c r="T4333" s="10"/>
    </row>
    <row r="4334" spans="20:20">
      <c r="T4334" s="10"/>
    </row>
    <row r="4335" spans="20:20">
      <c r="T4335" s="10"/>
    </row>
    <row r="4336" spans="20:20">
      <c r="T4336" s="10"/>
    </row>
    <row r="4337" spans="20:20">
      <c r="T4337" s="10"/>
    </row>
    <row r="4338" spans="20:20">
      <c r="T4338" s="10"/>
    </row>
    <row r="4339" spans="20:20">
      <c r="T4339" s="10"/>
    </row>
    <row r="4340" spans="20:20">
      <c r="T4340" s="10"/>
    </row>
    <row r="4341" spans="20:20">
      <c r="T4341" s="10"/>
    </row>
    <row r="4342" spans="20:20">
      <c r="T4342" s="10"/>
    </row>
    <row r="4343" spans="20:20">
      <c r="T4343" s="10"/>
    </row>
    <row r="4344" spans="20:20">
      <c r="T4344" s="10"/>
    </row>
    <row r="4345" spans="20:20">
      <c r="T4345" s="10"/>
    </row>
    <row r="4346" spans="20:20">
      <c r="T4346" s="10"/>
    </row>
    <row r="4347" spans="20:20">
      <c r="T4347" s="10"/>
    </row>
    <row r="4348" spans="20:20">
      <c r="T4348" s="10"/>
    </row>
    <row r="4349" spans="20:20">
      <c r="T4349" s="10"/>
    </row>
    <row r="4350" spans="20:20">
      <c r="T4350" s="10"/>
    </row>
    <row r="4351" spans="20:20">
      <c r="T4351" s="10"/>
    </row>
    <row r="4352" spans="20:20">
      <c r="T4352" s="10"/>
    </row>
    <row r="4353" spans="20:20">
      <c r="T4353" s="10"/>
    </row>
    <row r="4354" spans="20:20">
      <c r="T4354" s="10"/>
    </row>
    <row r="4355" spans="20:20">
      <c r="T4355" s="10"/>
    </row>
    <row r="4356" spans="20:20">
      <c r="T4356" s="10"/>
    </row>
    <row r="4357" spans="20:20">
      <c r="T4357" s="10"/>
    </row>
    <row r="4358" spans="20:20">
      <c r="T4358" s="10"/>
    </row>
    <row r="4359" spans="20:20">
      <c r="T4359" s="10"/>
    </row>
    <row r="4360" spans="20:20">
      <c r="T4360" s="10"/>
    </row>
    <row r="4361" spans="20:20">
      <c r="T4361" s="10"/>
    </row>
    <row r="4362" spans="20:20">
      <c r="T4362" s="10"/>
    </row>
    <row r="4363" spans="20:20">
      <c r="T4363" s="10"/>
    </row>
    <row r="4364" spans="20:20">
      <c r="T4364" s="10"/>
    </row>
    <row r="4365" spans="20:20">
      <c r="T4365" s="10"/>
    </row>
    <row r="4366" spans="20:20">
      <c r="T4366" s="10"/>
    </row>
    <row r="4367" spans="20:20">
      <c r="T4367" s="10"/>
    </row>
    <row r="4368" spans="20:20">
      <c r="T4368" s="10"/>
    </row>
    <row r="4369" spans="20:20">
      <c r="T4369" s="10"/>
    </row>
    <row r="4370" spans="20:20">
      <c r="T4370" s="10"/>
    </row>
    <row r="4371" spans="20:20">
      <c r="T4371" s="10"/>
    </row>
    <row r="4372" spans="20:20">
      <c r="T4372" s="10"/>
    </row>
    <row r="4373" spans="20:20">
      <c r="T4373" s="10"/>
    </row>
    <row r="4374" spans="20:20">
      <c r="T4374" s="10"/>
    </row>
    <row r="4375" spans="20:20">
      <c r="T4375" s="10"/>
    </row>
    <row r="4376" spans="20:20">
      <c r="T4376" s="10"/>
    </row>
    <row r="4377" spans="20:20">
      <c r="T4377" s="10"/>
    </row>
    <row r="4378" spans="20:20">
      <c r="T4378" s="10"/>
    </row>
    <row r="4379" spans="20:20">
      <c r="T4379" s="10"/>
    </row>
    <row r="4380" spans="20:20">
      <c r="T4380" s="10"/>
    </row>
    <row r="4381" spans="20:20">
      <c r="T4381" s="10"/>
    </row>
    <row r="4382" spans="20:20">
      <c r="T4382" s="10"/>
    </row>
    <row r="4383" spans="20:20">
      <c r="T4383" s="10"/>
    </row>
    <row r="4384" spans="20:20">
      <c r="T4384" s="10"/>
    </row>
    <row r="4385" spans="20:20">
      <c r="T4385" s="10"/>
    </row>
    <row r="4386" spans="20:20">
      <c r="T4386" s="10"/>
    </row>
    <row r="4387" spans="20:20">
      <c r="T4387" s="10"/>
    </row>
    <row r="4388" spans="20:20">
      <c r="T4388" s="10"/>
    </row>
    <row r="4389" spans="20:20">
      <c r="T4389" s="10"/>
    </row>
    <row r="4390" spans="20:20">
      <c r="T4390" s="10"/>
    </row>
    <row r="4391" spans="20:20">
      <c r="T4391" s="10"/>
    </row>
    <row r="4392" spans="20:20">
      <c r="T4392" s="10"/>
    </row>
    <row r="4393" spans="20:20">
      <c r="T4393" s="10"/>
    </row>
    <row r="4394" spans="20:20">
      <c r="T4394" s="10"/>
    </row>
    <row r="4395" spans="20:20">
      <c r="T4395" s="10"/>
    </row>
    <row r="4396" spans="20:20">
      <c r="T4396" s="10"/>
    </row>
    <row r="4397" spans="20:20">
      <c r="T4397" s="10"/>
    </row>
    <row r="4398" spans="20:20">
      <c r="T4398" s="10"/>
    </row>
    <row r="4399" spans="20:20">
      <c r="T4399" s="10"/>
    </row>
    <row r="4400" spans="20:20">
      <c r="T4400" s="10"/>
    </row>
    <row r="4401" spans="20:20">
      <c r="T4401" s="10"/>
    </row>
    <row r="4402" spans="20:20">
      <c r="T4402" s="10"/>
    </row>
    <row r="4403" spans="20:20">
      <c r="T4403" s="10"/>
    </row>
    <row r="4404" spans="20:20">
      <c r="T4404" s="10"/>
    </row>
    <row r="4405" spans="20:20">
      <c r="T4405" s="10"/>
    </row>
    <row r="4406" spans="20:20">
      <c r="T4406" s="10"/>
    </row>
    <row r="4407" spans="20:20">
      <c r="T4407" s="10"/>
    </row>
    <row r="4408" spans="20:20">
      <c r="T4408" s="10"/>
    </row>
    <row r="4409" spans="20:20">
      <c r="T4409" s="10"/>
    </row>
    <row r="4410" spans="20:20">
      <c r="T4410" s="10"/>
    </row>
    <row r="4411" spans="20:20">
      <c r="T4411" s="10"/>
    </row>
    <row r="4412" spans="20:20">
      <c r="T4412" s="10"/>
    </row>
    <row r="4413" spans="20:20">
      <c r="T4413" s="10"/>
    </row>
    <row r="4414" spans="20:20">
      <c r="T4414" s="10"/>
    </row>
    <row r="4415" spans="20:20">
      <c r="T4415" s="10"/>
    </row>
    <row r="4416" spans="20:20">
      <c r="T4416" s="10"/>
    </row>
    <row r="4417" spans="20:20">
      <c r="T4417" s="10"/>
    </row>
    <row r="4418" spans="20:20">
      <c r="T4418" s="10"/>
    </row>
    <row r="4419" spans="20:20">
      <c r="T4419" s="10"/>
    </row>
    <row r="4420" spans="20:20">
      <c r="T4420" s="10"/>
    </row>
    <row r="4421" spans="20:20">
      <c r="T4421" s="10"/>
    </row>
    <row r="4422" spans="20:20">
      <c r="T4422" s="10"/>
    </row>
    <row r="4423" spans="20:20">
      <c r="T4423" s="10"/>
    </row>
    <row r="4424" spans="20:20">
      <c r="T4424" s="10"/>
    </row>
    <row r="4425" spans="20:20">
      <c r="T4425" s="10"/>
    </row>
    <row r="4426" spans="20:20">
      <c r="T4426" s="10"/>
    </row>
    <row r="4427" spans="20:20">
      <c r="T4427" s="10"/>
    </row>
    <row r="4428" spans="20:20">
      <c r="T4428" s="10"/>
    </row>
    <row r="4429" spans="20:20">
      <c r="T4429" s="10"/>
    </row>
    <row r="4430" spans="20:20">
      <c r="T4430" s="10"/>
    </row>
    <row r="4431" spans="20:20">
      <c r="T4431" s="10"/>
    </row>
    <row r="4432" spans="20:20">
      <c r="T4432" s="10"/>
    </row>
    <row r="4433" spans="20:20">
      <c r="T4433" s="10"/>
    </row>
    <row r="4434" spans="20:20">
      <c r="T4434" s="10"/>
    </row>
    <row r="4435" spans="20:20">
      <c r="T4435" s="10"/>
    </row>
    <row r="4436" spans="20:20">
      <c r="T4436" s="10"/>
    </row>
    <row r="4437" spans="20:20">
      <c r="T4437" s="10"/>
    </row>
    <row r="4438" spans="20:20">
      <c r="T4438" s="10"/>
    </row>
    <row r="4439" spans="20:20">
      <c r="T4439" s="10"/>
    </row>
    <row r="4440" spans="20:20">
      <c r="T4440" s="10"/>
    </row>
    <row r="4441" spans="20:20">
      <c r="T4441" s="10"/>
    </row>
    <row r="4442" spans="20:20">
      <c r="T4442" s="10"/>
    </row>
    <row r="4443" spans="20:20">
      <c r="T4443" s="10"/>
    </row>
    <row r="4444" spans="20:20">
      <c r="T4444" s="10"/>
    </row>
    <row r="4445" spans="20:20">
      <c r="T4445" s="10"/>
    </row>
    <row r="4446" spans="20:20">
      <c r="T4446" s="10"/>
    </row>
    <row r="4447" spans="20:20">
      <c r="T4447" s="10"/>
    </row>
    <row r="4448" spans="20:20">
      <c r="T4448" s="10"/>
    </row>
    <row r="4449" spans="20:20">
      <c r="T4449" s="10"/>
    </row>
    <row r="4450" spans="20:20">
      <c r="T4450" s="10"/>
    </row>
    <row r="4451" spans="20:20">
      <c r="T4451" s="10"/>
    </row>
    <row r="4452" spans="20:20">
      <c r="T4452" s="10"/>
    </row>
    <row r="4453" spans="20:20">
      <c r="T4453" s="10"/>
    </row>
    <row r="4454" spans="20:20">
      <c r="T4454" s="10"/>
    </row>
    <row r="4455" spans="20:20">
      <c r="T4455" s="10"/>
    </row>
    <row r="4456" spans="20:20">
      <c r="T4456" s="10"/>
    </row>
    <row r="4457" spans="20:20">
      <c r="T4457" s="10"/>
    </row>
    <row r="4458" spans="20:20">
      <c r="T4458" s="10"/>
    </row>
    <row r="4459" spans="20:20">
      <c r="T4459" s="10"/>
    </row>
    <row r="4460" spans="20:20">
      <c r="T4460" s="10"/>
    </row>
    <row r="4461" spans="20:20">
      <c r="T4461" s="10"/>
    </row>
    <row r="4462" spans="20:20">
      <c r="T4462" s="10"/>
    </row>
    <row r="4463" spans="20:20">
      <c r="T4463" s="10"/>
    </row>
    <row r="4464" spans="20:20">
      <c r="T4464" s="10"/>
    </row>
    <row r="4465" spans="20:20">
      <c r="T4465" s="10"/>
    </row>
    <row r="4466" spans="20:20">
      <c r="T4466" s="10"/>
    </row>
    <row r="4467" spans="20:20">
      <c r="T4467" s="10"/>
    </row>
    <row r="4468" spans="20:20">
      <c r="T4468" s="10"/>
    </row>
    <row r="4469" spans="20:20">
      <c r="T4469" s="10"/>
    </row>
    <row r="4470" spans="20:20">
      <c r="T4470" s="10"/>
    </row>
    <row r="4471" spans="20:20">
      <c r="T4471" s="10"/>
    </row>
    <row r="4472" spans="20:20">
      <c r="T4472" s="10"/>
    </row>
    <row r="4473" spans="20:20">
      <c r="T4473" s="10"/>
    </row>
    <row r="4474" spans="20:20">
      <c r="T4474" s="10"/>
    </row>
    <row r="4475" spans="20:20">
      <c r="T4475" s="10"/>
    </row>
    <row r="4476" spans="20:20">
      <c r="T4476" s="10"/>
    </row>
    <row r="4477" spans="20:20">
      <c r="T4477" s="10"/>
    </row>
    <row r="4478" spans="20:20">
      <c r="T4478" s="10"/>
    </row>
    <row r="4479" spans="20:20">
      <c r="T4479" s="10"/>
    </row>
    <row r="4480" spans="20:20">
      <c r="T4480" s="10"/>
    </row>
    <row r="4481" spans="20:20">
      <c r="T4481" s="10"/>
    </row>
    <row r="4482" spans="20:20">
      <c r="T4482" s="10"/>
    </row>
    <row r="4483" spans="20:20">
      <c r="T4483" s="10"/>
    </row>
    <row r="4484" spans="20:20">
      <c r="T4484" s="10"/>
    </row>
    <row r="4485" spans="20:20">
      <c r="T4485" s="10"/>
    </row>
    <row r="4486" spans="20:20">
      <c r="T4486" s="10"/>
    </row>
    <row r="4487" spans="20:20">
      <c r="T4487" s="10"/>
    </row>
    <row r="4488" spans="20:20">
      <c r="T4488" s="10"/>
    </row>
    <row r="4489" spans="20:20">
      <c r="T4489" s="10"/>
    </row>
    <row r="4490" spans="20:20">
      <c r="T4490" s="10"/>
    </row>
    <row r="4491" spans="20:20">
      <c r="T4491" s="10"/>
    </row>
    <row r="4492" spans="20:20">
      <c r="T4492" s="10"/>
    </row>
    <row r="4493" spans="20:20">
      <c r="T4493" s="10"/>
    </row>
    <row r="4494" spans="20:20">
      <c r="T4494" s="10"/>
    </row>
    <row r="4495" spans="20:20">
      <c r="T4495" s="10"/>
    </row>
    <row r="4496" spans="20:20">
      <c r="T4496" s="10"/>
    </row>
    <row r="4497" spans="20:20">
      <c r="T4497" s="10"/>
    </row>
    <row r="4498" spans="20:20">
      <c r="T4498" s="10"/>
    </row>
    <row r="4499" spans="20:20">
      <c r="T4499" s="10"/>
    </row>
    <row r="4500" spans="20:20">
      <c r="T4500" s="10"/>
    </row>
    <row r="4501" spans="20:20">
      <c r="T4501" s="10"/>
    </row>
    <row r="4502" spans="20:20">
      <c r="T4502" s="10"/>
    </row>
    <row r="4503" spans="20:20">
      <c r="T4503" s="10"/>
    </row>
    <row r="4504" spans="20:20">
      <c r="T4504" s="10"/>
    </row>
    <row r="4505" spans="20:20">
      <c r="T4505" s="10"/>
    </row>
    <row r="4506" spans="20:20">
      <c r="T4506" s="10"/>
    </row>
    <row r="4507" spans="20:20">
      <c r="T4507" s="10"/>
    </row>
    <row r="4508" spans="20:20">
      <c r="T4508" s="10"/>
    </row>
    <row r="4509" spans="20:20">
      <c r="T4509" s="10"/>
    </row>
    <row r="4510" spans="20:20">
      <c r="T4510" s="10"/>
    </row>
    <row r="4511" spans="20:20">
      <c r="T4511" s="10"/>
    </row>
    <row r="4512" spans="20:20">
      <c r="T4512" s="10"/>
    </row>
    <row r="4513" spans="20:20">
      <c r="T4513" s="10"/>
    </row>
    <row r="4514" spans="20:20">
      <c r="T4514" s="10"/>
    </row>
    <row r="4515" spans="20:20">
      <c r="T4515" s="10"/>
    </row>
    <row r="4516" spans="20:20">
      <c r="T4516" s="10"/>
    </row>
    <row r="4517" spans="20:20">
      <c r="T4517" s="10"/>
    </row>
    <row r="4518" spans="20:20">
      <c r="T4518" s="10"/>
    </row>
    <row r="4519" spans="20:20">
      <c r="T4519" s="10"/>
    </row>
    <row r="4520" spans="20:20">
      <c r="T4520" s="10"/>
    </row>
    <row r="4521" spans="20:20">
      <c r="T4521" s="10"/>
    </row>
    <row r="4522" spans="20:20">
      <c r="T4522" s="10"/>
    </row>
    <row r="4523" spans="20:20">
      <c r="T4523" s="10"/>
    </row>
    <row r="4524" spans="20:20">
      <c r="T4524" s="10"/>
    </row>
    <row r="4525" spans="20:20">
      <c r="T4525" s="10"/>
    </row>
    <row r="4526" spans="20:20">
      <c r="T4526" s="10"/>
    </row>
    <row r="4527" spans="20:20">
      <c r="T4527" s="10"/>
    </row>
    <row r="4528" spans="20:20">
      <c r="T4528" s="10"/>
    </row>
    <row r="4529" spans="20:20">
      <c r="T4529" s="10"/>
    </row>
    <row r="4530" spans="20:20">
      <c r="T4530" s="10"/>
    </row>
    <row r="4531" spans="20:20">
      <c r="T4531" s="10"/>
    </row>
    <row r="4532" spans="20:20">
      <c r="T4532" s="10"/>
    </row>
    <row r="4533" spans="20:20">
      <c r="T4533" s="10"/>
    </row>
    <row r="4534" spans="20:20">
      <c r="T4534" s="10"/>
    </row>
    <row r="4535" spans="20:20">
      <c r="T4535" s="10"/>
    </row>
    <row r="4536" spans="20:20">
      <c r="T4536" s="10"/>
    </row>
    <row r="4537" spans="20:20">
      <c r="T4537" s="10"/>
    </row>
    <row r="4538" spans="20:20">
      <c r="T4538" s="10"/>
    </row>
    <row r="4539" spans="20:20">
      <c r="T4539" s="10"/>
    </row>
    <row r="4540" spans="20:20">
      <c r="T4540" s="10"/>
    </row>
    <row r="4541" spans="20:20">
      <c r="T4541" s="10"/>
    </row>
    <row r="4542" spans="20:20">
      <c r="T4542" s="10"/>
    </row>
    <row r="4543" spans="20:20">
      <c r="T4543" s="10"/>
    </row>
    <row r="4544" spans="20:20">
      <c r="T4544" s="10"/>
    </row>
    <row r="4545" spans="20:20">
      <c r="T4545" s="10"/>
    </row>
    <row r="4546" spans="20:20">
      <c r="T4546" s="10"/>
    </row>
    <row r="4547" spans="20:20">
      <c r="T4547" s="10"/>
    </row>
    <row r="4548" spans="20:20">
      <c r="T4548" s="10"/>
    </row>
    <row r="4549" spans="20:20">
      <c r="T4549" s="10"/>
    </row>
    <row r="4550" spans="20:20">
      <c r="T4550" s="10"/>
    </row>
    <row r="4551" spans="20:20">
      <c r="T4551" s="10"/>
    </row>
    <row r="4552" spans="20:20">
      <c r="T4552" s="10"/>
    </row>
    <row r="4553" spans="20:20">
      <c r="T4553" s="10"/>
    </row>
    <row r="4554" spans="20:20">
      <c r="T4554" s="10"/>
    </row>
    <row r="4555" spans="20:20">
      <c r="T4555" s="10"/>
    </row>
    <row r="4556" spans="20:20">
      <c r="T4556" s="10"/>
    </row>
    <row r="4557" spans="20:20">
      <c r="T4557" s="10"/>
    </row>
    <row r="4558" spans="20:20">
      <c r="T4558" s="10"/>
    </row>
    <row r="4559" spans="20:20">
      <c r="T4559" s="10"/>
    </row>
    <row r="4560" spans="20:20">
      <c r="T4560" s="10"/>
    </row>
    <row r="4561" spans="20:20">
      <c r="T4561" s="10"/>
    </row>
    <row r="4562" spans="20:20">
      <c r="T4562" s="10"/>
    </row>
    <row r="4563" spans="20:20">
      <c r="T4563" s="10"/>
    </row>
    <row r="4564" spans="20:20">
      <c r="T4564" s="10"/>
    </row>
    <row r="4565" spans="20:20">
      <c r="T4565" s="10"/>
    </row>
    <row r="4566" spans="20:20">
      <c r="T4566" s="10"/>
    </row>
    <row r="4567" spans="20:20">
      <c r="T4567" s="10"/>
    </row>
    <row r="4568" spans="20:20">
      <c r="T4568" s="10"/>
    </row>
    <row r="4569" spans="20:20">
      <c r="T4569" s="10"/>
    </row>
    <row r="4570" spans="20:20">
      <c r="T4570" s="10"/>
    </row>
    <row r="4571" spans="20:20">
      <c r="T4571" s="10"/>
    </row>
    <row r="4572" spans="20:20">
      <c r="T4572" s="10"/>
    </row>
    <row r="4573" spans="20:20">
      <c r="T4573" s="10"/>
    </row>
    <row r="4574" spans="20:20">
      <c r="T4574" s="10"/>
    </row>
    <row r="4575" spans="20:20">
      <c r="T4575" s="10"/>
    </row>
    <row r="4576" spans="20:20">
      <c r="T4576" s="10"/>
    </row>
    <row r="4577" spans="20:20">
      <c r="T4577" s="10"/>
    </row>
    <row r="4578" spans="20:20">
      <c r="T4578" s="10"/>
    </row>
    <row r="4579" spans="20:20">
      <c r="T4579" s="10"/>
    </row>
    <row r="4580" spans="20:20">
      <c r="T4580" s="10"/>
    </row>
    <row r="4581" spans="20:20">
      <c r="T4581" s="10"/>
    </row>
    <row r="4582" spans="20:20">
      <c r="T4582" s="10"/>
    </row>
    <row r="4583" spans="20:20">
      <c r="T4583" s="10"/>
    </row>
    <row r="4584" spans="20:20">
      <c r="T4584" s="10"/>
    </row>
    <row r="4585" spans="20:20">
      <c r="T4585" s="10"/>
    </row>
    <row r="4586" spans="20:20">
      <c r="T4586" s="10"/>
    </row>
    <row r="4587" spans="20:20">
      <c r="T4587" s="10"/>
    </row>
    <row r="4588" spans="20:20">
      <c r="T4588" s="10"/>
    </row>
    <row r="4589" spans="20:20">
      <c r="T4589" s="10"/>
    </row>
    <row r="4590" spans="20:20">
      <c r="T4590" s="10"/>
    </row>
    <row r="4591" spans="20:20">
      <c r="T4591" s="10"/>
    </row>
    <row r="4592" spans="20:20">
      <c r="T4592" s="10"/>
    </row>
    <row r="4593" spans="20:20">
      <c r="T4593" s="10"/>
    </row>
    <row r="4594" spans="20:20">
      <c r="T4594" s="10"/>
    </row>
    <row r="4595" spans="20:20">
      <c r="T4595" s="10"/>
    </row>
    <row r="4596" spans="20:20">
      <c r="T4596" s="10"/>
    </row>
    <row r="4597" spans="20:20">
      <c r="T4597" s="10"/>
    </row>
    <row r="4598" spans="20:20">
      <c r="T4598" s="10"/>
    </row>
    <row r="4599" spans="20:20">
      <c r="T4599" s="10"/>
    </row>
    <row r="4600" spans="20:20">
      <c r="T4600" s="10"/>
    </row>
    <row r="4601" spans="20:20">
      <c r="T4601" s="10"/>
    </row>
    <row r="4602" spans="20:20">
      <c r="T4602" s="10"/>
    </row>
    <row r="4603" spans="20:20">
      <c r="T4603" s="10"/>
    </row>
    <row r="4604" spans="20:20">
      <c r="T4604" s="10"/>
    </row>
    <row r="4605" spans="20:20">
      <c r="T4605" s="10"/>
    </row>
    <row r="4606" spans="20:20">
      <c r="T4606" s="10"/>
    </row>
    <row r="4607" spans="20:20">
      <c r="T4607" s="10"/>
    </row>
    <row r="4608" spans="20:20">
      <c r="T4608" s="10"/>
    </row>
    <row r="4609" spans="20:20">
      <c r="T4609" s="10"/>
    </row>
    <row r="4610" spans="20:20">
      <c r="T4610" s="10"/>
    </row>
    <row r="4611" spans="20:20">
      <c r="T4611" s="10"/>
    </row>
    <row r="4612" spans="20:20">
      <c r="T4612" s="10"/>
    </row>
    <row r="4613" spans="20:20">
      <c r="T4613" s="10"/>
    </row>
    <row r="4614" spans="20:20">
      <c r="T4614" s="10"/>
    </row>
    <row r="4615" spans="20:20">
      <c r="T4615" s="10"/>
    </row>
    <row r="4616" spans="20:20">
      <c r="T4616" s="10"/>
    </row>
    <row r="4617" spans="20:20">
      <c r="T4617" s="10"/>
    </row>
    <row r="4618" spans="20:20">
      <c r="T4618" s="10"/>
    </row>
    <row r="4619" spans="20:20">
      <c r="T4619" s="10"/>
    </row>
    <row r="4620" spans="20:20">
      <c r="T4620" s="10"/>
    </row>
    <row r="4621" spans="20:20">
      <c r="T4621" s="10"/>
    </row>
    <row r="4622" spans="20:20">
      <c r="T4622" s="10"/>
    </row>
    <row r="4623" spans="20:20">
      <c r="T4623" s="10"/>
    </row>
    <row r="4624" spans="20:20">
      <c r="T4624" s="10"/>
    </row>
    <row r="4625" spans="20:20">
      <c r="T4625" s="10"/>
    </row>
    <row r="4626" spans="20:20">
      <c r="T4626" s="10"/>
    </row>
    <row r="4627" spans="20:20">
      <c r="T4627" s="10"/>
    </row>
    <row r="4628" spans="20:20">
      <c r="T4628" s="10"/>
    </row>
    <row r="4629" spans="20:20">
      <c r="T4629" s="10"/>
    </row>
    <row r="4630" spans="20:20">
      <c r="T4630" s="10"/>
    </row>
    <row r="4631" spans="20:20">
      <c r="T4631" s="10"/>
    </row>
    <row r="4632" spans="20:20">
      <c r="T4632" s="10"/>
    </row>
    <row r="4633" spans="20:20">
      <c r="T4633" s="10"/>
    </row>
    <row r="4634" spans="20:20">
      <c r="T4634" s="10"/>
    </row>
    <row r="4635" spans="20:20">
      <c r="T4635" s="10"/>
    </row>
    <row r="4636" spans="20:20">
      <c r="T4636" s="10"/>
    </row>
    <row r="4637" spans="20:20">
      <c r="T4637" s="10"/>
    </row>
    <row r="4638" spans="20:20">
      <c r="T4638" s="10"/>
    </row>
    <row r="4639" spans="20:20">
      <c r="T4639" s="10"/>
    </row>
    <row r="4640" spans="20:20">
      <c r="T4640" s="10"/>
    </row>
    <row r="4641" spans="20:20">
      <c r="T4641" s="10"/>
    </row>
    <row r="4642" spans="20:20">
      <c r="T4642" s="10"/>
    </row>
    <row r="4643" spans="20:20">
      <c r="T4643" s="10"/>
    </row>
    <row r="4644" spans="20:20">
      <c r="T4644" s="10"/>
    </row>
    <row r="4645" spans="20:20">
      <c r="T4645" s="10"/>
    </row>
    <row r="4646" spans="20:20">
      <c r="T4646" s="10"/>
    </row>
    <row r="4647" spans="20:20">
      <c r="T4647" s="10"/>
    </row>
    <row r="4648" spans="20:20">
      <c r="T4648" s="10"/>
    </row>
    <row r="4649" spans="20:20">
      <c r="T4649" s="10"/>
    </row>
    <row r="4650" spans="20:20">
      <c r="T4650" s="10"/>
    </row>
    <row r="4651" spans="20:20">
      <c r="T4651" s="10"/>
    </row>
    <row r="4652" spans="20:20">
      <c r="T4652" s="10"/>
    </row>
    <row r="4653" spans="20:20">
      <c r="T4653" s="10"/>
    </row>
    <row r="4654" spans="20:20">
      <c r="T4654" s="10"/>
    </row>
    <row r="4655" spans="20:20">
      <c r="T4655" s="10"/>
    </row>
    <row r="4656" spans="20:20">
      <c r="T4656" s="10"/>
    </row>
    <row r="4657" spans="20:20">
      <c r="T4657" s="10"/>
    </row>
    <row r="4658" spans="20:20">
      <c r="T4658" s="10"/>
    </row>
    <row r="4659" spans="20:20">
      <c r="T4659" s="10"/>
    </row>
    <row r="4660" spans="20:20">
      <c r="T4660" s="10"/>
    </row>
    <row r="4661" spans="20:20">
      <c r="T4661" s="10"/>
    </row>
    <row r="4662" spans="20:20">
      <c r="T4662" s="10"/>
    </row>
    <row r="4663" spans="20:20">
      <c r="T4663" s="10"/>
    </row>
    <row r="4664" spans="20:20">
      <c r="T4664" s="10"/>
    </row>
    <row r="4665" spans="20:20">
      <c r="T4665" s="10"/>
    </row>
    <row r="4666" spans="20:20">
      <c r="T4666" s="10"/>
    </row>
    <row r="4667" spans="20:20">
      <c r="T4667" s="10"/>
    </row>
    <row r="4668" spans="20:20">
      <c r="T4668" s="10"/>
    </row>
    <row r="4669" spans="20:20">
      <c r="T4669" s="10"/>
    </row>
    <row r="4670" spans="20:20">
      <c r="T4670" s="10"/>
    </row>
    <row r="4671" spans="20:20">
      <c r="T4671" s="10"/>
    </row>
    <row r="4672" spans="20:20">
      <c r="T4672" s="10"/>
    </row>
    <row r="4673" spans="20:20">
      <c r="T4673" s="10"/>
    </row>
    <row r="4674" spans="20:20">
      <c r="T4674" s="10"/>
    </row>
    <row r="4675" spans="20:20">
      <c r="T4675" s="10"/>
    </row>
    <row r="4676" spans="20:20">
      <c r="T4676" s="10"/>
    </row>
    <row r="4677" spans="20:20">
      <c r="T4677" s="10"/>
    </row>
    <row r="4678" spans="20:20">
      <c r="T4678" s="10"/>
    </row>
    <row r="4679" spans="20:20">
      <c r="T4679" s="10"/>
    </row>
    <row r="4680" spans="20:20">
      <c r="T4680" s="10"/>
    </row>
    <row r="4681" spans="20:20">
      <c r="T4681" s="10"/>
    </row>
    <row r="4682" spans="20:20">
      <c r="T4682" s="10"/>
    </row>
    <row r="4683" spans="20:20">
      <c r="T4683" s="10"/>
    </row>
    <row r="4684" spans="20:20">
      <c r="T4684" s="10"/>
    </row>
    <row r="4685" spans="20:20">
      <c r="T4685" s="10"/>
    </row>
    <row r="4686" spans="20:20">
      <c r="T4686" s="10"/>
    </row>
    <row r="4687" spans="20:20">
      <c r="T4687" s="10"/>
    </row>
    <row r="4688" spans="20:20">
      <c r="T4688" s="10"/>
    </row>
    <row r="4689" spans="20:20">
      <c r="T4689" s="10"/>
    </row>
    <row r="4690" spans="20:20">
      <c r="T4690" s="10"/>
    </row>
    <row r="4691" spans="20:20">
      <c r="T4691" s="10"/>
    </row>
    <row r="4692" spans="20:20">
      <c r="T4692" s="10"/>
    </row>
    <row r="4693" spans="20:20">
      <c r="T4693" s="10"/>
    </row>
    <row r="4694" spans="20:20">
      <c r="T4694" s="10"/>
    </row>
    <row r="4695" spans="20:20">
      <c r="T4695" s="10"/>
    </row>
    <row r="4696" spans="20:20">
      <c r="T4696" s="10"/>
    </row>
    <row r="4697" spans="20:20">
      <c r="T4697" s="10"/>
    </row>
    <row r="4698" spans="20:20">
      <c r="T4698" s="10"/>
    </row>
    <row r="4699" spans="20:20">
      <c r="T4699" s="10"/>
    </row>
    <row r="4700" spans="20:20">
      <c r="T4700" s="10"/>
    </row>
    <row r="4701" spans="20:20">
      <c r="T4701" s="10"/>
    </row>
    <row r="4702" spans="20:20">
      <c r="T4702" s="10"/>
    </row>
    <row r="4703" spans="20:20">
      <c r="T4703" s="10"/>
    </row>
    <row r="4704" spans="20:20">
      <c r="T4704" s="10"/>
    </row>
    <row r="4705" spans="20:20">
      <c r="T4705" s="10"/>
    </row>
    <row r="4706" spans="20:20">
      <c r="T4706" s="10"/>
    </row>
    <row r="4707" spans="20:20">
      <c r="T4707" s="10"/>
    </row>
    <row r="4708" spans="20:20">
      <c r="T4708" s="10"/>
    </row>
    <row r="4709" spans="20:20">
      <c r="T4709" s="10"/>
    </row>
    <row r="4710" spans="20:20">
      <c r="T4710" s="10"/>
    </row>
    <row r="4711" spans="20:20">
      <c r="T4711" s="10"/>
    </row>
    <row r="4712" spans="20:20">
      <c r="T4712" s="10"/>
    </row>
    <row r="4713" spans="20:20">
      <c r="T4713" s="10"/>
    </row>
    <row r="4714" spans="20:20">
      <c r="T4714" s="10"/>
    </row>
    <row r="4715" spans="20:20">
      <c r="T4715" s="10"/>
    </row>
    <row r="4716" spans="20:20">
      <c r="T4716" s="10"/>
    </row>
    <row r="4717" spans="20:20">
      <c r="T4717" s="10"/>
    </row>
    <row r="4718" spans="20:20">
      <c r="T4718" s="10"/>
    </row>
    <row r="4719" spans="20:20">
      <c r="T4719" s="10"/>
    </row>
    <row r="4720" spans="20:20">
      <c r="T4720" s="10"/>
    </row>
    <row r="4721" spans="20:20">
      <c r="T4721" s="10"/>
    </row>
    <row r="4722" spans="20:20">
      <c r="T4722" s="10"/>
    </row>
    <row r="4723" spans="20:20">
      <c r="T4723" s="10"/>
    </row>
    <row r="4724" spans="20:20">
      <c r="T4724" s="10"/>
    </row>
    <row r="4725" spans="20:20">
      <c r="T4725" s="10"/>
    </row>
    <row r="4726" spans="20:20">
      <c r="T4726" s="10"/>
    </row>
    <row r="4727" spans="20:20">
      <c r="T4727" s="10"/>
    </row>
    <row r="4728" spans="20:20">
      <c r="T4728" s="10"/>
    </row>
    <row r="4729" spans="20:20">
      <c r="T4729" s="10"/>
    </row>
    <row r="4730" spans="20:20">
      <c r="T4730" s="10"/>
    </row>
    <row r="4731" spans="20:20">
      <c r="T4731" s="10"/>
    </row>
    <row r="4732" spans="20:20">
      <c r="T4732" s="10"/>
    </row>
    <row r="4733" spans="20:20">
      <c r="T4733" s="10"/>
    </row>
    <row r="4734" spans="20:20">
      <c r="T4734" s="10"/>
    </row>
    <row r="4735" spans="20:20">
      <c r="T4735" s="10"/>
    </row>
    <row r="4736" spans="20:20">
      <c r="T4736" s="10"/>
    </row>
    <row r="4737" spans="20:20">
      <c r="T4737" s="10"/>
    </row>
    <row r="4738" spans="20:20">
      <c r="T4738" s="10"/>
    </row>
    <row r="4739" spans="20:20">
      <c r="T4739" s="10"/>
    </row>
    <row r="4740" spans="20:20">
      <c r="T4740" s="10"/>
    </row>
    <row r="4741" spans="20:20">
      <c r="T4741" s="10"/>
    </row>
    <row r="4742" spans="20:20">
      <c r="T4742" s="10"/>
    </row>
    <row r="4743" spans="20:20">
      <c r="T4743" s="10"/>
    </row>
    <row r="4744" spans="20:20">
      <c r="T4744" s="10"/>
    </row>
    <row r="4745" spans="20:20">
      <c r="T4745" s="10"/>
    </row>
    <row r="4746" spans="20:20">
      <c r="T4746" s="10"/>
    </row>
    <row r="4747" spans="20:20">
      <c r="T4747" s="10"/>
    </row>
    <row r="4748" spans="20:20">
      <c r="T4748" s="10"/>
    </row>
    <row r="4749" spans="20:20">
      <c r="T4749" s="10"/>
    </row>
    <row r="4750" spans="20:20">
      <c r="T4750" s="10"/>
    </row>
    <row r="4751" spans="20:20">
      <c r="T4751" s="10"/>
    </row>
    <row r="4752" spans="20:20">
      <c r="T4752" s="10"/>
    </row>
    <row r="4753" spans="20:20">
      <c r="T4753" s="10"/>
    </row>
    <row r="4754" spans="20:20">
      <c r="T4754" s="10"/>
    </row>
    <row r="4755" spans="20:20">
      <c r="T4755" s="10"/>
    </row>
    <row r="4756" spans="20:20">
      <c r="T4756" s="10"/>
    </row>
    <row r="4757" spans="20:20">
      <c r="T4757" s="10"/>
    </row>
    <row r="4758" spans="20:20">
      <c r="T4758" s="10"/>
    </row>
    <row r="4759" spans="20:20">
      <c r="T4759" s="10"/>
    </row>
    <row r="4760" spans="20:20">
      <c r="T4760" s="10"/>
    </row>
    <row r="4761" spans="20:20">
      <c r="T4761" s="10"/>
    </row>
    <row r="4762" spans="20:20">
      <c r="T4762" s="10"/>
    </row>
    <row r="4763" spans="20:20">
      <c r="T4763" s="10"/>
    </row>
    <row r="4764" spans="20:20">
      <c r="T4764" s="10"/>
    </row>
    <row r="4765" spans="20:20">
      <c r="T4765" s="10"/>
    </row>
    <row r="4766" spans="20:20">
      <c r="T4766" s="10"/>
    </row>
    <row r="4767" spans="20:20">
      <c r="T4767" s="10"/>
    </row>
    <row r="4768" spans="20:20">
      <c r="T4768" s="10"/>
    </row>
    <row r="4769" spans="20:20">
      <c r="T4769" s="10"/>
    </row>
    <row r="4770" spans="20:20">
      <c r="T4770" s="10"/>
    </row>
    <row r="4771" spans="20:20">
      <c r="T4771" s="10"/>
    </row>
    <row r="4772" spans="20:20">
      <c r="T4772" s="10"/>
    </row>
    <row r="4773" spans="20:20">
      <c r="T4773" s="10"/>
    </row>
    <row r="4774" spans="20:20">
      <c r="T4774" s="10"/>
    </row>
    <row r="4775" spans="20:20">
      <c r="T4775" s="10"/>
    </row>
    <row r="4776" spans="20:20">
      <c r="T4776" s="10"/>
    </row>
    <row r="4777" spans="20:20">
      <c r="T4777" s="10"/>
    </row>
    <row r="4778" spans="20:20">
      <c r="T4778" s="10"/>
    </row>
    <row r="4779" spans="20:20">
      <c r="T4779" s="10"/>
    </row>
    <row r="4780" spans="20:20">
      <c r="T4780" s="10"/>
    </row>
    <row r="4781" spans="20:20">
      <c r="T4781" s="10"/>
    </row>
    <row r="4782" spans="20:20">
      <c r="T4782" s="10"/>
    </row>
    <row r="4783" spans="20:20">
      <c r="T4783" s="10"/>
    </row>
    <row r="4784" spans="20:20">
      <c r="T4784" s="10"/>
    </row>
    <row r="4785" spans="20:20">
      <c r="T4785" s="10"/>
    </row>
    <row r="4786" spans="20:20">
      <c r="T4786" s="10"/>
    </row>
    <row r="4787" spans="20:20">
      <c r="T4787" s="10"/>
    </row>
    <row r="4788" spans="20:20">
      <c r="T4788" s="10"/>
    </row>
    <row r="4789" spans="20:20">
      <c r="T4789" s="10"/>
    </row>
    <row r="4790" spans="20:20">
      <c r="T4790" s="10"/>
    </row>
    <row r="4791" spans="20:20">
      <c r="T4791" s="10"/>
    </row>
    <row r="4792" spans="20:20">
      <c r="T4792" s="10"/>
    </row>
    <row r="4793" spans="20:20">
      <c r="T4793" s="10"/>
    </row>
    <row r="4794" spans="20:20">
      <c r="T4794" s="10"/>
    </row>
    <row r="4795" spans="20:20">
      <c r="T4795" s="10"/>
    </row>
    <row r="4796" spans="20:20">
      <c r="T4796" s="10"/>
    </row>
    <row r="4797" spans="20:20">
      <c r="T4797" s="10"/>
    </row>
    <row r="4798" spans="20:20">
      <c r="T4798" s="10"/>
    </row>
    <row r="4799" spans="20:20">
      <c r="T4799" s="10"/>
    </row>
    <row r="4800" spans="20:20">
      <c r="T4800" s="10"/>
    </row>
    <row r="4801" spans="20:20">
      <c r="T4801" s="10"/>
    </row>
    <row r="4802" spans="20:20">
      <c r="T4802" s="10"/>
    </row>
    <row r="4803" spans="20:20">
      <c r="T4803" s="10"/>
    </row>
    <row r="4804" spans="20:20">
      <c r="T4804" s="10"/>
    </row>
    <row r="4805" spans="20:20">
      <c r="T4805" s="10"/>
    </row>
    <row r="4806" spans="20:20">
      <c r="T4806" s="10"/>
    </row>
    <row r="4807" spans="20:20">
      <c r="T4807" s="10"/>
    </row>
    <row r="4808" spans="20:20">
      <c r="T4808" s="10"/>
    </row>
    <row r="4809" spans="20:20">
      <c r="T4809" s="10"/>
    </row>
    <row r="4810" spans="20:20">
      <c r="T4810" s="10"/>
    </row>
    <row r="4811" spans="20:20">
      <c r="T4811" s="10"/>
    </row>
    <row r="4812" spans="20:20">
      <c r="T4812" s="10"/>
    </row>
    <row r="4813" spans="20:20">
      <c r="T4813" s="10"/>
    </row>
    <row r="4814" spans="20:20">
      <c r="T4814" s="10"/>
    </row>
    <row r="4815" spans="20:20">
      <c r="T4815" s="10"/>
    </row>
    <row r="4816" spans="20:20">
      <c r="T4816" s="10"/>
    </row>
    <row r="4817" spans="20:20">
      <c r="T4817" s="10"/>
    </row>
    <row r="4818" spans="20:20">
      <c r="T4818" s="10"/>
    </row>
    <row r="4819" spans="20:20">
      <c r="T4819" s="10"/>
    </row>
    <row r="4820" spans="20:20">
      <c r="T4820" s="10"/>
    </row>
    <row r="4821" spans="20:20">
      <c r="T4821" s="10"/>
    </row>
    <row r="4822" spans="20:20">
      <c r="T4822" s="10"/>
    </row>
    <row r="4823" spans="20:20">
      <c r="T4823" s="10"/>
    </row>
    <row r="4824" spans="20:20">
      <c r="T4824" s="10"/>
    </row>
    <row r="4825" spans="20:20">
      <c r="T4825" s="10"/>
    </row>
    <row r="4826" spans="20:20">
      <c r="T4826" s="10"/>
    </row>
    <row r="4827" spans="20:20">
      <c r="T4827" s="10"/>
    </row>
    <row r="4828" spans="20:20">
      <c r="T4828" s="10"/>
    </row>
    <row r="4829" spans="20:20">
      <c r="T4829" s="10"/>
    </row>
    <row r="4830" spans="20:20">
      <c r="T4830" s="10"/>
    </row>
    <row r="4831" spans="20:20">
      <c r="T4831" s="10"/>
    </row>
    <row r="4832" spans="20:20">
      <c r="T4832" s="10"/>
    </row>
    <row r="4833" spans="20:20">
      <c r="T4833" s="10"/>
    </row>
    <row r="4834" spans="20:20">
      <c r="T4834" s="10"/>
    </row>
    <row r="4835" spans="20:20">
      <c r="T4835" s="10"/>
    </row>
    <row r="4836" spans="20:20">
      <c r="T4836" s="10"/>
    </row>
    <row r="4837" spans="20:20">
      <c r="T4837" s="10"/>
    </row>
    <row r="4838" spans="20:20">
      <c r="T4838" s="10"/>
    </row>
    <row r="4839" spans="20:20">
      <c r="T4839" s="10"/>
    </row>
    <row r="4840" spans="20:20">
      <c r="T4840" s="10"/>
    </row>
    <row r="4841" spans="20:20">
      <c r="T4841" s="10"/>
    </row>
    <row r="4842" spans="20:20">
      <c r="T4842" s="10"/>
    </row>
    <row r="4843" spans="20:20">
      <c r="T4843" s="10"/>
    </row>
    <row r="4844" spans="20:20">
      <c r="T4844" s="10"/>
    </row>
    <row r="4845" spans="20:20">
      <c r="T4845" s="10"/>
    </row>
    <row r="4846" spans="20:20">
      <c r="T4846" s="10"/>
    </row>
    <row r="4847" spans="20:20">
      <c r="T4847" s="10"/>
    </row>
    <row r="4848" spans="20:20">
      <c r="T4848" s="10"/>
    </row>
    <row r="4849" spans="20:20">
      <c r="T4849" s="10"/>
    </row>
    <row r="4850" spans="20:20">
      <c r="T4850" s="10"/>
    </row>
    <row r="4851" spans="20:20">
      <c r="T4851" s="10"/>
    </row>
    <row r="4852" spans="20:20">
      <c r="T4852" s="10"/>
    </row>
    <row r="4853" spans="20:20">
      <c r="T4853" s="10"/>
    </row>
    <row r="4854" spans="20:20">
      <c r="T4854" s="10"/>
    </row>
    <row r="4855" spans="20:20">
      <c r="T4855" s="10"/>
    </row>
    <row r="4856" spans="20:20">
      <c r="T4856" s="10"/>
    </row>
    <row r="4857" spans="20:20">
      <c r="T4857" s="10"/>
    </row>
    <row r="4858" spans="20:20">
      <c r="T4858" s="10"/>
    </row>
    <row r="4859" spans="20:20">
      <c r="T4859" s="10"/>
    </row>
    <row r="4860" spans="20:20">
      <c r="T4860" s="10"/>
    </row>
    <row r="4861" spans="20:20">
      <c r="T4861" s="10"/>
    </row>
    <row r="4862" spans="20:20">
      <c r="T4862" s="10"/>
    </row>
    <row r="4863" spans="20:20">
      <c r="T4863" s="10"/>
    </row>
    <row r="4864" spans="20:20">
      <c r="T4864" s="10"/>
    </row>
    <row r="4865" spans="20:20">
      <c r="T4865" s="10"/>
    </row>
    <row r="4866" spans="20:20">
      <c r="T4866" s="10"/>
    </row>
    <row r="4867" spans="20:20">
      <c r="T4867" s="10"/>
    </row>
    <row r="4868" spans="20:20">
      <c r="T4868" s="10"/>
    </row>
    <row r="4869" spans="20:20">
      <c r="T4869" s="10"/>
    </row>
    <row r="4870" spans="20:20">
      <c r="T4870" s="10"/>
    </row>
    <row r="4871" spans="20:20">
      <c r="T4871" s="10"/>
    </row>
    <row r="4872" spans="20:20">
      <c r="T4872" s="10"/>
    </row>
    <row r="4873" spans="20:20">
      <c r="T4873" s="10"/>
    </row>
    <row r="4874" spans="20:20">
      <c r="T4874" s="10"/>
    </row>
    <row r="4875" spans="20:20">
      <c r="T4875" s="10"/>
    </row>
    <row r="4876" spans="20:20">
      <c r="T4876" s="10"/>
    </row>
    <row r="4877" spans="20:20">
      <c r="T4877" s="10"/>
    </row>
    <row r="4878" spans="20:20">
      <c r="T4878" s="10"/>
    </row>
    <row r="4879" spans="20:20">
      <c r="T4879" s="10"/>
    </row>
    <row r="4880" spans="20:20">
      <c r="T4880" s="10"/>
    </row>
    <row r="4881" spans="20:20">
      <c r="T4881" s="10"/>
    </row>
    <row r="4882" spans="20:20">
      <c r="T4882" s="10"/>
    </row>
    <row r="4883" spans="20:20">
      <c r="T4883" s="10"/>
    </row>
    <row r="4884" spans="20:20">
      <c r="T4884" s="10"/>
    </row>
    <row r="4885" spans="20:20">
      <c r="T4885" s="10"/>
    </row>
    <row r="4886" spans="20:20">
      <c r="T4886" s="10"/>
    </row>
    <row r="4887" spans="20:20">
      <c r="T4887" s="10"/>
    </row>
    <row r="4888" spans="20:20">
      <c r="T4888" s="10"/>
    </row>
    <row r="4889" spans="20:20">
      <c r="T4889" s="10"/>
    </row>
    <row r="4890" spans="20:20">
      <c r="T4890" s="10"/>
    </row>
    <row r="4891" spans="20:20">
      <c r="T4891" s="10"/>
    </row>
    <row r="4892" spans="20:20">
      <c r="T4892" s="10"/>
    </row>
    <row r="4893" spans="20:20">
      <c r="T4893" s="10"/>
    </row>
    <row r="4894" spans="20:20">
      <c r="T4894" s="10"/>
    </row>
    <row r="4895" spans="20:20">
      <c r="T4895" s="10"/>
    </row>
    <row r="4896" spans="20:20">
      <c r="T4896" s="10"/>
    </row>
    <row r="4897" spans="20:20">
      <c r="T4897" s="10"/>
    </row>
    <row r="4898" spans="20:20">
      <c r="T4898" s="10"/>
    </row>
    <row r="4899" spans="20:20">
      <c r="T4899" s="10"/>
    </row>
    <row r="4900" spans="20:20">
      <c r="T4900" s="10"/>
    </row>
    <row r="4901" spans="20:20">
      <c r="T4901" s="10"/>
    </row>
    <row r="4902" spans="20:20">
      <c r="T4902" s="10"/>
    </row>
    <row r="4903" spans="20:20">
      <c r="T4903" s="10"/>
    </row>
    <row r="4904" spans="20:20">
      <c r="T4904" s="10"/>
    </row>
    <row r="4905" spans="20:20">
      <c r="T4905" s="10"/>
    </row>
    <row r="4906" spans="20:20">
      <c r="T4906" s="10"/>
    </row>
    <row r="4907" spans="20:20">
      <c r="T4907" s="10"/>
    </row>
    <row r="4908" spans="20:20">
      <c r="T4908" s="10"/>
    </row>
    <row r="4909" spans="20:20">
      <c r="T4909" s="10"/>
    </row>
    <row r="4910" spans="20:20">
      <c r="T4910" s="10"/>
    </row>
    <row r="4911" spans="20:20">
      <c r="T4911" s="10"/>
    </row>
    <row r="4912" spans="20:20">
      <c r="T4912" s="10"/>
    </row>
    <row r="4913" spans="20:20">
      <c r="T4913" s="10"/>
    </row>
    <row r="4914" spans="20:20">
      <c r="T4914" s="10"/>
    </row>
    <row r="4915" spans="20:20">
      <c r="T4915" s="10"/>
    </row>
    <row r="4916" spans="20:20">
      <c r="T4916" s="10"/>
    </row>
    <row r="4917" spans="20:20">
      <c r="T4917" s="10"/>
    </row>
    <row r="4918" spans="20:20">
      <c r="T4918" s="10"/>
    </row>
    <row r="4919" spans="20:20">
      <c r="T4919" s="10"/>
    </row>
    <row r="4920" spans="20:20">
      <c r="T4920" s="10"/>
    </row>
    <row r="4921" spans="20:20">
      <c r="T4921" s="10"/>
    </row>
    <row r="4922" spans="20:20">
      <c r="T4922" s="10"/>
    </row>
    <row r="4923" spans="20:20">
      <c r="T4923" s="10"/>
    </row>
    <row r="4924" spans="20:20">
      <c r="T4924" s="10"/>
    </row>
    <row r="4925" spans="20:20">
      <c r="T4925" s="10"/>
    </row>
    <row r="4926" spans="20:20">
      <c r="T4926" s="10"/>
    </row>
    <row r="4927" spans="20:20">
      <c r="T4927" s="10"/>
    </row>
    <row r="4928" spans="20:20">
      <c r="T4928" s="10"/>
    </row>
    <row r="4929" spans="20:20">
      <c r="T4929" s="10"/>
    </row>
    <row r="4930" spans="20:20">
      <c r="T4930" s="10"/>
    </row>
    <row r="4931" spans="20:20">
      <c r="T4931" s="10"/>
    </row>
    <row r="4932" spans="20:20">
      <c r="T4932" s="10"/>
    </row>
    <row r="4933" spans="20:20">
      <c r="T4933" s="10"/>
    </row>
    <row r="4934" spans="20:20">
      <c r="T4934" s="10"/>
    </row>
    <row r="4935" spans="20:20">
      <c r="T4935" s="10"/>
    </row>
    <row r="4936" spans="20:20">
      <c r="T4936" s="10"/>
    </row>
    <row r="4937" spans="20:20">
      <c r="T4937" s="10"/>
    </row>
    <row r="4938" spans="20:20">
      <c r="T4938" s="10"/>
    </row>
    <row r="4939" spans="20:20">
      <c r="T4939" s="10"/>
    </row>
    <row r="4940" spans="20:20">
      <c r="T4940" s="10"/>
    </row>
    <row r="4941" spans="20:20">
      <c r="T4941" s="10"/>
    </row>
    <row r="4942" spans="20:20">
      <c r="T4942" s="10"/>
    </row>
    <row r="4943" spans="20:20">
      <c r="T4943" s="10"/>
    </row>
    <row r="4944" spans="20:20">
      <c r="T4944" s="10"/>
    </row>
    <row r="4945" spans="20:20">
      <c r="T4945" s="10"/>
    </row>
    <row r="4946" spans="20:20">
      <c r="T4946" s="10"/>
    </row>
    <row r="4947" spans="20:20">
      <c r="T4947" s="10"/>
    </row>
    <row r="4948" spans="20:20">
      <c r="T4948" s="10"/>
    </row>
    <row r="4949" spans="20:20">
      <c r="T4949" s="10"/>
    </row>
    <row r="4950" spans="20:20">
      <c r="T4950" s="10"/>
    </row>
    <row r="4951" spans="20:20">
      <c r="T4951" s="10"/>
    </row>
    <row r="4952" spans="20:20">
      <c r="T4952" s="10"/>
    </row>
    <row r="4953" spans="20:20">
      <c r="T4953" s="10"/>
    </row>
    <row r="4954" spans="20:20">
      <c r="T4954" s="10"/>
    </row>
    <row r="4955" spans="20:20">
      <c r="T4955" s="10"/>
    </row>
    <row r="4956" spans="20:20">
      <c r="T4956" s="10"/>
    </row>
    <row r="4957" spans="20:20">
      <c r="T4957" s="10"/>
    </row>
    <row r="4958" spans="20:20">
      <c r="T4958" s="10"/>
    </row>
    <row r="4959" spans="20:20">
      <c r="T4959" s="10"/>
    </row>
    <row r="4960" spans="20:20">
      <c r="T4960" s="10"/>
    </row>
    <row r="4961" spans="20:20">
      <c r="T4961" s="10"/>
    </row>
    <row r="4962" spans="20:20">
      <c r="T4962" s="10"/>
    </row>
    <row r="4963" spans="20:20">
      <c r="T4963" s="10"/>
    </row>
    <row r="4964" spans="20:20">
      <c r="T4964" s="10"/>
    </row>
    <row r="4965" spans="20:20">
      <c r="T4965" s="10"/>
    </row>
    <row r="4966" spans="20:20">
      <c r="T4966" s="10"/>
    </row>
    <row r="4967" spans="20:20">
      <c r="T4967" s="10"/>
    </row>
    <row r="4968" spans="20:20">
      <c r="T4968" s="10"/>
    </row>
    <row r="4969" spans="20:20">
      <c r="T4969" s="10"/>
    </row>
    <row r="4970" spans="20:20">
      <c r="T4970" s="10"/>
    </row>
    <row r="4971" spans="20:20">
      <c r="T4971" s="10"/>
    </row>
    <row r="4972" spans="20:20">
      <c r="T4972" s="10"/>
    </row>
    <row r="4973" spans="20:20">
      <c r="T4973" s="10"/>
    </row>
    <row r="4974" spans="20:20">
      <c r="T4974" s="10"/>
    </row>
    <row r="4975" spans="20:20">
      <c r="T4975" s="10"/>
    </row>
    <row r="4976" spans="20:20">
      <c r="T4976" s="10"/>
    </row>
    <row r="4977" spans="20:20">
      <c r="T4977" s="10"/>
    </row>
    <row r="4978" spans="20:20">
      <c r="T4978" s="10"/>
    </row>
    <row r="4979" spans="20:20">
      <c r="T4979" s="10"/>
    </row>
    <row r="4980" spans="20:20">
      <c r="T4980" s="10"/>
    </row>
    <row r="4981" spans="20:20">
      <c r="T4981" s="10"/>
    </row>
    <row r="4982" spans="20:20">
      <c r="T4982" s="10"/>
    </row>
    <row r="4983" spans="20:20">
      <c r="T4983" s="10"/>
    </row>
    <row r="4984" spans="20:20">
      <c r="T4984" s="10"/>
    </row>
    <row r="4985" spans="20:20">
      <c r="T4985" s="10"/>
    </row>
    <row r="4986" spans="20:20">
      <c r="T4986" s="10"/>
    </row>
    <row r="4987" spans="20:20">
      <c r="T4987" s="10"/>
    </row>
    <row r="4988" spans="20:20">
      <c r="T4988" s="10"/>
    </row>
    <row r="4989" spans="20:20">
      <c r="T4989" s="10"/>
    </row>
    <row r="4990" spans="20:20">
      <c r="T4990" s="10"/>
    </row>
    <row r="4991" spans="20:20">
      <c r="T4991" s="10"/>
    </row>
    <row r="4992" spans="20:20">
      <c r="T4992" s="10"/>
    </row>
    <row r="4993" spans="20:20">
      <c r="T4993" s="10"/>
    </row>
    <row r="4994" spans="20:20">
      <c r="T4994" s="10"/>
    </row>
    <row r="4995" spans="20:20">
      <c r="T4995" s="10"/>
    </row>
    <row r="4996" spans="20:20">
      <c r="T4996" s="10"/>
    </row>
    <row r="4997" spans="20:20">
      <c r="T4997" s="10"/>
    </row>
    <row r="4998" spans="20:20">
      <c r="T4998" s="10"/>
    </row>
    <row r="4999" spans="20:20">
      <c r="T4999" s="10"/>
    </row>
    <row r="5000" spans="20:20">
      <c r="T5000" s="10"/>
    </row>
    <row r="5001" spans="20:20">
      <c r="T5001" s="10"/>
    </row>
    <row r="5002" spans="20:20">
      <c r="T5002" s="10"/>
    </row>
    <row r="5003" spans="20:20">
      <c r="T5003" s="10"/>
    </row>
    <row r="5004" spans="20:20">
      <c r="T5004" s="10"/>
    </row>
    <row r="5005" spans="20:20">
      <c r="T5005" s="10"/>
    </row>
    <row r="5006" spans="20:20">
      <c r="T5006" s="10"/>
    </row>
    <row r="5007" spans="20:20">
      <c r="T5007" s="10"/>
    </row>
    <row r="5008" spans="20:20">
      <c r="T5008" s="10"/>
    </row>
    <row r="5009" spans="20:20">
      <c r="T5009" s="10"/>
    </row>
    <row r="5010" spans="20:20">
      <c r="T5010" s="10"/>
    </row>
    <row r="5011" spans="20:20">
      <c r="T5011" s="10"/>
    </row>
    <row r="5012" spans="20:20">
      <c r="T5012" s="10"/>
    </row>
    <row r="5013" spans="20:20">
      <c r="T5013" s="10"/>
    </row>
    <row r="5014" spans="20:20">
      <c r="T5014" s="10"/>
    </row>
    <row r="5015" spans="20:20">
      <c r="T5015" s="10"/>
    </row>
    <row r="5016" spans="20:20">
      <c r="T5016" s="10"/>
    </row>
    <row r="5017" spans="20:20">
      <c r="T5017" s="10"/>
    </row>
    <row r="5018" spans="20:20">
      <c r="T5018" s="10"/>
    </row>
    <row r="5019" spans="20:20">
      <c r="T5019" s="10"/>
    </row>
    <row r="5020" spans="20:20">
      <c r="T5020" s="10"/>
    </row>
    <row r="5021" spans="20:20">
      <c r="T5021" s="10"/>
    </row>
    <row r="5022" spans="20:20">
      <c r="T5022" s="10"/>
    </row>
    <row r="5023" spans="20:20">
      <c r="T5023" s="10"/>
    </row>
    <row r="5024" spans="20:20">
      <c r="T5024" s="10"/>
    </row>
    <row r="5025" spans="20:20">
      <c r="T5025" s="10"/>
    </row>
    <row r="5026" spans="20:20">
      <c r="T5026" s="10"/>
    </row>
    <row r="5027" spans="20:20">
      <c r="T5027" s="10"/>
    </row>
    <row r="5028" spans="20:20">
      <c r="T5028" s="10"/>
    </row>
    <row r="5029" spans="20:20">
      <c r="T5029" s="10"/>
    </row>
    <row r="5030" spans="20:20">
      <c r="T5030" s="10"/>
    </row>
    <row r="5031" spans="20:20">
      <c r="T5031" s="10"/>
    </row>
    <row r="5032" spans="20:20">
      <c r="T5032" s="10"/>
    </row>
    <row r="5033" spans="20:20">
      <c r="T5033" s="10"/>
    </row>
    <row r="5034" spans="20:20">
      <c r="T5034" s="10"/>
    </row>
    <row r="5035" spans="20:20">
      <c r="T5035" s="10"/>
    </row>
    <row r="5036" spans="20:20">
      <c r="T5036" s="10"/>
    </row>
    <row r="5037" spans="20:20">
      <c r="T5037" s="10"/>
    </row>
    <row r="5038" spans="20:20">
      <c r="T5038" s="10"/>
    </row>
    <row r="5039" spans="20:20">
      <c r="T5039" s="10"/>
    </row>
    <row r="5040" spans="20:20">
      <c r="T5040" s="10"/>
    </row>
    <row r="5041" spans="20:20">
      <c r="T5041" s="10"/>
    </row>
    <row r="5042" spans="20:20">
      <c r="T5042" s="10"/>
    </row>
    <row r="5043" spans="20:20">
      <c r="T5043" s="10"/>
    </row>
    <row r="5044" spans="20:20">
      <c r="T5044" s="10"/>
    </row>
    <row r="5045" spans="20:20">
      <c r="T5045" s="10"/>
    </row>
    <row r="5046" spans="20:20">
      <c r="T5046" s="10"/>
    </row>
    <row r="5047" spans="20:20">
      <c r="T5047" s="10"/>
    </row>
    <row r="5048" spans="20:20">
      <c r="T5048" s="10"/>
    </row>
    <row r="5049" spans="20:20">
      <c r="T5049" s="10"/>
    </row>
    <row r="5050" spans="20:20">
      <c r="T5050" s="10"/>
    </row>
    <row r="5051" spans="20:20">
      <c r="T5051" s="10"/>
    </row>
    <row r="5052" spans="20:20">
      <c r="T5052" s="10"/>
    </row>
    <row r="5053" spans="20:20">
      <c r="T5053" s="10"/>
    </row>
    <row r="5054" spans="20:20">
      <c r="T5054" s="10"/>
    </row>
    <row r="5055" spans="20:20">
      <c r="T5055" s="10"/>
    </row>
    <row r="5056" spans="20:20">
      <c r="T5056" s="10"/>
    </row>
    <row r="5057" spans="20:20">
      <c r="T5057" s="10"/>
    </row>
    <row r="5058" spans="20:20">
      <c r="T5058" s="10"/>
    </row>
    <row r="5059" spans="20:20">
      <c r="T5059" s="10"/>
    </row>
    <row r="5060" spans="20:20">
      <c r="T5060" s="10"/>
    </row>
    <row r="5061" spans="20:20">
      <c r="T5061" s="10"/>
    </row>
    <row r="5062" spans="20:20">
      <c r="T5062" s="10"/>
    </row>
    <row r="5063" spans="20:20">
      <c r="T5063" s="10"/>
    </row>
    <row r="5064" spans="20:20">
      <c r="T5064" s="10"/>
    </row>
    <row r="5065" spans="20:20">
      <c r="T5065" s="10"/>
    </row>
    <row r="5066" spans="20:20">
      <c r="T5066" s="10"/>
    </row>
    <row r="5067" spans="20:20">
      <c r="T5067" s="10"/>
    </row>
    <row r="5068" spans="20:20">
      <c r="T5068" s="10"/>
    </row>
    <row r="5069" spans="20:20">
      <c r="T5069" s="10"/>
    </row>
    <row r="5070" spans="20:20">
      <c r="T5070" s="10"/>
    </row>
    <row r="5071" spans="20:20">
      <c r="T5071" s="10"/>
    </row>
    <row r="5072" spans="20:20">
      <c r="T5072" s="10"/>
    </row>
    <row r="5073" spans="20:20">
      <c r="T5073" s="10"/>
    </row>
    <row r="5074" spans="20:20">
      <c r="T5074" s="10"/>
    </row>
    <row r="5075" spans="20:20">
      <c r="T5075" s="10"/>
    </row>
    <row r="5076" spans="20:20">
      <c r="T5076" s="10"/>
    </row>
    <row r="5077" spans="20:20">
      <c r="T5077" s="10"/>
    </row>
    <row r="5078" spans="20:20">
      <c r="T5078" s="10"/>
    </row>
    <row r="5079" spans="20:20">
      <c r="T5079" s="10"/>
    </row>
    <row r="5080" spans="20:20">
      <c r="T5080" s="10"/>
    </row>
    <row r="5081" spans="20:20">
      <c r="T5081" s="10"/>
    </row>
    <row r="5082" spans="20:20">
      <c r="T5082" s="10"/>
    </row>
    <row r="5083" spans="20:20">
      <c r="T5083" s="10"/>
    </row>
    <row r="5084" spans="20:20">
      <c r="T5084" s="10"/>
    </row>
    <row r="5085" spans="20:20">
      <c r="T5085" s="10"/>
    </row>
    <row r="5086" spans="20:20">
      <c r="T5086" s="10"/>
    </row>
    <row r="5087" spans="20:20">
      <c r="T5087" s="10"/>
    </row>
    <row r="5088" spans="20:20">
      <c r="T5088" s="10"/>
    </row>
    <row r="5089" spans="20:20">
      <c r="T5089" s="10"/>
    </row>
    <row r="5090" spans="20:20">
      <c r="T5090" s="10"/>
    </row>
    <row r="5091" spans="20:20">
      <c r="T5091" s="10"/>
    </row>
    <row r="5092" spans="20:20">
      <c r="T5092" s="10"/>
    </row>
    <row r="5093" spans="20:20">
      <c r="T5093" s="10"/>
    </row>
    <row r="5094" spans="20:20">
      <c r="T5094" s="10"/>
    </row>
    <row r="5095" spans="20:20">
      <c r="T5095" s="10"/>
    </row>
    <row r="5096" spans="20:20">
      <c r="T5096" s="10"/>
    </row>
    <row r="5097" spans="20:20">
      <c r="T5097" s="10"/>
    </row>
    <row r="5098" spans="20:20">
      <c r="T5098" s="10"/>
    </row>
    <row r="5099" spans="20:20">
      <c r="T5099" s="10"/>
    </row>
    <row r="5100" spans="20:20">
      <c r="T5100" s="10"/>
    </row>
    <row r="5101" spans="20:20">
      <c r="T5101" s="10"/>
    </row>
    <row r="5102" spans="20:20">
      <c r="T5102" s="10"/>
    </row>
    <row r="5103" spans="20:20">
      <c r="T5103" s="10"/>
    </row>
    <row r="5104" spans="20:20">
      <c r="T5104" s="10"/>
    </row>
    <row r="5105" spans="20:20">
      <c r="T5105" s="10"/>
    </row>
    <row r="5106" spans="20:20">
      <c r="T5106" s="10"/>
    </row>
    <row r="5107" spans="20:20">
      <c r="T5107" s="10"/>
    </row>
    <row r="5108" spans="20:20">
      <c r="T5108" s="10"/>
    </row>
    <row r="5109" spans="20:20">
      <c r="T5109" s="10"/>
    </row>
    <row r="5110" spans="20:20">
      <c r="T5110" s="10"/>
    </row>
    <row r="5111" spans="20:20">
      <c r="T5111" s="10"/>
    </row>
    <row r="5112" spans="20:20">
      <c r="T5112" s="10"/>
    </row>
    <row r="5113" spans="20:20">
      <c r="T5113" s="10"/>
    </row>
    <row r="5114" spans="20:20">
      <c r="T5114" s="10"/>
    </row>
    <row r="5115" spans="20:20">
      <c r="T5115" s="10"/>
    </row>
    <row r="5116" spans="20:20">
      <c r="T5116" s="10"/>
    </row>
    <row r="5117" spans="20:20">
      <c r="T5117" s="10"/>
    </row>
    <row r="5118" spans="20:20">
      <c r="T5118" s="10"/>
    </row>
    <row r="5119" spans="20:20">
      <c r="T5119" s="10"/>
    </row>
    <row r="5120" spans="20:20">
      <c r="T5120" s="10"/>
    </row>
    <row r="5121" spans="20:20">
      <c r="T5121" s="10"/>
    </row>
    <row r="5122" spans="20:20">
      <c r="T5122" s="10"/>
    </row>
    <row r="5123" spans="20:20">
      <c r="T5123" s="10"/>
    </row>
    <row r="5124" spans="20:20">
      <c r="T5124" s="10"/>
    </row>
    <row r="5125" spans="20:20">
      <c r="T5125" s="10"/>
    </row>
    <row r="5126" spans="20:20">
      <c r="T5126" s="10"/>
    </row>
    <row r="5127" spans="20:20">
      <c r="T5127" s="10"/>
    </row>
    <row r="5128" spans="20:20">
      <c r="T5128" s="10"/>
    </row>
    <row r="5129" spans="20:20">
      <c r="T5129" s="10"/>
    </row>
    <row r="5130" spans="20:20">
      <c r="T5130" s="10"/>
    </row>
    <row r="5131" spans="20:20">
      <c r="T5131" s="10"/>
    </row>
    <row r="5132" spans="20:20">
      <c r="T5132" s="10"/>
    </row>
    <row r="5133" spans="20:20">
      <c r="T5133" s="10"/>
    </row>
    <row r="5134" spans="20:20">
      <c r="T5134" s="10"/>
    </row>
    <row r="5135" spans="20:20">
      <c r="T5135" s="10"/>
    </row>
    <row r="5136" spans="20:20">
      <c r="T5136" s="10"/>
    </row>
    <row r="5137" spans="20:20">
      <c r="T5137" s="10"/>
    </row>
    <row r="5138" spans="20:20">
      <c r="T5138" s="10"/>
    </row>
    <row r="5139" spans="20:20">
      <c r="T5139" s="10"/>
    </row>
    <row r="5140" spans="20:20">
      <c r="T5140" s="10"/>
    </row>
    <row r="5141" spans="20:20">
      <c r="T5141" s="10"/>
    </row>
    <row r="5142" spans="20:20">
      <c r="T5142" s="10"/>
    </row>
    <row r="5143" spans="20:20">
      <c r="T5143" s="10"/>
    </row>
    <row r="5144" spans="20:20">
      <c r="T5144" s="10"/>
    </row>
    <row r="5145" spans="20:20">
      <c r="T5145" s="10"/>
    </row>
    <row r="5146" spans="20:20">
      <c r="T5146" s="10"/>
    </row>
    <row r="5147" spans="20:20">
      <c r="T5147" s="10"/>
    </row>
    <row r="5148" spans="20:20">
      <c r="T5148" s="10"/>
    </row>
    <row r="5149" spans="20:20">
      <c r="T5149" s="10"/>
    </row>
    <row r="5150" spans="20:20">
      <c r="T5150" s="10"/>
    </row>
    <row r="5151" spans="20:20">
      <c r="T5151" s="10"/>
    </row>
    <row r="5152" spans="20:20">
      <c r="T5152" s="10"/>
    </row>
    <row r="5153" spans="20:20">
      <c r="T5153" s="10"/>
    </row>
    <row r="5154" spans="20:20">
      <c r="T5154" s="10"/>
    </row>
    <row r="5155" spans="20:20">
      <c r="T5155" s="10"/>
    </row>
    <row r="5156" spans="20:20">
      <c r="T5156" s="10"/>
    </row>
    <row r="5157" spans="20:20">
      <c r="T5157" s="10"/>
    </row>
    <row r="5158" spans="20:20">
      <c r="T5158" s="10"/>
    </row>
    <row r="5159" spans="20:20">
      <c r="T5159" s="10"/>
    </row>
    <row r="5160" spans="20:20">
      <c r="T5160" s="10"/>
    </row>
    <row r="5161" spans="20:20">
      <c r="T5161" s="10"/>
    </row>
    <row r="5162" spans="20:20">
      <c r="T5162" s="10"/>
    </row>
    <row r="5163" spans="20:20">
      <c r="T5163" s="10"/>
    </row>
    <row r="5164" spans="20:20">
      <c r="T5164" s="10"/>
    </row>
    <row r="5165" spans="20:20">
      <c r="T5165" s="10"/>
    </row>
    <row r="5166" spans="20:20">
      <c r="T5166" s="10"/>
    </row>
    <row r="5167" spans="20:20">
      <c r="T5167" s="10"/>
    </row>
    <row r="5168" spans="20:20">
      <c r="T5168" s="10"/>
    </row>
    <row r="5169" spans="20:20">
      <c r="T5169" s="10"/>
    </row>
    <row r="5170" spans="20:20">
      <c r="T5170" s="10"/>
    </row>
    <row r="5171" spans="20:20">
      <c r="T5171" s="10"/>
    </row>
    <row r="5172" spans="20:20">
      <c r="T5172" s="10"/>
    </row>
    <row r="5173" spans="20:20">
      <c r="T5173" s="10"/>
    </row>
    <row r="5174" spans="20:20">
      <c r="T5174" s="10"/>
    </row>
    <row r="5175" spans="20:20">
      <c r="T5175" s="10"/>
    </row>
    <row r="5176" spans="20:20">
      <c r="T5176" s="10"/>
    </row>
    <row r="5177" spans="20:20">
      <c r="T5177" s="10"/>
    </row>
    <row r="5178" spans="20:20">
      <c r="T5178" s="10"/>
    </row>
    <row r="5179" spans="20:20">
      <c r="T5179" s="10"/>
    </row>
    <row r="5180" spans="20:20">
      <c r="T5180" s="10"/>
    </row>
    <row r="5181" spans="20:20">
      <c r="T5181" s="10"/>
    </row>
    <row r="5182" spans="20:20">
      <c r="T5182" s="10"/>
    </row>
    <row r="5183" spans="20:20">
      <c r="T5183" s="10"/>
    </row>
    <row r="5184" spans="20:20">
      <c r="T5184" s="10"/>
    </row>
    <row r="5185" spans="20:20">
      <c r="T5185" s="10"/>
    </row>
    <row r="5186" spans="20:20">
      <c r="T5186" s="10"/>
    </row>
    <row r="5187" spans="20:20">
      <c r="T5187" s="10"/>
    </row>
    <row r="5188" spans="20:20">
      <c r="T5188" s="10"/>
    </row>
    <row r="5189" spans="20:20">
      <c r="T5189" s="10"/>
    </row>
    <row r="5190" spans="20:20">
      <c r="T5190" s="10"/>
    </row>
    <row r="5191" spans="20:20">
      <c r="T5191" s="10"/>
    </row>
    <row r="5192" spans="20:20">
      <c r="T5192" s="10"/>
    </row>
    <row r="5193" spans="20:20">
      <c r="T5193" s="10"/>
    </row>
    <row r="5194" spans="20:20">
      <c r="T5194" s="10"/>
    </row>
    <row r="5195" spans="20:20">
      <c r="T5195" s="10"/>
    </row>
    <row r="5196" spans="20:20">
      <c r="T5196" s="10"/>
    </row>
    <row r="5197" spans="20:20">
      <c r="T5197" s="10"/>
    </row>
    <row r="5198" spans="20:20">
      <c r="T5198" s="10"/>
    </row>
    <row r="5199" spans="20:20">
      <c r="T5199" s="10"/>
    </row>
    <row r="5200" spans="20:20">
      <c r="T5200" s="10"/>
    </row>
    <row r="5201" spans="20:20">
      <c r="T5201" s="10"/>
    </row>
    <row r="5202" spans="20:20">
      <c r="T5202" s="10"/>
    </row>
    <row r="5203" spans="20:20">
      <c r="T5203" s="10"/>
    </row>
    <row r="5204" spans="20:20">
      <c r="T5204" s="10"/>
    </row>
    <row r="5205" spans="20:20">
      <c r="T5205" s="10"/>
    </row>
    <row r="5206" spans="20:20">
      <c r="T5206" s="10"/>
    </row>
    <row r="5207" spans="20:20">
      <c r="T5207" s="10"/>
    </row>
    <row r="5208" spans="20:20">
      <c r="T5208" s="10"/>
    </row>
    <row r="5209" spans="20:20">
      <c r="T5209" s="10"/>
    </row>
    <row r="5210" spans="20:20">
      <c r="T5210" s="10"/>
    </row>
    <row r="5211" spans="20:20">
      <c r="T5211" s="10"/>
    </row>
    <row r="5212" spans="20:20">
      <c r="T5212" s="10"/>
    </row>
    <row r="5213" spans="20:20">
      <c r="T5213" s="10"/>
    </row>
    <row r="5214" spans="20:20">
      <c r="T5214" s="10"/>
    </row>
    <row r="5215" spans="20:20">
      <c r="T5215" s="10"/>
    </row>
    <row r="5216" spans="20:20">
      <c r="T5216" s="10"/>
    </row>
    <row r="5217" spans="20:20">
      <c r="T5217" s="10"/>
    </row>
    <row r="5218" spans="20:20">
      <c r="T5218" s="10"/>
    </row>
    <row r="5219" spans="20:20">
      <c r="T5219" s="10"/>
    </row>
    <row r="5220" spans="20:20">
      <c r="T5220" s="10"/>
    </row>
    <row r="5221" spans="20:20">
      <c r="T5221" s="10"/>
    </row>
    <row r="5222" spans="20:20">
      <c r="T5222" s="10"/>
    </row>
    <row r="5223" spans="20:20">
      <c r="T5223" s="10"/>
    </row>
    <row r="5224" spans="20:20">
      <c r="T5224" s="10"/>
    </row>
    <row r="5225" spans="20:20">
      <c r="T5225" s="10"/>
    </row>
    <row r="5226" spans="20:20">
      <c r="T5226" s="10"/>
    </row>
    <row r="5227" spans="20:20">
      <c r="T5227" s="10"/>
    </row>
    <row r="5228" spans="20:20">
      <c r="T5228" s="10"/>
    </row>
    <row r="5229" spans="20:20">
      <c r="T5229" s="10"/>
    </row>
    <row r="5230" spans="20:20">
      <c r="T5230" s="10"/>
    </row>
    <row r="5231" spans="20:20">
      <c r="T5231" s="10"/>
    </row>
    <row r="5232" spans="20:20">
      <c r="T5232" s="10"/>
    </row>
    <row r="5233" spans="20:20">
      <c r="T5233" s="10"/>
    </row>
    <row r="5234" spans="20:20">
      <c r="T5234" s="10"/>
    </row>
    <row r="5235" spans="20:20">
      <c r="T5235" s="10"/>
    </row>
    <row r="5236" spans="20:20">
      <c r="T5236" s="10"/>
    </row>
    <row r="5237" spans="20:20">
      <c r="T5237" s="10"/>
    </row>
    <row r="5238" spans="20:20">
      <c r="T5238" s="10"/>
    </row>
    <row r="5239" spans="20:20">
      <c r="T5239" s="10"/>
    </row>
    <row r="5240" spans="20:20">
      <c r="T5240" s="10"/>
    </row>
    <row r="5241" spans="20:20">
      <c r="T5241" s="10"/>
    </row>
    <row r="5242" spans="20:20">
      <c r="T5242" s="10"/>
    </row>
    <row r="5243" spans="20:20">
      <c r="T5243" s="10"/>
    </row>
    <row r="5244" spans="20:20">
      <c r="T5244" s="10"/>
    </row>
    <row r="5245" spans="20:20">
      <c r="T5245" s="10"/>
    </row>
    <row r="5246" spans="20:20">
      <c r="T5246" s="10"/>
    </row>
    <row r="5247" spans="20:20">
      <c r="T5247" s="10"/>
    </row>
    <row r="5248" spans="20:20">
      <c r="T5248" s="10"/>
    </row>
    <row r="5249" spans="20:20">
      <c r="T5249" s="10"/>
    </row>
    <row r="5250" spans="20:20">
      <c r="T5250" s="10"/>
    </row>
    <row r="5251" spans="20:20">
      <c r="T5251" s="10"/>
    </row>
    <row r="5252" spans="20:20">
      <c r="T5252" s="10"/>
    </row>
    <row r="5253" spans="20:20">
      <c r="T5253" s="10"/>
    </row>
    <row r="5254" spans="20:20">
      <c r="T5254" s="10"/>
    </row>
    <row r="5255" spans="20:20">
      <c r="T5255" s="10"/>
    </row>
    <row r="5256" spans="20:20">
      <c r="T5256" s="10"/>
    </row>
    <row r="5257" spans="20:20">
      <c r="T5257" s="10"/>
    </row>
    <row r="5258" spans="20:20">
      <c r="T5258" s="10"/>
    </row>
    <row r="5259" spans="20:20">
      <c r="T5259" s="10"/>
    </row>
    <row r="5260" spans="20:20">
      <c r="T5260" s="10"/>
    </row>
    <row r="5261" spans="20:20">
      <c r="T5261" s="10"/>
    </row>
    <row r="5262" spans="20:20">
      <c r="T5262" s="10"/>
    </row>
    <row r="5263" spans="20:20">
      <c r="T5263" s="10"/>
    </row>
    <row r="5264" spans="20:20">
      <c r="T5264" s="10"/>
    </row>
    <row r="5265" spans="20:20">
      <c r="T5265" s="10"/>
    </row>
    <row r="5266" spans="20:20">
      <c r="T5266" s="10"/>
    </row>
    <row r="5267" spans="20:20">
      <c r="T5267" s="10"/>
    </row>
    <row r="5268" spans="20:20">
      <c r="T5268" s="10"/>
    </row>
    <row r="5269" spans="20:20">
      <c r="T5269" s="10"/>
    </row>
    <row r="5270" spans="20:20">
      <c r="T5270" s="10"/>
    </row>
    <row r="5271" spans="20:20">
      <c r="T5271" s="10"/>
    </row>
    <row r="5272" spans="20:20">
      <c r="T5272" s="10"/>
    </row>
    <row r="5273" spans="20:20">
      <c r="T5273" s="10"/>
    </row>
    <row r="5274" spans="20:20">
      <c r="T5274" s="10"/>
    </row>
    <row r="5275" spans="20:20">
      <c r="T5275" s="10"/>
    </row>
    <row r="5276" spans="20:20">
      <c r="T5276" s="10"/>
    </row>
    <row r="5277" spans="20:20">
      <c r="T5277" s="10"/>
    </row>
    <row r="5278" spans="20:20">
      <c r="T5278" s="10"/>
    </row>
    <row r="5279" spans="20:20">
      <c r="T5279" s="10"/>
    </row>
    <row r="5280" spans="20:20">
      <c r="T5280" s="10"/>
    </row>
    <row r="5281" spans="20:20">
      <c r="T5281" s="10"/>
    </row>
    <row r="5282" spans="20:20">
      <c r="T5282" s="10"/>
    </row>
    <row r="5283" spans="20:20">
      <c r="T5283" s="10"/>
    </row>
    <row r="5284" spans="20:20">
      <c r="T5284" s="10"/>
    </row>
    <row r="5285" spans="20:20">
      <c r="T5285" s="10"/>
    </row>
    <row r="5286" spans="20:20">
      <c r="T5286" s="10"/>
    </row>
    <row r="5287" spans="20:20">
      <c r="T5287" s="10"/>
    </row>
    <row r="5288" spans="20:20">
      <c r="T5288" s="10"/>
    </row>
    <row r="5289" spans="20:20">
      <c r="T5289" s="10"/>
    </row>
    <row r="5290" spans="20:20">
      <c r="T5290" s="10"/>
    </row>
    <row r="5291" spans="20:20">
      <c r="T5291" s="10"/>
    </row>
    <row r="5292" spans="20:20">
      <c r="T5292" s="10"/>
    </row>
    <row r="5293" spans="20:20">
      <c r="T5293" s="10"/>
    </row>
    <row r="5294" spans="20:20">
      <c r="T5294" s="10"/>
    </row>
    <row r="5295" spans="20:20">
      <c r="T5295" s="10"/>
    </row>
    <row r="5296" spans="20:20">
      <c r="T5296" s="10"/>
    </row>
    <row r="5297" spans="20:20">
      <c r="T5297" s="10"/>
    </row>
    <row r="5298" spans="20:20">
      <c r="T5298" s="10"/>
    </row>
    <row r="5299" spans="20:20">
      <c r="T5299" s="10"/>
    </row>
    <row r="5300" spans="20:20">
      <c r="T5300" s="10"/>
    </row>
    <row r="5301" spans="20:20">
      <c r="T5301" s="10"/>
    </row>
    <row r="5302" spans="20:20">
      <c r="T5302" s="10"/>
    </row>
    <row r="5303" spans="20:20">
      <c r="T5303" s="10"/>
    </row>
    <row r="5304" spans="20:20">
      <c r="T5304" s="10"/>
    </row>
    <row r="5305" spans="20:20">
      <c r="T5305" s="10"/>
    </row>
    <row r="5306" spans="20:20">
      <c r="T5306" s="10"/>
    </row>
    <row r="5307" spans="20:20">
      <c r="T5307" s="10"/>
    </row>
    <row r="5308" spans="20:20">
      <c r="T5308" s="10"/>
    </row>
    <row r="5309" spans="20:20">
      <c r="T5309" s="10"/>
    </row>
    <row r="5310" spans="20:20">
      <c r="T5310" s="10"/>
    </row>
    <row r="5311" spans="20:20">
      <c r="T5311" s="10"/>
    </row>
    <row r="5312" spans="20:20">
      <c r="T5312" s="10"/>
    </row>
    <row r="5313" spans="20:20">
      <c r="T5313" s="10"/>
    </row>
    <row r="5314" spans="20:20">
      <c r="T5314" s="10"/>
    </row>
    <row r="5315" spans="20:20">
      <c r="T5315" s="10"/>
    </row>
    <row r="5316" spans="20:20">
      <c r="T5316" s="10"/>
    </row>
    <row r="5317" spans="20:20">
      <c r="T5317" s="10"/>
    </row>
    <row r="5318" spans="20:20">
      <c r="T5318" s="10"/>
    </row>
    <row r="5319" spans="20:20">
      <c r="T5319" s="10"/>
    </row>
    <row r="5320" spans="20:20">
      <c r="T5320" s="10"/>
    </row>
    <row r="5321" spans="20:20">
      <c r="T5321" s="10"/>
    </row>
    <row r="5322" spans="20:20">
      <c r="T5322" s="10"/>
    </row>
    <row r="5323" spans="20:20">
      <c r="T5323" s="10"/>
    </row>
    <row r="5324" spans="20:20">
      <c r="T5324" s="10"/>
    </row>
    <row r="5325" spans="20:20">
      <c r="T5325" s="10"/>
    </row>
    <row r="5326" spans="20:20">
      <c r="T5326" s="10"/>
    </row>
    <row r="5327" spans="20:20">
      <c r="T5327" s="10"/>
    </row>
    <row r="5328" spans="20:20">
      <c r="T5328" s="10"/>
    </row>
    <row r="5329" spans="20:20">
      <c r="T5329" s="10"/>
    </row>
    <row r="5330" spans="20:20">
      <c r="T5330" s="10"/>
    </row>
    <row r="5331" spans="20:20">
      <c r="T5331" s="10"/>
    </row>
    <row r="5332" spans="20:20">
      <c r="T5332" s="10"/>
    </row>
    <row r="5333" spans="20:20">
      <c r="T5333" s="10"/>
    </row>
    <row r="5334" spans="20:20">
      <c r="T5334" s="10"/>
    </row>
    <row r="5335" spans="20:20">
      <c r="T5335" s="10"/>
    </row>
    <row r="5336" spans="20:20">
      <c r="T5336" s="10"/>
    </row>
    <row r="5337" spans="20:20">
      <c r="T5337" s="10"/>
    </row>
    <row r="5338" spans="20:20">
      <c r="T5338" s="10"/>
    </row>
    <row r="5339" spans="20:20">
      <c r="T5339" s="10"/>
    </row>
    <row r="5340" spans="20:20">
      <c r="T5340" s="10"/>
    </row>
    <row r="5341" spans="20:20">
      <c r="T5341" s="10"/>
    </row>
    <row r="5342" spans="20:20">
      <c r="T5342" s="10"/>
    </row>
    <row r="5343" spans="20:20">
      <c r="T5343" s="10"/>
    </row>
    <row r="5344" spans="20:20">
      <c r="T5344" s="10"/>
    </row>
    <row r="5345" spans="20:20">
      <c r="T5345" s="10"/>
    </row>
    <row r="5346" spans="20:20">
      <c r="T5346" s="10"/>
    </row>
    <row r="5347" spans="20:20">
      <c r="T5347" s="10"/>
    </row>
    <row r="5348" spans="20:20">
      <c r="T5348" s="10"/>
    </row>
    <row r="5349" spans="20:20">
      <c r="T5349" s="10"/>
    </row>
    <row r="5350" spans="20:20">
      <c r="T5350" s="10"/>
    </row>
    <row r="5351" spans="20:20">
      <c r="T5351" s="10"/>
    </row>
    <row r="5352" spans="20:20">
      <c r="T5352" s="10"/>
    </row>
    <row r="5353" spans="20:20">
      <c r="T5353" s="10"/>
    </row>
    <row r="5354" spans="20:20">
      <c r="T5354" s="10"/>
    </row>
    <row r="5355" spans="20:20">
      <c r="T5355" s="10"/>
    </row>
    <row r="5356" spans="20:20">
      <c r="T5356" s="10"/>
    </row>
    <row r="5357" spans="20:20">
      <c r="T5357" s="10"/>
    </row>
    <row r="5358" spans="20:20">
      <c r="T5358" s="10"/>
    </row>
    <row r="5359" spans="20:20">
      <c r="T5359" s="10"/>
    </row>
    <row r="5360" spans="20:20">
      <c r="T5360" s="10"/>
    </row>
    <row r="5361" spans="20:20">
      <c r="T5361" s="10"/>
    </row>
    <row r="5362" spans="20:20">
      <c r="T5362" s="10"/>
    </row>
    <row r="5363" spans="20:20">
      <c r="T5363" s="10"/>
    </row>
    <row r="5364" spans="20:20">
      <c r="T5364" s="10"/>
    </row>
    <row r="5365" spans="20:20">
      <c r="T5365" s="10"/>
    </row>
    <row r="5366" spans="20:20">
      <c r="T5366" s="10"/>
    </row>
    <row r="5367" spans="20:20">
      <c r="T5367" s="10"/>
    </row>
    <row r="5368" spans="20:20">
      <c r="T5368" s="10"/>
    </row>
    <row r="5369" spans="20:20">
      <c r="T5369" s="10"/>
    </row>
    <row r="5370" spans="20:20">
      <c r="T5370" s="10"/>
    </row>
    <row r="5371" spans="20:20">
      <c r="T5371" s="10"/>
    </row>
    <row r="5372" spans="20:20">
      <c r="T5372" s="10"/>
    </row>
    <row r="5373" spans="20:20">
      <c r="T5373" s="10"/>
    </row>
    <row r="5374" spans="20:20">
      <c r="T5374" s="10"/>
    </row>
    <row r="5375" spans="20:20">
      <c r="T5375" s="10"/>
    </row>
    <row r="5376" spans="20:20">
      <c r="T5376" s="10"/>
    </row>
    <row r="5377" spans="20:20">
      <c r="T5377" s="10"/>
    </row>
    <row r="5378" spans="20:20">
      <c r="T5378" s="10"/>
    </row>
    <row r="5379" spans="20:20">
      <c r="T5379" s="10"/>
    </row>
    <row r="5380" spans="20:20">
      <c r="T5380" s="10"/>
    </row>
    <row r="5381" spans="20:20">
      <c r="T5381" s="10"/>
    </row>
    <row r="5382" spans="20:20">
      <c r="T5382" s="10"/>
    </row>
    <row r="5383" spans="20:20">
      <c r="T5383" s="10"/>
    </row>
    <row r="5384" spans="20:20">
      <c r="T5384" s="10"/>
    </row>
    <row r="5385" spans="20:20">
      <c r="T5385" s="10"/>
    </row>
    <row r="5386" spans="20:20">
      <c r="T5386" s="10"/>
    </row>
    <row r="5387" spans="20:20">
      <c r="T5387" s="10"/>
    </row>
    <row r="5388" spans="20:20">
      <c r="T5388" s="10"/>
    </row>
    <row r="5389" spans="20:20">
      <c r="T5389" s="10"/>
    </row>
    <row r="5390" spans="20:20">
      <c r="T5390" s="10"/>
    </row>
    <row r="5391" spans="20:20">
      <c r="T5391" s="10"/>
    </row>
    <row r="5392" spans="20:20">
      <c r="T5392" s="10"/>
    </row>
    <row r="5393" spans="20:20">
      <c r="T5393" s="10"/>
    </row>
    <row r="5394" spans="20:20">
      <c r="T5394" s="10"/>
    </row>
    <row r="5395" spans="20:20">
      <c r="T5395" s="10"/>
    </row>
    <row r="5396" spans="20:20">
      <c r="T5396" s="10"/>
    </row>
    <row r="5397" spans="20:20">
      <c r="T5397" s="10"/>
    </row>
    <row r="5398" spans="20:20">
      <c r="T5398" s="10"/>
    </row>
    <row r="5399" spans="20:20">
      <c r="T5399" s="10"/>
    </row>
    <row r="5400" spans="20:20">
      <c r="T5400" s="10"/>
    </row>
    <row r="5401" spans="20:20">
      <c r="T5401" s="10"/>
    </row>
    <row r="5402" spans="20:20">
      <c r="T5402" s="10"/>
    </row>
    <row r="5403" spans="20:20">
      <c r="T5403" s="10"/>
    </row>
    <row r="5404" spans="20:20">
      <c r="T5404" s="10"/>
    </row>
    <row r="5405" spans="20:20">
      <c r="T5405" s="10"/>
    </row>
    <row r="5406" spans="20:20">
      <c r="T5406" s="10"/>
    </row>
    <row r="5407" spans="20:20">
      <c r="T5407" s="10"/>
    </row>
    <row r="5408" spans="20:20">
      <c r="T5408" s="10"/>
    </row>
    <row r="5409" spans="20:20">
      <c r="T5409" s="10"/>
    </row>
    <row r="5410" spans="20:20">
      <c r="T5410" s="10"/>
    </row>
    <row r="5411" spans="20:20">
      <c r="T5411" s="10"/>
    </row>
    <row r="5412" spans="20:20">
      <c r="T5412" s="10"/>
    </row>
    <row r="5413" spans="20:20">
      <c r="T5413" s="10"/>
    </row>
    <row r="5414" spans="20:20">
      <c r="T5414" s="10"/>
    </row>
    <row r="5415" spans="20:20">
      <c r="T5415" s="10"/>
    </row>
    <row r="5416" spans="20:20">
      <c r="T5416" s="10"/>
    </row>
    <row r="5417" spans="20:20">
      <c r="T5417" s="10"/>
    </row>
    <row r="5418" spans="20:20">
      <c r="T5418" s="10"/>
    </row>
    <row r="5419" spans="20:20">
      <c r="T5419" s="10"/>
    </row>
    <row r="5420" spans="20:20">
      <c r="T5420" s="10"/>
    </row>
    <row r="5421" spans="20:20">
      <c r="T5421" s="10"/>
    </row>
    <row r="5422" spans="20:20">
      <c r="T5422" s="10"/>
    </row>
    <row r="5423" spans="20:20">
      <c r="T5423" s="10"/>
    </row>
    <row r="5424" spans="20:20">
      <c r="T5424" s="10"/>
    </row>
    <row r="5425" spans="20:20">
      <c r="T5425" s="10"/>
    </row>
    <row r="5426" spans="20:20">
      <c r="T5426" s="10"/>
    </row>
    <row r="5427" spans="20:20">
      <c r="T5427" s="10"/>
    </row>
    <row r="5428" spans="20:20">
      <c r="T5428" s="10"/>
    </row>
    <row r="5429" spans="20:20">
      <c r="T5429" s="10"/>
    </row>
    <row r="5430" spans="20:20">
      <c r="T5430" s="10"/>
    </row>
    <row r="5431" spans="20:20">
      <c r="T5431" s="10"/>
    </row>
    <row r="5432" spans="20:20">
      <c r="T5432" s="10"/>
    </row>
    <row r="5433" spans="20:20">
      <c r="T5433" s="10"/>
    </row>
    <row r="5434" spans="20:20">
      <c r="T5434" s="10"/>
    </row>
    <row r="5435" spans="20:20">
      <c r="T5435" s="10"/>
    </row>
    <row r="5436" spans="20:20">
      <c r="T5436" s="10"/>
    </row>
    <row r="5437" spans="20:20">
      <c r="T5437" s="10"/>
    </row>
    <row r="5438" spans="20:20">
      <c r="T5438" s="10"/>
    </row>
    <row r="5439" spans="20:20">
      <c r="T5439" s="10"/>
    </row>
    <row r="5440" spans="20:20">
      <c r="T5440" s="10"/>
    </row>
    <row r="5441" spans="20:20">
      <c r="T5441" s="10"/>
    </row>
    <row r="5442" spans="20:20">
      <c r="T5442" s="10"/>
    </row>
    <row r="5443" spans="20:20">
      <c r="T5443" s="10"/>
    </row>
    <row r="5444" spans="20:20">
      <c r="T5444" s="10"/>
    </row>
    <row r="5445" spans="20:20">
      <c r="T5445" s="10"/>
    </row>
    <row r="5446" spans="20:20">
      <c r="T5446" s="10"/>
    </row>
    <row r="5447" spans="20:20">
      <c r="T5447" s="10"/>
    </row>
    <row r="5448" spans="20:20">
      <c r="T5448" s="10"/>
    </row>
    <row r="5449" spans="20:20">
      <c r="T5449" s="10"/>
    </row>
    <row r="5450" spans="20:20">
      <c r="T5450" s="10"/>
    </row>
    <row r="5451" spans="20:20">
      <c r="T5451" s="10"/>
    </row>
    <row r="5452" spans="20:20">
      <c r="T5452" s="10"/>
    </row>
    <row r="5453" spans="20:20">
      <c r="T5453" s="10"/>
    </row>
    <row r="5454" spans="20:20">
      <c r="T5454" s="10"/>
    </row>
    <row r="5455" spans="20:20">
      <c r="T5455" s="10"/>
    </row>
    <row r="5456" spans="20:20">
      <c r="T5456" s="10"/>
    </row>
    <row r="5457" spans="20:20">
      <c r="T5457" s="10"/>
    </row>
    <row r="5458" spans="20:20">
      <c r="T5458" s="10"/>
    </row>
    <row r="5459" spans="20:20">
      <c r="T5459" s="10"/>
    </row>
    <row r="5460" spans="20:20">
      <c r="T5460" s="10"/>
    </row>
    <row r="5461" spans="20:20">
      <c r="T5461" s="10"/>
    </row>
    <row r="5462" spans="20:20">
      <c r="T5462" s="10"/>
    </row>
    <row r="5463" spans="20:20">
      <c r="T5463" s="10"/>
    </row>
    <row r="5464" spans="20:20">
      <c r="T5464" s="10"/>
    </row>
    <row r="5465" spans="20:20">
      <c r="T5465" s="10"/>
    </row>
    <row r="5466" spans="20:20">
      <c r="T5466" s="10"/>
    </row>
    <row r="5467" spans="20:20">
      <c r="T5467" s="10"/>
    </row>
    <row r="5468" spans="20:20">
      <c r="T5468" s="10"/>
    </row>
    <row r="5469" spans="20:20">
      <c r="T5469" s="10"/>
    </row>
    <row r="5470" spans="20:20">
      <c r="T5470" s="10"/>
    </row>
    <row r="5471" spans="20:20">
      <c r="T5471" s="10"/>
    </row>
    <row r="5472" spans="20:20">
      <c r="T5472" s="10"/>
    </row>
    <row r="5473" spans="20:20">
      <c r="T5473" s="10"/>
    </row>
    <row r="5474" spans="20:20">
      <c r="T5474" s="10"/>
    </row>
    <row r="5475" spans="20:20">
      <c r="T5475" s="10"/>
    </row>
    <row r="5476" spans="20:20">
      <c r="T5476" s="10"/>
    </row>
    <row r="5477" spans="20:20">
      <c r="T5477" s="10"/>
    </row>
    <row r="5478" spans="20:20">
      <c r="T5478" s="10"/>
    </row>
    <row r="5479" spans="20:20">
      <c r="T5479" s="10"/>
    </row>
    <row r="5480" spans="20:20">
      <c r="T5480" s="10"/>
    </row>
    <row r="5481" spans="20:20">
      <c r="T5481" s="10"/>
    </row>
    <row r="5482" spans="20:20">
      <c r="T5482" s="10"/>
    </row>
    <row r="5483" spans="20:20">
      <c r="T5483" s="10"/>
    </row>
    <row r="5484" spans="20:20">
      <c r="T5484" s="10"/>
    </row>
    <row r="5485" spans="20:20">
      <c r="T5485" s="10"/>
    </row>
    <row r="5486" spans="20:20">
      <c r="T5486" s="10"/>
    </row>
    <row r="5487" spans="20:20">
      <c r="T5487" s="10"/>
    </row>
    <row r="5488" spans="20:20">
      <c r="T5488" s="10"/>
    </row>
    <row r="5489" spans="20:20">
      <c r="T5489" s="10"/>
    </row>
    <row r="5490" spans="20:20">
      <c r="T5490" s="10"/>
    </row>
    <row r="5491" spans="20:20">
      <c r="T5491" s="10"/>
    </row>
    <row r="5492" spans="20:20">
      <c r="T5492" s="10"/>
    </row>
    <row r="5493" spans="20:20">
      <c r="T5493" s="10"/>
    </row>
    <row r="5494" spans="20:20">
      <c r="T5494" s="10"/>
    </row>
    <row r="5495" spans="20:20">
      <c r="T5495" s="10"/>
    </row>
    <row r="5496" spans="20:20">
      <c r="T5496" s="10"/>
    </row>
    <row r="5497" spans="20:20">
      <c r="T5497" s="10"/>
    </row>
    <row r="5498" spans="20:20">
      <c r="T5498" s="10"/>
    </row>
    <row r="5499" spans="20:20">
      <c r="T5499" s="10"/>
    </row>
    <row r="5500" spans="20:20">
      <c r="T5500" s="10"/>
    </row>
    <row r="5501" spans="20:20">
      <c r="T5501" s="10"/>
    </row>
    <row r="5502" spans="20:20">
      <c r="T5502" s="10"/>
    </row>
    <row r="5503" spans="20:20">
      <c r="T5503" s="10"/>
    </row>
    <row r="5504" spans="20:20">
      <c r="T5504" s="10"/>
    </row>
    <row r="5505" spans="20:20">
      <c r="T5505" s="10"/>
    </row>
    <row r="5506" spans="20:20">
      <c r="T5506" s="10"/>
    </row>
    <row r="5507" spans="20:20">
      <c r="T5507" s="10"/>
    </row>
    <row r="5508" spans="20:20">
      <c r="T5508" s="10"/>
    </row>
    <row r="5509" spans="20:20">
      <c r="T5509" s="10"/>
    </row>
    <row r="5510" spans="20:20">
      <c r="T5510" s="10"/>
    </row>
    <row r="5511" spans="20:20">
      <c r="T5511" s="10"/>
    </row>
    <row r="5512" spans="20:20">
      <c r="T5512" s="10"/>
    </row>
    <row r="5513" spans="20:20">
      <c r="T5513" s="10"/>
    </row>
    <row r="5514" spans="20:20">
      <c r="T5514" s="10"/>
    </row>
    <row r="5515" spans="20:20">
      <c r="T5515" s="10"/>
    </row>
    <row r="5516" spans="20:20">
      <c r="T5516" s="10"/>
    </row>
    <row r="5517" spans="20:20">
      <c r="T5517" s="10"/>
    </row>
    <row r="5518" spans="20:20">
      <c r="T5518" s="10"/>
    </row>
    <row r="5519" spans="20:20">
      <c r="T5519" s="10"/>
    </row>
    <row r="5520" spans="20:20">
      <c r="T5520" s="10"/>
    </row>
    <row r="5521" spans="20:20">
      <c r="T5521" s="10"/>
    </row>
    <row r="5522" spans="20:20">
      <c r="T5522" s="10"/>
    </row>
    <row r="5523" spans="20:20">
      <c r="T5523" s="10"/>
    </row>
    <row r="5524" spans="20:20">
      <c r="T5524" s="10"/>
    </row>
    <row r="5525" spans="20:20">
      <c r="T5525" s="10"/>
    </row>
    <row r="5526" spans="20:20">
      <c r="T5526" s="10"/>
    </row>
    <row r="5527" spans="20:20">
      <c r="T5527" s="10"/>
    </row>
    <row r="5528" spans="20:20">
      <c r="T5528" s="10"/>
    </row>
    <row r="5529" spans="20:20">
      <c r="T5529" s="10"/>
    </row>
    <row r="5530" spans="20:20">
      <c r="T5530" s="10"/>
    </row>
    <row r="5531" spans="20:20">
      <c r="T5531" s="10"/>
    </row>
    <row r="5532" spans="20:20">
      <c r="T5532" s="10"/>
    </row>
    <row r="5533" spans="20:20">
      <c r="T5533" s="10"/>
    </row>
    <row r="5534" spans="20:20">
      <c r="T5534" s="10"/>
    </row>
    <row r="5535" spans="20:20">
      <c r="T5535" s="10"/>
    </row>
    <row r="5536" spans="20:20">
      <c r="T5536" s="10"/>
    </row>
    <row r="5537" spans="20:20">
      <c r="T5537" s="10"/>
    </row>
    <row r="5538" spans="20:20">
      <c r="T5538" s="10"/>
    </row>
    <row r="5539" spans="20:20">
      <c r="T5539" s="10"/>
    </row>
    <row r="5540" spans="20:20">
      <c r="T5540" s="10"/>
    </row>
    <row r="5541" spans="20:20">
      <c r="T5541" s="10"/>
    </row>
    <row r="5542" spans="20:20">
      <c r="T5542" s="10"/>
    </row>
    <row r="5543" spans="20:20">
      <c r="T5543" s="10"/>
    </row>
    <row r="5544" spans="20:20">
      <c r="T5544" s="10"/>
    </row>
    <row r="5545" spans="20:20">
      <c r="T5545" s="10"/>
    </row>
    <row r="5546" spans="20:20">
      <c r="T5546" s="10"/>
    </row>
    <row r="5547" spans="20:20">
      <c r="T5547" s="10"/>
    </row>
    <row r="5548" spans="20:20">
      <c r="T5548" s="10"/>
    </row>
    <row r="5549" spans="20:20">
      <c r="T5549" s="10"/>
    </row>
    <row r="5550" spans="20:20">
      <c r="T5550" s="10"/>
    </row>
    <row r="5551" spans="20:20">
      <c r="T5551" s="10"/>
    </row>
    <row r="5552" spans="20:20">
      <c r="T5552" s="10"/>
    </row>
    <row r="5553" spans="20:20">
      <c r="T5553" s="10"/>
    </row>
    <row r="5554" spans="20:20">
      <c r="T5554" s="10"/>
    </row>
    <row r="5555" spans="20:20">
      <c r="T5555" s="10"/>
    </row>
    <row r="5556" spans="20:20">
      <c r="T5556" s="10"/>
    </row>
    <row r="5557" spans="20:20">
      <c r="T5557" s="10"/>
    </row>
    <row r="5558" spans="20:20">
      <c r="T5558" s="10"/>
    </row>
    <row r="5559" spans="20:20">
      <c r="T5559" s="10"/>
    </row>
    <row r="5560" spans="20:20">
      <c r="T5560" s="10"/>
    </row>
    <row r="5561" spans="20:20">
      <c r="T5561" s="10"/>
    </row>
    <row r="5562" spans="20:20">
      <c r="T5562" s="10"/>
    </row>
    <row r="5563" spans="20:20">
      <c r="T5563" s="10"/>
    </row>
    <row r="5564" spans="20:20">
      <c r="T5564" s="10"/>
    </row>
    <row r="5565" spans="20:20">
      <c r="T5565" s="10"/>
    </row>
    <row r="5566" spans="20:20">
      <c r="T5566" s="10"/>
    </row>
    <row r="5567" spans="20:20">
      <c r="T5567" s="10"/>
    </row>
    <row r="5568" spans="20:20">
      <c r="T5568" s="10"/>
    </row>
    <row r="5569" spans="20:20">
      <c r="T5569" s="10"/>
    </row>
    <row r="5570" spans="20:20">
      <c r="T5570" s="10"/>
    </row>
    <row r="5571" spans="20:20">
      <c r="T5571" s="10"/>
    </row>
    <row r="5572" spans="20:20">
      <c r="T5572" s="10"/>
    </row>
    <row r="5573" spans="20:20">
      <c r="T5573" s="10"/>
    </row>
    <row r="5574" spans="20:20">
      <c r="T5574" s="10"/>
    </row>
    <row r="5575" spans="20:20">
      <c r="T5575" s="10"/>
    </row>
    <row r="5576" spans="20:20">
      <c r="T5576" s="10"/>
    </row>
    <row r="5577" spans="20:20">
      <c r="T5577" s="10"/>
    </row>
    <row r="5578" spans="20:20">
      <c r="T5578" s="10"/>
    </row>
    <row r="5579" spans="20:20">
      <c r="T5579" s="10"/>
    </row>
    <row r="5580" spans="20:20">
      <c r="T5580" s="10"/>
    </row>
    <row r="5581" spans="20:20">
      <c r="T5581" s="10"/>
    </row>
    <row r="5582" spans="20:20">
      <c r="T5582" s="10"/>
    </row>
    <row r="5583" spans="20:20">
      <c r="T5583" s="10"/>
    </row>
    <row r="5584" spans="20:20">
      <c r="T5584" s="10"/>
    </row>
    <row r="5585" spans="20:20">
      <c r="T5585" s="10"/>
    </row>
    <row r="5586" spans="20:20">
      <c r="T5586" s="10"/>
    </row>
    <row r="5587" spans="20:20">
      <c r="T5587" s="10"/>
    </row>
    <row r="5588" spans="20:20">
      <c r="T5588" s="10"/>
    </row>
    <row r="5589" spans="20:20">
      <c r="T5589" s="10"/>
    </row>
    <row r="5590" spans="20:20">
      <c r="T5590" s="10"/>
    </row>
    <row r="5591" spans="20:20">
      <c r="T5591" s="10"/>
    </row>
    <row r="5592" spans="20:20">
      <c r="T5592" s="10"/>
    </row>
    <row r="5593" spans="20:20">
      <c r="T5593" s="10"/>
    </row>
    <row r="5594" spans="20:20">
      <c r="T5594" s="10"/>
    </row>
    <row r="5595" spans="20:20">
      <c r="T5595" s="10"/>
    </row>
    <row r="5596" spans="20:20">
      <c r="T5596" s="10"/>
    </row>
    <row r="5597" spans="20:20">
      <c r="T5597" s="10"/>
    </row>
    <row r="5598" spans="20:20">
      <c r="T5598" s="10"/>
    </row>
    <row r="5599" spans="20:20">
      <c r="T5599" s="10"/>
    </row>
    <row r="5600" spans="20:20">
      <c r="T5600" s="10"/>
    </row>
    <row r="5601" spans="20:20">
      <c r="T5601" s="10"/>
    </row>
    <row r="5602" spans="20:20">
      <c r="T5602" s="10"/>
    </row>
    <row r="5603" spans="20:20">
      <c r="T5603" s="10"/>
    </row>
    <row r="5604" spans="20:20">
      <c r="T5604" s="10"/>
    </row>
    <row r="5605" spans="20:20">
      <c r="T5605" s="10"/>
    </row>
    <row r="5606" spans="20:20">
      <c r="T5606" s="10"/>
    </row>
    <row r="5607" spans="20:20">
      <c r="T5607" s="10"/>
    </row>
    <row r="5608" spans="20:20">
      <c r="T5608" s="10"/>
    </row>
    <row r="5609" spans="20:20">
      <c r="T5609" s="10"/>
    </row>
    <row r="5610" spans="20:20">
      <c r="T5610" s="10"/>
    </row>
    <row r="5611" spans="20:20">
      <c r="T5611" s="10"/>
    </row>
    <row r="5612" spans="20:20">
      <c r="T5612" s="10"/>
    </row>
    <row r="5613" spans="20:20">
      <c r="T5613" s="10"/>
    </row>
    <row r="5614" spans="20:20">
      <c r="T5614" s="10"/>
    </row>
    <row r="5615" spans="20:20">
      <c r="T5615" s="10"/>
    </row>
    <row r="5616" spans="20:20">
      <c r="T5616" s="10"/>
    </row>
    <row r="5617" spans="20:20">
      <c r="T5617" s="10"/>
    </row>
    <row r="5618" spans="20:20">
      <c r="T5618" s="10"/>
    </row>
    <row r="5619" spans="20:20">
      <c r="T5619" s="10"/>
    </row>
    <row r="5620" spans="20:20">
      <c r="T5620" s="10"/>
    </row>
    <row r="5621" spans="20:20">
      <c r="T5621" s="10"/>
    </row>
    <row r="5622" spans="20:20">
      <c r="T5622" s="10"/>
    </row>
    <row r="5623" spans="20:20">
      <c r="T5623" s="10"/>
    </row>
    <row r="5624" spans="20:20">
      <c r="T5624" s="10"/>
    </row>
    <row r="5625" spans="20:20">
      <c r="T5625" s="10"/>
    </row>
    <row r="5626" spans="20:20">
      <c r="T5626" s="10"/>
    </row>
    <row r="5627" spans="20:20">
      <c r="T5627" s="10"/>
    </row>
    <row r="5628" spans="20:20">
      <c r="T5628" s="10"/>
    </row>
    <row r="5629" spans="20:20">
      <c r="T5629" s="10"/>
    </row>
    <row r="5630" spans="20:20">
      <c r="T5630" s="10"/>
    </row>
    <row r="5631" spans="20:20">
      <c r="T5631" s="10"/>
    </row>
    <row r="5632" spans="20:20">
      <c r="T5632" s="10"/>
    </row>
    <row r="5633" spans="20:20">
      <c r="T5633" s="10"/>
    </row>
    <row r="5634" spans="20:20">
      <c r="T5634" s="10"/>
    </row>
    <row r="5635" spans="20:20">
      <c r="T5635" s="10"/>
    </row>
    <row r="5636" spans="20:20">
      <c r="T5636" s="10"/>
    </row>
    <row r="5637" spans="20:20">
      <c r="T5637" s="10"/>
    </row>
    <row r="5638" spans="20:20">
      <c r="T5638" s="10"/>
    </row>
    <row r="5639" spans="20:20">
      <c r="T5639" s="10"/>
    </row>
    <row r="5640" spans="20:20">
      <c r="T5640" s="10"/>
    </row>
    <row r="5641" spans="20:20">
      <c r="T5641" s="10"/>
    </row>
    <row r="5642" spans="20:20">
      <c r="T5642" s="10"/>
    </row>
    <row r="5643" spans="20:20">
      <c r="T5643" s="10"/>
    </row>
    <row r="5644" spans="20:20">
      <c r="T5644" s="10"/>
    </row>
    <row r="5645" spans="20:20">
      <c r="T5645" s="10"/>
    </row>
    <row r="5646" spans="20:20">
      <c r="T5646" s="10"/>
    </row>
    <row r="5647" spans="20:20">
      <c r="T5647" s="10"/>
    </row>
    <row r="5648" spans="20:20">
      <c r="T5648" s="10"/>
    </row>
    <row r="5649" spans="20:20">
      <c r="T5649" s="10"/>
    </row>
    <row r="5650" spans="20:20">
      <c r="T5650" s="10"/>
    </row>
    <row r="5651" spans="20:20">
      <c r="T5651" s="10"/>
    </row>
    <row r="5652" spans="20:20">
      <c r="T5652" s="10"/>
    </row>
    <row r="5653" spans="20:20">
      <c r="T5653" s="10"/>
    </row>
    <row r="5654" spans="20:20">
      <c r="T5654" s="10"/>
    </row>
    <row r="5655" spans="20:20">
      <c r="T5655" s="10"/>
    </row>
    <row r="5656" spans="20:20">
      <c r="T5656" s="10"/>
    </row>
    <row r="5657" spans="20:20">
      <c r="T5657" s="10"/>
    </row>
    <row r="5658" spans="20:20">
      <c r="T5658" s="10"/>
    </row>
    <row r="5659" spans="20:20">
      <c r="T5659" s="10"/>
    </row>
    <row r="5660" spans="20:20">
      <c r="T5660" s="10"/>
    </row>
    <row r="5661" spans="20:20">
      <c r="T5661" s="10"/>
    </row>
    <row r="5662" spans="20:20">
      <c r="T5662" s="10"/>
    </row>
    <row r="5663" spans="20:20">
      <c r="T5663" s="10"/>
    </row>
    <row r="5664" spans="20:20">
      <c r="T5664" s="10"/>
    </row>
    <row r="5665" spans="20:20">
      <c r="T5665" s="10"/>
    </row>
    <row r="5666" spans="20:20">
      <c r="T5666" s="10"/>
    </row>
    <row r="5667" spans="20:20">
      <c r="T5667" s="10"/>
    </row>
    <row r="5668" spans="20:20">
      <c r="T5668" s="10"/>
    </row>
    <row r="5669" spans="20:20">
      <c r="T5669" s="10"/>
    </row>
    <row r="5670" spans="20:20">
      <c r="T5670" s="10"/>
    </row>
    <row r="5671" spans="20:20">
      <c r="T5671" s="10"/>
    </row>
    <row r="5672" spans="20:20">
      <c r="T5672" s="10"/>
    </row>
    <row r="5673" spans="20:20">
      <c r="T5673" s="10"/>
    </row>
    <row r="5674" spans="20:20">
      <c r="T5674" s="10"/>
    </row>
    <row r="5675" spans="20:20">
      <c r="T5675" s="10"/>
    </row>
    <row r="5676" spans="20:20">
      <c r="T5676" s="10"/>
    </row>
    <row r="5677" spans="20:20">
      <c r="T5677" s="10"/>
    </row>
    <row r="5678" spans="20:20">
      <c r="T5678" s="10"/>
    </row>
    <row r="5679" spans="20:20">
      <c r="T5679" s="10"/>
    </row>
    <row r="5680" spans="20:20">
      <c r="T5680" s="10"/>
    </row>
    <row r="5681" spans="20:20">
      <c r="T5681" s="10"/>
    </row>
    <row r="5682" spans="20:20">
      <c r="T5682" s="10"/>
    </row>
    <row r="5683" spans="20:20">
      <c r="T5683" s="10"/>
    </row>
    <row r="5684" spans="20:20">
      <c r="T5684" s="10"/>
    </row>
    <row r="5685" spans="20:20">
      <c r="T5685" s="10"/>
    </row>
    <row r="5686" spans="20:20">
      <c r="T5686" s="10"/>
    </row>
    <row r="5687" spans="20:20">
      <c r="T5687" s="10"/>
    </row>
    <row r="5688" spans="20:20">
      <c r="T5688" s="10"/>
    </row>
    <row r="5689" spans="20:20">
      <c r="T5689" s="10"/>
    </row>
    <row r="5690" spans="20:20">
      <c r="T5690" s="10"/>
    </row>
    <row r="5691" spans="20:20">
      <c r="T5691" s="10"/>
    </row>
    <row r="5692" spans="20:20">
      <c r="T5692" s="10"/>
    </row>
    <row r="5693" spans="20:20">
      <c r="T5693" s="10"/>
    </row>
    <row r="5694" spans="20:20">
      <c r="T5694" s="10"/>
    </row>
    <row r="5695" spans="20:20">
      <c r="T5695" s="10"/>
    </row>
    <row r="5696" spans="20:20">
      <c r="T5696" s="10"/>
    </row>
    <row r="5697" spans="20:20">
      <c r="T5697" s="10"/>
    </row>
    <row r="5698" spans="20:20">
      <c r="T5698" s="10"/>
    </row>
    <row r="5699" spans="20:20">
      <c r="T5699" s="10"/>
    </row>
    <row r="5700" spans="20:20">
      <c r="T5700" s="10"/>
    </row>
    <row r="5701" spans="20:20">
      <c r="T5701" s="10"/>
    </row>
    <row r="5702" spans="20:20">
      <c r="T5702" s="10"/>
    </row>
    <row r="5703" spans="20:20">
      <c r="T5703" s="10"/>
    </row>
    <row r="5704" spans="20:20">
      <c r="T5704" s="10"/>
    </row>
    <row r="5705" spans="20:20">
      <c r="T5705" s="10"/>
    </row>
    <row r="5706" spans="20:20">
      <c r="T5706" s="10"/>
    </row>
    <row r="5707" spans="20:20">
      <c r="T5707" s="10"/>
    </row>
    <row r="5708" spans="20:20">
      <c r="T5708" s="10"/>
    </row>
    <row r="5709" spans="20:20">
      <c r="T5709" s="10"/>
    </row>
    <row r="5710" spans="20:20">
      <c r="T5710" s="10"/>
    </row>
    <row r="5711" spans="20:20">
      <c r="T5711" s="10"/>
    </row>
    <row r="5712" spans="20:20">
      <c r="T5712" s="10"/>
    </row>
    <row r="5713" spans="20:20">
      <c r="T5713" s="10"/>
    </row>
    <row r="5714" spans="20:20">
      <c r="T5714" s="10"/>
    </row>
    <row r="5715" spans="20:20">
      <c r="T5715" s="10"/>
    </row>
    <row r="5716" spans="20:20">
      <c r="T5716" s="10"/>
    </row>
    <row r="5717" spans="20:20">
      <c r="T5717" s="10"/>
    </row>
    <row r="5718" spans="20:20">
      <c r="T5718" s="10"/>
    </row>
    <row r="5719" spans="20:20">
      <c r="T5719" s="10"/>
    </row>
    <row r="5720" spans="20:20">
      <c r="T5720" s="10"/>
    </row>
    <row r="5721" spans="20:20">
      <c r="T5721" s="10"/>
    </row>
    <row r="5722" spans="20:20">
      <c r="T5722" s="10"/>
    </row>
    <row r="5723" spans="20:20">
      <c r="T5723" s="10"/>
    </row>
    <row r="5724" spans="20:20">
      <c r="T5724" s="10"/>
    </row>
    <row r="5725" spans="20:20">
      <c r="T5725" s="10"/>
    </row>
    <row r="5726" spans="20:20">
      <c r="T5726" s="10"/>
    </row>
    <row r="5727" spans="20:20">
      <c r="T5727" s="10"/>
    </row>
    <row r="5728" spans="20:20">
      <c r="T5728" s="10"/>
    </row>
    <row r="5729" spans="20:20">
      <c r="T5729" s="10"/>
    </row>
    <row r="5730" spans="20:20">
      <c r="T5730" s="10"/>
    </row>
    <row r="5731" spans="20:20">
      <c r="T5731" s="10"/>
    </row>
    <row r="5732" spans="20:20">
      <c r="T5732" s="10"/>
    </row>
    <row r="5733" spans="20:20">
      <c r="T5733" s="10"/>
    </row>
    <row r="5734" spans="20:20">
      <c r="T5734" s="10"/>
    </row>
    <row r="5735" spans="20:20">
      <c r="T5735" s="10"/>
    </row>
    <row r="5736" spans="20:20">
      <c r="T5736" s="10"/>
    </row>
    <row r="5737" spans="20:20">
      <c r="T5737" s="10"/>
    </row>
    <row r="5738" spans="20:20">
      <c r="T5738" s="10"/>
    </row>
    <row r="5739" spans="20:20">
      <c r="T5739" s="10"/>
    </row>
    <row r="5740" spans="20:20">
      <c r="T5740" s="10"/>
    </row>
    <row r="5741" spans="20:20">
      <c r="T5741" s="10"/>
    </row>
    <row r="5742" spans="20:20">
      <c r="T5742" s="10"/>
    </row>
    <row r="5743" spans="20:20">
      <c r="T5743" s="10"/>
    </row>
    <row r="5744" spans="20:20">
      <c r="T5744" s="10"/>
    </row>
    <row r="5745" spans="20:20">
      <c r="T5745" s="10"/>
    </row>
    <row r="5746" spans="20:20">
      <c r="T5746" s="10"/>
    </row>
    <row r="5747" spans="20:20">
      <c r="T5747" s="10"/>
    </row>
    <row r="5748" spans="20:20">
      <c r="T5748" s="10"/>
    </row>
    <row r="5749" spans="20:20">
      <c r="T5749" s="10"/>
    </row>
    <row r="5750" spans="20:20">
      <c r="T5750" s="10"/>
    </row>
    <row r="5751" spans="20:20">
      <c r="T5751" s="10"/>
    </row>
    <row r="5752" spans="20:20">
      <c r="T5752" s="10"/>
    </row>
    <row r="5753" spans="20:20">
      <c r="T5753" s="10"/>
    </row>
    <row r="5754" spans="20:20">
      <c r="T5754" s="10"/>
    </row>
    <row r="5755" spans="20:20">
      <c r="T5755" s="10"/>
    </row>
    <row r="5756" spans="20:20">
      <c r="T5756" s="10"/>
    </row>
    <row r="5757" spans="20:20">
      <c r="T5757" s="10"/>
    </row>
    <row r="5758" spans="20:20">
      <c r="T5758" s="10"/>
    </row>
    <row r="5759" spans="20:20">
      <c r="T5759" s="10"/>
    </row>
    <row r="5760" spans="20:20">
      <c r="T5760" s="10"/>
    </row>
    <row r="5761" spans="20:20">
      <c r="T5761" s="10"/>
    </row>
    <row r="5762" spans="20:20">
      <c r="T5762" s="10"/>
    </row>
    <row r="5763" spans="20:20">
      <c r="T5763" s="10"/>
    </row>
    <row r="5764" spans="20:20">
      <c r="T5764" s="10"/>
    </row>
    <row r="5765" spans="20:20">
      <c r="T5765" s="10"/>
    </row>
    <row r="5766" spans="20:20">
      <c r="T5766" s="10"/>
    </row>
    <row r="5767" spans="20:20">
      <c r="T5767" s="10"/>
    </row>
    <row r="5768" spans="20:20">
      <c r="T5768" s="10"/>
    </row>
    <row r="5769" spans="20:20">
      <c r="T5769" s="10"/>
    </row>
    <row r="5770" spans="20:20">
      <c r="T5770" s="10"/>
    </row>
    <row r="5771" spans="20:20">
      <c r="T5771" s="10"/>
    </row>
    <row r="5772" spans="20:20">
      <c r="T5772" s="10"/>
    </row>
    <row r="5773" spans="20:20">
      <c r="T5773" s="10"/>
    </row>
    <row r="5774" spans="20:20">
      <c r="T5774" s="10"/>
    </row>
    <row r="5775" spans="20:20">
      <c r="T5775" s="10"/>
    </row>
    <row r="5776" spans="20:20">
      <c r="T5776" s="10"/>
    </row>
    <row r="5777" spans="20:20">
      <c r="T5777" s="10"/>
    </row>
    <row r="5778" spans="20:20">
      <c r="T5778" s="10"/>
    </row>
    <row r="5779" spans="20:20">
      <c r="T5779" s="10"/>
    </row>
    <row r="5780" spans="20:20">
      <c r="T5780" s="10"/>
    </row>
    <row r="5781" spans="20:20">
      <c r="T5781" s="10"/>
    </row>
    <row r="5782" spans="20:20">
      <c r="T5782" s="10"/>
    </row>
    <row r="5783" spans="20:20">
      <c r="T5783" s="10"/>
    </row>
    <row r="5784" spans="20:20">
      <c r="T5784" s="10"/>
    </row>
    <row r="5785" spans="20:20">
      <c r="T5785" s="10"/>
    </row>
    <row r="5786" spans="20:20">
      <c r="T5786" s="10"/>
    </row>
    <row r="5787" spans="20:20">
      <c r="T5787" s="10"/>
    </row>
    <row r="5788" spans="20:20">
      <c r="T5788" s="10"/>
    </row>
    <row r="5789" spans="20:20">
      <c r="T5789" s="10"/>
    </row>
    <row r="5790" spans="20:20">
      <c r="T5790" s="10"/>
    </row>
    <row r="5791" spans="20:20">
      <c r="T5791" s="10"/>
    </row>
    <row r="5792" spans="20:20">
      <c r="T5792" s="10"/>
    </row>
    <row r="5793" spans="20:20">
      <c r="T5793" s="10"/>
    </row>
    <row r="5794" spans="20:20">
      <c r="T5794" s="10"/>
    </row>
    <row r="5795" spans="20:20">
      <c r="T5795" s="10"/>
    </row>
    <row r="5796" spans="20:20">
      <c r="T5796" s="10"/>
    </row>
    <row r="5797" spans="20:20">
      <c r="T5797" s="10"/>
    </row>
    <row r="5798" spans="20:20">
      <c r="T5798" s="10"/>
    </row>
    <row r="5799" spans="20:20">
      <c r="T5799" s="10"/>
    </row>
    <row r="5800" spans="20:20">
      <c r="T5800" s="10"/>
    </row>
    <row r="5801" spans="20:20">
      <c r="T5801" s="10"/>
    </row>
    <row r="5802" spans="20:20">
      <c r="T5802" s="10"/>
    </row>
    <row r="5803" spans="20:20">
      <c r="T5803" s="10"/>
    </row>
    <row r="5804" spans="20:20">
      <c r="T5804" s="10"/>
    </row>
    <row r="5805" spans="20:20">
      <c r="T5805" s="10"/>
    </row>
    <row r="5806" spans="20:20">
      <c r="T5806" s="10"/>
    </row>
    <row r="5807" spans="20:20">
      <c r="T5807" s="10"/>
    </row>
    <row r="5808" spans="20:20">
      <c r="T5808" s="10"/>
    </row>
    <row r="5809" spans="20:20">
      <c r="T5809" s="10"/>
    </row>
    <row r="5810" spans="20:20">
      <c r="T5810" s="10"/>
    </row>
    <row r="5811" spans="20:20">
      <c r="T5811" s="10"/>
    </row>
    <row r="5812" spans="20:20">
      <c r="T5812" s="10"/>
    </row>
    <row r="5813" spans="20:20">
      <c r="T5813" s="10"/>
    </row>
    <row r="5814" spans="20:20">
      <c r="T5814" s="10"/>
    </row>
    <row r="5815" spans="20:20">
      <c r="T5815" s="10"/>
    </row>
    <row r="5816" spans="20:20">
      <c r="T5816" s="10"/>
    </row>
    <row r="5817" spans="20:20">
      <c r="T5817" s="10"/>
    </row>
    <row r="5818" spans="20:20">
      <c r="T5818" s="10"/>
    </row>
    <row r="5819" spans="20:20">
      <c r="T5819" s="10"/>
    </row>
    <row r="5820" spans="20:20">
      <c r="T5820" s="10"/>
    </row>
    <row r="5821" spans="20:20">
      <c r="T5821" s="10"/>
    </row>
    <row r="5822" spans="20:20">
      <c r="T5822" s="10"/>
    </row>
    <row r="5823" spans="20:20">
      <c r="T5823" s="10"/>
    </row>
    <row r="5824" spans="20:20">
      <c r="T5824" s="10"/>
    </row>
    <row r="5825" spans="20:20">
      <c r="T5825" s="10"/>
    </row>
    <row r="5826" spans="20:20">
      <c r="T5826" s="10"/>
    </row>
    <row r="5827" spans="20:20">
      <c r="T5827" s="10"/>
    </row>
    <row r="5828" spans="20:20">
      <c r="T5828" s="10"/>
    </row>
    <row r="5829" spans="20:20">
      <c r="T5829" s="10"/>
    </row>
    <row r="5830" spans="20:20">
      <c r="T5830" s="10"/>
    </row>
    <row r="5831" spans="20:20">
      <c r="T5831" s="10"/>
    </row>
    <row r="5832" spans="20:20">
      <c r="T5832" s="10"/>
    </row>
    <row r="5833" spans="20:20">
      <c r="T5833" s="10"/>
    </row>
    <row r="5834" spans="20:20">
      <c r="T5834" s="10"/>
    </row>
    <row r="5835" spans="20:20">
      <c r="T5835" s="10"/>
    </row>
    <row r="5836" spans="20:20">
      <c r="T5836" s="10"/>
    </row>
    <row r="5837" spans="20:20">
      <c r="T5837" s="10"/>
    </row>
    <row r="5838" spans="20:20">
      <c r="T5838" s="10"/>
    </row>
    <row r="5839" spans="20:20">
      <c r="T5839" s="10"/>
    </row>
    <row r="5840" spans="20:20">
      <c r="T5840" s="10"/>
    </row>
    <row r="5841" spans="20:20">
      <c r="T5841" s="10"/>
    </row>
    <row r="5842" spans="20:20">
      <c r="T5842" s="10"/>
    </row>
    <row r="5843" spans="20:20">
      <c r="T5843" s="10"/>
    </row>
    <row r="5844" spans="20:20">
      <c r="T5844" s="10"/>
    </row>
    <row r="5845" spans="20:20">
      <c r="T5845" s="10"/>
    </row>
    <row r="5846" spans="20:20">
      <c r="T5846" s="10"/>
    </row>
    <row r="5847" spans="20:20">
      <c r="T5847" s="10"/>
    </row>
    <row r="5848" spans="20:20">
      <c r="T5848" s="10"/>
    </row>
    <row r="5849" spans="20:20">
      <c r="T5849" s="10"/>
    </row>
    <row r="5850" spans="20:20">
      <c r="T5850" s="10"/>
    </row>
    <row r="5851" spans="20:20">
      <c r="T5851" s="10"/>
    </row>
    <row r="5852" spans="20:20">
      <c r="T5852" s="10"/>
    </row>
    <row r="5853" spans="20:20">
      <c r="T5853" s="10"/>
    </row>
    <row r="5854" spans="20:20">
      <c r="T5854" s="10"/>
    </row>
    <row r="5855" spans="20:20">
      <c r="T5855" s="10"/>
    </row>
    <row r="5856" spans="20:20">
      <c r="T5856" s="10"/>
    </row>
    <row r="5857" spans="20:20">
      <c r="T5857" s="10"/>
    </row>
    <row r="5858" spans="20:20">
      <c r="T5858" s="10"/>
    </row>
    <row r="5859" spans="20:20">
      <c r="T5859" s="10"/>
    </row>
    <row r="5860" spans="20:20">
      <c r="T5860" s="10"/>
    </row>
    <row r="5861" spans="20:20">
      <c r="T5861" s="10"/>
    </row>
    <row r="5862" spans="20:20">
      <c r="T5862" s="10"/>
    </row>
    <row r="5863" spans="20:20">
      <c r="T5863" s="10"/>
    </row>
    <row r="5864" spans="20:20">
      <c r="T5864" s="10"/>
    </row>
    <row r="5865" spans="20:20">
      <c r="T5865" s="10"/>
    </row>
    <row r="5866" spans="20:20">
      <c r="T5866" s="10"/>
    </row>
    <row r="5867" spans="20:20">
      <c r="T5867" s="10"/>
    </row>
    <row r="5868" spans="20:20">
      <c r="T5868" s="10"/>
    </row>
    <row r="5869" spans="20:20">
      <c r="T5869" s="10"/>
    </row>
    <row r="5870" spans="20:20">
      <c r="T5870" s="10"/>
    </row>
    <row r="5871" spans="20:20">
      <c r="T5871" s="10"/>
    </row>
    <row r="5872" spans="20:20">
      <c r="T5872" s="10"/>
    </row>
    <row r="5873" spans="20:20">
      <c r="T5873" s="10"/>
    </row>
    <row r="5874" spans="20:20">
      <c r="T5874" s="10"/>
    </row>
    <row r="5875" spans="20:20">
      <c r="T5875" s="10"/>
    </row>
    <row r="5876" spans="20:20">
      <c r="T5876" s="10"/>
    </row>
    <row r="5877" spans="20:20">
      <c r="T5877" s="10"/>
    </row>
    <row r="5878" spans="20:20">
      <c r="T5878" s="10"/>
    </row>
    <row r="5879" spans="20:20">
      <c r="T5879" s="10"/>
    </row>
    <row r="5880" spans="20:20">
      <c r="T5880" s="10"/>
    </row>
    <row r="5881" spans="20:20">
      <c r="T5881" s="10"/>
    </row>
    <row r="5882" spans="20:20">
      <c r="T5882" s="10"/>
    </row>
    <row r="5883" spans="20:20">
      <c r="T5883" s="10"/>
    </row>
    <row r="5884" spans="20:20">
      <c r="T5884" s="10"/>
    </row>
    <row r="5885" spans="20:20">
      <c r="T5885" s="10"/>
    </row>
    <row r="5886" spans="20:20">
      <c r="T5886" s="10"/>
    </row>
    <row r="5887" spans="20:20">
      <c r="T5887" s="10"/>
    </row>
    <row r="5888" spans="20:20">
      <c r="T5888" s="10"/>
    </row>
    <row r="5889" spans="20:20">
      <c r="T5889" s="10"/>
    </row>
    <row r="5890" spans="20:20">
      <c r="T5890" s="10"/>
    </row>
    <row r="5891" spans="20:20">
      <c r="T5891" s="10"/>
    </row>
    <row r="5892" spans="20:20">
      <c r="T5892" s="10"/>
    </row>
    <row r="5893" spans="20:20">
      <c r="T5893" s="10"/>
    </row>
    <row r="5894" spans="20:20">
      <c r="T5894" s="10"/>
    </row>
    <row r="5895" spans="20:20">
      <c r="T5895" s="10"/>
    </row>
    <row r="5896" spans="20:20">
      <c r="T5896" s="10"/>
    </row>
    <row r="5897" spans="20:20">
      <c r="T5897" s="10"/>
    </row>
    <row r="5898" spans="20:20">
      <c r="T5898" s="10"/>
    </row>
    <row r="5899" spans="20:20">
      <c r="T5899" s="10"/>
    </row>
    <row r="5900" spans="20:20">
      <c r="T5900" s="10"/>
    </row>
    <row r="5901" spans="20:20">
      <c r="T5901" s="10"/>
    </row>
    <row r="5902" spans="20:20">
      <c r="T5902" s="10"/>
    </row>
    <row r="5903" spans="20:20">
      <c r="T5903" s="10"/>
    </row>
    <row r="5904" spans="20:20">
      <c r="T5904" s="10"/>
    </row>
    <row r="5905" spans="20:20">
      <c r="T5905" s="10"/>
    </row>
    <row r="5906" spans="20:20">
      <c r="T5906" s="10"/>
    </row>
    <row r="5907" spans="20:20">
      <c r="T5907" s="10"/>
    </row>
    <row r="5908" spans="20:20">
      <c r="T5908" s="10"/>
    </row>
    <row r="5909" spans="20:20">
      <c r="T5909" s="10"/>
    </row>
    <row r="5910" spans="20:20">
      <c r="T5910" s="10"/>
    </row>
    <row r="5911" spans="20:20">
      <c r="T5911" s="10"/>
    </row>
    <row r="5912" spans="20:20">
      <c r="T5912" s="10"/>
    </row>
    <row r="5913" spans="20:20">
      <c r="T5913" s="10"/>
    </row>
    <row r="5914" spans="20:20">
      <c r="T5914" s="10"/>
    </row>
    <row r="5915" spans="20:20">
      <c r="T5915" s="10"/>
    </row>
    <row r="5916" spans="20:20">
      <c r="T5916" s="10"/>
    </row>
    <row r="5917" spans="20:20">
      <c r="T5917" s="10"/>
    </row>
    <row r="5918" spans="20:20">
      <c r="T5918" s="10"/>
    </row>
    <row r="5919" spans="20:20">
      <c r="T5919" s="10"/>
    </row>
    <row r="5920" spans="20:20">
      <c r="T5920" s="10"/>
    </row>
    <row r="5921" spans="20:20">
      <c r="T5921" s="10"/>
    </row>
    <row r="5922" spans="20:20">
      <c r="T5922" s="10"/>
    </row>
    <row r="5923" spans="20:20">
      <c r="T5923" s="10"/>
    </row>
    <row r="5924" spans="20:20">
      <c r="T5924" s="10"/>
    </row>
    <row r="5925" spans="20:20">
      <c r="T5925" s="10"/>
    </row>
    <row r="5926" spans="20:20">
      <c r="T5926" s="10"/>
    </row>
    <row r="5927" spans="20:20">
      <c r="T5927" s="10"/>
    </row>
    <row r="5928" spans="20:20">
      <c r="T5928" s="10"/>
    </row>
    <row r="5929" spans="20:20">
      <c r="T5929" s="10"/>
    </row>
    <row r="5930" spans="20:20">
      <c r="T5930" s="10"/>
    </row>
    <row r="5931" spans="20:20">
      <c r="T5931" s="10"/>
    </row>
    <row r="5932" spans="20:20">
      <c r="T5932" s="10"/>
    </row>
    <row r="5933" spans="20:20">
      <c r="T5933" s="10"/>
    </row>
    <row r="5934" spans="20:20">
      <c r="T5934" s="10"/>
    </row>
    <row r="5935" spans="20:20">
      <c r="T5935" s="10"/>
    </row>
    <row r="5936" spans="20:20">
      <c r="T5936" s="10"/>
    </row>
    <row r="5937" spans="20:20">
      <c r="T5937" s="10"/>
    </row>
    <row r="5938" spans="20:20">
      <c r="T5938" s="10"/>
    </row>
    <row r="5939" spans="20:20">
      <c r="T5939" s="10"/>
    </row>
    <row r="5940" spans="20:20">
      <c r="T5940" s="10"/>
    </row>
    <row r="5941" spans="20:20">
      <c r="T5941" s="10"/>
    </row>
    <row r="5942" spans="20:20">
      <c r="T5942" s="10"/>
    </row>
    <row r="5943" spans="20:20">
      <c r="T5943" s="10"/>
    </row>
    <row r="5944" spans="20:20">
      <c r="T5944" s="10"/>
    </row>
    <row r="5945" spans="20:20">
      <c r="T5945" s="10"/>
    </row>
    <row r="5946" spans="20:20">
      <c r="T5946" s="10"/>
    </row>
    <row r="5947" spans="20:20">
      <c r="T5947" s="10"/>
    </row>
    <row r="5948" spans="20:20">
      <c r="T5948" s="10"/>
    </row>
    <row r="5949" spans="20:20">
      <c r="T5949" s="10"/>
    </row>
    <row r="5950" spans="20:20">
      <c r="T5950" s="10"/>
    </row>
    <row r="5951" spans="20:20">
      <c r="T5951" s="10"/>
    </row>
    <row r="5952" spans="20:20">
      <c r="T5952" s="10"/>
    </row>
    <row r="5953" spans="20:20">
      <c r="T5953" s="10"/>
    </row>
    <row r="5954" spans="20:20">
      <c r="T5954" s="10"/>
    </row>
    <row r="5955" spans="20:20">
      <c r="T5955" s="10"/>
    </row>
    <row r="5956" spans="20:20">
      <c r="T5956" s="10"/>
    </row>
    <row r="5957" spans="20:20">
      <c r="T5957" s="10"/>
    </row>
    <row r="5958" spans="20:20">
      <c r="T5958" s="10"/>
    </row>
    <row r="5959" spans="20:20">
      <c r="T5959" s="10"/>
    </row>
    <row r="5960" spans="20:20">
      <c r="T5960" s="10"/>
    </row>
    <row r="5961" spans="20:20">
      <c r="T5961" s="10"/>
    </row>
    <row r="5962" spans="20:20">
      <c r="T5962" s="10"/>
    </row>
    <row r="5963" spans="20:20">
      <c r="T5963" s="10"/>
    </row>
    <row r="5964" spans="20:20">
      <c r="T5964" s="10"/>
    </row>
    <row r="5965" spans="20:20">
      <c r="T5965" s="10"/>
    </row>
    <row r="5966" spans="20:20">
      <c r="T5966" s="10"/>
    </row>
    <row r="5967" spans="20:20">
      <c r="T5967" s="10"/>
    </row>
    <row r="5968" spans="20:20">
      <c r="T5968" s="10"/>
    </row>
    <row r="5969" spans="20:20">
      <c r="T5969" s="10"/>
    </row>
    <row r="5970" spans="20:20">
      <c r="T5970" s="10"/>
    </row>
    <row r="5971" spans="20:20">
      <c r="T5971" s="10"/>
    </row>
    <row r="5972" spans="20:20">
      <c r="T5972" s="10"/>
    </row>
    <row r="5973" spans="20:20">
      <c r="T5973" s="10"/>
    </row>
    <row r="5974" spans="20:20">
      <c r="T5974" s="10"/>
    </row>
    <row r="5975" spans="20:20">
      <c r="T5975" s="10"/>
    </row>
    <row r="5976" spans="20:20">
      <c r="T5976" s="10"/>
    </row>
    <row r="5977" spans="20:20">
      <c r="T5977" s="10"/>
    </row>
    <row r="5978" spans="20:20">
      <c r="T5978" s="10"/>
    </row>
    <row r="5979" spans="20:20">
      <c r="T5979" s="10"/>
    </row>
    <row r="5980" spans="20:20">
      <c r="T5980" s="10"/>
    </row>
    <row r="5981" spans="20:20">
      <c r="T5981" s="10"/>
    </row>
    <row r="5982" spans="20:20">
      <c r="T5982" s="10"/>
    </row>
    <row r="5983" spans="20:20">
      <c r="T5983" s="10"/>
    </row>
    <row r="5984" spans="20:20">
      <c r="T5984" s="10"/>
    </row>
    <row r="5985" spans="20:20">
      <c r="T5985" s="10"/>
    </row>
    <row r="5986" spans="20:20">
      <c r="T5986" s="10"/>
    </row>
    <row r="5987" spans="20:20">
      <c r="T5987" s="10"/>
    </row>
    <row r="5988" spans="20:20">
      <c r="T5988" s="10"/>
    </row>
    <row r="5989" spans="20:20">
      <c r="T5989" s="10"/>
    </row>
    <row r="5990" spans="20:20">
      <c r="T5990" s="10"/>
    </row>
    <row r="5991" spans="20:20">
      <c r="T5991" s="10"/>
    </row>
    <row r="5992" spans="20:20">
      <c r="T5992" s="10"/>
    </row>
    <row r="5993" spans="20:20">
      <c r="T5993" s="10"/>
    </row>
    <row r="5994" spans="20:20">
      <c r="T5994" s="10"/>
    </row>
    <row r="5995" spans="20:20">
      <c r="T5995" s="10"/>
    </row>
    <row r="5996" spans="20:20">
      <c r="T5996" s="10"/>
    </row>
    <row r="5997" spans="20:20">
      <c r="T5997" s="10"/>
    </row>
    <row r="5998" spans="20:20">
      <c r="T5998" s="10"/>
    </row>
    <row r="5999" spans="20:20">
      <c r="T5999" s="10"/>
    </row>
    <row r="6000" spans="20:20">
      <c r="T6000" s="10"/>
    </row>
    <row r="6001" spans="20:20">
      <c r="T6001" s="10"/>
    </row>
    <row r="6002" spans="20:20">
      <c r="T6002" s="10"/>
    </row>
    <row r="6003" spans="20:20">
      <c r="T6003" s="10"/>
    </row>
    <row r="6004" spans="20:20">
      <c r="T6004" s="10"/>
    </row>
    <row r="6005" spans="20:20">
      <c r="T6005" s="10"/>
    </row>
    <row r="6006" spans="20:20">
      <c r="T6006" s="10"/>
    </row>
    <row r="6007" spans="20:20">
      <c r="T6007" s="10"/>
    </row>
    <row r="6008" spans="20:20">
      <c r="T6008" s="10"/>
    </row>
    <row r="6009" spans="20:20">
      <c r="T6009" s="10"/>
    </row>
    <row r="6010" spans="20:20">
      <c r="T6010" s="10"/>
    </row>
    <row r="6011" spans="20:20">
      <c r="T6011" s="10"/>
    </row>
    <row r="6012" spans="20:20">
      <c r="T6012" s="10"/>
    </row>
    <row r="6013" spans="20:20">
      <c r="T6013" s="10"/>
    </row>
    <row r="6014" spans="20:20">
      <c r="T6014" s="10"/>
    </row>
    <row r="6015" spans="20:20">
      <c r="T6015" s="10"/>
    </row>
    <row r="6016" spans="20:20">
      <c r="T6016" s="10"/>
    </row>
    <row r="6017" spans="20:20">
      <c r="T6017" s="10"/>
    </row>
    <row r="6018" spans="20:20">
      <c r="T6018" s="10"/>
    </row>
    <row r="6019" spans="20:20">
      <c r="T6019" s="10"/>
    </row>
    <row r="6020" spans="20:20">
      <c r="T6020" s="10"/>
    </row>
    <row r="6021" spans="20:20">
      <c r="T6021" s="10"/>
    </row>
    <row r="6022" spans="20:20">
      <c r="T6022" s="10"/>
    </row>
    <row r="6023" spans="20:20">
      <c r="T6023" s="10"/>
    </row>
    <row r="6024" spans="20:20">
      <c r="T6024" s="10"/>
    </row>
    <row r="6025" spans="20:20">
      <c r="T6025" s="10"/>
    </row>
    <row r="6026" spans="20:20">
      <c r="T6026" s="10"/>
    </row>
    <row r="6027" spans="20:20">
      <c r="T6027" s="10"/>
    </row>
    <row r="6028" spans="20:20">
      <c r="T6028" s="10"/>
    </row>
    <row r="6029" spans="20:20">
      <c r="T6029" s="10"/>
    </row>
    <row r="6030" spans="20:20">
      <c r="T6030" s="10"/>
    </row>
    <row r="6031" spans="20:20">
      <c r="T6031" s="10"/>
    </row>
    <row r="6032" spans="20:20">
      <c r="T6032" s="10"/>
    </row>
    <row r="6033" spans="20:20">
      <c r="T6033" s="10"/>
    </row>
    <row r="6034" spans="20:20">
      <c r="T6034" s="10"/>
    </row>
    <row r="6035" spans="20:20">
      <c r="T6035" s="10"/>
    </row>
    <row r="6036" spans="20:20">
      <c r="T6036" s="10"/>
    </row>
    <row r="6037" spans="20:20">
      <c r="T6037" s="10"/>
    </row>
    <row r="6038" spans="20:20">
      <c r="T6038" s="10"/>
    </row>
    <row r="6039" spans="20:20">
      <c r="T6039" s="10"/>
    </row>
    <row r="6040" spans="20:20">
      <c r="T6040" s="10"/>
    </row>
    <row r="6041" spans="20:20">
      <c r="T6041" s="10"/>
    </row>
    <row r="6042" spans="20:20">
      <c r="T6042" s="10"/>
    </row>
    <row r="6043" spans="20:20">
      <c r="T6043" s="10"/>
    </row>
    <row r="6044" spans="20:20">
      <c r="T6044" s="10"/>
    </row>
    <row r="6045" spans="20:20">
      <c r="T6045" s="10"/>
    </row>
    <row r="6046" spans="20:20">
      <c r="T6046" s="10"/>
    </row>
    <row r="6047" spans="20:20">
      <c r="T6047" s="10"/>
    </row>
    <row r="6048" spans="20:20">
      <c r="T6048" s="10"/>
    </row>
    <row r="6049" spans="20:20">
      <c r="T6049" s="10"/>
    </row>
    <row r="6050" spans="20:20">
      <c r="T6050" s="10"/>
    </row>
    <row r="6051" spans="20:20">
      <c r="T6051" s="10"/>
    </row>
    <row r="6052" spans="20:20">
      <c r="T6052" s="10"/>
    </row>
    <row r="6053" spans="20:20">
      <c r="T6053" s="10"/>
    </row>
    <row r="6054" spans="20:20">
      <c r="T6054" s="10"/>
    </row>
    <row r="6055" spans="20:20">
      <c r="T6055" s="10"/>
    </row>
    <row r="6056" spans="20:20">
      <c r="T6056" s="10"/>
    </row>
    <row r="6057" spans="20:20">
      <c r="T6057" s="10"/>
    </row>
    <row r="6058" spans="20:20">
      <c r="T6058" s="10"/>
    </row>
    <row r="6059" spans="20:20">
      <c r="T6059" s="10"/>
    </row>
    <row r="6060" spans="20:20">
      <c r="T6060" s="10"/>
    </row>
    <row r="6061" spans="20:20">
      <c r="T6061" s="10"/>
    </row>
    <row r="6062" spans="20:20">
      <c r="T6062" s="10"/>
    </row>
    <row r="6063" spans="20:20">
      <c r="T6063" s="10"/>
    </row>
    <row r="6064" spans="20:20">
      <c r="T6064" s="10"/>
    </row>
    <row r="6065" spans="20:20">
      <c r="T6065" s="10"/>
    </row>
    <row r="6066" spans="20:20">
      <c r="T6066" s="10"/>
    </row>
    <row r="6067" spans="20:20">
      <c r="T6067" s="10"/>
    </row>
    <row r="6068" spans="20:20">
      <c r="T6068" s="10"/>
    </row>
    <row r="6069" spans="20:20">
      <c r="T6069" s="10"/>
    </row>
    <row r="6070" spans="20:20">
      <c r="T6070" s="10"/>
    </row>
    <row r="6071" spans="20:20">
      <c r="T6071" s="10"/>
    </row>
    <row r="6072" spans="20:20">
      <c r="T6072" s="10"/>
    </row>
    <row r="6073" spans="20:20">
      <c r="T6073" s="10"/>
    </row>
    <row r="6074" spans="20:20">
      <c r="T6074" s="10"/>
    </row>
    <row r="6075" spans="20:20">
      <c r="T6075" s="10"/>
    </row>
    <row r="6076" spans="20:20">
      <c r="T6076" s="10"/>
    </row>
    <row r="6077" spans="20:20">
      <c r="T6077" s="10"/>
    </row>
    <row r="6078" spans="20:20">
      <c r="T6078" s="10"/>
    </row>
    <row r="6079" spans="20:20">
      <c r="T6079" s="10"/>
    </row>
    <row r="6080" spans="20:20">
      <c r="T6080" s="10"/>
    </row>
    <row r="6081" spans="20:20">
      <c r="T6081" s="10"/>
    </row>
    <row r="6082" spans="20:20">
      <c r="T6082" s="10"/>
    </row>
    <row r="6083" spans="20:20">
      <c r="T6083" s="10"/>
    </row>
    <row r="6084" spans="20:20">
      <c r="T6084" s="10"/>
    </row>
    <row r="6085" spans="20:20">
      <c r="T6085" s="10"/>
    </row>
    <row r="6086" spans="20:20">
      <c r="T6086" s="10"/>
    </row>
    <row r="6087" spans="20:20">
      <c r="T6087" s="10"/>
    </row>
    <row r="6088" spans="20:20">
      <c r="T6088" s="10"/>
    </row>
    <row r="6089" spans="20:20">
      <c r="T6089" s="10"/>
    </row>
    <row r="6090" spans="20:20">
      <c r="T6090" s="10"/>
    </row>
    <row r="6091" spans="20:20">
      <c r="T6091" s="10"/>
    </row>
    <row r="6092" spans="20:20">
      <c r="T6092" s="10"/>
    </row>
    <row r="6093" spans="20:20">
      <c r="T6093" s="10"/>
    </row>
    <row r="6094" spans="20:20">
      <c r="T6094" s="10"/>
    </row>
    <row r="6095" spans="20:20">
      <c r="T6095" s="10"/>
    </row>
    <row r="6096" spans="20:20">
      <c r="T6096" s="10"/>
    </row>
    <row r="6097" spans="20:20">
      <c r="T6097" s="10"/>
    </row>
    <row r="6098" spans="20:20">
      <c r="T6098" s="10"/>
    </row>
    <row r="6099" spans="20:20">
      <c r="T6099" s="10"/>
    </row>
    <row r="6100" spans="20:20">
      <c r="T6100" s="10"/>
    </row>
    <row r="6101" spans="20:20">
      <c r="T6101" s="10"/>
    </row>
    <row r="6102" spans="20:20">
      <c r="T6102" s="10"/>
    </row>
    <row r="6103" spans="20:20">
      <c r="T6103" s="10"/>
    </row>
    <row r="6104" spans="20:20">
      <c r="T6104" s="10"/>
    </row>
    <row r="6105" spans="20:20">
      <c r="T6105" s="10"/>
    </row>
    <row r="6106" spans="20:20">
      <c r="T6106" s="10"/>
    </row>
    <row r="6107" spans="20:20">
      <c r="T6107" s="10"/>
    </row>
    <row r="6108" spans="20:20">
      <c r="T6108" s="10"/>
    </row>
    <row r="6109" spans="20:20">
      <c r="T6109" s="10"/>
    </row>
    <row r="6110" spans="20:20">
      <c r="T6110" s="10"/>
    </row>
    <row r="6111" spans="20:20">
      <c r="T6111" s="10"/>
    </row>
    <row r="6112" spans="20:20">
      <c r="T6112" s="10"/>
    </row>
    <row r="6113" spans="20:20">
      <c r="T6113" s="10"/>
    </row>
    <row r="6114" spans="20:20">
      <c r="T6114" s="10"/>
    </row>
    <row r="6115" spans="20:20">
      <c r="T6115" s="10"/>
    </row>
    <row r="6116" spans="20:20">
      <c r="T6116" s="10"/>
    </row>
    <row r="6117" spans="20:20">
      <c r="T6117" s="10"/>
    </row>
    <row r="6118" spans="20:20">
      <c r="T6118" s="10"/>
    </row>
    <row r="6119" spans="20:20">
      <c r="T6119" s="10"/>
    </row>
    <row r="6120" spans="20:20">
      <c r="T6120" s="10"/>
    </row>
    <row r="6121" spans="20:20">
      <c r="T6121" s="10"/>
    </row>
    <row r="6122" spans="20:20">
      <c r="T6122" s="10"/>
    </row>
    <row r="6123" spans="20:20">
      <c r="T6123" s="10"/>
    </row>
    <row r="6124" spans="20:20">
      <c r="T6124" s="10"/>
    </row>
    <row r="6125" spans="20:20">
      <c r="T6125" s="10"/>
    </row>
    <row r="6126" spans="20:20">
      <c r="T6126" s="10"/>
    </row>
    <row r="6127" spans="20:20">
      <c r="T6127" s="10"/>
    </row>
    <row r="6128" spans="20:20">
      <c r="T6128" s="10"/>
    </row>
    <row r="6129" spans="20:20">
      <c r="T6129" s="10"/>
    </row>
    <row r="6130" spans="20:20">
      <c r="T6130" s="10"/>
    </row>
    <row r="6131" spans="20:20">
      <c r="T6131" s="10"/>
    </row>
    <row r="6132" spans="20:20">
      <c r="T6132" s="10"/>
    </row>
    <row r="6133" spans="20:20">
      <c r="T6133" s="10"/>
    </row>
    <row r="6134" spans="20:20">
      <c r="T6134" s="10"/>
    </row>
    <row r="6135" spans="20:20">
      <c r="T6135" s="10"/>
    </row>
    <row r="6136" spans="20:20">
      <c r="T6136" s="10"/>
    </row>
    <row r="6137" spans="20:20">
      <c r="T6137" s="10"/>
    </row>
    <row r="6138" spans="20:20">
      <c r="T6138" s="10"/>
    </row>
    <row r="6139" spans="20:20">
      <c r="T6139" s="10"/>
    </row>
    <row r="6140" spans="20:20">
      <c r="T6140" s="10"/>
    </row>
    <row r="6141" spans="20:20">
      <c r="T6141" s="10"/>
    </row>
    <row r="6142" spans="20:20">
      <c r="T6142" s="10"/>
    </row>
    <row r="6143" spans="20:20">
      <c r="T6143" s="10"/>
    </row>
    <row r="6144" spans="20:20">
      <c r="T6144" s="10"/>
    </row>
    <row r="6145" spans="20:20">
      <c r="T6145" s="10"/>
    </row>
    <row r="6146" spans="20:20">
      <c r="T6146" s="10"/>
    </row>
    <row r="6147" spans="20:20">
      <c r="T6147" s="10"/>
    </row>
    <row r="6148" spans="20:20">
      <c r="T6148" s="10"/>
    </row>
    <row r="6149" spans="20:20">
      <c r="T6149" s="10"/>
    </row>
    <row r="6150" spans="20:20">
      <c r="T6150" s="10"/>
    </row>
    <row r="6151" spans="20:20">
      <c r="T6151" s="10"/>
    </row>
    <row r="6152" spans="20:20">
      <c r="T6152" s="10"/>
    </row>
    <row r="6153" spans="20:20">
      <c r="T6153" s="10"/>
    </row>
    <row r="6154" spans="20:20">
      <c r="T6154" s="10"/>
    </row>
    <row r="6155" spans="20:20">
      <c r="T6155" s="10"/>
    </row>
    <row r="6156" spans="20:20">
      <c r="T6156" s="10"/>
    </row>
    <row r="6157" spans="20:20">
      <c r="T6157" s="10"/>
    </row>
    <row r="6158" spans="20:20">
      <c r="T6158" s="10"/>
    </row>
    <row r="6159" spans="20:20">
      <c r="T6159" s="10"/>
    </row>
    <row r="6160" spans="20:20">
      <c r="T6160" s="10"/>
    </row>
    <row r="6161" spans="20:20">
      <c r="T6161" s="10"/>
    </row>
    <row r="6162" spans="20:20">
      <c r="T6162" s="10"/>
    </row>
    <row r="6163" spans="20:20">
      <c r="T6163" s="10"/>
    </row>
    <row r="6164" spans="20:20">
      <c r="T6164" s="10"/>
    </row>
    <row r="6165" spans="20:20">
      <c r="T6165" s="10"/>
    </row>
    <row r="6166" spans="20:20">
      <c r="T6166" s="10"/>
    </row>
    <row r="6167" spans="20:20">
      <c r="T6167" s="10"/>
    </row>
    <row r="6168" spans="20:20">
      <c r="T6168" s="10"/>
    </row>
    <row r="6169" spans="20:20">
      <c r="T6169" s="10"/>
    </row>
    <row r="6170" spans="20:20">
      <c r="T6170" s="10"/>
    </row>
    <row r="6171" spans="20:20">
      <c r="T6171" s="10"/>
    </row>
    <row r="6172" spans="20:20">
      <c r="T6172" s="10"/>
    </row>
    <row r="6173" spans="20:20">
      <c r="T6173" s="10"/>
    </row>
    <row r="6174" spans="20:20">
      <c r="T6174" s="10"/>
    </row>
    <row r="6175" spans="20:20">
      <c r="T6175" s="10"/>
    </row>
    <row r="6176" spans="20:20">
      <c r="T6176" s="10"/>
    </row>
    <row r="6177" spans="20:20">
      <c r="T6177" s="10"/>
    </row>
    <row r="6178" spans="20:20">
      <c r="T6178" s="10"/>
    </row>
    <row r="6179" spans="20:20">
      <c r="T6179" s="10"/>
    </row>
    <row r="6180" spans="20:20">
      <c r="T6180" s="10"/>
    </row>
    <row r="6181" spans="20:20">
      <c r="T6181" s="10"/>
    </row>
    <row r="6182" spans="20:20">
      <c r="T6182" s="10"/>
    </row>
    <row r="6183" spans="20:20">
      <c r="T6183" s="10"/>
    </row>
    <row r="6184" spans="20:20">
      <c r="T6184" s="10"/>
    </row>
    <row r="6185" spans="20:20">
      <c r="T6185" s="10"/>
    </row>
    <row r="6186" spans="20:20">
      <c r="T6186" s="10"/>
    </row>
    <row r="6187" spans="20:20">
      <c r="T6187" s="10"/>
    </row>
    <row r="6188" spans="20:20">
      <c r="T6188" s="10"/>
    </row>
    <row r="6189" spans="20:20">
      <c r="T6189" s="10"/>
    </row>
    <row r="6190" spans="20:20">
      <c r="T6190" s="10"/>
    </row>
    <row r="6191" spans="20:20">
      <c r="T6191" s="10"/>
    </row>
    <row r="6192" spans="20:20">
      <c r="T6192" s="10"/>
    </row>
    <row r="6193" spans="20:20">
      <c r="T6193" s="10"/>
    </row>
    <row r="6194" spans="20:20">
      <c r="T6194" s="10"/>
    </row>
    <row r="6195" spans="20:20">
      <c r="T6195" s="10"/>
    </row>
    <row r="6196" spans="20:20">
      <c r="T6196" s="10"/>
    </row>
    <row r="6197" spans="20:20">
      <c r="T6197" s="10"/>
    </row>
    <row r="6198" spans="20:20">
      <c r="T6198" s="10"/>
    </row>
    <row r="6199" spans="20:20">
      <c r="T6199" s="10"/>
    </row>
    <row r="6200" spans="20:20">
      <c r="T6200" s="10"/>
    </row>
    <row r="6201" spans="20:20">
      <c r="T6201" s="10"/>
    </row>
    <row r="6202" spans="20:20">
      <c r="T6202" s="10"/>
    </row>
    <row r="6203" spans="20:20">
      <c r="T6203" s="10"/>
    </row>
    <row r="6204" spans="20:20">
      <c r="T6204" s="10"/>
    </row>
    <row r="6205" spans="20:20">
      <c r="T6205" s="10"/>
    </row>
    <row r="6206" spans="20:20">
      <c r="T6206" s="10"/>
    </row>
    <row r="6207" spans="20:20">
      <c r="T6207" s="10"/>
    </row>
    <row r="6208" spans="20:20">
      <c r="T6208" s="10"/>
    </row>
    <row r="6209" spans="20:20">
      <c r="T6209" s="10"/>
    </row>
    <row r="6210" spans="20:20">
      <c r="T6210" s="10"/>
    </row>
    <row r="6211" spans="20:20">
      <c r="T6211" s="10"/>
    </row>
    <row r="6212" spans="20:20">
      <c r="T6212" s="10"/>
    </row>
    <row r="6213" spans="20:20">
      <c r="T6213" s="10"/>
    </row>
    <row r="6214" spans="20:20">
      <c r="T6214" s="10"/>
    </row>
    <row r="6215" spans="20:20">
      <c r="T6215" s="10"/>
    </row>
    <row r="6216" spans="20:20">
      <c r="T6216" s="10"/>
    </row>
    <row r="6217" spans="20:20">
      <c r="T6217" s="10"/>
    </row>
    <row r="6218" spans="20:20">
      <c r="T6218" s="10"/>
    </row>
    <row r="6219" spans="20:20">
      <c r="T6219" s="10"/>
    </row>
    <row r="6220" spans="20:20">
      <c r="T6220" s="10"/>
    </row>
    <row r="6221" spans="20:20">
      <c r="T6221" s="10"/>
    </row>
    <row r="6222" spans="20:20">
      <c r="T6222" s="10"/>
    </row>
    <row r="6223" spans="20:20">
      <c r="T6223" s="10"/>
    </row>
    <row r="6224" spans="20:20">
      <c r="T6224" s="10"/>
    </row>
    <row r="6225" spans="20:20">
      <c r="T6225" s="10"/>
    </row>
    <row r="6226" spans="20:20">
      <c r="T6226" s="10"/>
    </row>
    <row r="6227" spans="20:20">
      <c r="T6227" s="10"/>
    </row>
    <row r="6228" spans="20:20">
      <c r="T6228" s="10"/>
    </row>
    <row r="6229" spans="20:20">
      <c r="T6229" s="10"/>
    </row>
    <row r="6230" spans="20:20">
      <c r="T6230" s="10"/>
    </row>
    <row r="6231" spans="20:20">
      <c r="T6231" s="10"/>
    </row>
    <row r="6232" spans="20:20">
      <c r="T6232" s="10"/>
    </row>
    <row r="6233" spans="20:20">
      <c r="T6233" s="10"/>
    </row>
    <row r="6234" spans="20:20">
      <c r="T6234" s="10"/>
    </row>
    <row r="6235" spans="20:20">
      <c r="T6235" s="10"/>
    </row>
    <row r="6236" spans="20:20">
      <c r="T6236" s="10"/>
    </row>
    <row r="6237" spans="20:20">
      <c r="T6237" s="10"/>
    </row>
    <row r="6238" spans="20:20">
      <c r="T6238" s="10"/>
    </row>
    <row r="6239" spans="20:20">
      <c r="T6239" s="10"/>
    </row>
    <row r="6240" spans="20:20">
      <c r="T6240" s="10"/>
    </row>
    <row r="6241" spans="20:20">
      <c r="T6241" s="10"/>
    </row>
    <row r="6242" spans="20:20">
      <c r="T6242" s="10"/>
    </row>
    <row r="6243" spans="20:20">
      <c r="T6243" s="10"/>
    </row>
    <row r="6244" spans="20:20">
      <c r="T6244" s="10"/>
    </row>
    <row r="6245" spans="20:20">
      <c r="T6245" s="10"/>
    </row>
    <row r="6246" spans="20:20">
      <c r="T6246" s="10"/>
    </row>
    <row r="6247" spans="20:20">
      <c r="T6247" s="10"/>
    </row>
    <row r="6248" spans="20:20">
      <c r="T6248" s="10"/>
    </row>
    <row r="6249" spans="20:20">
      <c r="T6249" s="10"/>
    </row>
    <row r="6250" spans="20:20">
      <c r="T6250" s="10"/>
    </row>
    <row r="6251" spans="20:20">
      <c r="T6251" s="10"/>
    </row>
    <row r="6252" spans="20:20">
      <c r="T6252" s="10"/>
    </row>
    <row r="6253" spans="20:20">
      <c r="T6253" s="10"/>
    </row>
    <row r="6254" spans="20:20">
      <c r="T6254" s="10"/>
    </row>
    <row r="6255" spans="20:20">
      <c r="T6255" s="10"/>
    </row>
    <row r="6256" spans="20:20">
      <c r="T6256" s="10"/>
    </row>
    <row r="6257" spans="20:20">
      <c r="T6257" s="10"/>
    </row>
    <row r="6258" spans="20:20">
      <c r="T6258" s="10"/>
    </row>
    <row r="6259" spans="20:20">
      <c r="T6259" s="10"/>
    </row>
    <row r="6260" spans="20:20">
      <c r="T6260" s="10"/>
    </row>
    <row r="6261" spans="20:20">
      <c r="T6261" s="10"/>
    </row>
    <row r="6262" spans="20:20">
      <c r="T6262" s="10"/>
    </row>
    <row r="6263" spans="20:20">
      <c r="T6263" s="10"/>
    </row>
    <row r="6264" spans="20:20">
      <c r="T6264" s="10"/>
    </row>
    <row r="6265" spans="20:20">
      <c r="T6265" s="10"/>
    </row>
    <row r="6266" spans="20:20">
      <c r="T6266" s="10"/>
    </row>
    <row r="6267" spans="20:20">
      <c r="T6267" s="10"/>
    </row>
    <row r="6268" spans="20:20">
      <c r="T6268" s="10"/>
    </row>
    <row r="6269" spans="20:20">
      <c r="T6269" s="10"/>
    </row>
    <row r="6270" spans="20:20">
      <c r="T6270" s="10"/>
    </row>
    <row r="6271" spans="20:20">
      <c r="T6271" s="10"/>
    </row>
    <row r="6272" spans="20:20">
      <c r="T6272" s="10"/>
    </row>
    <row r="6273" spans="20:20">
      <c r="T6273" s="10"/>
    </row>
    <row r="6274" spans="20:20">
      <c r="T6274" s="10"/>
    </row>
    <row r="6275" spans="20:20">
      <c r="T6275" s="10"/>
    </row>
    <row r="6276" spans="20:20">
      <c r="T6276" s="10"/>
    </row>
    <row r="6277" spans="20:20">
      <c r="T6277" s="10"/>
    </row>
    <row r="6278" spans="20:20">
      <c r="T6278" s="10"/>
    </row>
    <row r="6279" spans="20:20">
      <c r="T6279" s="10"/>
    </row>
    <row r="6280" spans="20:20">
      <c r="T6280" s="10"/>
    </row>
    <row r="6281" spans="20:20">
      <c r="T6281" s="10"/>
    </row>
    <row r="6282" spans="20:20">
      <c r="T6282" s="10"/>
    </row>
    <row r="6283" spans="20:20">
      <c r="T6283" s="10"/>
    </row>
    <row r="6284" spans="20:20">
      <c r="T6284" s="10"/>
    </row>
    <row r="6285" spans="20:20">
      <c r="T6285" s="10"/>
    </row>
    <row r="6286" spans="20:20">
      <c r="T6286" s="10"/>
    </row>
    <row r="6287" spans="20:20">
      <c r="T6287" s="10"/>
    </row>
    <row r="6288" spans="20:20">
      <c r="T6288" s="10"/>
    </row>
    <row r="6289" spans="20:20">
      <c r="T6289" s="10"/>
    </row>
    <row r="6290" spans="20:20">
      <c r="T6290" s="10"/>
    </row>
    <row r="6291" spans="20:20">
      <c r="T6291" s="10"/>
    </row>
    <row r="6292" spans="20:20">
      <c r="T6292" s="10"/>
    </row>
    <row r="6293" spans="20:20">
      <c r="T6293" s="10"/>
    </row>
    <row r="6294" spans="20:20">
      <c r="T6294" s="10"/>
    </row>
    <row r="6295" spans="20:20">
      <c r="T6295" s="10"/>
    </row>
    <row r="6296" spans="20:20">
      <c r="T6296" s="10"/>
    </row>
    <row r="6297" spans="20:20">
      <c r="T6297" s="10"/>
    </row>
    <row r="6298" spans="20:20">
      <c r="T6298" s="10"/>
    </row>
    <row r="6299" spans="20:20">
      <c r="T6299" s="10"/>
    </row>
    <row r="6300" spans="20:20">
      <c r="T6300" s="10"/>
    </row>
    <row r="6301" spans="20:20">
      <c r="T6301" s="10"/>
    </row>
    <row r="6302" spans="20:20">
      <c r="T6302" s="10"/>
    </row>
    <row r="6303" spans="20:20">
      <c r="T6303" s="10"/>
    </row>
    <row r="6304" spans="20:20">
      <c r="T6304" s="10"/>
    </row>
    <row r="6305" spans="20:20">
      <c r="T6305" s="10"/>
    </row>
    <row r="6306" spans="20:20">
      <c r="T6306" s="10"/>
    </row>
    <row r="6307" spans="20:20">
      <c r="T6307" s="10"/>
    </row>
    <row r="6308" spans="20:20">
      <c r="T6308" s="10"/>
    </row>
    <row r="6309" spans="20:20">
      <c r="T6309" s="10"/>
    </row>
    <row r="6310" spans="20:20">
      <c r="T6310" s="10"/>
    </row>
    <row r="6311" spans="20:20">
      <c r="T6311" s="10"/>
    </row>
    <row r="6312" spans="20:20">
      <c r="T6312" s="10"/>
    </row>
    <row r="6313" spans="20:20">
      <c r="T6313" s="10"/>
    </row>
    <row r="6314" spans="20:20">
      <c r="T6314" s="10"/>
    </row>
    <row r="6315" spans="20:20">
      <c r="T6315" s="10"/>
    </row>
    <row r="6316" spans="20:20">
      <c r="T6316" s="10"/>
    </row>
    <row r="6317" spans="20:20">
      <c r="T6317" s="10"/>
    </row>
    <row r="6318" spans="20:20">
      <c r="T6318" s="10"/>
    </row>
    <row r="6319" spans="20:20">
      <c r="T6319" s="10"/>
    </row>
    <row r="6320" spans="20:20">
      <c r="T6320" s="10"/>
    </row>
    <row r="6321" spans="20:20">
      <c r="T6321" s="10"/>
    </row>
    <row r="6322" spans="20:20">
      <c r="T6322" s="10"/>
    </row>
    <row r="6323" spans="20:20">
      <c r="T6323" s="10"/>
    </row>
    <row r="6324" spans="20:20">
      <c r="T6324" s="10"/>
    </row>
    <row r="6325" spans="20:20">
      <c r="T6325" s="10"/>
    </row>
    <row r="6326" spans="20:20">
      <c r="T6326" s="10"/>
    </row>
    <row r="6327" spans="20:20">
      <c r="T6327" s="10"/>
    </row>
    <row r="6328" spans="20:20">
      <c r="T6328" s="10"/>
    </row>
    <row r="6329" spans="20:20">
      <c r="T6329" s="10"/>
    </row>
    <row r="6330" spans="20:20">
      <c r="T6330" s="10"/>
    </row>
    <row r="6331" spans="20:20">
      <c r="T6331" s="10"/>
    </row>
    <row r="6332" spans="20:20">
      <c r="T6332" s="10"/>
    </row>
    <row r="6333" spans="20:20">
      <c r="T6333" s="10"/>
    </row>
    <row r="6334" spans="20:20">
      <c r="T6334" s="10"/>
    </row>
    <row r="6335" spans="20:20">
      <c r="T6335" s="10"/>
    </row>
    <row r="6336" spans="20:20">
      <c r="T6336" s="10"/>
    </row>
    <row r="6337" spans="20:20">
      <c r="T6337" s="10"/>
    </row>
    <row r="6338" spans="20:20">
      <c r="T6338" s="10"/>
    </row>
    <row r="6339" spans="20:20">
      <c r="T6339" s="10"/>
    </row>
    <row r="6340" spans="20:20">
      <c r="T6340" s="10"/>
    </row>
    <row r="6341" spans="20:20">
      <c r="T6341" s="10"/>
    </row>
    <row r="6342" spans="20:20">
      <c r="T6342" s="10"/>
    </row>
    <row r="6343" spans="20:20">
      <c r="T6343" s="10"/>
    </row>
    <row r="6344" spans="20:20">
      <c r="T6344" s="10"/>
    </row>
    <row r="6345" spans="20:20">
      <c r="T6345" s="10"/>
    </row>
    <row r="6346" spans="20:20">
      <c r="T6346" s="10"/>
    </row>
    <row r="6347" spans="20:20">
      <c r="T6347" s="10"/>
    </row>
    <row r="6348" spans="20:20">
      <c r="T6348" s="10"/>
    </row>
    <row r="6349" spans="20:20">
      <c r="T6349" s="10"/>
    </row>
    <row r="6350" spans="20:20">
      <c r="T6350" s="10"/>
    </row>
    <row r="6351" spans="20:20">
      <c r="T6351" s="10"/>
    </row>
    <row r="6352" spans="20:20">
      <c r="T6352" s="10"/>
    </row>
    <row r="6353" spans="20:20">
      <c r="T6353" s="10"/>
    </row>
    <row r="6354" spans="20:20">
      <c r="T6354" s="10"/>
    </row>
    <row r="6355" spans="20:20">
      <c r="T6355" s="10"/>
    </row>
    <row r="6356" spans="20:20">
      <c r="T6356" s="10"/>
    </row>
    <row r="6357" spans="20:20">
      <c r="T6357" s="10"/>
    </row>
    <row r="6358" spans="20:20">
      <c r="T6358" s="10"/>
    </row>
    <row r="6359" spans="20:20">
      <c r="T6359" s="10"/>
    </row>
    <row r="6360" spans="20:20">
      <c r="T6360" s="10"/>
    </row>
    <row r="6361" spans="20:20">
      <c r="T6361" s="10"/>
    </row>
    <row r="6362" spans="20:20">
      <c r="T6362" s="10"/>
    </row>
    <row r="6363" spans="20:20">
      <c r="T6363" s="10"/>
    </row>
    <row r="6364" spans="20:20">
      <c r="T6364" s="10"/>
    </row>
    <row r="6365" spans="20:20">
      <c r="T6365" s="10"/>
    </row>
    <row r="6366" spans="20:20">
      <c r="T6366" s="10"/>
    </row>
    <row r="6367" spans="20:20">
      <c r="T6367" s="10"/>
    </row>
    <row r="6368" spans="20:20">
      <c r="T6368" s="10"/>
    </row>
    <row r="6369" spans="20:20">
      <c r="T6369" s="10"/>
    </row>
    <row r="6370" spans="20:20">
      <c r="T6370" s="10"/>
    </row>
    <row r="6371" spans="20:20">
      <c r="T6371" s="10"/>
    </row>
    <row r="6372" spans="20:20">
      <c r="T6372" s="10"/>
    </row>
    <row r="6373" spans="20:20">
      <c r="T6373" s="10"/>
    </row>
    <row r="6374" spans="20:20">
      <c r="T6374" s="10"/>
    </row>
    <row r="6375" spans="20:20">
      <c r="T6375" s="10"/>
    </row>
    <row r="6376" spans="20:20">
      <c r="T6376" s="10"/>
    </row>
    <row r="6377" spans="20:20">
      <c r="T6377" s="10"/>
    </row>
    <row r="6378" spans="20:20">
      <c r="T6378" s="10"/>
    </row>
    <row r="6379" spans="20:20">
      <c r="T6379" s="10"/>
    </row>
    <row r="6380" spans="20:20">
      <c r="T6380" s="10"/>
    </row>
    <row r="6381" spans="20:20">
      <c r="T6381" s="10"/>
    </row>
    <row r="6382" spans="20:20">
      <c r="T6382" s="10"/>
    </row>
    <row r="6383" spans="20:20">
      <c r="T6383" s="10"/>
    </row>
    <row r="6384" spans="20:20">
      <c r="T6384" s="10"/>
    </row>
    <row r="6385" spans="20:20">
      <c r="T6385" s="10"/>
    </row>
    <row r="6386" spans="20:20">
      <c r="T6386" s="10"/>
    </row>
    <row r="6387" spans="20:20">
      <c r="T6387" s="10"/>
    </row>
    <row r="6388" spans="20:20">
      <c r="T6388" s="10"/>
    </row>
    <row r="6389" spans="20:20">
      <c r="T6389" s="10"/>
    </row>
    <row r="6390" spans="20:20">
      <c r="T6390" s="10"/>
    </row>
    <row r="6391" spans="20:20">
      <c r="T6391" s="10"/>
    </row>
    <row r="6392" spans="20:20">
      <c r="T6392" s="10"/>
    </row>
    <row r="6393" spans="20:20">
      <c r="T6393" s="10"/>
    </row>
    <row r="6394" spans="20:20">
      <c r="T6394" s="10"/>
    </row>
    <row r="6395" spans="20:20">
      <c r="T6395" s="10"/>
    </row>
    <row r="6396" spans="20:20">
      <c r="T6396" s="10"/>
    </row>
    <row r="6397" spans="20:20">
      <c r="T6397" s="10"/>
    </row>
    <row r="6398" spans="20:20">
      <c r="T6398" s="10"/>
    </row>
    <row r="6399" spans="20:20">
      <c r="T6399" s="10"/>
    </row>
    <row r="6400" spans="20:20">
      <c r="T6400" s="10"/>
    </row>
    <row r="6401" spans="20:20">
      <c r="T6401" s="10"/>
    </row>
    <row r="6402" spans="20:20">
      <c r="T6402" s="10"/>
    </row>
    <row r="6403" spans="20:20">
      <c r="T6403" s="10"/>
    </row>
    <row r="6404" spans="20:20">
      <c r="T6404" s="10"/>
    </row>
    <row r="6405" spans="20:20">
      <c r="T6405" s="10"/>
    </row>
    <row r="6406" spans="20:20">
      <c r="T6406" s="10"/>
    </row>
    <row r="6407" spans="20:20">
      <c r="T6407" s="10"/>
    </row>
    <row r="6408" spans="20:20">
      <c r="T6408" s="10"/>
    </row>
    <row r="6409" spans="20:20">
      <c r="T6409" s="10"/>
    </row>
    <row r="6410" spans="20:20">
      <c r="T6410" s="10"/>
    </row>
    <row r="6411" spans="20:20">
      <c r="T6411" s="10"/>
    </row>
    <row r="6412" spans="20:20">
      <c r="T6412" s="10"/>
    </row>
    <row r="6413" spans="20:20">
      <c r="T6413" s="10"/>
    </row>
    <row r="6414" spans="20:20">
      <c r="T6414" s="10"/>
    </row>
    <row r="6415" spans="20:20">
      <c r="T6415" s="10"/>
    </row>
    <row r="6416" spans="20:20">
      <c r="T6416" s="10"/>
    </row>
    <row r="6417" spans="20:20">
      <c r="T6417" s="10"/>
    </row>
    <row r="6418" spans="20:20">
      <c r="T6418" s="10"/>
    </row>
    <row r="6419" spans="20:20">
      <c r="T6419" s="10"/>
    </row>
    <row r="6420" spans="20:20">
      <c r="T6420" s="10"/>
    </row>
    <row r="6421" spans="20:20">
      <c r="T6421" s="10"/>
    </row>
    <row r="6422" spans="20:20">
      <c r="T6422" s="10"/>
    </row>
    <row r="6423" spans="20:20">
      <c r="T6423" s="10"/>
    </row>
    <row r="6424" spans="20:20">
      <c r="T6424" s="10"/>
    </row>
    <row r="6425" spans="20:20">
      <c r="T6425" s="10"/>
    </row>
    <row r="6426" spans="20:20">
      <c r="T6426" s="10"/>
    </row>
    <row r="6427" spans="20:20">
      <c r="T6427" s="10"/>
    </row>
    <row r="6428" spans="20:20">
      <c r="T6428" s="10"/>
    </row>
    <row r="6429" spans="20:20">
      <c r="T6429" s="10"/>
    </row>
    <row r="6430" spans="20:20">
      <c r="T6430" s="10"/>
    </row>
    <row r="6431" spans="20:20">
      <c r="T6431" s="10"/>
    </row>
    <row r="6432" spans="20:20">
      <c r="T6432" s="10"/>
    </row>
    <row r="6433" spans="20:20">
      <c r="T6433" s="10"/>
    </row>
    <row r="6434" spans="20:20">
      <c r="T6434" s="10"/>
    </row>
    <row r="6435" spans="20:20">
      <c r="T6435" s="10"/>
    </row>
    <row r="6436" spans="20:20">
      <c r="T6436" s="10"/>
    </row>
    <row r="6437" spans="20:20">
      <c r="T6437" s="10"/>
    </row>
    <row r="6438" spans="20:20">
      <c r="T6438" s="10"/>
    </row>
    <row r="6439" spans="20:20">
      <c r="T6439" s="10"/>
    </row>
    <row r="6440" spans="20:20">
      <c r="T6440" s="10"/>
    </row>
    <row r="6441" spans="20:20">
      <c r="T6441" s="10"/>
    </row>
    <row r="6442" spans="20:20">
      <c r="T6442" s="10"/>
    </row>
    <row r="6443" spans="20:20">
      <c r="T6443" s="10"/>
    </row>
    <row r="6444" spans="20:20">
      <c r="T6444" s="10"/>
    </row>
    <row r="6445" spans="20:20">
      <c r="T6445" s="10"/>
    </row>
    <row r="6446" spans="20:20">
      <c r="T6446" s="10"/>
    </row>
    <row r="6447" spans="20:20">
      <c r="T6447" s="10"/>
    </row>
    <row r="6448" spans="20:20">
      <c r="T6448" s="10"/>
    </row>
    <row r="6449" spans="20:20">
      <c r="T6449" s="10"/>
    </row>
    <row r="6450" spans="20:20">
      <c r="T6450" s="10"/>
    </row>
    <row r="6451" spans="20:20">
      <c r="T6451" s="10"/>
    </row>
    <row r="6452" spans="20:20">
      <c r="T6452" s="10"/>
    </row>
    <row r="6453" spans="20:20">
      <c r="T6453" s="10"/>
    </row>
    <row r="6454" spans="20:20">
      <c r="T6454" s="10"/>
    </row>
    <row r="6455" spans="20:20">
      <c r="T6455" s="10"/>
    </row>
    <row r="6456" spans="20:20">
      <c r="T6456" s="10"/>
    </row>
    <row r="6457" spans="20:20">
      <c r="T6457" s="10"/>
    </row>
    <row r="6458" spans="20:20">
      <c r="T6458" s="10"/>
    </row>
    <row r="6459" spans="20:20">
      <c r="T6459" s="10"/>
    </row>
    <row r="6460" spans="20:20">
      <c r="T6460" s="10"/>
    </row>
    <row r="6461" spans="20:20">
      <c r="T6461" s="10"/>
    </row>
    <row r="6462" spans="20:20">
      <c r="T6462" s="10"/>
    </row>
    <row r="6463" spans="20:20">
      <c r="T6463" s="10"/>
    </row>
    <row r="6464" spans="20:20">
      <c r="T6464" s="10"/>
    </row>
    <row r="6465" spans="20:20">
      <c r="T6465" s="10"/>
    </row>
    <row r="6466" spans="20:20">
      <c r="T6466" s="10"/>
    </row>
    <row r="6467" spans="20:20">
      <c r="T6467" s="10"/>
    </row>
    <row r="6468" spans="20:20">
      <c r="T6468" s="10"/>
    </row>
    <row r="6469" spans="20:20">
      <c r="T6469" s="10"/>
    </row>
    <row r="6470" spans="20:20">
      <c r="T6470" s="10"/>
    </row>
    <row r="6471" spans="20:20">
      <c r="T6471" s="10"/>
    </row>
    <row r="6472" spans="20:20">
      <c r="T6472" s="10"/>
    </row>
    <row r="6473" spans="20:20">
      <c r="T6473" s="10"/>
    </row>
    <row r="6474" spans="20:20">
      <c r="T6474" s="10"/>
    </row>
    <row r="6475" spans="20:20">
      <c r="T6475" s="10"/>
    </row>
    <row r="6476" spans="20:20">
      <c r="T6476" s="10"/>
    </row>
    <row r="6477" spans="20:20">
      <c r="T6477" s="10"/>
    </row>
    <row r="6478" spans="20:20">
      <c r="T6478" s="10"/>
    </row>
    <row r="6479" spans="20:20">
      <c r="T6479" s="10"/>
    </row>
    <row r="6480" spans="20:20">
      <c r="T6480" s="10"/>
    </row>
    <row r="6481" spans="20:20">
      <c r="T6481" s="10"/>
    </row>
    <row r="6482" spans="20:20">
      <c r="T6482" s="10"/>
    </row>
    <row r="6483" spans="20:20">
      <c r="T6483" s="10"/>
    </row>
    <row r="6484" spans="20:20">
      <c r="T6484" s="10"/>
    </row>
    <row r="6485" spans="20:20">
      <c r="T6485" s="10"/>
    </row>
    <row r="6486" spans="20:20">
      <c r="T6486" s="10"/>
    </row>
    <row r="6487" spans="20:20">
      <c r="T6487" s="10"/>
    </row>
    <row r="6488" spans="20:20">
      <c r="T6488" s="10"/>
    </row>
    <row r="6489" spans="20:20">
      <c r="T6489" s="10"/>
    </row>
    <row r="6490" spans="20:20">
      <c r="T6490" s="10"/>
    </row>
    <row r="6491" spans="20:20">
      <c r="T6491" s="10"/>
    </row>
    <row r="6492" spans="20:20">
      <c r="T6492" s="10"/>
    </row>
    <row r="6493" spans="20:20">
      <c r="T6493" s="10"/>
    </row>
    <row r="6494" spans="20:20">
      <c r="T6494" s="10"/>
    </row>
    <row r="6495" spans="20:20">
      <c r="T6495" s="10"/>
    </row>
    <row r="6496" spans="20:20">
      <c r="T6496" s="10"/>
    </row>
    <row r="6497" spans="20:20">
      <c r="T6497" s="10"/>
    </row>
    <row r="6498" spans="20:20">
      <c r="T6498" s="10"/>
    </row>
    <row r="6499" spans="20:20">
      <c r="T6499" s="10"/>
    </row>
    <row r="6500" spans="20:20">
      <c r="T6500" s="10"/>
    </row>
    <row r="6501" spans="20:20">
      <c r="T6501" s="10"/>
    </row>
    <row r="6502" spans="20:20">
      <c r="T6502" s="10"/>
    </row>
    <row r="6503" spans="20:20">
      <c r="T6503" s="10"/>
    </row>
    <row r="6504" spans="20:20">
      <c r="T6504" s="10"/>
    </row>
    <row r="6505" spans="20:20">
      <c r="T6505" s="10"/>
    </row>
    <row r="6506" spans="20:20">
      <c r="T6506" s="10"/>
    </row>
    <row r="6507" spans="20:20">
      <c r="T6507" s="10"/>
    </row>
    <row r="6508" spans="20:20">
      <c r="T6508" s="10"/>
    </row>
    <row r="6509" spans="20:20">
      <c r="T6509" s="10"/>
    </row>
    <row r="6510" spans="20:20">
      <c r="T6510" s="10"/>
    </row>
    <row r="6511" spans="20:20">
      <c r="T6511" s="10"/>
    </row>
    <row r="6512" spans="20:20">
      <c r="T6512" s="10"/>
    </row>
    <row r="6513" spans="20:20">
      <c r="T6513" s="10"/>
    </row>
    <row r="6514" spans="20:20">
      <c r="T6514" s="10"/>
    </row>
    <row r="6515" spans="20:20">
      <c r="T6515" s="10"/>
    </row>
    <row r="6516" spans="20:20">
      <c r="T6516" s="10"/>
    </row>
    <row r="6517" spans="20:20">
      <c r="T6517" s="10"/>
    </row>
    <row r="6518" spans="20:20">
      <c r="T6518" s="10"/>
    </row>
    <row r="6519" spans="20:20">
      <c r="T6519" s="10"/>
    </row>
    <row r="6520" spans="20:20">
      <c r="T6520" s="10"/>
    </row>
    <row r="6521" spans="20:20">
      <c r="T6521" s="10"/>
    </row>
    <row r="6522" spans="20:20">
      <c r="T6522" s="10"/>
    </row>
    <row r="6523" spans="20:20">
      <c r="T6523" s="10"/>
    </row>
    <row r="6524" spans="20:20">
      <c r="T6524" s="10"/>
    </row>
    <row r="6525" spans="20:20">
      <c r="T6525" s="10"/>
    </row>
    <row r="6526" spans="20:20">
      <c r="T6526" s="10"/>
    </row>
    <row r="6527" spans="20:20">
      <c r="T6527" s="10"/>
    </row>
    <row r="6528" spans="20:20">
      <c r="T6528" s="10"/>
    </row>
    <row r="6529" spans="20:20">
      <c r="T6529" s="10"/>
    </row>
    <row r="6530" spans="20:20">
      <c r="T6530" s="10"/>
    </row>
    <row r="6531" spans="20:20">
      <c r="T6531" s="10"/>
    </row>
    <row r="6532" spans="20:20">
      <c r="T6532" s="10"/>
    </row>
    <row r="6533" spans="20:20">
      <c r="T6533" s="10"/>
    </row>
    <row r="6534" spans="20:20">
      <c r="T6534" s="10"/>
    </row>
    <row r="6535" spans="20:20">
      <c r="T6535" s="10"/>
    </row>
    <row r="6536" spans="20:20">
      <c r="T6536" s="10"/>
    </row>
    <row r="6537" spans="20:20">
      <c r="T6537" s="10"/>
    </row>
    <row r="6538" spans="20:20">
      <c r="T6538" s="10"/>
    </row>
    <row r="6539" spans="20:20">
      <c r="T6539" s="10"/>
    </row>
    <row r="6540" spans="20:20">
      <c r="T6540" s="10"/>
    </row>
    <row r="6541" spans="20:20">
      <c r="T6541" s="10"/>
    </row>
    <row r="6542" spans="20:20">
      <c r="T6542" s="10"/>
    </row>
    <row r="6543" spans="20:20">
      <c r="T6543" s="10"/>
    </row>
    <row r="6544" spans="20:20">
      <c r="T6544" s="10"/>
    </row>
    <row r="6545" spans="20:20">
      <c r="T6545" s="10"/>
    </row>
    <row r="6546" spans="20:20">
      <c r="T6546" s="10"/>
    </row>
    <row r="6547" spans="20:20">
      <c r="T6547" s="10"/>
    </row>
    <row r="6548" spans="20:20">
      <c r="T6548" s="10"/>
    </row>
    <row r="6549" spans="20:20">
      <c r="T6549" s="10"/>
    </row>
    <row r="6550" spans="20:20">
      <c r="T6550" s="10"/>
    </row>
    <row r="6551" spans="20:20">
      <c r="T6551" s="10"/>
    </row>
    <row r="6552" spans="20:20">
      <c r="T6552" s="10"/>
    </row>
    <row r="6553" spans="20:20">
      <c r="T6553" s="10"/>
    </row>
    <row r="6554" spans="20:20">
      <c r="T6554" s="10"/>
    </row>
    <row r="6555" spans="20:20">
      <c r="T6555" s="10"/>
    </row>
    <row r="6556" spans="20:20">
      <c r="T6556" s="10"/>
    </row>
    <row r="6557" spans="20:20">
      <c r="T6557" s="10"/>
    </row>
    <row r="6558" spans="20:20">
      <c r="T6558" s="10"/>
    </row>
    <row r="6559" spans="20:20">
      <c r="T6559" s="10"/>
    </row>
    <row r="6560" spans="20:20">
      <c r="T6560" s="10"/>
    </row>
    <row r="6561" spans="20:20">
      <c r="T6561" s="10"/>
    </row>
    <row r="6562" spans="20:20">
      <c r="T6562" s="10"/>
    </row>
    <row r="6563" spans="20:20">
      <c r="T6563" s="10"/>
    </row>
    <row r="6564" spans="20:20">
      <c r="T6564" s="10"/>
    </row>
    <row r="6565" spans="20:20">
      <c r="T6565" s="10"/>
    </row>
    <row r="6566" spans="20:20">
      <c r="T6566" s="10"/>
    </row>
    <row r="6567" spans="20:20">
      <c r="T6567" s="10"/>
    </row>
    <row r="6568" spans="20:20">
      <c r="T6568" s="10"/>
    </row>
    <row r="6569" spans="20:20">
      <c r="T6569" s="10"/>
    </row>
    <row r="6570" spans="20:20">
      <c r="T6570" s="10"/>
    </row>
    <row r="6571" spans="20:20">
      <c r="T6571" s="10"/>
    </row>
    <row r="6572" spans="20:20">
      <c r="T6572" s="10"/>
    </row>
    <row r="6573" spans="20:20">
      <c r="T6573" s="10"/>
    </row>
    <row r="6574" spans="20:20">
      <c r="T6574" s="10"/>
    </row>
    <row r="6575" spans="20:20">
      <c r="T6575" s="10"/>
    </row>
    <row r="6576" spans="20:20">
      <c r="T6576" s="10"/>
    </row>
    <row r="6577" spans="20:20">
      <c r="T6577" s="10"/>
    </row>
    <row r="6578" spans="20:20">
      <c r="T6578" s="10"/>
    </row>
    <row r="6579" spans="20:20">
      <c r="T6579" s="10"/>
    </row>
    <row r="6580" spans="20:20">
      <c r="T6580" s="10"/>
    </row>
    <row r="6581" spans="20:20">
      <c r="T6581" s="10"/>
    </row>
    <row r="6582" spans="20:20">
      <c r="T6582" s="10"/>
    </row>
    <row r="6583" spans="20:20">
      <c r="T6583" s="10"/>
    </row>
    <row r="6584" spans="20:20">
      <c r="T6584" s="10"/>
    </row>
    <row r="6585" spans="20:20">
      <c r="T6585" s="10"/>
    </row>
    <row r="6586" spans="20:20">
      <c r="T6586" s="10"/>
    </row>
    <row r="6587" spans="20:20">
      <c r="T6587" s="10"/>
    </row>
    <row r="6588" spans="20:20">
      <c r="T6588" s="10"/>
    </row>
    <row r="6589" spans="20:20">
      <c r="T6589" s="10"/>
    </row>
    <row r="6590" spans="20:20">
      <c r="T6590" s="10"/>
    </row>
    <row r="6591" spans="20:20">
      <c r="T6591" s="10"/>
    </row>
    <row r="6592" spans="20:20">
      <c r="T6592" s="10"/>
    </row>
    <row r="6593" spans="20:20">
      <c r="T6593" s="10"/>
    </row>
    <row r="6594" spans="20:20">
      <c r="T6594" s="10"/>
    </row>
    <row r="6595" spans="20:20">
      <c r="T6595" s="10"/>
    </row>
    <row r="6596" spans="20:20">
      <c r="T6596" s="10"/>
    </row>
    <row r="6597" spans="20:20">
      <c r="T6597" s="10"/>
    </row>
    <row r="6598" spans="20:20">
      <c r="T6598" s="10"/>
    </row>
    <row r="6599" spans="20:20">
      <c r="T6599" s="10"/>
    </row>
    <row r="6600" spans="20:20">
      <c r="T6600" s="10"/>
    </row>
    <row r="6601" spans="20:20">
      <c r="T6601" s="10"/>
    </row>
    <row r="6602" spans="20:20">
      <c r="T6602" s="10"/>
    </row>
    <row r="6603" spans="20:20">
      <c r="T6603" s="10"/>
    </row>
    <row r="6604" spans="20:20">
      <c r="T6604" s="10"/>
    </row>
    <row r="6605" spans="20:20">
      <c r="T6605" s="10"/>
    </row>
    <row r="6606" spans="20:20">
      <c r="T6606" s="10"/>
    </row>
    <row r="6607" spans="20:20">
      <c r="T6607" s="10"/>
    </row>
    <row r="6608" spans="20:20">
      <c r="T6608" s="10"/>
    </row>
    <row r="6609" spans="20:20">
      <c r="T6609" s="10"/>
    </row>
    <row r="6610" spans="20:20">
      <c r="T6610" s="10"/>
    </row>
    <row r="6611" spans="20:20">
      <c r="T6611" s="10"/>
    </row>
    <row r="6612" spans="20:20">
      <c r="T6612" s="10"/>
    </row>
    <row r="6613" spans="20:20">
      <c r="T6613" s="10"/>
    </row>
    <row r="6614" spans="20:20">
      <c r="T6614" s="10"/>
    </row>
    <row r="6615" spans="20:20">
      <c r="T6615" s="10"/>
    </row>
    <row r="6616" spans="20:20">
      <c r="T6616" s="10"/>
    </row>
    <row r="6617" spans="20:20">
      <c r="T6617" s="10"/>
    </row>
    <row r="6618" spans="20:20">
      <c r="T6618" s="10"/>
    </row>
    <row r="6619" spans="20:20">
      <c r="T6619" s="10"/>
    </row>
    <row r="6620" spans="20:20">
      <c r="T6620" s="10"/>
    </row>
    <row r="6621" spans="20:20">
      <c r="T6621" s="10"/>
    </row>
    <row r="6622" spans="20:20">
      <c r="T6622" s="10"/>
    </row>
    <row r="6623" spans="20:20">
      <c r="T6623" s="10"/>
    </row>
    <row r="6624" spans="20:20">
      <c r="T6624" s="10"/>
    </row>
    <row r="6625" spans="20:20">
      <c r="T6625" s="10"/>
    </row>
    <row r="6626" spans="20:20">
      <c r="T6626" s="10"/>
    </row>
    <row r="6627" spans="20:20">
      <c r="T6627" s="10"/>
    </row>
    <row r="6628" spans="20:20">
      <c r="T6628" s="10"/>
    </row>
    <row r="6629" spans="20:20">
      <c r="T6629" s="10"/>
    </row>
    <row r="6630" spans="20:20">
      <c r="T6630" s="10"/>
    </row>
    <row r="6631" spans="20:20">
      <c r="T6631" s="10"/>
    </row>
    <row r="6632" spans="20:20">
      <c r="T6632" s="10"/>
    </row>
    <row r="6633" spans="20:20">
      <c r="T6633" s="10"/>
    </row>
    <row r="6634" spans="20:20">
      <c r="T6634" s="10"/>
    </row>
    <row r="6635" spans="20:20">
      <c r="T6635" s="10"/>
    </row>
    <row r="6636" spans="20:20">
      <c r="T6636" s="10"/>
    </row>
    <row r="6637" spans="20:20">
      <c r="T6637" s="10"/>
    </row>
    <row r="6638" spans="20:20">
      <c r="T6638" s="10"/>
    </row>
    <row r="6639" spans="20:20">
      <c r="T6639" s="10"/>
    </row>
    <row r="6640" spans="20:20">
      <c r="T6640" s="10"/>
    </row>
    <row r="6641" spans="20:20">
      <c r="T6641" s="10"/>
    </row>
    <row r="6642" spans="20:20">
      <c r="T6642" s="10"/>
    </row>
    <row r="6643" spans="20:20">
      <c r="T6643" s="10"/>
    </row>
    <row r="6644" spans="20:20">
      <c r="T6644" s="10"/>
    </row>
    <row r="6645" spans="20:20">
      <c r="T6645" s="10"/>
    </row>
    <row r="6646" spans="20:20">
      <c r="T6646" s="10"/>
    </row>
    <row r="6647" spans="20:20">
      <c r="T6647" s="10"/>
    </row>
    <row r="6648" spans="20:20">
      <c r="T6648" s="10"/>
    </row>
    <row r="6649" spans="20:20">
      <c r="T6649" s="10"/>
    </row>
    <row r="6650" spans="20:20">
      <c r="T6650" s="10"/>
    </row>
    <row r="6651" spans="20:20">
      <c r="T6651" s="10"/>
    </row>
    <row r="6652" spans="20:20">
      <c r="T6652" s="10"/>
    </row>
    <row r="6653" spans="20:20">
      <c r="T6653" s="10"/>
    </row>
    <row r="6654" spans="20:20">
      <c r="T6654" s="10"/>
    </row>
    <row r="6655" spans="20:20">
      <c r="T6655" s="10"/>
    </row>
    <row r="6656" spans="20:20">
      <c r="T6656" s="10"/>
    </row>
    <row r="6657" spans="20:20">
      <c r="T6657" s="10"/>
    </row>
    <row r="6658" spans="20:20">
      <c r="T6658" s="10"/>
    </row>
    <row r="6659" spans="20:20">
      <c r="T6659" s="10"/>
    </row>
    <row r="6660" spans="20:20">
      <c r="T6660" s="10"/>
    </row>
    <row r="6661" spans="20:20">
      <c r="T6661" s="10"/>
    </row>
    <row r="6662" spans="20:20">
      <c r="T6662" s="10"/>
    </row>
    <row r="6663" spans="20:20">
      <c r="T6663" s="10"/>
    </row>
    <row r="6664" spans="20:20">
      <c r="T6664" s="10"/>
    </row>
    <row r="6665" spans="20:20">
      <c r="T6665" s="10"/>
    </row>
    <row r="6666" spans="20:20">
      <c r="T6666" s="10"/>
    </row>
    <row r="6667" spans="20:20">
      <c r="T6667" s="10"/>
    </row>
    <row r="6668" spans="20:20">
      <c r="T6668" s="10"/>
    </row>
    <row r="6669" spans="20:20">
      <c r="T6669" s="10"/>
    </row>
    <row r="6670" spans="20:20">
      <c r="T6670" s="10"/>
    </row>
    <row r="6671" spans="20:20">
      <c r="T6671" s="10"/>
    </row>
    <row r="6672" spans="20:20">
      <c r="T6672" s="10"/>
    </row>
    <row r="6673" spans="20:20">
      <c r="T6673" s="10"/>
    </row>
    <row r="6674" spans="20:20">
      <c r="T6674" s="10"/>
    </row>
    <row r="6675" spans="20:20">
      <c r="T6675" s="10"/>
    </row>
    <row r="6676" spans="20:20">
      <c r="T6676" s="10"/>
    </row>
    <row r="6677" spans="20:20">
      <c r="T6677" s="10"/>
    </row>
    <row r="6678" spans="20:20">
      <c r="T6678" s="10"/>
    </row>
    <row r="6679" spans="20:20">
      <c r="T6679" s="10"/>
    </row>
    <row r="6680" spans="20:20">
      <c r="T6680" s="10"/>
    </row>
    <row r="6681" spans="20:20">
      <c r="T6681" s="10"/>
    </row>
    <row r="6682" spans="20:20">
      <c r="T6682" s="10"/>
    </row>
    <row r="6683" spans="20:20">
      <c r="T6683" s="10"/>
    </row>
    <row r="6684" spans="20:20">
      <c r="T6684" s="10"/>
    </row>
    <row r="6685" spans="20:20">
      <c r="T6685" s="10"/>
    </row>
    <row r="6686" spans="20:20">
      <c r="T6686" s="10"/>
    </row>
    <row r="6687" spans="20:20">
      <c r="T6687" s="10"/>
    </row>
    <row r="6688" spans="20:20">
      <c r="T6688" s="10"/>
    </row>
    <row r="6689" spans="20:20">
      <c r="T6689" s="10"/>
    </row>
    <row r="6690" spans="20:20">
      <c r="T6690" s="10"/>
    </row>
    <row r="6691" spans="20:20">
      <c r="T6691" s="10"/>
    </row>
    <row r="6692" spans="20:20">
      <c r="T6692" s="10"/>
    </row>
    <row r="6693" spans="20:20">
      <c r="T6693" s="10"/>
    </row>
    <row r="6694" spans="20:20">
      <c r="T6694" s="10"/>
    </row>
    <row r="6695" spans="20:20">
      <c r="T6695" s="10"/>
    </row>
    <row r="6696" spans="20:20">
      <c r="T6696" s="10"/>
    </row>
    <row r="6697" spans="20:20">
      <c r="T6697" s="10"/>
    </row>
    <row r="6698" spans="20:20">
      <c r="T6698" s="10"/>
    </row>
    <row r="6699" spans="20:20">
      <c r="T6699" s="10"/>
    </row>
    <row r="6700" spans="20:20">
      <c r="T6700" s="10"/>
    </row>
    <row r="6701" spans="20:20">
      <c r="T6701" s="10"/>
    </row>
    <row r="6702" spans="20:20">
      <c r="T6702" s="10"/>
    </row>
    <row r="6703" spans="20:20">
      <c r="T6703" s="10"/>
    </row>
    <row r="6704" spans="20:20">
      <c r="T6704" s="10"/>
    </row>
    <row r="6705" spans="20:20">
      <c r="T6705" s="10"/>
    </row>
    <row r="6706" spans="20:20">
      <c r="T6706" s="10"/>
    </row>
    <row r="6707" spans="20:20">
      <c r="T6707" s="10"/>
    </row>
    <row r="6708" spans="20:20">
      <c r="T6708" s="10"/>
    </row>
    <row r="6709" spans="20:20">
      <c r="T6709" s="10"/>
    </row>
    <row r="6710" spans="20:20">
      <c r="T6710" s="10"/>
    </row>
    <row r="6711" spans="20:20">
      <c r="T6711" s="10"/>
    </row>
    <row r="6712" spans="20:20">
      <c r="T6712" s="10"/>
    </row>
    <row r="6713" spans="20:20">
      <c r="T6713" s="10"/>
    </row>
    <row r="6714" spans="20:20">
      <c r="T6714" s="10"/>
    </row>
    <row r="6715" spans="20:20">
      <c r="T6715" s="10"/>
    </row>
    <row r="6716" spans="20:20">
      <c r="T6716" s="10"/>
    </row>
    <row r="6717" spans="20:20">
      <c r="T6717" s="10"/>
    </row>
    <row r="6718" spans="20:20">
      <c r="T6718" s="10"/>
    </row>
    <row r="6719" spans="20:20">
      <c r="T6719" s="10"/>
    </row>
    <row r="6720" spans="20:20">
      <c r="T6720" s="10"/>
    </row>
    <row r="6721" spans="20:20">
      <c r="T6721" s="10"/>
    </row>
    <row r="6722" spans="20:20">
      <c r="T6722" s="10"/>
    </row>
    <row r="6723" spans="20:20">
      <c r="T6723" s="10"/>
    </row>
    <row r="6724" spans="20:20">
      <c r="T6724" s="10"/>
    </row>
    <row r="6725" spans="20:20">
      <c r="T6725" s="10"/>
    </row>
    <row r="6726" spans="20:20">
      <c r="T6726" s="10"/>
    </row>
    <row r="6727" spans="20:20">
      <c r="T6727" s="10"/>
    </row>
    <row r="6728" spans="20:20">
      <c r="T6728" s="10"/>
    </row>
    <row r="6729" spans="20:20">
      <c r="T6729" s="10"/>
    </row>
    <row r="6730" spans="20:20">
      <c r="T6730" s="10"/>
    </row>
    <row r="6731" spans="20:20">
      <c r="T6731" s="10"/>
    </row>
    <row r="6732" spans="20:20">
      <c r="T6732" s="10"/>
    </row>
    <row r="6733" spans="20:20">
      <c r="T6733" s="10"/>
    </row>
    <row r="6734" spans="20:20">
      <c r="T6734" s="10"/>
    </row>
    <row r="6735" spans="20:20">
      <c r="T6735" s="10"/>
    </row>
    <row r="6736" spans="20:20">
      <c r="T6736" s="10"/>
    </row>
    <row r="6737" spans="20:20">
      <c r="T6737" s="10"/>
    </row>
    <row r="6738" spans="20:20">
      <c r="T6738" s="10"/>
    </row>
    <row r="6739" spans="20:20">
      <c r="T6739" s="10"/>
    </row>
    <row r="6740" spans="20:20">
      <c r="T6740" s="10"/>
    </row>
    <row r="6741" spans="20:20">
      <c r="T6741" s="10"/>
    </row>
    <row r="6742" spans="20:20">
      <c r="T6742" s="10"/>
    </row>
    <row r="6743" spans="20:20">
      <c r="T6743" s="10"/>
    </row>
    <row r="6744" spans="20:20">
      <c r="T6744" s="10"/>
    </row>
    <row r="6745" spans="20:20">
      <c r="T6745" s="10"/>
    </row>
    <row r="6746" spans="20:20">
      <c r="T6746" s="10"/>
    </row>
    <row r="6747" spans="20:20">
      <c r="T6747" s="10"/>
    </row>
    <row r="6748" spans="20:20">
      <c r="T6748" s="10"/>
    </row>
    <row r="6749" spans="20:20">
      <c r="T6749" s="10"/>
    </row>
    <row r="6750" spans="20:20">
      <c r="T6750" s="10"/>
    </row>
    <row r="6751" spans="20:20">
      <c r="T6751" s="10"/>
    </row>
    <row r="6752" spans="20:20">
      <c r="T6752" s="10"/>
    </row>
    <row r="6753" spans="20:20">
      <c r="T6753" s="10"/>
    </row>
    <row r="6754" spans="20:20">
      <c r="T6754" s="10"/>
    </row>
    <row r="6755" spans="20:20">
      <c r="T6755" s="10"/>
    </row>
    <row r="6756" spans="20:20">
      <c r="T6756" s="10"/>
    </row>
    <row r="6757" spans="20:20">
      <c r="T6757" s="10"/>
    </row>
    <row r="6758" spans="20:20">
      <c r="T6758" s="10"/>
    </row>
    <row r="6759" spans="20:20">
      <c r="T6759" s="10"/>
    </row>
    <row r="6760" spans="20:20">
      <c r="T6760" s="10"/>
    </row>
    <row r="6761" spans="20:20">
      <c r="T6761" s="10"/>
    </row>
    <row r="6762" spans="20:20">
      <c r="T6762" s="10"/>
    </row>
    <row r="6763" spans="20:20">
      <c r="T6763" s="10"/>
    </row>
    <row r="6764" spans="20:20">
      <c r="T6764" s="10"/>
    </row>
    <row r="6765" spans="20:20">
      <c r="T6765" s="10"/>
    </row>
    <row r="6766" spans="20:20">
      <c r="T6766" s="10"/>
    </row>
    <row r="6767" spans="20:20">
      <c r="T6767" s="10"/>
    </row>
    <row r="6768" spans="20:20">
      <c r="T6768" s="10"/>
    </row>
    <row r="6769" spans="20:20">
      <c r="T6769" s="10"/>
    </row>
    <row r="6770" spans="20:20">
      <c r="T6770" s="10"/>
    </row>
    <row r="6771" spans="20:20">
      <c r="T6771" s="10"/>
    </row>
    <row r="6772" spans="20:20">
      <c r="T6772" s="10"/>
    </row>
    <row r="6773" spans="20:20">
      <c r="T6773" s="10"/>
    </row>
    <row r="6774" spans="20:20">
      <c r="T6774" s="10"/>
    </row>
    <row r="6775" spans="20:20">
      <c r="T6775" s="10"/>
    </row>
    <row r="6776" spans="20:20">
      <c r="T6776" s="10"/>
    </row>
    <row r="6777" spans="20:20">
      <c r="T6777" s="10"/>
    </row>
    <row r="6778" spans="20:20">
      <c r="T6778" s="10"/>
    </row>
    <row r="6779" spans="20:20">
      <c r="T6779" s="10"/>
    </row>
    <row r="6780" spans="20:20">
      <c r="T6780" s="10"/>
    </row>
    <row r="6781" spans="20:20">
      <c r="T6781" s="10"/>
    </row>
    <row r="6782" spans="20:20">
      <c r="T6782" s="10"/>
    </row>
    <row r="6783" spans="20:20">
      <c r="T6783" s="10"/>
    </row>
    <row r="6784" spans="20:20">
      <c r="T6784" s="10"/>
    </row>
    <row r="6785" spans="20:20">
      <c r="T6785" s="10"/>
    </row>
    <row r="6786" spans="20:20">
      <c r="T6786" s="10"/>
    </row>
    <row r="6787" spans="20:20">
      <c r="T6787" s="10"/>
    </row>
    <row r="6788" spans="20:20">
      <c r="T6788" s="10"/>
    </row>
    <row r="6789" spans="20:20">
      <c r="T6789" s="10"/>
    </row>
    <row r="6790" spans="20:20">
      <c r="T6790" s="10"/>
    </row>
    <row r="6791" spans="20:20">
      <c r="T6791" s="10"/>
    </row>
    <row r="6792" spans="20:20">
      <c r="T6792" s="10"/>
    </row>
    <row r="6793" spans="20:20">
      <c r="T6793" s="10"/>
    </row>
    <row r="6794" spans="20:20">
      <c r="T6794" s="10"/>
    </row>
    <row r="6795" spans="20:20">
      <c r="T6795" s="10"/>
    </row>
    <row r="6796" spans="20:20">
      <c r="T6796" s="10"/>
    </row>
    <row r="6797" spans="20:20">
      <c r="T6797" s="10"/>
    </row>
    <row r="6798" spans="20:20">
      <c r="T6798" s="10"/>
    </row>
    <row r="6799" spans="20:20">
      <c r="T6799" s="10"/>
    </row>
    <row r="6800" spans="20:20">
      <c r="T6800" s="10"/>
    </row>
    <row r="6801" spans="20:20">
      <c r="T6801" s="10"/>
    </row>
    <row r="6802" spans="20:20">
      <c r="T6802" s="10"/>
    </row>
    <row r="6803" spans="20:20">
      <c r="T6803" s="10"/>
    </row>
    <row r="6804" spans="20:20">
      <c r="T6804" s="10"/>
    </row>
    <row r="6805" spans="20:20">
      <c r="T6805" s="10"/>
    </row>
    <row r="6806" spans="20:20">
      <c r="T6806" s="10"/>
    </row>
    <row r="6807" spans="20:20">
      <c r="T6807" s="10"/>
    </row>
    <row r="6808" spans="20:20">
      <c r="T6808" s="10"/>
    </row>
    <row r="6809" spans="20:20">
      <c r="T6809" s="10"/>
    </row>
    <row r="6810" spans="20:20">
      <c r="T6810" s="10"/>
    </row>
    <row r="6811" spans="20:20">
      <c r="T6811" s="10"/>
    </row>
    <row r="6812" spans="20:20">
      <c r="T6812" s="10"/>
    </row>
    <row r="6813" spans="20:20">
      <c r="T6813" s="10"/>
    </row>
    <row r="6814" spans="20:20">
      <c r="T6814" s="10"/>
    </row>
    <row r="6815" spans="20:20">
      <c r="T6815" s="10"/>
    </row>
    <row r="6816" spans="20:20">
      <c r="T6816" s="10"/>
    </row>
    <row r="6817" spans="20:20">
      <c r="T6817" s="10"/>
    </row>
    <row r="6818" spans="20:20">
      <c r="T6818" s="10"/>
    </row>
    <row r="6819" spans="20:20">
      <c r="T6819" s="10"/>
    </row>
    <row r="6820" spans="20:20">
      <c r="T6820" s="10"/>
    </row>
    <row r="6821" spans="20:20">
      <c r="T6821" s="10"/>
    </row>
    <row r="6822" spans="20:20">
      <c r="T6822" s="10"/>
    </row>
    <row r="6823" spans="20:20">
      <c r="T6823" s="10"/>
    </row>
    <row r="6824" spans="20:20">
      <c r="T6824" s="10"/>
    </row>
    <row r="6825" spans="20:20">
      <c r="T6825" s="10"/>
    </row>
    <row r="6826" spans="20:20">
      <c r="T6826" s="10"/>
    </row>
    <row r="6827" spans="20:20">
      <c r="T6827" s="10"/>
    </row>
    <row r="6828" spans="20:20">
      <c r="T6828" s="10"/>
    </row>
    <row r="6829" spans="20:20">
      <c r="T6829" s="10"/>
    </row>
    <row r="6830" spans="20:20">
      <c r="T6830" s="10"/>
    </row>
    <row r="6831" spans="20:20">
      <c r="T6831" s="10"/>
    </row>
    <row r="6832" spans="20:20">
      <c r="T6832" s="10"/>
    </row>
    <row r="6833" spans="20:20">
      <c r="T6833" s="10"/>
    </row>
    <row r="6834" spans="20:20">
      <c r="T6834" s="10"/>
    </row>
    <row r="6835" spans="20:20">
      <c r="T6835" s="10"/>
    </row>
    <row r="6836" spans="20:20">
      <c r="T6836" s="10"/>
    </row>
    <row r="6837" spans="20:20">
      <c r="T6837" s="10"/>
    </row>
    <row r="6838" spans="20:20">
      <c r="T6838" s="10"/>
    </row>
    <row r="6839" spans="20:20">
      <c r="T6839" s="10"/>
    </row>
    <row r="6840" spans="20:20">
      <c r="T6840" s="10"/>
    </row>
    <row r="6841" spans="20:20">
      <c r="T6841" s="10"/>
    </row>
    <row r="6842" spans="20:20">
      <c r="T6842" s="10"/>
    </row>
    <row r="6843" spans="20:20">
      <c r="T6843" s="10"/>
    </row>
    <row r="6844" spans="20:20">
      <c r="T6844" s="10"/>
    </row>
    <row r="6845" spans="20:20">
      <c r="T6845" s="10"/>
    </row>
    <row r="6846" spans="20:20">
      <c r="T6846" s="10"/>
    </row>
    <row r="6847" spans="20:20">
      <c r="T6847" s="10"/>
    </row>
    <row r="6848" spans="20:20">
      <c r="T6848" s="10"/>
    </row>
    <row r="6849" spans="20:20">
      <c r="T6849" s="10"/>
    </row>
    <row r="6850" spans="20:20">
      <c r="T6850" s="10"/>
    </row>
    <row r="6851" spans="20:20">
      <c r="T6851" s="10"/>
    </row>
    <row r="6852" spans="20:20">
      <c r="T6852" s="10"/>
    </row>
    <row r="6853" spans="20:20">
      <c r="T6853" s="10"/>
    </row>
    <row r="6854" spans="20:20">
      <c r="T6854" s="10"/>
    </row>
    <row r="6855" spans="20:20">
      <c r="T6855" s="10"/>
    </row>
    <row r="6856" spans="20:20">
      <c r="T6856" s="10"/>
    </row>
    <row r="6857" spans="20:20">
      <c r="T6857" s="10"/>
    </row>
    <row r="6858" spans="20:20">
      <c r="T6858" s="10"/>
    </row>
    <row r="6859" spans="20:20">
      <c r="T6859" s="10"/>
    </row>
    <row r="6860" spans="20:20">
      <c r="T6860" s="10"/>
    </row>
    <row r="6861" spans="20:20">
      <c r="T6861" s="10"/>
    </row>
    <row r="6862" spans="20:20">
      <c r="T6862" s="10"/>
    </row>
    <row r="6863" spans="20:20">
      <c r="T6863" s="10"/>
    </row>
    <row r="6864" spans="20:20">
      <c r="T6864" s="10"/>
    </row>
    <row r="6865" spans="20:20">
      <c r="T6865" s="10"/>
    </row>
    <row r="6866" spans="20:20">
      <c r="T6866" s="10"/>
    </row>
    <row r="6867" spans="20:20">
      <c r="T6867" s="10"/>
    </row>
    <row r="6868" spans="20:20">
      <c r="T6868" s="10"/>
    </row>
    <row r="6869" spans="20:20">
      <c r="T6869" s="10"/>
    </row>
    <row r="6870" spans="20:20">
      <c r="T6870" s="10"/>
    </row>
    <row r="6871" spans="20:20">
      <c r="T6871" s="10"/>
    </row>
    <row r="6872" spans="20:20">
      <c r="T6872" s="10"/>
    </row>
    <row r="6873" spans="20:20">
      <c r="T6873" s="10"/>
    </row>
    <row r="6874" spans="20:20">
      <c r="T6874" s="10"/>
    </row>
    <row r="6875" spans="20:20">
      <c r="T6875" s="10"/>
    </row>
    <row r="6876" spans="20:20">
      <c r="T6876" s="10"/>
    </row>
    <row r="6877" spans="20:20">
      <c r="T6877" s="10"/>
    </row>
    <row r="6878" spans="20:20">
      <c r="T6878" s="10"/>
    </row>
    <row r="6879" spans="20:20">
      <c r="T6879" s="10"/>
    </row>
    <row r="6880" spans="20:20">
      <c r="T6880" s="10"/>
    </row>
    <row r="6881" spans="20:20">
      <c r="T6881" s="10"/>
    </row>
    <row r="6882" spans="20:20">
      <c r="T6882" s="10"/>
    </row>
    <row r="6883" spans="20:20">
      <c r="T6883" s="10"/>
    </row>
    <row r="6884" spans="20:20">
      <c r="T6884" s="10"/>
    </row>
    <row r="6885" spans="20:20">
      <c r="T6885" s="10"/>
    </row>
    <row r="6886" spans="20:20">
      <c r="T6886" s="10"/>
    </row>
    <row r="6887" spans="20:20">
      <c r="T6887" s="10"/>
    </row>
    <row r="6888" spans="20:20">
      <c r="T6888" s="10"/>
    </row>
    <row r="6889" spans="20:20">
      <c r="T6889" s="10"/>
    </row>
    <row r="6890" spans="20:20">
      <c r="T6890" s="10"/>
    </row>
    <row r="6891" spans="20:20">
      <c r="T6891" s="10"/>
    </row>
    <row r="6892" spans="20:20">
      <c r="T6892" s="10"/>
    </row>
    <row r="6893" spans="20:20">
      <c r="T6893" s="10"/>
    </row>
    <row r="6894" spans="20:20">
      <c r="T6894" s="10"/>
    </row>
    <row r="6895" spans="20:20">
      <c r="T6895" s="10"/>
    </row>
    <row r="6896" spans="20:20">
      <c r="T6896" s="10"/>
    </row>
    <row r="6897" spans="20:20">
      <c r="T6897" s="10"/>
    </row>
    <row r="6898" spans="20:20">
      <c r="T6898" s="10"/>
    </row>
    <row r="6899" spans="20:20">
      <c r="T6899" s="10"/>
    </row>
    <row r="6900" spans="20:20">
      <c r="T6900" s="10"/>
    </row>
    <row r="6901" spans="20:20">
      <c r="T6901" s="10"/>
    </row>
    <row r="6902" spans="20:20">
      <c r="T6902" s="10"/>
    </row>
    <row r="6903" spans="20:20">
      <c r="T6903" s="10"/>
    </row>
    <row r="6904" spans="20:20">
      <c r="T6904" s="10"/>
    </row>
    <row r="6905" spans="20:20">
      <c r="T6905" s="10"/>
    </row>
    <row r="6906" spans="20:20">
      <c r="T6906" s="10"/>
    </row>
    <row r="6907" spans="20:20">
      <c r="T6907" s="10"/>
    </row>
    <row r="6908" spans="20:20">
      <c r="T6908" s="10"/>
    </row>
    <row r="6909" spans="20:20">
      <c r="T6909" s="10"/>
    </row>
    <row r="6910" spans="20:20">
      <c r="T6910" s="10"/>
    </row>
    <row r="6911" spans="20:20">
      <c r="T6911" s="10"/>
    </row>
    <row r="6912" spans="20:20">
      <c r="T6912" s="10"/>
    </row>
    <row r="6913" spans="20:20">
      <c r="T6913" s="10"/>
    </row>
    <row r="6914" spans="20:20">
      <c r="T6914" s="10"/>
    </row>
    <row r="6915" spans="20:20">
      <c r="T6915" s="10"/>
    </row>
    <row r="6916" spans="20:20">
      <c r="T6916" s="10"/>
    </row>
    <row r="6917" spans="20:20">
      <c r="T6917" s="10"/>
    </row>
    <row r="6918" spans="20:20">
      <c r="T6918" s="10"/>
    </row>
    <row r="6919" spans="20:20">
      <c r="T6919" s="10"/>
    </row>
    <row r="6920" spans="20:20">
      <c r="T6920" s="10"/>
    </row>
    <row r="6921" spans="20:20">
      <c r="T6921" s="10"/>
    </row>
    <row r="6922" spans="20:20">
      <c r="T6922" s="10"/>
    </row>
    <row r="6923" spans="20:20">
      <c r="T6923" s="10"/>
    </row>
    <row r="6924" spans="20:20">
      <c r="T6924" s="10"/>
    </row>
    <row r="6925" spans="20:20">
      <c r="T6925" s="10"/>
    </row>
    <row r="6926" spans="20:20">
      <c r="T6926" s="10"/>
    </row>
    <row r="6927" spans="20:20">
      <c r="T6927" s="10"/>
    </row>
    <row r="6928" spans="20:20">
      <c r="T6928" s="10"/>
    </row>
    <row r="6929" spans="20:20">
      <c r="T6929" s="10"/>
    </row>
    <row r="6930" spans="20:20">
      <c r="T6930" s="10"/>
    </row>
    <row r="6931" spans="20:20">
      <c r="T6931" s="10"/>
    </row>
    <row r="6932" spans="20:20">
      <c r="T6932" s="10"/>
    </row>
    <row r="6933" spans="20:20">
      <c r="T6933" s="10"/>
    </row>
    <row r="6934" spans="20:20">
      <c r="T6934" s="10"/>
    </row>
    <row r="6935" spans="20:20">
      <c r="T6935" s="10"/>
    </row>
    <row r="6936" spans="20:20">
      <c r="T6936" s="10"/>
    </row>
    <row r="6937" spans="20:20">
      <c r="T6937" s="10"/>
    </row>
    <row r="6938" spans="20:20">
      <c r="T6938" s="10"/>
    </row>
    <row r="6939" spans="20:20">
      <c r="T6939" s="10"/>
    </row>
    <row r="6940" spans="20:20">
      <c r="T6940" s="10"/>
    </row>
    <row r="6941" spans="20:20">
      <c r="T6941" s="10"/>
    </row>
    <row r="6942" spans="20:20">
      <c r="T6942" s="10"/>
    </row>
    <row r="6943" spans="20:20">
      <c r="T6943" s="10"/>
    </row>
    <row r="6944" spans="20:20">
      <c r="T6944" s="10"/>
    </row>
    <row r="6945" spans="20:20">
      <c r="T6945" s="10"/>
    </row>
    <row r="6946" spans="20:20">
      <c r="T6946" s="10"/>
    </row>
    <row r="6947" spans="20:20">
      <c r="T6947" s="10"/>
    </row>
    <row r="6948" spans="20:20">
      <c r="T6948" s="10"/>
    </row>
    <row r="6949" spans="20:20">
      <c r="T6949" s="10"/>
    </row>
    <row r="6950" spans="20:20">
      <c r="T6950" s="10"/>
    </row>
    <row r="6951" spans="20:20">
      <c r="T6951" s="10"/>
    </row>
    <row r="6952" spans="20:20">
      <c r="T6952" s="10"/>
    </row>
    <row r="6953" spans="20:20">
      <c r="T6953" s="10"/>
    </row>
    <row r="6954" spans="20:20">
      <c r="T6954" s="10"/>
    </row>
    <row r="6955" spans="20:20">
      <c r="T6955" s="10"/>
    </row>
    <row r="6956" spans="20:20">
      <c r="T6956" s="10"/>
    </row>
    <row r="6957" spans="20:20">
      <c r="T6957" s="10"/>
    </row>
    <row r="6958" spans="20:20">
      <c r="T6958" s="10"/>
    </row>
    <row r="6959" spans="20:20">
      <c r="T6959" s="10"/>
    </row>
    <row r="6960" spans="20:20">
      <c r="T6960" s="10"/>
    </row>
    <row r="6961" spans="20:20">
      <c r="T6961" s="10"/>
    </row>
    <row r="6962" spans="20:20">
      <c r="T6962" s="10"/>
    </row>
    <row r="6963" spans="20:20">
      <c r="T6963" s="10"/>
    </row>
    <row r="6964" spans="20:20">
      <c r="T6964" s="10"/>
    </row>
    <row r="6965" spans="20:20">
      <c r="T6965" s="10"/>
    </row>
    <row r="6966" spans="20:20">
      <c r="T6966" s="10"/>
    </row>
    <row r="6967" spans="20:20">
      <c r="T6967" s="10"/>
    </row>
    <row r="6968" spans="20:20">
      <c r="T6968" s="10"/>
    </row>
    <row r="6969" spans="20:20">
      <c r="T6969" s="10"/>
    </row>
    <row r="6970" spans="20:20">
      <c r="T6970" s="10"/>
    </row>
    <row r="6971" spans="20:20">
      <c r="T6971" s="10"/>
    </row>
    <row r="6972" spans="20:20">
      <c r="T6972" s="10"/>
    </row>
    <row r="6973" spans="20:20">
      <c r="T6973" s="10"/>
    </row>
    <row r="6974" spans="20:20">
      <c r="T6974" s="10"/>
    </row>
    <row r="6975" spans="20:20">
      <c r="T6975" s="10"/>
    </row>
    <row r="6976" spans="20:20">
      <c r="T6976" s="10"/>
    </row>
    <row r="6977" spans="20:20">
      <c r="T6977" s="10"/>
    </row>
    <row r="6978" spans="20:20">
      <c r="T6978" s="10"/>
    </row>
    <row r="6979" spans="20:20">
      <c r="T6979" s="10"/>
    </row>
    <row r="6980" spans="20:20">
      <c r="T6980" s="10"/>
    </row>
    <row r="6981" spans="20:20">
      <c r="T6981" s="10"/>
    </row>
    <row r="6982" spans="20:20">
      <c r="T6982" s="10"/>
    </row>
    <row r="6983" spans="20:20">
      <c r="T6983" s="10"/>
    </row>
    <row r="6984" spans="20:20">
      <c r="T6984" s="10"/>
    </row>
    <row r="6985" spans="20:20">
      <c r="T6985" s="10"/>
    </row>
    <row r="6986" spans="20:20">
      <c r="T6986" s="10"/>
    </row>
    <row r="6987" spans="20:20">
      <c r="T6987" s="10"/>
    </row>
    <row r="6988" spans="20:20">
      <c r="T6988" s="10"/>
    </row>
    <row r="6989" spans="20:20">
      <c r="T6989" s="10"/>
    </row>
    <row r="6990" spans="20:20">
      <c r="T6990" s="10"/>
    </row>
    <row r="6991" spans="20:20">
      <c r="T6991" s="10"/>
    </row>
    <row r="6992" spans="20:20">
      <c r="T6992" s="10"/>
    </row>
    <row r="6993" spans="20:20">
      <c r="T6993" s="10"/>
    </row>
    <row r="6994" spans="20:20">
      <c r="T6994" s="10"/>
    </row>
    <row r="6995" spans="20:20">
      <c r="T6995" s="10"/>
    </row>
    <row r="6996" spans="20:20">
      <c r="T6996" s="10"/>
    </row>
    <row r="6997" spans="20:20">
      <c r="T6997" s="10"/>
    </row>
    <row r="6998" spans="20:20">
      <c r="T6998" s="10"/>
    </row>
    <row r="6999" spans="20:20">
      <c r="T6999" s="10"/>
    </row>
    <row r="7000" spans="20:20">
      <c r="T7000" s="10"/>
    </row>
    <row r="7001" spans="20:20">
      <c r="T7001" s="10"/>
    </row>
    <row r="7002" spans="20:20">
      <c r="T7002" s="10"/>
    </row>
    <row r="7003" spans="20:20">
      <c r="T7003" s="10"/>
    </row>
    <row r="7004" spans="20:20">
      <c r="T7004" s="10"/>
    </row>
    <row r="7005" spans="20:20">
      <c r="T7005" s="10"/>
    </row>
    <row r="7006" spans="20:20">
      <c r="T7006" s="10"/>
    </row>
    <row r="7007" spans="20:20">
      <c r="T7007" s="10"/>
    </row>
    <row r="7008" spans="20:20">
      <c r="T7008" s="10"/>
    </row>
    <row r="7009" spans="20:20">
      <c r="T7009" s="10"/>
    </row>
    <row r="7010" spans="20:20">
      <c r="T7010" s="10"/>
    </row>
    <row r="7011" spans="20:20">
      <c r="T7011" s="10"/>
    </row>
    <row r="7012" spans="20:20">
      <c r="T7012" s="10"/>
    </row>
    <row r="7013" spans="20:20">
      <c r="T7013" s="10"/>
    </row>
    <row r="7014" spans="20:20">
      <c r="T7014" s="10"/>
    </row>
    <row r="7015" spans="20:20">
      <c r="T7015" s="10"/>
    </row>
    <row r="7016" spans="20:20">
      <c r="T7016" s="10"/>
    </row>
    <row r="7017" spans="20:20">
      <c r="T7017" s="10"/>
    </row>
    <row r="7018" spans="20:20">
      <c r="T7018" s="10"/>
    </row>
    <row r="7019" spans="20:20">
      <c r="T7019" s="10"/>
    </row>
    <row r="7020" spans="20:20">
      <c r="T7020" s="10"/>
    </row>
    <row r="7021" spans="20:20">
      <c r="T7021" s="10"/>
    </row>
    <row r="7022" spans="20:20">
      <c r="T7022" s="10"/>
    </row>
    <row r="7023" spans="20:20">
      <c r="T7023" s="10"/>
    </row>
    <row r="7024" spans="20:20">
      <c r="T7024" s="10"/>
    </row>
    <row r="7025" spans="20:20">
      <c r="T7025" s="10"/>
    </row>
    <row r="7026" spans="20:20">
      <c r="T7026" s="10"/>
    </row>
    <row r="7027" spans="20:20">
      <c r="T7027" s="10"/>
    </row>
    <row r="7028" spans="20:20">
      <c r="T7028" s="10"/>
    </row>
    <row r="7029" spans="20:20">
      <c r="T7029" s="10"/>
    </row>
    <row r="7030" spans="20:20">
      <c r="T7030" s="10"/>
    </row>
    <row r="7031" spans="20:20">
      <c r="T7031" s="10"/>
    </row>
    <row r="7032" spans="20:20">
      <c r="T7032" s="10"/>
    </row>
    <row r="7033" spans="20:20">
      <c r="T7033" s="10"/>
    </row>
    <row r="7034" spans="20:20">
      <c r="T7034" s="10"/>
    </row>
    <row r="7035" spans="20:20">
      <c r="T7035" s="10"/>
    </row>
    <row r="7036" spans="20:20">
      <c r="T7036" s="10"/>
    </row>
    <row r="7037" spans="20:20">
      <c r="T7037" s="10"/>
    </row>
    <row r="7038" spans="20:20">
      <c r="T7038" s="10"/>
    </row>
    <row r="7039" spans="20:20">
      <c r="T7039" s="10"/>
    </row>
    <row r="7040" spans="20:20">
      <c r="T7040" s="10"/>
    </row>
    <row r="7041" spans="20:20">
      <c r="T7041" s="10"/>
    </row>
    <row r="7042" spans="20:20">
      <c r="T7042" s="10"/>
    </row>
    <row r="7043" spans="20:20">
      <c r="T7043" s="10"/>
    </row>
    <row r="7044" spans="20:20">
      <c r="T7044" s="10"/>
    </row>
    <row r="7045" spans="20:20">
      <c r="T7045" s="10"/>
    </row>
    <row r="7046" spans="20:20">
      <c r="T7046" s="10"/>
    </row>
    <row r="7047" spans="20:20">
      <c r="T7047" s="10"/>
    </row>
    <row r="7048" spans="20:20">
      <c r="T7048" s="10"/>
    </row>
    <row r="7049" spans="20:20">
      <c r="T7049" s="10"/>
    </row>
    <row r="7050" spans="20:20">
      <c r="T7050" s="10"/>
    </row>
    <row r="7051" spans="20:20">
      <c r="T7051" s="10"/>
    </row>
    <row r="7052" spans="20:20">
      <c r="T7052" s="10"/>
    </row>
    <row r="7053" spans="20:20">
      <c r="T7053" s="10"/>
    </row>
    <row r="7054" spans="20:20">
      <c r="T7054" s="10"/>
    </row>
    <row r="7055" spans="20:20">
      <c r="T7055" s="10"/>
    </row>
    <row r="7056" spans="20:20">
      <c r="T7056" s="10"/>
    </row>
    <row r="7057" spans="20:20">
      <c r="T7057" s="10"/>
    </row>
    <row r="7058" spans="20:20">
      <c r="T7058" s="10"/>
    </row>
    <row r="7059" spans="20:20">
      <c r="T7059" s="10"/>
    </row>
    <row r="7060" spans="20:20">
      <c r="T7060" s="10"/>
    </row>
    <row r="7061" spans="20:20">
      <c r="T7061" s="10"/>
    </row>
    <row r="7062" spans="20:20">
      <c r="T7062" s="10"/>
    </row>
    <row r="7063" spans="20:20">
      <c r="T7063" s="10"/>
    </row>
    <row r="7064" spans="20:20">
      <c r="T7064" s="10"/>
    </row>
    <row r="7065" spans="20:20">
      <c r="T7065" s="10"/>
    </row>
    <row r="7066" spans="20:20">
      <c r="T7066" s="10"/>
    </row>
    <row r="7067" spans="20:20">
      <c r="T7067" s="10"/>
    </row>
    <row r="7068" spans="20:20">
      <c r="T7068" s="10"/>
    </row>
    <row r="7069" spans="20:20">
      <c r="T7069" s="10"/>
    </row>
    <row r="7070" spans="20:20">
      <c r="T7070" s="10"/>
    </row>
    <row r="7071" spans="20:20">
      <c r="T7071" s="10"/>
    </row>
    <row r="7072" spans="20:20">
      <c r="T7072" s="10"/>
    </row>
    <row r="7073" spans="20:20">
      <c r="T7073" s="10"/>
    </row>
    <row r="7074" spans="20:20">
      <c r="T7074" s="10"/>
    </row>
    <row r="7075" spans="20:20">
      <c r="T7075" s="10"/>
    </row>
    <row r="7076" spans="20:20">
      <c r="T7076" s="10"/>
    </row>
    <row r="7077" spans="20:20">
      <c r="T7077" s="10"/>
    </row>
    <row r="7078" spans="20:20">
      <c r="T7078" s="10"/>
    </row>
    <row r="7079" spans="20:20">
      <c r="T7079" s="10"/>
    </row>
    <row r="7080" spans="20:20">
      <c r="T7080" s="10"/>
    </row>
    <row r="7081" spans="20:20">
      <c r="T7081" s="10"/>
    </row>
    <row r="7082" spans="20:20">
      <c r="T7082" s="10"/>
    </row>
    <row r="7083" spans="20:20">
      <c r="T7083" s="10"/>
    </row>
    <row r="7084" spans="20:20">
      <c r="T7084" s="10"/>
    </row>
    <row r="7085" spans="20:20">
      <c r="T7085" s="10"/>
    </row>
    <row r="7086" spans="20:20">
      <c r="T7086" s="10"/>
    </row>
    <row r="7087" spans="20:20">
      <c r="T7087" s="10"/>
    </row>
    <row r="7088" spans="20:20">
      <c r="T7088" s="10"/>
    </row>
    <row r="7089" spans="20:20">
      <c r="T7089" s="10"/>
    </row>
    <row r="7090" spans="20:20">
      <c r="T7090" s="10"/>
    </row>
    <row r="7091" spans="20:20">
      <c r="T7091" s="10"/>
    </row>
    <row r="7092" spans="20:20">
      <c r="T7092" s="10"/>
    </row>
    <row r="7093" spans="20:20">
      <c r="T7093" s="10"/>
    </row>
    <row r="7094" spans="20:20">
      <c r="T7094" s="10"/>
    </row>
    <row r="7095" spans="20:20">
      <c r="T7095" s="10"/>
    </row>
    <row r="7096" spans="20:20">
      <c r="T7096" s="10"/>
    </row>
    <row r="7097" spans="20:20">
      <c r="T7097" s="10"/>
    </row>
    <row r="7098" spans="20:20">
      <c r="T7098" s="10"/>
    </row>
    <row r="7099" spans="20:20">
      <c r="T7099" s="10"/>
    </row>
    <row r="7100" spans="20:20">
      <c r="T7100" s="10"/>
    </row>
    <row r="7101" spans="20:20">
      <c r="T7101" s="10"/>
    </row>
    <row r="7102" spans="20:20">
      <c r="T7102" s="10"/>
    </row>
    <row r="7103" spans="20:20">
      <c r="T7103" s="10"/>
    </row>
    <row r="7104" spans="20:20">
      <c r="T7104" s="10"/>
    </row>
    <row r="7105" spans="20:20">
      <c r="T7105" s="10"/>
    </row>
    <row r="7106" spans="20:20">
      <c r="T7106" s="10"/>
    </row>
    <row r="7107" spans="20:20">
      <c r="T7107" s="10"/>
    </row>
    <row r="7108" spans="20:20">
      <c r="T7108" s="10"/>
    </row>
    <row r="7109" spans="20:20">
      <c r="T7109" s="10"/>
    </row>
    <row r="7110" spans="20:20">
      <c r="T7110" s="10"/>
    </row>
    <row r="7111" spans="20:20">
      <c r="T7111" s="10"/>
    </row>
    <row r="7112" spans="20:20">
      <c r="T7112" s="10"/>
    </row>
    <row r="7113" spans="20:20">
      <c r="T7113" s="10"/>
    </row>
    <row r="7114" spans="20:20">
      <c r="T7114" s="10"/>
    </row>
    <row r="7115" spans="20:20">
      <c r="T7115" s="10"/>
    </row>
    <row r="7116" spans="20:20">
      <c r="T7116" s="10"/>
    </row>
    <row r="7117" spans="20:20">
      <c r="T7117" s="10"/>
    </row>
    <row r="7118" spans="20:20">
      <c r="T7118" s="10"/>
    </row>
    <row r="7119" spans="20:20">
      <c r="T7119" s="10"/>
    </row>
    <row r="7120" spans="20:20">
      <c r="T7120" s="10"/>
    </row>
    <row r="7121" spans="20:20">
      <c r="T7121" s="10"/>
    </row>
    <row r="7122" spans="20:20">
      <c r="T7122" s="10"/>
    </row>
    <row r="7123" spans="20:20">
      <c r="T7123" s="10"/>
    </row>
    <row r="7124" spans="20:20">
      <c r="T7124" s="10"/>
    </row>
    <row r="7125" spans="20:20">
      <c r="T7125" s="10"/>
    </row>
    <row r="7126" spans="20:20">
      <c r="T7126" s="10"/>
    </row>
    <row r="7127" spans="20:20">
      <c r="T7127" s="10"/>
    </row>
    <row r="7128" spans="20:20">
      <c r="T7128" s="10"/>
    </row>
    <row r="7129" spans="20:20">
      <c r="T7129" s="10"/>
    </row>
    <row r="7130" spans="20:20">
      <c r="T7130" s="10"/>
    </row>
    <row r="7131" spans="20:20">
      <c r="T7131" s="10"/>
    </row>
    <row r="7132" spans="20:20">
      <c r="T7132" s="10"/>
    </row>
    <row r="7133" spans="20:20">
      <c r="T7133" s="10"/>
    </row>
    <row r="7134" spans="20:20">
      <c r="T7134" s="10"/>
    </row>
    <row r="7135" spans="20:20">
      <c r="T7135" s="10"/>
    </row>
    <row r="7136" spans="20:20">
      <c r="T7136" s="10"/>
    </row>
    <row r="7137" spans="20:20">
      <c r="T7137" s="10"/>
    </row>
    <row r="7138" spans="20:20">
      <c r="T7138" s="10"/>
    </row>
    <row r="7139" spans="20:20">
      <c r="T7139" s="10"/>
    </row>
    <row r="7140" spans="20:20">
      <c r="T7140" s="10"/>
    </row>
    <row r="7141" spans="20:20">
      <c r="T7141" s="10"/>
    </row>
    <row r="7142" spans="20:20">
      <c r="T7142" s="10"/>
    </row>
    <row r="7143" spans="20:20">
      <c r="T7143" s="10"/>
    </row>
    <row r="7144" spans="20:20">
      <c r="T7144" s="10"/>
    </row>
    <row r="7145" spans="20:20">
      <c r="T7145" s="10"/>
    </row>
    <row r="7146" spans="20:20">
      <c r="T7146" s="10"/>
    </row>
    <row r="7147" spans="20:20">
      <c r="T7147" s="10"/>
    </row>
    <row r="7148" spans="20:20">
      <c r="T7148" s="10"/>
    </row>
    <row r="7149" spans="20:20">
      <c r="T7149" s="10"/>
    </row>
    <row r="7150" spans="20:20">
      <c r="T7150" s="10"/>
    </row>
    <row r="7151" spans="20:20">
      <c r="T7151" s="10"/>
    </row>
    <row r="7152" spans="20:20">
      <c r="T7152" s="10"/>
    </row>
    <row r="7153" spans="20:20">
      <c r="T7153" s="10"/>
    </row>
    <row r="7154" spans="20:20">
      <c r="T7154" s="10"/>
    </row>
    <row r="7155" spans="20:20">
      <c r="T7155" s="10"/>
    </row>
    <row r="7156" spans="20:20">
      <c r="T7156" s="10"/>
    </row>
    <row r="7157" spans="20:20">
      <c r="T7157" s="10"/>
    </row>
    <row r="7158" spans="20:20">
      <c r="T7158" s="10"/>
    </row>
    <row r="7159" spans="20:20">
      <c r="T7159" s="10"/>
    </row>
    <row r="7160" spans="20:20">
      <c r="T7160" s="10"/>
    </row>
    <row r="7161" spans="20:20">
      <c r="T7161" s="10"/>
    </row>
    <row r="7162" spans="20:20">
      <c r="T7162" s="10"/>
    </row>
    <row r="7163" spans="20:20">
      <c r="T7163" s="10"/>
    </row>
    <row r="7164" spans="20:20">
      <c r="T7164" s="10"/>
    </row>
    <row r="7165" spans="20:20">
      <c r="T7165" s="10"/>
    </row>
    <row r="7166" spans="20:20">
      <c r="T7166" s="10"/>
    </row>
    <row r="7167" spans="20:20">
      <c r="T7167" s="10"/>
    </row>
    <row r="7168" spans="20:20">
      <c r="T7168" s="10"/>
    </row>
    <row r="7169" spans="20:20">
      <c r="T7169" s="10"/>
    </row>
    <row r="7170" spans="20:20">
      <c r="T7170" s="10"/>
    </row>
    <row r="7171" spans="20:20">
      <c r="T7171" s="10"/>
    </row>
    <row r="7172" spans="20:20">
      <c r="T7172" s="10"/>
    </row>
    <row r="7173" spans="20:20">
      <c r="T7173" s="10"/>
    </row>
    <row r="7174" spans="20:20">
      <c r="T7174" s="10"/>
    </row>
    <row r="7175" spans="20:20">
      <c r="T7175" s="10"/>
    </row>
    <row r="7176" spans="20:20">
      <c r="T7176" s="10"/>
    </row>
    <row r="7177" spans="20:20">
      <c r="T7177" s="10"/>
    </row>
    <row r="7178" spans="20:20">
      <c r="T7178" s="10"/>
    </row>
    <row r="7179" spans="20:20">
      <c r="T7179" s="10"/>
    </row>
    <row r="7180" spans="20:20">
      <c r="T7180" s="10"/>
    </row>
    <row r="7181" spans="20:20">
      <c r="T7181" s="10"/>
    </row>
    <row r="7182" spans="20:20">
      <c r="T7182" s="10"/>
    </row>
    <row r="7183" spans="20:20">
      <c r="T7183" s="10"/>
    </row>
    <row r="7184" spans="20:20">
      <c r="T7184" s="10"/>
    </row>
    <row r="7185" spans="20:20">
      <c r="T7185" s="10"/>
    </row>
    <row r="7186" spans="20:20">
      <c r="T7186" s="10"/>
    </row>
    <row r="7187" spans="20:20">
      <c r="T7187" s="10"/>
    </row>
    <row r="7188" spans="20:20">
      <c r="T7188" s="10"/>
    </row>
    <row r="7189" spans="20:20">
      <c r="T7189" s="10"/>
    </row>
    <row r="7190" spans="20:20">
      <c r="T7190" s="10"/>
    </row>
    <row r="7191" spans="20:20">
      <c r="T7191" s="10"/>
    </row>
    <row r="7192" spans="20:20">
      <c r="T7192" s="10"/>
    </row>
    <row r="7193" spans="20:20">
      <c r="T7193" s="10"/>
    </row>
    <row r="7194" spans="20:20">
      <c r="T7194" s="10"/>
    </row>
    <row r="7195" spans="20:20">
      <c r="T7195" s="10"/>
    </row>
    <row r="7196" spans="20:20">
      <c r="T7196" s="10"/>
    </row>
    <row r="7197" spans="20:20">
      <c r="T7197" s="10"/>
    </row>
    <row r="7198" spans="20:20">
      <c r="T7198" s="10"/>
    </row>
    <row r="7199" spans="20:20">
      <c r="T7199" s="10"/>
    </row>
    <row r="7200" spans="20:20">
      <c r="T7200" s="10"/>
    </row>
    <row r="7201" spans="20:20">
      <c r="T7201" s="10"/>
    </row>
    <row r="7202" spans="20:20">
      <c r="T7202" s="10"/>
    </row>
    <row r="7203" spans="20:20">
      <c r="T7203" s="10"/>
    </row>
    <row r="7204" spans="20:20">
      <c r="T7204" s="10"/>
    </row>
    <row r="7205" spans="20:20">
      <c r="T7205" s="10"/>
    </row>
    <row r="7206" spans="20:20">
      <c r="T7206" s="10"/>
    </row>
    <row r="7207" spans="20:20">
      <c r="T7207" s="10"/>
    </row>
    <row r="7208" spans="20:20">
      <c r="T7208" s="10"/>
    </row>
    <row r="7209" spans="20:20">
      <c r="T7209" s="10"/>
    </row>
    <row r="7210" spans="20:20">
      <c r="T7210" s="10"/>
    </row>
    <row r="7211" spans="20:20">
      <c r="T7211" s="10"/>
    </row>
    <row r="7212" spans="20:20">
      <c r="T7212" s="10"/>
    </row>
    <row r="7213" spans="20:20">
      <c r="T7213" s="10"/>
    </row>
    <row r="7214" spans="20:20">
      <c r="T7214" s="10"/>
    </row>
    <row r="7215" spans="20:20">
      <c r="T7215" s="10"/>
    </row>
    <row r="7216" spans="20:20">
      <c r="T7216" s="10"/>
    </row>
    <row r="7217" spans="20:20">
      <c r="T7217" s="10"/>
    </row>
    <row r="7218" spans="20:20">
      <c r="T7218" s="10"/>
    </row>
    <row r="7219" spans="20:20">
      <c r="T7219" s="10"/>
    </row>
    <row r="7220" spans="20:20">
      <c r="T7220" s="10"/>
    </row>
    <row r="7221" spans="20:20">
      <c r="T7221" s="10"/>
    </row>
    <row r="7222" spans="20:20">
      <c r="T7222" s="10"/>
    </row>
    <row r="7223" spans="20:20">
      <c r="T7223" s="10"/>
    </row>
    <row r="7224" spans="20:20">
      <c r="T7224" s="10"/>
    </row>
    <row r="7225" spans="20:20">
      <c r="T7225" s="10"/>
    </row>
    <row r="7226" spans="20:20">
      <c r="T7226" s="10"/>
    </row>
    <row r="7227" spans="20:20">
      <c r="T7227" s="10"/>
    </row>
    <row r="7228" spans="20:20">
      <c r="T7228" s="10"/>
    </row>
    <row r="7229" spans="20:20">
      <c r="T7229" s="10"/>
    </row>
    <row r="7230" spans="20:20">
      <c r="T7230" s="10"/>
    </row>
    <row r="7231" spans="20:20">
      <c r="T7231" s="10"/>
    </row>
    <row r="7232" spans="20:20">
      <c r="T7232" s="10"/>
    </row>
    <row r="7233" spans="20:20">
      <c r="T7233" s="10"/>
    </row>
    <row r="7234" spans="20:20">
      <c r="T7234" s="10"/>
    </row>
    <row r="7235" spans="20:20">
      <c r="T7235" s="10"/>
    </row>
    <row r="7236" spans="20:20">
      <c r="T7236" s="10"/>
    </row>
    <row r="7237" spans="20:20">
      <c r="T7237" s="10"/>
    </row>
    <row r="7238" spans="20:20">
      <c r="T7238" s="10"/>
    </row>
    <row r="7239" spans="20:20">
      <c r="T7239" s="10"/>
    </row>
    <row r="7240" spans="20:20">
      <c r="T7240" s="10"/>
    </row>
    <row r="7241" spans="20:20">
      <c r="T7241" s="10"/>
    </row>
    <row r="7242" spans="20:20">
      <c r="T7242" s="10"/>
    </row>
    <row r="7243" spans="20:20">
      <c r="T7243" s="10"/>
    </row>
    <row r="7244" spans="20:20">
      <c r="T7244" s="10"/>
    </row>
    <row r="7245" spans="20:20">
      <c r="T7245" s="10"/>
    </row>
    <row r="7246" spans="20:20">
      <c r="T7246" s="10"/>
    </row>
    <row r="7247" spans="20:20">
      <c r="T7247" s="10"/>
    </row>
    <row r="7248" spans="20:20">
      <c r="T7248" s="10"/>
    </row>
    <row r="7249" spans="20:20">
      <c r="T7249" s="10"/>
    </row>
    <row r="7250" spans="20:20">
      <c r="T7250" s="10"/>
    </row>
    <row r="7251" spans="20:20">
      <c r="T7251" s="10"/>
    </row>
    <row r="7252" spans="20:20">
      <c r="T7252" s="10"/>
    </row>
    <row r="7253" spans="20:20">
      <c r="T7253" s="10"/>
    </row>
    <row r="7254" spans="20:20">
      <c r="T7254" s="10"/>
    </row>
    <row r="7255" spans="20:20">
      <c r="T7255" s="10"/>
    </row>
    <row r="7256" spans="20:20">
      <c r="T7256" s="10"/>
    </row>
    <row r="7257" spans="20:20">
      <c r="T7257" s="10"/>
    </row>
    <row r="7258" spans="20:20">
      <c r="T7258" s="10"/>
    </row>
    <row r="7259" spans="20:20">
      <c r="T7259" s="10"/>
    </row>
    <row r="7260" spans="20:20">
      <c r="T7260" s="10"/>
    </row>
    <row r="7261" spans="20:20">
      <c r="T7261" s="10"/>
    </row>
    <row r="7262" spans="20:20">
      <c r="T7262" s="10"/>
    </row>
    <row r="7263" spans="20:20">
      <c r="T7263" s="10"/>
    </row>
    <row r="7264" spans="20:20">
      <c r="T7264" s="10"/>
    </row>
    <row r="7265" spans="20:20">
      <c r="T7265" s="10"/>
    </row>
    <row r="7266" spans="20:20">
      <c r="T7266" s="10"/>
    </row>
    <row r="7267" spans="20:20">
      <c r="T7267" s="10"/>
    </row>
    <row r="7268" spans="20:20">
      <c r="T7268" s="10"/>
    </row>
    <row r="7269" spans="20:20">
      <c r="T7269" s="10"/>
    </row>
    <row r="7270" spans="20:20">
      <c r="T7270" s="10"/>
    </row>
    <row r="7271" spans="20:20">
      <c r="T7271" s="10"/>
    </row>
    <row r="7272" spans="20:20">
      <c r="T7272" s="10"/>
    </row>
    <row r="7273" spans="20:20">
      <c r="T7273" s="10"/>
    </row>
    <row r="7274" spans="20:20">
      <c r="T7274" s="10"/>
    </row>
    <row r="7275" spans="20:20">
      <c r="T7275" s="10"/>
    </row>
    <row r="7276" spans="20:20">
      <c r="T7276" s="10"/>
    </row>
    <row r="7277" spans="20:20">
      <c r="T7277" s="10"/>
    </row>
    <row r="7278" spans="20:20">
      <c r="T7278" s="10"/>
    </row>
    <row r="7279" spans="20:20">
      <c r="T7279" s="10"/>
    </row>
    <row r="7280" spans="20:20">
      <c r="T7280" s="10"/>
    </row>
    <row r="7281" spans="20:20">
      <c r="T7281" s="10"/>
    </row>
    <row r="7282" spans="20:20">
      <c r="T7282" s="10"/>
    </row>
    <row r="7283" spans="20:20">
      <c r="T7283" s="10"/>
    </row>
    <row r="7284" spans="20:20">
      <c r="T7284" s="10"/>
    </row>
    <row r="7285" spans="20:20">
      <c r="T7285" s="10"/>
    </row>
    <row r="7286" spans="20:20">
      <c r="T7286" s="10"/>
    </row>
    <row r="7287" spans="20:20">
      <c r="T7287" s="10"/>
    </row>
    <row r="7288" spans="20:20">
      <c r="T7288" s="10"/>
    </row>
    <row r="7289" spans="20:20">
      <c r="T7289" s="10"/>
    </row>
    <row r="7290" spans="20:20">
      <c r="T7290" s="10"/>
    </row>
    <row r="7291" spans="20:20">
      <c r="T7291" s="10"/>
    </row>
    <row r="7292" spans="20:20">
      <c r="T7292" s="10"/>
    </row>
    <row r="7293" spans="20:20">
      <c r="T7293" s="10"/>
    </row>
    <row r="7294" spans="20:20">
      <c r="T7294" s="10"/>
    </row>
    <row r="7295" spans="20:20">
      <c r="T7295" s="10"/>
    </row>
    <row r="7296" spans="20:20">
      <c r="T7296" s="10"/>
    </row>
    <row r="7297" spans="20:20">
      <c r="T7297" s="10"/>
    </row>
    <row r="7298" spans="20:20">
      <c r="T7298" s="10"/>
    </row>
    <row r="7299" spans="20:20">
      <c r="T7299" s="10"/>
    </row>
    <row r="7300" spans="20:20">
      <c r="T7300" s="10"/>
    </row>
    <row r="7301" spans="20:20">
      <c r="T7301" s="10"/>
    </row>
    <row r="7302" spans="20:20">
      <c r="T7302" s="10"/>
    </row>
    <row r="7303" spans="20:20">
      <c r="T7303" s="10"/>
    </row>
    <row r="7304" spans="20:20">
      <c r="T7304" s="10"/>
    </row>
    <row r="7305" spans="20:20">
      <c r="T7305" s="10"/>
    </row>
    <row r="7306" spans="20:20">
      <c r="T7306" s="10"/>
    </row>
    <row r="7307" spans="20:20">
      <c r="T7307" s="10"/>
    </row>
    <row r="7308" spans="20:20">
      <c r="T7308" s="10"/>
    </row>
    <row r="7309" spans="20:20">
      <c r="T7309" s="10"/>
    </row>
    <row r="7310" spans="20:20">
      <c r="T7310" s="10"/>
    </row>
    <row r="7311" spans="20:20">
      <c r="T7311" s="10"/>
    </row>
    <row r="7312" spans="20:20">
      <c r="T7312" s="10"/>
    </row>
    <row r="7313" spans="20:20">
      <c r="T7313" s="10"/>
    </row>
    <row r="7314" spans="20:20">
      <c r="T7314" s="10"/>
    </row>
    <row r="7315" spans="20:20">
      <c r="T7315" s="10"/>
    </row>
    <row r="7316" spans="20:20">
      <c r="T7316" s="10"/>
    </row>
    <row r="7317" spans="20:20">
      <c r="T7317" s="10"/>
    </row>
    <row r="7318" spans="20:20">
      <c r="T7318" s="10"/>
    </row>
    <row r="7319" spans="20:20">
      <c r="T7319" s="10"/>
    </row>
    <row r="7320" spans="20:20">
      <c r="T7320" s="10"/>
    </row>
    <row r="7321" spans="20:20">
      <c r="T7321" s="10"/>
    </row>
    <row r="7322" spans="20:20">
      <c r="T7322" s="10"/>
    </row>
    <row r="7323" spans="20:20">
      <c r="T7323" s="10"/>
    </row>
    <row r="7324" spans="20:20">
      <c r="T7324" s="10"/>
    </row>
    <row r="7325" spans="20:20">
      <c r="T7325" s="10"/>
    </row>
    <row r="7326" spans="20:20">
      <c r="T7326" s="10"/>
    </row>
    <row r="7327" spans="20:20">
      <c r="T7327" s="10"/>
    </row>
    <row r="7328" spans="20:20">
      <c r="T7328" s="10"/>
    </row>
    <row r="7329" spans="20:20">
      <c r="T7329" s="10"/>
    </row>
    <row r="7330" spans="20:20">
      <c r="T7330" s="10"/>
    </row>
    <row r="7331" spans="20:20">
      <c r="T7331" s="10"/>
    </row>
    <row r="7332" spans="20:20">
      <c r="T7332" s="10"/>
    </row>
    <row r="7333" spans="20:20">
      <c r="T7333" s="10"/>
    </row>
    <row r="7334" spans="20:20">
      <c r="T7334" s="10"/>
    </row>
    <row r="7335" spans="20:20">
      <c r="T7335" s="10"/>
    </row>
    <row r="7336" spans="20:20">
      <c r="T7336" s="10"/>
    </row>
    <row r="7337" spans="20:20">
      <c r="T7337" s="10"/>
    </row>
    <row r="7338" spans="20:20">
      <c r="T7338" s="10"/>
    </row>
    <row r="7339" spans="20:20">
      <c r="T7339" s="10"/>
    </row>
    <row r="7340" spans="20:20">
      <c r="T7340" s="10"/>
    </row>
    <row r="7341" spans="20:20">
      <c r="T7341" s="10"/>
    </row>
    <row r="7342" spans="20:20">
      <c r="T7342" s="10"/>
    </row>
    <row r="7343" spans="20:20">
      <c r="T7343" s="10"/>
    </row>
    <row r="7344" spans="20:20">
      <c r="T7344" s="10"/>
    </row>
    <row r="7345" spans="20:20">
      <c r="T7345" s="10"/>
    </row>
    <row r="7346" spans="20:20">
      <c r="T7346" s="10"/>
    </row>
    <row r="7347" spans="20:20">
      <c r="T7347" s="10"/>
    </row>
    <row r="7348" spans="20:20">
      <c r="T7348" s="10"/>
    </row>
    <row r="7349" spans="20:20">
      <c r="T7349" s="10"/>
    </row>
    <row r="7350" spans="20:20">
      <c r="T7350" s="10"/>
    </row>
    <row r="7351" spans="20:20">
      <c r="T7351" s="10"/>
    </row>
    <row r="7352" spans="20:20">
      <c r="T7352" s="10"/>
    </row>
    <row r="7353" spans="20:20">
      <c r="T7353" s="10"/>
    </row>
    <row r="7354" spans="20:20">
      <c r="T7354" s="10"/>
    </row>
    <row r="7355" spans="20:20">
      <c r="T7355" s="10"/>
    </row>
    <row r="7356" spans="20:20">
      <c r="T7356" s="10"/>
    </row>
    <row r="7357" spans="20:20">
      <c r="T7357" s="10"/>
    </row>
    <row r="7358" spans="20:20">
      <c r="T7358" s="10"/>
    </row>
    <row r="7359" spans="20:20">
      <c r="T7359" s="10"/>
    </row>
    <row r="7360" spans="20:20">
      <c r="T7360" s="10"/>
    </row>
    <row r="7361" spans="20:20">
      <c r="T7361" s="10"/>
    </row>
    <row r="7362" spans="20:20">
      <c r="T7362" s="10"/>
    </row>
    <row r="7363" spans="20:20">
      <c r="T7363" s="10"/>
    </row>
    <row r="7364" spans="20:20">
      <c r="T7364" s="10"/>
    </row>
    <row r="7365" spans="20:20">
      <c r="T7365" s="10"/>
    </row>
    <row r="7366" spans="20:20">
      <c r="T7366" s="10"/>
    </row>
    <row r="7367" spans="20:20">
      <c r="T7367" s="10"/>
    </row>
    <row r="7368" spans="20:20">
      <c r="T7368" s="10"/>
    </row>
    <row r="7369" spans="20:20">
      <c r="T7369" s="10"/>
    </row>
    <row r="7370" spans="20:20">
      <c r="T7370" s="10"/>
    </row>
    <row r="7371" spans="20:20">
      <c r="T7371" s="10"/>
    </row>
    <row r="7372" spans="20:20">
      <c r="T7372" s="10"/>
    </row>
    <row r="7373" spans="20:20">
      <c r="T7373" s="10"/>
    </row>
    <row r="7374" spans="20:20">
      <c r="T7374" s="10"/>
    </row>
    <row r="7375" spans="20:20">
      <c r="T7375" s="10"/>
    </row>
    <row r="7376" spans="20:20">
      <c r="T7376" s="10"/>
    </row>
    <row r="7377" spans="20:20">
      <c r="T7377" s="10"/>
    </row>
    <row r="7378" spans="20:20">
      <c r="T7378" s="10"/>
    </row>
    <row r="7379" spans="20:20">
      <c r="T7379" s="10"/>
    </row>
    <row r="7380" spans="20:20">
      <c r="T7380" s="10"/>
    </row>
    <row r="7381" spans="20:20">
      <c r="T7381" s="10"/>
    </row>
    <row r="7382" spans="20:20">
      <c r="T7382" s="10"/>
    </row>
    <row r="7383" spans="20:20">
      <c r="T7383" s="10"/>
    </row>
    <row r="7384" spans="20:20">
      <c r="T7384" s="10"/>
    </row>
    <row r="7385" spans="20:20">
      <c r="T7385" s="10"/>
    </row>
    <row r="7386" spans="20:20">
      <c r="T7386" s="10"/>
    </row>
    <row r="7387" spans="20:20">
      <c r="T7387" s="10"/>
    </row>
    <row r="7388" spans="20:20">
      <c r="T7388" s="10"/>
    </row>
    <row r="7389" spans="20:20">
      <c r="T7389" s="10"/>
    </row>
    <row r="7390" spans="20:20">
      <c r="T7390" s="10"/>
    </row>
    <row r="7391" spans="20:20">
      <c r="T7391" s="10"/>
    </row>
    <row r="7392" spans="20:20">
      <c r="T7392" s="10"/>
    </row>
    <row r="7393" spans="20:20">
      <c r="T7393" s="10"/>
    </row>
    <row r="7394" spans="20:20">
      <c r="T7394" s="10"/>
    </row>
    <row r="7395" spans="20:20">
      <c r="T7395" s="10"/>
    </row>
    <row r="7396" spans="20:20">
      <c r="T7396" s="10"/>
    </row>
    <row r="7397" spans="20:20">
      <c r="T7397" s="10"/>
    </row>
    <row r="7398" spans="20:20">
      <c r="T7398" s="10"/>
    </row>
    <row r="7399" spans="20:20">
      <c r="T7399" s="10"/>
    </row>
    <row r="7400" spans="20:20">
      <c r="T7400" s="10"/>
    </row>
    <row r="7401" spans="20:20">
      <c r="T7401" s="10"/>
    </row>
    <row r="7402" spans="20:20">
      <c r="T7402" s="10"/>
    </row>
    <row r="7403" spans="20:20">
      <c r="T7403" s="10"/>
    </row>
    <row r="7404" spans="20:20">
      <c r="T7404" s="10"/>
    </row>
    <row r="7405" spans="20:20">
      <c r="T7405" s="10"/>
    </row>
    <row r="7406" spans="20:20">
      <c r="T7406" s="10"/>
    </row>
    <row r="7407" spans="20:20">
      <c r="T7407" s="10"/>
    </row>
    <row r="7408" spans="20:20">
      <c r="T7408" s="10"/>
    </row>
    <row r="7409" spans="20:20">
      <c r="T7409" s="10"/>
    </row>
    <row r="7410" spans="20:20">
      <c r="T7410" s="10"/>
    </row>
    <row r="7411" spans="20:20">
      <c r="T7411" s="10"/>
    </row>
    <row r="7412" spans="20:20">
      <c r="T7412" s="10"/>
    </row>
    <row r="7413" spans="20:20">
      <c r="T7413" s="10"/>
    </row>
    <row r="7414" spans="20:20">
      <c r="T7414" s="10"/>
    </row>
    <row r="7415" spans="20:20">
      <c r="T7415" s="10"/>
    </row>
    <row r="7416" spans="20:20">
      <c r="T7416" s="10"/>
    </row>
    <row r="7417" spans="20:20">
      <c r="T7417" s="10"/>
    </row>
    <row r="7418" spans="20:20">
      <c r="T7418" s="10"/>
    </row>
    <row r="7419" spans="20:20">
      <c r="T7419" s="10"/>
    </row>
    <row r="7420" spans="20:20">
      <c r="T7420" s="10"/>
    </row>
    <row r="7421" spans="20:20">
      <c r="T7421" s="10"/>
    </row>
    <row r="7422" spans="20:20">
      <c r="T7422" s="10"/>
    </row>
    <row r="7423" spans="20:20">
      <c r="T7423" s="10"/>
    </row>
    <row r="7424" spans="20:20">
      <c r="T7424" s="10"/>
    </row>
    <row r="7425" spans="20:20">
      <c r="T7425" s="10"/>
    </row>
    <row r="7426" spans="20:20">
      <c r="T7426" s="10"/>
    </row>
    <row r="7427" spans="20:20">
      <c r="T7427" s="10"/>
    </row>
    <row r="7428" spans="20:20">
      <c r="T7428" s="10"/>
    </row>
    <row r="7429" spans="20:20">
      <c r="T7429" s="10"/>
    </row>
    <row r="7430" spans="20:20">
      <c r="T7430" s="10"/>
    </row>
    <row r="7431" spans="20:20">
      <c r="T7431" s="10"/>
    </row>
    <row r="7432" spans="20:20">
      <c r="T7432" s="10"/>
    </row>
    <row r="7433" spans="20:20">
      <c r="T7433" s="10"/>
    </row>
    <row r="7434" spans="20:20">
      <c r="T7434" s="10"/>
    </row>
    <row r="7435" spans="20:20">
      <c r="T7435" s="10"/>
    </row>
    <row r="7436" spans="20:20">
      <c r="T7436" s="10"/>
    </row>
    <row r="7437" spans="20:20">
      <c r="T7437" s="10"/>
    </row>
    <row r="7438" spans="20:20">
      <c r="T7438" s="10"/>
    </row>
    <row r="7439" spans="20:20">
      <c r="T7439" s="10"/>
    </row>
    <row r="7440" spans="20:20">
      <c r="T7440" s="10"/>
    </row>
    <row r="7441" spans="20:20">
      <c r="T7441" s="10"/>
    </row>
    <row r="7442" spans="20:20">
      <c r="T7442" s="10"/>
    </row>
    <row r="7443" spans="20:20">
      <c r="T7443" s="10"/>
    </row>
    <row r="7444" spans="20:20">
      <c r="T7444" s="10"/>
    </row>
    <row r="7445" spans="20:20">
      <c r="T7445" s="10"/>
    </row>
    <row r="7446" spans="20:20">
      <c r="T7446" s="10"/>
    </row>
    <row r="7447" spans="20:20">
      <c r="T7447" s="10"/>
    </row>
    <row r="7448" spans="20:20">
      <c r="T7448" s="10"/>
    </row>
    <row r="7449" spans="20:20">
      <c r="T7449" s="10"/>
    </row>
    <row r="7450" spans="20:20">
      <c r="T7450" s="10"/>
    </row>
    <row r="7451" spans="20:20">
      <c r="T7451" s="10"/>
    </row>
    <row r="7452" spans="20:20">
      <c r="T7452" s="10"/>
    </row>
    <row r="7453" spans="20:20">
      <c r="T7453" s="10"/>
    </row>
    <row r="7454" spans="20:20">
      <c r="T7454" s="10"/>
    </row>
    <row r="7455" spans="20:20">
      <c r="T7455" s="10"/>
    </row>
    <row r="7456" spans="20:20">
      <c r="T7456" s="10"/>
    </row>
    <row r="7457" spans="20:20">
      <c r="T7457" s="10"/>
    </row>
    <row r="7458" spans="20:20">
      <c r="T7458" s="10"/>
    </row>
    <row r="7459" spans="20:20">
      <c r="T7459" s="10"/>
    </row>
    <row r="7460" spans="20:20">
      <c r="T7460" s="10"/>
    </row>
    <row r="7461" spans="20:20">
      <c r="T7461" s="10"/>
    </row>
    <row r="7462" spans="20:20">
      <c r="T7462" s="10"/>
    </row>
    <row r="7463" spans="20:20">
      <c r="T7463" s="10"/>
    </row>
    <row r="7464" spans="20:20">
      <c r="T7464" s="10"/>
    </row>
    <row r="7465" spans="20:20">
      <c r="T7465" s="10"/>
    </row>
    <row r="7466" spans="20:20">
      <c r="T7466" s="10"/>
    </row>
    <row r="7467" spans="20:20">
      <c r="T7467" s="10"/>
    </row>
    <row r="7468" spans="20:20">
      <c r="T7468" s="10"/>
    </row>
    <row r="7469" spans="20:20">
      <c r="T7469" s="10"/>
    </row>
    <row r="7470" spans="20:20">
      <c r="T7470" s="10"/>
    </row>
    <row r="7471" spans="20:20">
      <c r="T7471" s="10"/>
    </row>
    <row r="7472" spans="20:20">
      <c r="T7472" s="10"/>
    </row>
    <row r="7473" spans="20:20">
      <c r="T7473" s="10"/>
    </row>
    <row r="7474" spans="20:20">
      <c r="T7474" s="10"/>
    </row>
    <row r="7475" spans="20:20">
      <c r="T7475" s="10"/>
    </row>
    <row r="7476" spans="20:20">
      <c r="T7476" s="10"/>
    </row>
    <row r="7477" spans="20:20">
      <c r="T7477" s="10"/>
    </row>
    <row r="7478" spans="20:20">
      <c r="T7478" s="10"/>
    </row>
    <row r="7479" spans="20:20">
      <c r="T7479" s="10"/>
    </row>
    <row r="7480" spans="20:20">
      <c r="T7480" s="10"/>
    </row>
    <row r="7481" spans="20:20">
      <c r="T7481" s="10"/>
    </row>
    <row r="7482" spans="20:20">
      <c r="T7482" s="10"/>
    </row>
    <row r="7483" spans="20:20">
      <c r="T7483" s="10"/>
    </row>
    <row r="7484" spans="20:20">
      <c r="T7484" s="10"/>
    </row>
    <row r="7485" spans="20:20">
      <c r="T7485" s="10"/>
    </row>
    <row r="7486" spans="20:20">
      <c r="T7486" s="10"/>
    </row>
    <row r="7487" spans="20:20">
      <c r="T7487" s="10"/>
    </row>
    <row r="7488" spans="20:20">
      <c r="T7488" s="10"/>
    </row>
    <row r="7489" spans="20:20">
      <c r="T7489" s="10"/>
    </row>
    <row r="7490" spans="20:20">
      <c r="T7490" s="10"/>
    </row>
    <row r="7491" spans="20:20">
      <c r="T7491" s="10"/>
    </row>
    <row r="7492" spans="20:20">
      <c r="T7492" s="10"/>
    </row>
    <row r="7493" spans="20:20">
      <c r="T7493" s="10"/>
    </row>
    <row r="7494" spans="20:20">
      <c r="T7494" s="10"/>
    </row>
    <row r="7495" spans="20:20">
      <c r="T7495" s="10"/>
    </row>
    <row r="7496" spans="20:20">
      <c r="T7496" s="10"/>
    </row>
    <row r="7497" spans="20:20">
      <c r="T7497" s="10"/>
    </row>
    <row r="7498" spans="20:20">
      <c r="T7498" s="10"/>
    </row>
    <row r="7499" spans="20:20">
      <c r="T7499" s="10"/>
    </row>
    <row r="7500" spans="20:20">
      <c r="T7500" s="10"/>
    </row>
    <row r="7501" spans="20:20">
      <c r="T7501" s="10"/>
    </row>
    <row r="7502" spans="20:20">
      <c r="T7502" s="10"/>
    </row>
    <row r="7503" spans="20:20">
      <c r="T7503" s="10"/>
    </row>
    <row r="7504" spans="20:20">
      <c r="T7504" s="10"/>
    </row>
    <row r="7505" spans="20:20">
      <c r="T7505" s="10"/>
    </row>
    <row r="7506" spans="20:20">
      <c r="T7506" s="10"/>
    </row>
    <row r="7507" spans="20:20">
      <c r="T7507" s="10"/>
    </row>
    <row r="7508" spans="20:20">
      <c r="T7508" s="10"/>
    </row>
    <row r="7509" spans="20:20">
      <c r="T7509" s="10"/>
    </row>
    <row r="7510" spans="20:20">
      <c r="T7510" s="10"/>
    </row>
    <row r="7511" spans="20:20">
      <c r="T7511" s="10"/>
    </row>
    <row r="7512" spans="20:20">
      <c r="T7512" s="10"/>
    </row>
    <row r="7513" spans="20:20">
      <c r="T7513" s="10"/>
    </row>
    <row r="7514" spans="20:20">
      <c r="T7514" s="10"/>
    </row>
    <row r="7515" spans="20:20">
      <c r="T7515" s="10"/>
    </row>
    <row r="7516" spans="20:20">
      <c r="T7516" s="10"/>
    </row>
    <row r="7517" spans="20:20">
      <c r="T7517" s="10"/>
    </row>
    <row r="7518" spans="20:20">
      <c r="T7518" s="10"/>
    </row>
    <row r="7519" spans="20:20">
      <c r="T7519" s="10"/>
    </row>
    <row r="7520" spans="20:20">
      <c r="T7520" s="10"/>
    </row>
    <row r="7521" spans="20:20">
      <c r="T7521" s="10"/>
    </row>
    <row r="7522" spans="20:20">
      <c r="T7522" s="10"/>
    </row>
    <row r="7523" spans="20:20">
      <c r="T7523" s="10"/>
    </row>
    <row r="7524" spans="20:20">
      <c r="T7524" s="10"/>
    </row>
    <row r="7525" spans="20:20">
      <c r="T7525" s="10"/>
    </row>
    <row r="7526" spans="20:20">
      <c r="T7526" s="10"/>
    </row>
    <row r="7527" spans="20:20">
      <c r="T7527" s="10"/>
    </row>
    <row r="7528" spans="20:20">
      <c r="T7528" s="10"/>
    </row>
    <row r="7529" spans="20:20">
      <c r="T7529" s="10"/>
    </row>
    <row r="7530" spans="20:20">
      <c r="T7530" s="10"/>
    </row>
    <row r="7531" spans="20:20">
      <c r="T7531" s="10"/>
    </row>
    <row r="7532" spans="20:20">
      <c r="T7532" s="10"/>
    </row>
    <row r="7533" spans="20:20">
      <c r="T7533" s="10"/>
    </row>
    <row r="7534" spans="20:20">
      <c r="T7534" s="10"/>
    </row>
    <row r="7535" spans="20:20">
      <c r="T7535" s="10"/>
    </row>
    <row r="7536" spans="20:20">
      <c r="T7536" s="10"/>
    </row>
    <row r="7537" spans="20:20">
      <c r="T7537" s="10"/>
    </row>
    <row r="7538" spans="20:20">
      <c r="T7538" s="10"/>
    </row>
    <row r="7539" spans="20:20">
      <c r="T7539" s="10"/>
    </row>
    <row r="7540" spans="20:20">
      <c r="T7540" s="10"/>
    </row>
    <row r="7541" spans="20:20">
      <c r="T7541" s="10"/>
    </row>
    <row r="7542" spans="20:20">
      <c r="T7542" s="10"/>
    </row>
    <row r="7543" spans="20:20">
      <c r="T7543" s="10"/>
    </row>
    <row r="7544" spans="20:20">
      <c r="T7544" s="10"/>
    </row>
    <row r="7545" spans="20:20">
      <c r="T7545" s="10"/>
    </row>
    <row r="7546" spans="20:20">
      <c r="T7546" s="10"/>
    </row>
    <row r="7547" spans="20:20">
      <c r="T7547" s="10"/>
    </row>
    <row r="7548" spans="20:20">
      <c r="T7548" s="10"/>
    </row>
    <row r="7549" spans="20:20">
      <c r="T7549" s="10"/>
    </row>
    <row r="7550" spans="20:20">
      <c r="T7550" s="10"/>
    </row>
    <row r="7551" spans="20:20">
      <c r="T7551" s="10"/>
    </row>
    <row r="7552" spans="20:20">
      <c r="T7552" s="10"/>
    </row>
    <row r="7553" spans="20:20">
      <c r="T7553" s="10"/>
    </row>
    <row r="7554" spans="20:20">
      <c r="T7554" s="10"/>
    </row>
    <row r="7555" spans="20:20">
      <c r="T7555" s="10"/>
    </row>
    <row r="7556" spans="20:20">
      <c r="T7556" s="10"/>
    </row>
    <row r="7557" spans="20:20">
      <c r="T7557" s="10"/>
    </row>
    <row r="7558" spans="20:20">
      <c r="T7558" s="10"/>
    </row>
    <row r="7559" spans="20:20">
      <c r="T7559" s="10"/>
    </row>
    <row r="7560" spans="20:20">
      <c r="T7560" s="10"/>
    </row>
    <row r="7561" spans="20:20">
      <c r="T7561" s="10"/>
    </row>
    <row r="7562" spans="20:20">
      <c r="T7562" s="10"/>
    </row>
    <row r="7563" spans="20:20">
      <c r="T7563" s="10"/>
    </row>
    <row r="7564" spans="20:20">
      <c r="T7564" s="10"/>
    </row>
    <row r="7565" spans="20:20">
      <c r="T7565" s="10"/>
    </row>
    <row r="7566" spans="20:20">
      <c r="T7566" s="10"/>
    </row>
    <row r="7567" spans="20:20">
      <c r="T7567" s="10"/>
    </row>
    <row r="7568" spans="20:20">
      <c r="T7568" s="10"/>
    </row>
    <row r="7569" spans="20:20">
      <c r="T7569" s="10"/>
    </row>
    <row r="7570" spans="20:20">
      <c r="T7570" s="10"/>
    </row>
    <row r="7571" spans="20:20">
      <c r="T7571" s="10"/>
    </row>
    <row r="7572" spans="20:20">
      <c r="T7572" s="10"/>
    </row>
    <row r="7573" spans="20:20">
      <c r="T7573" s="10"/>
    </row>
    <row r="7574" spans="20:20">
      <c r="T7574" s="10"/>
    </row>
    <row r="7575" spans="20:20">
      <c r="T7575" s="10"/>
    </row>
    <row r="7576" spans="20:20">
      <c r="T7576" s="10"/>
    </row>
    <row r="7577" spans="20:20">
      <c r="T7577" s="10"/>
    </row>
    <row r="7578" spans="20:20">
      <c r="T7578" s="10"/>
    </row>
    <row r="7579" spans="20:20">
      <c r="T7579" s="10"/>
    </row>
    <row r="7580" spans="20:20">
      <c r="T7580" s="10"/>
    </row>
    <row r="7581" spans="20:20">
      <c r="T7581" s="10"/>
    </row>
    <row r="7582" spans="20:20">
      <c r="T7582" s="10"/>
    </row>
    <row r="7583" spans="20:20">
      <c r="T7583" s="10"/>
    </row>
    <row r="7584" spans="20:20">
      <c r="T7584" s="10"/>
    </row>
    <row r="7585" spans="20:20">
      <c r="T7585" s="10"/>
    </row>
    <row r="7586" spans="20:20">
      <c r="T7586" s="10"/>
    </row>
    <row r="7587" spans="20:20">
      <c r="T7587" s="10"/>
    </row>
    <row r="7588" spans="20:20">
      <c r="T7588" s="10"/>
    </row>
    <row r="7589" spans="20:20">
      <c r="T7589" s="10"/>
    </row>
    <row r="7590" spans="20:20">
      <c r="T7590" s="10"/>
    </row>
    <row r="7591" spans="20:20">
      <c r="T7591" s="10"/>
    </row>
    <row r="7592" spans="20:20">
      <c r="T7592" s="10"/>
    </row>
    <row r="7593" spans="20:20">
      <c r="T7593" s="10"/>
    </row>
    <row r="7594" spans="20:20">
      <c r="T7594" s="10"/>
    </row>
    <row r="7595" spans="20:20">
      <c r="T7595" s="10"/>
    </row>
    <row r="7596" spans="20:20">
      <c r="T7596" s="10"/>
    </row>
    <row r="7597" spans="20:20">
      <c r="T7597" s="10"/>
    </row>
    <row r="7598" spans="20:20">
      <c r="T7598" s="10"/>
    </row>
    <row r="7599" spans="20:20">
      <c r="T7599" s="10"/>
    </row>
    <row r="7600" spans="20:20">
      <c r="T7600" s="10"/>
    </row>
    <row r="7601" spans="20:20">
      <c r="T7601" s="10"/>
    </row>
    <row r="7602" spans="20:20">
      <c r="T7602" s="10"/>
    </row>
    <row r="7603" spans="20:20">
      <c r="T7603" s="10"/>
    </row>
    <row r="7604" spans="20:20">
      <c r="T7604" s="10"/>
    </row>
    <row r="7605" spans="20:20">
      <c r="T7605" s="10"/>
    </row>
    <row r="7606" spans="20:20">
      <c r="T7606" s="10"/>
    </row>
    <row r="7607" spans="20:20">
      <c r="T7607" s="10"/>
    </row>
    <row r="7608" spans="20:20">
      <c r="T7608" s="10"/>
    </row>
    <row r="7609" spans="20:20">
      <c r="T7609" s="10"/>
    </row>
    <row r="7610" spans="20:20">
      <c r="T7610" s="10"/>
    </row>
    <row r="7611" spans="20:20">
      <c r="T7611" s="10"/>
    </row>
    <row r="7612" spans="20:20">
      <c r="T7612" s="10"/>
    </row>
    <row r="7613" spans="20:20">
      <c r="T7613" s="10"/>
    </row>
    <row r="7614" spans="20:20">
      <c r="T7614" s="10"/>
    </row>
    <row r="7615" spans="20:20">
      <c r="T7615" s="10"/>
    </row>
    <row r="7616" spans="20:20">
      <c r="T7616" s="10"/>
    </row>
    <row r="7617" spans="20:20">
      <c r="T7617" s="10"/>
    </row>
    <row r="7618" spans="20:20">
      <c r="T7618" s="10"/>
    </row>
    <row r="7619" spans="20:20">
      <c r="T7619" s="10"/>
    </row>
    <row r="7620" spans="20:20">
      <c r="T7620" s="10"/>
    </row>
    <row r="7621" spans="20:20">
      <c r="T7621" s="10"/>
    </row>
    <row r="7622" spans="20:20">
      <c r="T7622" s="10"/>
    </row>
    <row r="7623" spans="20:20">
      <c r="T7623" s="10"/>
    </row>
    <row r="7624" spans="20:20">
      <c r="T7624" s="10"/>
    </row>
    <row r="7625" spans="20:20">
      <c r="T7625" s="10"/>
    </row>
    <row r="7626" spans="20:20">
      <c r="T7626" s="10"/>
    </row>
    <row r="7627" spans="20:20">
      <c r="T7627" s="10"/>
    </row>
    <row r="7628" spans="20:20">
      <c r="T7628" s="10"/>
    </row>
    <row r="7629" spans="20:20">
      <c r="T7629" s="10"/>
    </row>
    <row r="7630" spans="20:20">
      <c r="T7630" s="10"/>
    </row>
    <row r="7631" spans="20:20">
      <c r="T7631" s="10"/>
    </row>
    <row r="7632" spans="20:20">
      <c r="T7632" s="10"/>
    </row>
    <row r="7633" spans="20:20">
      <c r="T7633" s="10"/>
    </row>
    <row r="7634" spans="20:20">
      <c r="T7634" s="10"/>
    </row>
    <row r="7635" spans="20:20">
      <c r="T7635" s="10"/>
    </row>
    <row r="7636" spans="20:20">
      <c r="T7636" s="10"/>
    </row>
    <row r="7637" spans="20:20">
      <c r="T7637" s="10"/>
    </row>
    <row r="7638" spans="20:20">
      <c r="T7638" s="10"/>
    </row>
    <row r="7639" spans="20:20">
      <c r="T7639" s="10"/>
    </row>
    <row r="7640" spans="20:20">
      <c r="T7640" s="10"/>
    </row>
    <row r="7641" spans="20:20">
      <c r="T7641" s="10"/>
    </row>
    <row r="7642" spans="20:20">
      <c r="T7642" s="10"/>
    </row>
    <row r="7643" spans="20:20">
      <c r="T7643" s="10"/>
    </row>
    <row r="7644" spans="20:20">
      <c r="T7644" s="10"/>
    </row>
    <row r="7645" spans="20:20">
      <c r="T7645" s="10"/>
    </row>
    <row r="7646" spans="20:20">
      <c r="T7646" s="10"/>
    </row>
    <row r="7647" spans="20:20">
      <c r="T7647" s="10"/>
    </row>
    <row r="7648" spans="20:20">
      <c r="T7648" s="10"/>
    </row>
    <row r="7649" spans="20:20">
      <c r="T7649" s="10"/>
    </row>
    <row r="7650" spans="20:20">
      <c r="T7650" s="10"/>
    </row>
    <row r="7651" spans="20:20">
      <c r="T7651" s="10"/>
    </row>
    <row r="7652" spans="20:20">
      <c r="T7652" s="10"/>
    </row>
    <row r="7653" spans="20:20">
      <c r="T7653" s="10"/>
    </row>
    <row r="7654" spans="20:20">
      <c r="T7654" s="10"/>
    </row>
    <row r="7655" spans="20:20">
      <c r="T7655" s="10"/>
    </row>
    <row r="7656" spans="20:20">
      <c r="T7656" s="10"/>
    </row>
    <row r="7657" spans="20:20">
      <c r="T7657" s="10"/>
    </row>
    <row r="7658" spans="20:20">
      <c r="T7658" s="10"/>
    </row>
    <row r="7659" spans="20:20">
      <c r="T7659" s="10"/>
    </row>
    <row r="7660" spans="20:20">
      <c r="T7660" s="10"/>
    </row>
    <row r="7661" spans="20:20">
      <c r="T7661" s="10"/>
    </row>
    <row r="7662" spans="20:20">
      <c r="T7662" s="10"/>
    </row>
    <row r="7663" spans="20:20">
      <c r="T7663" s="10"/>
    </row>
    <row r="7664" spans="20:20">
      <c r="T7664" s="10"/>
    </row>
    <row r="7665" spans="20:20">
      <c r="T7665" s="10"/>
    </row>
    <row r="7666" spans="20:20">
      <c r="T7666" s="10"/>
    </row>
    <row r="7667" spans="20:20">
      <c r="T7667" s="10"/>
    </row>
    <row r="7668" spans="20:20">
      <c r="T7668" s="10"/>
    </row>
    <row r="7669" spans="20:20">
      <c r="T7669" s="10"/>
    </row>
    <row r="7670" spans="20:20">
      <c r="T7670" s="10"/>
    </row>
    <row r="7671" spans="20:20">
      <c r="T7671" s="10"/>
    </row>
    <row r="7672" spans="20:20">
      <c r="T7672" s="10"/>
    </row>
    <row r="7673" spans="20:20">
      <c r="T7673" s="10"/>
    </row>
    <row r="7674" spans="20:20">
      <c r="T7674" s="10"/>
    </row>
    <row r="7675" spans="20:20">
      <c r="T7675" s="10"/>
    </row>
    <row r="7676" spans="20:20">
      <c r="T7676" s="10"/>
    </row>
    <row r="7677" spans="20:20">
      <c r="T7677" s="10"/>
    </row>
    <row r="7678" spans="20:20">
      <c r="T7678" s="10"/>
    </row>
    <row r="7679" spans="20:20">
      <c r="T7679" s="10"/>
    </row>
    <row r="7680" spans="20:20">
      <c r="T7680" s="10"/>
    </row>
    <row r="7681" spans="20:20">
      <c r="T7681" s="10"/>
    </row>
    <row r="7682" spans="20:20">
      <c r="T7682" s="10"/>
    </row>
    <row r="7683" spans="20:20">
      <c r="T7683" s="10"/>
    </row>
    <row r="7684" spans="20:20">
      <c r="T7684" s="10"/>
    </row>
    <row r="7685" spans="20:20">
      <c r="T7685" s="10"/>
    </row>
    <row r="7686" spans="20:20">
      <c r="T7686" s="10"/>
    </row>
    <row r="7687" spans="20:20">
      <c r="T7687" s="10"/>
    </row>
    <row r="7688" spans="20:20">
      <c r="T7688" s="10"/>
    </row>
    <row r="7689" spans="20:20">
      <c r="T7689" s="10"/>
    </row>
    <row r="7690" spans="20:20">
      <c r="T7690" s="10"/>
    </row>
    <row r="7691" spans="20:20">
      <c r="T7691" s="10"/>
    </row>
    <row r="7692" spans="20:20">
      <c r="T7692" s="10"/>
    </row>
    <row r="7693" spans="20:20">
      <c r="T7693" s="10"/>
    </row>
    <row r="7694" spans="20:20">
      <c r="T7694" s="10"/>
    </row>
    <row r="7695" spans="20:20">
      <c r="T7695" s="10"/>
    </row>
    <row r="7696" spans="20:20">
      <c r="T7696" s="10"/>
    </row>
    <row r="7697" spans="20:20">
      <c r="T7697" s="10"/>
    </row>
    <row r="7698" spans="20:20">
      <c r="T7698" s="10"/>
    </row>
    <row r="7699" spans="20:20">
      <c r="T7699" s="10"/>
    </row>
    <row r="7700" spans="20:20">
      <c r="T7700" s="10"/>
    </row>
    <row r="7701" spans="20:20">
      <c r="T7701" s="10"/>
    </row>
    <row r="7702" spans="20:20">
      <c r="T7702" s="10"/>
    </row>
    <row r="7703" spans="20:20">
      <c r="T7703" s="10"/>
    </row>
    <row r="7704" spans="20:20">
      <c r="T7704" s="10"/>
    </row>
    <row r="7705" spans="20:20">
      <c r="T7705" s="10"/>
    </row>
    <row r="7706" spans="20:20">
      <c r="T7706" s="10"/>
    </row>
    <row r="7707" spans="20:20">
      <c r="T7707" s="10"/>
    </row>
    <row r="7708" spans="20:20">
      <c r="T7708" s="10"/>
    </row>
    <row r="7709" spans="20:20">
      <c r="T7709" s="10"/>
    </row>
    <row r="7710" spans="20:20">
      <c r="T7710" s="10"/>
    </row>
    <row r="7711" spans="20:20">
      <c r="T7711" s="10"/>
    </row>
    <row r="7712" spans="20:20">
      <c r="T7712" s="10"/>
    </row>
    <row r="7713" spans="20:20">
      <c r="T7713" s="10"/>
    </row>
    <row r="7714" spans="20:20">
      <c r="T7714" s="10"/>
    </row>
    <row r="7715" spans="20:20">
      <c r="T7715" s="10"/>
    </row>
    <row r="7716" spans="20:20">
      <c r="T7716" s="10"/>
    </row>
    <row r="7717" spans="20:20">
      <c r="T7717" s="10"/>
    </row>
    <row r="7718" spans="20:20">
      <c r="T7718" s="10"/>
    </row>
    <row r="7719" spans="20:20">
      <c r="T7719" s="10"/>
    </row>
    <row r="7720" spans="20:20">
      <c r="T7720" s="10"/>
    </row>
    <row r="7721" spans="20:20">
      <c r="T7721" s="10"/>
    </row>
    <row r="7722" spans="20:20">
      <c r="T7722" s="10"/>
    </row>
    <row r="7723" spans="20:20">
      <c r="T7723" s="10"/>
    </row>
    <row r="7724" spans="20:20">
      <c r="T7724" s="10"/>
    </row>
    <row r="7725" spans="20:20">
      <c r="T7725" s="10"/>
    </row>
    <row r="7726" spans="20:20">
      <c r="T7726" s="10"/>
    </row>
    <row r="7727" spans="20:20">
      <c r="T7727" s="10"/>
    </row>
    <row r="7728" spans="20:20">
      <c r="T7728" s="10"/>
    </row>
    <row r="7729" spans="20:20">
      <c r="T7729" s="10"/>
    </row>
    <row r="7730" spans="20:20">
      <c r="T7730" s="10"/>
    </row>
    <row r="7731" spans="20:20">
      <c r="T7731" s="10"/>
    </row>
    <row r="7732" spans="20:20">
      <c r="T7732" s="10"/>
    </row>
    <row r="7733" spans="20:20">
      <c r="T7733" s="10"/>
    </row>
    <row r="7734" spans="20:20">
      <c r="T7734" s="10"/>
    </row>
    <row r="7735" spans="20:20">
      <c r="T7735" s="10"/>
    </row>
    <row r="7736" spans="20:20">
      <c r="T7736" s="10"/>
    </row>
    <row r="7737" spans="20:20">
      <c r="T7737" s="10"/>
    </row>
    <row r="7738" spans="20:20">
      <c r="T7738" s="10"/>
    </row>
    <row r="7739" spans="20:20">
      <c r="T7739" s="10"/>
    </row>
    <row r="7740" spans="20:20">
      <c r="T7740" s="10"/>
    </row>
    <row r="7741" spans="20:20">
      <c r="T7741" s="10"/>
    </row>
    <row r="7742" spans="20:20">
      <c r="T7742" s="10"/>
    </row>
    <row r="7743" spans="20:20">
      <c r="T7743" s="10"/>
    </row>
    <row r="7744" spans="20:20">
      <c r="T7744" s="10"/>
    </row>
    <row r="7745" spans="20:20">
      <c r="T7745" s="10"/>
    </row>
    <row r="7746" spans="20:20">
      <c r="T7746" s="10"/>
    </row>
    <row r="7747" spans="20:20">
      <c r="T7747" s="10"/>
    </row>
    <row r="7748" spans="20:20">
      <c r="T7748" s="10"/>
    </row>
    <row r="7749" spans="20:20">
      <c r="T7749" s="10"/>
    </row>
    <row r="7750" spans="20:20">
      <c r="T7750" s="10"/>
    </row>
    <row r="7751" spans="20:20">
      <c r="T7751" s="10"/>
    </row>
    <row r="7752" spans="20:20">
      <c r="T7752" s="10"/>
    </row>
    <row r="7753" spans="20:20">
      <c r="T7753" s="10"/>
    </row>
    <row r="7754" spans="20:20">
      <c r="T7754" s="10"/>
    </row>
    <row r="7755" spans="20:20">
      <c r="T7755" s="10"/>
    </row>
    <row r="7756" spans="20:20">
      <c r="T7756" s="10"/>
    </row>
    <row r="7757" spans="20:20">
      <c r="T7757" s="10"/>
    </row>
    <row r="7758" spans="20:20">
      <c r="T7758" s="10"/>
    </row>
    <row r="7759" spans="20:20">
      <c r="T7759" s="10"/>
    </row>
    <row r="7760" spans="20:20">
      <c r="T7760" s="10"/>
    </row>
    <row r="7761" spans="20:20">
      <c r="T7761" s="10"/>
    </row>
    <row r="7762" spans="20:20">
      <c r="T7762" s="10"/>
    </row>
    <row r="7763" spans="20:20">
      <c r="T7763" s="10"/>
    </row>
    <row r="7764" spans="20:20">
      <c r="T7764" s="10"/>
    </row>
    <row r="7765" spans="20:20">
      <c r="T7765" s="10"/>
    </row>
    <row r="7766" spans="20:20">
      <c r="T7766" s="10"/>
    </row>
    <row r="7767" spans="20:20">
      <c r="T7767" s="10"/>
    </row>
    <row r="7768" spans="20:20">
      <c r="T7768" s="10"/>
    </row>
    <row r="7769" spans="20:20">
      <c r="T7769" s="10"/>
    </row>
    <row r="7770" spans="20:20">
      <c r="T7770" s="10"/>
    </row>
    <row r="7771" spans="20:20">
      <c r="T7771" s="10"/>
    </row>
    <row r="7772" spans="20:20">
      <c r="T7772" s="10"/>
    </row>
    <row r="7773" spans="20:20">
      <c r="T7773" s="10"/>
    </row>
    <row r="7774" spans="20:20">
      <c r="T7774" s="10"/>
    </row>
    <row r="7775" spans="20:20">
      <c r="T7775" s="10"/>
    </row>
    <row r="7776" spans="20:20">
      <c r="T7776" s="10"/>
    </row>
    <row r="7777" spans="20:20">
      <c r="T7777" s="10"/>
    </row>
    <row r="7778" spans="20:20">
      <c r="T7778" s="10"/>
    </row>
    <row r="7779" spans="20:20">
      <c r="T7779" s="10"/>
    </row>
    <row r="7780" spans="20:20">
      <c r="T7780" s="10"/>
    </row>
    <row r="7781" spans="20:20">
      <c r="T7781" s="10"/>
    </row>
    <row r="7782" spans="20:20">
      <c r="T7782" s="10"/>
    </row>
    <row r="7783" spans="20:20">
      <c r="T7783" s="10"/>
    </row>
    <row r="7784" spans="20:20">
      <c r="T7784" s="10"/>
    </row>
    <row r="7785" spans="20:20">
      <c r="T7785" s="10"/>
    </row>
    <row r="7786" spans="20:20">
      <c r="T7786" s="10"/>
    </row>
    <row r="7787" spans="20:20">
      <c r="T7787" s="10"/>
    </row>
    <row r="7788" spans="20:20">
      <c r="T7788" s="10"/>
    </row>
    <row r="7789" spans="20:20">
      <c r="T7789" s="10"/>
    </row>
    <row r="7790" spans="20:20">
      <c r="T7790" s="10"/>
    </row>
    <row r="7791" spans="20:20">
      <c r="T7791" s="10"/>
    </row>
    <row r="7792" spans="20:20">
      <c r="T7792" s="10"/>
    </row>
    <row r="7793" spans="20:20">
      <c r="T7793" s="10"/>
    </row>
    <row r="7794" spans="20:20">
      <c r="T7794" s="10"/>
    </row>
    <row r="7795" spans="20:20">
      <c r="T7795" s="10"/>
    </row>
    <row r="7796" spans="20:20">
      <c r="T7796" s="10"/>
    </row>
    <row r="7797" spans="20:20">
      <c r="T7797" s="10"/>
    </row>
    <row r="7798" spans="20:20">
      <c r="T7798" s="10"/>
    </row>
    <row r="7799" spans="20:20">
      <c r="T7799" s="10"/>
    </row>
    <row r="7800" spans="20:20">
      <c r="T7800" s="10"/>
    </row>
    <row r="7801" spans="20:20">
      <c r="T7801" s="10"/>
    </row>
    <row r="7802" spans="20:20">
      <c r="T7802" s="10"/>
    </row>
    <row r="7803" spans="20:20">
      <c r="T7803" s="10"/>
    </row>
    <row r="7804" spans="20:20">
      <c r="T7804" s="10"/>
    </row>
    <row r="7805" spans="20:20">
      <c r="T7805" s="10"/>
    </row>
    <row r="7806" spans="20:20">
      <c r="T7806" s="10"/>
    </row>
    <row r="7807" spans="20:20">
      <c r="T7807" s="10"/>
    </row>
    <row r="7808" spans="20:20">
      <c r="T7808" s="10"/>
    </row>
    <row r="7809" spans="20:20">
      <c r="T7809" s="10"/>
    </row>
    <row r="7810" spans="20:20">
      <c r="T7810" s="10"/>
    </row>
    <row r="7811" spans="20:20">
      <c r="T7811" s="10"/>
    </row>
    <row r="7812" spans="20:20">
      <c r="T7812" s="10"/>
    </row>
    <row r="7813" spans="20:20">
      <c r="T7813" s="10"/>
    </row>
    <row r="7814" spans="20:20">
      <c r="T7814" s="10"/>
    </row>
    <row r="7815" spans="20:20">
      <c r="T7815" s="10"/>
    </row>
    <row r="7816" spans="20:20">
      <c r="T7816" s="10"/>
    </row>
    <row r="7817" spans="20:20">
      <c r="T7817" s="10"/>
    </row>
    <row r="7818" spans="20:20">
      <c r="T7818" s="10"/>
    </row>
    <row r="7819" spans="20:20">
      <c r="T7819" s="10"/>
    </row>
    <row r="7820" spans="20:20">
      <c r="T7820" s="10"/>
    </row>
    <row r="7821" spans="20:20">
      <c r="T7821" s="10"/>
    </row>
    <row r="7822" spans="20:20">
      <c r="T7822" s="10"/>
    </row>
    <row r="7823" spans="20:20">
      <c r="T7823" s="10"/>
    </row>
    <row r="7824" spans="20:20">
      <c r="T7824" s="10"/>
    </row>
    <row r="7825" spans="20:20">
      <c r="T7825" s="10"/>
    </row>
    <row r="7826" spans="20:20">
      <c r="T7826" s="10"/>
    </row>
    <row r="7827" spans="20:20">
      <c r="T7827" s="10"/>
    </row>
    <row r="7828" spans="20:20">
      <c r="T7828" s="10"/>
    </row>
    <row r="7829" spans="20:20">
      <c r="T7829" s="10"/>
    </row>
    <row r="7830" spans="20:20">
      <c r="T7830" s="10"/>
    </row>
    <row r="7831" spans="20:20">
      <c r="T7831" s="10"/>
    </row>
    <row r="7832" spans="20:20">
      <c r="T7832" s="10"/>
    </row>
    <row r="7833" spans="20:20">
      <c r="T7833" s="10"/>
    </row>
    <row r="7834" spans="20:20">
      <c r="T7834" s="10"/>
    </row>
    <row r="7835" spans="20:20">
      <c r="T7835" s="10"/>
    </row>
    <row r="7836" spans="20:20">
      <c r="T7836" s="10"/>
    </row>
    <row r="7837" spans="20:20">
      <c r="T7837" s="10"/>
    </row>
    <row r="7838" spans="20:20">
      <c r="T7838" s="10"/>
    </row>
    <row r="7839" spans="20:20">
      <c r="T7839" s="10"/>
    </row>
    <row r="7840" spans="20:20">
      <c r="T7840" s="10"/>
    </row>
    <row r="7841" spans="20:20">
      <c r="T7841" s="10"/>
    </row>
    <row r="7842" spans="20:20">
      <c r="T7842" s="10"/>
    </row>
    <row r="7843" spans="20:20">
      <c r="T7843" s="10"/>
    </row>
    <row r="7844" spans="20:20">
      <c r="T7844" s="10"/>
    </row>
    <row r="7845" spans="20:20">
      <c r="T7845" s="10"/>
    </row>
    <row r="7846" spans="20:20">
      <c r="T7846" s="10"/>
    </row>
    <row r="7847" spans="20:20">
      <c r="T7847" s="10"/>
    </row>
    <row r="7848" spans="20:20">
      <c r="T7848" s="10"/>
    </row>
    <row r="7849" spans="20:20">
      <c r="T7849" s="10"/>
    </row>
    <row r="7850" spans="20:20">
      <c r="T7850" s="10"/>
    </row>
    <row r="7851" spans="20:20">
      <c r="T7851" s="10"/>
    </row>
    <row r="7852" spans="20:20">
      <c r="T7852" s="10"/>
    </row>
    <row r="7853" spans="20:20">
      <c r="T7853" s="10"/>
    </row>
    <row r="7854" spans="20:20">
      <c r="T7854" s="10"/>
    </row>
    <row r="7855" spans="20:20">
      <c r="T7855" s="10"/>
    </row>
    <row r="7856" spans="20:20">
      <c r="T7856" s="10"/>
    </row>
    <row r="7857" spans="20:20">
      <c r="T7857" s="10"/>
    </row>
    <row r="7858" spans="20:20">
      <c r="T7858" s="10"/>
    </row>
    <row r="7859" spans="20:20">
      <c r="T7859" s="10"/>
    </row>
    <row r="7860" spans="20:20">
      <c r="T7860" s="10"/>
    </row>
    <row r="7861" spans="20:20">
      <c r="T7861" s="10"/>
    </row>
    <row r="7862" spans="20:20">
      <c r="T7862" s="10"/>
    </row>
    <row r="7863" spans="20:20">
      <c r="T7863" s="10"/>
    </row>
    <row r="7864" spans="20:20">
      <c r="T7864" s="10"/>
    </row>
    <row r="7865" spans="20:20">
      <c r="T7865" s="10"/>
    </row>
    <row r="7866" spans="20:20">
      <c r="T7866" s="10"/>
    </row>
    <row r="7867" spans="20:20">
      <c r="T7867" s="10"/>
    </row>
    <row r="7868" spans="20:20">
      <c r="T7868" s="10"/>
    </row>
    <row r="7869" spans="20:20">
      <c r="T7869" s="10"/>
    </row>
    <row r="7870" spans="20:20">
      <c r="T7870" s="10"/>
    </row>
    <row r="7871" spans="20:20">
      <c r="T7871" s="10"/>
    </row>
    <row r="7872" spans="20:20">
      <c r="T7872" s="10"/>
    </row>
    <row r="7873" spans="20:20">
      <c r="T7873" s="10"/>
    </row>
    <row r="7874" spans="20:20">
      <c r="T7874" s="10"/>
    </row>
    <row r="7875" spans="20:20">
      <c r="T7875" s="10"/>
    </row>
    <row r="7876" spans="20:20">
      <c r="T7876" s="10"/>
    </row>
    <row r="7877" spans="20:20">
      <c r="T7877" s="10"/>
    </row>
    <row r="7878" spans="20:20">
      <c r="T7878" s="10"/>
    </row>
    <row r="7879" spans="20:20">
      <c r="T7879" s="10"/>
    </row>
    <row r="7880" spans="20:20">
      <c r="T7880" s="10"/>
    </row>
    <row r="7881" spans="20:20">
      <c r="T7881" s="10"/>
    </row>
    <row r="7882" spans="20:20">
      <c r="T7882" s="10"/>
    </row>
    <row r="7883" spans="20:20">
      <c r="T7883" s="10"/>
    </row>
    <row r="7884" spans="20:20">
      <c r="T7884" s="10"/>
    </row>
    <row r="7885" spans="20:20">
      <c r="T7885" s="10"/>
    </row>
    <row r="7886" spans="20:20">
      <c r="T7886" s="10"/>
    </row>
    <row r="7887" spans="20:20">
      <c r="T7887" s="10"/>
    </row>
    <row r="7888" spans="20:20">
      <c r="T7888" s="10"/>
    </row>
    <row r="7889" spans="20:20">
      <c r="T7889" s="10"/>
    </row>
    <row r="7890" spans="20:20">
      <c r="T7890" s="10"/>
    </row>
    <row r="7891" spans="20:20">
      <c r="T7891" s="10"/>
    </row>
    <row r="7892" spans="20:20">
      <c r="T7892" s="10"/>
    </row>
    <row r="7893" spans="20:20">
      <c r="T7893" s="10"/>
    </row>
    <row r="7894" spans="20:20">
      <c r="T7894" s="10"/>
    </row>
    <row r="7895" spans="20:20">
      <c r="T7895" s="10"/>
    </row>
    <row r="7896" spans="20:20">
      <c r="T7896" s="10"/>
    </row>
    <row r="7897" spans="20:20">
      <c r="T7897" s="10"/>
    </row>
    <row r="7898" spans="20:20">
      <c r="T7898" s="10"/>
    </row>
    <row r="7899" spans="20:20">
      <c r="T7899" s="10"/>
    </row>
    <row r="7900" spans="20:20">
      <c r="T7900" s="10"/>
    </row>
    <row r="7901" spans="20:20">
      <c r="T7901" s="10"/>
    </row>
    <row r="7902" spans="20:20">
      <c r="T7902" s="10"/>
    </row>
    <row r="7903" spans="20:20">
      <c r="T7903" s="10"/>
    </row>
    <row r="7904" spans="20:20">
      <c r="T7904" s="10"/>
    </row>
    <row r="7905" spans="20:20">
      <c r="T7905" s="10"/>
    </row>
    <row r="7906" spans="20:20">
      <c r="T7906" s="10"/>
    </row>
    <row r="7907" spans="20:20">
      <c r="T7907" s="10"/>
    </row>
    <row r="7908" spans="20:20">
      <c r="T7908" s="10"/>
    </row>
    <row r="7909" spans="20:20">
      <c r="T7909" s="10"/>
    </row>
    <row r="7910" spans="20:20">
      <c r="T7910" s="10"/>
    </row>
    <row r="7911" spans="20:20">
      <c r="T7911" s="10"/>
    </row>
    <row r="7912" spans="20:20">
      <c r="T7912" s="10"/>
    </row>
    <row r="7913" spans="20:20">
      <c r="T7913" s="10"/>
    </row>
    <row r="7914" spans="20:20">
      <c r="T7914" s="10"/>
    </row>
    <row r="7915" spans="20:20">
      <c r="T7915" s="10"/>
    </row>
    <row r="7916" spans="20:20">
      <c r="T7916" s="10"/>
    </row>
    <row r="7917" spans="20:20">
      <c r="T7917" s="10"/>
    </row>
    <row r="7918" spans="20:20">
      <c r="T7918" s="10"/>
    </row>
    <row r="7919" spans="20:20">
      <c r="T7919" s="10"/>
    </row>
    <row r="7920" spans="20:20">
      <c r="T7920" s="10"/>
    </row>
    <row r="7921" spans="20:20">
      <c r="T7921" s="10"/>
    </row>
    <row r="7922" spans="20:20">
      <c r="T7922" s="10"/>
    </row>
    <row r="7923" spans="20:20">
      <c r="T7923" s="10"/>
    </row>
    <row r="7924" spans="20:20">
      <c r="T7924" s="10"/>
    </row>
    <row r="7925" spans="20:20">
      <c r="T7925" s="10"/>
    </row>
    <row r="7926" spans="20:20">
      <c r="T7926" s="10"/>
    </row>
    <row r="7927" spans="20:20">
      <c r="T7927" s="10"/>
    </row>
    <row r="7928" spans="20:20">
      <c r="T7928" s="10"/>
    </row>
    <row r="7929" spans="20:20">
      <c r="T7929" s="10"/>
    </row>
    <row r="7930" spans="20:20">
      <c r="T7930" s="10"/>
    </row>
    <row r="7931" spans="20:20">
      <c r="T7931" s="10"/>
    </row>
    <row r="7932" spans="20:20">
      <c r="T7932" s="10"/>
    </row>
    <row r="7933" spans="20:20">
      <c r="T7933" s="10"/>
    </row>
    <row r="7934" spans="20:20">
      <c r="T7934" s="10"/>
    </row>
    <row r="7935" spans="20:20">
      <c r="T7935" s="10"/>
    </row>
    <row r="7936" spans="20:20">
      <c r="T7936" s="10"/>
    </row>
    <row r="7937" spans="20:20">
      <c r="T7937" s="10"/>
    </row>
    <row r="7938" spans="20:20">
      <c r="T7938" s="10"/>
    </row>
    <row r="7939" spans="20:20">
      <c r="T7939" s="10"/>
    </row>
    <row r="7940" spans="20:20">
      <c r="T7940" s="10"/>
    </row>
    <row r="7941" spans="20:20">
      <c r="T7941" s="10"/>
    </row>
    <row r="7942" spans="20:20">
      <c r="T7942" s="10"/>
    </row>
    <row r="7943" spans="20:20">
      <c r="T7943" s="10"/>
    </row>
    <row r="7944" spans="20:20">
      <c r="T7944" s="10"/>
    </row>
    <row r="7945" spans="20:20">
      <c r="T7945" s="10"/>
    </row>
    <row r="7946" spans="20:20">
      <c r="T7946" s="10"/>
    </row>
    <row r="7947" spans="20:20">
      <c r="T7947" s="10"/>
    </row>
    <row r="7948" spans="20:20">
      <c r="T7948" s="10"/>
    </row>
    <row r="7949" spans="20:20">
      <c r="T7949" s="10"/>
    </row>
    <row r="7950" spans="20:20">
      <c r="T7950" s="10"/>
    </row>
    <row r="7951" spans="20:20">
      <c r="T7951" s="10"/>
    </row>
    <row r="7952" spans="20:20">
      <c r="T7952" s="10"/>
    </row>
    <row r="7953" spans="20:20">
      <c r="T7953" s="10"/>
    </row>
    <row r="7954" spans="20:20">
      <c r="T7954" s="10"/>
    </row>
    <row r="7955" spans="20:20">
      <c r="T7955" s="10"/>
    </row>
    <row r="7956" spans="20:20">
      <c r="T7956" s="10"/>
    </row>
    <row r="7957" spans="20:20">
      <c r="T7957" s="10"/>
    </row>
    <row r="7958" spans="20:20">
      <c r="T7958" s="10"/>
    </row>
    <row r="7959" spans="20:20">
      <c r="T7959" s="10"/>
    </row>
    <row r="7960" spans="20:20">
      <c r="T7960" s="10"/>
    </row>
    <row r="7961" spans="20:20">
      <c r="T7961" s="10"/>
    </row>
    <row r="7962" spans="20:20">
      <c r="T7962" s="10"/>
    </row>
    <row r="7963" spans="20:20">
      <c r="T7963" s="10"/>
    </row>
    <row r="7964" spans="20:20">
      <c r="T7964" s="10"/>
    </row>
    <row r="7965" spans="20:20">
      <c r="T7965" s="10"/>
    </row>
    <row r="7966" spans="20:20">
      <c r="T7966" s="10"/>
    </row>
    <row r="7967" spans="20:20">
      <c r="T7967" s="10"/>
    </row>
    <row r="7968" spans="20:20">
      <c r="T7968" s="10"/>
    </row>
    <row r="7969" spans="20:20">
      <c r="T7969" s="10"/>
    </row>
    <row r="7970" spans="20:20">
      <c r="T7970" s="10"/>
    </row>
    <row r="7971" spans="20:20">
      <c r="T7971" s="10"/>
    </row>
    <row r="7972" spans="20:20">
      <c r="T7972" s="10"/>
    </row>
    <row r="7973" spans="20:20">
      <c r="T7973" s="10"/>
    </row>
    <row r="7974" spans="20:20">
      <c r="T7974" s="10"/>
    </row>
    <row r="7975" spans="20:20">
      <c r="T7975" s="10"/>
    </row>
    <row r="7976" spans="20:20">
      <c r="T7976" s="10"/>
    </row>
    <row r="7977" spans="20:20">
      <c r="T7977" s="10"/>
    </row>
    <row r="7978" spans="20:20">
      <c r="T7978" s="10"/>
    </row>
    <row r="7979" spans="20:20">
      <c r="T7979" s="10"/>
    </row>
    <row r="7980" spans="20:20">
      <c r="T7980" s="10"/>
    </row>
    <row r="7981" spans="20:20">
      <c r="T7981" s="10"/>
    </row>
    <row r="7982" spans="20:20">
      <c r="T7982" s="10"/>
    </row>
    <row r="7983" spans="20:20">
      <c r="T7983" s="10"/>
    </row>
    <row r="7984" spans="20:20">
      <c r="T7984" s="10"/>
    </row>
    <row r="7985" spans="20:20">
      <c r="T7985" s="10"/>
    </row>
    <row r="7986" spans="20:20">
      <c r="T7986" s="10"/>
    </row>
    <row r="7987" spans="20:20">
      <c r="T7987" s="10"/>
    </row>
    <row r="7988" spans="20:20">
      <c r="T7988" s="10"/>
    </row>
    <row r="7989" spans="20:20">
      <c r="T7989" s="10"/>
    </row>
    <row r="7990" spans="20:20">
      <c r="T7990" s="10"/>
    </row>
    <row r="7991" spans="20:20">
      <c r="T7991" s="10"/>
    </row>
    <row r="7992" spans="20:20">
      <c r="T7992" s="10"/>
    </row>
    <row r="7993" spans="20:20">
      <c r="T7993" s="10"/>
    </row>
    <row r="7994" spans="20:20">
      <c r="T7994" s="10"/>
    </row>
    <row r="7995" spans="20:20">
      <c r="T7995" s="10"/>
    </row>
    <row r="7996" spans="20:20">
      <c r="T7996" s="10"/>
    </row>
    <row r="7997" spans="20:20">
      <c r="T7997" s="10"/>
    </row>
    <row r="7998" spans="20:20">
      <c r="T7998" s="10"/>
    </row>
    <row r="7999" spans="20:20">
      <c r="T7999" s="10"/>
    </row>
    <row r="8000" spans="20:20">
      <c r="T8000" s="10"/>
    </row>
    <row r="8001" spans="20:20">
      <c r="T8001" s="10"/>
    </row>
    <row r="8002" spans="20:20">
      <c r="T8002" s="10"/>
    </row>
    <row r="8003" spans="20:20">
      <c r="T8003" s="10"/>
    </row>
    <row r="8004" spans="20:20">
      <c r="T8004" s="10"/>
    </row>
    <row r="8005" spans="20:20">
      <c r="T8005" s="10"/>
    </row>
    <row r="8006" spans="20:20">
      <c r="T8006" s="10"/>
    </row>
    <row r="8007" spans="20:20">
      <c r="T8007" s="10"/>
    </row>
    <row r="8008" spans="20:20">
      <c r="T8008" s="10"/>
    </row>
    <row r="8009" spans="20:20">
      <c r="T8009" s="10"/>
    </row>
    <row r="8010" spans="20:20">
      <c r="T8010" s="10"/>
    </row>
    <row r="8011" spans="20:20">
      <c r="T8011" s="10"/>
    </row>
    <row r="8012" spans="20:20">
      <c r="T8012" s="10"/>
    </row>
    <row r="8013" spans="20:20">
      <c r="T8013" s="10"/>
    </row>
    <row r="8014" spans="20:20">
      <c r="T8014" s="10"/>
    </row>
    <row r="8015" spans="20:20">
      <c r="T8015" s="10"/>
    </row>
    <row r="8016" spans="20:20">
      <c r="T8016" s="10"/>
    </row>
    <row r="8017" spans="20:20">
      <c r="T8017" s="10"/>
    </row>
    <row r="8018" spans="20:20">
      <c r="T8018" s="10"/>
    </row>
    <row r="8019" spans="20:20">
      <c r="T8019" s="10"/>
    </row>
    <row r="8020" spans="20:20">
      <c r="T8020" s="10"/>
    </row>
    <row r="8021" spans="20:20">
      <c r="T8021" s="10"/>
    </row>
    <row r="8022" spans="20:20">
      <c r="T8022" s="10"/>
    </row>
    <row r="8023" spans="20:20">
      <c r="T8023" s="10"/>
    </row>
    <row r="8024" spans="20:20">
      <c r="T8024" s="10"/>
    </row>
    <row r="8025" spans="20:20">
      <c r="T8025" s="10"/>
    </row>
    <row r="8026" spans="20:20">
      <c r="T8026" s="10"/>
    </row>
    <row r="8027" spans="20:20">
      <c r="T8027" s="10"/>
    </row>
    <row r="8028" spans="20:20">
      <c r="T8028" s="10"/>
    </row>
    <row r="8029" spans="20:20">
      <c r="T8029" s="10"/>
    </row>
    <row r="8030" spans="20:20">
      <c r="T8030" s="10"/>
    </row>
    <row r="8031" spans="20:20">
      <c r="T8031" s="10"/>
    </row>
    <row r="8032" spans="20:20">
      <c r="T8032" s="10"/>
    </row>
    <row r="8033" spans="20:20">
      <c r="T8033" s="10"/>
    </row>
    <row r="8034" spans="20:20">
      <c r="T8034" s="10"/>
    </row>
    <row r="8035" spans="20:20">
      <c r="T8035" s="10"/>
    </row>
    <row r="8036" spans="20:20">
      <c r="T8036" s="10"/>
    </row>
    <row r="8037" spans="20:20">
      <c r="T8037" s="10"/>
    </row>
    <row r="8038" spans="20:20">
      <c r="T8038" s="10"/>
    </row>
    <row r="8039" spans="20:20">
      <c r="T8039" s="10"/>
    </row>
    <row r="8040" spans="20:20">
      <c r="T8040" s="10"/>
    </row>
    <row r="8041" spans="20:20">
      <c r="T8041" s="10"/>
    </row>
    <row r="8042" spans="20:20">
      <c r="T8042" s="10"/>
    </row>
    <row r="8043" spans="20:20">
      <c r="T8043" s="10"/>
    </row>
    <row r="8044" spans="20:20">
      <c r="T8044" s="10"/>
    </row>
    <row r="8045" spans="20:20">
      <c r="T8045" s="10"/>
    </row>
    <row r="8046" spans="20:20">
      <c r="T8046" s="10"/>
    </row>
    <row r="8047" spans="20:20">
      <c r="T8047" s="10"/>
    </row>
    <row r="8048" spans="20:20">
      <c r="T8048" s="10"/>
    </row>
    <row r="8049" spans="20:20">
      <c r="T8049" s="10"/>
    </row>
    <row r="8050" spans="20:20">
      <c r="T8050" s="10"/>
    </row>
    <row r="8051" spans="20:20">
      <c r="T8051" s="10"/>
    </row>
    <row r="8052" spans="20:20">
      <c r="T8052" s="10"/>
    </row>
    <row r="8053" spans="20:20">
      <c r="T8053" s="10"/>
    </row>
    <row r="8054" spans="20:20">
      <c r="T8054" s="10"/>
    </row>
    <row r="8055" spans="20:20">
      <c r="T8055" s="10"/>
    </row>
    <row r="8056" spans="20:20">
      <c r="T8056" s="10"/>
    </row>
    <row r="8057" spans="20:20">
      <c r="T8057" s="10"/>
    </row>
    <row r="8058" spans="20:20">
      <c r="T8058" s="10"/>
    </row>
    <row r="8059" spans="20:20">
      <c r="T8059" s="10"/>
    </row>
    <row r="8060" spans="20:20">
      <c r="T8060" s="10"/>
    </row>
    <row r="8061" spans="20:20">
      <c r="T8061" s="10"/>
    </row>
    <row r="8062" spans="20:20">
      <c r="T8062" s="10"/>
    </row>
    <row r="8063" spans="20:20">
      <c r="T8063" s="10"/>
    </row>
    <row r="8064" spans="20:20">
      <c r="T8064" s="10"/>
    </row>
    <row r="8065" spans="20:20">
      <c r="T8065" s="10"/>
    </row>
    <row r="8066" spans="20:20">
      <c r="T8066" s="10"/>
    </row>
    <row r="8067" spans="20:20">
      <c r="T8067" s="10"/>
    </row>
    <row r="8068" spans="20:20">
      <c r="T8068" s="10"/>
    </row>
    <row r="8069" spans="20:20">
      <c r="T8069" s="10"/>
    </row>
    <row r="8070" spans="20:20">
      <c r="T8070" s="10"/>
    </row>
    <row r="8071" spans="20:20">
      <c r="T8071" s="10"/>
    </row>
    <row r="8072" spans="20:20">
      <c r="T8072" s="10"/>
    </row>
    <row r="8073" spans="20:20">
      <c r="T8073" s="10"/>
    </row>
    <row r="8074" spans="20:20">
      <c r="T8074" s="10"/>
    </row>
    <row r="8075" spans="20:20">
      <c r="T8075" s="10"/>
    </row>
    <row r="8076" spans="20:20">
      <c r="T8076" s="10"/>
    </row>
    <row r="8077" spans="20:20">
      <c r="T8077" s="10"/>
    </row>
    <row r="8078" spans="20:20">
      <c r="T8078" s="10"/>
    </row>
    <row r="8079" spans="20:20">
      <c r="T8079" s="10"/>
    </row>
    <row r="8080" spans="20:20">
      <c r="T8080" s="10"/>
    </row>
    <row r="8081" spans="20:20">
      <c r="T8081" s="10"/>
    </row>
    <row r="8082" spans="20:20">
      <c r="T8082" s="10"/>
    </row>
    <row r="8083" spans="20:20">
      <c r="T8083" s="10"/>
    </row>
    <row r="8084" spans="20:20">
      <c r="T8084" s="10"/>
    </row>
    <row r="8085" spans="20:20">
      <c r="T8085" s="10"/>
    </row>
    <row r="8086" spans="20:20">
      <c r="T8086" s="10"/>
    </row>
    <row r="8087" spans="20:20">
      <c r="T8087" s="10"/>
    </row>
    <row r="8088" spans="20:20">
      <c r="T8088" s="10"/>
    </row>
    <row r="8089" spans="20:20">
      <c r="T8089" s="10"/>
    </row>
    <row r="8090" spans="20:20">
      <c r="T8090" s="10"/>
    </row>
    <row r="8091" spans="20:20">
      <c r="T8091" s="10"/>
    </row>
    <row r="8092" spans="20:20">
      <c r="T8092" s="10"/>
    </row>
    <row r="8093" spans="20:20">
      <c r="T8093" s="10"/>
    </row>
    <row r="8094" spans="20:20">
      <c r="T8094" s="10"/>
    </row>
    <row r="8095" spans="20:20">
      <c r="T8095" s="10"/>
    </row>
    <row r="8096" spans="20:20">
      <c r="T8096" s="10"/>
    </row>
    <row r="8097" spans="20:20">
      <c r="T8097" s="10"/>
    </row>
    <row r="8098" spans="20:20">
      <c r="T8098" s="10"/>
    </row>
    <row r="8099" spans="20:20">
      <c r="T8099" s="10"/>
    </row>
    <row r="8100" spans="20:20">
      <c r="T8100" s="10"/>
    </row>
    <row r="8101" spans="20:20">
      <c r="T8101" s="10"/>
    </row>
    <row r="8102" spans="20:20">
      <c r="T8102" s="10"/>
    </row>
    <row r="8103" spans="20:20">
      <c r="T8103" s="10"/>
    </row>
    <row r="8104" spans="20:20">
      <c r="T8104" s="10"/>
    </row>
    <row r="8105" spans="20:20">
      <c r="T8105" s="10"/>
    </row>
    <row r="8106" spans="20:20">
      <c r="T8106" s="10"/>
    </row>
    <row r="8107" spans="20:20">
      <c r="T8107" s="10"/>
    </row>
    <row r="8108" spans="20:20">
      <c r="T8108" s="10"/>
    </row>
    <row r="8109" spans="20:20">
      <c r="T8109" s="10"/>
    </row>
    <row r="8110" spans="20:20">
      <c r="T8110" s="10"/>
    </row>
    <row r="8111" spans="20:20">
      <c r="T8111" s="10"/>
    </row>
    <row r="8112" spans="20:20">
      <c r="T8112" s="10"/>
    </row>
    <row r="8113" spans="20:20">
      <c r="T8113" s="10"/>
    </row>
    <row r="8114" spans="20:20">
      <c r="T8114" s="10"/>
    </row>
    <row r="8115" spans="20:20">
      <c r="T8115" s="10"/>
    </row>
    <row r="8116" spans="20:20">
      <c r="T8116" s="10"/>
    </row>
    <row r="8117" spans="20:20">
      <c r="T8117" s="10"/>
    </row>
    <row r="8118" spans="20:20">
      <c r="T8118" s="10"/>
    </row>
    <row r="8119" spans="20:20">
      <c r="T8119" s="10"/>
    </row>
    <row r="8120" spans="20:20">
      <c r="T8120" s="10"/>
    </row>
    <row r="8121" spans="20:20">
      <c r="T8121" s="10"/>
    </row>
    <row r="8122" spans="20:20">
      <c r="T8122" s="10"/>
    </row>
    <row r="8123" spans="20:20">
      <c r="T8123" s="10"/>
    </row>
    <row r="8124" spans="20:20">
      <c r="T8124" s="10"/>
    </row>
    <row r="8125" spans="20:20">
      <c r="T8125" s="10"/>
    </row>
    <row r="8126" spans="20:20">
      <c r="T8126" s="10"/>
    </row>
    <row r="8127" spans="20:20">
      <c r="T8127" s="10"/>
    </row>
    <row r="8128" spans="20:20">
      <c r="T8128" s="10"/>
    </row>
    <row r="8129" spans="20:20">
      <c r="T8129" s="10"/>
    </row>
    <row r="8130" spans="20:20">
      <c r="T8130" s="10"/>
    </row>
    <row r="8131" spans="20:20">
      <c r="T8131" s="10"/>
    </row>
    <row r="8132" spans="20:20">
      <c r="T8132" s="10"/>
    </row>
    <row r="8133" spans="20:20">
      <c r="T8133" s="10"/>
    </row>
    <row r="8134" spans="20:20">
      <c r="T8134" s="10"/>
    </row>
    <row r="8135" spans="20:20">
      <c r="T8135" s="10"/>
    </row>
    <row r="8136" spans="20:20">
      <c r="T8136" s="10"/>
    </row>
    <row r="8137" spans="20:20">
      <c r="T8137" s="10"/>
    </row>
    <row r="8138" spans="20:20">
      <c r="T8138" s="10"/>
    </row>
    <row r="8139" spans="20:20">
      <c r="T8139" s="10"/>
    </row>
    <row r="8140" spans="20:20">
      <c r="T8140" s="10"/>
    </row>
    <row r="8141" spans="20:20">
      <c r="T8141" s="10"/>
    </row>
    <row r="8142" spans="20:20">
      <c r="T8142" s="10"/>
    </row>
    <row r="8143" spans="20:20">
      <c r="T8143" s="10"/>
    </row>
    <row r="8144" spans="20:20">
      <c r="T8144" s="10"/>
    </row>
    <row r="8145" spans="20:20">
      <c r="T8145" s="10"/>
    </row>
    <row r="8146" spans="20:20">
      <c r="T8146" s="10"/>
    </row>
    <row r="8147" spans="20:20">
      <c r="T8147" s="10"/>
    </row>
    <row r="8148" spans="20:20">
      <c r="T8148" s="10"/>
    </row>
    <row r="8149" spans="20:20">
      <c r="T8149" s="10"/>
    </row>
    <row r="8150" spans="20:20">
      <c r="T8150" s="10"/>
    </row>
    <row r="8151" spans="20:20">
      <c r="T8151" s="10"/>
    </row>
    <row r="8152" spans="20:20">
      <c r="T8152" s="10"/>
    </row>
    <row r="8153" spans="20:20">
      <c r="T8153" s="10"/>
    </row>
    <row r="8154" spans="20:20">
      <c r="T8154" s="10"/>
    </row>
    <row r="8155" spans="20:20">
      <c r="T8155" s="10"/>
    </row>
    <row r="8156" spans="20:20">
      <c r="T8156" s="10"/>
    </row>
    <row r="8157" spans="20:20">
      <c r="T8157" s="10"/>
    </row>
    <row r="8158" spans="20:20">
      <c r="T8158" s="10"/>
    </row>
    <row r="8159" spans="20:20">
      <c r="T8159" s="10"/>
    </row>
    <row r="8160" spans="20:20">
      <c r="T8160" s="10"/>
    </row>
    <row r="8161" spans="20:20">
      <c r="T8161" s="10"/>
    </row>
    <row r="8162" spans="20:20">
      <c r="T8162" s="10"/>
    </row>
    <row r="8163" spans="20:20">
      <c r="T8163" s="10"/>
    </row>
    <row r="8164" spans="20:20">
      <c r="T8164" s="10"/>
    </row>
    <row r="8165" spans="20:20">
      <c r="T8165" s="10"/>
    </row>
    <row r="8166" spans="20:20">
      <c r="T8166" s="10"/>
    </row>
    <row r="8167" spans="20:20">
      <c r="T8167" s="10"/>
    </row>
    <row r="8168" spans="20:20">
      <c r="T8168" s="10"/>
    </row>
    <row r="8169" spans="20:20">
      <c r="T8169" s="10"/>
    </row>
    <row r="8170" spans="20:20">
      <c r="T8170" s="10"/>
    </row>
    <row r="8171" spans="20:20">
      <c r="T8171" s="10"/>
    </row>
    <row r="8172" spans="20:20">
      <c r="T8172" s="10"/>
    </row>
    <row r="8173" spans="20:20">
      <c r="T8173" s="10"/>
    </row>
    <row r="8174" spans="20:20">
      <c r="T8174" s="10"/>
    </row>
    <row r="8175" spans="20:20">
      <c r="T8175" s="10"/>
    </row>
    <row r="8176" spans="20:20">
      <c r="T8176" s="10"/>
    </row>
    <row r="8177" spans="20:20">
      <c r="T8177" s="10"/>
    </row>
    <row r="8178" spans="20:20">
      <c r="T8178" s="10"/>
    </row>
    <row r="8179" spans="20:20">
      <c r="T8179" s="10"/>
    </row>
    <row r="8180" spans="20:20">
      <c r="T8180" s="10"/>
    </row>
    <row r="8181" spans="20:20">
      <c r="T8181" s="10"/>
    </row>
    <row r="8182" spans="20:20">
      <c r="T8182" s="10"/>
    </row>
    <row r="8183" spans="20:20">
      <c r="T8183" s="10"/>
    </row>
    <row r="8184" spans="20:20">
      <c r="T8184" s="10"/>
    </row>
    <row r="8185" spans="20:20">
      <c r="T8185" s="10"/>
    </row>
    <row r="8186" spans="20:20">
      <c r="T8186" s="10"/>
    </row>
    <row r="8187" spans="20:20">
      <c r="T8187" s="10"/>
    </row>
    <row r="8188" spans="20:20">
      <c r="T8188" s="10"/>
    </row>
    <row r="8189" spans="20:20">
      <c r="T8189" s="10"/>
    </row>
    <row r="8190" spans="20:20">
      <c r="T8190" s="10"/>
    </row>
    <row r="8191" spans="20:20">
      <c r="T8191" s="10"/>
    </row>
    <row r="8192" spans="20:20">
      <c r="T8192" s="10"/>
    </row>
    <row r="8193" spans="20:20">
      <c r="T8193" s="10"/>
    </row>
    <row r="8194" spans="20:20">
      <c r="T8194" s="10"/>
    </row>
    <row r="8195" spans="20:20">
      <c r="T8195" s="10"/>
    </row>
    <row r="8196" spans="20:20">
      <c r="T8196" s="10"/>
    </row>
    <row r="8197" spans="20:20">
      <c r="T8197" s="10"/>
    </row>
    <row r="8198" spans="20:20">
      <c r="T8198" s="10"/>
    </row>
    <row r="8199" spans="20:20">
      <c r="T8199" s="10"/>
    </row>
    <row r="8200" spans="20:20">
      <c r="T8200" s="10"/>
    </row>
    <row r="8201" spans="20:20">
      <c r="T8201" s="10"/>
    </row>
    <row r="8202" spans="20:20">
      <c r="T8202" s="10"/>
    </row>
    <row r="8203" spans="20:20">
      <c r="T8203" s="10"/>
    </row>
    <row r="8204" spans="20:20">
      <c r="T8204" s="10"/>
    </row>
    <row r="8205" spans="20:20">
      <c r="T8205" s="10"/>
    </row>
    <row r="8206" spans="20:20">
      <c r="T8206" s="10"/>
    </row>
    <row r="8207" spans="20:20">
      <c r="T8207" s="10"/>
    </row>
    <row r="8208" spans="20:20">
      <c r="T8208" s="10"/>
    </row>
    <row r="8209" spans="20:20">
      <c r="T8209" s="10"/>
    </row>
    <row r="8210" spans="20:20">
      <c r="T8210" s="10"/>
    </row>
    <row r="8211" spans="20:20">
      <c r="T8211" s="10"/>
    </row>
    <row r="8212" spans="20:20">
      <c r="T8212" s="10"/>
    </row>
    <row r="8213" spans="20:20">
      <c r="T8213" s="10"/>
    </row>
    <row r="8214" spans="20:20">
      <c r="T8214" s="10"/>
    </row>
    <row r="8215" spans="20:20">
      <c r="T8215" s="10"/>
    </row>
    <row r="8216" spans="20:20">
      <c r="T8216" s="10"/>
    </row>
    <row r="8217" spans="20:20">
      <c r="T8217" s="10"/>
    </row>
    <row r="8218" spans="20:20">
      <c r="T8218" s="10"/>
    </row>
    <row r="8219" spans="20:20">
      <c r="T8219" s="10"/>
    </row>
    <row r="8220" spans="20:20">
      <c r="T8220" s="10"/>
    </row>
    <row r="8221" spans="20:20">
      <c r="T8221" s="10"/>
    </row>
    <row r="8222" spans="20:20">
      <c r="T8222" s="10"/>
    </row>
    <row r="8223" spans="20:20">
      <c r="T8223" s="10"/>
    </row>
    <row r="8224" spans="20:20">
      <c r="T8224" s="10"/>
    </row>
    <row r="8225" spans="20:20">
      <c r="T8225" s="10"/>
    </row>
    <row r="8226" spans="20:20">
      <c r="T8226" s="10"/>
    </row>
    <row r="8227" spans="20:20">
      <c r="T8227" s="10"/>
    </row>
    <row r="8228" spans="20:20">
      <c r="T8228" s="10"/>
    </row>
    <row r="8229" spans="20:20">
      <c r="T8229" s="10"/>
    </row>
    <row r="8230" spans="20:20">
      <c r="T8230" s="10"/>
    </row>
    <row r="8231" spans="20:20">
      <c r="T8231" s="10"/>
    </row>
    <row r="8232" spans="20:20">
      <c r="T8232" s="10"/>
    </row>
    <row r="8233" spans="20:20">
      <c r="T8233" s="10"/>
    </row>
    <row r="8234" spans="20:20">
      <c r="T8234" s="10"/>
    </row>
    <row r="8235" spans="20:20">
      <c r="T8235" s="10"/>
    </row>
    <row r="8236" spans="20:20">
      <c r="T8236" s="10"/>
    </row>
    <row r="8237" spans="20:20">
      <c r="T8237" s="10"/>
    </row>
    <row r="8238" spans="20:20">
      <c r="T8238" s="10"/>
    </row>
    <row r="8239" spans="20:20">
      <c r="T8239" s="10"/>
    </row>
    <row r="8240" spans="20:20">
      <c r="T8240" s="10"/>
    </row>
    <row r="8241" spans="20:20">
      <c r="T8241" s="10"/>
    </row>
    <row r="8242" spans="20:20">
      <c r="T8242" s="10"/>
    </row>
    <row r="8243" spans="20:20">
      <c r="T8243" s="10"/>
    </row>
    <row r="8244" spans="20:20">
      <c r="T8244" s="10"/>
    </row>
    <row r="8245" spans="20:20">
      <c r="T8245" s="10"/>
    </row>
    <row r="8246" spans="20:20">
      <c r="T8246" s="10"/>
    </row>
    <row r="8247" spans="20:20">
      <c r="T8247" s="10"/>
    </row>
    <row r="8248" spans="20:20">
      <c r="T8248" s="10"/>
    </row>
    <row r="8249" spans="20:20">
      <c r="T8249" s="10"/>
    </row>
    <row r="8250" spans="20:20">
      <c r="T8250" s="10"/>
    </row>
    <row r="8251" spans="20:20">
      <c r="T8251" s="10"/>
    </row>
    <row r="8252" spans="20:20">
      <c r="T8252" s="10"/>
    </row>
    <row r="8253" spans="20:20">
      <c r="T8253" s="10"/>
    </row>
    <row r="8254" spans="20:20">
      <c r="T8254" s="10"/>
    </row>
    <row r="8255" spans="20:20">
      <c r="T8255" s="10"/>
    </row>
    <row r="8256" spans="20:20">
      <c r="T8256" s="10"/>
    </row>
    <row r="8257" spans="20:20">
      <c r="T8257" s="10"/>
    </row>
    <row r="8258" spans="20:20">
      <c r="T8258" s="10"/>
    </row>
    <row r="8259" spans="20:20">
      <c r="T8259" s="10"/>
    </row>
    <row r="8260" spans="20:20">
      <c r="T8260" s="10"/>
    </row>
    <row r="8261" spans="20:20">
      <c r="T8261" s="10"/>
    </row>
    <row r="8262" spans="20:20">
      <c r="T8262" s="10"/>
    </row>
    <row r="8263" spans="20:20">
      <c r="T8263" s="10"/>
    </row>
    <row r="8264" spans="20:20">
      <c r="T8264" s="10"/>
    </row>
    <row r="8265" spans="20:20">
      <c r="T8265" s="10"/>
    </row>
    <row r="8266" spans="20:20">
      <c r="T8266" s="10"/>
    </row>
    <row r="8267" spans="20:20">
      <c r="T8267" s="10"/>
    </row>
    <row r="8268" spans="20:20">
      <c r="T8268" s="10"/>
    </row>
    <row r="8269" spans="20:20">
      <c r="T8269" s="10"/>
    </row>
    <row r="8270" spans="20:20">
      <c r="T8270" s="10"/>
    </row>
    <row r="8271" spans="20:20">
      <c r="T8271" s="10"/>
    </row>
    <row r="8272" spans="20:20">
      <c r="T8272" s="10"/>
    </row>
    <row r="8273" spans="20:20">
      <c r="T8273" s="10"/>
    </row>
    <row r="8274" spans="20:20">
      <c r="T8274" s="10"/>
    </row>
    <row r="8275" spans="20:20">
      <c r="T8275" s="10"/>
    </row>
    <row r="8276" spans="20:20">
      <c r="T8276" s="10"/>
    </row>
    <row r="8277" spans="20:20">
      <c r="T8277" s="10"/>
    </row>
    <row r="8278" spans="20:20">
      <c r="T8278" s="10"/>
    </row>
    <row r="8279" spans="20:20">
      <c r="T8279" s="10"/>
    </row>
    <row r="8280" spans="20:20">
      <c r="T8280" s="10"/>
    </row>
    <row r="8281" spans="20:20">
      <c r="T8281" s="10"/>
    </row>
    <row r="8282" spans="20:20">
      <c r="T8282" s="10"/>
    </row>
    <row r="8283" spans="20:20">
      <c r="T8283" s="10"/>
    </row>
    <row r="8284" spans="20:20">
      <c r="T8284" s="10"/>
    </row>
    <row r="8285" spans="20:20">
      <c r="T8285" s="10"/>
    </row>
    <row r="8286" spans="20:20">
      <c r="T8286" s="10"/>
    </row>
    <row r="8287" spans="20:20">
      <c r="T8287" s="10"/>
    </row>
    <row r="8288" spans="20:20">
      <c r="T8288" s="10"/>
    </row>
    <row r="8289" spans="20:20">
      <c r="T8289" s="10"/>
    </row>
    <row r="8290" spans="20:20">
      <c r="T8290" s="10"/>
    </row>
    <row r="8291" spans="20:20">
      <c r="T8291" s="10"/>
    </row>
    <row r="8292" spans="20:20">
      <c r="T8292" s="10"/>
    </row>
    <row r="8293" spans="20:20">
      <c r="T8293" s="10"/>
    </row>
    <row r="8294" spans="20:20">
      <c r="T8294" s="10"/>
    </row>
    <row r="8295" spans="20:20">
      <c r="T8295" s="10"/>
    </row>
    <row r="8296" spans="20:20">
      <c r="T8296" s="10"/>
    </row>
    <row r="8297" spans="20:20">
      <c r="T8297" s="10"/>
    </row>
    <row r="8298" spans="20:20">
      <c r="T8298" s="10"/>
    </row>
    <row r="8299" spans="20:20">
      <c r="T8299" s="10"/>
    </row>
    <row r="8300" spans="20:20">
      <c r="T8300" s="10"/>
    </row>
    <row r="8301" spans="20:20">
      <c r="T8301" s="10"/>
    </row>
    <row r="8302" spans="20:20">
      <c r="T8302" s="10"/>
    </row>
    <row r="8303" spans="20:20">
      <c r="T8303" s="10"/>
    </row>
    <row r="8304" spans="20:20">
      <c r="T8304" s="10"/>
    </row>
    <row r="8305" spans="20:20">
      <c r="T8305" s="10"/>
    </row>
    <row r="8306" spans="20:20">
      <c r="T8306" s="10"/>
    </row>
    <row r="8307" spans="20:20">
      <c r="T8307" s="10"/>
    </row>
    <row r="8308" spans="20:20">
      <c r="T8308" s="10"/>
    </row>
    <row r="8309" spans="20:20">
      <c r="T8309" s="10"/>
    </row>
    <row r="8310" spans="20:20">
      <c r="T8310" s="10"/>
    </row>
    <row r="8311" spans="20:20">
      <c r="T8311" s="10"/>
    </row>
    <row r="8312" spans="20:20">
      <c r="T8312" s="10"/>
    </row>
    <row r="8313" spans="20:20">
      <c r="T8313" s="10"/>
    </row>
    <row r="8314" spans="20:20">
      <c r="T8314" s="10"/>
    </row>
    <row r="8315" spans="20:20">
      <c r="T8315" s="10"/>
    </row>
    <row r="8316" spans="20:20">
      <c r="T8316" s="10"/>
    </row>
    <row r="8317" spans="20:20">
      <c r="T8317" s="10"/>
    </row>
    <row r="8318" spans="20:20">
      <c r="T8318" s="10"/>
    </row>
    <row r="8319" spans="20:20">
      <c r="T8319" s="10"/>
    </row>
    <row r="8320" spans="20:20">
      <c r="T8320" s="10"/>
    </row>
    <row r="8321" spans="20:20">
      <c r="T8321" s="10"/>
    </row>
    <row r="8322" spans="20:20">
      <c r="T8322" s="10"/>
    </row>
    <row r="8323" spans="20:20">
      <c r="T8323" s="10"/>
    </row>
    <row r="8324" spans="20:20">
      <c r="T8324" s="10"/>
    </row>
    <row r="8325" spans="20:20">
      <c r="T8325" s="10"/>
    </row>
    <row r="8326" spans="20:20">
      <c r="T8326" s="10"/>
    </row>
    <row r="8327" spans="20:20">
      <c r="T8327" s="10"/>
    </row>
    <row r="8328" spans="20:20">
      <c r="T8328" s="10"/>
    </row>
    <row r="8329" spans="20:20">
      <c r="T8329" s="10"/>
    </row>
    <row r="8330" spans="20:20">
      <c r="T8330" s="10"/>
    </row>
    <row r="8331" spans="20:20">
      <c r="T8331" s="10"/>
    </row>
    <row r="8332" spans="20:20">
      <c r="T8332" s="10"/>
    </row>
    <row r="8333" spans="20:20">
      <c r="T8333" s="10"/>
    </row>
    <row r="8334" spans="20:20">
      <c r="T8334" s="10"/>
    </row>
    <row r="8335" spans="20:20">
      <c r="T8335" s="10"/>
    </row>
    <row r="8336" spans="20:20">
      <c r="T8336" s="10"/>
    </row>
    <row r="8337" spans="20:20">
      <c r="T8337" s="10"/>
    </row>
    <row r="8338" spans="20:20">
      <c r="T8338" s="10"/>
    </row>
    <row r="8339" spans="20:20">
      <c r="T8339" s="10"/>
    </row>
    <row r="8340" spans="20:20">
      <c r="T8340" s="10"/>
    </row>
    <row r="8341" spans="20:20">
      <c r="T8341" s="10"/>
    </row>
    <row r="8342" spans="20:20">
      <c r="T8342" s="10"/>
    </row>
    <row r="8343" spans="20:20">
      <c r="T8343" s="10"/>
    </row>
    <row r="8344" spans="20:20">
      <c r="T8344" s="10"/>
    </row>
    <row r="8345" spans="20:20">
      <c r="T8345" s="10"/>
    </row>
    <row r="8346" spans="20:20">
      <c r="T8346" s="10"/>
    </row>
    <row r="8347" spans="20:20">
      <c r="T8347" s="10"/>
    </row>
    <row r="8348" spans="20:20">
      <c r="T8348" s="10"/>
    </row>
    <row r="8349" spans="20:20">
      <c r="T8349" s="10"/>
    </row>
    <row r="8350" spans="20:20">
      <c r="T8350" s="10"/>
    </row>
    <row r="8351" spans="20:20">
      <c r="T8351" s="10"/>
    </row>
    <row r="8352" spans="20:20">
      <c r="T8352" s="10"/>
    </row>
    <row r="8353" spans="20:20">
      <c r="T8353" s="10"/>
    </row>
    <row r="8354" spans="20:20">
      <c r="T8354" s="10"/>
    </row>
    <row r="8355" spans="20:20">
      <c r="T8355" s="10"/>
    </row>
    <row r="8356" spans="20:20">
      <c r="T8356" s="10"/>
    </row>
    <row r="8357" spans="20:20">
      <c r="T8357" s="10"/>
    </row>
    <row r="8358" spans="20:20">
      <c r="T8358" s="10"/>
    </row>
    <row r="8359" spans="20:20">
      <c r="T8359" s="10"/>
    </row>
    <row r="8360" spans="20:20">
      <c r="T8360" s="10"/>
    </row>
    <row r="8361" spans="20:20">
      <c r="T8361" s="10"/>
    </row>
    <row r="8362" spans="20:20">
      <c r="T8362" s="10"/>
    </row>
    <row r="8363" spans="20:20">
      <c r="T8363" s="10"/>
    </row>
    <row r="8364" spans="20:20">
      <c r="T8364" s="10"/>
    </row>
    <row r="8365" spans="20:20">
      <c r="T8365" s="10"/>
    </row>
    <row r="8366" spans="20:20">
      <c r="T8366" s="10"/>
    </row>
    <row r="8367" spans="20:20">
      <c r="T8367" s="10"/>
    </row>
    <row r="8368" spans="20:20">
      <c r="T8368" s="10"/>
    </row>
    <row r="8369" spans="20:20">
      <c r="T8369" s="10"/>
    </row>
    <row r="8370" spans="20:20">
      <c r="T8370" s="10"/>
    </row>
    <row r="8371" spans="20:20">
      <c r="T8371" s="10"/>
    </row>
    <row r="8372" spans="20:20">
      <c r="T8372" s="10"/>
    </row>
    <row r="8373" spans="20:20">
      <c r="T8373" s="10"/>
    </row>
    <row r="8374" spans="20:20">
      <c r="T8374" s="10"/>
    </row>
    <row r="8375" spans="20:20">
      <c r="T8375" s="10"/>
    </row>
    <row r="8376" spans="20:20">
      <c r="T8376" s="10"/>
    </row>
    <row r="8377" spans="20:20">
      <c r="T8377" s="10"/>
    </row>
    <row r="8378" spans="20:20">
      <c r="T8378" s="10"/>
    </row>
    <row r="8379" spans="20:20">
      <c r="T8379" s="10"/>
    </row>
    <row r="8380" spans="20:20">
      <c r="T8380" s="10"/>
    </row>
    <row r="8381" spans="20:20">
      <c r="T8381" s="10"/>
    </row>
    <row r="8382" spans="20:20">
      <c r="T8382" s="10"/>
    </row>
    <row r="8383" spans="20:20">
      <c r="T8383" s="10"/>
    </row>
    <row r="8384" spans="20:20">
      <c r="T8384" s="10"/>
    </row>
    <row r="8385" spans="20:20">
      <c r="T8385" s="10"/>
    </row>
    <row r="8386" spans="20:20">
      <c r="T8386" s="10"/>
    </row>
    <row r="8387" spans="20:20">
      <c r="T8387" s="10"/>
    </row>
    <row r="8388" spans="20:20">
      <c r="T8388" s="10"/>
    </row>
    <row r="8389" spans="20:20">
      <c r="T8389" s="10"/>
    </row>
    <row r="8390" spans="20:20">
      <c r="T8390" s="10"/>
    </row>
    <row r="8391" spans="20:20">
      <c r="T8391" s="10"/>
    </row>
    <row r="8392" spans="20:20">
      <c r="T8392" s="10"/>
    </row>
    <row r="8393" spans="20:20">
      <c r="T8393" s="10"/>
    </row>
    <row r="8394" spans="20:20">
      <c r="T8394" s="10"/>
    </row>
    <row r="8395" spans="20:20">
      <c r="T8395" s="10"/>
    </row>
    <row r="8396" spans="20:20">
      <c r="T8396" s="10"/>
    </row>
    <row r="8397" spans="20:20">
      <c r="T8397" s="10"/>
    </row>
    <row r="8398" spans="20:20">
      <c r="T8398" s="10"/>
    </row>
    <row r="8399" spans="20:20">
      <c r="T8399" s="10"/>
    </row>
    <row r="8400" spans="20:20">
      <c r="T8400" s="10"/>
    </row>
    <row r="8401" spans="20:20">
      <c r="T8401" s="10"/>
    </row>
    <row r="8402" spans="20:20">
      <c r="T8402" s="10"/>
    </row>
    <row r="8403" spans="20:20">
      <c r="T8403" s="10"/>
    </row>
    <row r="8404" spans="20:20">
      <c r="T8404" s="10"/>
    </row>
    <row r="8405" spans="20:20">
      <c r="T8405" s="10"/>
    </row>
    <row r="8406" spans="20:20">
      <c r="T8406" s="10"/>
    </row>
    <row r="8407" spans="20:20">
      <c r="T8407" s="10"/>
    </row>
    <row r="8408" spans="20:20">
      <c r="T8408" s="10"/>
    </row>
    <row r="8409" spans="20:20">
      <c r="T8409" s="10"/>
    </row>
    <row r="8410" spans="20:20">
      <c r="T8410" s="10"/>
    </row>
    <row r="8411" spans="20:20">
      <c r="T8411" s="10"/>
    </row>
    <row r="8412" spans="20:20">
      <c r="T8412" s="10"/>
    </row>
    <row r="8413" spans="20:20">
      <c r="T8413" s="10"/>
    </row>
    <row r="8414" spans="20:20">
      <c r="T8414" s="10"/>
    </row>
    <row r="8415" spans="20:20">
      <c r="T8415" s="10"/>
    </row>
    <row r="8416" spans="20:20">
      <c r="T8416" s="10"/>
    </row>
    <row r="8417" spans="20:20">
      <c r="T8417" s="10"/>
    </row>
    <row r="8418" spans="20:20">
      <c r="T8418" s="10"/>
    </row>
    <row r="8419" spans="20:20">
      <c r="T8419" s="10"/>
    </row>
    <row r="8420" spans="20:20">
      <c r="T8420" s="10"/>
    </row>
    <row r="8421" spans="20:20">
      <c r="T8421" s="10"/>
    </row>
    <row r="8422" spans="20:20">
      <c r="T8422" s="10"/>
    </row>
    <row r="8423" spans="20:20">
      <c r="T8423" s="10"/>
    </row>
    <row r="8424" spans="20:20">
      <c r="T8424" s="10"/>
    </row>
    <row r="8425" spans="20:20">
      <c r="T8425" s="10"/>
    </row>
    <row r="8426" spans="20:20">
      <c r="T8426" s="10"/>
    </row>
    <row r="8427" spans="20:20">
      <c r="T8427" s="10"/>
    </row>
    <row r="8428" spans="20:20">
      <c r="T8428" s="10"/>
    </row>
    <row r="8429" spans="20:20">
      <c r="T8429" s="10"/>
    </row>
    <row r="8430" spans="20:20">
      <c r="T8430" s="10"/>
    </row>
    <row r="8431" spans="20:20">
      <c r="T8431" s="10"/>
    </row>
    <row r="8432" spans="20:20">
      <c r="T8432" s="10"/>
    </row>
    <row r="8433" spans="20:20">
      <c r="T8433" s="10"/>
    </row>
    <row r="8434" spans="20:20">
      <c r="T8434" s="10"/>
    </row>
    <row r="8435" spans="20:20">
      <c r="T8435" s="10"/>
    </row>
    <row r="8436" spans="20:20">
      <c r="T8436" s="10"/>
    </row>
    <row r="8437" spans="20:20">
      <c r="T8437" s="10"/>
    </row>
    <row r="8438" spans="20:20">
      <c r="T8438" s="10"/>
    </row>
    <row r="8439" spans="20:20">
      <c r="T8439" s="10"/>
    </row>
    <row r="8440" spans="20:20">
      <c r="T8440" s="10"/>
    </row>
    <row r="8441" spans="20:20">
      <c r="T8441" s="10"/>
    </row>
    <row r="8442" spans="20:20">
      <c r="T8442" s="10"/>
    </row>
    <row r="8443" spans="20:20">
      <c r="T8443" s="10"/>
    </row>
    <row r="8444" spans="20:20">
      <c r="T8444" s="10"/>
    </row>
    <row r="8445" spans="20:20">
      <c r="T8445" s="10"/>
    </row>
    <row r="8446" spans="20:20">
      <c r="T8446" s="10"/>
    </row>
    <row r="8447" spans="20:20">
      <c r="T8447" s="10"/>
    </row>
    <row r="8448" spans="20:20">
      <c r="T8448" s="10"/>
    </row>
    <row r="8449" spans="20:20">
      <c r="T8449" s="10"/>
    </row>
    <row r="8450" spans="20:20">
      <c r="T8450" s="10"/>
    </row>
    <row r="8451" spans="20:20">
      <c r="T8451" s="10"/>
    </row>
    <row r="8452" spans="20:20">
      <c r="T8452" s="10"/>
    </row>
    <row r="8453" spans="20:20">
      <c r="T8453" s="10"/>
    </row>
    <row r="8454" spans="20:20">
      <c r="T8454" s="10"/>
    </row>
    <row r="8455" spans="20:20">
      <c r="T8455" s="10"/>
    </row>
    <row r="8456" spans="20:20">
      <c r="T8456" s="10"/>
    </row>
    <row r="8457" spans="20:20">
      <c r="T8457" s="10"/>
    </row>
    <row r="8458" spans="20:20">
      <c r="T8458" s="10"/>
    </row>
    <row r="8459" spans="20:20">
      <c r="T8459" s="10"/>
    </row>
    <row r="8460" spans="20:20">
      <c r="T8460" s="10"/>
    </row>
    <row r="8461" spans="20:20">
      <c r="T8461" s="10"/>
    </row>
    <row r="8462" spans="20:20">
      <c r="T8462" s="10"/>
    </row>
    <row r="8463" spans="20:20">
      <c r="T8463" s="10"/>
    </row>
    <row r="8464" spans="20:20">
      <c r="T8464" s="10"/>
    </row>
    <row r="8465" spans="20:20">
      <c r="T8465" s="10"/>
    </row>
    <row r="8466" spans="20:20">
      <c r="T8466" s="10"/>
    </row>
    <row r="8467" spans="20:20">
      <c r="T8467" s="10"/>
    </row>
    <row r="8468" spans="20:20">
      <c r="T8468" s="10"/>
    </row>
    <row r="8469" spans="20:20">
      <c r="T8469" s="10"/>
    </row>
    <row r="8470" spans="20:20">
      <c r="T8470" s="10"/>
    </row>
    <row r="8471" spans="20:20">
      <c r="T8471" s="10"/>
    </row>
    <row r="8472" spans="20:20">
      <c r="T8472" s="10"/>
    </row>
    <row r="8473" spans="20:20">
      <c r="T8473" s="10"/>
    </row>
    <row r="8474" spans="20:20">
      <c r="T8474" s="10"/>
    </row>
    <row r="8475" spans="20:20">
      <c r="T8475" s="10"/>
    </row>
    <row r="8476" spans="20:20">
      <c r="T8476" s="10"/>
    </row>
    <row r="8477" spans="20:20">
      <c r="T8477" s="10"/>
    </row>
    <row r="8478" spans="20:20">
      <c r="T8478" s="10"/>
    </row>
    <row r="8479" spans="20:20">
      <c r="T8479" s="10"/>
    </row>
    <row r="8480" spans="20:20">
      <c r="T8480" s="10"/>
    </row>
    <row r="8481" spans="20:20">
      <c r="T8481" s="10"/>
    </row>
    <row r="8482" spans="20:20">
      <c r="T8482" s="10"/>
    </row>
    <row r="8483" spans="20:20">
      <c r="T8483" s="10"/>
    </row>
    <row r="8484" spans="20:20">
      <c r="T8484" s="10"/>
    </row>
    <row r="8485" spans="20:20">
      <c r="T8485" s="10"/>
    </row>
    <row r="8486" spans="20:20">
      <c r="T8486" s="10"/>
    </row>
    <row r="8487" spans="20:20">
      <c r="T8487" s="10"/>
    </row>
    <row r="8488" spans="20:20">
      <c r="T8488" s="10"/>
    </row>
    <row r="8489" spans="20:20">
      <c r="T8489" s="10"/>
    </row>
    <row r="8490" spans="20:20">
      <c r="T8490" s="10"/>
    </row>
    <row r="8491" spans="20:20">
      <c r="T8491" s="10"/>
    </row>
    <row r="8492" spans="20:20">
      <c r="T8492" s="10"/>
    </row>
    <row r="8493" spans="20:20">
      <c r="T8493" s="10"/>
    </row>
    <row r="8494" spans="20:20">
      <c r="T8494" s="10"/>
    </row>
    <row r="8495" spans="20:20">
      <c r="T8495" s="10"/>
    </row>
    <row r="8496" spans="20:20">
      <c r="T8496" s="10"/>
    </row>
    <row r="8497" spans="20:20">
      <c r="T8497" s="10"/>
    </row>
    <row r="8498" spans="20:20">
      <c r="T8498" s="10"/>
    </row>
    <row r="8499" spans="20:20">
      <c r="T8499" s="10"/>
    </row>
    <row r="8500" spans="20:20">
      <c r="T8500" s="10"/>
    </row>
    <row r="8501" spans="20:20">
      <c r="T8501" s="10"/>
    </row>
    <row r="8502" spans="20:20">
      <c r="T8502" s="10"/>
    </row>
    <row r="8503" spans="20:20">
      <c r="T8503" s="10"/>
    </row>
    <row r="8504" spans="20:20">
      <c r="T8504" s="10"/>
    </row>
    <row r="8505" spans="20:20">
      <c r="T8505" s="10"/>
    </row>
    <row r="8506" spans="20:20">
      <c r="T8506" s="10"/>
    </row>
    <row r="8507" spans="20:20">
      <c r="T8507" s="10"/>
    </row>
    <row r="8508" spans="20:20">
      <c r="T8508" s="10"/>
    </row>
    <row r="8509" spans="20:20">
      <c r="T8509" s="10"/>
    </row>
    <row r="8510" spans="20:20">
      <c r="T8510" s="10"/>
    </row>
    <row r="8511" spans="20:20">
      <c r="T8511" s="10"/>
    </row>
    <row r="8512" spans="20:20">
      <c r="T8512" s="10"/>
    </row>
    <row r="8513" spans="20:20">
      <c r="T8513" s="10"/>
    </row>
    <row r="8514" spans="20:20">
      <c r="T8514" s="10"/>
    </row>
    <row r="8515" spans="20:20">
      <c r="T8515" s="10"/>
    </row>
    <row r="8516" spans="20:20">
      <c r="T8516" s="10"/>
    </row>
    <row r="8517" spans="20:20">
      <c r="T8517" s="10"/>
    </row>
    <row r="8518" spans="20:20">
      <c r="T8518" s="10"/>
    </row>
    <row r="8519" spans="20:20">
      <c r="T8519" s="10"/>
    </row>
    <row r="8520" spans="20:20">
      <c r="T8520" s="10"/>
    </row>
    <row r="8521" spans="20:20">
      <c r="T8521" s="10"/>
    </row>
    <row r="8522" spans="20:20">
      <c r="T8522" s="10"/>
    </row>
    <row r="8523" spans="20:20">
      <c r="T8523" s="10"/>
    </row>
    <row r="8524" spans="20:20">
      <c r="T8524" s="10"/>
    </row>
    <row r="8525" spans="20:20">
      <c r="T8525" s="10"/>
    </row>
    <row r="8526" spans="20:20">
      <c r="T8526" s="10"/>
    </row>
    <row r="8527" spans="20:20">
      <c r="T8527" s="10"/>
    </row>
    <row r="8528" spans="20:20">
      <c r="T8528" s="10"/>
    </row>
    <row r="8529" spans="20:20">
      <c r="T8529" s="10"/>
    </row>
    <row r="8530" spans="20:20">
      <c r="T8530" s="10"/>
    </row>
    <row r="8531" spans="20:20">
      <c r="T8531" s="10"/>
    </row>
    <row r="8532" spans="20:20">
      <c r="T8532" s="10"/>
    </row>
    <row r="8533" spans="20:20">
      <c r="T8533" s="10"/>
    </row>
    <row r="8534" spans="20:20">
      <c r="T8534" s="10"/>
    </row>
    <row r="8535" spans="20:20">
      <c r="T8535" s="10"/>
    </row>
    <row r="8536" spans="20:20">
      <c r="T8536" s="10"/>
    </row>
    <row r="8537" spans="20:20">
      <c r="T8537" s="10"/>
    </row>
    <row r="8538" spans="20:20">
      <c r="T8538" s="10"/>
    </row>
    <row r="8539" spans="20:20">
      <c r="T8539" s="10"/>
    </row>
    <row r="8540" spans="20:20">
      <c r="T8540" s="10"/>
    </row>
    <row r="8541" spans="20:20">
      <c r="T8541" s="10"/>
    </row>
    <row r="8542" spans="20:20">
      <c r="T8542" s="10"/>
    </row>
    <row r="8543" spans="20:20">
      <c r="T8543" s="10"/>
    </row>
    <row r="8544" spans="20:20">
      <c r="T8544" s="10"/>
    </row>
    <row r="8545" spans="20:20">
      <c r="T8545" s="10"/>
    </row>
    <row r="8546" spans="20:20">
      <c r="T8546" s="10"/>
    </row>
    <row r="8547" spans="20:20">
      <c r="T8547" s="10"/>
    </row>
    <row r="8548" spans="20:20">
      <c r="T8548" s="10"/>
    </row>
    <row r="8549" spans="20:20">
      <c r="T8549" s="10"/>
    </row>
    <row r="8550" spans="20:20">
      <c r="T8550" s="10"/>
    </row>
    <row r="8551" spans="20:20">
      <c r="T8551" s="10"/>
    </row>
    <row r="8552" spans="20:20">
      <c r="T8552" s="10"/>
    </row>
    <row r="8553" spans="20:20">
      <c r="T8553" s="10"/>
    </row>
    <row r="8554" spans="20:20">
      <c r="T8554" s="10"/>
    </row>
    <row r="8555" spans="20:20">
      <c r="T8555" s="10"/>
    </row>
    <row r="8556" spans="20:20">
      <c r="T8556" s="10"/>
    </row>
    <row r="8557" spans="20:20">
      <c r="T8557" s="10"/>
    </row>
    <row r="8558" spans="20:20">
      <c r="T8558" s="10"/>
    </row>
    <row r="8559" spans="20:20">
      <c r="T8559" s="10"/>
    </row>
    <row r="8560" spans="20:20">
      <c r="T8560" s="10"/>
    </row>
    <row r="8561" spans="20:20">
      <c r="T8561" s="10"/>
    </row>
    <row r="8562" spans="20:20">
      <c r="T8562" s="10"/>
    </row>
    <row r="8563" spans="20:20">
      <c r="T8563" s="10"/>
    </row>
    <row r="8564" spans="20:20">
      <c r="T8564" s="10"/>
    </row>
    <row r="8565" spans="20:20">
      <c r="T8565" s="10"/>
    </row>
    <row r="8566" spans="20:20">
      <c r="T8566" s="10"/>
    </row>
    <row r="8567" spans="20:20">
      <c r="T8567" s="10"/>
    </row>
    <row r="8568" spans="20:20">
      <c r="T8568" s="10"/>
    </row>
    <row r="8569" spans="20:20">
      <c r="T8569" s="10"/>
    </row>
    <row r="8570" spans="20:20">
      <c r="T8570" s="10"/>
    </row>
    <row r="8571" spans="20:20">
      <c r="T8571" s="10"/>
    </row>
    <row r="8572" spans="20:20">
      <c r="T8572" s="10"/>
    </row>
    <row r="8573" spans="20:20">
      <c r="T8573" s="10"/>
    </row>
    <row r="8574" spans="20:20">
      <c r="T8574" s="10"/>
    </row>
    <row r="8575" spans="20:20">
      <c r="T8575" s="10"/>
    </row>
    <row r="8576" spans="20:20">
      <c r="T8576" s="10"/>
    </row>
    <row r="8577" spans="20:20">
      <c r="T8577" s="10"/>
    </row>
    <row r="8578" spans="20:20">
      <c r="T8578" s="10"/>
    </row>
    <row r="8579" spans="20:20">
      <c r="T8579" s="10"/>
    </row>
    <row r="8580" spans="20:20">
      <c r="T8580" s="10"/>
    </row>
    <row r="8581" spans="20:20">
      <c r="T8581" s="10"/>
    </row>
    <row r="8582" spans="20:20">
      <c r="T8582" s="10"/>
    </row>
    <row r="8583" spans="20:20">
      <c r="T8583" s="10"/>
    </row>
    <row r="8584" spans="20:20">
      <c r="T8584" s="10"/>
    </row>
    <row r="8585" spans="20:20">
      <c r="T8585" s="10"/>
    </row>
    <row r="8586" spans="20:20">
      <c r="T8586" s="10"/>
    </row>
    <row r="8587" spans="20:20">
      <c r="T8587" s="10"/>
    </row>
    <row r="8588" spans="20:20">
      <c r="T8588" s="10"/>
    </row>
    <row r="8589" spans="20:20">
      <c r="T8589" s="10"/>
    </row>
    <row r="8590" spans="20:20">
      <c r="T8590" s="10"/>
    </row>
    <row r="8591" spans="20:20">
      <c r="T8591" s="10"/>
    </row>
    <row r="8592" spans="20:20">
      <c r="T8592" s="10"/>
    </row>
    <row r="8593" spans="20:20">
      <c r="T8593" s="10"/>
    </row>
    <row r="8594" spans="20:20">
      <c r="T8594" s="10"/>
    </row>
    <row r="8595" spans="20:20">
      <c r="T8595" s="10"/>
    </row>
    <row r="8596" spans="20:20">
      <c r="T8596" s="10"/>
    </row>
    <row r="8597" spans="20:20">
      <c r="T8597" s="10"/>
    </row>
    <row r="8598" spans="20:20">
      <c r="T8598" s="10"/>
    </row>
    <row r="8599" spans="20:20">
      <c r="T8599" s="10"/>
    </row>
    <row r="8600" spans="20:20">
      <c r="T8600" s="10"/>
    </row>
    <row r="8601" spans="20:20">
      <c r="T8601" s="10"/>
    </row>
    <row r="8602" spans="20:20">
      <c r="T8602" s="10"/>
    </row>
    <row r="8603" spans="20:20">
      <c r="T8603" s="10"/>
    </row>
    <row r="8604" spans="20:20">
      <c r="T8604" s="10"/>
    </row>
    <row r="8605" spans="20:20">
      <c r="T8605" s="10"/>
    </row>
    <row r="8606" spans="20:20">
      <c r="T8606" s="10"/>
    </row>
    <row r="8607" spans="20:20">
      <c r="T8607" s="10"/>
    </row>
    <row r="8608" spans="20:20">
      <c r="T8608" s="10"/>
    </row>
    <row r="8609" spans="20:20">
      <c r="T8609" s="10"/>
    </row>
    <row r="8610" spans="20:20">
      <c r="T8610" s="10"/>
    </row>
    <row r="8611" spans="20:20">
      <c r="T8611" s="10"/>
    </row>
    <row r="8612" spans="20:20">
      <c r="T8612" s="10"/>
    </row>
    <row r="8613" spans="20:20">
      <c r="T8613" s="10"/>
    </row>
    <row r="8614" spans="20:20">
      <c r="T8614" s="10"/>
    </row>
    <row r="8615" spans="20:20">
      <c r="T8615" s="10"/>
    </row>
    <row r="8616" spans="20:20">
      <c r="T8616" s="10"/>
    </row>
    <row r="8617" spans="20:20">
      <c r="T8617" s="10"/>
    </row>
    <row r="8618" spans="20:20">
      <c r="T8618" s="10"/>
    </row>
    <row r="8619" spans="20:20">
      <c r="T8619" s="10"/>
    </row>
    <row r="8620" spans="20:20">
      <c r="T8620" s="10"/>
    </row>
    <row r="8621" spans="20:20">
      <c r="T8621" s="10"/>
    </row>
    <row r="8622" spans="20:20">
      <c r="T8622" s="10"/>
    </row>
    <row r="8623" spans="20:20">
      <c r="T8623" s="10"/>
    </row>
    <row r="8624" spans="20:20">
      <c r="T8624" s="10"/>
    </row>
    <row r="8625" spans="20:20">
      <c r="T8625" s="10"/>
    </row>
    <row r="8626" spans="20:20">
      <c r="T8626" s="10"/>
    </row>
    <row r="8627" spans="20:20">
      <c r="T8627" s="10"/>
    </row>
    <row r="8628" spans="20:20">
      <c r="T8628" s="10"/>
    </row>
    <row r="8629" spans="20:20">
      <c r="T8629" s="10"/>
    </row>
    <row r="8630" spans="20:20">
      <c r="T8630" s="10"/>
    </row>
    <row r="8631" spans="20:20">
      <c r="T8631" s="10"/>
    </row>
    <row r="8632" spans="20:20">
      <c r="T8632" s="10"/>
    </row>
    <row r="8633" spans="20:20">
      <c r="T8633" s="10"/>
    </row>
    <row r="8634" spans="20:20">
      <c r="T8634" s="10"/>
    </row>
    <row r="8635" spans="20:20">
      <c r="T8635" s="10"/>
    </row>
    <row r="8636" spans="20:20">
      <c r="T8636" s="10"/>
    </row>
    <row r="8637" spans="20:20">
      <c r="T8637" s="10"/>
    </row>
    <row r="8638" spans="20:20">
      <c r="T8638" s="10"/>
    </row>
    <row r="8639" spans="20:20">
      <c r="T8639" s="10"/>
    </row>
    <row r="8640" spans="20:20">
      <c r="T8640" s="10"/>
    </row>
    <row r="8641" spans="20:20">
      <c r="T8641" s="10"/>
    </row>
    <row r="8642" spans="20:20">
      <c r="T8642" s="10"/>
    </row>
    <row r="8643" spans="20:20">
      <c r="T8643" s="10"/>
    </row>
    <row r="8644" spans="20:20">
      <c r="T8644" s="10"/>
    </row>
    <row r="8645" spans="20:20">
      <c r="T8645" s="10"/>
    </row>
    <row r="8646" spans="20:20">
      <c r="T8646" s="10"/>
    </row>
    <row r="8647" spans="20:20">
      <c r="T8647" s="10"/>
    </row>
    <row r="8648" spans="20:20">
      <c r="T8648" s="10"/>
    </row>
    <row r="8649" spans="20:20">
      <c r="T8649" s="10"/>
    </row>
    <row r="8650" spans="20:20">
      <c r="T8650" s="10"/>
    </row>
    <row r="8651" spans="20:20">
      <c r="T8651" s="10"/>
    </row>
    <row r="8652" spans="20:20">
      <c r="T8652" s="10"/>
    </row>
    <row r="8653" spans="20:20">
      <c r="T8653" s="10"/>
    </row>
    <row r="8654" spans="20:20">
      <c r="T8654" s="10"/>
    </row>
    <row r="8655" spans="20:20">
      <c r="T8655" s="10"/>
    </row>
    <row r="8656" spans="20:20">
      <c r="T8656" s="10"/>
    </row>
    <row r="8657" spans="20:20">
      <c r="T8657" s="10"/>
    </row>
    <row r="8658" spans="20:20">
      <c r="T8658" s="10"/>
    </row>
    <row r="8659" spans="20:20">
      <c r="T8659" s="10"/>
    </row>
    <row r="8660" spans="20:20">
      <c r="T8660" s="10"/>
    </row>
    <row r="8661" spans="20:20">
      <c r="T8661" s="10"/>
    </row>
    <row r="8662" spans="20:20">
      <c r="T8662" s="10"/>
    </row>
    <row r="8663" spans="20:20">
      <c r="T8663" s="10"/>
    </row>
    <row r="8664" spans="20:20">
      <c r="T8664" s="10"/>
    </row>
    <row r="8665" spans="20:20">
      <c r="T8665" s="10"/>
    </row>
    <row r="8666" spans="20:20">
      <c r="T8666" s="10"/>
    </row>
    <row r="8667" spans="20:20">
      <c r="T8667" s="10"/>
    </row>
    <row r="8668" spans="20:20">
      <c r="T8668" s="10"/>
    </row>
    <row r="8669" spans="20:20">
      <c r="T8669" s="10"/>
    </row>
    <row r="8670" spans="20:20">
      <c r="T8670" s="10"/>
    </row>
    <row r="8671" spans="20:20">
      <c r="T8671" s="10"/>
    </row>
    <row r="8672" spans="20:20">
      <c r="T8672" s="10"/>
    </row>
    <row r="8673" spans="20:20">
      <c r="T8673" s="10"/>
    </row>
    <row r="8674" spans="20:20">
      <c r="T8674" s="10"/>
    </row>
    <row r="8675" spans="20:20">
      <c r="T8675" s="10"/>
    </row>
    <row r="8676" spans="20:20">
      <c r="T8676" s="10"/>
    </row>
    <row r="8677" spans="20:20">
      <c r="T8677" s="10"/>
    </row>
    <row r="8678" spans="20:20">
      <c r="T8678" s="10"/>
    </row>
    <row r="8679" spans="20:20">
      <c r="T8679" s="10"/>
    </row>
    <row r="8680" spans="20:20">
      <c r="T8680" s="10"/>
    </row>
    <row r="8681" spans="20:20">
      <c r="T8681" s="10"/>
    </row>
    <row r="8682" spans="20:20">
      <c r="T8682" s="10"/>
    </row>
    <row r="8683" spans="20:20">
      <c r="T8683" s="10"/>
    </row>
    <row r="8684" spans="20:20">
      <c r="T8684" s="10"/>
    </row>
    <row r="8685" spans="20:20">
      <c r="T8685" s="10"/>
    </row>
    <row r="8686" spans="20:20">
      <c r="T8686" s="10"/>
    </row>
    <row r="8687" spans="20:20">
      <c r="T8687" s="10"/>
    </row>
    <row r="8688" spans="20:20">
      <c r="T8688" s="10"/>
    </row>
    <row r="8689" spans="20:20">
      <c r="T8689" s="10"/>
    </row>
    <row r="8690" spans="20:20">
      <c r="T8690" s="10"/>
    </row>
    <row r="8691" spans="20:20">
      <c r="T8691" s="10"/>
    </row>
    <row r="8692" spans="20:20">
      <c r="T8692" s="10"/>
    </row>
    <row r="8693" spans="20:20">
      <c r="T8693" s="10"/>
    </row>
    <row r="8694" spans="20:20">
      <c r="T8694" s="10"/>
    </row>
    <row r="8695" spans="20:20">
      <c r="T8695" s="10"/>
    </row>
    <row r="8696" spans="20:20">
      <c r="T8696" s="10"/>
    </row>
    <row r="8697" spans="20:20">
      <c r="T8697" s="10"/>
    </row>
    <row r="8698" spans="20:20">
      <c r="T8698" s="10"/>
    </row>
    <row r="8699" spans="20:20">
      <c r="T8699" s="10"/>
    </row>
    <row r="8700" spans="20:20">
      <c r="T8700" s="10"/>
    </row>
    <row r="8701" spans="20:20">
      <c r="T8701" s="10"/>
    </row>
    <row r="8702" spans="20:20">
      <c r="T8702" s="10"/>
    </row>
    <row r="8703" spans="20:20">
      <c r="T8703" s="10"/>
    </row>
    <row r="8704" spans="20:20">
      <c r="T8704" s="10"/>
    </row>
    <row r="8705" spans="20:20">
      <c r="T8705" s="10"/>
    </row>
    <row r="8706" spans="20:20">
      <c r="T8706" s="10"/>
    </row>
    <row r="8707" spans="20:20">
      <c r="T8707" s="10"/>
    </row>
    <row r="8708" spans="20:20">
      <c r="T8708" s="10"/>
    </row>
    <row r="8709" spans="20:20">
      <c r="T8709" s="10"/>
    </row>
    <row r="8710" spans="20:20">
      <c r="T8710" s="10"/>
    </row>
    <row r="8711" spans="20:20">
      <c r="T8711" s="10"/>
    </row>
    <row r="8712" spans="20:20">
      <c r="T8712" s="10"/>
    </row>
    <row r="8713" spans="20:20">
      <c r="T8713" s="10"/>
    </row>
    <row r="8714" spans="20:20">
      <c r="T8714" s="10"/>
    </row>
    <row r="8715" spans="20:20">
      <c r="T8715" s="10"/>
    </row>
    <row r="8716" spans="20:20">
      <c r="T8716" s="10"/>
    </row>
    <row r="8717" spans="20:20">
      <c r="T8717" s="10"/>
    </row>
    <row r="8718" spans="20:20">
      <c r="T8718" s="10"/>
    </row>
    <row r="8719" spans="20:20">
      <c r="T8719" s="10"/>
    </row>
    <row r="8720" spans="20:20">
      <c r="T8720" s="10"/>
    </row>
    <row r="8721" spans="20:20">
      <c r="T8721" s="10"/>
    </row>
    <row r="8722" spans="20:20">
      <c r="T8722" s="10"/>
    </row>
    <row r="8723" spans="20:20">
      <c r="T8723" s="10"/>
    </row>
    <row r="8724" spans="20:20">
      <c r="T8724" s="10"/>
    </row>
    <row r="8725" spans="20:20">
      <c r="T8725" s="10"/>
    </row>
    <row r="8726" spans="20:20">
      <c r="T8726" s="10"/>
    </row>
    <row r="8727" spans="20:20">
      <c r="T8727" s="10"/>
    </row>
    <row r="8728" spans="20:20">
      <c r="T8728" s="10"/>
    </row>
    <row r="8729" spans="20:20">
      <c r="T8729" s="10"/>
    </row>
    <row r="8730" spans="20:20">
      <c r="T8730" s="10"/>
    </row>
    <row r="8731" spans="20:20">
      <c r="T8731" s="10"/>
    </row>
    <row r="8732" spans="20:20">
      <c r="T8732" s="10"/>
    </row>
    <row r="8733" spans="20:20">
      <c r="T8733" s="10"/>
    </row>
    <row r="8734" spans="20:20">
      <c r="T8734" s="10"/>
    </row>
    <row r="8735" spans="20:20">
      <c r="T8735" s="10"/>
    </row>
    <row r="8736" spans="20:20">
      <c r="T8736" s="10"/>
    </row>
    <row r="8737" spans="20:20">
      <c r="T8737" s="10"/>
    </row>
    <row r="8738" spans="20:20">
      <c r="T8738" s="10"/>
    </row>
    <row r="8739" spans="20:20">
      <c r="T8739" s="10"/>
    </row>
    <row r="8740" spans="20:20">
      <c r="T8740" s="10"/>
    </row>
    <row r="8741" spans="20:20">
      <c r="T8741" s="10"/>
    </row>
    <row r="8742" spans="20:20">
      <c r="T8742" s="10"/>
    </row>
    <row r="8743" spans="20:20">
      <c r="T8743" s="10"/>
    </row>
    <row r="8744" spans="20:20">
      <c r="T8744" s="10"/>
    </row>
    <row r="8745" spans="20:20">
      <c r="T8745" s="10"/>
    </row>
    <row r="8746" spans="20:20">
      <c r="T8746" s="10"/>
    </row>
    <row r="8747" spans="20:20">
      <c r="T8747" s="10"/>
    </row>
    <row r="8748" spans="20:20">
      <c r="T8748" s="10"/>
    </row>
    <row r="8749" spans="20:20">
      <c r="T8749" s="10"/>
    </row>
    <row r="8750" spans="20:20">
      <c r="T8750" s="10"/>
    </row>
    <row r="8751" spans="20:20">
      <c r="T8751" s="10"/>
    </row>
    <row r="8752" spans="20:20">
      <c r="T8752" s="10"/>
    </row>
    <row r="8753" spans="20:20">
      <c r="T8753" s="10"/>
    </row>
    <row r="8754" spans="20:20">
      <c r="T8754" s="10"/>
    </row>
    <row r="8755" spans="20:20">
      <c r="T8755" s="10"/>
    </row>
    <row r="8756" spans="20:20">
      <c r="T8756" s="10"/>
    </row>
    <row r="8757" spans="20:20">
      <c r="T8757" s="10"/>
    </row>
    <row r="8758" spans="20:20">
      <c r="T8758" s="10"/>
    </row>
    <row r="8759" spans="20:20">
      <c r="T8759" s="10"/>
    </row>
    <row r="8760" spans="20:20">
      <c r="T8760" s="10"/>
    </row>
    <row r="8761" spans="20:20">
      <c r="T8761" s="10"/>
    </row>
    <row r="8762" spans="20:20">
      <c r="T8762" s="10"/>
    </row>
    <row r="8763" spans="20:20">
      <c r="T8763" s="10"/>
    </row>
    <row r="8764" spans="20:20">
      <c r="T8764" s="10"/>
    </row>
    <row r="8765" spans="20:20">
      <c r="T8765" s="10"/>
    </row>
    <row r="8766" spans="20:20">
      <c r="T8766" s="10"/>
    </row>
    <row r="8767" spans="20:20">
      <c r="T8767" s="10"/>
    </row>
    <row r="8768" spans="20:20">
      <c r="T8768" s="10"/>
    </row>
    <row r="8769" spans="20:20">
      <c r="T8769" s="10"/>
    </row>
    <row r="8770" spans="20:20">
      <c r="T8770" s="10"/>
    </row>
    <row r="8771" spans="20:20">
      <c r="T8771" s="10"/>
    </row>
    <row r="8772" spans="20:20">
      <c r="T8772" s="10"/>
    </row>
    <row r="8773" spans="20:20">
      <c r="T8773" s="10"/>
    </row>
    <row r="8774" spans="20:20">
      <c r="T8774" s="10"/>
    </row>
    <row r="8775" spans="20:20">
      <c r="T8775" s="10"/>
    </row>
    <row r="8776" spans="20:20">
      <c r="T8776" s="10"/>
    </row>
    <row r="8777" spans="20:20">
      <c r="T8777" s="10"/>
    </row>
    <row r="8778" spans="20:20">
      <c r="T8778" s="10"/>
    </row>
    <row r="8779" spans="20:20">
      <c r="T8779" s="10"/>
    </row>
    <row r="8780" spans="20:20">
      <c r="T8780" s="10"/>
    </row>
    <row r="8781" spans="20:20">
      <c r="T8781" s="10"/>
    </row>
    <row r="8782" spans="20:20">
      <c r="T8782" s="10"/>
    </row>
    <row r="8783" spans="20:20">
      <c r="T8783" s="10"/>
    </row>
    <row r="8784" spans="20:20">
      <c r="T8784" s="10"/>
    </row>
    <row r="8785" spans="20:20">
      <c r="T8785" s="10"/>
    </row>
    <row r="8786" spans="20:20">
      <c r="T8786" s="10"/>
    </row>
    <row r="8787" spans="20:20">
      <c r="T8787" s="10"/>
    </row>
    <row r="8788" spans="20:20">
      <c r="T8788" s="10"/>
    </row>
    <row r="8789" spans="20:20">
      <c r="T8789" s="10"/>
    </row>
    <row r="8790" spans="20:20">
      <c r="T8790" s="10"/>
    </row>
    <row r="8791" spans="20:20">
      <c r="T8791" s="10"/>
    </row>
    <row r="8792" spans="20:20">
      <c r="T8792" s="10"/>
    </row>
    <row r="8793" spans="20:20">
      <c r="T8793" s="10"/>
    </row>
    <row r="8794" spans="20:20">
      <c r="T8794" s="10"/>
    </row>
    <row r="8795" spans="20:20">
      <c r="T8795" s="10"/>
    </row>
    <row r="8796" spans="20:20">
      <c r="T8796" s="10"/>
    </row>
    <row r="8797" spans="20:20">
      <c r="T8797" s="10"/>
    </row>
    <row r="8798" spans="20:20">
      <c r="T8798" s="10"/>
    </row>
    <row r="8799" spans="20:20">
      <c r="T8799" s="10"/>
    </row>
    <row r="8800" spans="20:20">
      <c r="T8800" s="10"/>
    </row>
    <row r="8801" spans="20:20">
      <c r="T8801" s="10"/>
    </row>
    <row r="8802" spans="20:20">
      <c r="T8802" s="10"/>
    </row>
    <row r="8803" spans="20:20">
      <c r="T8803" s="10"/>
    </row>
    <row r="8804" spans="20:20">
      <c r="T8804" s="10"/>
    </row>
    <row r="8805" spans="20:20">
      <c r="T8805" s="10"/>
    </row>
    <row r="8806" spans="20:20">
      <c r="T8806" s="10"/>
    </row>
    <row r="8807" spans="20:20">
      <c r="T8807" s="10"/>
    </row>
    <row r="8808" spans="20:20">
      <c r="T8808" s="10"/>
    </row>
    <row r="8809" spans="20:20">
      <c r="T8809" s="10"/>
    </row>
    <row r="8810" spans="20:20">
      <c r="T8810" s="10"/>
    </row>
    <row r="8811" spans="20:20">
      <c r="T8811" s="10"/>
    </row>
    <row r="8812" spans="20:20">
      <c r="T8812" s="10"/>
    </row>
    <row r="8813" spans="20:20">
      <c r="T8813" s="10"/>
    </row>
    <row r="8814" spans="20:20">
      <c r="T8814" s="10"/>
    </row>
    <row r="8815" spans="20:20">
      <c r="T8815" s="10"/>
    </row>
    <row r="8816" spans="20:20">
      <c r="T8816" s="10"/>
    </row>
    <row r="8817" spans="20:20">
      <c r="T8817" s="10"/>
    </row>
    <row r="8818" spans="20:20">
      <c r="T8818" s="10"/>
    </row>
    <row r="8819" spans="20:20">
      <c r="T8819" s="10"/>
    </row>
    <row r="8820" spans="20:20">
      <c r="T8820" s="10"/>
    </row>
    <row r="8821" spans="20:20">
      <c r="T8821" s="10"/>
    </row>
    <row r="8822" spans="20:20">
      <c r="T8822" s="10"/>
    </row>
    <row r="8823" spans="20:20">
      <c r="T8823" s="10"/>
    </row>
    <row r="8824" spans="20:20">
      <c r="T8824" s="10"/>
    </row>
    <row r="8825" spans="20:20">
      <c r="T8825" s="10"/>
    </row>
    <row r="8826" spans="20:20">
      <c r="T8826" s="10"/>
    </row>
    <row r="8827" spans="20:20">
      <c r="T8827" s="10"/>
    </row>
    <row r="8828" spans="20:20">
      <c r="T8828" s="10"/>
    </row>
    <row r="8829" spans="20:20">
      <c r="T8829" s="10"/>
    </row>
    <row r="8830" spans="20:20">
      <c r="T8830" s="10"/>
    </row>
    <row r="8831" spans="20:20">
      <c r="T8831" s="10"/>
    </row>
    <row r="8832" spans="20:20">
      <c r="T8832" s="10"/>
    </row>
    <row r="8833" spans="20:20">
      <c r="T8833" s="10"/>
    </row>
    <row r="8834" spans="20:20">
      <c r="T8834" s="10"/>
    </row>
    <row r="8835" spans="20:20">
      <c r="T8835" s="10"/>
    </row>
    <row r="8836" spans="20:20">
      <c r="T8836" s="10"/>
    </row>
    <row r="8837" spans="20:20">
      <c r="T8837" s="10"/>
    </row>
    <row r="8838" spans="20:20">
      <c r="T8838" s="10"/>
    </row>
    <row r="8839" spans="20:20">
      <c r="T8839" s="10"/>
    </row>
    <row r="8840" spans="20:20">
      <c r="T8840" s="10"/>
    </row>
    <row r="8841" spans="20:20">
      <c r="T8841" s="10"/>
    </row>
    <row r="8842" spans="20:20">
      <c r="T8842" s="10"/>
    </row>
    <row r="8843" spans="20:20">
      <c r="T8843" s="10"/>
    </row>
    <row r="8844" spans="20:20">
      <c r="T8844" s="10"/>
    </row>
    <row r="8845" spans="20:20">
      <c r="T8845" s="10"/>
    </row>
    <row r="8846" spans="20:20">
      <c r="T8846" s="10"/>
    </row>
    <row r="8847" spans="20:20">
      <c r="T8847" s="10"/>
    </row>
    <row r="8848" spans="20:20">
      <c r="T8848" s="10"/>
    </row>
    <row r="8849" spans="20:20">
      <c r="T8849" s="10"/>
    </row>
    <row r="8850" spans="20:20">
      <c r="T8850" s="10"/>
    </row>
    <row r="8851" spans="20:20">
      <c r="T8851" s="10"/>
    </row>
    <row r="8852" spans="20:20">
      <c r="T8852" s="10"/>
    </row>
    <row r="8853" spans="20:20">
      <c r="T8853" s="10"/>
    </row>
    <row r="8854" spans="20:20">
      <c r="T8854" s="10"/>
    </row>
    <row r="8855" spans="20:20">
      <c r="T8855" s="10"/>
    </row>
    <row r="8856" spans="20:20">
      <c r="T8856" s="10"/>
    </row>
    <row r="8857" spans="20:20">
      <c r="T8857" s="10"/>
    </row>
    <row r="8858" spans="20:20">
      <c r="T8858" s="10"/>
    </row>
    <row r="8859" spans="20:20">
      <c r="T8859" s="10"/>
    </row>
    <row r="8860" spans="20:20">
      <c r="T8860" s="10"/>
    </row>
    <row r="8861" spans="20:20">
      <c r="T8861" s="10"/>
    </row>
    <row r="8862" spans="20:20">
      <c r="T8862" s="10"/>
    </row>
    <row r="8863" spans="20:20">
      <c r="T8863" s="10"/>
    </row>
    <row r="8864" spans="20:20">
      <c r="T8864" s="10"/>
    </row>
    <row r="8865" spans="20:20">
      <c r="T8865" s="10"/>
    </row>
    <row r="8866" spans="20:20">
      <c r="T8866" s="10"/>
    </row>
    <row r="8867" spans="20:20">
      <c r="T8867" s="10"/>
    </row>
    <row r="8868" spans="20:20">
      <c r="T8868" s="10"/>
    </row>
    <row r="8869" spans="20:20">
      <c r="T8869" s="10"/>
    </row>
    <row r="8870" spans="20:20">
      <c r="T8870" s="10"/>
    </row>
    <row r="8871" spans="20:20">
      <c r="T8871" s="10"/>
    </row>
    <row r="8872" spans="20:20">
      <c r="T8872" s="10"/>
    </row>
    <row r="8873" spans="20:20">
      <c r="T8873" s="10"/>
    </row>
    <row r="8874" spans="20:20">
      <c r="T8874" s="10"/>
    </row>
    <row r="8875" spans="20:20">
      <c r="T8875" s="10"/>
    </row>
    <row r="8876" spans="20:20">
      <c r="T8876" s="10"/>
    </row>
    <row r="8877" spans="20:20">
      <c r="T8877" s="10"/>
    </row>
    <row r="8878" spans="20:20">
      <c r="T8878" s="10"/>
    </row>
    <row r="8879" spans="20:20">
      <c r="T8879" s="10"/>
    </row>
    <row r="8880" spans="20:20">
      <c r="T8880" s="10"/>
    </row>
    <row r="8881" spans="20:20">
      <c r="T8881" s="10"/>
    </row>
    <row r="8882" spans="20:20">
      <c r="T8882" s="10"/>
    </row>
    <row r="8883" spans="20:20">
      <c r="T8883" s="10"/>
    </row>
    <row r="8884" spans="20:20">
      <c r="T8884" s="10"/>
    </row>
    <row r="8885" spans="20:20">
      <c r="T8885" s="10"/>
    </row>
    <row r="8886" spans="20:20">
      <c r="T8886" s="10"/>
    </row>
    <row r="8887" spans="20:20">
      <c r="T8887" s="10"/>
    </row>
    <row r="8888" spans="20:20">
      <c r="T8888" s="10"/>
    </row>
    <row r="8889" spans="20:20">
      <c r="T8889" s="10"/>
    </row>
    <row r="8890" spans="20:20">
      <c r="T8890" s="10"/>
    </row>
    <row r="8891" spans="20:20">
      <c r="T8891" s="10"/>
    </row>
    <row r="8892" spans="20:20">
      <c r="T8892" s="10"/>
    </row>
    <row r="8893" spans="20:20">
      <c r="T8893" s="10"/>
    </row>
    <row r="8894" spans="20:20">
      <c r="T8894" s="10"/>
    </row>
    <row r="8895" spans="20:20">
      <c r="T8895" s="10"/>
    </row>
    <row r="8896" spans="20:20">
      <c r="T8896" s="10"/>
    </row>
    <row r="8897" spans="20:20">
      <c r="T8897" s="10"/>
    </row>
    <row r="8898" spans="20:20">
      <c r="T8898" s="10"/>
    </row>
    <row r="8899" spans="20:20">
      <c r="T8899" s="10"/>
    </row>
    <row r="8900" spans="20:20">
      <c r="T8900" s="10"/>
    </row>
    <row r="8901" spans="20:20">
      <c r="T8901" s="10"/>
    </row>
    <row r="8902" spans="20:20">
      <c r="T8902" s="10"/>
    </row>
    <row r="8903" spans="20:20">
      <c r="T8903" s="10"/>
    </row>
    <row r="8904" spans="20:20">
      <c r="T8904" s="10"/>
    </row>
    <row r="8905" spans="20:20">
      <c r="T8905" s="10"/>
    </row>
    <row r="8906" spans="20:20">
      <c r="T8906" s="10"/>
    </row>
    <row r="8907" spans="20:20">
      <c r="T8907" s="10"/>
    </row>
    <row r="8908" spans="20:20">
      <c r="T8908" s="10"/>
    </row>
    <row r="8909" spans="20:20">
      <c r="T8909" s="10"/>
    </row>
    <row r="8910" spans="20:20">
      <c r="T8910" s="10"/>
    </row>
    <row r="8911" spans="20:20">
      <c r="T8911" s="10"/>
    </row>
    <row r="8912" spans="20:20">
      <c r="T8912" s="10"/>
    </row>
    <row r="8913" spans="20:20">
      <c r="T8913" s="10"/>
    </row>
    <row r="8914" spans="20:20">
      <c r="T8914" s="10"/>
    </row>
    <row r="8915" spans="20:20">
      <c r="T8915" s="10"/>
    </row>
    <row r="8916" spans="20:20">
      <c r="T8916" s="10"/>
    </row>
    <row r="8917" spans="20:20">
      <c r="T8917" s="10"/>
    </row>
    <row r="8918" spans="20:20">
      <c r="T8918" s="10"/>
    </row>
    <row r="8919" spans="20:20">
      <c r="T8919" s="10"/>
    </row>
    <row r="8920" spans="20:20">
      <c r="T8920" s="10"/>
    </row>
    <row r="8921" spans="20:20">
      <c r="T8921" s="10"/>
    </row>
    <row r="8922" spans="20:20">
      <c r="T8922" s="10"/>
    </row>
    <row r="8923" spans="20:20">
      <c r="T8923" s="10"/>
    </row>
    <row r="8924" spans="20:20">
      <c r="T8924" s="10"/>
    </row>
    <row r="8925" spans="20:20">
      <c r="T8925" s="10"/>
    </row>
    <row r="8926" spans="20:20">
      <c r="T8926" s="10"/>
    </row>
    <row r="8927" spans="20:20">
      <c r="T8927" s="10"/>
    </row>
    <row r="8928" spans="20:20">
      <c r="T8928" s="10"/>
    </row>
    <row r="8929" spans="20:20">
      <c r="T8929" s="10"/>
    </row>
    <row r="8930" spans="20:20">
      <c r="T8930" s="10"/>
    </row>
    <row r="8931" spans="20:20">
      <c r="T8931" s="10"/>
    </row>
    <row r="8932" spans="20:20">
      <c r="T8932" s="10"/>
    </row>
    <row r="8933" spans="20:20">
      <c r="T8933" s="10"/>
    </row>
    <row r="8934" spans="20:20">
      <c r="T8934" s="10"/>
    </row>
    <row r="8935" spans="20:20">
      <c r="T8935" s="10"/>
    </row>
    <row r="8936" spans="20:20">
      <c r="T8936" s="10"/>
    </row>
    <row r="8937" spans="20:20">
      <c r="T8937" s="10"/>
    </row>
    <row r="8938" spans="20:20">
      <c r="T8938" s="10"/>
    </row>
    <row r="8939" spans="20:20">
      <c r="T8939" s="10"/>
    </row>
    <row r="8940" spans="20:20">
      <c r="T8940" s="10"/>
    </row>
    <row r="8941" spans="20:20">
      <c r="T8941" s="10"/>
    </row>
    <row r="8942" spans="20:20">
      <c r="T8942" s="10"/>
    </row>
    <row r="8943" spans="20:20">
      <c r="T8943" s="10"/>
    </row>
    <row r="8944" spans="20:20">
      <c r="T8944" s="10"/>
    </row>
    <row r="8945" spans="20:20">
      <c r="T8945" s="10"/>
    </row>
    <row r="8946" spans="20:20">
      <c r="T8946" s="10"/>
    </row>
    <row r="8947" spans="20:20">
      <c r="T8947" s="10"/>
    </row>
    <row r="8948" spans="20:20">
      <c r="T8948" s="10"/>
    </row>
    <row r="8949" spans="20:20">
      <c r="T8949" s="10"/>
    </row>
    <row r="8950" spans="20:20">
      <c r="T8950" s="10"/>
    </row>
    <row r="8951" spans="20:20">
      <c r="T8951" s="10"/>
    </row>
    <row r="8952" spans="20:20">
      <c r="T8952" s="10"/>
    </row>
    <row r="8953" spans="20:20">
      <c r="T8953" s="10"/>
    </row>
    <row r="8954" spans="20:20">
      <c r="T8954" s="10"/>
    </row>
    <row r="8955" spans="20:20">
      <c r="T8955" s="10"/>
    </row>
    <row r="8956" spans="20:20">
      <c r="T8956" s="10"/>
    </row>
    <row r="8957" spans="20:20">
      <c r="T8957" s="10"/>
    </row>
    <row r="8958" spans="20:20">
      <c r="T8958" s="10"/>
    </row>
    <row r="8959" spans="20:20">
      <c r="T8959" s="10"/>
    </row>
    <row r="8960" spans="20:20">
      <c r="T8960" s="10"/>
    </row>
    <row r="8961" spans="20:20">
      <c r="T8961" s="10"/>
    </row>
    <row r="8962" spans="20:20">
      <c r="T8962" s="10"/>
    </row>
    <row r="8963" spans="20:20">
      <c r="T8963" s="10"/>
    </row>
    <row r="8964" spans="20:20">
      <c r="T8964" s="10"/>
    </row>
    <row r="8965" spans="20:20">
      <c r="T8965" s="10"/>
    </row>
    <row r="8966" spans="20:20">
      <c r="T8966" s="10"/>
    </row>
    <row r="8967" spans="20:20">
      <c r="T8967" s="10"/>
    </row>
    <row r="8968" spans="20:20">
      <c r="T8968" s="10"/>
    </row>
    <row r="8969" spans="20:20">
      <c r="T8969" s="10"/>
    </row>
    <row r="8970" spans="20:20">
      <c r="T8970" s="10"/>
    </row>
    <row r="8971" spans="20:20">
      <c r="T8971" s="10"/>
    </row>
    <row r="8972" spans="20:20">
      <c r="T8972" s="10"/>
    </row>
    <row r="8973" spans="20:20">
      <c r="T8973" s="10"/>
    </row>
    <row r="8974" spans="20:20">
      <c r="T8974" s="10"/>
    </row>
    <row r="8975" spans="20:20">
      <c r="T8975" s="10"/>
    </row>
    <row r="8976" spans="20:20">
      <c r="T8976" s="10"/>
    </row>
    <row r="8977" spans="20:20">
      <c r="T8977" s="10"/>
    </row>
    <row r="8978" spans="20:20">
      <c r="T8978" s="10"/>
    </row>
    <row r="8979" spans="20:20">
      <c r="T8979" s="10"/>
    </row>
    <row r="8980" spans="20:20">
      <c r="T8980" s="10"/>
    </row>
    <row r="8981" spans="20:20">
      <c r="T8981" s="10"/>
    </row>
    <row r="8982" spans="20:20">
      <c r="T8982" s="10"/>
    </row>
    <row r="8983" spans="20:20">
      <c r="T8983" s="10"/>
    </row>
    <row r="8984" spans="20:20">
      <c r="T8984" s="10"/>
    </row>
    <row r="8985" spans="20:20">
      <c r="T8985" s="10"/>
    </row>
    <row r="8986" spans="20:20">
      <c r="T8986" s="10"/>
    </row>
    <row r="8987" spans="20:20">
      <c r="T8987" s="10"/>
    </row>
    <row r="8988" spans="20:20">
      <c r="T8988" s="10"/>
    </row>
    <row r="8989" spans="20:20">
      <c r="T8989" s="10"/>
    </row>
    <row r="8990" spans="20:20">
      <c r="T8990" s="10"/>
    </row>
    <row r="8991" spans="20:20">
      <c r="T8991" s="10"/>
    </row>
    <row r="8992" spans="20:20">
      <c r="T8992" s="10"/>
    </row>
    <row r="8993" spans="20:20">
      <c r="T8993" s="10"/>
    </row>
    <row r="8994" spans="20:20">
      <c r="T8994" s="10"/>
    </row>
    <row r="8995" spans="20:20">
      <c r="T8995" s="10"/>
    </row>
    <row r="8996" spans="20:20">
      <c r="T8996" s="10"/>
    </row>
    <row r="8997" spans="20:20">
      <c r="T8997" s="10"/>
    </row>
    <row r="8998" spans="20:20">
      <c r="T8998" s="10"/>
    </row>
    <row r="8999" spans="20:20">
      <c r="T8999" s="10"/>
    </row>
    <row r="9000" spans="20:20">
      <c r="T9000" s="10"/>
    </row>
    <row r="9001" spans="20:20">
      <c r="T9001" s="10"/>
    </row>
    <row r="9002" spans="20:20">
      <c r="T9002" s="10"/>
    </row>
    <row r="9003" spans="20:20">
      <c r="T9003" s="10"/>
    </row>
    <row r="9004" spans="20:20">
      <c r="T9004" s="10"/>
    </row>
    <row r="9005" spans="20:20">
      <c r="T9005" s="10"/>
    </row>
    <row r="9006" spans="20:20">
      <c r="T9006" s="10"/>
    </row>
    <row r="9007" spans="20:20">
      <c r="T9007" s="10"/>
    </row>
    <row r="9008" spans="20:20">
      <c r="T9008" s="10"/>
    </row>
    <row r="9009" spans="20:20">
      <c r="T9009" s="10"/>
    </row>
    <row r="9010" spans="20:20">
      <c r="T9010" s="10"/>
    </row>
    <row r="9011" spans="20:20">
      <c r="T9011" s="10"/>
    </row>
    <row r="9012" spans="20:20">
      <c r="T9012" s="10"/>
    </row>
    <row r="9013" spans="20:20">
      <c r="T9013" s="10"/>
    </row>
    <row r="9014" spans="20:20">
      <c r="T9014" s="10"/>
    </row>
    <row r="9015" spans="20:20">
      <c r="T9015" s="10"/>
    </row>
    <row r="9016" spans="20:20">
      <c r="T9016" s="10"/>
    </row>
    <row r="9017" spans="20:20">
      <c r="T9017" s="10"/>
    </row>
    <row r="9018" spans="20:20">
      <c r="T9018" s="10"/>
    </row>
    <row r="9019" spans="20:20">
      <c r="T9019" s="10"/>
    </row>
    <row r="9020" spans="20:20">
      <c r="T9020" s="10"/>
    </row>
    <row r="9021" spans="20:20">
      <c r="T9021" s="10"/>
    </row>
    <row r="9022" spans="20:20">
      <c r="T9022" s="10"/>
    </row>
    <row r="9023" spans="20:20">
      <c r="T9023" s="10"/>
    </row>
    <row r="9024" spans="20:20">
      <c r="T9024" s="10"/>
    </row>
    <row r="9025" spans="20:20">
      <c r="T9025" s="10"/>
    </row>
    <row r="9026" spans="20:20">
      <c r="T9026" s="10"/>
    </row>
    <row r="9027" spans="20:20">
      <c r="T9027" s="10"/>
    </row>
    <row r="9028" spans="20:20">
      <c r="T9028" s="10"/>
    </row>
    <row r="9029" spans="20:20">
      <c r="T9029" s="10"/>
    </row>
    <row r="9030" spans="20:20">
      <c r="T9030" s="10"/>
    </row>
    <row r="9031" spans="20:20">
      <c r="T9031" s="10"/>
    </row>
    <row r="9032" spans="20:20">
      <c r="T9032" s="10"/>
    </row>
    <row r="9033" spans="20:20">
      <c r="T9033" s="10"/>
    </row>
    <row r="9034" spans="20:20">
      <c r="T9034" s="10"/>
    </row>
    <row r="9035" spans="20:20">
      <c r="T9035" s="10"/>
    </row>
    <row r="9036" spans="20:20">
      <c r="T9036" s="10"/>
    </row>
    <row r="9037" spans="20:20">
      <c r="T9037" s="10"/>
    </row>
    <row r="9038" spans="20:20">
      <c r="T9038" s="10"/>
    </row>
    <row r="9039" spans="20:20">
      <c r="T9039" s="10"/>
    </row>
    <row r="9040" spans="20:20">
      <c r="T9040" s="10"/>
    </row>
    <row r="9041" spans="20:20">
      <c r="T9041" s="10"/>
    </row>
    <row r="9042" spans="20:20">
      <c r="T9042" s="10"/>
    </row>
    <row r="9043" spans="20:20">
      <c r="T9043" s="10"/>
    </row>
    <row r="9044" spans="20:20">
      <c r="T9044" s="10"/>
    </row>
    <row r="9045" spans="20:20">
      <c r="T9045" s="10"/>
    </row>
    <row r="9046" spans="20:20">
      <c r="T9046" s="10"/>
    </row>
    <row r="9047" spans="20:20">
      <c r="T9047" s="10"/>
    </row>
    <row r="9048" spans="20:20">
      <c r="T9048" s="10"/>
    </row>
    <row r="9049" spans="20:20">
      <c r="T9049" s="10"/>
    </row>
    <row r="9050" spans="20:20">
      <c r="T9050" s="10"/>
    </row>
    <row r="9051" spans="20:20">
      <c r="T9051" s="10"/>
    </row>
    <row r="9052" spans="20:20">
      <c r="T9052" s="10"/>
    </row>
    <row r="9053" spans="20:20">
      <c r="T9053" s="10"/>
    </row>
    <row r="9054" spans="20:20">
      <c r="T9054" s="10"/>
    </row>
    <row r="9055" spans="20:20">
      <c r="T9055" s="10"/>
    </row>
    <row r="9056" spans="20:20">
      <c r="T9056" s="10"/>
    </row>
    <row r="9057" spans="20:20">
      <c r="T9057" s="10"/>
    </row>
    <row r="9058" spans="20:20">
      <c r="T9058" s="10"/>
    </row>
    <row r="9059" spans="20:20">
      <c r="T9059" s="10"/>
    </row>
    <row r="9060" spans="20:20">
      <c r="T9060" s="10"/>
    </row>
    <row r="9061" spans="20:20">
      <c r="T9061" s="10"/>
    </row>
    <row r="9062" spans="20:20">
      <c r="T9062" s="10"/>
    </row>
    <row r="9063" spans="20:20">
      <c r="T9063" s="10"/>
    </row>
    <row r="9064" spans="20:20">
      <c r="T9064" s="10"/>
    </row>
    <row r="9065" spans="20:20">
      <c r="T9065" s="10"/>
    </row>
    <row r="9066" spans="20:20">
      <c r="T9066" s="10"/>
    </row>
    <row r="9067" spans="20:20">
      <c r="T9067" s="10"/>
    </row>
    <row r="9068" spans="20:20">
      <c r="T9068" s="10"/>
    </row>
    <row r="9069" spans="20:20">
      <c r="T9069" s="10"/>
    </row>
    <row r="9070" spans="20:20">
      <c r="T9070" s="10"/>
    </row>
    <row r="9071" spans="20:20">
      <c r="T9071" s="10"/>
    </row>
    <row r="9072" spans="20:20">
      <c r="T9072" s="10"/>
    </row>
    <row r="9073" spans="20:20">
      <c r="T9073" s="10"/>
    </row>
    <row r="9074" spans="20:20">
      <c r="T9074" s="10"/>
    </row>
    <row r="9075" spans="20:20">
      <c r="T9075" s="10"/>
    </row>
    <row r="9076" spans="20:20">
      <c r="T9076" s="10"/>
    </row>
    <row r="9077" spans="20:20">
      <c r="T9077" s="10"/>
    </row>
    <row r="9078" spans="20:20">
      <c r="T9078" s="10"/>
    </row>
    <row r="9079" spans="20:20">
      <c r="T9079" s="10"/>
    </row>
    <row r="9080" spans="20:20">
      <c r="T9080" s="10"/>
    </row>
    <row r="9081" spans="20:20">
      <c r="T9081" s="10"/>
    </row>
    <row r="9082" spans="20:20">
      <c r="T9082" s="10"/>
    </row>
    <row r="9083" spans="20:20">
      <c r="T9083" s="10"/>
    </row>
    <row r="9084" spans="20:20">
      <c r="T9084" s="10"/>
    </row>
    <row r="9085" spans="20:20">
      <c r="T9085" s="10"/>
    </row>
    <row r="9086" spans="20:20">
      <c r="T9086" s="10"/>
    </row>
    <row r="9087" spans="20:20">
      <c r="T9087" s="10"/>
    </row>
    <row r="9088" spans="20:20">
      <c r="T9088" s="10"/>
    </row>
    <row r="9089" spans="20:20">
      <c r="T9089" s="10"/>
    </row>
    <row r="9090" spans="20:20">
      <c r="T9090" s="10"/>
    </row>
    <row r="9091" spans="20:20">
      <c r="T9091" s="10"/>
    </row>
    <row r="9092" spans="20:20">
      <c r="T9092" s="10"/>
    </row>
    <row r="9093" spans="20:20">
      <c r="T9093" s="10"/>
    </row>
    <row r="9094" spans="20:20">
      <c r="T9094" s="10"/>
    </row>
    <row r="9095" spans="20:20">
      <c r="T9095" s="10"/>
    </row>
    <row r="9096" spans="20:20">
      <c r="T9096" s="10"/>
    </row>
    <row r="9097" spans="20:20">
      <c r="T9097" s="10"/>
    </row>
    <row r="9098" spans="20:20">
      <c r="T9098" s="10"/>
    </row>
    <row r="9099" spans="20:20">
      <c r="T9099" s="10"/>
    </row>
    <row r="9100" spans="20:20">
      <c r="T9100" s="10"/>
    </row>
    <row r="9101" spans="20:20">
      <c r="T9101" s="10"/>
    </row>
    <row r="9102" spans="20:20">
      <c r="T9102" s="10"/>
    </row>
    <row r="9103" spans="20:20">
      <c r="T9103" s="10"/>
    </row>
    <row r="9104" spans="20:20">
      <c r="T9104" s="10"/>
    </row>
    <row r="9105" spans="20:20">
      <c r="T9105" s="10"/>
    </row>
    <row r="9106" spans="20:20">
      <c r="T9106" s="10"/>
    </row>
    <row r="9107" spans="20:20">
      <c r="T9107" s="10"/>
    </row>
    <row r="9108" spans="20:20">
      <c r="T9108" s="10"/>
    </row>
    <row r="9109" spans="20:20">
      <c r="T9109" s="10"/>
    </row>
    <row r="9110" spans="20:20">
      <c r="T9110" s="10"/>
    </row>
    <row r="9111" spans="20:20">
      <c r="T9111" s="10"/>
    </row>
    <row r="9112" spans="20:20">
      <c r="T9112" s="10"/>
    </row>
    <row r="9113" spans="20:20">
      <c r="T9113" s="10"/>
    </row>
    <row r="9114" spans="20:20">
      <c r="T9114" s="10"/>
    </row>
    <row r="9115" spans="20:20">
      <c r="T9115" s="10"/>
    </row>
    <row r="9116" spans="20:20">
      <c r="T9116" s="10"/>
    </row>
    <row r="9117" spans="20:20">
      <c r="T9117" s="10"/>
    </row>
    <row r="9118" spans="20:20">
      <c r="T9118" s="10"/>
    </row>
    <row r="9119" spans="20:20">
      <c r="T9119" s="10"/>
    </row>
    <row r="9120" spans="20:20">
      <c r="T9120" s="10"/>
    </row>
    <row r="9121" spans="20:20">
      <c r="T9121" s="10"/>
    </row>
    <row r="9122" spans="20:20">
      <c r="T9122" s="10"/>
    </row>
    <row r="9123" spans="20:20">
      <c r="T9123" s="10"/>
    </row>
    <row r="9124" spans="20:20">
      <c r="T9124" s="10"/>
    </row>
    <row r="9125" spans="20:20">
      <c r="T9125" s="10"/>
    </row>
    <row r="9126" spans="20:20">
      <c r="T9126" s="10"/>
    </row>
    <row r="9127" spans="20:20">
      <c r="T9127" s="10"/>
    </row>
    <row r="9128" spans="20:20">
      <c r="T9128" s="10"/>
    </row>
    <row r="9129" spans="20:20">
      <c r="T9129" s="10"/>
    </row>
    <row r="9130" spans="20:20">
      <c r="T9130" s="10"/>
    </row>
    <row r="9131" spans="20:20">
      <c r="T9131" s="10"/>
    </row>
    <row r="9132" spans="20:20">
      <c r="T9132" s="10"/>
    </row>
    <row r="9133" spans="20:20">
      <c r="T9133" s="10"/>
    </row>
    <row r="9134" spans="20:20">
      <c r="T9134" s="10"/>
    </row>
    <row r="9135" spans="20:20">
      <c r="T9135" s="10"/>
    </row>
    <row r="9136" spans="20:20">
      <c r="T9136" s="10"/>
    </row>
    <row r="9137" spans="20:20">
      <c r="T9137" s="10"/>
    </row>
    <row r="9138" spans="20:20">
      <c r="T9138" s="10"/>
    </row>
    <row r="9139" spans="20:20">
      <c r="T9139" s="10"/>
    </row>
    <row r="9140" spans="20:20">
      <c r="T9140" s="10"/>
    </row>
    <row r="9141" spans="20:20">
      <c r="T9141" s="10"/>
    </row>
    <row r="9142" spans="20:20">
      <c r="T9142" s="10"/>
    </row>
    <row r="9143" spans="20:20">
      <c r="T9143" s="10"/>
    </row>
    <row r="9144" spans="20:20">
      <c r="T9144" s="10"/>
    </row>
    <row r="9145" spans="20:20">
      <c r="T9145" s="10"/>
    </row>
    <row r="9146" spans="20:20">
      <c r="T9146" s="10"/>
    </row>
    <row r="9147" spans="20:20">
      <c r="T9147" s="10"/>
    </row>
    <row r="9148" spans="20:20">
      <c r="T9148" s="10"/>
    </row>
    <row r="9149" spans="20:20">
      <c r="T9149" s="10"/>
    </row>
    <row r="9150" spans="20:20">
      <c r="T9150" s="10"/>
    </row>
    <row r="9151" spans="20:20">
      <c r="T9151" s="10"/>
    </row>
    <row r="9152" spans="20:20">
      <c r="T9152" s="10"/>
    </row>
    <row r="9153" spans="20:20">
      <c r="T9153" s="10"/>
    </row>
    <row r="9154" spans="20:20">
      <c r="T9154" s="10"/>
    </row>
    <row r="9155" spans="20:20">
      <c r="T9155" s="10"/>
    </row>
    <row r="9156" spans="20:20">
      <c r="T9156" s="10"/>
    </row>
    <row r="9157" spans="20:20">
      <c r="T9157" s="10"/>
    </row>
    <row r="9158" spans="20:20">
      <c r="T9158" s="10"/>
    </row>
    <row r="9159" spans="20:20">
      <c r="T9159" s="10"/>
    </row>
    <row r="9160" spans="20:20">
      <c r="T9160" s="10"/>
    </row>
    <row r="9161" spans="20:20">
      <c r="T9161" s="10"/>
    </row>
    <row r="9162" spans="20:20">
      <c r="T9162" s="10"/>
    </row>
    <row r="9163" spans="20:20">
      <c r="T9163" s="10"/>
    </row>
    <row r="9164" spans="20:20">
      <c r="T9164" s="10"/>
    </row>
    <row r="9165" spans="20:20">
      <c r="T9165" s="10"/>
    </row>
    <row r="9166" spans="20:20">
      <c r="T9166" s="10"/>
    </row>
    <row r="9167" spans="20:20">
      <c r="T9167" s="10"/>
    </row>
    <row r="9168" spans="20:20">
      <c r="T9168" s="10"/>
    </row>
    <row r="9169" spans="20:20">
      <c r="T9169" s="10"/>
    </row>
    <row r="9170" spans="20:20">
      <c r="T9170" s="10"/>
    </row>
    <row r="9171" spans="20:20">
      <c r="T9171" s="10"/>
    </row>
    <row r="9172" spans="20:20">
      <c r="T9172" s="10"/>
    </row>
    <row r="9173" spans="20:20">
      <c r="T9173" s="10"/>
    </row>
    <row r="9174" spans="20:20">
      <c r="T9174" s="10"/>
    </row>
    <row r="9175" spans="20:20">
      <c r="T9175" s="10"/>
    </row>
    <row r="9176" spans="20:20">
      <c r="T9176" s="10"/>
    </row>
    <row r="9177" spans="20:20">
      <c r="T9177" s="10"/>
    </row>
    <row r="9178" spans="20:20">
      <c r="T9178" s="10"/>
    </row>
    <row r="9179" spans="20:20">
      <c r="T9179" s="10"/>
    </row>
    <row r="9180" spans="20:20">
      <c r="T9180" s="10"/>
    </row>
    <row r="9181" spans="20:20">
      <c r="T9181" s="10"/>
    </row>
    <row r="9182" spans="20:20">
      <c r="T9182" s="10"/>
    </row>
    <row r="9183" spans="20:20">
      <c r="T9183" s="10"/>
    </row>
    <row r="9184" spans="20:20">
      <c r="T9184" s="10"/>
    </row>
    <row r="9185" spans="20:20">
      <c r="T9185" s="10"/>
    </row>
    <row r="9186" spans="20:20">
      <c r="T9186" s="10"/>
    </row>
    <row r="9187" spans="20:20">
      <c r="T9187" s="10"/>
    </row>
    <row r="9188" spans="20:20">
      <c r="T9188" s="10"/>
    </row>
    <row r="9189" spans="20:20">
      <c r="T9189" s="10"/>
    </row>
    <row r="9190" spans="20:20">
      <c r="T9190" s="10"/>
    </row>
    <row r="9191" spans="20:20">
      <c r="T9191" s="10"/>
    </row>
    <row r="9192" spans="20:20">
      <c r="T9192" s="10"/>
    </row>
    <row r="9193" spans="20:20">
      <c r="T9193" s="10"/>
    </row>
    <row r="9194" spans="20:20">
      <c r="T9194" s="10"/>
    </row>
    <row r="9195" spans="20:20">
      <c r="T9195" s="10"/>
    </row>
    <row r="9196" spans="20:20">
      <c r="T9196" s="10"/>
    </row>
    <row r="9197" spans="20:20">
      <c r="T9197" s="10"/>
    </row>
    <row r="9198" spans="20:20">
      <c r="T9198" s="10"/>
    </row>
    <row r="9199" spans="20:20">
      <c r="T9199" s="10"/>
    </row>
    <row r="9200" spans="20:20">
      <c r="T9200" s="10"/>
    </row>
    <row r="9201" spans="20:20">
      <c r="T9201" s="10"/>
    </row>
    <row r="9202" spans="20:20">
      <c r="T9202" s="10"/>
    </row>
    <row r="9203" spans="20:20">
      <c r="T9203" s="10"/>
    </row>
    <row r="9204" spans="20:20">
      <c r="T9204" s="10"/>
    </row>
    <row r="9205" spans="20:20">
      <c r="T9205" s="10"/>
    </row>
    <row r="9206" spans="20:20">
      <c r="T9206" s="10"/>
    </row>
    <row r="9207" spans="20:20">
      <c r="T9207" s="10"/>
    </row>
    <row r="9208" spans="20:20">
      <c r="T9208" s="10"/>
    </row>
    <row r="9209" spans="20:20">
      <c r="T9209" s="10"/>
    </row>
    <row r="9210" spans="20:20">
      <c r="T9210" s="10"/>
    </row>
    <row r="9211" spans="20:20">
      <c r="T9211" s="10"/>
    </row>
    <row r="9212" spans="20:20">
      <c r="T9212" s="10"/>
    </row>
    <row r="9213" spans="20:20">
      <c r="T9213" s="10"/>
    </row>
    <row r="9214" spans="20:20">
      <c r="T9214" s="10"/>
    </row>
    <row r="9215" spans="20:20">
      <c r="T9215" s="10"/>
    </row>
    <row r="9216" spans="20:20">
      <c r="T9216" s="10"/>
    </row>
    <row r="9217" spans="20:20">
      <c r="T9217" s="10"/>
    </row>
    <row r="9218" spans="20:20">
      <c r="T9218" s="10"/>
    </row>
    <row r="9219" spans="20:20">
      <c r="T9219" s="10"/>
    </row>
    <row r="9220" spans="20:20">
      <c r="T9220" s="10"/>
    </row>
    <row r="9221" spans="20:20">
      <c r="T9221" s="10"/>
    </row>
    <row r="9222" spans="20:20">
      <c r="T9222" s="10"/>
    </row>
    <row r="9223" spans="20:20">
      <c r="T9223" s="10"/>
    </row>
    <row r="9224" spans="20:20">
      <c r="T9224" s="10"/>
    </row>
    <row r="9225" spans="20:20">
      <c r="T9225" s="10"/>
    </row>
    <row r="9226" spans="20:20">
      <c r="T9226" s="10"/>
    </row>
    <row r="9227" spans="20:20">
      <c r="T9227" s="10"/>
    </row>
    <row r="9228" spans="20:20">
      <c r="T9228" s="10"/>
    </row>
    <row r="9229" spans="20:20">
      <c r="T9229" s="10"/>
    </row>
    <row r="9230" spans="20:20">
      <c r="T9230" s="10"/>
    </row>
    <row r="9231" spans="20:20">
      <c r="T9231" s="10"/>
    </row>
    <row r="9232" spans="20:20">
      <c r="T9232" s="10"/>
    </row>
    <row r="9233" spans="20:20">
      <c r="T9233" s="10"/>
    </row>
    <row r="9234" spans="20:20">
      <c r="T9234" s="10"/>
    </row>
    <row r="9235" spans="20:20">
      <c r="T9235" s="10"/>
    </row>
    <row r="9236" spans="20:20">
      <c r="T9236" s="10"/>
    </row>
    <row r="9237" spans="20:20">
      <c r="T9237" s="10"/>
    </row>
    <row r="9238" spans="20:20">
      <c r="T9238" s="10"/>
    </row>
    <row r="9239" spans="20:20">
      <c r="T9239" s="10"/>
    </row>
    <row r="9240" spans="20:20">
      <c r="T9240" s="10"/>
    </row>
    <row r="9241" spans="20:20">
      <c r="T9241" s="10"/>
    </row>
    <row r="9242" spans="20:20">
      <c r="T9242" s="10"/>
    </row>
    <row r="9243" spans="20:20">
      <c r="T9243" s="10"/>
    </row>
    <row r="9244" spans="20:20">
      <c r="T9244" s="10"/>
    </row>
    <row r="9245" spans="20:20">
      <c r="T9245" s="10"/>
    </row>
    <row r="9246" spans="20:20">
      <c r="T9246" s="10"/>
    </row>
    <row r="9247" spans="20:20">
      <c r="T9247" s="10"/>
    </row>
    <row r="9248" spans="20:20">
      <c r="T9248" s="10"/>
    </row>
    <row r="9249" spans="20:20">
      <c r="T9249" s="10"/>
    </row>
    <row r="9250" spans="20:20">
      <c r="T9250" s="10"/>
    </row>
    <row r="9251" spans="20:20">
      <c r="T9251" s="10"/>
    </row>
    <row r="9252" spans="20:20">
      <c r="T9252" s="10"/>
    </row>
    <row r="9253" spans="20:20">
      <c r="T9253" s="10"/>
    </row>
    <row r="9254" spans="20:20">
      <c r="T9254" s="10"/>
    </row>
    <row r="9255" spans="20:20">
      <c r="T9255" s="10"/>
    </row>
    <row r="9256" spans="20:20">
      <c r="T9256" s="10"/>
    </row>
    <row r="9257" spans="20:20">
      <c r="T9257" s="10"/>
    </row>
    <row r="9258" spans="20:20">
      <c r="T9258" s="10"/>
    </row>
    <row r="9259" spans="20:20">
      <c r="T9259" s="10"/>
    </row>
    <row r="9260" spans="20:20">
      <c r="T9260" s="10"/>
    </row>
    <row r="9261" spans="20:20">
      <c r="T9261" s="10"/>
    </row>
    <row r="9262" spans="20:20">
      <c r="T9262" s="10"/>
    </row>
    <row r="9263" spans="20:20">
      <c r="T9263" s="10"/>
    </row>
    <row r="9264" spans="20:20">
      <c r="T9264" s="10"/>
    </row>
    <row r="9265" spans="20:20">
      <c r="T9265" s="10"/>
    </row>
    <row r="9266" spans="20:20">
      <c r="T9266" s="10"/>
    </row>
    <row r="9267" spans="20:20">
      <c r="T9267" s="10"/>
    </row>
    <row r="9268" spans="20:20">
      <c r="T9268" s="10"/>
    </row>
    <row r="9269" spans="20:20">
      <c r="T9269" s="10"/>
    </row>
    <row r="9270" spans="20:20">
      <c r="T9270" s="10"/>
    </row>
    <row r="9271" spans="20:20">
      <c r="T9271" s="10"/>
    </row>
    <row r="9272" spans="20:20">
      <c r="T9272" s="10"/>
    </row>
    <row r="9273" spans="20:20">
      <c r="T9273" s="10"/>
    </row>
    <row r="9274" spans="20:20">
      <c r="T9274" s="10"/>
    </row>
    <row r="9275" spans="20:20">
      <c r="T9275" s="10"/>
    </row>
    <row r="9276" spans="20:20">
      <c r="T9276" s="10"/>
    </row>
    <row r="9277" spans="20:20">
      <c r="T9277" s="10"/>
    </row>
    <row r="9278" spans="20:20">
      <c r="T9278" s="10"/>
    </row>
    <row r="9279" spans="20:20">
      <c r="T9279" s="10"/>
    </row>
    <row r="9280" spans="20:20">
      <c r="T9280" s="10"/>
    </row>
    <row r="9281" spans="20:20">
      <c r="T9281" s="10"/>
    </row>
    <row r="9282" spans="20:20">
      <c r="T9282" s="10"/>
    </row>
    <row r="9283" spans="20:20">
      <c r="T9283" s="10"/>
    </row>
    <row r="9284" spans="20:20">
      <c r="T9284" s="10"/>
    </row>
    <row r="9285" spans="20:20">
      <c r="T9285" s="10"/>
    </row>
    <row r="9286" spans="20:20">
      <c r="T9286" s="10"/>
    </row>
    <row r="9287" spans="20:20">
      <c r="T9287" s="10"/>
    </row>
    <row r="9288" spans="20:20">
      <c r="T9288" s="10"/>
    </row>
    <row r="9289" spans="20:20">
      <c r="T9289" s="10"/>
    </row>
    <row r="9290" spans="20:20">
      <c r="T9290" s="10"/>
    </row>
    <row r="9291" spans="20:20">
      <c r="T9291" s="10"/>
    </row>
    <row r="9292" spans="20:20">
      <c r="T9292" s="10"/>
    </row>
    <row r="9293" spans="20:20">
      <c r="T9293" s="10"/>
    </row>
    <row r="9294" spans="20:20">
      <c r="T9294" s="10"/>
    </row>
    <row r="9295" spans="20:20">
      <c r="T9295" s="10"/>
    </row>
    <row r="9296" spans="20:20">
      <c r="T9296" s="10"/>
    </row>
    <row r="9297" spans="20:20">
      <c r="T9297" s="10"/>
    </row>
    <row r="9298" spans="20:20">
      <c r="T9298" s="10"/>
    </row>
    <row r="9299" spans="20:20">
      <c r="T9299" s="10"/>
    </row>
    <row r="9300" spans="20:20">
      <c r="T9300" s="10"/>
    </row>
    <row r="9301" spans="20:20">
      <c r="T9301" s="10"/>
    </row>
    <row r="9302" spans="20:20">
      <c r="T9302" s="10"/>
    </row>
    <row r="9303" spans="20:20">
      <c r="T9303" s="10"/>
    </row>
    <row r="9304" spans="20:20">
      <c r="T9304" s="10"/>
    </row>
    <row r="9305" spans="20:20">
      <c r="T9305" s="10"/>
    </row>
    <row r="9306" spans="20:20">
      <c r="T9306" s="10"/>
    </row>
    <row r="9307" spans="20:20">
      <c r="T9307" s="10"/>
    </row>
    <row r="9308" spans="20:20">
      <c r="T9308" s="10"/>
    </row>
    <row r="9309" spans="20:20">
      <c r="T9309" s="10"/>
    </row>
    <row r="9310" spans="20:20">
      <c r="T9310" s="10"/>
    </row>
    <row r="9311" spans="20:20">
      <c r="T9311" s="10"/>
    </row>
    <row r="9312" spans="20:20">
      <c r="T9312" s="10"/>
    </row>
    <row r="9313" spans="20:20">
      <c r="T9313" s="10"/>
    </row>
    <row r="9314" spans="20:20">
      <c r="T9314" s="10"/>
    </row>
    <row r="9315" spans="20:20">
      <c r="T9315" s="10"/>
    </row>
    <row r="9316" spans="20:20">
      <c r="T9316" s="10"/>
    </row>
    <row r="9317" spans="20:20">
      <c r="T9317" s="10"/>
    </row>
    <row r="9318" spans="20:20">
      <c r="T9318" s="10"/>
    </row>
    <row r="9319" spans="20:20">
      <c r="T9319" s="10"/>
    </row>
    <row r="9320" spans="20:20">
      <c r="T9320" s="10"/>
    </row>
    <row r="9321" spans="20:20">
      <c r="T9321" s="10"/>
    </row>
    <row r="9322" spans="20:20">
      <c r="T9322" s="10"/>
    </row>
    <row r="9323" spans="20:20">
      <c r="T9323" s="10"/>
    </row>
    <row r="9324" spans="20:20">
      <c r="T9324" s="10"/>
    </row>
    <row r="9325" spans="20:20">
      <c r="T9325" s="10"/>
    </row>
    <row r="9326" spans="20:20">
      <c r="T9326" s="10"/>
    </row>
    <row r="9327" spans="20:20">
      <c r="T9327" s="10"/>
    </row>
    <row r="9328" spans="20:20">
      <c r="T9328" s="10"/>
    </row>
    <row r="9329" spans="20:20">
      <c r="T9329" s="10"/>
    </row>
    <row r="9330" spans="20:20">
      <c r="T9330" s="10"/>
    </row>
    <row r="9331" spans="20:20">
      <c r="T9331" s="10"/>
    </row>
    <row r="9332" spans="20:20">
      <c r="T9332" s="10"/>
    </row>
    <row r="9333" spans="20:20">
      <c r="T9333" s="10"/>
    </row>
    <row r="9334" spans="20:20">
      <c r="T9334" s="10"/>
    </row>
    <row r="9335" spans="20:20">
      <c r="T9335" s="10"/>
    </row>
    <row r="9336" spans="20:20">
      <c r="T9336" s="10"/>
    </row>
    <row r="9337" spans="20:20">
      <c r="T9337" s="10"/>
    </row>
    <row r="9338" spans="20:20">
      <c r="T9338" s="10"/>
    </row>
    <row r="9339" spans="20:20">
      <c r="T9339" s="10"/>
    </row>
    <row r="9340" spans="20:20">
      <c r="T9340" s="10"/>
    </row>
    <row r="9341" spans="20:20">
      <c r="T9341" s="10"/>
    </row>
    <row r="9342" spans="20:20">
      <c r="T9342" s="10"/>
    </row>
    <row r="9343" spans="20:20">
      <c r="T9343" s="10"/>
    </row>
    <row r="9344" spans="20:20">
      <c r="T9344" s="10"/>
    </row>
    <row r="9345" spans="20:20">
      <c r="T9345" s="10"/>
    </row>
    <row r="9346" spans="20:20">
      <c r="T9346" s="10"/>
    </row>
    <row r="9347" spans="20:20">
      <c r="T9347" s="10"/>
    </row>
    <row r="9348" spans="20:20">
      <c r="T9348" s="10"/>
    </row>
    <row r="9349" spans="20:20">
      <c r="T9349" s="10"/>
    </row>
    <row r="9350" spans="20:20">
      <c r="T9350" s="10"/>
    </row>
    <row r="9351" spans="20:20">
      <c r="T9351" s="10"/>
    </row>
    <row r="9352" spans="20:20">
      <c r="T9352" s="10"/>
    </row>
    <row r="9353" spans="20:20">
      <c r="T9353" s="10"/>
    </row>
    <row r="9354" spans="20:20">
      <c r="T9354" s="10"/>
    </row>
    <row r="9355" spans="20:20">
      <c r="T9355" s="10"/>
    </row>
    <row r="9356" spans="20:20">
      <c r="T9356" s="10"/>
    </row>
    <row r="9357" spans="20:20">
      <c r="T9357" s="10"/>
    </row>
    <row r="9358" spans="20:20">
      <c r="T9358" s="10"/>
    </row>
    <row r="9359" spans="20:20">
      <c r="T9359" s="10"/>
    </row>
    <row r="9360" spans="20:20">
      <c r="T9360" s="10"/>
    </row>
    <row r="9361" spans="20:20">
      <c r="T9361" s="10"/>
    </row>
    <row r="9362" spans="20:20">
      <c r="T9362" s="10"/>
    </row>
    <row r="9363" spans="20:20">
      <c r="T9363" s="10"/>
    </row>
    <row r="9364" spans="20:20">
      <c r="T9364" s="10"/>
    </row>
    <row r="9365" spans="20:20">
      <c r="T9365" s="10"/>
    </row>
    <row r="9366" spans="20:20">
      <c r="T9366" s="10"/>
    </row>
    <row r="9367" spans="20:20">
      <c r="T9367" s="10"/>
    </row>
    <row r="9368" spans="20:20">
      <c r="T9368" s="10"/>
    </row>
    <row r="9369" spans="20:20">
      <c r="T9369" s="10"/>
    </row>
    <row r="9370" spans="20:20">
      <c r="T9370" s="10"/>
    </row>
    <row r="9371" spans="20:20">
      <c r="T9371" s="10"/>
    </row>
    <row r="9372" spans="20:20">
      <c r="T9372" s="10"/>
    </row>
    <row r="9373" spans="20:20">
      <c r="T9373" s="10"/>
    </row>
    <row r="9374" spans="20:20">
      <c r="T9374" s="10"/>
    </row>
    <row r="9375" spans="20:20">
      <c r="T9375" s="10"/>
    </row>
    <row r="9376" spans="20:20">
      <c r="T9376" s="10"/>
    </row>
    <row r="9377" spans="20:20">
      <c r="T9377" s="10"/>
    </row>
    <row r="9378" spans="20:20">
      <c r="T9378" s="10"/>
    </row>
    <row r="9379" spans="20:20">
      <c r="T9379" s="10"/>
    </row>
    <row r="9380" spans="20:20">
      <c r="T9380" s="10"/>
    </row>
    <row r="9381" spans="20:20">
      <c r="T9381" s="10"/>
    </row>
    <row r="9382" spans="20:20">
      <c r="T9382" s="10"/>
    </row>
    <row r="9383" spans="20:20">
      <c r="T9383" s="10"/>
    </row>
    <row r="9384" spans="20:20">
      <c r="T9384" s="10"/>
    </row>
    <row r="9385" spans="20:20">
      <c r="T9385" s="10"/>
    </row>
    <row r="9386" spans="20:20">
      <c r="T9386" s="10"/>
    </row>
    <row r="9387" spans="20:20">
      <c r="T9387" s="10"/>
    </row>
    <row r="9388" spans="20:20">
      <c r="T9388" s="10"/>
    </row>
    <row r="9389" spans="20:20">
      <c r="T9389" s="10"/>
    </row>
    <row r="9390" spans="20:20">
      <c r="T9390" s="10"/>
    </row>
    <row r="9391" spans="20:20">
      <c r="T9391" s="10"/>
    </row>
    <row r="9392" spans="20:20">
      <c r="T9392" s="10"/>
    </row>
    <row r="9393" spans="20:20">
      <c r="T9393" s="10"/>
    </row>
    <row r="9394" spans="20:20">
      <c r="T9394" s="10"/>
    </row>
    <row r="9395" spans="20:20">
      <c r="T9395" s="10"/>
    </row>
    <row r="9396" spans="20:20">
      <c r="T9396" s="10"/>
    </row>
    <row r="9397" spans="20:20">
      <c r="T9397" s="10"/>
    </row>
    <row r="9398" spans="20:20">
      <c r="T9398" s="10"/>
    </row>
    <row r="9399" spans="20:20">
      <c r="T9399" s="10"/>
    </row>
    <row r="9400" spans="20:20">
      <c r="T9400" s="10"/>
    </row>
    <row r="9401" spans="20:20">
      <c r="T9401" s="10"/>
    </row>
    <row r="9402" spans="20:20">
      <c r="T9402" s="10"/>
    </row>
    <row r="9403" spans="20:20">
      <c r="T9403" s="10"/>
    </row>
    <row r="9404" spans="20:20">
      <c r="T9404" s="10"/>
    </row>
    <row r="9405" spans="20:20">
      <c r="T9405" s="10"/>
    </row>
    <row r="9406" spans="20:20">
      <c r="T9406" s="10"/>
    </row>
    <row r="9407" spans="20:20">
      <c r="T9407" s="10"/>
    </row>
    <row r="9408" spans="20:20">
      <c r="T9408" s="10"/>
    </row>
    <row r="9409" spans="20:20">
      <c r="T9409" s="10"/>
    </row>
    <row r="9410" spans="20:20">
      <c r="T9410" s="10"/>
    </row>
    <row r="9411" spans="20:20">
      <c r="T9411" s="10"/>
    </row>
    <row r="9412" spans="20:20">
      <c r="T9412" s="10"/>
    </row>
    <row r="9413" spans="20:20">
      <c r="T9413" s="10"/>
    </row>
    <row r="9414" spans="20:20">
      <c r="T9414" s="10"/>
    </row>
    <row r="9415" spans="20:20">
      <c r="T9415" s="10"/>
    </row>
    <row r="9416" spans="20:20">
      <c r="T9416" s="10"/>
    </row>
    <row r="9417" spans="20:20">
      <c r="T9417" s="10"/>
    </row>
    <row r="9418" spans="20:20">
      <c r="T9418" s="10"/>
    </row>
    <row r="9419" spans="20:20">
      <c r="T9419" s="10"/>
    </row>
    <row r="9420" spans="20:20">
      <c r="T9420" s="10"/>
    </row>
    <row r="9421" spans="20:20">
      <c r="T9421" s="10"/>
    </row>
    <row r="9422" spans="20:20">
      <c r="T9422" s="10"/>
    </row>
    <row r="9423" spans="20:20">
      <c r="T9423" s="10"/>
    </row>
    <row r="9424" spans="20:20">
      <c r="T9424" s="10"/>
    </row>
    <row r="9425" spans="20:20">
      <c r="T9425" s="10"/>
    </row>
    <row r="9426" spans="20:20">
      <c r="T9426" s="10"/>
    </row>
    <row r="9427" spans="20:20">
      <c r="T9427" s="10"/>
    </row>
    <row r="9428" spans="20:20">
      <c r="T9428" s="10"/>
    </row>
    <row r="9429" spans="20:20">
      <c r="T9429" s="10"/>
    </row>
    <row r="9430" spans="20:20">
      <c r="T9430" s="10"/>
    </row>
    <row r="9431" spans="20:20">
      <c r="T9431" s="10"/>
    </row>
    <row r="9432" spans="20:20">
      <c r="T9432" s="10"/>
    </row>
    <row r="9433" spans="20:20">
      <c r="T9433" s="10"/>
    </row>
    <row r="9434" spans="20:20">
      <c r="T9434" s="10"/>
    </row>
    <row r="9435" spans="20:20">
      <c r="T9435" s="10"/>
    </row>
    <row r="9436" spans="20:20">
      <c r="T9436" s="10"/>
    </row>
    <row r="9437" spans="20:20">
      <c r="T9437" s="10"/>
    </row>
    <row r="9438" spans="20:20">
      <c r="T9438" s="10"/>
    </row>
    <row r="9439" spans="20:20">
      <c r="T9439" s="10"/>
    </row>
    <row r="9440" spans="20:20">
      <c r="T9440" s="10"/>
    </row>
    <row r="9441" spans="20:20">
      <c r="T9441" s="10"/>
    </row>
    <row r="9442" spans="20:20">
      <c r="T9442" s="10"/>
    </row>
    <row r="9443" spans="20:20">
      <c r="T9443" s="10"/>
    </row>
    <row r="9444" spans="20:20">
      <c r="T9444" s="10"/>
    </row>
    <row r="9445" spans="20:20">
      <c r="T9445" s="10"/>
    </row>
    <row r="9446" spans="20:20">
      <c r="T9446" s="10"/>
    </row>
    <row r="9447" spans="20:20">
      <c r="T9447" s="10"/>
    </row>
    <row r="9448" spans="20:20">
      <c r="T9448" s="10"/>
    </row>
    <row r="9449" spans="20:20">
      <c r="T9449" s="10"/>
    </row>
    <row r="9450" spans="20:20">
      <c r="T9450" s="10"/>
    </row>
    <row r="9451" spans="20:20">
      <c r="T9451" s="10"/>
    </row>
    <row r="9452" spans="20:20">
      <c r="T9452" s="10"/>
    </row>
    <row r="9453" spans="20:20">
      <c r="T9453" s="10"/>
    </row>
    <row r="9454" spans="20:20">
      <c r="T9454" s="10"/>
    </row>
    <row r="9455" spans="20:20">
      <c r="T9455" s="10"/>
    </row>
    <row r="9456" spans="20:20">
      <c r="T9456" s="10"/>
    </row>
    <row r="9457" spans="20:20">
      <c r="T9457" s="10"/>
    </row>
    <row r="9458" spans="20:20">
      <c r="T9458" s="10"/>
    </row>
    <row r="9459" spans="20:20">
      <c r="T9459" s="10"/>
    </row>
    <row r="9460" spans="20:20">
      <c r="T9460" s="10"/>
    </row>
    <row r="9461" spans="20:20">
      <c r="T9461" s="10"/>
    </row>
    <row r="9462" spans="20:20">
      <c r="T9462" s="10"/>
    </row>
    <row r="9463" spans="20:20">
      <c r="T9463" s="10"/>
    </row>
    <row r="9464" spans="20:20">
      <c r="T9464" s="10"/>
    </row>
    <row r="9465" spans="20:20">
      <c r="T9465" s="10"/>
    </row>
    <row r="9466" spans="20:20">
      <c r="T9466" s="10"/>
    </row>
    <row r="9467" spans="20:20">
      <c r="T9467" s="10"/>
    </row>
    <row r="9468" spans="20:20">
      <c r="T9468" s="10"/>
    </row>
    <row r="9469" spans="20:20">
      <c r="T9469" s="10"/>
    </row>
    <row r="9470" spans="20:20">
      <c r="T9470" s="10"/>
    </row>
    <row r="9471" spans="20:20">
      <c r="T9471" s="10"/>
    </row>
    <row r="9472" spans="20:20">
      <c r="T9472" s="10"/>
    </row>
    <row r="9473" spans="20:20">
      <c r="T9473" s="10"/>
    </row>
    <row r="9474" spans="20:20">
      <c r="T9474" s="10"/>
    </row>
    <row r="9475" spans="20:20">
      <c r="T9475" s="10"/>
    </row>
    <row r="9476" spans="20:20">
      <c r="T9476" s="10"/>
    </row>
    <row r="9477" spans="20:20">
      <c r="T9477" s="10"/>
    </row>
    <row r="9478" spans="20:20">
      <c r="T9478" s="10"/>
    </row>
    <row r="9479" spans="20:20">
      <c r="T9479" s="10"/>
    </row>
    <row r="9480" spans="20:20">
      <c r="T9480" s="10"/>
    </row>
    <row r="9481" spans="20:20">
      <c r="T9481" s="10"/>
    </row>
    <row r="9482" spans="20:20">
      <c r="T9482" s="10"/>
    </row>
    <row r="9483" spans="20:20">
      <c r="T9483" s="10"/>
    </row>
    <row r="9484" spans="20:20">
      <c r="T9484" s="10"/>
    </row>
    <row r="9485" spans="20:20">
      <c r="T9485" s="10"/>
    </row>
    <row r="9486" spans="20:20">
      <c r="T9486" s="10"/>
    </row>
    <row r="9487" spans="20:20">
      <c r="T9487" s="10"/>
    </row>
    <row r="9488" spans="20:20">
      <c r="T9488" s="10"/>
    </row>
    <row r="9489" spans="20:20">
      <c r="T9489" s="10"/>
    </row>
    <row r="9490" spans="20:20">
      <c r="T9490" s="10"/>
    </row>
    <row r="9491" spans="20:20">
      <c r="T9491" s="10"/>
    </row>
    <row r="9492" spans="20:20">
      <c r="T9492" s="10"/>
    </row>
    <row r="9493" spans="20:20">
      <c r="T9493" s="10"/>
    </row>
    <row r="9494" spans="20:20">
      <c r="T9494" s="10"/>
    </row>
    <row r="9495" spans="20:20">
      <c r="T9495" s="10"/>
    </row>
    <row r="9496" spans="20:20">
      <c r="T9496" s="10"/>
    </row>
    <row r="9497" spans="20:20">
      <c r="T9497" s="10"/>
    </row>
    <row r="9498" spans="20:20">
      <c r="T9498" s="10"/>
    </row>
    <row r="9499" spans="20:20">
      <c r="T9499" s="10"/>
    </row>
    <row r="9500" spans="20:20">
      <c r="T9500" s="10"/>
    </row>
    <row r="9501" spans="20:20">
      <c r="T9501" s="10"/>
    </row>
    <row r="9502" spans="20:20">
      <c r="T9502" s="10"/>
    </row>
    <row r="9503" spans="20:20">
      <c r="T9503" s="10"/>
    </row>
    <row r="9504" spans="20:20">
      <c r="T9504" s="10"/>
    </row>
    <row r="9505" spans="20:20">
      <c r="T9505" s="10"/>
    </row>
    <row r="9506" spans="20:20">
      <c r="T9506" s="10"/>
    </row>
    <row r="9507" spans="20:20">
      <c r="T9507" s="10"/>
    </row>
    <row r="9508" spans="20:20">
      <c r="T9508" s="10"/>
    </row>
    <row r="9509" spans="20:20">
      <c r="T9509" s="10"/>
    </row>
    <row r="9510" spans="20:20">
      <c r="T9510" s="10"/>
    </row>
    <row r="9511" spans="20:20">
      <c r="T9511" s="10"/>
    </row>
    <row r="9512" spans="20:20">
      <c r="T9512" s="10"/>
    </row>
    <row r="9513" spans="20:20">
      <c r="T9513" s="10"/>
    </row>
    <row r="9514" spans="20:20">
      <c r="T9514" s="10"/>
    </row>
    <row r="9515" spans="20:20">
      <c r="T9515" s="10"/>
    </row>
    <row r="9516" spans="20:20">
      <c r="T9516" s="10"/>
    </row>
    <row r="9517" spans="20:20">
      <c r="T9517" s="10"/>
    </row>
    <row r="9518" spans="20:20">
      <c r="T9518" s="10"/>
    </row>
    <row r="9519" spans="20:20">
      <c r="T9519" s="10"/>
    </row>
    <row r="9520" spans="20:20">
      <c r="T9520" s="10"/>
    </row>
    <row r="9521" spans="20:20">
      <c r="T9521" s="10"/>
    </row>
    <row r="9522" spans="20:20">
      <c r="T9522" s="10"/>
    </row>
    <row r="9523" spans="20:20">
      <c r="T9523" s="10"/>
    </row>
    <row r="9524" spans="20:20">
      <c r="T9524" s="10"/>
    </row>
    <row r="9525" spans="20:20">
      <c r="T9525" s="10"/>
    </row>
    <row r="9526" spans="20:20">
      <c r="T9526" s="10"/>
    </row>
    <row r="9527" spans="20:20">
      <c r="T9527" s="10"/>
    </row>
    <row r="9528" spans="20:20">
      <c r="T9528" s="10"/>
    </row>
    <row r="9529" spans="20:20">
      <c r="T9529" s="10"/>
    </row>
    <row r="9530" spans="20:20">
      <c r="T9530" s="10"/>
    </row>
    <row r="9531" spans="20:20">
      <c r="T9531" s="10"/>
    </row>
    <row r="9532" spans="20:20">
      <c r="T9532" s="10"/>
    </row>
    <row r="9533" spans="20:20">
      <c r="T9533" s="10"/>
    </row>
    <row r="9534" spans="20:20">
      <c r="T9534" s="10"/>
    </row>
    <row r="9535" spans="20:20">
      <c r="T9535" s="10"/>
    </row>
    <row r="9536" spans="20:20">
      <c r="T9536" s="10"/>
    </row>
    <row r="9537" spans="20:20">
      <c r="T9537" s="10"/>
    </row>
    <row r="9538" spans="20:20">
      <c r="T9538" s="10"/>
    </row>
    <row r="9539" spans="20:20">
      <c r="T9539" s="10"/>
    </row>
    <row r="9540" spans="20:20">
      <c r="T9540" s="10"/>
    </row>
    <row r="9541" spans="20:20">
      <c r="T9541" s="10"/>
    </row>
    <row r="9542" spans="20:20">
      <c r="T9542" s="10"/>
    </row>
    <row r="9543" spans="20:20">
      <c r="T9543" s="10"/>
    </row>
    <row r="9544" spans="20:20">
      <c r="T9544" s="10"/>
    </row>
    <row r="9545" spans="20:20">
      <c r="T9545" s="10"/>
    </row>
    <row r="9546" spans="20:20">
      <c r="T9546" s="10"/>
    </row>
    <row r="9547" spans="20:20">
      <c r="T9547" s="10"/>
    </row>
    <row r="9548" spans="20:20">
      <c r="T9548" s="10"/>
    </row>
    <row r="9549" spans="20:20">
      <c r="T9549" s="10"/>
    </row>
    <row r="9550" spans="20:20">
      <c r="T9550" s="10"/>
    </row>
    <row r="9551" spans="20:20">
      <c r="T9551" s="10"/>
    </row>
    <row r="9552" spans="20:20">
      <c r="T9552" s="10"/>
    </row>
    <row r="9553" spans="20:20">
      <c r="T9553" s="10"/>
    </row>
    <row r="9554" spans="20:20">
      <c r="T9554" s="10"/>
    </row>
    <row r="9555" spans="20:20">
      <c r="T9555" s="10"/>
    </row>
    <row r="9556" spans="20:20">
      <c r="T9556" s="10"/>
    </row>
    <row r="9557" spans="20:20">
      <c r="T9557" s="10"/>
    </row>
    <row r="9558" spans="20:20">
      <c r="T9558" s="10"/>
    </row>
    <row r="9559" spans="20:20">
      <c r="T9559" s="10"/>
    </row>
    <row r="9560" spans="20:20">
      <c r="T9560" s="10"/>
    </row>
    <row r="9561" spans="20:20">
      <c r="T9561" s="10"/>
    </row>
    <row r="9562" spans="20:20">
      <c r="T9562" s="10"/>
    </row>
    <row r="9563" spans="20:20">
      <c r="T9563" s="10"/>
    </row>
    <row r="9564" spans="20:20">
      <c r="T9564" s="10"/>
    </row>
    <row r="9565" spans="20:20">
      <c r="T9565" s="10"/>
    </row>
    <row r="9566" spans="20:20">
      <c r="T9566" s="10"/>
    </row>
    <row r="9567" spans="20:20">
      <c r="T9567" s="10"/>
    </row>
    <row r="9568" spans="20:20">
      <c r="T9568" s="10"/>
    </row>
    <row r="9569" spans="20:20">
      <c r="T9569" s="10"/>
    </row>
    <row r="9570" spans="20:20">
      <c r="T9570" s="10"/>
    </row>
    <row r="9571" spans="20:20">
      <c r="T9571" s="10"/>
    </row>
    <row r="9572" spans="20:20">
      <c r="T9572" s="10"/>
    </row>
    <row r="9573" spans="20:20">
      <c r="T9573" s="10"/>
    </row>
    <row r="9574" spans="20:20">
      <c r="T9574" s="10"/>
    </row>
    <row r="9575" spans="20:20">
      <c r="T9575" s="10"/>
    </row>
    <row r="9576" spans="20:20">
      <c r="T9576" s="10"/>
    </row>
    <row r="9577" spans="20:20">
      <c r="T9577" s="10"/>
    </row>
    <row r="9578" spans="20:20">
      <c r="T9578" s="10"/>
    </row>
    <row r="9579" spans="20:20">
      <c r="T9579" s="10"/>
    </row>
    <row r="9580" spans="20:20">
      <c r="T9580" s="10"/>
    </row>
    <row r="9581" spans="20:20">
      <c r="T9581" s="10"/>
    </row>
    <row r="9582" spans="20:20">
      <c r="T9582" s="10"/>
    </row>
    <row r="9583" spans="20:20">
      <c r="T9583" s="10"/>
    </row>
    <row r="9584" spans="20:20">
      <c r="T9584" s="10"/>
    </row>
    <row r="9585" spans="20:20">
      <c r="T9585" s="10"/>
    </row>
    <row r="9586" spans="20:20">
      <c r="T9586" s="10"/>
    </row>
    <row r="9587" spans="20:20">
      <c r="T9587" s="10"/>
    </row>
    <row r="9588" spans="20:20">
      <c r="T9588" s="10"/>
    </row>
    <row r="9589" spans="20:20">
      <c r="T9589" s="10"/>
    </row>
    <row r="9590" spans="20:20">
      <c r="T9590" s="10"/>
    </row>
    <row r="9591" spans="20:20">
      <c r="T9591" s="10"/>
    </row>
    <row r="9592" spans="20:20">
      <c r="T9592" s="10"/>
    </row>
    <row r="9593" spans="20:20">
      <c r="T9593" s="10"/>
    </row>
    <row r="9594" spans="20:20">
      <c r="T9594" s="10"/>
    </row>
    <row r="9595" spans="20:20">
      <c r="T9595" s="10"/>
    </row>
    <row r="9596" spans="20:20">
      <c r="T9596" s="10"/>
    </row>
    <row r="9597" spans="20:20">
      <c r="T9597" s="10"/>
    </row>
    <row r="9598" spans="20:20">
      <c r="T9598" s="10"/>
    </row>
    <row r="9599" spans="20:20">
      <c r="T9599" s="10"/>
    </row>
    <row r="9600" spans="20:20">
      <c r="T9600" s="10"/>
    </row>
    <row r="9601" spans="20:20">
      <c r="T9601" s="10"/>
    </row>
    <row r="9602" spans="20:20">
      <c r="T9602" s="10"/>
    </row>
    <row r="9603" spans="20:20">
      <c r="T9603" s="10"/>
    </row>
    <row r="9604" spans="20:20">
      <c r="T9604" s="10"/>
    </row>
    <row r="9605" spans="20:20">
      <c r="T9605" s="10"/>
    </row>
    <row r="9606" spans="20:20">
      <c r="T9606" s="10"/>
    </row>
    <row r="9607" spans="20:20">
      <c r="T9607" s="10"/>
    </row>
    <row r="9608" spans="20:20">
      <c r="T9608" s="10"/>
    </row>
    <row r="9609" spans="20:20">
      <c r="T9609" s="10"/>
    </row>
    <row r="9610" spans="20:20">
      <c r="T9610" s="10"/>
    </row>
    <row r="9611" spans="20:20">
      <c r="T9611" s="10"/>
    </row>
    <row r="9612" spans="20:20">
      <c r="T9612" s="10"/>
    </row>
    <row r="9613" spans="20:20">
      <c r="T9613" s="10"/>
    </row>
    <row r="9614" spans="20:20">
      <c r="T9614" s="10"/>
    </row>
    <row r="9615" spans="20:20">
      <c r="T9615" s="10"/>
    </row>
    <row r="9616" spans="20:20">
      <c r="T9616" s="10"/>
    </row>
    <row r="9617" spans="20:20">
      <c r="T9617" s="10"/>
    </row>
    <row r="9618" spans="20:20">
      <c r="T9618" s="10"/>
    </row>
    <row r="9619" spans="20:20">
      <c r="T9619" s="10"/>
    </row>
    <row r="9620" spans="20:20">
      <c r="T9620" s="10"/>
    </row>
    <row r="9621" spans="20:20">
      <c r="T9621" s="10"/>
    </row>
    <row r="9622" spans="20:20">
      <c r="T9622" s="10"/>
    </row>
    <row r="9623" spans="20:20">
      <c r="T9623" s="10"/>
    </row>
    <row r="9624" spans="20:20">
      <c r="T9624" s="10"/>
    </row>
    <row r="9625" spans="20:20">
      <c r="T9625" s="10"/>
    </row>
    <row r="9626" spans="20:20">
      <c r="T9626" s="10"/>
    </row>
    <row r="9627" spans="20:20">
      <c r="T9627" s="10"/>
    </row>
    <row r="9628" spans="20:20">
      <c r="T9628" s="10"/>
    </row>
    <row r="9629" spans="20:20">
      <c r="T9629" s="10"/>
    </row>
    <row r="9630" spans="20:20">
      <c r="T9630" s="10"/>
    </row>
    <row r="9631" spans="20:20">
      <c r="T9631" s="10"/>
    </row>
    <row r="9632" spans="20:20">
      <c r="T9632" s="10"/>
    </row>
    <row r="9633" spans="20:20">
      <c r="T9633" s="10"/>
    </row>
    <row r="9634" spans="20:20">
      <c r="T9634" s="10"/>
    </row>
    <row r="9635" spans="20:20">
      <c r="T9635" s="10"/>
    </row>
    <row r="9636" spans="20:20">
      <c r="T9636" s="10"/>
    </row>
    <row r="9637" spans="20:20">
      <c r="T9637" s="10"/>
    </row>
    <row r="9638" spans="20:20">
      <c r="T9638" s="10"/>
    </row>
    <row r="9639" spans="20:20">
      <c r="T9639" s="10"/>
    </row>
    <row r="9640" spans="20:20">
      <c r="T9640" s="10"/>
    </row>
    <row r="9641" spans="20:20">
      <c r="T9641" s="10"/>
    </row>
    <row r="9642" spans="20:20">
      <c r="T9642" s="10"/>
    </row>
    <row r="9643" spans="20:20">
      <c r="T9643" s="10"/>
    </row>
    <row r="9644" spans="20:20">
      <c r="T9644" s="10"/>
    </row>
    <row r="9645" spans="20:20">
      <c r="T9645" s="10"/>
    </row>
    <row r="9646" spans="20:20">
      <c r="T9646" s="10"/>
    </row>
    <row r="9647" spans="20:20">
      <c r="T9647" s="10"/>
    </row>
    <row r="9648" spans="20:20">
      <c r="T9648" s="10"/>
    </row>
    <row r="9649" spans="20:20">
      <c r="T9649" s="10"/>
    </row>
    <row r="9650" spans="20:20">
      <c r="T9650" s="10"/>
    </row>
    <row r="9651" spans="20:20">
      <c r="T9651" s="10"/>
    </row>
    <row r="9652" spans="20:20">
      <c r="T9652" s="10"/>
    </row>
    <row r="9653" spans="20:20">
      <c r="T9653" s="10"/>
    </row>
    <row r="9654" spans="20:20">
      <c r="T9654" s="10"/>
    </row>
    <row r="9655" spans="20:20">
      <c r="T9655" s="10"/>
    </row>
    <row r="9656" spans="20:20">
      <c r="T9656" s="10"/>
    </row>
    <row r="9657" spans="20:20">
      <c r="T9657" s="10"/>
    </row>
    <row r="9658" spans="20:20">
      <c r="T9658" s="10"/>
    </row>
    <row r="9659" spans="20:20">
      <c r="T9659" s="10"/>
    </row>
    <row r="9660" spans="20:20">
      <c r="T9660" s="10"/>
    </row>
    <row r="9661" spans="20:20">
      <c r="T9661" s="10"/>
    </row>
    <row r="9662" spans="20:20">
      <c r="T9662" s="10"/>
    </row>
    <row r="9663" spans="20:20">
      <c r="T9663" s="10"/>
    </row>
    <row r="9664" spans="20:20">
      <c r="T9664" s="10"/>
    </row>
    <row r="9665" spans="20:20">
      <c r="T9665" s="10"/>
    </row>
    <row r="9666" spans="20:20">
      <c r="T9666" s="10"/>
    </row>
    <row r="9667" spans="20:20">
      <c r="T9667" s="10"/>
    </row>
    <row r="9668" spans="20:20">
      <c r="T9668" s="10"/>
    </row>
    <row r="9669" spans="20:20">
      <c r="T9669" s="10"/>
    </row>
    <row r="9670" spans="20:20">
      <c r="T9670" s="10"/>
    </row>
    <row r="9671" spans="20:20">
      <c r="T9671" s="10"/>
    </row>
    <row r="9672" spans="20:20">
      <c r="T9672" s="10"/>
    </row>
    <row r="9673" spans="20:20">
      <c r="T9673" s="10"/>
    </row>
    <row r="9674" spans="20:20">
      <c r="T9674" s="10"/>
    </row>
    <row r="9675" spans="20:20">
      <c r="T9675" s="10"/>
    </row>
    <row r="9676" spans="20:20">
      <c r="T9676" s="10"/>
    </row>
    <row r="9677" spans="20:20">
      <c r="T9677" s="10"/>
    </row>
    <row r="9678" spans="20:20">
      <c r="T9678" s="10"/>
    </row>
    <row r="9679" spans="20:20">
      <c r="T9679" s="10"/>
    </row>
    <row r="9680" spans="20:20">
      <c r="T9680" s="10"/>
    </row>
    <row r="9681" spans="20:20">
      <c r="T9681" s="10"/>
    </row>
    <row r="9682" spans="20:20">
      <c r="T9682" s="10"/>
    </row>
    <row r="9683" spans="20:20">
      <c r="T9683" s="10"/>
    </row>
    <row r="9684" spans="20:20">
      <c r="T9684" s="10"/>
    </row>
    <row r="9685" spans="20:20">
      <c r="T9685" s="10"/>
    </row>
    <row r="9686" spans="20:20">
      <c r="T9686" s="10"/>
    </row>
    <row r="9687" spans="20:20">
      <c r="T9687" s="10"/>
    </row>
    <row r="9688" spans="20:20">
      <c r="T9688" s="10"/>
    </row>
    <row r="9689" spans="20:20">
      <c r="T9689" s="10"/>
    </row>
    <row r="9690" spans="20:20">
      <c r="T9690" s="10"/>
    </row>
    <row r="9691" spans="20:20">
      <c r="T9691" s="10"/>
    </row>
    <row r="9692" spans="20:20">
      <c r="T9692" s="10"/>
    </row>
    <row r="9693" spans="20:20">
      <c r="T9693" s="10"/>
    </row>
    <row r="9694" spans="20:20">
      <c r="T9694" s="10"/>
    </row>
    <row r="9695" spans="20:20">
      <c r="T9695" s="10"/>
    </row>
    <row r="9696" spans="20:20">
      <c r="T9696" s="10"/>
    </row>
    <row r="9697" spans="20:20">
      <c r="T9697" s="10"/>
    </row>
    <row r="9698" spans="20:20">
      <c r="T9698" s="10"/>
    </row>
    <row r="9699" spans="20:20">
      <c r="T9699" s="10"/>
    </row>
    <row r="9700" spans="20:20">
      <c r="T9700" s="10"/>
    </row>
    <row r="9701" spans="20:20">
      <c r="T9701" s="10"/>
    </row>
    <row r="9702" spans="20:20">
      <c r="T9702" s="10"/>
    </row>
    <row r="9703" spans="20:20">
      <c r="T9703" s="10"/>
    </row>
    <row r="9704" spans="20:20">
      <c r="T9704" s="10"/>
    </row>
    <row r="9705" spans="20:20">
      <c r="T9705" s="10"/>
    </row>
    <row r="9706" spans="20:20">
      <c r="T9706" s="10"/>
    </row>
    <row r="9707" spans="20:20">
      <c r="T9707" s="10"/>
    </row>
    <row r="9708" spans="20:20">
      <c r="T9708" s="10"/>
    </row>
    <row r="9709" spans="20:20">
      <c r="T9709" s="10"/>
    </row>
    <row r="9710" spans="20:20">
      <c r="T9710" s="10"/>
    </row>
    <row r="9711" spans="20:20">
      <c r="T9711" s="10"/>
    </row>
    <row r="9712" spans="20:20">
      <c r="T9712" s="10"/>
    </row>
    <row r="9713" spans="20:20">
      <c r="T9713" s="10"/>
    </row>
    <row r="9714" spans="20:20">
      <c r="T9714" s="10"/>
    </row>
    <row r="9715" spans="20:20">
      <c r="T9715" s="10"/>
    </row>
    <row r="9716" spans="20:20">
      <c r="T9716" s="10"/>
    </row>
    <row r="9717" spans="20:20">
      <c r="T9717" s="10"/>
    </row>
    <row r="9718" spans="20:20">
      <c r="T9718" s="10"/>
    </row>
    <row r="9719" spans="20:20">
      <c r="T9719" s="10"/>
    </row>
    <row r="9720" spans="20:20">
      <c r="T9720" s="10"/>
    </row>
    <row r="9721" spans="20:20">
      <c r="T9721" s="10"/>
    </row>
    <row r="9722" spans="20:20">
      <c r="T9722" s="10"/>
    </row>
    <row r="9723" spans="20:20">
      <c r="T9723" s="10"/>
    </row>
    <row r="9724" spans="20:20">
      <c r="T9724" s="10"/>
    </row>
    <row r="9725" spans="20:20">
      <c r="T9725" s="10"/>
    </row>
    <row r="9726" spans="20:20">
      <c r="T9726" s="10"/>
    </row>
    <row r="9727" spans="20:20">
      <c r="T9727" s="10"/>
    </row>
    <row r="9728" spans="20:20">
      <c r="T9728" s="10"/>
    </row>
    <row r="9729" spans="20:20">
      <c r="T9729" s="10"/>
    </row>
    <row r="9730" spans="20:20">
      <c r="T9730" s="10"/>
    </row>
    <row r="9731" spans="20:20">
      <c r="T9731" s="10"/>
    </row>
    <row r="9732" spans="20:20">
      <c r="T9732" s="10"/>
    </row>
    <row r="9733" spans="20:20">
      <c r="T9733" s="10"/>
    </row>
    <row r="9734" spans="20:20">
      <c r="T9734" s="10"/>
    </row>
    <row r="9735" spans="20:20">
      <c r="T9735" s="10"/>
    </row>
    <row r="9736" spans="20:20">
      <c r="T9736" s="10"/>
    </row>
    <row r="9737" spans="20:20">
      <c r="T9737" s="10"/>
    </row>
    <row r="9738" spans="20:20">
      <c r="T9738" s="10"/>
    </row>
    <row r="9739" spans="20:20">
      <c r="T9739" s="10"/>
    </row>
    <row r="9740" spans="20:20">
      <c r="T9740" s="10"/>
    </row>
    <row r="9741" spans="20:20">
      <c r="T9741" s="10"/>
    </row>
    <row r="9742" spans="20:20">
      <c r="T9742" s="10"/>
    </row>
    <row r="9743" spans="20:20">
      <c r="T9743" s="10"/>
    </row>
    <row r="9744" spans="20:20">
      <c r="T9744" s="10"/>
    </row>
    <row r="9745" spans="20:20">
      <c r="T9745" s="10"/>
    </row>
    <row r="9746" spans="20:20">
      <c r="T9746" s="10"/>
    </row>
    <row r="9747" spans="20:20">
      <c r="T9747" s="10"/>
    </row>
    <row r="9748" spans="20:20">
      <c r="T9748" s="10"/>
    </row>
    <row r="9749" spans="20:20">
      <c r="T9749" s="10"/>
    </row>
    <row r="9750" spans="20:20">
      <c r="T9750" s="10"/>
    </row>
    <row r="9751" spans="20:20">
      <c r="T9751" s="10"/>
    </row>
    <row r="9752" spans="20:20">
      <c r="T9752" s="10"/>
    </row>
    <row r="9753" spans="20:20">
      <c r="T9753" s="10"/>
    </row>
    <row r="9754" spans="20:20">
      <c r="T9754" s="10"/>
    </row>
    <row r="9755" spans="20:20">
      <c r="T9755" s="10"/>
    </row>
    <row r="9756" spans="20:20">
      <c r="T9756" s="10"/>
    </row>
    <row r="9757" spans="20:20">
      <c r="T9757" s="10"/>
    </row>
    <row r="9758" spans="20:20">
      <c r="T9758" s="10"/>
    </row>
    <row r="9759" spans="20:20">
      <c r="T9759" s="10"/>
    </row>
    <row r="9760" spans="20:20">
      <c r="T9760" s="10"/>
    </row>
    <row r="9761" spans="20:20">
      <c r="T9761" s="10"/>
    </row>
    <row r="9762" spans="20:20">
      <c r="T9762" s="10"/>
    </row>
    <row r="9763" spans="20:20">
      <c r="T9763" s="10"/>
    </row>
    <row r="9764" spans="20:20">
      <c r="T9764" s="10"/>
    </row>
    <row r="9765" spans="20:20">
      <c r="T9765" s="10"/>
    </row>
    <row r="9766" spans="20:20">
      <c r="T9766" s="10"/>
    </row>
    <row r="9767" spans="20:20">
      <c r="T9767" s="10"/>
    </row>
    <row r="9768" spans="20:20">
      <c r="T9768" s="10"/>
    </row>
    <row r="9769" spans="20:20">
      <c r="T9769" s="10"/>
    </row>
    <row r="9770" spans="20:20">
      <c r="T9770" s="10"/>
    </row>
    <row r="9771" spans="20:20">
      <c r="T9771" s="10"/>
    </row>
    <row r="9772" spans="20:20">
      <c r="T9772" s="10"/>
    </row>
    <row r="9773" spans="20:20">
      <c r="T9773" s="10"/>
    </row>
    <row r="9774" spans="20:20">
      <c r="T9774" s="10"/>
    </row>
    <row r="9775" spans="20:20">
      <c r="T9775" s="10"/>
    </row>
    <row r="9776" spans="20:20">
      <c r="T9776" s="10"/>
    </row>
    <row r="9777" spans="20:20">
      <c r="T9777" s="10"/>
    </row>
    <row r="9778" spans="20:20">
      <c r="T9778" s="10"/>
    </row>
    <row r="9779" spans="20:20">
      <c r="T9779" s="10"/>
    </row>
    <row r="9780" spans="20:20">
      <c r="T9780" s="10"/>
    </row>
    <row r="9781" spans="20:20">
      <c r="T9781" s="10"/>
    </row>
    <row r="9782" spans="20:20">
      <c r="T9782" s="10"/>
    </row>
    <row r="9783" spans="20:20">
      <c r="T9783" s="10"/>
    </row>
    <row r="9784" spans="20:20">
      <c r="T9784" s="10"/>
    </row>
    <row r="9785" spans="20:20">
      <c r="T9785" s="10"/>
    </row>
    <row r="9786" spans="20:20">
      <c r="T9786" s="10"/>
    </row>
    <row r="9787" spans="20:20">
      <c r="T9787" s="10"/>
    </row>
    <row r="9788" spans="20:20">
      <c r="T9788" s="10"/>
    </row>
    <row r="9789" spans="20:20">
      <c r="T9789" s="10"/>
    </row>
    <row r="9790" spans="20:20">
      <c r="T9790" s="10"/>
    </row>
    <row r="9791" spans="20:20">
      <c r="T9791" s="10"/>
    </row>
    <row r="9792" spans="20:20">
      <c r="T9792" s="10"/>
    </row>
    <row r="9793" spans="20:20">
      <c r="T9793" s="10"/>
    </row>
    <row r="9794" spans="20:20">
      <c r="T9794" s="10"/>
    </row>
    <row r="9795" spans="20:20">
      <c r="T9795" s="10"/>
    </row>
    <row r="9796" spans="20:20">
      <c r="T9796" s="10"/>
    </row>
    <row r="9797" spans="20:20">
      <c r="T9797" s="10"/>
    </row>
    <row r="9798" spans="20:20">
      <c r="T9798" s="10"/>
    </row>
    <row r="9799" spans="20:20">
      <c r="T9799" s="10"/>
    </row>
    <row r="9800" spans="20:20">
      <c r="T9800" s="10"/>
    </row>
    <row r="9801" spans="20:20">
      <c r="T9801" s="10"/>
    </row>
    <row r="9802" spans="20:20">
      <c r="T9802" s="10"/>
    </row>
    <row r="9803" spans="20:20">
      <c r="T9803" s="10"/>
    </row>
    <row r="9804" spans="20:20">
      <c r="T9804" s="10"/>
    </row>
    <row r="9805" spans="20:20">
      <c r="T9805" s="10"/>
    </row>
    <row r="9806" spans="20:20">
      <c r="T9806" s="10"/>
    </row>
    <row r="9807" spans="20:20">
      <c r="T9807" s="10"/>
    </row>
    <row r="9808" spans="20:20">
      <c r="T9808" s="10"/>
    </row>
    <row r="9809" spans="20:20">
      <c r="T9809" s="10"/>
    </row>
    <row r="9810" spans="20:20">
      <c r="T9810" s="10"/>
    </row>
    <row r="9811" spans="20:20">
      <c r="T9811" s="10"/>
    </row>
    <row r="9812" spans="20:20">
      <c r="T9812" s="10"/>
    </row>
    <row r="9813" spans="20:20">
      <c r="T9813" s="10"/>
    </row>
    <row r="9814" spans="20:20">
      <c r="T9814" s="10"/>
    </row>
    <row r="9815" spans="20:20">
      <c r="T9815" s="10"/>
    </row>
    <row r="9816" spans="20:20">
      <c r="T9816" s="10"/>
    </row>
    <row r="9817" spans="20:20">
      <c r="T9817" s="10"/>
    </row>
    <row r="9818" spans="20:20">
      <c r="T9818" s="10"/>
    </row>
    <row r="9819" spans="20:20">
      <c r="T9819" s="10"/>
    </row>
    <row r="9820" spans="20:20">
      <c r="T9820" s="10"/>
    </row>
    <row r="9821" spans="20:20">
      <c r="T9821" s="10"/>
    </row>
    <row r="9822" spans="20:20">
      <c r="T9822" s="10"/>
    </row>
    <row r="9823" spans="20:20">
      <c r="T9823" s="10"/>
    </row>
    <row r="9824" spans="20:20">
      <c r="T9824" s="10"/>
    </row>
    <row r="9825" spans="20:20">
      <c r="T9825" s="10"/>
    </row>
    <row r="9826" spans="20:20">
      <c r="T9826" s="10"/>
    </row>
    <row r="9827" spans="20:20">
      <c r="T9827" s="10"/>
    </row>
    <row r="9828" spans="20:20">
      <c r="T9828" s="10"/>
    </row>
    <row r="9829" spans="20:20">
      <c r="T9829" s="10"/>
    </row>
    <row r="9830" spans="20:20">
      <c r="T9830" s="10"/>
    </row>
    <row r="9831" spans="20:20">
      <c r="T9831" s="10"/>
    </row>
    <row r="9832" spans="20:20">
      <c r="T9832" s="10"/>
    </row>
    <row r="9833" spans="20:20">
      <c r="T9833" s="10"/>
    </row>
    <row r="9834" spans="20:20">
      <c r="T9834" s="10"/>
    </row>
    <row r="9835" spans="20:20">
      <c r="T9835" s="10"/>
    </row>
    <row r="9836" spans="20:20">
      <c r="T9836" s="10"/>
    </row>
    <row r="9837" spans="20:20">
      <c r="T9837" s="10"/>
    </row>
    <row r="9838" spans="20:20">
      <c r="T9838" s="10"/>
    </row>
    <row r="9839" spans="20:20">
      <c r="T9839" s="10"/>
    </row>
    <row r="9840" spans="20:20">
      <c r="T9840" s="10"/>
    </row>
    <row r="9841" spans="20:20">
      <c r="T9841" s="10"/>
    </row>
    <row r="9842" spans="20:20">
      <c r="T9842" s="10"/>
    </row>
    <row r="9843" spans="20:20">
      <c r="T9843" s="10"/>
    </row>
    <row r="9844" spans="20:20">
      <c r="T9844" s="10"/>
    </row>
    <row r="9845" spans="20:20">
      <c r="T9845" s="10"/>
    </row>
    <row r="9846" spans="20:20">
      <c r="T9846" s="10"/>
    </row>
    <row r="9847" spans="20:20">
      <c r="T9847" s="10"/>
    </row>
    <row r="9848" spans="20:20">
      <c r="T9848" s="10"/>
    </row>
    <row r="9849" spans="20:20">
      <c r="T9849" s="10"/>
    </row>
    <row r="9850" spans="20:20">
      <c r="T9850" s="10"/>
    </row>
    <row r="9851" spans="20:20">
      <c r="T9851" s="10"/>
    </row>
    <row r="9852" spans="20:20">
      <c r="T9852" s="10"/>
    </row>
    <row r="9853" spans="20:20">
      <c r="T9853" s="10"/>
    </row>
    <row r="9854" spans="20:20">
      <c r="T9854" s="10"/>
    </row>
    <row r="9855" spans="20:20">
      <c r="T9855" s="10"/>
    </row>
    <row r="9856" spans="20:20">
      <c r="T9856" s="10"/>
    </row>
    <row r="9857" spans="20:20">
      <c r="T9857" s="10"/>
    </row>
    <row r="9858" spans="20:20">
      <c r="T9858" s="10"/>
    </row>
    <row r="9859" spans="20:20">
      <c r="T9859" s="10"/>
    </row>
    <row r="9860" spans="20:20">
      <c r="T9860" s="10"/>
    </row>
    <row r="9861" spans="20:20">
      <c r="T9861" s="10"/>
    </row>
    <row r="9862" spans="20:20">
      <c r="T9862" s="10"/>
    </row>
    <row r="9863" spans="20:20">
      <c r="T9863" s="10"/>
    </row>
    <row r="9864" spans="20:20">
      <c r="T9864" s="10"/>
    </row>
    <row r="9865" spans="20:20">
      <c r="T9865" s="10"/>
    </row>
    <row r="9866" spans="20:20">
      <c r="T9866" s="10"/>
    </row>
    <row r="9867" spans="20:20">
      <c r="T9867" s="10"/>
    </row>
    <row r="9868" spans="20:20">
      <c r="T9868" s="10"/>
    </row>
    <row r="9869" spans="20:20">
      <c r="T9869" s="10"/>
    </row>
    <row r="9870" spans="20:20">
      <c r="T9870" s="10"/>
    </row>
    <row r="9871" spans="20:20">
      <c r="T9871" s="10"/>
    </row>
    <row r="9872" spans="20:20">
      <c r="T9872" s="10"/>
    </row>
    <row r="9873" spans="20:20">
      <c r="T9873" s="10"/>
    </row>
    <row r="9874" spans="20:20">
      <c r="T9874" s="10"/>
    </row>
    <row r="9875" spans="20:20">
      <c r="T9875" s="10"/>
    </row>
    <row r="9876" spans="20:20">
      <c r="T9876" s="10"/>
    </row>
    <row r="9877" spans="20:20">
      <c r="T9877" s="10"/>
    </row>
    <row r="9878" spans="20:20">
      <c r="T9878" s="10"/>
    </row>
    <row r="9879" spans="20:20">
      <c r="T9879" s="10"/>
    </row>
    <row r="9880" spans="20:20">
      <c r="T9880" s="10"/>
    </row>
    <row r="9881" spans="20:20">
      <c r="T9881" s="10"/>
    </row>
    <row r="9882" spans="20:20">
      <c r="T9882" s="10"/>
    </row>
    <row r="9883" spans="20:20">
      <c r="T9883" s="10"/>
    </row>
    <row r="9884" spans="20:20">
      <c r="T9884" s="10"/>
    </row>
    <row r="9885" spans="20:20">
      <c r="T9885" s="10"/>
    </row>
    <row r="9886" spans="20:20">
      <c r="T9886" s="10"/>
    </row>
    <row r="9887" spans="20:20">
      <c r="T9887" s="10"/>
    </row>
    <row r="9888" spans="20:20">
      <c r="T9888" s="10"/>
    </row>
    <row r="9889" spans="20:20">
      <c r="T9889" s="10"/>
    </row>
    <row r="9890" spans="20:20">
      <c r="T9890" s="10"/>
    </row>
    <row r="9891" spans="20:20">
      <c r="T9891" s="10"/>
    </row>
    <row r="9892" spans="20:20">
      <c r="T9892" s="10"/>
    </row>
    <row r="9893" spans="20:20">
      <c r="T9893" s="10"/>
    </row>
    <row r="9894" spans="20:20">
      <c r="T9894" s="10"/>
    </row>
    <row r="9895" spans="20:20">
      <c r="T9895" s="10"/>
    </row>
    <row r="9896" spans="20:20">
      <c r="T9896" s="10"/>
    </row>
    <row r="9897" spans="20:20">
      <c r="T9897" s="10"/>
    </row>
    <row r="9898" spans="20:20">
      <c r="T9898" s="10"/>
    </row>
    <row r="9899" spans="20:20">
      <c r="T9899" s="10"/>
    </row>
    <row r="9900" spans="20:20">
      <c r="T9900" s="10"/>
    </row>
    <row r="9901" spans="20:20">
      <c r="T9901" s="10"/>
    </row>
    <row r="9902" spans="20:20">
      <c r="T9902" s="10"/>
    </row>
    <row r="9903" spans="20:20">
      <c r="T9903" s="10"/>
    </row>
    <row r="9904" spans="20:20">
      <c r="T9904" s="10"/>
    </row>
    <row r="9905" spans="20:20">
      <c r="T9905" s="10"/>
    </row>
    <row r="9906" spans="20:20">
      <c r="T9906" s="10"/>
    </row>
    <row r="9907" spans="20:20">
      <c r="T9907" s="10"/>
    </row>
    <row r="9908" spans="20:20">
      <c r="T9908" s="10"/>
    </row>
    <row r="9909" spans="20:20">
      <c r="T9909" s="10"/>
    </row>
    <row r="9910" spans="20:20">
      <c r="T9910" s="10"/>
    </row>
    <row r="9911" spans="20:20">
      <c r="T9911" s="10"/>
    </row>
    <row r="9912" spans="20:20">
      <c r="T9912" s="10"/>
    </row>
    <row r="9913" spans="20:20">
      <c r="T9913" s="10"/>
    </row>
    <row r="9914" spans="20:20">
      <c r="T9914" s="10"/>
    </row>
    <row r="9915" spans="20:20">
      <c r="T9915" s="10"/>
    </row>
    <row r="9916" spans="20:20">
      <c r="T9916" s="10"/>
    </row>
    <row r="9917" spans="20:20">
      <c r="T9917" s="10"/>
    </row>
    <row r="9918" spans="20:20">
      <c r="T9918" s="10"/>
    </row>
    <row r="9919" spans="20:20">
      <c r="T9919" s="10"/>
    </row>
    <row r="9920" spans="20:20">
      <c r="T9920" s="10"/>
    </row>
    <row r="9921" spans="20:20">
      <c r="T9921" s="10"/>
    </row>
    <row r="9922" spans="20:20">
      <c r="T9922" s="10"/>
    </row>
    <row r="9923" spans="20:20">
      <c r="T9923" s="10"/>
    </row>
    <row r="9924" spans="20:20">
      <c r="T9924" s="10"/>
    </row>
    <row r="9925" spans="20:20">
      <c r="T9925" s="10"/>
    </row>
    <row r="9926" spans="20:20">
      <c r="T9926" s="10"/>
    </row>
    <row r="9927" spans="20:20">
      <c r="T9927" s="10"/>
    </row>
    <row r="9928" spans="20:20">
      <c r="T9928" s="10"/>
    </row>
    <row r="9929" spans="20:20">
      <c r="T9929" s="10"/>
    </row>
    <row r="9930" spans="20:20">
      <c r="T9930" s="10"/>
    </row>
    <row r="9931" spans="20:20">
      <c r="T9931" s="10"/>
    </row>
    <row r="9932" spans="20:20">
      <c r="T9932" s="10"/>
    </row>
    <row r="9933" spans="20:20">
      <c r="T9933" s="10"/>
    </row>
    <row r="9934" spans="20:20">
      <c r="T9934" s="10"/>
    </row>
    <row r="9935" spans="20:20">
      <c r="T9935" s="10"/>
    </row>
    <row r="9936" spans="20:20">
      <c r="T9936" s="10"/>
    </row>
    <row r="9937" spans="20:20">
      <c r="T9937" s="10"/>
    </row>
    <row r="9938" spans="20:20">
      <c r="T9938" s="10"/>
    </row>
    <row r="9939" spans="20:20">
      <c r="T9939" s="10"/>
    </row>
    <row r="9940" spans="20:20">
      <c r="T9940" s="10"/>
    </row>
    <row r="9941" spans="20:20">
      <c r="T9941" s="10"/>
    </row>
    <row r="9942" spans="20:20">
      <c r="T9942" s="10"/>
    </row>
    <row r="9943" spans="20:20">
      <c r="T9943" s="10"/>
    </row>
    <row r="9944" spans="20:20">
      <c r="T9944" s="10"/>
    </row>
    <row r="9945" spans="20:20">
      <c r="T9945" s="10"/>
    </row>
    <row r="9946" spans="20:20">
      <c r="T9946" s="10"/>
    </row>
    <row r="9947" spans="20:20">
      <c r="T9947" s="10"/>
    </row>
    <row r="9948" spans="20:20">
      <c r="T9948" s="10"/>
    </row>
    <row r="9949" spans="20:20">
      <c r="T9949" s="10"/>
    </row>
    <row r="9950" spans="20:20">
      <c r="T9950" s="10"/>
    </row>
    <row r="9951" spans="20:20">
      <c r="T9951" s="10"/>
    </row>
    <row r="9952" spans="20:20">
      <c r="T9952" s="10"/>
    </row>
    <row r="9953" spans="20:20">
      <c r="T9953" s="10"/>
    </row>
    <row r="9954" spans="20:20">
      <c r="T9954" s="10"/>
    </row>
    <row r="9955" spans="20:20">
      <c r="T9955" s="10"/>
    </row>
    <row r="9956" spans="20:20">
      <c r="T9956" s="10"/>
    </row>
    <row r="9957" spans="20:20">
      <c r="T9957" s="10"/>
    </row>
    <row r="9958" spans="20:20">
      <c r="T9958" s="10"/>
    </row>
    <row r="9959" spans="20:20">
      <c r="T9959" s="10"/>
    </row>
    <row r="9960" spans="20:20">
      <c r="T9960" s="10"/>
    </row>
    <row r="9961" spans="20:20">
      <c r="T9961" s="10"/>
    </row>
    <row r="9962" spans="20:20">
      <c r="T9962" s="10"/>
    </row>
    <row r="9963" spans="20:20">
      <c r="T9963" s="10"/>
    </row>
    <row r="9964" spans="20:20">
      <c r="T9964" s="10"/>
    </row>
    <row r="9965" spans="20:20">
      <c r="T9965" s="10"/>
    </row>
    <row r="9966" spans="20:20">
      <c r="T9966" s="10"/>
    </row>
    <row r="9967" spans="20:20">
      <c r="T9967" s="10"/>
    </row>
    <row r="9968" spans="20:20">
      <c r="T9968" s="10"/>
    </row>
    <row r="9969" spans="20:20">
      <c r="T9969" s="10"/>
    </row>
    <row r="9970" spans="20:20">
      <c r="T9970" s="10"/>
    </row>
    <row r="9971" spans="20:20">
      <c r="T9971" s="10"/>
    </row>
    <row r="9972" spans="20:20">
      <c r="T9972" s="10"/>
    </row>
    <row r="9973" spans="20:20">
      <c r="T9973" s="10"/>
    </row>
    <row r="9974" spans="20:20">
      <c r="T9974" s="10"/>
    </row>
    <row r="9975" spans="20:20">
      <c r="T9975" s="10"/>
    </row>
    <row r="9976" spans="20:20">
      <c r="T9976" s="10"/>
    </row>
    <row r="9977" spans="20:20">
      <c r="T9977" s="10"/>
    </row>
    <row r="9978" spans="20:20">
      <c r="T9978" s="10"/>
    </row>
    <row r="9979" spans="20:20">
      <c r="T9979" s="10"/>
    </row>
    <row r="9980" spans="20:20">
      <c r="T9980" s="10"/>
    </row>
    <row r="9981" spans="20:20">
      <c r="T9981" s="10"/>
    </row>
    <row r="9982" spans="20:20">
      <c r="T9982" s="10"/>
    </row>
    <row r="9983" spans="20:20">
      <c r="T9983" s="10"/>
    </row>
    <row r="9984" spans="20:20">
      <c r="T9984" s="10"/>
    </row>
    <row r="9985" spans="20:20">
      <c r="T9985" s="10"/>
    </row>
    <row r="9986" spans="20:20">
      <c r="T9986" s="10"/>
    </row>
    <row r="9987" spans="20:20">
      <c r="T9987" s="10"/>
    </row>
    <row r="9988" spans="20:20">
      <c r="T9988" s="10"/>
    </row>
    <row r="9989" spans="20:20">
      <c r="T9989" s="10"/>
    </row>
    <row r="9990" spans="20:20">
      <c r="T9990" s="10"/>
    </row>
    <row r="9991" spans="20:20">
      <c r="T9991" s="10"/>
    </row>
    <row r="9992" spans="20:20">
      <c r="T9992" s="10"/>
    </row>
    <row r="9993" spans="20:20">
      <c r="T9993" s="10"/>
    </row>
    <row r="9994" spans="20:20">
      <c r="T9994" s="10"/>
    </row>
    <row r="9995" spans="20:20">
      <c r="T9995" s="10"/>
    </row>
    <row r="9996" spans="20:20">
      <c r="T9996" s="10"/>
    </row>
    <row r="9997" spans="20:20">
      <c r="T9997" s="10"/>
    </row>
    <row r="9998" spans="20:20">
      <c r="T9998" s="10"/>
    </row>
    <row r="9999" spans="20:20">
      <c r="T9999" s="10"/>
    </row>
    <row r="10000" spans="20:20">
      <c r="T10000" s="10"/>
    </row>
    <row r="10001" spans="20:20">
      <c r="T10001" s="10"/>
    </row>
    <row r="10002" spans="20:20">
      <c r="T10002" s="10"/>
    </row>
    <row r="10003" spans="20:20">
      <c r="T10003" s="10"/>
    </row>
    <row r="10004" spans="20:20">
      <c r="T10004" s="10"/>
    </row>
    <row r="10005" spans="20:20">
      <c r="T10005" s="10"/>
    </row>
    <row r="10006" spans="20:20">
      <c r="T10006" s="10"/>
    </row>
    <row r="10007" spans="20:20">
      <c r="T10007" s="10"/>
    </row>
    <row r="10008" spans="20:20">
      <c r="T10008" s="10"/>
    </row>
    <row r="10009" spans="20:20">
      <c r="T10009" s="10"/>
    </row>
    <row r="10010" spans="20:20">
      <c r="T10010" s="10"/>
    </row>
    <row r="10011" spans="20:20">
      <c r="T10011" s="10"/>
    </row>
    <row r="10012" spans="20:20">
      <c r="T10012" s="10"/>
    </row>
    <row r="10013" spans="20:20">
      <c r="T10013" s="10"/>
    </row>
    <row r="10014" spans="20:20">
      <c r="T10014" s="10"/>
    </row>
    <row r="10015" spans="20:20">
      <c r="T10015" s="10"/>
    </row>
    <row r="10016" spans="20:20">
      <c r="T10016" s="10"/>
    </row>
    <row r="10017" spans="20:20">
      <c r="T10017" s="10"/>
    </row>
    <row r="10018" spans="20:20">
      <c r="T10018" s="10"/>
    </row>
    <row r="10019" spans="20:20">
      <c r="T10019" s="10"/>
    </row>
    <row r="10020" spans="20:20">
      <c r="T10020" s="10"/>
    </row>
    <row r="10021" spans="20:20">
      <c r="T10021" s="10"/>
    </row>
    <row r="10022" spans="20:20">
      <c r="T10022" s="10"/>
    </row>
    <row r="10023" spans="20:20">
      <c r="T10023" s="10"/>
    </row>
    <row r="10024" spans="20:20">
      <c r="T10024" s="10"/>
    </row>
    <row r="10025" spans="20:20">
      <c r="T10025" s="10"/>
    </row>
    <row r="10026" spans="20:20">
      <c r="T10026" s="10"/>
    </row>
    <row r="10027" spans="20:20">
      <c r="T10027" s="10"/>
    </row>
    <row r="10028" spans="20:20">
      <c r="T10028" s="10"/>
    </row>
    <row r="10029" spans="20:20">
      <c r="T10029" s="10"/>
    </row>
    <row r="10030" spans="20:20">
      <c r="T10030" s="10"/>
    </row>
    <row r="10031" spans="20:20">
      <c r="T10031" s="10"/>
    </row>
    <row r="10032" spans="20:20">
      <c r="T10032" s="10"/>
    </row>
    <row r="10033" spans="20:20">
      <c r="T10033" s="10"/>
    </row>
    <row r="10034" spans="20:20">
      <c r="T10034" s="10"/>
    </row>
    <row r="10035" spans="20:20">
      <c r="T10035" s="10"/>
    </row>
    <row r="10036" spans="20:20">
      <c r="T10036" s="10"/>
    </row>
    <row r="10037" spans="20:20">
      <c r="T10037" s="10"/>
    </row>
    <row r="10038" spans="20:20">
      <c r="T10038" s="10"/>
    </row>
    <row r="10039" spans="20:20">
      <c r="T10039" s="10"/>
    </row>
    <row r="10040" spans="20:20">
      <c r="T10040" s="10"/>
    </row>
    <row r="10041" spans="20:20">
      <c r="T10041" s="10"/>
    </row>
    <row r="10042" spans="20:20">
      <c r="T10042" s="10"/>
    </row>
    <row r="10043" spans="20:20">
      <c r="T10043" s="10"/>
    </row>
    <row r="10044" spans="20:20">
      <c r="T10044" s="10"/>
    </row>
    <row r="10045" spans="20:20">
      <c r="T10045" s="10"/>
    </row>
    <row r="10046" spans="20:20">
      <c r="T10046" s="10"/>
    </row>
    <row r="10047" spans="20:20">
      <c r="T10047" s="10"/>
    </row>
    <row r="10048" spans="20:20">
      <c r="T10048" s="10"/>
    </row>
    <row r="10049" spans="20:20">
      <c r="T10049" s="10"/>
    </row>
    <row r="10050" spans="20:20">
      <c r="T10050" s="10"/>
    </row>
    <row r="10051" spans="20:20">
      <c r="T10051" s="10"/>
    </row>
    <row r="10052" spans="20:20">
      <c r="T10052" s="10"/>
    </row>
    <row r="10053" spans="20:20">
      <c r="T10053" s="10"/>
    </row>
    <row r="10054" spans="20:20">
      <c r="T10054" s="10"/>
    </row>
    <row r="10055" spans="20:20">
      <c r="T10055" s="10"/>
    </row>
    <row r="10056" spans="20:20">
      <c r="T10056" s="10"/>
    </row>
    <row r="10057" spans="20:20">
      <c r="T10057" s="10"/>
    </row>
    <row r="10058" spans="20:20">
      <c r="T10058" s="10"/>
    </row>
    <row r="10059" spans="20:20">
      <c r="T10059" s="10"/>
    </row>
    <row r="10060" spans="20:20">
      <c r="T10060" s="10"/>
    </row>
    <row r="10061" spans="20:20">
      <c r="T10061" s="10"/>
    </row>
    <row r="10062" spans="20:20">
      <c r="T10062" s="10"/>
    </row>
    <row r="10063" spans="20:20">
      <c r="T10063" s="10"/>
    </row>
    <row r="10064" spans="20:20">
      <c r="T10064" s="10"/>
    </row>
    <row r="10065" spans="20:20">
      <c r="T10065" s="10"/>
    </row>
    <row r="10066" spans="20:20">
      <c r="T10066" s="10"/>
    </row>
    <row r="10067" spans="20:20">
      <c r="T10067" s="10"/>
    </row>
    <row r="10068" spans="20:20">
      <c r="T10068" s="10"/>
    </row>
    <row r="10069" spans="20:20">
      <c r="T10069" s="10"/>
    </row>
    <row r="10070" spans="20:20">
      <c r="T10070" s="10"/>
    </row>
    <row r="10071" spans="20:20">
      <c r="T10071" s="10"/>
    </row>
    <row r="10072" spans="20:20">
      <c r="T10072" s="10"/>
    </row>
    <row r="10073" spans="20:20">
      <c r="T10073" s="10"/>
    </row>
    <row r="10074" spans="20:20">
      <c r="T10074" s="10"/>
    </row>
    <row r="10075" spans="20:20">
      <c r="T10075" s="10"/>
    </row>
    <row r="10076" spans="20:20">
      <c r="T10076" s="10"/>
    </row>
    <row r="10077" spans="20:20">
      <c r="T10077" s="10"/>
    </row>
    <row r="10078" spans="20:20">
      <c r="T10078" s="10"/>
    </row>
    <row r="10079" spans="20:20">
      <c r="T10079" s="10"/>
    </row>
    <row r="10080" spans="20:20">
      <c r="T10080" s="10"/>
    </row>
    <row r="10081" spans="20:20">
      <c r="T10081" s="10"/>
    </row>
    <row r="10082" spans="20:20">
      <c r="T10082" s="10"/>
    </row>
    <row r="10083" spans="20:20">
      <c r="T10083" s="10"/>
    </row>
    <row r="10084" spans="20:20">
      <c r="T10084" s="10"/>
    </row>
    <row r="10085" spans="20:20">
      <c r="T10085" s="10"/>
    </row>
    <row r="10086" spans="20:20">
      <c r="T10086" s="10"/>
    </row>
    <row r="10087" spans="20:20">
      <c r="T10087" s="10"/>
    </row>
    <row r="10088" spans="20:20">
      <c r="T10088" s="10"/>
    </row>
    <row r="10089" spans="20:20">
      <c r="T10089" s="10"/>
    </row>
    <row r="10090" spans="20:20">
      <c r="T10090" s="10"/>
    </row>
    <row r="10091" spans="20:20">
      <c r="T10091" s="10"/>
    </row>
    <row r="10092" spans="20:20">
      <c r="T10092" s="10"/>
    </row>
    <row r="10093" spans="20:20">
      <c r="T10093" s="10"/>
    </row>
    <row r="10094" spans="20:20">
      <c r="T10094" s="10"/>
    </row>
    <row r="10095" spans="20:20">
      <c r="T10095" s="10"/>
    </row>
    <row r="10096" spans="20:20">
      <c r="T10096" s="10"/>
    </row>
    <row r="10097" spans="20:20">
      <c r="T10097" s="10"/>
    </row>
    <row r="10098" spans="20:20">
      <c r="T10098" s="10"/>
    </row>
    <row r="10099" spans="20:20">
      <c r="T10099" s="10"/>
    </row>
    <row r="10100" spans="20:20">
      <c r="T10100" s="10"/>
    </row>
    <row r="10101" spans="20:20">
      <c r="T10101" s="10"/>
    </row>
    <row r="10102" spans="20:20">
      <c r="T10102" s="10"/>
    </row>
    <row r="10103" spans="20:20">
      <c r="T10103" s="10"/>
    </row>
    <row r="10104" spans="20:20">
      <c r="T10104" s="10"/>
    </row>
    <row r="10105" spans="20:20">
      <c r="T10105" s="10"/>
    </row>
    <row r="10106" spans="20:20">
      <c r="T10106" s="10"/>
    </row>
    <row r="10107" spans="20:20">
      <c r="T10107" s="10"/>
    </row>
    <row r="10108" spans="20:20">
      <c r="T10108" s="10"/>
    </row>
    <row r="10109" spans="20:20">
      <c r="T10109" s="10"/>
    </row>
    <row r="10110" spans="20:20">
      <c r="T10110" s="10"/>
    </row>
    <row r="10111" spans="20:20">
      <c r="T10111" s="10"/>
    </row>
    <row r="10112" spans="20:20">
      <c r="T10112" s="10"/>
    </row>
    <row r="10113" spans="20:20">
      <c r="T10113" s="10"/>
    </row>
    <row r="10114" spans="20:20">
      <c r="T10114" s="10"/>
    </row>
    <row r="10115" spans="20:20">
      <c r="T10115" s="10"/>
    </row>
    <row r="10116" spans="20:20">
      <c r="T10116" s="10"/>
    </row>
    <row r="10117" spans="20:20">
      <c r="T10117" s="10"/>
    </row>
    <row r="10118" spans="20:20">
      <c r="T10118" s="10"/>
    </row>
    <row r="10119" spans="20:20">
      <c r="T10119" s="10"/>
    </row>
    <row r="10120" spans="20:20">
      <c r="T10120" s="10"/>
    </row>
    <row r="10121" spans="20:20">
      <c r="T10121" s="10"/>
    </row>
    <row r="10122" spans="20:20">
      <c r="T10122" s="10"/>
    </row>
    <row r="10123" spans="20:20">
      <c r="T10123" s="10"/>
    </row>
    <row r="10124" spans="20:20">
      <c r="T10124" s="10"/>
    </row>
    <row r="10125" spans="20:20">
      <c r="T10125" s="10"/>
    </row>
    <row r="10126" spans="20:20">
      <c r="T10126" s="10"/>
    </row>
    <row r="10127" spans="20:20">
      <c r="T10127" s="10"/>
    </row>
    <row r="10128" spans="20:20">
      <c r="T10128" s="10"/>
    </row>
    <row r="10129" spans="20:20">
      <c r="T10129" s="10"/>
    </row>
    <row r="10130" spans="20:20">
      <c r="T10130" s="10"/>
    </row>
    <row r="10131" spans="20:20">
      <c r="T10131" s="10"/>
    </row>
    <row r="10132" spans="20:20">
      <c r="T10132" s="10"/>
    </row>
    <row r="10133" spans="20:20">
      <c r="T10133" s="10"/>
    </row>
    <row r="10134" spans="20:20">
      <c r="T10134" s="10"/>
    </row>
    <row r="10135" spans="20:20">
      <c r="T10135" s="10"/>
    </row>
    <row r="10136" spans="20:20">
      <c r="T10136" s="10"/>
    </row>
    <row r="10137" spans="20:20">
      <c r="T10137" s="10"/>
    </row>
    <row r="10138" spans="20:20">
      <c r="T10138" s="10"/>
    </row>
    <row r="10139" spans="20:20">
      <c r="T10139" s="10"/>
    </row>
    <row r="10140" spans="20:20">
      <c r="T10140" s="10"/>
    </row>
    <row r="10141" spans="20:20">
      <c r="T10141" s="10"/>
    </row>
    <row r="10142" spans="20:20">
      <c r="T10142" s="10"/>
    </row>
    <row r="10143" spans="20:20">
      <c r="T10143" s="10"/>
    </row>
    <row r="10144" spans="20:20">
      <c r="T10144" s="10"/>
    </row>
    <row r="10145" spans="20:20">
      <c r="T10145" s="10"/>
    </row>
    <row r="10146" spans="20:20">
      <c r="T10146" s="10"/>
    </row>
    <row r="10147" spans="20:20">
      <c r="T10147" s="10"/>
    </row>
    <row r="10148" spans="20:20">
      <c r="T10148" s="10"/>
    </row>
    <row r="10149" spans="20:20">
      <c r="T10149" s="10"/>
    </row>
    <row r="10150" spans="20:20">
      <c r="T10150" s="10"/>
    </row>
    <row r="10151" spans="20:20">
      <c r="T10151" s="10"/>
    </row>
    <row r="10152" spans="20:20">
      <c r="T10152" s="10"/>
    </row>
    <row r="10153" spans="20:20">
      <c r="T10153" s="10"/>
    </row>
    <row r="10154" spans="20:20">
      <c r="T10154" s="10"/>
    </row>
    <row r="10155" spans="20:20">
      <c r="T10155" s="10"/>
    </row>
    <row r="10156" spans="20:20">
      <c r="T10156" s="10"/>
    </row>
    <row r="10157" spans="20:20">
      <c r="T10157" s="10"/>
    </row>
    <row r="10158" spans="20:20">
      <c r="T10158" s="10"/>
    </row>
    <row r="10159" spans="20:20">
      <c r="T10159" s="10"/>
    </row>
    <row r="10160" spans="20:20">
      <c r="T10160" s="10"/>
    </row>
    <row r="10161" spans="20:20">
      <c r="T10161" s="10"/>
    </row>
    <row r="10162" spans="20:20">
      <c r="T10162" s="10"/>
    </row>
    <row r="10163" spans="20:20">
      <c r="T10163" s="10"/>
    </row>
    <row r="10164" spans="20:20">
      <c r="T10164" s="10"/>
    </row>
    <row r="10165" spans="20:20">
      <c r="T10165" s="10"/>
    </row>
    <row r="10166" spans="20:20">
      <c r="T10166" s="10"/>
    </row>
    <row r="10167" spans="20:20">
      <c r="T10167" s="10"/>
    </row>
    <row r="10168" spans="20:20">
      <c r="T10168" s="10"/>
    </row>
    <row r="10169" spans="20:20">
      <c r="T10169" s="10"/>
    </row>
    <row r="10170" spans="20:20">
      <c r="T10170" s="10"/>
    </row>
    <row r="10171" spans="20:20">
      <c r="T10171" s="10"/>
    </row>
    <row r="10172" spans="20:20">
      <c r="T10172" s="10"/>
    </row>
    <row r="10173" spans="20:20">
      <c r="T10173" s="10"/>
    </row>
    <row r="10174" spans="20:20">
      <c r="T10174" s="10"/>
    </row>
    <row r="10175" spans="20:20">
      <c r="T10175" s="10"/>
    </row>
    <row r="10176" spans="20:20">
      <c r="T10176" s="10"/>
    </row>
    <row r="10177" spans="20:20">
      <c r="T10177" s="10"/>
    </row>
    <row r="10178" spans="20:20">
      <c r="T10178" s="10"/>
    </row>
    <row r="10179" spans="20:20">
      <c r="T10179" s="10"/>
    </row>
    <row r="10180" spans="20:20">
      <c r="T10180" s="10"/>
    </row>
    <row r="10181" spans="20:20">
      <c r="T10181" s="10"/>
    </row>
    <row r="10182" spans="20:20">
      <c r="T10182" s="10"/>
    </row>
    <row r="10183" spans="20:20">
      <c r="T10183" s="10"/>
    </row>
    <row r="10184" spans="20:20">
      <c r="T10184" s="10"/>
    </row>
    <row r="10185" spans="20:20">
      <c r="T10185" s="10"/>
    </row>
    <row r="10186" spans="20:20">
      <c r="T10186" s="10"/>
    </row>
    <row r="10187" spans="20:20">
      <c r="T10187" s="10"/>
    </row>
    <row r="10188" spans="20:20">
      <c r="T10188" s="10"/>
    </row>
    <row r="10189" spans="20:20">
      <c r="T10189" s="10"/>
    </row>
    <row r="10190" spans="20:20">
      <c r="T10190" s="10"/>
    </row>
    <row r="10191" spans="20:20">
      <c r="T10191" s="10"/>
    </row>
    <row r="10192" spans="20:20">
      <c r="T10192" s="10"/>
    </row>
    <row r="10193" spans="20:20">
      <c r="T10193" s="10"/>
    </row>
    <row r="10194" spans="20:20">
      <c r="T10194" s="10"/>
    </row>
    <row r="10195" spans="20:20">
      <c r="T10195" s="10"/>
    </row>
    <row r="10196" spans="20:20">
      <c r="T10196" s="10"/>
    </row>
    <row r="10197" spans="20:20">
      <c r="T10197" s="10"/>
    </row>
    <row r="10198" spans="20:20">
      <c r="T10198" s="10"/>
    </row>
    <row r="10199" spans="20:20">
      <c r="T10199" s="10"/>
    </row>
    <row r="10200" spans="20:20">
      <c r="T10200" s="10"/>
    </row>
    <row r="10201" spans="20:20">
      <c r="T10201" s="10"/>
    </row>
    <row r="10202" spans="20:20">
      <c r="T10202" s="10"/>
    </row>
    <row r="10203" spans="20:20">
      <c r="T10203" s="10"/>
    </row>
    <row r="10204" spans="20:20">
      <c r="T10204" s="10"/>
    </row>
    <row r="10205" spans="20:20">
      <c r="T10205" s="10"/>
    </row>
    <row r="10206" spans="20:20">
      <c r="T10206" s="10"/>
    </row>
    <row r="10207" spans="20:20">
      <c r="T10207" s="10"/>
    </row>
    <row r="10208" spans="20:20">
      <c r="T10208" s="10"/>
    </row>
    <row r="10209" spans="20:20">
      <c r="T10209" s="10"/>
    </row>
    <row r="10210" spans="20:20">
      <c r="T10210" s="10"/>
    </row>
    <row r="10211" spans="20:20">
      <c r="T10211" s="10"/>
    </row>
    <row r="10212" spans="20:20">
      <c r="T10212" s="10"/>
    </row>
    <row r="10213" spans="20:20">
      <c r="T10213" s="10"/>
    </row>
    <row r="10214" spans="20:20">
      <c r="T10214" s="10"/>
    </row>
    <row r="10215" spans="20:20">
      <c r="T10215" s="10"/>
    </row>
    <row r="10216" spans="20:20">
      <c r="T10216" s="10"/>
    </row>
    <row r="10217" spans="20:20">
      <c r="T10217" s="10"/>
    </row>
    <row r="10218" spans="20:20">
      <c r="T10218" s="10"/>
    </row>
    <row r="10219" spans="20:20">
      <c r="T10219" s="10"/>
    </row>
    <row r="10220" spans="20:20">
      <c r="T10220" s="10"/>
    </row>
    <row r="10221" spans="20:20">
      <c r="T10221" s="10"/>
    </row>
    <row r="10222" spans="20:20">
      <c r="T10222" s="10"/>
    </row>
    <row r="10223" spans="20:20">
      <c r="T10223" s="10"/>
    </row>
    <row r="10224" spans="20:20">
      <c r="T10224" s="10"/>
    </row>
    <row r="10225" spans="20:20">
      <c r="T10225" s="10"/>
    </row>
    <row r="10226" spans="20:20">
      <c r="T10226" s="10"/>
    </row>
    <row r="10227" spans="20:20">
      <c r="T10227" s="10"/>
    </row>
    <row r="10228" spans="20:20">
      <c r="T10228" s="10"/>
    </row>
    <row r="10229" spans="20:20">
      <c r="T10229" s="10"/>
    </row>
    <row r="10230" spans="20:20">
      <c r="T10230" s="10"/>
    </row>
    <row r="10231" spans="20:20">
      <c r="T10231" s="10"/>
    </row>
    <row r="10232" spans="20:20">
      <c r="T10232" s="10"/>
    </row>
    <row r="10233" spans="20:20">
      <c r="T10233" s="10"/>
    </row>
    <row r="10234" spans="20:20">
      <c r="T10234" s="10"/>
    </row>
    <row r="10235" spans="20:20">
      <c r="T10235" s="10"/>
    </row>
    <row r="10236" spans="20:20">
      <c r="T10236" s="10"/>
    </row>
    <row r="10237" spans="20:20">
      <c r="T10237" s="10"/>
    </row>
    <row r="10238" spans="20:20">
      <c r="T10238" s="10"/>
    </row>
    <row r="10239" spans="20:20">
      <c r="T10239" s="10"/>
    </row>
    <row r="10240" spans="20:20">
      <c r="T10240" s="10"/>
    </row>
    <row r="10241" spans="20:20">
      <c r="T10241" s="10"/>
    </row>
    <row r="10242" spans="20:20">
      <c r="T10242" s="10"/>
    </row>
    <row r="10243" spans="20:20">
      <c r="T10243" s="10"/>
    </row>
    <row r="10244" spans="20:20">
      <c r="T10244" s="10"/>
    </row>
    <row r="10245" spans="20:20">
      <c r="T10245" s="10"/>
    </row>
    <row r="10246" spans="20:20">
      <c r="T10246" s="10"/>
    </row>
    <row r="10247" spans="20:20">
      <c r="T10247" s="10"/>
    </row>
    <row r="10248" spans="20:20">
      <c r="T10248" s="10"/>
    </row>
    <row r="10249" spans="20:20">
      <c r="T10249" s="10"/>
    </row>
    <row r="10250" spans="20:20">
      <c r="T10250" s="10"/>
    </row>
    <row r="10251" spans="20:20">
      <c r="T10251" s="10"/>
    </row>
    <row r="10252" spans="20:20">
      <c r="T10252" s="10"/>
    </row>
    <row r="10253" spans="20:20">
      <c r="T10253" s="10"/>
    </row>
    <row r="10254" spans="20:20">
      <c r="T10254" s="10"/>
    </row>
    <row r="10255" spans="20:20">
      <c r="T10255" s="10"/>
    </row>
    <row r="10256" spans="20:20">
      <c r="T10256" s="10"/>
    </row>
    <row r="10257" spans="20:20">
      <c r="T10257" s="10"/>
    </row>
    <row r="10258" spans="20:20">
      <c r="T10258" s="10"/>
    </row>
    <row r="10259" spans="20:20">
      <c r="T10259" s="10"/>
    </row>
    <row r="10260" spans="20:20">
      <c r="T10260" s="10"/>
    </row>
    <row r="10261" spans="20:20">
      <c r="T10261" s="10"/>
    </row>
    <row r="10262" spans="20:20">
      <c r="T10262" s="10"/>
    </row>
    <row r="10263" spans="20:20">
      <c r="T10263" s="10"/>
    </row>
    <row r="10264" spans="20:20">
      <c r="T10264" s="10"/>
    </row>
    <row r="10265" spans="20:20">
      <c r="T10265" s="10"/>
    </row>
    <row r="10266" spans="20:20">
      <c r="T10266" s="10"/>
    </row>
    <row r="10267" spans="20:20">
      <c r="T10267" s="10"/>
    </row>
    <row r="10268" spans="20:20">
      <c r="T10268" s="10"/>
    </row>
    <row r="10269" spans="20:20">
      <c r="T10269" s="10"/>
    </row>
    <row r="10270" spans="20:20">
      <c r="T10270" s="10"/>
    </row>
    <row r="10271" spans="20:20">
      <c r="T10271" s="10"/>
    </row>
    <row r="10272" spans="20:20">
      <c r="T10272" s="10"/>
    </row>
    <row r="10273" spans="20:20">
      <c r="T10273" s="10"/>
    </row>
    <row r="10274" spans="20:20">
      <c r="T10274" s="10"/>
    </row>
    <row r="10275" spans="20:20">
      <c r="T10275" s="10"/>
    </row>
    <row r="10276" spans="20:20">
      <c r="T10276" s="10"/>
    </row>
    <row r="10277" spans="20:20">
      <c r="T10277" s="10"/>
    </row>
    <row r="10278" spans="20:20">
      <c r="T10278" s="10"/>
    </row>
    <row r="10279" spans="20:20">
      <c r="T10279" s="10"/>
    </row>
    <row r="10280" spans="20:20">
      <c r="T10280" s="10"/>
    </row>
    <row r="10281" spans="20:20">
      <c r="T10281" s="10"/>
    </row>
    <row r="10282" spans="20:20">
      <c r="T10282" s="10"/>
    </row>
    <row r="10283" spans="20:20">
      <c r="T10283" s="10"/>
    </row>
    <row r="10284" spans="20:20">
      <c r="T10284" s="10"/>
    </row>
    <row r="10285" spans="20:20">
      <c r="T10285" s="10"/>
    </row>
    <row r="10286" spans="20:20">
      <c r="T10286" s="10"/>
    </row>
    <row r="10287" spans="20:20">
      <c r="T10287" s="10"/>
    </row>
    <row r="10288" spans="20:20">
      <c r="T10288" s="10"/>
    </row>
    <row r="10289" spans="20:20">
      <c r="T10289" s="10"/>
    </row>
    <row r="10290" spans="20:20">
      <c r="T10290" s="10"/>
    </row>
    <row r="10291" spans="20:20">
      <c r="T10291" s="10"/>
    </row>
    <row r="10292" spans="20:20">
      <c r="T10292" s="10"/>
    </row>
    <row r="10293" spans="20:20">
      <c r="T10293" s="10"/>
    </row>
    <row r="10294" spans="20:20">
      <c r="T10294" s="10"/>
    </row>
    <row r="10295" spans="20:20">
      <c r="T10295" s="10"/>
    </row>
    <row r="10296" spans="20:20">
      <c r="T10296" s="10"/>
    </row>
    <row r="10297" spans="20:20">
      <c r="T10297" s="10"/>
    </row>
    <row r="10298" spans="20:20">
      <c r="T10298" s="10"/>
    </row>
    <row r="10299" spans="20:20">
      <c r="T10299" s="10"/>
    </row>
    <row r="10300" spans="20:20">
      <c r="T10300" s="10"/>
    </row>
    <row r="10301" spans="20:20">
      <c r="T10301" s="10"/>
    </row>
    <row r="10302" spans="20:20">
      <c r="T10302" s="10"/>
    </row>
    <row r="10303" spans="20:20">
      <c r="T10303" s="10"/>
    </row>
    <row r="10304" spans="20:20">
      <c r="T10304" s="10"/>
    </row>
    <row r="10305" spans="20:20">
      <c r="T10305" s="10"/>
    </row>
    <row r="10306" spans="20:20">
      <c r="T10306" s="10"/>
    </row>
    <row r="10307" spans="20:20">
      <c r="T10307" s="10"/>
    </row>
    <row r="10308" spans="20:20">
      <c r="T10308" s="10"/>
    </row>
    <row r="10309" spans="20:20">
      <c r="T10309" s="10"/>
    </row>
    <row r="10310" spans="20:20">
      <c r="T10310" s="10"/>
    </row>
    <row r="10311" spans="20:20">
      <c r="T10311" s="10"/>
    </row>
    <row r="10312" spans="20:20">
      <c r="T10312" s="10"/>
    </row>
    <row r="10313" spans="20:20">
      <c r="T10313" s="10"/>
    </row>
    <row r="10314" spans="20:20">
      <c r="T10314" s="10"/>
    </row>
    <row r="10315" spans="20:20">
      <c r="T10315" s="10"/>
    </row>
    <row r="10316" spans="20:20">
      <c r="T10316" s="10"/>
    </row>
    <row r="10317" spans="20:20">
      <c r="T10317" s="10"/>
    </row>
    <row r="10318" spans="20:20">
      <c r="T10318" s="10"/>
    </row>
    <row r="10319" spans="20:20">
      <c r="T10319" s="10"/>
    </row>
    <row r="10320" spans="20:20">
      <c r="T10320" s="10"/>
    </row>
    <row r="10321" spans="20:20">
      <c r="T10321" s="10"/>
    </row>
    <row r="10322" spans="20:20">
      <c r="T10322" s="10"/>
    </row>
    <row r="10323" spans="20:20">
      <c r="T10323" s="10"/>
    </row>
    <row r="10324" spans="20:20">
      <c r="T10324" s="10"/>
    </row>
    <row r="10325" spans="20:20">
      <c r="T10325" s="10"/>
    </row>
    <row r="10326" spans="20:20">
      <c r="T10326" s="10"/>
    </row>
    <row r="10327" spans="20:20">
      <c r="T10327" s="10"/>
    </row>
    <row r="10328" spans="20:20">
      <c r="T10328" s="10"/>
    </row>
    <row r="10329" spans="20:20">
      <c r="T10329" s="10"/>
    </row>
    <row r="10330" spans="20:20">
      <c r="T10330" s="10"/>
    </row>
    <row r="10331" spans="20:20">
      <c r="T10331" s="10"/>
    </row>
    <row r="10332" spans="20:20">
      <c r="T10332" s="10"/>
    </row>
    <row r="10333" spans="20:20">
      <c r="T10333" s="10"/>
    </row>
    <row r="10334" spans="20:20">
      <c r="T10334" s="10"/>
    </row>
    <row r="10335" spans="20:20">
      <c r="T10335" s="10"/>
    </row>
    <row r="10336" spans="20:20">
      <c r="T10336" s="10"/>
    </row>
    <row r="10337" spans="20:20">
      <c r="T10337" s="10"/>
    </row>
    <row r="10338" spans="20:20">
      <c r="T10338" s="10"/>
    </row>
    <row r="10339" spans="20:20">
      <c r="T10339" s="10"/>
    </row>
    <row r="10340" spans="20:20">
      <c r="T10340" s="10"/>
    </row>
    <row r="10341" spans="20:20">
      <c r="T10341" s="10"/>
    </row>
    <row r="10342" spans="20:20">
      <c r="T10342" s="10"/>
    </row>
    <row r="10343" spans="20:20">
      <c r="T10343" s="10"/>
    </row>
    <row r="10344" spans="20:20">
      <c r="T10344" s="10"/>
    </row>
    <row r="10345" spans="20:20">
      <c r="T10345" s="10"/>
    </row>
    <row r="10346" spans="20:20">
      <c r="T10346" s="10"/>
    </row>
    <row r="10347" spans="20:20">
      <c r="T10347" s="10"/>
    </row>
    <row r="10348" spans="20:20">
      <c r="T10348" s="10"/>
    </row>
    <row r="10349" spans="20:20">
      <c r="T10349" s="10"/>
    </row>
    <row r="10350" spans="20:20">
      <c r="T10350" s="10"/>
    </row>
    <row r="10351" spans="20:20">
      <c r="T10351" s="10"/>
    </row>
    <row r="10352" spans="20:20">
      <c r="T10352" s="10"/>
    </row>
    <row r="10353" spans="20:20">
      <c r="T10353" s="10"/>
    </row>
    <row r="10354" spans="20:20">
      <c r="T10354" s="10"/>
    </row>
    <row r="10355" spans="20:20">
      <c r="T10355" s="10"/>
    </row>
    <row r="10356" spans="20:20">
      <c r="T10356" s="10"/>
    </row>
    <row r="10357" spans="20:20">
      <c r="T10357" s="10"/>
    </row>
    <row r="10358" spans="20:20">
      <c r="T10358" s="10"/>
    </row>
    <row r="10359" spans="20:20">
      <c r="T10359" s="10"/>
    </row>
    <row r="10360" spans="20:20">
      <c r="T10360" s="10"/>
    </row>
    <row r="10361" spans="20:20">
      <c r="T10361" s="10"/>
    </row>
    <row r="10362" spans="20:20">
      <c r="T10362" s="10"/>
    </row>
    <row r="10363" spans="20:20">
      <c r="T10363" s="10"/>
    </row>
    <row r="10364" spans="20:20">
      <c r="T10364" s="10"/>
    </row>
    <row r="10365" spans="20:20">
      <c r="T10365" s="10"/>
    </row>
    <row r="10366" spans="20:20">
      <c r="T10366" s="10"/>
    </row>
    <row r="10367" spans="20:20">
      <c r="T10367" s="10"/>
    </row>
    <row r="10368" spans="20:20">
      <c r="T10368" s="10"/>
    </row>
    <row r="10369" spans="20:20">
      <c r="T10369" s="10"/>
    </row>
    <row r="10370" spans="20:20">
      <c r="T10370" s="10"/>
    </row>
    <row r="10371" spans="20:20">
      <c r="T10371" s="10"/>
    </row>
    <row r="10372" spans="20:20">
      <c r="T10372" s="10"/>
    </row>
    <row r="10373" spans="20:20">
      <c r="T10373" s="10"/>
    </row>
    <row r="10374" spans="20:20">
      <c r="T10374" s="10"/>
    </row>
    <row r="10375" spans="20:20">
      <c r="T10375" s="10"/>
    </row>
    <row r="10376" spans="20:20">
      <c r="T10376" s="10"/>
    </row>
    <row r="10377" spans="20:20">
      <c r="T10377" s="10"/>
    </row>
    <row r="10378" spans="20:20">
      <c r="T10378" s="10"/>
    </row>
    <row r="10379" spans="20:20">
      <c r="T10379" s="10"/>
    </row>
    <row r="10380" spans="20:20">
      <c r="T10380" s="10"/>
    </row>
    <row r="10381" spans="20:20">
      <c r="T10381" s="10"/>
    </row>
    <row r="10382" spans="20:20">
      <c r="T10382" s="10"/>
    </row>
    <row r="10383" spans="20:20">
      <c r="T10383" s="10"/>
    </row>
    <row r="10384" spans="20:20">
      <c r="T10384" s="10"/>
    </row>
    <row r="10385" spans="20:20">
      <c r="T10385" s="10"/>
    </row>
    <row r="10386" spans="20:20">
      <c r="T10386" s="10"/>
    </row>
    <row r="10387" spans="20:20">
      <c r="T10387" s="10"/>
    </row>
    <row r="10388" spans="20:20">
      <c r="T10388" s="10"/>
    </row>
    <row r="10389" spans="20:20">
      <c r="T10389" s="10"/>
    </row>
    <row r="10390" spans="20:20">
      <c r="T10390" s="10"/>
    </row>
    <row r="10391" spans="20:20">
      <c r="T10391" s="10"/>
    </row>
    <row r="10392" spans="20:20">
      <c r="T10392" s="10"/>
    </row>
    <row r="10393" spans="20:20">
      <c r="T10393" s="10"/>
    </row>
    <row r="10394" spans="20:20">
      <c r="T10394" s="10"/>
    </row>
    <row r="10395" spans="20:20">
      <c r="T10395" s="10"/>
    </row>
    <row r="10396" spans="20:20">
      <c r="T10396" s="10"/>
    </row>
    <row r="10397" spans="20:20">
      <c r="T10397" s="10"/>
    </row>
    <row r="10398" spans="20:20">
      <c r="T10398" s="10"/>
    </row>
    <row r="10399" spans="20:20">
      <c r="T10399" s="10"/>
    </row>
    <row r="10400" spans="20:20">
      <c r="T10400" s="10"/>
    </row>
    <row r="10401" spans="20:20">
      <c r="T10401" s="10"/>
    </row>
    <row r="10402" spans="20:20">
      <c r="T10402" s="10"/>
    </row>
    <row r="10403" spans="20:20">
      <c r="T10403" s="10"/>
    </row>
    <row r="10404" spans="20:20">
      <c r="T10404" s="10"/>
    </row>
    <row r="10405" spans="20:20">
      <c r="T10405" s="10"/>
    </row>
    <row r="10406" spans="20:20">
      <c r="T10406" s="10"/>
    </row>
    <row r="10407" spans="20:20">
      <c r="T10407" s="10"/>
    </row>
    <row r="10408" spans="20:20">
      <c r="T10408" s="10"/>
    </row>
    <row r="10409" spans="20:20">
      <c r="T10409" s="10"/>
    </row>
    <row r="10410" spans="20:20">
      <c r="T10410" s="10"/>
    </row>
    <row r="10411" spans="20:20">
      <c r="T10411" s="10"/>
    </row>
    <row r="10412" spans="20:20">
      <c r="T10412" s="10"/>
    </row>
    <row r="10413" spans="20:20">
      <c r="T10413" s="10"/>
    </row>
    <row r="10414" spans="20:20">
      <c r="T10414" s="10"/>
    </row>
    <row r="10415" spans="20:20">
      <c r="T10415" s="10"/>
    </row>
    <row r="10416" spans="20:20">
      <c r="T10416" s="10"/>
    </row>
    <row r="10417" spans="20:20">
      <c r="T10417" s="10"/>
    </row>
    <row r="10418" spans="20:20">
      <c r="T10418" s="10"/>
    </row>
    <row r="10419" spans="20:20">
      <c r="T10419" s="10"/>
    </row>
    <row r="10420" spans="20:20">
      <c r="T10420" s="10"/>
    </row>
    <row r="10421" spans="20:20">
      <c r="T10421" s="10"/>
    </row>
    <row r="10422" spans="20:20">
      <c r="T10422" s="10"/>
    </row>
    <row r="10423" spans="20:20">
      <c r="T10423" s="10"/>
    </row>
    <row r="10424" spans="20:20">
      <c r="T10424" s="10"/>
    </row>
    <row r="10425" spans="20:20">
      <c r="T10425" s="10"/>
    </row>
    <row r="10426" spans="20:20">
      <c r="T10426" s="10"/>
    </row>
    <row r="10427" spans="20:20">
      <c r="T10427" s="10"/>
    </row>
    <row r="10428" spans="20:20">
      <c r="T10428" s="10"/>
    </row>
    <row r="10429" spans="20:20">
      <c r="T10429" s="10"/>
    </row>
    <row r="10430" spans="20:20">
      <c r="T10430" s="10"/>
    </row>
    <row r="10431" spans="20:20">
      <c r="T10431" s="10"/>
    </row>
    <row r="10432" spans="20:20">
      <c r="T10432" s="10"/>
    </row>
    <row r="10433" spans="20:20">
      <c r="T10433" s="10"/>
    </row>
    <row r="10434" spans="20:20">
      <c r="T10434" s="10"/>
    </row>
    <row r="10435" spans="20:20">
      <c r="T10435" s="10"/>
    </row>
    <row r="10436" spans="20:20">
      <c r="T10436" s="10"/>
    </row>
    <row r="10437" spans="20:20">
      <c r="T10437" s="10"/>
    </row>
    <row r="10438" spans="20:20">
      <c r="T10438" s="10"/>
    </row>
    <row r="10439" spans="20:20">
      <c r="T10439" s="10"/>
    </row>
    <row r="10440" spans="20:20">
      <c r="T10440" s="10"/>
    </row>
    <row r="10441" spans="20:20">
      <c r="T10441" s="10"/>
    </row>
    <row r="10442" spans="20:20">
      <c r="T10442" s="10"/>
    </row>
    <row r="10443" spans="20:20">
      <c r="T10443" s="10"/>
    </row>
    <row r="10444" spans="20:20">
      <c r="T10444" s="10"/>
    </row>
    <row r="10445" spans="20:20">
      <c r="T10445" s="10"/>
    </row>
    <row r="10446" spans="20:20">
      <c r="T10446" s="10"/>
    </row>
    <row r="10447" spans="20:20">
      <c r="T10447" s="10"/>
    </row>
    <row r="10448" spans="20:20">
      <c r="T10448" s="10"/>
    </row>
    <row r="10449" spans="20:20">
      <c r="T10449" s="10"/>
    </row>
    <row r="10450" spans="20:20">
      <c r="T10450" s="10"/>
    </row>
    <row r="10451" spans="20:20">
      <c r="T10451" s="10"/>
    </row>
    <row r="10452" spans="20:20">
      <c r="T10452" s="10"/>
    </row>
    <row r="10453" spans="20:20">
      <c r="T10453" s="10"/>
    </row>
    <row r="10454" spans="20:20">
      <c r="T10454" s="10"/>
    </row>
    <row r="10455" spans="20:20">
      <c r="T10455" s="10"/>
    </row>
    <row r="10456" spans="20:20">
      <c r="T10456" s="10"/>
    </row>
    <row r="10457" spans="20:20">
      <c r="T10457" s="10"/>
    </row>
    <row r="10458" spans="20:20">
      <c r="T10458" s="10"/>
    </row>
    <row r="10459" spans="20:20">
      <c r="T10459" s="10"/>
    </row>
    <row r="10460" spans="20:20">
      <c r="T10460" s="10"/>
    </row>
    <row r="10461" spans="20:20">
      <c r="T10461" s="10"/>
    </row>
    <row r="10462" spans="20:20">
      <c r="T10462" s="10"/>
    </row>
    <row r="10463" spans="20:20">
      <c r="T10463" s="10"/>
    </row>
    <row r="10464" spans="20:20">
      <c r="T10464" s="10"/>
    </row>
    <row r="10465" spans="20:20">
      <c r="T10465" s="10"/>
    </row>
    <row r="10466" spans="20:20">
      <c r="T10466" s="10"/>
    </row>
    <row r="10467" spans="20:20">
      <c r="T10467" s="10"/>
    </row>
    <row r="10468" spans="20:20">
      <c r="T10468" s="10"/>
    </row>
    <row r="10469" spans="20:20">
      <c r="T10469" s="10"/>
    </row>
    <row r="10470" spans="20:20">
      <c r="T10470" s="10"/>
    </row>
    <row r="10471" spans="20:20">
      <c r="T10471" s="10"/>
    </row>
    <row r="10472" spans="20:20">
      <c r="T10472" s="10"/>
    </row>
    <row r="10473" spans="20:20">
      <c r="T10473" s="10"/>
    </row>
    <row r="10474" spans="20:20">
      <c r="T10474" s="10"/>
    </row>
    <row r="10475" spans="20:20">
      <c r="T10475" s="10"/>
    </row>
    <row r="10476" spans="20:20">
      <c r="T10476" s="10"/>
    </row>
    <row r="10477" spans="20:20">
      <c r="T10477" s="10"/>
    </row>
    <row r="10478" spans="20:20">
      <c r="T10478" s="10"/>
    </row>
    <row r="10479" spans="20:20">
      <c r="T10479" s="10"/>
    </row>
    <row r="10480" spans="20:20">
      <c r="T10480" s="10"/>
    </row>
    <row r="10481" spans="20:20">
      <c r="T10481" s="10"/>
    </row>
    <row r="10482" spans="20:20">
      <c r="T10482" s="10"/>
    </row>
    <row r="10483" spans="20:20">
      <c r="T10483" s="10"/>
    </row>
    <row r="10484" spans="20:20">
      <c r="T10484" s="10"/>
    </row>
    <row r="10485" spans="20:20">
      <c r="T10485" s="10"/>
    </row>
    <row r="10486" spans="20:20">
      <c r="T10486" s="10"/>
    </row>
    <row r="10487" spans="20:20">
      <c r="T10487" s="10"/>
    </row>
    <row r="10488" spans="20:20">
      <c r="T10488" s="10"/>
    </row>
    <row r="10489" spans="20:20">
      <c r="T10489" s="10"/>
    </row>
    <row r="10490" spans="20:20">
      <c r="T10490" s="10"/>
    </row>
    <row r="10491" spans="20:20">
      <c r="T10491" s="10"/>
    </row>
    <row r="10492" spans="20:20">
      <c r="T10492" s="10"/>
    </row>
    <row r="10493" spans="20:20">
      <c r="T10493" s="10"/>
    </row>
    <row r="10494" spans="20:20">
      <c r="T10494" s="10"/>
    </row>
    <row r="10495" spans="20:20">
      <c r="T10495" s="10"/>
    </row>
    <row r="10496" spans="20:20">
      <c r="T10496" s="10"/>
    </row>
    <row r="10497" spans="20:20">
      <c r="T10497" s="10"/>
    </row>
    <row r="10498" spans="20:20">
      <c r="T10498" s="10"/>
    </row>
    <row r="10499" spans="20:20">
      <c r="T10499" s="10"/>
    </row>
    <row r="10500" spans="20:20">
      <c r="T10500" s="10"/>
    </row>
    <row r="10501" spans="20:20">
      <c r="T10501" s="10"/>
    </row>
    <row r="10502" spans="20:20">
      <c r="T10502" s="10"/>
    </row>
    <row r="10503" spans="20:20">
      <c r="T10503" s="10"/>
    </row>
    <row r="10504" spans="20:20">
      <c r="T10504" s="10"/>
    </row>
    <row r="10505" spans="20:20">
      <c r="T10505" s="10"/>
    </row>
    <row r="10506" spans="20:20">
      <c r="T10506" s="10"/>
    </row>
    <row r="10507" spans="20:20">
      <c r="T10507" s="10"/>
    </row>
    <row r="10508" spans="20:20">
      <c r="T10508" s="10"/>
    </row>
    <row r="10509" spans="20:20">
      <c r="T10509" s="10"/>
    </row>
    <row r="10510" spans="20:20">
      <c r="T10510" s="10"/>
    </row>
    <row r="10511" spans="20:20">
      <c r="T10511" s="10"/>
    </row>
    <row r="10512" spans="20:20">
      <c r="T10512" s="10"/>
    </row>
    <row r="10513" spans="20:20">
      <c r="T10513" s="10"/>
    </row>
    <row r="10514" spans="20:20">
      <c r="T10514" s="10"/>
    </row>
    <row r="10515" spans="20:20">
      <c r="T10515" s="10"/>
    </row>
    <row r="10516" spans="20:20">
      <c r="T10516" s="10"/>
    </row>
    <row r="10517" spans="20:20">
      <c r="T10517" s="10"/>
    </row>
    <row r="10518" spans="20:20">
      <c r="T10518" s="10"/>
    </row>
    <row r="10519" spans="20:20">
      <c r="T10519" s="10"/>
    </row>
    <row r="10520" spans="20:20">
      <c r="T10520" s="10"/>
    </row>
    <row r="10521" spans="20:20">
      <c r="T10521" s="10"/>
    </row>
    <row r="10522" spans="20:20">
      <c r="T10522" s="10"/>
    </row>
    <row r="10523" spans="20:20">
      <c r="T10523" s="10"/>
    </row>
    <row r="10524" spans="20:20">
      <c r="T10524" s="10"/>
    </row>
    <row r="10525" spans="20:20">
      <c r="T10525" s="10"/>
    </row>
    <row r="10526" spans="20:20">
      <c r="T10526" s="10"/>
    </row>
    <row r="10527" spans="20:20">
      <c r="T10527" s="10"/>
    </row>
    <row r="10528" spans="20:20">
      <c r="T10528" s="10"/>
    </row>
    <row r="10529" spans="20:20">
      <c r="T10529" s="10"/>
    </row>
    <row r="10530" spans="20:20">
      <c r="T10530" s="10"/>
    </row>
    <row r="10531" spans="20:20">
      <c r="T10531" s="10"/>
    </row>
    <row r="10532" spans="20:20">
      <c r="T10532" s="10"/>
    </row>
    <row r="10533" spans="20:20">
      <c r="T10533" s="10"/>
    </row>
    <row r="10534" spans="20:20">
      <c r="T10534" s="10"/>
    </row>
    <row r="10535" spans="20:20">
      <c r="T10535" s="10"/>
    </row>
    <row r="10536" spans="20:20">
      <c r="T10536" s="10"/>
    </row>
    <row r="10537" spans="20:20">
      <c r="T10537" s="10"/>
    </row>
    <row r="10538" spans="20:20">
      <c r="T10538" s="10"/>
    </row>
    <row r="10539" spans="20:20">
      <c r="T10539" s="10"/>
    </row>
    <row r="10540" spans="20:20">
      <c r="T10540" s="10"/>
    </row>
    <row r="10541" spans="20:20">
      <c r="T10541" s="10"/>
    </row>
    <row r="10542" spans="20:20">
      <c r="T10542" s="10"/>
    </row>
    <row r="10543" spans="20:20">
      <c r="T10543" s="10"/>
    </row>
    <row r="10544" spans="20:20">
      <c r="T10544" s="10"/>
    </row>
    <row r="10545" spans="20:20">
      <c r="T10545" s="10"/>
    </row>
    <row r="10546" spans="20:20">
      <c r="T10546" s="10"/>
    </row>
    <row r="10547" spans="20:20">
      <c r="T10547" s="10"/>
    </row>
    <row r="10548" spans="20:20">
      <c r="T10548" s="10"/>
    </row>
    <row r="10549" spans="20:20">
      <c r="T10549" s="10"/>
    </row>
    <row r="10550" spans="20:20">
      <c r="T10550" s="10"/>
    </row>
    <row r="10551" spans="20:20">
      <c r="T10551" s="10"/>
    </row>
    <row r="10552" spans="20:20">
      <c r="T10552" s="10"/>
    </row>
    <row r="10553" spans="20:20">
      <c r="T10553" s="10"/>
    </row>
    <row r="10554" spans="20:20">
      <c r="T10554" s="10"/>
    </row>
    <row r="10555" spans="20:20">
      <c r="T10555" s="10"/>
    </row>
    <row r="10556" spans="20:20">
      <c r="T10556" s="10"/>
    </row>
    <row r="10557" spans="20:20">
      <c r="T10557" s="10"/>
    </row>
    <row r="10558" spans="20:20">
      <c r="T10558" s="10"/>
    </row>
    <row r="10559" spans="20:20">
      <c r="T10559" s="10"/>
    </row>
    <row r="10560" spans="20:20">
      <c r="T10560" s="10"/>
    </row>
    <row r="10561" spans="20:20">
      <c r="T10561" s="10"/>
    </row>
    <row r="10562" spans="20:20">
      <c r="T10562" s="10"/>
    </row>
    <row r="10563" spans="20:20">
      <c r="T10563" s="10"/>
    </row>
    <row r="10564" spans="20:20">
      <c r="T10564" s="10"/>
    </row>
    <row r="10565" spans="20:20">
      <c r="T10565" s="10"/>
    </row>
    <row r="10566" spans="20:20">
      <c r="T10566" s="10"/>
    </row>
    <row r="10567" spans="20:20">
      <c r="T10567" s="10"/>
    </row>
    <row r="10568" spans="20:20">
      <c r="T10568" s="10"/>
    </row>
    <row r="10569" spans="20:20">
      <c r="T10569" s="10"/>
    </row>
    <row r="10570" spans="20:20">
      <c r="T10570" s="10"/>
    </row>
    <row r="10571" spans="20:20">
      <c r="T10571" s="10"/>
    </row>
    <row r="10572" spans="20:20">
      <c r="T10572" s="10"/>
    </row>
    <row r="10573" spans="20:20">
      <c r="T10573" s="10"/>
    </row>
    <row r="10574" spans="20:20">
      <c r="T10574" s="10"/>
    </row>
    <row r="10575" spans="20:20">
      <c r="T10575" s="10"/>
    </row>
    <row r="10576" spans="20:20">
      <c r="T10576" s="10"/>
    </row>
    <row r="10577" spans="20:20">
      <c r="T10577" s="10"/>
    </row>
    <row r="10578" spans="20:20">
      <c r="T10578" s="10"/>
    </row>
    <row r="10579" spans="20:20">
      <c r="T10579" s="10"/>
    </row>
    <row r="10580" spans="20:20">
      <c r="T10580" s="10"/>
    </row>
    <row r="10581" spans="20:20">
      <c r="T10581" s="10"/>
    </row>
    <row r="10582" spans="20:20">
      <c r="T10582" s="10"/>
    </row>
    <row r="10583" spans="20:20">
      <c r="T10583" s="10"/>
    </row>
    <row r="10584" spans="20:20">
      <c r="T10584" s="10"/>
    </row>
    <row r="10585" spans="20:20">
      <c r="T10585" s="10"/>
    </row>
    <row r="10586" spans="20:20">
      <c r="T10586" s="10"/>
    </row>
    <row r="10587" spans="20:20">
      <c r="T10587" s="10"/>
    </row>
    <row r="10588" spans="20:20">
      <c r="T10588" s="10"/>
    </row>
    <row r="10589" spans="20:20">
      <c r="T10589" s="10"/>
    </row>
    <row r="10590" spans="20:20">
      <c r="T10590" s="10"/>
    </row>
    <row r="10591" spans="20:20">
      <c r="T10591" s="10"/>
    </row>
    <row r="10592" spans="20:20">
      <c r="T10592" s="10"/>
    </row>
    <row r="10593" spans="20:20">
      <c r="T10593" s="10"/>
    </row>
    <row r="10594" spans="20:20">
      <c r="T10594" s="10"/>
    </row>
    <row r="10595" spans="20:20">
      <c r="T10595" s="10"/>
    </row>
    <row r="10596" spans="20:20">
      <c r="T10596" s="10"/>
    </row>
    <row r="10597" spans="20:20">
      <c r="T10597" s="10"/>
    </row>
    <row r="10598" spans="20:20">
      <c r="T10598" s="10"/>
    </row>
    <row r="10599" spans="20:20">
      <c r="T10599" s="10"/>
    </row>
    <row r="10600" spans="20:20">
      <c r="T10600" s="10"/>
    </row>
    <row r="10601" spans="20:20">
      <c r="T10601" s="10"/>
    </row>
    <row r="10602" spans="20:20">
      <c r="T10602" s="10"/>
    </row>
    <row r="10603" spans="20:20">
      <c r="T10603" s="10"/>
    </row>
    <row r="10604" spans="20:20">
      <c r="T10604" s="10"/>
    </row>
    <row r="10605" spans="20:20">
      <c r="T10605" s="10"/>
    </row>
    <row r="10606" spans="20:20">
      <c r="T10606" s="10"/>
    </row>
    <row r="10607" spans="20:20">
      <c r="T10607" s="10"/>
    </row>
    <row r="10608" spans="20:20">
      <c r="T10608" s="10"/>
    </row>
    <row r="10609" spans="20:20">
      <c r="T10609" s="10"/>
    </row>
    <row r="10610" spans="20:20">
      <c r="T10610" s="10"/>
    </row>
    <row r="10611" spans="20:20">
      <c r="T10611" s="10"/>
    </row>
    <row r="10612" spans="20:20">
      <c r="T10612" s="10"/>
    </row>
    <row r="10613" spans="20:20">
      <c r="T10613" s="10"/>
    </row>
    <row r="10614" spans="20:20">
      <c r="T10614" s="10"/>
    </row>
    <row r="10615" spans="20:20">
      <c r="T10615" s="10"/>
    </row>
    <row r="10616" spans="20:20">
      <c r="T10616" s="10"/>
    </row>
    <row r="10617" spans="20:20">
      <c r="T10617" s="10"/>
    </row>
    <row r="10618" spans="20:20">
      <c r="T10618" s="10"/>
    </row>
    <row r="10619" spans="20:20">
      <c r="T10619" s="10"/>
    </row>
    <row r="10620" spans="20:20">
      <c r="T10620" s="10"/>
    </row>
    <row r="10621" spans="20:20">
      <c r="T10621" s="10"/>
    </row>
    <row r="10622" spans="20:20">
      <c r="T10622" s="10"/>
    </row>
    <row r="10623" spans="20:20">
      <c r="T10623" s="10"/>
    </row>
    <row r="10624" spans="20:20">
      <c r="T10624" s="10"/>
    </row>
    <row r="10625" spans="20:20">
      <c r="T10625" s="10"/>
    </row>
    <row r="10626" spans="20:20">
      <c r="T10626" s="10"/>
    </row>
    <row r="10627" spans="20:20">
      <c r="T10627" s="10"/>
    </row>
    <row r="10628" spans="20:20">
      <c r="T10628" s="10"/>
    </row>
    <row r="10629" spans="20:20">
      <c r="T10629" s="10"/>
    </row>
    <row r="10630" spans="20:20">
      <c r="T10630" s="10"/>
    </row>
    <row r="10631" spans="20:20">
      <c r="T10631" s="10"/>
    </row>
    <row r="10632" spans="20:20">
      <c r="T10632" s="10"/>
    </row>
    <row r="10633" spans="20:20">
      <c r="T10633" s="10"/>
    </row>
    <row r="10634" spans="20:20">
      <c r="T10634" s="10"/>
    </row>
    <row r="10635" spans="20:20">
      <c r="T10635" s="10"/>
    </row>
    <row r="10636" spans="20:20">
      <c r="T10636" s="10"/>
    </row>
    <row r="10637" spans="20:20">
      <c r="T10637" s="10"/>
    </row>
    <row r="10638" spans="20:20">
      <c r="T10638" s="10"/>
    </row>
    <row r="10639" spans="20:20">
      <c r="T10639" s="10"/>
    </row>
    <row r="10640" spans="20:20">
      <c r="T10640" s="10"/>
    </row>
    <row r="10641" spans="20:20">
      <c r="T10641" s="10"/>
    </row>
    <row r="10642" spans="20:20">
      <c r="T10642" s="10"/>
    </row>
    <row r="10643" spans="20:20">
      <c r="T10643" s="10"/>
    </row>
    <row r="10644" spans="20:20">
      <c r="T10644" s="10"/>
    </row>
    <row r="10645" spans="20:20">
      <c r="T10645" s="10"/>
    </row>
    <row r="10646" spans="20:20">
      <c r="T10646" s="10"/>
    </row>
    <row r="10647" spans="20:20">
      <c r="T10647" s="10"/>
    </row>
    <row r="10648" spans="20:20">
      <c r="T10648" s="10"/>
    </row>
    <row r="10649" spans="20:20">
      <c r="T10649" s="10"/>
    </row>
    <row r="10650" spans="20:20">
      <c r="T10650" s="10"/>
    </row>
    <row r="10651" spans="20:20">
      <c r="T10651" s="10"/>
    </row>
    <row r="10652" spans="20:20">
      <c r="T10652" s="10"/>
    </row>
    <row r="10653" spans="20:20">
      <c r="T10653" s="10"/>
    </row>
    <row r="10654" spans="20:20">
      <c r="T10654" s="10"/>
    </row>
    <row r="10655" spans="20:20">
      <c r="T10655" s="10"/>
    </row>
    <row r="10656" spans="20:20">
      <c r="T10656" s="10"/>
    </row>
    <row r="10657" spans="20:20">
      <c r="T10657" s="10"/>
    </row>
    <row r="10658" spans="20:20">
      <c r="T10658" s="10"/>
    </row>
    <row r="10659" spans="20:20">
      <c r="T10659" s="10"/>
    </row>
    <row r="10660" spans="20:20">
      <c r="T10660" s="10"/>
    </row>
    <row r="10661" spans="20:20">
      <c r="T10661" s="10"/>
    </row>
    <row r="10662" spans="20:20">
      <c r="T10662" s="10"/>
    </row>
    <row r="10663" spans="20:20">
      <c r="T10663" s="10"/>
    </row>
    <row r="10664" spans="20:20">
      <c r="T10664" s="10"/>
    </row>
    <row r="10665" spans="20:20">
      <c r="T10665" s="10"/>
    </row>
    <row r="10666" spans="20:20">
      <c r="T10666" s="10"/>
    </row>
    <row r="10667" spans="20:20">
      <c r="T10667" s="10"/>
    </row>
    <row r="10668" spans="20:20">
      <c r="T10668" s="10"/>
    </row>
    <row r="10669" spans="20:20">
      <c r="T10669" s="10"/>
    </row>
    <row r="10670" spans="20:20">
      <c r="T10670" s="10"/>
    </row>
    <row r="10671" spans="20:20">
      <c r="T10671" s="10"/>
    </row>
    <row r="10672" spans="20:20">
      <c r="T10672" s="10"/>
    </row>
    <row r="10673" spans="20:20">
      <c r="T10673" s="10"/>
    </row>
    <row r="10674" spans="20:20">
      <c r="T10674" s="10"/>
    </row>
    <row r="10675" spans="20:20">
      <c r="T10675" s="10"/>
    </row>
    <row r="10676" spans="20:20">
      <c r="T10676" s="10"/>
    </row>
    <row r="10677" spans="20:20">
      <c r="T10677" s="10"/>
    </row>
    <row r="10678" spans="20:20">
      <c r="T10678" s="10"/>
    </row>
    <row r="10679" spans="20:20">
      <c r="T10679" s="10"/>
    </row>
    <row r="10680" spans="20:20">
      <c r="T10680" s="10"/>
    </row>
    <row r="10681" spans="20:20">
      <c r="T10681" s="10"/>
    </row>
    <row r="10682" spans="20:20">
      <c r="T10682" s="10"/>
    </row>
    <row r="10683" spans="20:20">
      <c r="T10683" s="10"/>
    </row>
    <row r="10684" spans="20:20">
      <c r="T10684" s="10"/>
    </row>
    <row r="10685" spans="20:20">
      <c r="T10685" s="10"/>
    </row>
    <row r="10686" spans="20:20">
      <c r="T10686" s="10"/>
    </row>
    <row r="10687" spans="20:20">
      <c r="T10687" s="10"/>
    </row>
    <row r="10688" spans="20:20">
      <c r="T10688" s="10"/>
    </row>
    <row r="10689" spans="20:20">
      <c r="T10689" s="10"/>
    </row>
    <row r="10690" spans="20:20">
      <c r="T10690" s="10"/>
    </row>
    <row r="10691" spans="20:20">
      <c r="T10691" s="10"/>
    </row>
    <row r="10692" spans="20:20">
      <c r="T10692" s="10"/>
    </row>
    <row r="10693" spans="20:20">
      <c r="T10693" s="10"/>
    </row>
    <row r="10694" spans="20:20">
      <c r="T10694" s="10"/>
    </row>
    <row r="10695" spans="20:20">
      <c r="T10695" s="10"/>
    </row>
    <row r="10696" spans="20:20">
      <c r="T10696" s="10"/>
    </row>
    <row r="10697" spans="20:20">
      <c r="T10697" s="10"/>
    </row>
    <row r="10698" spans="20:20">
      <c r="T10698" s="10"/>
    </row>
    <row r="10699" spans="20:20">
      <c r="T10699" s="10"/>
    </row>
    <row r="10700" spans="20:20">
      <c r="T10700" s="10"/>
    </row>
    <row r="10701" spans="20:20">
      <c r="T10701" s="10"/>
    </row>
    <row r="10702" spans="20:20">
      <c r="T10702" s="10"/>
    </row>
    <row r="10703" spans="20:20">
      <c r="T10703" s="10"/>
    </row>
    <row r="10704" spans="20:20">
      <c r="T10704" s="10"/>
    </row>
    <row r="10705" spans="20:20">
      <c r="T10705" s="10"/>
    </row>
    <row r="10706" spans="20:20">
      <c r="T10706" s="10"/>
    </row>
    <row r="10707" spans="20:20">
      <c r="T10707" s="10"/>
    </row>
    <row r="10708" spans="20:20">
      <c r="T10708" s="10"/>
    </row>
    <row r="10709" spans="20:20">
      <c r="T10709" s="10"/>
    </row>
    <row r="10710" spans="20:20">
      <c r="T10710" s="10"/>
    </row>
    <row r="10711" spans="20:20">
      <c r="T10711" s="10"/>
    </row>
    <row r="10712" spans="20:20">
      <c r="T10712" s="10"/>
    </row>
    <row r="10713" spans="20:20">
      <c r="T10713" s="10"/>
    </row>
    <row r="10714" spans="20:20">
      <c r="T10714" s="10"/>
    </row>
    <row r="10715" spans="20:20">
      <c r="T10715" s="10"/>
    </row>
    <row r="10716" spans="20:20">
      <c r="T10716" s="10"/>
    </row>
    <row r="10717" spans="20:20">
      <c r="T10717" s="10"/>
    </row>
    <row r="10718" spans="20:20">
      <c r="T10718" s="10"/>
    </row>
    <row r="10719" spans="20:20">
      <c r="T10719" s="10"/>
    </row>
    <row r="10720" spans="20:20">
      <c r="T10720" s="10"/>
    </row>
    <row r="10721" spans="20:20">
      <c r="T10721" s="10"/>
    </row>
    <row r="10722" spans="20:20">
      <c r="T10722" s="10"/>
    </row>
    <row r="10723" spans="20:20">
      <c r="T10723" s="10"/>
    </row>
    <row r="10724" spans="20:20">
      <c r="T10724" s="10"/>
    </row>
    <row r="10725" spans="20:20">
      <c r="T10725" s="10"/>
    </row>
    <row r="10726" spans="20:20">
      <c r="T10726" s="10"/>
    </row>
    <row r="10727" spans="20:20">
      <c r="T10727" s="10"/>
    </row>
    <row r="10728" spans="20:20">
      <c r="T10728" s="10"/>
    </row>
    <row r="10729" spans="20:20">
      <c r="T10729" s="10"/>
    </row>
    <row r="10730" spans="20:20">
      <c r="T10730" s="10"/>
    </row>
    <row r="10731" spans="20:20">
      <c r="T10731" s="10"/>
    </row>
    <row r="10732" spans="20:20">
      <c r="T10732" s="10"/>
    </row>
    <row r="10733" spans="20:20">
      <c r="T10733" s="10"/>
    </row>
    <row r="10734" spans="20:20">
      <c r="T10734" s="10"/>
    </row>
    <row r="10735" spans="20:20">
      <c r="T10735" s="10"/>
    </row>
    <row r="10736" spans="20:20">
      <c r="T10736" s="10"/>
    </row>
    <row r="10737" spans="20:20">
      <c r="T10737" s="10"/>
    </row>
    <row r="10738" spans="20:20">
      <c r="T10738" s="10"/>
    </row>
    <row r="10739" spans="20:20">
      <c r="T10739" s="10"/>
    </row>
    <row r="10740" spans="20:20">
      <c r="T10740" s="10"/>
    </row>
    <row r="10741" spans="20:20">
      <c r="T10741" s="10"/>
    </row>
    <row r="10742" spans="20:20">
      <c r="T10742" s="10"/>
    </row>
    <row r="10743" spans="20:20">
      <c r="T10743" s="10"/>
    </row>
    <row r="10744" spans="20:20">
      <c r="T10744" s="10"/>
    </row>
    <row r="10745" spans="20:20">
      <c r="T10745" s="10"/>
    </row>
    <row r="10746" spans="20:20">
      <c r="T10746" s="10"/>
    </row>
    <row r="10747" spans="20:20">
      <c r="T10747" s="10"/>
    </row>
    <row r="10748" spans="20:20">
      <c r="T10748" s="10"/>
    </row>
    <row r="10749" spans="20:20">
      <c r="T10749" s="10"/>
    </row>
    <row r="10750" spans="20:20">
      <c r="T10750" s="10"/>
    </row>
    <row r="10751" spans="20:20">
      <c r="T10751" s="10"/>
    </row>
    <row r="10752" spans="20:20">
      <c r="T10752" s="10"/>
    </row>
    <row r="10753" spans="20:20">
      <c r="T10753" s="10"/>
    </row>
    <row r="10754" spans="20:20">
      <c r="T10754" s="10"/>
    </row>
    <row r="10755" spans="20:20">
      <c r="T10755" s="10"/>
    </row>
    <row r="10756" spans="20:20">
      <c r="T10756" s="10"/>
    </row>
    <row r="10757" spans="20:20">
      <c r="T10757" s="10"/>
    </row>
    <row r="10758" spans="20:20">
      <c r="T10758" s="10"/>
    </row>
    <row r="10759" spans="20:20">
      <c r="T10759" s="10"/>
    </row>
    <row r="10760" spans="20:20">
      <c r="T10760" s="10"/>
    </row>
    <row r="10761" spans="20:20">
      <c r="T10761" s="10"/>
    </row>
    <row r="10762" spans="20:20">
      <c r="T10762" s="10"/>
    </row>
    <row r="10763" spans="20:20">
      <c r="T10763" s="10"/>
    </row>
    <row r="10764" spans="20:20">
      <c r="T10764" s="10"/>
    </row>
    <row r="10765" spans="20:20">
      <c r="T10765" s="10"/>
    </row>
    <row r="10766" spans="20:20">
      <c r="T10766" s="10"/>
    </row>
    <row r="10767" spans="20:20">
      <c r="T10767" s="10"/>
    </row>
    <row r="10768" spans="20:20">
      <c r="T10768" s="10"/>
    </row>
    <row r="10769" spans="20:20">
      <c r="T10769" s="10"/>
    </row>
    <row r="10770" spans="20:20">
      <c r="T10770" s="10"/>
    </row>
    <row r="10771" spans="20:20">
      <c r="T10771" s="10"/>
    </row>
    <row r="10772" spans="20:20">
      <c r="T10772" s="10"/>
    </row>
    <row r="10773" spans="20:20">
      <c r="T10773" s="10"/>
    </row>
    <row r="10774" spans="20:20">
      <c r="T10774" s="10"/>
    </row>
    <row r="10775" spans="20:20">
      <c r="T10775" s="10"/>
    </row>
    <row r="10776" spans="20:20">
      <c r="T10776" s="10"/>
    </row>
    <row r="10777" spans="20:20">
      <c r="T10777" s="10"/>
    </row>
    <row r="10778" spans="20:20">
      <c r="T10778" s="10"/>
    </row>
    <row r="10779" spans="20:20">
      <c r="T10779" s="10"/>
    </row>
    <row r="10780" spans="20:20">
      <c r="T10780" s="10"/>
    </row>
    <row r="10781" spans="20:20">
      <c r="T10781" s="10"/>
    </row>
    <row r="10782" spans="20:20">
      <c r="T10782" s="10"/>
    </row>
    <row r="10783" spans="20:20">
      <c r="T10783" s="10"/>
    </row>
    <row r="10784" spans="20:20">
      <c r="T10784" s="10"/>
    </row>
    <row r="10785" spans="20:20">
      <c r="T10785" s="10"/>
    </row>
    <row r="10786" spans="20:20">
      <c r="T10786" s="10"/>
    </row>
    <row r="10787" spans="20:20">
      <c r="T10787" s="10"/>
    </row>
    <row r="10788" spans="20:20">
      <c r="T10788" s="10"/>
    </row>
    <row r="10789" spans="20:20">
      <c r="T10789" s="10"/>
    </row>
    <row r="10790" spans="20:20">
      <c r="T10790" s="10"/>
    </row>
    <row r="10791" spans="20:20">
      <c r="T10791" s="10"/>
    </row>
    <row r="10792" spans="20:20">
      <c r="T10792" s="10"/>
    </row>
    <row r="10793" spans="20:20">
      <c r="T10793" s="10"/>
    </row>
    <row r="10794" spans="20:20">
      <c r="T10794" s="10"/>
    </row>
    <row r="10795" spans="20:20">
      <c r="T10795" s="10"/>
    </row>
    <row r="10796" spans="20:20">
      <c r="T10796" s="10"/>
    </row>
    <row r="10797" spans="20:20">
      <c r="T10797" s="10"/>
    </row>
    <row r="10798" spans="20:20">
      <c r="T10798" s="10"/>
    </row>
    <row r="10799" spans="20:20">
      <c r="T10799" s="10"/>
    </row>
    <row r="10800" spans="20:20">
      <c r="T10800" s="10"/>
    </row>
    <row r="10801" spans="20:20">
      <c r="T10801" s="10"/>
    </row>
    <row r="10802" spans="20:20">
      <c r="T10802" s="10"/>
    </row>
    <row r="10803" spans="20:20">
      <c r="T10803" s="10"/>
    </row>
    <row r="10804" spans="20:20">
      <c r="T10804" s="10"/>
    </row>
    <row r="10805" spans="20:20">
      <c r="T10805" s="10"/>
    </row>
    <row r="10806" spans="20:20">
      <c r="T10806" s="10"/>
    </row>
    <row r="10807" spans="20:20">
      <c r="T10807" s="10"/>
    </row>
    <row r="10808" spans="20:20">
      <c r="T10808" s="10"/>
    </row>
    <row r="10809" spans="20:20">
      <c r="T10809" s="10"/>
    </row>
    <row r="10810" spans="20:20">
      <c r="T10810" s="10"/>
    </row>
    <row r="10811" spans="20:20">
      <c r="T10811" s="10"/>
    </row>
    <row r="10812" spans="20:20">
      <c r="T10812" s="10"/>
    </row>
    <row r="10813" spans="20:20">
      <c r="T10813" s="10"/>
    </row>
    <row r="10814" spans="20:20">
      <c r="T10814" s="10"/>
    </row>
    <row r="10815" spans="20:20">
      <c r="T10815" s="10"/>
    </row>
    <row r="10816" spans="20:20">
      <c r="T10816" s="10"/>
    </row>
    <row r="10817" spans="20:20">
      <c r="T10817" s="10"/>
    </row>
    <row r="10818" spans="20:20">
      <c r="T10818" s="10"/>
    </row>
    <row r="10819" spans="20:20">
      <c r="T10819" s="10"/>
    </row>
    <row r="10820" spans="20:20">
      <c r="T10820" s="10"/>
    </row>
    <row r="10821" spans="20:20">
      <c r="T10821" s="10"/>
    </row>
    <row r="10822" spans="20:20">
      <c r="T10822" s="10"/>
    </row>
    <row r="10823" spans="20:20">
      <c r="T10823" s="10"/>
    </row>
    <row r="10824" spans="20:20">
      <c r="T10824" s="10"/>
    </row>
    <row r="10825" spans="20:20">
      <c r="T10825" s="10"/>
    </row>
    <row r="10826" spans="20:20">
      <c r="T10826" s="10"/>
    </row>
    <row r="10827" spans="20:20">
      <c r="T10827" s="10"/>
    </row>
    <row r="10828" spans="20:20">
      <c r="T10828" s="10"/>
    </row>
    <row r="10829" spans="20:20">
      <c r="T10829" s="10"/>
    </row>
    <row r="10830" spans="20:20">
      <c r="T10830" s="10"/>
    </row>
    <row r="10831" spans="20:20">
      <c r="T10831" s="10"/>
    </row>
    <row r="10832" spans="20:20">
      <c r="T10832" s="10"/>
    </row>
    <row r="10833" spans="20:20">
      <c r="T10833" s="10"/>
    </row>
    <row r="10834" spans="20:20">
      <c r="T10834" s="10"/>
    </row>
    <row r="10835" spans="20:20">
      <c r="T10835" s="10"/>
    </row>
    <row r="10836" spans="20:20">
      <c r="T10836" s="10"/>
    </row>
    <row r="10837" spans="20:20">
      <c r="T10837" s="10"/>
    </row>
    <row r="10838" spans="20:20">
      <c r="T10838" s="10"/>
    </row>
    <row r="10839" spans="20:20">
      <c r="T10839" s="10"/>
    </row>
    <row r="10840" spans="20:20">
      <c r="T10840" s="10"/>
    </row>
    <row r="10841" spans="20:20">
      <c r="T10841" s="10"/>
    </row>
    <row r="10842" spans="20:20">
      <c r="T10842" s="10"/>
    </row>
    <row r="10843" spans="20:20">
      <c r="T10843" s="10"/>
    </row>
    <row r="10844" spans="20:20">
      <c r="T10844" s="10"/>
    </row>
    <row r="10845" spans="20:20">
      <c r="T10845" s="10"/>
    </row>
    <row r="10846" spans="20:20">
      <c r="T10846" s="10"/>
    </row>
    <row r="10847" spans="20:20">
      <c r="T10847" s="10"/>
    </row>
    <row r="10848" spans="20:20">
      <c r="T10848" s="10"/>
    </row>
    <row r="10849" spans="20:20">
      <c r="T10849" s="10"/>
    </row>
    <row r="10850" spans="20:20">
      <c r="T10850" s="10"/>
    </row>
    <row r="10851" spans="20:20">
      <c r="T10851" s="10"/>
    </row>
    <row r="10852" spans="20:20">
      <c r="T10852" s="10"/>
    </row>
    <row r="10853" spans="20:20">
      <c r="T10853" s="10"/>
    </row>
    <row r="10854" spans="20:20">
      <c r="T10854" s="10"/>
    </row>
    <row r="10855" spans="20:20">
      <c r="T10855" s="10"/>
    </row>
    <row r="10856" spans="20:20">
      <c r="T10856" s="10"/>
    </row>
    <row r="10857" spans="20:20">
      <c r="T10857" s="10"/>
    </row>
    <row r="10858" spans="20:20">
      <c r="T10858" s="10"/>
    </row>
    <row r="10859" spans="20:20">
      <c r="T10859" s="10"/>
    </row>
    <row r="10860" spans="20:20">
      <c r="T10860" s="10"/>
    </row>
    <row r="10861" spans="20:20">
      <c r="T10861" s="10"/>
    </row>
    <row r="10862" spans="20:20">
      <c r="T10862" s="10"/>
    </row>
    <row r="10863" spans="20:20">
      <c r="T10863" s="10"/>
    </row>
    <row r="10864" spans="20:20">
      <c r="T10864" s="10"/>
    </row>
    <row r="10865" spans="20:20">
      <c r="T10865" s="10"/>
    </row>
    <row r="10866" spans="20:20">
      <c r="T10866" s="10"/>
    </row>
    <row r="10867" spans="20:20">
      <c r="T10867" s="10"/>
    </row>
    <row r="10868" spans="20:20">
      <c r="T10868" s="10"/>
    </row>
    <row r="10869" spans="20:20">
      <c r="T10869" s="10"/>
    </row>
    <row r="10870" spans="20:20">
      <c r="T10870" s="10"/>
    </row>
    <row r="10871" spans="20:20">
      <c r="T10871" s="10"/>
    </row>
    <row r="10872" spans="20:20">
      <c r="T10872" s="10"/>
    </row>
    <row r="10873" spans="20:20">
      <c r="T10873" s="10"/>
    </row>
    <row r="10874" spans="20:20">
      <c r="T10874" s="10"/>
    </row>
    <row r="10875" spans="20:20">
      <c r="T10875" s="10"/>
    </row>
    <row r="10876" spans="20:20">
      <c r="T10876" s="10"/>
    </row>
    <row r="10877" spans="20:20">
      <c r="T10877" s="10"/>
    </row>
    <row r="10878" spans="20:20">
      <c r="T10878" s="10"/>
    </row>
    <row r="10879" spans="20:20">
      <c r="T10879" s="10"/>
    </row>
    <row r="10880" spans="20:20">
      <c r="T10880" s="10"/>
    </row>
    <row r="10881" spans="20:20">
      <c r="T10881" s="10"/>
    </row>
    <row r="10882" spans="20:20">
      <c r="T10882" s="10"/>
    </row>
    <row r="10883" spans="20:20">
      <c r="T10883" s="10"/>
    </row>
    <row r="10884" spans="20:20">
      <c r="T10884" s="10"/>
    </row>
    <row r="10885" spans="20:20">
      <c r="T10885" s="10"/>
    </row>
    <row r="10886" spans="20:20">
      <c r="T10886" s="10"/>
    </row>
    <row r="10887" spans="20:20">
      <c r="T10887" s="10"/>
    </row>
    <row r="10888" spans="20:20">
      <c r="T10888" s="10"/>
    </row>
    <row r="10889" spans="20:20">
      <c r="T10889" s="10"/>
    </row>
    <row r="10890" spans="20:20">
      <c r="T10890" s="10"/>
    </row>
    <row r="10891" spans="20:20">
      <c r="T10891" s="10"/>
    </row>
    <row r="10892" spans="20:20">
      <c r="T10892" s="10"/>
    </row>
    <row r="10893" spans="20:20">
      <c r="T10893" s="10"/>
    </row>
    <row r="10894" spans="20:20">
      <c r="T10894" s="10"/>
    </row>
    <row r="10895" spans="20:20">
      <c r="T10895" s="10"/>
    </row>
    <row r="10896" spans="20:20">
      <c r="T10896" s="10"/>
    </row>
    <row r="10897" spans="20:20">
      <c r="T10897" s="10"/>
    </row>
    <row r="10898" spans="20:20">
      <c r="T10898" s="10"/>
    </row>
    <row r="10899" spans="20:20">
      <c r="T10899" s="10"/>
    </row>
    <row r="10900" spans="20:20">
      <c r="T10900" s="10"/>
    </row>
    <row r="10901" spans="20:20">
      <c r="T10901" s="10"/>
    </row>
    <row r="10902" spans="20:20">
      <c r="T10902" s="10"/>
    </row>
    <row r="10903" spans="20:20">
      <c r="T10903" s="10"/>
    </row>
    <row r="10904" spans="20:20">
      <c r="T10904" s="10"/>
    </row>
    <row r="10905" spans="20:20">
      <c r="T10905" s="10"/>
    </row>
    <row r="10906" spans="20:20">
      <c r="T10906" s="10"/>
    </row>
    <row r="10907" spans="20:20">
      <c r="T10907" s="10"/>
    </row>
    <row r="10908" spans="20:20">
      <c r="T10908" s="10"/>
    </row>
    <row r="10909" spans="20:20">
      <c r="T10909" s="10"/>
    </row>
    <row r="10910" spans="20:20">
      <c r="T10910" s="10"/>
    </row>
    <row r="10911" spans="20:20">
      <c r="T10911" s="10"/>
    </row>
    <row r="10912" spans="20:20">
      <c r="T10912" s="10"/>
    </row>
    <row r="10913" spans="20:20">
      <c r="T10913" s="10"/>
    </row>
    <row r="10914" spans="20:20">
      <c r="T10914" s="10"/>
    </row>
    <row r="10915" spans="20:20">
      <c r="T10915" s="10"/>
    </row>
    <row r="10916" spans="20:20">
      <c r="T10916" s="10"/>
    </row>
    <row r="10917" spans="20:20">
      <c r="T10917" s="10"/>
    </row>
    <row r="10918" spans="20:20">
      <c r="T10918" s="10"/>
    </row>
    <row r="10919" spans="20:20">
      <c r="T10919" s="10"/>
    </row>
    <row r="10920" spans="20:20">
      <c r="T10920" s="10"/>
    </row>
    <row r="10921" spans="20:20">
      <c r="T10921" s="10"/>
    </row>
    <row r="10922" spans="20:20">
      <c r="T10922" s="10"/>
    </row>
    <row r="10923" spans="20:20">
      <c r="T10923" s="10"/>
    </row>
    <row r="10924" spans="20:20">
      <c r="T10924" s="10"/>
    </row>
    <row r="10925" spans="20:20">
      <c r="T10925" s="10"/>
    </row>
    <row r="10926" spans="20:20">
      <c r="T10926" s="10"/>
    </row>
    <row r="10927" spans="20:20">
      <c r="T10927" s="10"/>
    </row>
    <row r="10928" spans="20:20">
      <c r="T10928" s="10"/>
    </row>
    <row r="10929" spans="20:20">
      <c r="T10929" s="10"/>
    </row>
    <row r="10930" spans="20:20">
      <c r="T10930" s="10"/>
    </row>
    <row r="10931" spans="20:20">
      <c r="T10931" s="10"/>
    </row>
    <row r="10932" spans="20:20">
      <c r="T10932" s="10"/>
    </row>
    <row r="10933" spans="20:20">
      <c r="T10933" s="10"/>
    </row>
    <row r="10934" spans="20:20">
      <c r="T10934" s="10"/>
    </row>
    <row r="10935" spans="20:20">
      <c r="T10935" s="10"/>
    </row>
    <row r="10936" spans="20:20">
      <c r="T10936" s="10"/>
    </row>
    <row r="10937" spans="20:20">
      <c r="T10937" s="10"/>
    </row>
    <row r="10938" spans="20:20">
      <c r="T10938" s="10"/>
    </row>
    <row r="10939" spans="20:20">
      <c r="T10939" s="10"/>
    </row>
    <row r="10940" spans="20:20">
      <c r="T10940" s="10"/>
    </row>
    <row r="10941" spans="20:20">
      <c r="T10941" s="10"/>
    </row>
    <row r="10942" spans="20:20">
      <c r="T10942" s="10"/>
    </row>
    <row r="10943" spans="20:20">
      <c r="T10943" s="10"/>
    </row>
    <row r="10944" spans="20:20">
      <c r="T10944" s="10"/>
    </row>
    <row r="10945" spans="20:20">
      <c r="T10945" s="10"/>
    </row>
    <row r="10946" spans="20:20">
      <c r="T10946" s="10"/>
    </row>
    <row r="10947" spans="20:20">
      <c r="T10947" s="10"/>
    </row>
    <row r="10948" spans="20:20">
      <c r="T10948" s="10"/>
    </row>
    <row r="10949" spans="20:20">
      <c r="T10949" s="10"/>
    </row>
    <row r="10950" spans="20:20">
      <c r="T10950" s="10"/>
    </row>
    <row r="10951" spans="20:20">
      <c r="T10951" s="10"/>
    </row>
    <row r="10952" spans="20:20">
      <c r="T10952" s="10"/>
    </row>
    <row r="10953" spans="20:20">
      <c r="T10953" s="10"/>
    </row>
    <row r="10954" spans="20:20">
      <c r="T10954" s="10"/>
    </row>
    <row r="10955" spans="20:20">
      <c r="T10955" s="10"/>
    </row>
    <row r="10956" spans="20:20">
      <c r="T10956" s="10"/>
    </row>
    <row r="10957" spans="20:20">
      <c r="T10957" s="10"/>
    </row>
    <row r="10958" spans="20:20">
      <c r="T10958" s="10"/>
    </row>
    <row r="10959" spans="20:20">
      <c r="T10959" s="10"/>
    </row>
    <row r="10960" spans="20:20">
      <c r="T10960" s="10"/>
    </row>
    <row r="10961" spans="20:20">
      <c r="T10961" s="10"/>
    </row>
    <row r="10962" spans="20:20">
      <c r="T10962" s="10"/>
    </row>
    <row r="10963" spans="20:20">
      <c r="T10963" s="10"/>
    </row>
    <row r="10964" spans="20:20">
      <c r="T10964" s="10"/>
    </row>
    <row r="10965" spans="20:20">
      <c r="T10965" s="10"/>
    </row>
    <row r="10966" spans="20:20">
      <c r="T10966" s="10"/>
    </row>
    <row r="10967" spans="20:20">
      <c r="T10967" s="10"/>
    </row>
    <row r="10968" spans="20:20">
      <c r="T10968" s="10"/>
    </row>
    <row r="10969" spans="20:20">
      <c r="T10969" s="10"/>
    </row>
    <row r="10970" spans="20:20">
      <c r="T10970" s="10"/>
    </row>
    <row r="10971" spans="20:20">
      <c r="T10971" s="10"/>
    </row>
    <row r="10972" spans="20:20">
      <c r="T10972" s="10"/>
    </row>
    <row r="10973" spans="20:20">
      <c r="T10973" s="10"/>
    </row>
    <row r="10974" spans="20:20">
      <c r="T10974" s="10"/>
    </row>
    <row r="10975" spans="20:20">
      <c r="T10975" s="10"/>
    </row>
    <row r="10976" spans="20:20">
      <c r="T10976" s="10"/>
    </row>
    <row r="10977" spans="20:20">
      <c r="T10977" s="10"/>
    </row>
    <row r="10978" spans="20:20">
      <c r="T10978" s="10"/>
    </row>
    <row r="10979" spans="20:20">
      <c r="T10979" s="10"/>
    </row>
    <row r="10980" spans="20:20">
      <c r="T10980" s="10"/>
    </row>
    <row r="10981" spans="20:20">
      <c r="T10981" s="10"/>
    </row>
    <row r="10982" spans="20:20">
      <c r="T10982" s="10"/>
    </row>
    <row r="10983" spans="20:20">
      <c r="T10983" s="10"/>
    </row>
    <row r="10984" spans="20:20">
      <c r="T10984" s="10"/>
    </row>
    <row r="10985" spans="20:20">
      <c r="T10985" s="10"/>
    </row>
    <row r="10986" spans="20:20">
      <c r="T10986" s="10"/>
    </row>
    <row r="10987" spans="20:20">
      <c r="T10987" s="10"/>
    </row>
    <row r="10988" spans="20:20">
      <c r="T10988" s="10"/>
    </row>
    <row r="10989" spans="20:20">
      <c r="T10989" s="10"/>
    </row>
    <row r="10990" spans="20:20">
      <c r="T10990" s="10"/>
    </row>
    <row r="10991" spans="20:20">
      <c r="T10991" s="10"/>
    </row>
    <row r="10992" spans="20:20">
      <c r="T10992" s="10"/>
    </row>
    <row r="10993" spans="20:20">
      <c r="T10993" s="10"/>
    </row>
    <row r="10994" spans="20:20">
      <c r="T10994" s="10"/>
    </row>
    <row r="10995" spans="20:20">
      <c r="T10995" s="10"/>
    </row>
    <row r="10996" spans="20:20">
      <c r="T10996" s="10"/>
    </row>
    <row r="10997" spans="20:20">
      <c r="T10997" s="10"/>
    </row>
    <row r="10998" spans="20:20">
      <c r="T10998" s="10"/>
    </row>
    <row r="10999" spans="20:20">
      <c r="T10999" s="10"/>
    </row>
    <row r="11000" spans="20:20">
      <c r="T11000" s="10"/>
    </row>
    <row r="11001" spans="20:20">
      <c r="T11001" s="10"/>
    </row>
    <row r="11002" spans="20:20">
      <c r="T11002" s="10"/>
    </row>
    <row r="11003" spans="20:20">
      <c r="T11003" s="10"/>
    </row>
    <row r="11004" spans="20:20">
      <c r="T11004" s="10"/>
    </row>
    <row r="11005" spans="20:20">
      <c r="T11005" s="10"/>
    </row>
    <row r="11006" spans="20:20">
      <c r="T11006" s="10"/>
    </row>
    <row r="11007" spans="20:20">
      <c r="T11007" s="10"/>
    </row>
    <row r="11008" spans="20:20">
      <c r="T11008" s="10"/>
    </row>
    <row r="11009" spans="20:20">
      <c r="T11009" s="10"/>
    </row>
    <row r="11010" spans="20:20">
      <c r="T11010" s="10"/>
    </row>
    <row r="11011" spans="20:20">
      <c r="T11011" s="10"/>
    </row>
    <row r="11012" spans="20:20">
      <c r="T11012" s="10"/>
    </row>
    <row r="11013" spans="20:20">
      <c r="T11013" s="10"/>
    </row>
    <row r="11014" spans="20:20">
      <c r="T11014" s="10"/>
    </row>
    <row r="11015" spans="20:20">
      <c r="T11015" s="10"/>
    </row>
    <row r="11016" spans="20:20">
      <c r="T11016" s="10"/>
    </row>
    <row r="11017" spans="20:20">
      <c r="T11017" s="10"/>
    </row>
    <row r="11018" spans="20:20">
      <c r="T11018" s="10"/>
    </row>
    <row r="11019" spans="20:20">
      <c r="T11019" s="10"/>
    </row>
    <row r="11020" spans="20:20">
      <c r="T11020" s="10"/>
    </row>
    <row r="11021" spans="20:20">
      <c r="T11021" s="10"/>
    </row>
    <row r="11022" spans="20:20">
      <c r="T11022" s="10"/>
    </row>
    <row r="11023" spans="20:20">
      <c r="T11023" s="10"/>
    </row>
    <row r="11024" spans="20:20">
      <c r="T11024" s="10"/>
    </row>
    <row r="11025" spans="20:20">
      <c r="T11025" s="10"/>
    </row>
    <row r="11026" spans="20:20">
      <c r="T11026" s="10"/>
    </row>
    <row r="11027" spans="20:20">
      <c r="T11027" s="10"/>
    </row>
    <row r="11028" spans="20:20">
      <c r="T11028" s="10"/>
    </row>
    <row r="11029" spans="20:20">
      <c r="T11029" s="10"/>
    </row>
    <row r="11030" spans="20:20">
      <c r="T11030" s="10"/>
    </row>
    <row r="11031" spans="20:20">
      <c r="T11031" s="10"/>
    </row>
    <row r="11032" spans="20:20">
      <c r="T11032" s="10"/>
    </row>
    <row r="11033" spans="20:20">
      <c r="T11033" s="10"/>
    </row>
    <row r="11034" spans="20:20">
      <c r="T11034" s="10"/>
    </row>
    <row r="11035" spans="20:20">
      <c r="T11035" s="10"/>
    </row>
    <row r="11036" spans="20:20">
      <c r="T11036" s="10"/>
    </row>
    <row r="11037" spans="20:20">
      <c r="T11037" s="10"/>
    </row>
    <row r="11038" spans="20:20">
      <c r="T11038" s="10"/>
    </row>
    <row r="11039" spans="20:20">
      <c r="T11039" s="10"/>
    </row>
    <row r="11040" spans="20:20">
      <c r="T11040" s="10"/>
    </row>
    <row r="11041" spans="20:20">
      <c r="T11041" s="10"/>
    </row>
    <row r="11042" spans="20:20">
      <c r="T11042" s="10"/>
    </row>
    <row r="11043" spans="20:20">
      <c r="T11043" s="10"/>
    </row>
    <row r="11044" spans="20:20">
      <c r="T11044" s="10"/>
    </row>
    <row r="11045" spans="20:20">
      <c r="T11045" s="10"/>
    </row>
    <row r="11046" spans="20:20">
      <c r="T11046" s="10"/>
    </row>
    <row r="11047" spans="20:20">
      <c r="T11047" s="10"/>
    </row>
    <row r="11048" spans="20:20">
      <c r="T11048" s="10"/>
    </row>
    <row r="11049" spans="20:20">
      <c r="T11049" s="10"/>
    </row>
    <row r="11050" spans="20:20">
      <c r="T11050" s="10"/>
    </row>
    <row r="11051" spans="20:20">
      <c r="T11051" s="10"/>
    </row>
    <row r="11052" spans="20:20">
      <c r="T11052" s="10"/>
    </row>
    <row r="11053" spans="20:20">
      <c r="T11053" s="10"/>
    </row>
    <row r="11054" spans="20:20">
      <c r="T11054" s="10"/>
    </row>
    <row r="11055" spans="20:20">
      <c r="T11055" s="10"/>
    </row>
    <row r="11056" spans="20:20">
      <c r="T11056" s="10"/>
    </row>
    <row r="11057" spans="20:20">
      <c r="T11057" s="10"/>
    </row>
    <row r="11058" spans="20:20">
      <c r="T11058" s="10"/>
    </row>
    <row r="11059" spans="20:20">
      <c r="T11059" s="10"/>
    </row>
    <row r="11060" spans="20:20">
      <c r="T11060" s="10"/>
    </row>
    <row r="11061" spans="20:20">
      <c r="T11061" s="10"/>
    </row>
    <row r="11062" spans="20:20">
      <c r="T11062" s="10"/>
    </row>
    <row r="11063" spans="20:20">
      <c r="T11063" s="10"/>
    </row>
    <row r="11064" spans="20:20">
      <c r="T11064" s="10"/>
    </row>
    <row r="11065" spans="20:20">
      <c r="T11065" s="10"/>
    </row>
    <row r="11066" spans="20:20">
      <c r="T11066" s="10"/>
    </row>
    <row r="11067" spans="20:20">
      <c r="T11067" s="10"/>
    </row>
    <row r="11068" spans="20:20">
      <c r="T11068" s="10"/>
    </row>
    <row r="11069" spans="20:20">
      <c r="T11069" s="10"/>
    </row>
    <row r="11070" spans="20:20">
      <c r="T11070" s="10"/>
    </row>
    <row r="11071" spans="20:20">
      <c r="T11071" s="10"/>
    </row>
    <row r="11072" spans="20:20">
      <c r="T11072" s="10"/>
    </row>
    <row r="11073" spans="20:20">
      <c r="T11073" s="10"/>
    </row>
    <row r="11074" spans="20:20">
      <c r="T11074" s="10"/>
    </row>
    <row r="11075" spans="20:20">
      <c r="T11075" s="10"/>
    </row>
    <row r="11076" spans="20:20">
      <c r="T11076" s="10"/>
    </row>
    <row r="11077" spans="20:20">
      <c r="T11077" s="10"/>
    </row>
    <row r="11078" spans="20:20">
      <c r="T11078" s="10"/>
    </row>
    <row r="11079" spans="20:20">
      <c r="T11079" s="10"/>
    </row>
    <row r="11080" spans="20:20">
      <c r="T11080" s="10"/>
    </row>
    <row r="11081" spans="20:20">
      <c r="T11081" s="10"/>
    </row>
    <row r="11082" spans="20:20">
      <c r="T11082" s="10"/>
    </row>
    <row r="11083" spans="20:20">
      <c r="T11083" s="10"/>
    </row>
    <row r="11084" spans="20:20">
      <c r="T11084" s="10"/>
    </row>
    <row r="11085" spans="20:20">
      <c r="T11085" s="10"/>
    </row>
    <row r="11086" spans="20:20">
      <c r="T11086" s="10"/>
    </row>
    <row r="11087" spans="20:20">
      <c r="T11087" s="10"/>
    </row>
    <row r="11088" spans="20:20">
      <c r="T11088" s="10"/>
    </row>
    <row r="11089" spans="20:20">
      <c r="T11089" s="10"/>
    </row>
    <row r="11090" spans="20:20">
      <c r="T11090" s="10"/>
    </row>
    <row r="11091" spans="20:20">
      <c r="T11091" s="10"/>
    </row>
    <row r="11092" spans="20:20">
      <c r="T11092" s="10"/>
    </row>
    <row r="11093" spans="20:20">
      <c r="T11093" s="10"/>
    </row>
    <row r="11094" spans="20:20">
      <c r="T11094" s="10"/>
    </row>
    <row r="11095" spans="20:20">
      <c r="T11095" s="10"/>
    </row>
    <row r="11096" spans="20:20">
      <c r="T11096" s="10"/>
    </row>
    <row r="11097" spans="20:20">
      <c r="T11097" s="10"/>
    </row>
    <row r="11098" spans="20:20">
      <c r="T11098" s="10"/>
    </row>
    <row r="11099" spans="20:20">
      <c r="T11099" s="10"/>
    </row>
    <row r="11100" spans="20:20">
      <c r="T11100" s="10"/>
    </row>
    <row r="11101" spans="20:20">
      <c r="T11101" s="10"/>
    </row>
    <row r="11102" spans="20:20">
      <c r="T11102" s="10"/>
    </row>
    <row r="11103" spans="20:20">
      <c r="T11103" s="10"/>
    </row>
    <row r="11104" spans="20:20">
      <c r="T11104" s="10"/>
    </row>
    <row r="11105" spans="20:20">
      <c r="T11105" s="10"/>
    </row>
    <row r="11106" spans="20:20">
      <c r="T11106" s="10"/>
    </row>
    <row r="11107" spans="20:20">
      <c r="T11107" s="10"/>
    </row>
    <row r="11108" spans="20:20">
      <c r="T11108" s="10"/>
    </row>
    <row r="11109" spans="20:20">
      <c r="T11109" s="10"/>
    </row>
    <row r="11110" spans="20:20">
      <c r="T11110" s="10"/>
    </row>
    <row r="11111" spans="20:20">
      <c r="T11111" s="10"/>
    </row>
    <row r="11112" spans="20:20">
      <c r="T11112" s="10"/>
    </row>
    <row r="11113" spans="20:20">
      <c r="T11113" s="10"/>
    </row>
    <row r="11114" spans="20:20">
      <c r="T11114" s="10"/>
    </row>
    <row r="11115" spans="20:20">
      <c r="T11115" s="10"/>
    </row>
    <row r="11116" spans="20:20">
      <c r="T11116" s="10"/>
    </row>
    <row r="11117" spans="20:20">
      <c r="T11117" s="10"/>
    </row>
    <row r="11118" spans="20:20">
      <c r="T11118" s="10"/>
    </row>
    <row r="11119" spans="20:20">
      <c r="T11119" s="10"/>
    </row>
    <row r="11120" spans="20:20">
      <c r="T11120" s="10"/>
    </row>
    <row r="11121" spans="20:20">
      <c r="T11121" s="10"/>
    </row>
    <row r="11122" spans="20:20">
      <c r="T11122" s="10"/>
    </row>
    <row r="11123" spans="20:20">
      <c r="T11123" s="10"/>
    </row>
    <row r="11124" spans="20:20">
      <c r="T11124" s="10"/>
    </row>
    <row r="11125" spans="20:20">
      <c r="T11125" s="10"/>
    </row>
    <row r="11126" spans="20:20">
      <c r="T11126" s="10"/>
    </row>
    <row r="11127" spans="20:20">
      <c r="T11127" s="10"/>
    </row>
    <row r="11128" spans="20:20">
      <c r="T11128" s="10"/>
    </row>
    <row r="11129" spans="20:20">
      <c r="T11129" s="10"/>
    </row>
    <row r="11130" spans="20:20">
      <c r="T11130" s="10"/>
    </row>
    <row r="11131" spans="20:20">
      <c r="T11131" s="10"/>
    </row>
    <row r="11132" spans="20:20">
      <c r="T11132" s="10"/>
    </row>
    <row r="11133" spans="20:20">
      <c r="T11133" s="10"/>
    </row>
    <row r="11134" spans="20:20">
      <c r="T11134" s="10"/>
    </row>
    <row r="11135" spans="20:20">
      <c r="T11135" s="10"/>
    </row>
    <row r="11136" spans="20:20">
      <c r="T11136" s="10"/>
    </row>
    <row r="11137" spans="20:20">
      <c r="T11137" s="10"/>
    </row>
    <row r="11138" spans="20:20">
      <c r="T11138" s="10"/>
    </row>
    <row r="11139" spans="20:20">
      <c r="T11139" s="10"/>
    </row>
    <row r="11140" spans="20:20">
      <c r="T11140" s="10"/>
    </row>
    <row r="11141" spans="20:20">
      <c r="T11141" s="10"/>
    </row>
    <row r="11142" spans="20:20">
      <c r="T11142" s="10"/>
    </row>
    <row r="11143" spans="20:20">
      <c r="T11143" s="10"/>
    </row>
    <row r="11144" spans="20:20">
      <c r="T11144" s="10"/>
    </row>
    <row r="11145" spans="20:20">
      <c r="T11145" s="10"/>
    </row>
    <row r="11146" spans="20:20">
      <c r="T11146" s="10"/>
    </row>
    <row r="11147" spans="20:20">
      <c r="T11147" s="10"/>
    </row>
    <row r="11148" spans="20:20">
      <c r="T11148" s="10"/>
    </row>
    <row r="11149" spans="20:20">
      <c r="T11149" s="10"/>
    </row>
    <row r="11150" spans="20:20">
      <c r="T11150" s="10"/>
    </row>
    <row r="11151" spans="20:20">
      <c r="T11151" s="10"/>
    </row>
    <row r="11152" spans="20:20">
      <c r="T11152" s="10"/>
    </row>
    <row r="11153" spans="20:20">
      <c r="T11153" s="10"/>
    </row>
    <row r="11154" spans="20:20">
      <c r="T11154" s="10"/>
    </row>
    <row r="11155" spans="20:20">
      <c r="T11155" s="10"/>
    </row>
    <row r="11156" spans="20:20">
      <c r="T11156" s="10"/>
    </row>
    <row r="11157" spans="20:20">
      <c r="T11157" s="10"/>
    </row>
    <row r="11158" spans="20:20">
      <c r="T11158" s="10"/>
    </row>
    <row r="11159" spans="20:20">
      <c r="T11159" s="10"/>
    </row>
    <row r="11160" spans="20:20">
      <c r="T11160" s="10"/>
    </row>
    <row r="11161" spans="20:20">
      <c r="T11161" s="10"/>
    </row>
    <row r="11162" spans="20:20">
      <c r="T11162" s="10"/>
    </row>
    <row r="11163" spans="20:20">
      <c r="T11163" s="10"/>
    </row>
    <row r="11164" spans="20:20">
      <c r="T11164" s="10"/>
    </row>
    <row r="11165" spans="20:20">
      <c r="T11165" s="10"/>
    </row>
    <row r="11166" spans="20:20">
      <c r="T11166" s="10"/>
    </row>
    <row r="11167" spans="20:20">
      <c r="T11167" s="10"/>
    </row>
    <row r="11168" spans="20:20">
      <c r="T11168" s="10"/>
    </row>
    <row r="11169" spans="20:20">
      <c r="T11169" s="10"/>
    </row>
    <row r="11170" spans="20:20">
      <c r="T11170" s="10"/>
    </row>
    <row r="11171" spans="20:20">
      <c r="T11171" s="10"/>
    </row>
    <row r="11172" spans="20:20">
      <c r="T11172" s="10"/>
    </row>
    <row r="11173" spans="20:20">
      <c r="T11173" s="10"/>
    </row>
    <row r="11174" spans="20:20">
      <c r="T11174" s="10"/>
    </row>
    <row r="11175" spans="20:20">
      <c r="T11175" s="10"/>
    </row>
    <row r="11176" spans="20:20">
      <c r="T11176" s="10"/>
    </row>
    <row r="11177" spans="20:20">
      <c r="T11177" s="10"/>
    </row>
    <row r="11178" spans="20:20">
      <c r="T11178" s="10"/>
    </row>
    <row r="11179" spans="20:20">
      <c r="T11179" s="10"/>
    </row>
    <row r="11180" spans="20:20">
      <c r="T11180" s="10"/>
    </row>
    <row r="11181" spans="20:20">
      <c r="T11181" s="10"/>
    </row>
    <row r="11182" spans="20:20">
      <c r="T11182" s="10"/>
    </row>
    <row r="11183" spans="20:20">
      <c r="T11183" s="10"/>
    </row>
    <row r="11184" spans="20:20">
      <c r="T11184" s="10"/>
    </row>
    <row r="11185" spans="20:20">
      <c r="T11185" s="10"/>
    </row>
    <row r="11186" spans="20:20">
      <c r="T11186" s="10"/>
    </row>
    <row r="11187" spans="20:20">
      <c r="T11187" s="10"/>
    </row>
    <row r="11188" spans="20:20">
      <c r="T11188" s="10"/>
    </row>
    <row r="11189" spans="20:20">
      <c r="T11189" s="10"/>
    </row>
    <row r="11190" spans="20:20">
      <c r="T11190" s="10"/>
    </row>
    <row r="11191" spans="20:20">
      <c r="T11191" s="10"/>
    </row>
    <row r="11192" spans="20:20">
      <c r="T11192" s="10"/>
    </row>
    <row r="11193" spans="20:20">
      <c r="T11193" s="10"/>
    </row>
    <row r="11194" spans="20:20">
      <c r="T11194" s="10"/>
    </row>
    <row r="11195" spans="20:20">
      <c r="T11195" s="10"/>
    </row>
    <row r="11196" spans="20:20">
      <c r="T11196" s="10"/>
    </row>
    <row r="11197" spans="20:20">
      <c r="T11197" s="10"/>
    </row>
    <row r="11198" spans="20:20">
      <c r="T11198" s="10"/>
    </row>
    <row r="11199" spans="20:20">
      <c r="T11199" s="10"/>
    </row>
    <row r="11200" spans="20:20">
      <c r="T11200" s="10"/>
    </row>
    <row r="11201" spans="20:20">
      <c r="T11201" s="10"/>
    </row>
    <row r="11202" spans="20:20">
      <c r="T11202" s="10"/>
    </row>
    <row r="11203" spans="20:20">
      <c r="T11203" s="10"/>
    </row>
    <row r="11204" spans="20:20">
      <c r="T11204" s="10"/>
    </row>
    <row r="11205" spans="20:20">
      <c r="T11205" s="10"/>
    </row>
    <row r="11206" spans="20:20">
      <c r="T11206" s="10"/>
    </row>
    <row r="11207" spans="20:20">
      <c r="T11207" s="10"/>
    </row>
    <row r="11208" spans="20:20">
      <c r="T11208" s="10"/>
    </row>
    <row r="11209" spans="20:20">
      <c r="T11209" s="10"/>
    </row>
    <row r="11210" spans="20:20">
      <c r="T11210" s="10"/>
    </row>
    <row r="11211" spans="20:20">
      <c r="T11211" s="10"/>
    </row>
    <row r="11212" spans="20:20">
      <c r="T11212" s="10"/>
    </row>
    <row r="11213" spans="20:20">
      <c r="T11213" s="10"/>
    </row>
    <row r="11214" spans="20:20">
      <c r="T11214" s="10"/>
    </row>
    <row r="11215" spans="20:20">
      <c r="T11215" s="10"/>
    </row>
    <row r="11216" spans="20:20">
      <c r="T11216" s="10"/>
    </row>
    <row r="11217" spans="20:20">
      <c r="T11217" s="10"/>
    </row>
    <row r="11218" spans="20:20">
      <c r="T11218" s="10"/>
    </row>
    <row r="11219" spans="20:20">
      <c r="T11219" s="10"/>
    </row>
    <row r="11220" spans="20:20">
      <c r="T11220" s="10"/>
    </row>
    <row r="11221" spans="20:20">
      <c r="T11221" s="10"/>
    </row>
    <row r="11222" spans="20:20">
      <c r="T11222" s="10"/>
    </row>
    <row r="11223" spans="20:20">
      <c r="T11223" s="10"/>
    </row>
    <row r="11224" spans="20:20">
      <c r="T11224" s="10"/>
    </row>
    <row r="11225" spans="20:20">
      <c r="T11225" s="10"/>
    </row>
    <row r="11226" spans="20:20">
      <c r="T11226" s="10"/>
    </row>
    <row r="11227" spans="20:20">
      <c r="T11227" s="10"/>
    </row>
    <row r="11228" spans="20:20">
      <c r="T11228" s="10"/>
    </row>
    <row r="11229" spans="20:20">
      <c r="T11229" s="10"/>
    </row>
    <row r="11230" spans="20:20">
      <c r="T11230" s="10"/>
    </row>
    <row r="11231" spans="20:20">
      <c r="T11231" s="10"/>
    </row>
    <row r="11232" spans="20:20">
      <c r="T11232" s="10"/>
    </row>
    <row r="11233" spans="20:20">
      <c r="T11233" s="10"/>
    </row>
    <row r="11234" spans="20:20">
      <c r="T11234" s="10"/>
    </row>
    <row r="11235" spans="20:20">
      <c r="T11235" s="10"/>
    </row>
    <row r="11236" spans="20:20">
      <c r="T11236" s="10"/>
    </row>
    <row r="11237" spans="20:20">
      <c r="T11237" s="10"/>
    </row>
    <row r="11238" spans="20:20">
      <c r="T11238" s="10"/>
    </row>
    <row r="11239" spans="20:20">
      <c r="T11239" s="10"/>
    </row>
    <row r="11240" spans="20:20">
      <c r="T11240" s="10"/>
    </row>
    <row r="11241" spans="20:20">
      <c r="T11241" s="10"/>
    </row>
    <row r="11242" spans="20:20">
      <c r="T11242" s="10"/>
    </row>
    <row r="11243" spans="20:20">
      <c r="T11243" s="10"/>
    </row>
    <row r="11244" spans="20:20">
      <c r="T11244" s="10"/>
    </row>
    <row r="11245" spans="20:20">
      <c r="T11245" s="10"/>
    </row>
    <row r="11246" spans="20:20">
      <c r="T11246" s="10"/>
    </row>
    <row r="11247" spans="20:20">
      <c r="T11247" s="10"/>
    </row>
    <row r="11248" spans="20:20">
      <c r="T11248" s="10"/>
    </row>
    <row r="11249" spans="20:20">
      <c r="T11249" s="10"/>
    </row>
    <row r="11250" spans="20:20">
      <c r="T11250" s="10"/>
    </row>
    <row r="11251" spans="20:20">
      <c r="T11251" s="10"/>
    </row>
    <row r="11252" spans="20:20">
      <c r="T11252" s="10"/>
    </row>
    <row r="11253" spans="20:20">
      <c r="T11253" s="10"/>
    </row>
    <row r="11254" spans="20:20">
      <c r="T11254" s="10"/>
    </row>
    <row r="11255" spans="20:20">
      <c r="T11255" s="10"/>
    </row>
    <row r="11256" spans="20:20">
      <c r="T11256" s="10"/>
    </row>
    <row r="11257" spans="20:20">
      <c r="T11257" s="10"/>
    </row>
    <row r="11258" spans="20:20">
      <c r="T11258" s="10"/>
    </row>
    <row r="11259" spans="20:20">
      <c r="T11259" s="10"/>
    </row>
    <row r="11260" spans="20:20">
      <c r="T11260" s="10"/>
    </row>
    <row r="11261" spans="20:20">
      <c r="T11261" s="10"/>
    </row>
    <row r="11262" spans="20:20">
      <c r="T11262" s="10"/>
    </row>
    <row r="11263" spans="20:20">
      <c r="T11263" s="10"/>
    </row>
    <row r="11264" spans="20:20">
      <c r="T11264" s="10"/>
    </row>
    <row r="11265" spans="20:20">
      <c r="T11265" s="10"/>
    </row>
    <row r="11266" spans="20:20">
      <c r="T11266" s="10"/>
    </row>
    <row r="11267" spans="20:20">
      <c r="T11267" s="10"/>
    </row>
    <row r="11268" spans="20:20">
      <c r="T11268" s="10"/>
    </row>
    <row r="11269" spans="20:20">
      <c r="T11269" s="10"/>
    </row>
    <row r="11270" spans="20:20">
      <c r="T11270" s="10"/>
    </row>
    <row r="11271" spans="20:20">
      <c r="T11271" s="10"/>
    </row>
    <row r="11272" spans="20:20">
      <c r="T11272" s="10"/>
    </row>
    <row r="11273" spans="20:20">
      <c r="T11273" s="10"/>
    </row>
    <row r="11274" spans="20:20">
      <c r="T11274" s="10"/>
    </row>
    <row r="11275" spans="20:20">
      <c r="T11275" s="10"/>
    </row>
    <row r="11276" spans="20:20">
      <c r="T11276" s="10"/>
    </row>
    <row r="11277" spans="20:20">
      <c r="T11277" s="10"/>
    </row>
    <row r="11278" spans="20:20">
      <c r="T11278" s="10"/>
    </row>
    <row r="11279" spans="20:20">
      <c r="T11279" s="10"/>
    </row>
    <row r="11280" spans="20:20">
      <c r="T11280" s="10"/>
    </row>
    <row r="11281" spans="20:20">
      <c r="T11281" s="10"/>
    </row>
    <row r="11282" spans="20:20">
      <c r="T11282" s="10"/>
    </row>
    <row r="11283" spans="20:20">
      <c r="T11283" s="10"/>
    </row>
    <row r="11284" spans="20:20">
      <c r="T11284" s="10"/>
    </row>
    <row r="11285" spans="20:20">
      <c r="T11285" s="10"/>
    </row>
    <row r="11286" spans="20:20">
      <c r="T11286" s="10"/>
    </row>
    <row r="11287" spans="20:20">
      <c r="T11287" s="10"/>
    </row>
    <row r="11288" spans="20:20">
      <c r="T11288" s="10"/>
    </row>
    <row r="11289" spans="20:20">
      <c r="T11289" s="10"/>
    </row>
    <row r="11290" spans="20:20">
      <c r="T11290" s="10"/>
    </row>
    <row r="11291" spans="20:20">
      <c r="T11291" s="10"/>
    </row>
    <row r="11292" spans="20:20">
      <c r="T11292" s="10"/>
    </row>
    <row r="11293" spans="20:20">
      <c r="T11293" s="10"/>
    </row>
    <row r="11294" spans="20:20">
      <c r="T11294" s="10"/>
    </row>
    <row r="11295" spans="20:20">
      <c r="T11295" s="10"/>
    </row>
    <row r="11296" spans="20:20">
      <c r="T11296" s="10"/>
    </row>
    <row r="11297" spans="20:20">
      <c r="T11297" s="10"/>
    </row>
    <row r="11298" spans="20:20">
      <c r="T11298" s="10"/>
    </row>
    <row r="11299" spans="20:20">
      <c r="T11299" s="10"/>
    </row>
    <row r="11300" spans="20:20">
      <c r="T11300" s="10"/>
    </row>
    <row r="11301" spans="20:20">
      <c r="T11301" s="10"/>
    </row>
    <row r="11302" spans="20:20">
      <c r="T11302" s="10"/>
    </row>
    <row r="11303" spans="20:20">
      <c r="T11303" s="10"/>
    </row>
    <row r="11304" spans="20:20">
      <c r="T11304" s="10"/>
    </row>
    <row r="11305" spans="20:20">
      <c r="T11305" s="10"/>
    </row>
    <row r="11306" spans="20:20">
      <c r="T11306" s="10"/>
    </row>
    <row r="11307" spans="20:20">
      <c r="T11307" s="10"/>
    </row>
    <row r="11308" spans="20:20">
      <c r="T11308" s="10"/>
    </row>
    <row r="11309" spans="20:20">
      <c r="T11309" s="10"/>
    </row>
    <row r="11310" spans="20:20">
      <c r="T11310" s="10"/>
    </row>
    <row r="11311" spans="20:20">
      <c r="T11311" s="10"/>
    </row>
    <row r="11312" spans="20:20">
      <c r="T11312" s="10"/>
    </row>
    <row r="11313" spans="20:20">
      <c r="T11313" s="10"/>
    </row>
    <row r="11314" spans="20:20">
      <c r="T11314" s="10"/>
    </row>
    <row r="11315" spans="20:20">
      <c r="T11315" s="10"/>
    </row>
    <row r="11316" spans="20:20">
      <c r="T11316" s="10"/>
    </row>
    <row r="11317" spans="20:20">
      <c r="T11317" s="10"/>
    </row>
    <row r="11318" spans="20:20">
      <c r="T11318" s="10"/>
    </row>
    <row r="11319" spans="20:20">
      <c r="T11319" s="10"/>
    </row>
    <row r="11320" spans="20:20">
      <c r="T11320" s="10"/>
    </row>
    <row r="11321" spans="20:20">
      <c r="T11321" s="10"/>
    </row>
    <row r="11322" spans="20:20">
      <c r="T11322" s="10"/>
    </row>
    <row r="11323" spans="20:20">
      <c r="T11323" s="10"/>
    </row>
    <row r="11324" spans="20:20">
      <c r="T11324" s="10"/>
    </row>
    <row r="11325" spans="20:20">
      <c r="T11325" s="10"/>
    </row>
    <row r="11326" spans="20:20">
      <c r="T11326" s="10"/>
    </row>
    <row r="11327" spans="20:20">
      <c r="T11327" s="10"/>
    </row>
    <row r="11328" spans="20:20">
      <c r="T11328" s="10"/>
    </row>
    <row r="11329" spans="20:20">
      <c r="T11329" s="10"/>
    </row>
    <row r="11330" spans="20:20">
      <c r="T11330" s="10"/>
    </row>
    <row r="11331" spans="20:20">
      <c r="T11331" s="10"/>
    </row>
    <row r="11332" spans="20:20">
      <c r="T11332" s="10"/>
    </row>
    <row r="11333" spans="20:20">
      <c r="T11333" s="10"/>
    </row>
    <row r="11334" spans="20:20">
      <c r="T11334" s="10"/>
    </row>
    <row r="11335" spans="20:20">
      <c r="T11335" s="10"/>
    </row>
    <row r="11336" spans="20:20">
      <c r="T11336" s="10"/>
    </row>
    <row r="11337" spans="20:20">
      <c r="T11337" s="10"/>
    </row>
    <row r="11338" spans="20:20">
      <c r="T11338" s="10"/>
    </row>
    <row r="11339" spans="20:20">
      <c r="T11339" s="10"/>
    </row>
    <row r="11340" spans="20:20">
      <c r="T11340" s="10"/>
    </row>
    <row r="11341" spans="20:20">
      <c r="T11341" s="10"/>
    </row>
    <row r="11342" spans="20:20">
      <c r="T11342" s="10"/>
    </row>
    <row r="11343" spans="20:20">
      <c r="T11343" s="10"/>
    </row>
    <row r="11344" spans="20:20">
      <c r="T11344" s="10"/>
    </row>
    <row r="11345" spans="20:20">
      <c r="T11345" s="10"/>
    </row>
    <row r="11346" spans="20:20">
      <c r="T11346" s="10"/>
    </row>
    <row r="11347" spans="20:20">
      <c r="T11347" s="10"/>
    </row>
    <row r="11348" spans="20:20">
      <c r="T11348" s="10"/>
    </row>
    <row r="11349" spans="20:20">
      <c r="T11349" s="10"/>
    </row>
    <row r="11350" spans="20:20">
      <c r="T11350" s="10"/>
    </row>
    <row r="11351" spans="20:20">
      <c r="T11351" s="10"/>
    </row>
    <row r="11352" spans="20:20">
      <c r="T11352" s="10"/>
    </row>
    <row r="11353" spans="20:20">
      <c r="T11353" s="10"/>
    </row>
    <row r="11354" spans="20:20">
      <c r="T11354" s="10"/>
    </row>
    <row r="11355" spans="20:20">
      <c r="T11355" s="10"/>
    </row>
    <row r="11356" spans="20:20">
      <c r="T11356" s="10"/>
    </row>
    <row r="11357" spans="20:20">
      <c r="T11357" s="10"/>
    </row>
    <row r="11358" spans="20:20">
      <c r="T11358" s="10"/>
    </row>
    <row r="11359" spans="20:20">
      <c r="T11359" s="10"/>
    </row>
    <row r="11360" spans="20:20">
      <c r="T11360" s="10"/>
    </row>
    <row r="11361" spans="20:20">
      <c r="T11361" s="10"/>
    </row>
    <row r="11362" spans="20:20">
      <c r="T11362" s="10"/>
    </row>
    <row r="11363" spans="20:20">
      <c r="T11363" s="10"/>
    </row>
    <row r="11364" spans="20:20">
      <c r="T11364" s="10"/>
    </row>
    <row r="11365" spans="20:20">
      <c r="T11365" s="10"/>
    </row>
    <row r="11366" spans="20:20">
      <c r="T11366" s="10"/>
    </row>
    <row r="11367" spans="20:20">
      <c r="T11367" s="10"/>
    </row>
    <row r="11368" spans="20:20">
      <c r="T11368" s="10"/>
    </row>
    <row r="11369" spans="20:20">
      <c r="T11369" s="10"/>
    </row>
    <row r="11370" spans="20:20">
      <c r="T11370" s="10"/>
    </row>
    <row r="11371" spans="20:20">
      <c r="T11371" s="10"/>
    </row>
    <row r="11372" spans="20:20">
      <c r="T11372" s="10"/>
    </row>
    <row r="11373" spans="20:20">
      <c r="T11373" s="10"/>
    </row>
    <row r="11374" spans="20:20">
      <c r="T11374" s="10"/>
    </row>
    <row r="11375" spans="20:20">
      <c r="T11375" s="10"/>
    </row>
    <row r="11376" spans="20:20">
      <c r="T11376" s="10"/>
    </row>
    <row r="11377" spans="20:20">
      <c r="T11377" s="10"/>
    </row>
    <row r="11378" spans="20:20">
      <c r="T11378" s="10"/>
    </row>
    <row r="11379" spans="20:20">
      <c r="T11379" s="10"/>
    </row>
    <row r="11380" spans="20:20">
      <c r="T11380" s="10"/>
    </row>
    <row r="11381" spans="20:20">
      <c r="T11381" s="10"/>
    </row>
    <row r="11382" spans="20:20">
      <c r="T11382" s="10"/>
    </row>
    <row r="11383" spans="20:20">
      <c r="T11383" s="10"/>
    </row>
    <row r="11384" spans="20:20">
      <c r="T11384" s="10"/>
    </row>
    <row r="11385" spans="20:20">
      <c r="T11385" s="10"/>
    </row>
    <row r="11386" spans="20:20">
      <c r="T11386" s="10"/>
    </row>
    <row r="11387" spans="20:20">
      <c r="T11387" s="10"/>
    </row>
    <row r="11388" spans="20:20">
      <c r="T11388" s="10"/>
    </row>
    <row r="11389" spans="20:20">
      <c r="T11389" s="10"/>
    </row>
    <row r="11390" spans="20:20">
      <c r="T11390" s="10"/>
    </row>
    <row r="11391" spans="20:20">
      <c r="T11391" s="10"/>
    </row>
    <row r="11392" spans="20:20">
      <c r="T11392" s="10"/>
    </row>
    <row r="11393" spans="20:20">
      <c r="T11393" s="10"/>
    </row>
    <row r="11394" spans="20:20">
      <c r="T11394" s="10"/>
    </row>
    <row r="11395" spans="20:20">
      <c r="T11395" s="10"/>
    </row>
    <row r="11396" spans="20:20">
      <c r="T11396" s="10"/>
    </row>
    <row r="11397" spans="20:20">
      <c r="T11397" s="10"/>
    </row>
    <row r="11398" spans="20:20">
      <c r="T11398" s="10"/>
    </row>
    <row r="11399" spans="20:20">
      <c r="T11399" s="10"/>
    </row>
    <row r="11400" spans="20:20">
      <c r="T11400" s="10"/>
    </row>
    <row r="11401" spans="20:20">
      <c r="T11401" s="10"/>
    </row>
    <row r="11402" spans="20:20">
      <c r="T11402" s="10"/>
    </row>
    <row r="11403" spans="20:20">
      <c r="T11403" s="10"/>
    </row>
    <row r="11404" spans="20:20">
      <c r="T11404" s="10"/>
    </row>
    <row r="11405" spans="20:20">
      <c r="T11405" s="10"/>
    </row>
    <row r="11406" spans="20:20">
      <c r="T11406" s="10"/>
    </row>
    <row r="11407" spans="20:20">
      <c r="T11407" s="10"/>
    </row>
    <row r="11408" spans="20:20">
      <c r="T11408" s="10"/>
    </row>
    <row r="11409" spans="20:20">
      <c r="T11409" s="10"/>
    </row>
    <row r="11410" spans="20:20">
      <c r="T11410" s="10"/>
    </row>
    <row r="11411" spans="20:20">
      <c r="T11411" s="10"/>
    </row>
    <row r="11412" spans="20:20">
      <c r="T11412" s="10"/>
    </row>
    <row r="11413" spans="20:20">
      <c r="T11413" s="10"/>
    </row>
    <row r="11414" spans="20:20">
      <c r="T11414" s="10"/>
    </row>
    <row r="11415" spans="20:20">
      <c r="T11415" s="10"/>
    </row>
    <row r="11416" spans="20:20">
      <c r="T11416" s="10"/>
    </row>
    <row r="11417" spans="20:20">
      <c r="T11417" s="10"/>
    </row>
    <row r="11418" spans="20:20">
      <c r="T11418" s="10"/>
    </row>
    <row r="11419" spans="20:20">
      <c r="T11419" s="10"/>
    </row>
    <row r="11420" spans="20:20">
      <c r="T11420" s="10"/>
    </row>
    <row r="11421" spans="20:20">
      <c r="T11421" s="10"/>
    </row>
    <row r="11422" spans="20:20">
      <c r="T11422" s="10"/>
    </row>
    <row r="11423" spans="20:20">
      <c r="T11423" s="10"/>
    </row>
    <row r="11424" spans="20:20">
      <c r="T11424" s="10"/>
    </row>
    <row r="11425" spans="20:20">
      <c r="T11425" s="10"/>
    </row>
    <row r="11426" spans="20:20">
      <c r="T11426" s="10"/>
    </row>
    <row r="11427" spans="20:20">
      <c r="T11427" s="10"/>
    </row>
    <row r="11428" spans="20:20">
      <c r="T11428" s="10"/>
    </row>
    <row r="11429" spans="20:20">
      <c r="T11429" s="10"/>
    </row>
    <row r="11430" spans="20:20">
      <c r="T11430" s="10"/>
    </row>
    <row r="11431" spans="20:20">
      <c r="T11431" s="10"/>
    </row>
    <row r="11432" spans="20:20">
      <c r="T11432" s="10"/>
    </row>
    <row r="11433" spans="20:20">
      <c r="T11433" s="10"/>
    </row>
    <row r="11434" spans="20:20">
      <c r="T11434" s="10"/>
    </row>
    <row r="11435" spans="20:20">
      <c r="T11435" s="10"/>
    </row>
    <row r="11436" spans="20:20">
      <c r="T11436" s="10"/>
    </row>
    <row r="11437" spans="20:20">
      <c r="T11437" s="10"/>
    </row>
    <row r="11438" spans="20:20">
      <c r="T11438" s="10"/>
    </row>
    <row r="11439" spans="20:20">
      <c r="T11439" s="10"/>
    </row>
    <row r="11440" spans="20:20">
      <c r="T11440" s="10"/>
    </row>
    <row r="11441" spans="20:20">
      <c r="T11441" s="10"/>
    </row>
    <row r="11442" spans="20:20">
      <c r="T11442" s="10"/>
    </row>
    <row r="11443" spans="20:20">
      <c r="T11443" s="10"/>
    </row>
    <row r="11444" spans="20:20">
      <c r="T11444" s="10"/>
    </row>
    <row r="11445" spans="20:20">
      <c r="T11445" s="10"/>
    </row>
    <row r="11446" spans="20:20">
      <c r="T11446" s="10"/>
    </row>
    <row r="11447" spans="20:20">
      <c r="T11447" s="10"/>
    </row>
    <row r="11448" spans="20:20">
      <c r="T11448" s="10"/>
    </row>
    <row r="11449" spans="20:20">
      <c r="T11449" s="10"/>
    </row>
    <row r="11450" spans="20:20">
      <c r="T11450" s="10"/>
    </row>
    <row r="11451" spans="20:20">
      <c r="T11451" s="10"/>
    </row>
    <row r="11452" spans="20:20">
      <c r="T11452" s="10"/>
    </row>
    <row r="11453" spans="20:20">
      <c r="T11453" s="10"/>
    </row>
    <row r="11454" spans="20:20">
      <c r="T11454" s="10"/>
    </row>
    <row r="11455" spans="20:20">
      <c r="T11455" s="10"/>
    </row>
    <row r="11456" spans="20:20">
      <c r="T11456" s="10"/>
    </row>
    <row r="11457" spans="20:20">
      <c r="T11457" s="10"/>
    </row>
    <row r="11458" spans="20:20">
      <c r="T11458" s="10"/>
    </row>
    <row r="11459" spans="20:20">
      <c r="T11459" s="10"/>
    </row>
    <row r="11460" spans="20:20">
      <c r="T11460" s="10"/>
    </row>
    <row r="11461" spans="20:20">
      <c r="T11461" s="10"/>
    </row>
    <row r="11462" spans="20:20">
      <c r="T11462" s="10"/>
    </row>
    <row r="11463" spans="20:20">
      <c r="T11463" s="10"/>
    </row>
    <row r="11464" spans="20:20">
      <c r="T11464" s="10"/>
    </row>
    <row r="11465" spans="20:20">
      <c r="T11465" s="10"/>
    </row>
    <row r="11466" spans="20:20">
      <c r="T11466" s="10"/>
    </row>
    <row r="11467" spans="20:20">
      <c r="T11467" s="10"/>
    </row>
    <row r="11468" spans="20:20">
      <c r="T11468" s="10"/>
    </row>
    <row r="11469" spans="20:20">
      <c r="T11469" s="10"/>
    </row>
    <row r="11470" spans="20:20">
      <c r="T11470" s="10"/>
    </row>
    <row r="11471" spans="20:20">
      <c r="T11471" s="10"/>
    </row>
    <row r="11472" spans="20:20">
      <c r="T11472" s="10"/>
    </row>
    <row r="11473" spans="20:20">
      <c r="T11473" s="10"/>
    </row>
    <row r="11474" spans="20:20">
      <c r="T11474" s="10"/>
    </row>
    <row r="11475" spans="20:20">
      <c r="T11475" s="10"/>
    </row>
    <row r="11476" spans="20:20">
      <c r="T11476" s="10"/>
    </row>
    <row r="11477" spans="20:20">
      <c r="T11477" s="10"/>
    </row>
    <row r="11478" spans="20:20">
      <c r="T11478" s="10"/>
    </row>
    <row r="11479" spans="20:20">
      <c r="T11479" s="10"/>
    </row>
    <row r="11480" spans="20:20">
      <c r="T11480" s="10"/>
    </row>
    <row r="11481" spans="20:20">
      <c r="T11481" s="10"/>
    </row>
    <row r="11482" spans="20:20">
      <c r="T11482" s="10"/>
    </row>
    <row r="11483" spans="20:20">
      <c r="T11483" s="10"/>
    </row>
    <row r="11484" spans="20:20">
      <c r="T11484" s="10"/>
    </row>
    <row r="11485" spans="20:20">
      <c r="T11485" s="10"/>
    </row>
    <row r="11486" spans="20:20">
      <c r="T11486" s="10"/>
    </row>
    <row r="11487" spans="20:20">
      <c r="T11487" s="10"/>
    </row>
    <row r="11488" spans="20:20">
      <c r="T11488" s="10"/>
    </row>
    <row r="11489" spans="20:20">
      <c r="T11489" s="10"/>
    </row>
    <row r="11490" spans="20:20">
      <c r="T11490" s="10"/>
    </row>
    <row r="11491" spans="20:20">
      <c r="T11491" s="10"/>
    </row>
    <row r="11492" spans="20:20">
      <c r="T11492" s="10"/>
    </row>
    <row r="11493" spans="20:20">
      <c r="T11493" s="10"/>
    </row>
    <row r="11494" spans="20:20">
      <c r="T11494" s="10"/>
    </row>
    <row r="11495" spans="20:20">
      <c r="T11495" s="10"/>
    </row>
    <row r="11496" spans="20:20">
      <c r="T11496" s="10"/>
    </row>
    <row r="11497" spans="20:20">
      <c r="T11497" s="10"/>
    </row>
    <row r="11498" spans="20:20">
      <c r="T11498" s="10"/>
    </row>
    <row r="11499" spans="20:20">
      <c r="T11499" s="10"/>
    </row>
    <row r="11500" spans="20:20">
      <c r="T11500" s="10"/>
    </row>
    <row r="11501" spans="20:20">
      <c r="T11501" s="10"/>
    </row>
    <row r="11502" spans="20:20">
      <c r="T11502" s="10"/>
    </row>
    <row r="11503" spans="20:20">
      <c r="T11503" s="10"/>
    </row>
    <row r="11504" spans="20:20">
      <c r="T11504" s="10"/>
    </row>
    <row r="11505" spans="20:20">
      <c r="T11505" s="10"/>
    </row>
    <row r="11506" spans="20:20">
      <c r="T11506" s="10"/>
    </row>
    <row r="11507" spans="20:20">
      <c r="T11507" s="10"/>
    </row>
    <row r="11508" spans="20:20">
      <c r="T11508" s="10"/>
    </row>
    <row r="11509" spans="20:20">
      <c r="T11509" s="10"/>
    </row>
    <row r="11510" spans="20:20">
      <c r="T11510" s="10"/>
    </row>
    <row r="11511" spans="20:20">
      <c r="T11511" s="10"/>
    </row>
    <row r="11512" spans="20:20">
      <c r="T11512" s="10"/>
    </row>
    <row r="11513" spans="20:20">
      <c r="T11513" s="10"/>
    </row>
    <row r="11514" spans="20:20">
      <c r="T11514" s="10"/>
    </row>
    <row r="11515" spans="20:20">
      <c r="T11515" s="10"/>
    </row>
    <row r="11516" spans="20:20">
      <c r="T11516" s="10"/>
    </row>
    <row r="11517" spans="20:20">
      <c r="T11517" s="10"/>
    </row>
    <row r="11518" spans="20:20">
      <c r="T11518" s="10"/>
    </row>
    <row r="11519" spans="20:20">
      <c r="T11519" s="10"/>
    </row>
    <row r="11520" spans="20:20">
      <c r="T11520" s="10"/>
    </row>
    <row r="11521" spans="20:20">
      <c r="T11521" s="10"/>
    </row>
    <row r="11522" spans="20:20">
      <c r="T11522" s="10"/>
    </row>
    <row r="11523" spans="20:20">
      <c r="T11523" s="10"/>
    </row>
    <row r="11524" spans="20:20">
      <c r="T11524" s="10"/>
    </row>
    <row r="11525" spans="20:20">
      <c r="T11525" s="10"/>
    </row>
    <row r="11526" spans="20:20">
      <c r="T11526" s="10"/>
    </row>
    <row r="11527" spans="20:20">
      <c r="T11527" s="10"/>
    </row>
    <row r="11528" spans="20:20">
      <c r="T11528" s="10"/>
    </row>
    <row r="11529" spans="20:20">
      <c r="T11529" s="10"/>
    </row>
    <row r="11530" spans="20:20">
      <c r="T11530" s="10"/>
    </row>
    <row r="11531" spans="20:20">
      <c r="T11531" s="10"/>
    </row>
    <row r="11532" spans="20:20">
      <c r="T11532" s="10"/>
    </row>
    <row r="11533" spans="20:20">
      <c r="T11533" s="10"/>
    </row>
    <row r="11534" spans="20:20">
      <c r="T11534" s="10"/>
    </row>
    <row r="11535" spans="20:20">
      <c r="T11535" s="10"/>
    </row>
    <row r="11536" spans="20:20">
      <c r="T11536" s="10"/>
    </row>
    <row r="11537" spans="20:20">
      <c r="T11537" s="10"/>
    </row>
    <row r="11538" spans="20:20">
      <c r="T11538" s="10"/>
    </row>
    <row r="11539" spans="20:20">
      <c r="T11539" s="10"/>
    </row>
    <row r="11540" spans="20:20">
      <c r="T11540" s="10"/>
    </row>
    <row r="11541" spans="20:20">
      <c r="T11541" s="10"/>
    </row>
    <row r="11542" spans="20:20">
      <c r="T11542" s="10"/>
    </row>
    <row r="11543" spans="20:20">
      <c r="T11543" s="10"/>
    </row>
    <row r="11544" spans="20:20">
      <c r="T11544" s="10"/>
    </row>
    <row r="11545" spans="20:20">
      <c r="T11545" s="10"/>
    </row>
    <row r="11546" spans="20:20">
      <c r="T11546" s="10"/>
    </row>
    <row r="11547" spans="20:20">
      <c r="T11547" s="10"/>
    </row>
    <row r="11548" spans="20:20">
      <c r="T11548" s="10"/>
    </row>
    <row r="11549" spans="20:20">
      <c r="T11549" s="10"/>
    </row>
    <row r="11550" spans="20:20">
      <c r="T11550" s="10"/>
    </row>
    <row r="11551" spans="20:20">
      <c r="T11551" s="10"/>
    </row>
    <row r="11552" spans="20:20">
      <c r="T11552" s="10"/>
    </row>
    <row r="11553" spans="20:20">
      <c r="T11553" s="10"/>
    </row>
    <row r="11554" spans="20:20">
      <c r="T11554" s="10"/>
    </row>
    <row r="11555" spans="20:20">
      <c r="T11555" s="10"/>
    </row>
    <row r="11556" spans="20:20">
      <c r="T11556" s="10"/>
    </row>
    <row r="11557" spans="20:20">
      <c r="T11557" s="10"/>
    </row>
    <row r="11558" spans="20:20">
      <c r="T11558" s="10"/>
    </row>
    <row r="11559" spans="20:20">
      <c r="T11559" s="10"/>
    </row>
    <row r="11560" spans="20:20">
      <c r="T11560" s="10"/>
    </row>
    <row r="11561" spans="20:20">
      <c r="T11561" s="10"/>
    </row>
    <row r="11562" spans="20:20">
      <c r="T11562" s="10"/>
    </row>
    <row r="11563" spans="20:20">
      <c r="T11563" s="10"/>
    </row>
    <row r="11564" spans="20:20">
      <c r="T11564" s="10"/>
    </row>
    <row r="11565" spans="20:20">
      <c r="T11565" s="10"/>
    </row>
    <row r="11566" spans="20:20">
      <c r="T11566" s="10"/>
    </row>
    <row r="11567" spans="20:20">
      <c r="T11567" s="10"/>
    </row>
    <row r="11568" spans="20:20">
      <c r="T11568" s="10"/>
    </row>
    <row r="11569" spans="20:20">
      <c r="T11569" s="10"/>
    </row>
    <row r="11570" spans="20:20">
      <c r="T11570" s="10"/>
    </row>
    <row r="11571" spans="20:20">
      <c r="T11571" s="10"/>
    </row>
    <row r="11572" spans="20:20">
      <c r="T11572" s="10"/>
    </row>
    <row r="11573" spans="20:20">
      <c r="T11573" s="10"/>
    </row>
    <row r="11574" spans="20:20">
      <c r="T11574" s="10"/>
    </row>
    <row r="11575" spans="20:20">
      <c r="T11575" s="10"/>
    </row>
    <row r="11576" spans="20:20">
      <c r="T11576" s="10"/>
    </row>
    <row r="11577" spans="20:20">
      <c r="T11577" s="10"/>
    </row>
    <row r="11578" spans="20:20">
      <c r="T11578" s="10"/>
    </row>
    <row r="11579" spans="20:20">
      <c r="T11579" s="10"/>
    </row>
    <row r="11580" spans="20:20">
      <c r="T11580" s="10"/>
    </row>
    <row r="11581" spans="20:20">
      <c r="T11581" s="10"/>
    </row>
    <row r="11582" spans="20:20">
      <c r="T11582" s="10"/>
    </row>
    <row r="11583" spans="20:20">
      <c r="T11583" s="10"/>
    </row>
    <row r="11584" spans="20:20">
      <c r="T11584" s="10"/>
    </row>
    <row r="11585" spans="20:20">
      <c r="T11585" s="10"/>
    </row>
    <row r="11586" spans="20:20">
      <c r="T11586" s="10"/>
    </row>
    <row r="11587" spans="20:20">
      <c r="T11587" s="10"/>
    </row>
    <row r="11588" spans="20:20">
      <c r="T11588" s="10"/>
    </row>
    <row r="11589" spans="20:20">
      <c r="T11589" s="10"/>
    </row>
    <row r="11590" spans="20:20">
      <c r="T11590" s="10"/>
    </row>
    <row r="11591" spans="20:20">
      <c r="T11591" s="10"/>
    </row>
    <row r="11592" spans="20:20">
      <c r="T11592" s="10"/>
    </row>
    <row r="11593" spans="20:20">
      <c r="T11593" s="10"/>
    </row>
    <row r="11594" spans="20:20">
      <c r="T11594" s="10"/>
    </row>
    <row r="11595" spans="20:20">
      <c r="T11595" s="10"/>
    </row>
    <row r="11596" spans="20:20">
      <c r="T11596" s="10"/>
    </row>
    <row r="11597" spans="20:20">
      <c r="T11597" s="10"/>
    </row>
    <row r="11598" spans="20:20">
      <c r="T11598" s="10"/>
    </row>
    <row r="11599" spans="20:20">
      <c r="T11599" s="10"/>
    </row>
    <row r="11600" spans="20:20">
      <c r="T11600" s="10"/>
    </row>
    <row r="11601" spans="20:20">
      <c r="T11601" s="10"/>
    </row>
    <row r="11602" spans="20:20">
      <c r="T11602" s="10"/>
    </row>
    <row r="11603" spans="20:20">
      <c r="T11603" s="10"/>
    </row>
    <row r="11604" spans="20:20">
      <c r="T11604" s="10"/>
    </row>
    <row r="11605" spans="20:20">
      <c r="T11605" s="10"/>
    </row>
    <row r="11606" spans="20:20">
      <c r="T11606" s="10"/>
    </row>
    <row r="11607" spans="20:20">
      <c r="T11607" s="10"/>
    </row>
    <row r="11608" spans="20:20">
      <c r="T11608" s="10"/>
    </row>
    <row r="11609" spans="20:20">
      <c r="T11609" s="10"/>
    </row>
    <row r="11610" spans="20:20">
      <c r="T11610" s="10"/>
    </row>
    <row r="11611" spans="20:20">
      <c r="T11611" s="10"/>
    </row>
    <row r="11612" spans="20:20">
      <c r="T11612" s="10"/>
    </row>
    <row r="11613" spans="20:20">
      <c r="T11613" s="10"/>
    </row>
    <row r="11614" spans="20:20">
      <c r="T11614" s="10"/>
    </row>
    <row r="11615" spans="20:20">
      <c r="T11615" s="10"/>
    </row>
    <row r="11616" spans="20:20">
      <c r="T11616" s="10"/>
    </row>
    <row r="11617" spans="20:20">
      <c r="T11617" s="10"/>
    </row>
    <row r="11618" spans="20:20">
      <c r="T11618" s="10"/>
    </row>
    <row r="11619" spans="20:20">
      <c r="T11619" s="10"/>
    </row>
    <row r="11620" spans="20:20">
      <c r="T11620" s="10"/>
    </row>
    <row r="11621" spans="20:20">
      <c r="T11621" s="10"/>
    </row>
    <row r="11622" spans="20:20">
      <c r="T11622" s="10"/>
    </row>
    <row r="11623" spans="20:20">
      <c r="T11623" s="10"/>
    </row>
    <row r="11624" spans="20:20">
      <c r="T11624" s="10"/>
    </row>
    <row r="11625" spans="20:20">
      <c r="T11625" s="10"/>
    </row>
    <row r="11626" spans="20:20">
      <c r="T11626" s="10"/>
    </row>
    <row r="11627" spans="20:20">
      <c r="T11627" s="10"/>
    </row>
    <row r="11628" spans="20:20">
      <c r="T11628" s="10"/>
    </row>
    <row r="11629" spans="20:20">
      <c r="T11629" s="10"/>
    </row>
    <row r="11630" spans="20:20">
      <c r="T11630" s="10"/>
    </row>
    <row r="11631" spans="20:20">
      <c r="T11631" s="10"/>
    </row>
    <row r="11632" spans="20:20">
      <c r="T11632" s="10"/>
    </row>
    <row r="11633" spans="20:20">
      <c r="T11633" s="10"/>
    </row>
    <row r="11634" spans="20:20">
      <c r="T11634" s="10"/>
    </row>
    <row r="11635" spans="20:20">
      <c r="T11635" s="10"/>
    </row>
    <row r="11636" spans="20:20">
      <c r="T11636" s="10"/>
    </row>
    <row r="11637" spans="20:20">
      <c r="T11637" s="10"/>
    </row>
    <row r="11638" spans="20:20">
      <c r="T11638" s="10"/>
    </row>
    <row r="11639" spans="20:20">
      <c r="T11639" s="10"/>
    </row>
    <row r="11640" spans="20:20">
      <c r="T11640" s="10"/>
    </row>
    <row r="11641" spans="20:20">
      <c r="T11641" s="10"/>
    </row>
    <row r="11642" spans="20:20">
      <c r="T11642" s="10"/>
    </row>
    <row r="11643" spans="20:20">
      <c r="T11643" s="10"/>
    </row>
    <row r="11644" spans="20:20">
      <c r="T11644" s="10"/>
    </row>
    <row r="11645" spans="20:20">
      <c r="T11645" s="10"/>
    </row>
    <row r="11646" spans="20:20">
      <c r="T11646" s="10"/>
    </row>
    <row r="11647" spans="20:20">
      <c r="T11647" s="10"/>
    </row>
    <row r="11648" spans="20:20">
      <c r="T11648" s="10"/>
    </row>
    <row r="11649" spans="20:20">
      <c r="T11649" s="10"/>
    </row>
    <row r="11650" spans="20:20">
      <c r="T11650" s="10"/>
    </row>
    <row r="11651" spans="20:20">
      <c r="T11651" s="10"/>
    </row>
    <row r="11652" spans="20:20">
      <c r="T11652" s="10"/>
    </row>
    <row r="11653" spans="20:20">
      <c r="T11653" s="10"/>
    </row>
    <row r="11654" spans="20:20">
      <c r="T11654" s="10"/>
    </row>
    <row r="11655" spans="20:20">
      <c r="T11655" s="10"/>
    </row>
    <row r="11656" spans="20:20">
      <c r="T11656" s="10"/>
    </row>
    <row r="11657" spans="20:20">
      <c r="T11657" s="10"/>
    </row>
    <row r="11658" spans="20:20">
      <c r="T11658" s="10"/>
    </row>
    <row r="11659" spans="20:20">
      <c r="T11659" s="10"/>
    </row>
    <row r="11660" spans="20:20">
      <c r="T11660" s="10"/>
    </row>
    <row r="11661" spans="20:20">
      <c r="T11661" s="10"/>
    </row>
    <row r="11662" spans="20:20">
      <c r="T11662" s="10"/>
    </row>
    <row r="11663" spans="20:20">
      <c r="T11663" s="10"/>
    </row>
    <row r="11664" spans="20:20">
      <c r="T11664" s="10"/>
    </row>
    <row r="11665" spans="20:20">
      <c r="T11665" s="10"/>
    </row>
    <row r="11666" spans="20:20">
      <c r="T11666" s="10"/>
    </row>
    <row r="11667" spans="20:20">
      <c r="T11667" s="10"/>
    </row>
    <row r="11668" spans="20:20">
      <c r="T11668" s="10"/>
    </row>
    <row r="11669" spans="20:20">
      <c r="T11669" s="10"/>
    </row>
    <row r="11670" spans="20:20">
      <c r="T11670" s="10"/>
    </row>
    <row r="11671" spans="20:20">
      <c r="T11671" s="10"/>
    </row>
    <row r="11672" spans="20:20">
      <c r="T11672" s="10"/>
    </row>
    <row r="11673" spans="20:20">
      <c r="T11673" s="10"/>
    </row>
    <row r="11674" spans="20:20">
      <c r="T11674" s="10"/>
    </row>
    <row r="11675" spans="20:20">
      <c r="T11675" s="10"/>
    </row>
    <row r="11676" spans="20:20">
      <c r="T11676" s="10"/>
    </row>
    <row r="11677" spans="20:20">
      <c r="T11677" s="10"/>
    </row>
    <row r="11678" spans="20:20">
      <c r="T11678" s="10"/>
    </row>
    <row r="11679" spans="20:20">
      <c r="T11679" s="10"/>
    </row>
    <row r="11680" spans="20:20">
      <c r="T11680" s="10"/>
    </row>
    <row r="11681" spans="20:20">
      <c r="T11681" s="10"/>
    </row>
    <row r="11682" spans="20:20">
      <c r="T11682" s="10"/>
    </row>
    <row r="11683" spans="20:20">
      <c r="T11683" s="10"/>
    </row>
    <row r="11684" spans="20:20">
      <c r="T11684" s="10"/>
    </row>
    <row r="11685" spans="20:20">
      <c r="T11685" s="10"/>
    </row>
    <row r="11686" spans="20:20">
      <c r="T11686" s="10"/>
    </row>
    <row r="11687" spans="20:20">
      <c r="T11687" s="10"/>
    </row>
    <row r="11688" spans="20:20">
      <c r="T11688" s="10"/>
    </row>
    <row r="11689" spans="20:20">
      <c r="T11689" s="10"/>
    </row>
    <row r="11690" spans="20:20">
      <c r="T11690" s="10"/>
    </row>
    <row r="11691" spans="20:20">
      <c r="T11691" s="10"/>
    </row>
    <row r="11692" spans="20:20">
      <c r="T11692" s="10"/>
    </row>
    <row r="11693" spans="20:20">
      <c r="T11693" s="10"/>
    </row>
    <row r="11694" spans="20:20">
      <c r="T11694" s="10"/>
    </row>
    <row r="11695" spans="20:20">
      <c r="T11695" s="10"/>
    </row>
    <row r="11696" spans="20:20">
      <c r="T11696" s="10"/>
    </row>
    <row r="11697" spans="20:20">
      <c r="T11697" s="10"/>
    </row>
    <row r="11698" spans="20:20">
      <c r="T11698" s="10"/>
    </row>
    <row r="11699" spans="20:20">
      <c r="T11699" s="10"/>
    </row>
    <row r="11700" spans="20:20">
      <c r="T11700" s="10"/>
    </row>
    <row r="11701" spans="20:20">
      <c r="T11701" s="10"/>
    </row>
    <row r="11702" spans="20:20">
      <c r="T11702" s="10"/>
    </row>
    <row r="11703" spans="20:20">
      <c r="T11703" s="10"/>
    </row>
    <row r="11704" spans="20:20">
      <c r="T11704" s="10"/>
    </row>
    <row r="11705" spans="20:20">
      <c r="T11705" s="10"/>
    </row>
    <row r="11706" spans="20:20">
      <c r="T11706" s="10"/>
    </row>
    <row r="11707" spans="20:20">
      <c r="T11707" s="10"/>
    </row>
    <row r="11708" spans="20:20">
      <c r="T11708" s="10"/>
    </row>
    <row r="11709" spans="20:20">
      <c r="T11709" s="10"/>
    </row>
    <row r="11710" spans="20:20">
      <c r="T11710" s="10"/>
    </row>
    <row r="11711" spans="20:20">
      <c r="T11711" s="10"/>
    </row>
    <row r="11712" spans="20:20">
      <c r="T11712" s="10"/>
    </row>
    <row r="11713" spans="20:20">
      <c r="T11713" s="10"/>
    </row>
    <row r="11714" spans="20:20">
      <c r="T11714" s="10"/>
    </row>
    <row r="11715" spans="20:20">
      <c r="T11715" s="10"/>
    </row>
    <row r="11716" spans="20:20">
      <c r="T11716" s="10"/>
    </row>
    <row r="11717" spans="20:20">
      <c r="T11717" s="10"/>
    </row>
    <row r="11718" spans="20:20">
      <c r="T11718" s="10"/>
    </row>
    <row r="11719" spans="20:20">
      <c r="T11719" s="10"/>
    </row>
    <row r="11720" spans="20:20">
      <c r="T11720" s="10"/>
    </row>
    <row r="11721" spans="20:20">
      <c r="T11721" s="10"/>
    </row>
    <row r="11722" spans="20:20">
      <c r="T11722" s="10"/>
    </row>
    <row r="11723" spans="20:20">
      <c r="T11723" s="10"/>
    </row>
    <row r="11724" spans="20:20">
      <c r="T11724" s="10"/>
    </row>
    <row r="11725" spans="20:20">
      <c r="T11725" s="10"/>
    </row>
    <row r="11726" spans="20:20">
      <c r="T11726" s="10"/>
    </row>
    <row r="11727" spans="20:20">
      <c r="T11727" s="10"/>
    </row>
    <row r="11728" spans="20:20">
      <c r="T11728" s="10"/>
    </row>
    <row r="11729" spans="20:20">
      <c r="T11729" s="10"/>
    </row>
    <row r="11730" spans="20:20">
      <c r="T11730" s="10"/>
    </row>
    <row r="11731" spans="20:20">
      <c r="T11731" s="10"/>
    </row>
    <row r="11732" spans="20:20">
      <c r="T11732" s="10"/>
    </row>
    <row r="11733" spans="20:20">
      <c r="T11733" s="10"/>
    </row>
    <row r="11734" spans="20:20">
      <c r="T11734" s="10"/>
    </row>
    <row r="11735" spans="20:20">
      <c r="T11735" s="10"/>
    </row>
    <row r="11736" spans="20:20">
      <c r="T11736" s="10"/>
    </row>
    <row r="11737" spans="20:20">
      <c r="T11737" s="10"/>
    </row>
    <row r="11738" spans="20:20">
      <c r="T11738" s="10"/>
    </row>
    <row r="11739" spans="20:20">
      <c r="T11739" s="10"/>
    </row>
    <row r="11740" spans="20:20">
      <c r="T11740" s="10"/>
    </row>
    <row r="11741" spans="20:20">
      <c r="T11741" s="10"/>
    </row>
    <row r="11742" spans="20:20">
      <c r="T11742" s="10"/>
    </row>
    <row r="11743" spans="20:20">
      <c r="T11743" s="10"/>
    </row>
    <row r="11744" spans="20:20">
      <c r="T11744" s="10"/>
    </row>
    <row r="11745" spans="20:20">
      <c r="T11745" s="10"/>
    </row>
    <row r="11746" spans="20:20">
      <c r="T11746" s="10"/>
    </row>
    <row r="11747" spans="20:20">
      <c r="T11747" s="10"/>
    </row>
    <row r="11748" spans="20:20">
      <c r="T11748" s="10"/>
    </row>
    <row r="11749" spans="20:20">
      <c r="T11749" s="10"/>
    </row>
    <row r="11750" spans="20:20">
      <c r="T11750" s="10"/>
    </row>
    <row r="11751" spans="20:20">
      <c r="T11751" s="10"/>
    </row>
    <row r="11752" spans="20:20">
      <c r="T11752" s="10"/>
    </row>
    <row r="11753" spans="20:20">
      <c r="T11753" s="10"/>
    </row>
    <row r="11754" spans="20:20">
      <c r="T11754" s="10"/>
    </row>
    <row r="11755" spans="20:20">
      <c r="T11755" s="10"/>
    </row>
    <row r="11756" spans="20:20">
      <c r="T11756" s="10"/>
    </row>
    <row r="11757" spans="20:20">
      <c r="T11757" s="10"/>
    </row>
    <row r="11758" spans="20:20">
      <c r="T11758" s="10"/>
    </row>
    <row r="11759" spans="20:20">
      <c r="T11759" s="10"/>
    </row>
    <row r="11760" spans="20:20">
      <c r="T11760" s="10"/>
    </row>
    <row r="11761" spans="20:20">
      <c r="T11761" s="10"/>
    </row>
    <row r="11762" spans="20:20">
      <c r="T11762" s="10"/>
    </row>
    <row r="11763" spans="20:20">
      <c r="T11763" s="10"/>
    </row>
    <row r="11764" spans="20:20">
      <c r="T11764" s="10"/>
    </row>
    <row r="11765" spans="20:20">
      <c r="T11765" s="10"/>
    </row>
    <row r="11766" spans="20:20">
      <c r="T11766" s="10"/>
    </row>
    <row r="11767" spans="20:20">
      <c r="T11767" s="10"/>
    </row>
    <row r="11768" spans="20:20">
      <c r="T11768" s="10"/>
    </row>
    <row r="11769" spans="20:20">
      <c r="T11769" s="10"/>
    </row>
    <row r="11770" spans="20:20">
      <c r="T11770" s="10"/>
    </row>
    <row r="11771" spans="20:20">
      <c r="T11771" s="10"/>
    </row>
    <row r="11772" spans="20:20">
      <c r="T11772" s="10"/>
    </row>
    <row r="11773" spans="20:20">
      <c r="T11773" s="10"/>
    </row>
    <row r="11774" spans="20:20">
      <c r="T11774" s="10"/>
    </row>
    <row r="11775" spans="20:20">
      <c r="T11775" s="10"/>
    </row>
    <row r="11776" spans="20:20">
      <c r="T11776" s="10"/>
    </row>
    <row r="11777" spans="20:20">
      <c r="T11777" s="10"/>
    </row>
    <row r="11778" spans="20:20">
      <c r="T11778" s="10"/>
    </row>
    <row r="11779" spans="20:20">
      <c r="T11779" s="10"/>
    </row>
    <row r="11780" spans="20:20">
      <c r="T11780" s="10"/>
    </row>
    <row r="11781" spans="20:20">
      <c r="T11781" s="10"/>
    </row>
    <row r="11782" spans="20:20">
      <c r="T11782" s="10"/>
    </row>
    <row r="11783" spans="20:20">
      <c r="T11783" s="10"/>
    </row>
    <row r="11784" spans="20:20">
      <c r="T11784" s="10"/>
    </row>
    <row r="11785" spans="20:20">
      <c r="T11785" s="10"/>
    </row>
    <row r="11786" spans="20:20">
      <c r="T11786" s="10"/>
    </row>
    <row r="11787" spans="20:20">
      <c r="T11787" s="10"/>
    </row>
    <row r="11788" spans="20:20">
      <c r="T11788" s="10"/>
    </row>
    <row r="11789" spans="20:20">
      <c r="T11789" s="10"/>
    </row>
    <row r="11790" spans="20:20">
      <c r="T11790" s="10"/>
    </row>
    <row r="11791" spans="20:20">
      <c r="T11791" s="10"/>
    </row>
    <row r="11792" spans="20:20">
      <c r="T11792" s="10"/>
    </row>
    <row r="11793" spans="20:20">
      <c r="T11793" s="10"/>
    </row>
    <row r="11794" spans="20:20">
      <c r="T11794" s="10"/>
    </row>
    <row r="11795" spans="20:20">
      <c r="T11795" s="10"/>
    </row>
    <row r="11796" spans="20:20">
      <c r="T11796" s="10"/>
    </row>
    <row r="11797" spans="20:20">
      <c r="T11797" s="10"/>
    </row>
    <row r="11798" spans="20:20">
      <c r="T11798" s="10"/>
    </row>
    <row r="11799" spans="20:20">
      <c r="T11799" s="10"/>
    </row>
    <row r="11800" spans="20:20">
      <c r="T11800" s="10"/>
    </row>
    <row r="11801" spans="20:20">
      <c r="T11801" s="10"/>
    </row>
    <row r="11802" spans="20:20">
      <c r="T11802" s="10"/>
    </row>
    <row r="11803" spans="20:20">
      <c r="T11803" s="10"/>
    </row>
    <row r="11804" spans="20:20">
      <c r="T11804" s="10"/>
    </row>
    <row r="11805" spans="20:20">
      <c r="T11805" s="10"/>
    </row>
    <row r="11806" spans="20:20">
      <c r="T11806" s="10"/>
    </row>
    <row r="11807" spans="20:20">
      <c r="T11807" s="10"/>
    </row>
    <row r="11808" spans="20:20">
      <c r="T11808" s="10"/>
    </row>
    <row r="11809" spans="20:20">
      <c r="T11809" s="10"/>
    </row>
    <row r="11810" spans="20:20">
      <c r="T11810" s="10"/>
    </row>
    <row r="11811" spans="20:20">
      <c r="T11811" s="10"/>
    </row>
    <row r="11812" spans="20:20">
      <c r="T11812" s="10"/>
    </row>
    <row r="11813" spans="20:20">
      <c r="T11813" s="10"/>
    </row>
    <row r="11814" spans="20:20">
      <c r="T11814" s="10"/>
    </row>
    <row r="11815" spans="20:20">
      <c r="T11815" s="10"/>
    </row>
    <row r="11816" spans="20:20">
      <c r="T11816" s="10"/>
    </row>
    <row r="11817" spans="20:20">
      <c r="T11817" s="10"/>
    </row>
    <row r="11818" spans="20:20">
      <c r="T11818" s="10"/>
    </row>
    <row r="11819" spans="20:20">
      <c r="T11819" s="10"/>
    </row>
    <row r="11820" spans="20:20">
      <c r="T11820" s="10"/>
    </row>
    <row r="11821" spans="20:20">
      <c r="T11821" s="10"/>
    </row>
    <row r="11822" spans="20:20">
      <c r="T11822" s="10"/>
    </row>
    <row r="11823" spans="20:20">
      <c r="T11823" s="10"/>
    </row>
    <row r="11824" spans="20:20">
      <c r="T11824" s="10"/>
    </row>
    <row r="11825" spans="20:20">
      <c r="T11825" s="10"/>
    </row>
    <row r="11826" spans="20:20">
      <c r="T11826" s="10"/>
    </row>
    <row r="11827" spans="20:20">
      <c r="T11827" s="10"/>
    </row>
    <row r="11828" spans="20:20">
      <c r="T11828" s="10"/>
    </row>
    <row r="11829" spans="20:20">
      <c r="T11829" s="10"/>
    </row>
    <row r="11830" spans="20:20">
      <c r="T11830" s="10"/>
    </row>
    <row r="11831" spans="20:20">
      <c r="T11831" s="10"/>
    </row>
    <row r="11832" spans="20:20">
      <c r="T11832" s="10"/>
    </row>
    <row r="11833" spans="20:20">
      <c r="T11833" s="10"/>
    </row>
    <row r="11834" spans="20:20">
      <c r="T11834" s="10"/>
    </row>
    <row r="11835" spans="20:20">
      <c r="T11835" s="10"/>
    </row>
    <row r="11836" spans="20:20">
      <c r="T11836" s="10"/>
    </row>
    <row r="11837" spans="20:20">
      <c r="T11837" s="10"/>
    </row>
    <row r="11838" spans="20:20">
      <c r="T11838" s="10"/>
    </row>
    <row r="11839" spans="20:20">
      <c r="T11839" s="10"/>
    </row>
    <row r="11840" spans="20:20">
      <c r="T11840" s="10"/>
    </row>
    <row r="11841" spans="20:20">
      <c r="T11841" s="10"/>
    </row>
    <row r="11842" spans="20:20">
      <c r="T11842" s="10"/>
    </row>
    <row r="11843" spans="20:20">
      <c r="T11843" s="10"/>
    </row>
    <row r="11844" spans="20:20">
      <c r="T11844" s="10"/>
    </row>
    <row r="11845" spans="20:20">
      <c r="T11845" s="10"/>
    </row>
    <row r="11846" spans="20:20">
      <c r="T11846" s="10"/>
    </row>
    <row r="11847" spans="20:20">
      <c r="T11847" s="10"/>
    </row>
    <row r="11848" spans="20:20">
      <c r="T11848" s="10"/>
    </row>
    <row r="11849" spans="20:20">
      <c r="T11849" s="10"/>
    </row>
    <row r="11850" spans="20:20">
      <c r="T11850" s="10"/>
    </row>
    <row r="11851" spans="20:20">
      <c r="T11851" s="10"/>
    </row>
    <row r="11852" spans="20:20">
      <c r="T11852" s="10"/>
    </row>
    <row r="11853" spans="20:20">
      <c r="T11853" s="10"/>
    </row>
    <row r="11854" spans="20:20">
      <c r="T11854" s="10"/>
    </row>
    <row r="11855" spans="20:20">
      <c r="T11855" s="10"/>
    </row>
    <row r="11856" spans="20:20">
      <c r="T11856" s="10"/>
    </row>
    <row r="11857" spans="20:20">
      <c r="T11857" s="10"/>
    </row>
    <row r="11858" spans="20:20">
      <c r="T11858" s="10"/>
    </row>
    <row r="11859" spans="20:20">
      <c r="T11859" s="10"/>
    </row>
    <row r="11860" spans="20:20">
      <c r="T11860" s="10"/>
    </row>
    <row r="11861" spans="20:20">
      <c r="T11861" s="10"/>
    </row>
    <row r="11862" spans="20:20">
      <c r="T11862" s="10"/>
    </row>
    <row r="11863" spans="20:20">
      <c r="T11863" s="10"/>
    </row>
    <row r="11864" spans="20:20">
      <c r="T11864" s="10"/>
    </row>
    <row r="11865" spans="20:20">
      <c r="T11865" s="10"/>
    </row>
    <row r="11866" spans="20:20">
      <c r="T11866" s="10"/>
    </row>
    <row r="11867" spans="20:20">
      <c r="T11867" s="10"/>
    </row>
    <row r="11868" spans="20:20">
      <c r="T11868" s="10"/>
    </row>
    <row r="11869" spans="20:20">
      <c r="T11869" s="10"/>
    </row>
    <row r="11870" spans="20:20">
      <c r="T11870" s="10"/>
    </row>
    <row r="11871" spans="20:20">
      <c r="T11871" s="10"/>
    </row>
    <row r="11872" spans="20:20">
      <c r="T11872" s="10"/>
    </row>
    <row r="11873" spans="20:20">
      <c r="T11873" s="10"/>
    </row>
    <row r="11874" spans="20:20">
      <c r="T11874" s="10"/>
    </row>
    <row r="11875" spans="20:20">
      <c r="T11875" s="10"/>
    </row>
    <row r="11876" spans="20:20">
      <c r="T11876" s="10"/>
    </row>
    <row r="11877" spans="20:20">
      <c r="T11877" s="10"/>
    </row>
    <row r="11878" spans="20:20">
      <c r="T11878" s="10"/>
    </row>
    <row r="11879" spans="20:20">
      <c r="T11879" s="10"/>
    </row>
    <row r="11880" spans="20:20">
      <c r="T11880" s="10"/>
    </row>
    <row r="11881" spans="20:20">
      <c r="T11881" s="10"/>
    </row>
    <row r="11882" spans="20:20">
      <c r="T11882" s="10"/>
    </row>
    <row r="11883" spans="20:20">
      <c r="T11883" s="10"/>
    </row>
    <row r="11884" spans="20:20">
      <c r="T11884" s="10"/>
    </row>
    <row r="11885" spans="20:20">
      <c r="T11885" s="10"/>
    </row>
    <row r="11886" spans="20:20">
      <c r="T11886" s="10"/>
    </row>
    <row r="11887" spans="20:20">
      <c r="T11887" s="10"/>
    </row>
    <row r="11888" spans="20:20">
      <c r="T11888" s="10"/>
    </row>
    <row r="11889" spans="20:20">
      <c r="T11889" s="10"/>
    </row>
    <row r="11890" spans="20:20">
      <c r="T11890" s="10"/>
    </row>
    <row r="11891" spans="20:20">
      <c r="T11891" s="10"/>
    </row>
    <row r="11892" spans="20:20">
      <c r="T11892" s="10"/>
    </row>
    <row r="11893" spans="20:20">
      <c r="T11893" s="10"/>
    </row>
    <row r="11894" spans="20:20">
      <c r="T11894" s="10"/>
    </row>
    <row r="11895" spans="20:20">
      <c r="T11895" s="10"/>
    </row>
    <row r="11896" spans="20:20">
      <c r="T11896" s="10"/>
    </row>
    <row r="11897" spans="20:20">
      <c r="T11897" s="10"/>
    </row>
    <row r="11898" spans="20:20">
      <c r="T11898" s="10"/>
    </row>
    <row r="11899" spans="20:20">
      <c r="T11899" s="10"/>
    </row>
    <row r="11900" spans="20:20">
      <c r="T11900" s="10"/>
    </row>
    <row r="11901" spans="20:20">
      <c r="T11901" s="10"/>
    </row>
    <row r="11902" spans="20:20">
      <c r="T11902" s="10"/>
    </row>
    <row r="11903" spans="20:20">
      <c r="T11903" s="10"/>
    </row>
    <row r="11904" spans="20:20">
      <c r="T11904" s="10"/>
    </row>
    <row r="11905" spans="20:20">
      <c r="T11905" s="10"/>
    </row>
    <row r="11906" spans="20:20">
      <c r="T11906" s="10"/>
    </row>
    <row r="11907" spans="20:20">
      <c r="T11907" s="10"/>
    </row>
    <row r="11908" spans="20:20">
      <c r="T11908" s="10"/>
    </row>
    <row r="11909" spans="20:20">
      <c r="T11909" s="10"/>
    </row>
    <row r="11910" spans="20:20">
      <c r="T11910" s="10"/>
    </row>
    <row r="11911" spans="20:20">
      <c r="T11911" s="10"/>
    </row>
    <row r="11912" spans="20:20">
      <c r="T11912" s="10"/>
    </row>
    <row r="11913" spans="20:20">
      <c r="T11913" s="10"/>
    </row>
    <row r="11914" spans="20:20">
      <c r="T11914" s="10"/>
    </row>
    <row r="11915" spans="20:20">
      <c r="T11915" s="10"/>
    </row>
    <row r="11916" spans="20:20">
      <c r="T11916" s="10"/>
    </row>
    <row r="11917" spans="20:20">
      <c r="T11917" s="10"/>
    </row>
    <row r="11918" spans="20:20">
      <c r="T11918" s="10"/>
    </row>
    <row r="11919" spans="20:20">
      <c r="T11919" s="10"/>
    </row>
    <row r="11920" spans="20:20">
      <c r="T11920" s="10"/>
    </row>
    <row r="11921" spans="20:20">
      <c r="T11921" s="10"/>
    </row>
    <row r="11922" spans="20:20">
      <c r="T11922" s="10"/>
    </row>
    <row r="11923" spans="20:20">
      <c r="T11923" s="10"/>
    </row>
    <row r="11924" spans="20:20">
      <c r="T11924" s="10"/>
    </row>
    <row r="11925" spans="20:20">
      <c r="T11925" s="10"/>
    </row>
    <row r="11926" spans="20:20">
      <c r="T11926" s="10"/>
    </row>
    <row r="11927" spans="20:20">
      <c r="T11927" s="10"/>
    </row>
    <row r="11928" spans="20:20">
      <c r="T11928" s="10"/>
    </row>
    <row r="11929" spans="20:20">
      <c r="T11929" s="10"/>
    </row>
    <row r="11930" spans="20:20">
      <c r="T11930" s="10"/>
    </row>
    <row r="11931" spans="20:20">
      <c r="T11931" s="10"/>
    </row>
    <row r="11932" spans="20:20">
      <c r="T11932" s="10"/>
    </row>
    <row r="11933" spans="20:20">
      <c r="T11933" s="10"/>
    </row>
    <row r="11934" spans="20:20">
      <c r="T11934" s="10"/>
    </row>
    <row r="11935" spans="20:20">
      <c r="T11935" s="10"/>
    </row>
    <row r="11936" spans="20:20">
      <c r="T11936" s="10"/>
    </row>
    <row r="11937" spans="20:20">
      <c r="T11937" s="10"/>
    </row>
    <row r="11938" spans="20:20">
      <c r="T11938" s="10"/>
    </row>
    <row r="11939" spans="20:20">
      <c r="T11939" s="10"/>
    </row>
    <row r="11940" spans="20:20">
      <c r="T11940" s="10"/>
    </row>
    <row r="11941" spans="20:20">
      <c r="T11941" s="10"/>
    </row>
    <row r="11942" spans="20:20">
      <c r="T11942" s="10"/>
    </row>
    <row r="11943" spans="20:20">
      <c r="T11943" s="10"/>
    </row>
    <row r="11944" spans="20:20">
      <c r="T11944" s="10"/>
    </row>
    <row r="11945" spans="20:20">
      <c r="T11945" s="10"/>
    </row>
    <row r="11946" spans="20:20">
      <c r="T11946" s="10"/>
    </row>
    <row r="11947" spans="20:20">
      <c r="T11947" s="10"/>
    </row>
    <row r="11948" spans="20:20">
      <c r="T11948" s="10"/>
    </row>
    <row r="11949" spans="20:20">
      <c r="T11949" s="10"/>
    </row>
    <row r="11950" spans="20:20">
      <c r="T11950" s="10"/>
    </row>
    <row r="11951" spans="20:20">
      <c r="T11951" s="10"/>
    </row>
    <row r="11952" spans="20:20">
      <c r="T11952" s="10"/>
    </row>
    <row r="11953" spans="20:20">
      <c r="T11953" s="10"/>
    </row>
    <row r="11954" spans="20:20">
      <c r="T11954" s="10"/>
    </row>
    <row r="11955" spans="20:20">
      <c r="T11955" s="10"/>
    </row>
    <row r="11956" spans="20:20">
      <c r="T11956" s="10"/>
    </row>
    <row r="11957" spans="20:20">
      <c r="T11957" s="10"/>
    </row>
    <row r="11958" spans="20:20">
      <c r="T11958" s="10"/>
    </row>
    <row r="11959" spans="20:20">
      <c r="T11959" s="10"/>
    </row>
    <row r="11960" spans="20:20">
      <c r="T11960" s="10"/>
    </row>
    <row r="11961" spans="20:20">
      <c r="T11961" s="10"/>
    </row>
    <row r="11962" spans="20:20">
      <c r="T11962" s="10"/>
    </row>
    <row r="11963" spans="20:20">
      <c r="T11963" s="10"/>
    </row>
    <row r="11964" spans="20:20">
      <c r="T11964" s="10"/>
    </row>
    <row r="11965" spans="20:20">
      <c r="T11965" s="10"/>
    </row>
    <row r="11966" spans="20:20">
      <c r="T11966" s="10"/>
    </row>
    <row r="11967" spans="20:20">
      <c r="T11967" s="10"/>
    </row>
    <row r="11968" spans="20:20">
      <c r="T11968" s="10"/>
    </row>
    <row r="11969" spans="20:20">
      <c r="T11969" s="10"/>
    </row>
    <row r="11970" spans="20:20">
      <c r="T11970" s="10"/>
    </row>
    <row r="11971" spans="20:20">
      <c r="T11971" s="10"/>
    </row>
    <row r="11972" spans="20:20">
      <c r="T11972" s="10"/>
    </row>
    <row r="11973" spans="20:20">
      <c r="T11973" s="10"/>
    </row>
    <row r="11974" spans="20:20">
      <c r="T11974" s="10"/>
    </row>
    <row r="11975" spans="20:20">
      <c r="T11975" s="10"/>
    </row>
    <row r="11976" spans="20:20">
      <c r="T11976" s="10"/>
    </row>
    <row r="11977" spans="20:20">
      <c r="T11977" s="10"/>
    </row>
    <row r="11978" spans="20:20">
      <c r="T11978" s="10"/>
    </row>
    <row r="11979" spans="20:20">
      <c r="T11979" s="10"/>
    </row>
    <row r="11980" spans="20:20">
      <c r="T11980" s="10"/>
    </row>
    <row r="11981" spans="20:20">
      <c r="T11981" s="10"/>
    </row>
    <row r="11982" spans="20:20">
      <c r="T11982" s="10"/>
    </row>
    <row r="11983" spans="20:20">
      <c r="T11983" s="10"/>
    </row>
    <row r="11984" spans="20:20">
      <c r="T11984" s="10"/>
    </row>
    <row r="11985" spans="20:20">
      <c r="T11985" s="10"/>
    </row>
    <row r="11986" spans="20:20">
      <c r="T11986" s="10"/>
    </row>
    <row r="11987" spans="20:20">
      <c r="T11987" s="10"/>
    </row>
    <row r="11988" spans="20:20">
      <c r="T11988" s="10"/>
    </row>
    <row r="11989" spans="20:20">
      <c r="T11989" s="10"/>
    </row>
    <row r="11990" spans="20:20">
      <c r="T11990" s="10"/>
    </row>
    <row r="11991" spans="20:20">
      <c r="T11991" s="10"/>
    </row>
    <row r="11992" spans="20:20">
      <c r="T11992" s="10"/>
    </row>
    <row r="11993" spans="20:20">
      <c r="T11993" s="10"/>
    </row>
    <row r="11994" spans="20:20">
      <c r="T11994" s="10"/>
    </row>
    <row r="11995" spans="20:20">
      <c r="T11995" s="10"/>
    </row>
    <row r="11996" spans="20:20">
      <c r="T11996" s="10"/>
    </row>
    <row r="11997" spans="20:20">
      <c r="T11997" s="10"/>
    </row>
    <row r="11998" spans="20:20">
      <c r="T11998" s="10"/>
    </row>
    <row r="11999" spans="20:20">
      <c r="T11999" s="10"/>
    </row>
    <row r="12000" spans="20:20">
      <c r="T12000" s="10"/>
    </row>
    <row r="12001" spans="20:20">
      <c r="T12001" s="10"/>
    </row>
    <row r="12002" spans="20:20">
      <c r="T12002" s="10"/>
    </row>
    <row r="12003" spans="20:20">
      <c r="T12003" s="10"/>
    </row>
    <row r="12004" spans="20:20">
      <c r="T12004" s="10"/>
    </row>
    <row r="12005" spans="20:20">
      <c r="T12005" s="10"/>
    </row>
    <row r="12006" spans="20:20">
      <c r="T12006" s="10"/>
    </row>
    <row r="12007" spans="20:20">
      <c r="T12007" s="10"/>
    </row>
    <row r="12008" spans="20:20">
      <c r="T12008" s="10"/>
    </row>
    <row r="12009" spans="20:20">
      <c r="T12009" s="10"/>
    </row>
    <row r="12010" spans="20:20">
      <c r="T12010" s="10"/>
    </row>
    <row r="12011" spans="20:20">
      <c r="T12011" s="10"/>
    </row>
    <row r="12012" spans="20:20">
      <c r="T12012" s="10"/>
    </row>
    <row r="12013" spans="20:20">
      <c r="T12013" s="10"/>
    </row>
    <row r="12014" spans="20:20">
      <c r="T12014" s="10"/>
    </row>
    <row r="12015" spans="20:20">
      <c r="T12015" s="10"/>
    </row>
    <row r="12016" spans="20:20">
      <c r="T12016" s="10"/>
    </row>
    <row r="12017" spans="20:20">
      <c r="T12017" s="10"/>
    </row>
    <row r="12018" spans="20:20">
      <c r="T12018" s="10"/>
    </row>
    <row r="12019" spans="20:20">
      <c r="T12019" s="10"/>
    </row>
    <row r="12020" spans="20:20">
      <c r="T12020" s="10"/>
    </row>
    <row r="12021" spans="20:20">
      <c r="T12021" s="10"/>
    </row>
    <row r="12022" spans="20:20">
      <c r="T12022" s="10"/>
    </row>
    <row r="12023" spans="20:20">
      <c r="T12023" s="10"/>
    </row>
    <row r="12024" spans="20:20">
      <c r="T12024" s="10"/>
    </row>
    <row r="12025" spans="20:20">
      <c r="T12025" s="10"/>
    </row>
    <row r="12026" spans="20:20">
      <c r="T12026" s="10"/>
    </row>
    <row r="12027" spans="20:20">
      <c r="T12027" s="10"/>
    </row>
    <row r="12028" spans="20:20">
      <c r="T12028" s="10"/>
    </row>
    <row r="12029" spans="20:20">
      <c r="T12029" s="10"/>
    </row>
    <row r="12030" spans="20:20">
      <c r="T12030" s="10"/>
    </row>
    <row r="12031" spans="20:20">
      <c r="T12031" s="10"/>
    </row>
    <row r="12032" spans="20:20">
      <c r="T12032" s="10"/>
    </row>
    <row r="12033" spans="20:20">
      <c r="T12033" s="10"/>
    </row>
    <row r="12034" spans="20:20">
      <c r="T12034" s="10"/>
    </row>
    <row r="12035" spans="20:20">
      <c r="T12035" s="10"/>
    </row>
    <row r="12036" spans="20:20">
      <c r="T12036" s="10"/>
    </row>
    <row r="12037" spans="20:20">
      <c r="T12037" s="10"/>
    </row>
    <row r="12038" spans="20:20">
      <c r="T12038" s="10"/>
    </row>
    <row r="12039" spans="20:20">
      <c r="T12039" s="10"/>
    </row>
    <row r="12040" spans="20:20">
      <c r="T12040" s="10"/>
    </row>
    <row r="12041" spans="20:20">
      <c r="T12041" s="10"/>
    </row>
    <row r="12042" spans="20:20">
      <c r="T12042" s="10"/>
    </row>
    <row r="12043" spans="20:20">
      <c r="T12043" s="10"/>
    </row>
    <row r="12044" spans="20:20">
      <c r="T12044" s="10"/>
    </row>
    <row r="12045" spans="20:20">
      <c r="T12045" s="10"/>
    </row>
    <row r="12046" spans="20:20">
      <c r="T12046" s="10"/>
    </row>
    <row r="12047" spans="20:20">
      <c r="T12047" s="10"/>
    </row>
    <row r="12048" spans="20:20">
      <c r="T12048" s="10"/>
    </row>
    <row r="12049" spans="20:20">
      <c r="T12049" s="10"/>
    </row>
    <row r="12050" spans="20:20">
      <c r="T12050" s="10"/>
    </row>
    <row r="12051" spans="20:20">
      <c r="T12051" s="10"/>
    </row>
    <row r="12052" spans="20:20">
      <c r="T12052" s="10"/>
    </row>
    <row r="12053" spans="20:20">
      <c r="T12053" s="10"/>
    </row>
    <row r="12054" spans="20:20">
      <c r="T12054" s="10"/>
    </row>
    <row r="12055" spans="20:20">
      <c r="T12055" s="10"/>
    </row>
    <row r="12056" spans="20:20">
      <c r="T12056" s="10"/>
    </row>
    <row r="12057" spans="20:20">
      <c r="T12057" s="10"/>
    </row>
    <row r="12058" spans="20:20">
      <c r="T12058" s="10"/>
    </row>
    <row r="12059" spans="20:20">
      <c r="T12059" s="10"/>
    </row>
    <row r="12060" spans="20:20">
      <c r="T12060" s="10"/>
    </row>
    <row r="12061" spans="20:20">
      <c r="T12061" s="10"/>
    </row>
    <row r="12062" spans="20:20">
      <c r="T12062" s="10"/>
    </row>
    <row r="12063" spans="20:20">
      <c r="T12063" s="10"/>
    </row>
    <row r="12064" spans="20:20">
      <c r="T12064" s="10"/>
    </row>
    <row r="12065" spans="20:20">
      <c r="T12065" s="10"/>
    </row>
    <row r="12066" spans="20:20">
      <c r="T12066" s="10"/>
    </row>
    <row r="12067" spans="20:20">
      <c r="T12067" s="10"/>
    </row>
    <row r="12068" spans="20:20">
      <c r="T12068" s="10"/>
    </row>
    <row r="12069" spans="20:20">
      <c r="T12069" s="10"/>
    </row>
    <row r="12070" spans="20:20">
      <c r="T12070" s="10"/>
    </row>
    <row r="12071" spans="20:20">
      <c r="T12071" s="10"/>
    </row>
    <row r="12072" spans="20:20">
      <c r="T12072" s="10"/>
    </row>
    <row r="12073" spans="20:20">
      <c r="T12073" s="10"/>
    </row>
    <row r="12074" spans="20:20">
      <c r="T12074" s="10"/>
    </row>
    <row r="12075" spans="20:20">
      <c r="T12075" s="10"/>
    </row>
    <row r="12076" spans="20:20">
      <c r="T12076" s="10"/>
    </row>
    <row r="12077" spans="20:20">
      <c r="T12077" s="10"/>
    </row>
    <row r="12078" spans="20:20">
      <c r="T12078" s="10"/>
    </row>
    <row r="12079" spans="20:20">
      <c r="T12079" s="10"/>
    </row>
    <row r="12080" spans="20:20">
      <c r="T12080" s="10"/>
    </row>
    <row r="12081" spans="20:20">
      <c r="T12081" s="10"/>
    </row>
    <row r="12082" spans="20:20">
      <c r="T12082" s="10"/>
    </row>
    <row r="12083" spans="20:20">
      <c r="T12083" s="10"/>
    </row>
    <row r="12084" spans="20:20">
      <c r="T12084" s="10"/>
    </row>
    <row r="12085" spans="20:20">
      <c r="T12085" s="10"/>
    </row>
    <row r="12086" spans="20:20">
      <c r="T12086" s="10"/>
    </row>
    <row r="12087" spans="20:20">
      <c r="T12087" s="10"/>
    </row>
    <row r="12088" spans="20:20">
      <c r="T12088" s="10"/>
    </row>
    <row r="12089" spans="20:20">
      <c r="T12089" s="10"/>
    </row>
    <row r="12090" spans="20:20">
      <c r="T12090" s="10"/>
    </row>
    <row r="12091" spans="20:20">
      <c r="T12091" s="10"/>
    </row>
    <row r="12092" spans="20:20">
      <c r="T12092" s="10"/>
    </row>
    <row r="12093" spans="20:20">
      <c r="T12093" s="10"/>
    </row>
    <row r="12094" spans="20:20">
      <c r="T12094" s="10"/>
    </row>
    <row r="12095" spans="20:20">
      <c r="T12095" s="10"/>
    </row>
    <row r="12096" spans="20:20">
      <c r="T12096" s="10"/>
    </row>
    <row r="12097" spans="20:20">
      <c r="T12097" s="10"/>
    </row>
    <row r="12098" spans="20:20">
      <c r="T12098" s="10"/>
    </row>
    <row r="12099" spans="20:20">
      <c r="T12099" s="10"/>
    </row>
    <row r="12100" spans="20:20">
      <c r="T12100" s="10"/>
    </row>
    <row r="12101" spans="20:20">
      <c r="T12101" s="10"/>
    </row>
    <row r="12102" spans="20:20">
      <c r="T12102" s="10"/>
    </row>
    <row r="12103" spans="20:20">
      <c r="T12103" s="10"/>
    </row>
    <row r="12104" spans="20:20">
      <c r="T12104" s="10"/>
    </row>
    <row r="12105" spans="20:20">
      <c r="T12105" s="10"/>
    </row>
    <row r="12106" spans="20:20">
      <c r="T12106" s="10"/>
    </row>
    <row r="12107" spans="20:20">
      <c r="T12107" s="10"/>
    </row>
    <row r="12108" spans="20:20">
      <c r="T12108" s="10"/>
    </row>
    <row r="12109" spans="20:20">
      <c r="T12109" s="10"/>
    </row>
    <row r="12110" spans="20:20">
      <c r="T12110" s="10"/>
    </row>
    <row r="12111" spans="20:20">
      <c r="T12111" s="10"/>
    </row>
    <row r="12112" spans="20:20">
      <c r="T12112" s="10"/>
    </row>
    <row r="12113" spans="20:20">
      <c r="T12113" s="10"/>
    </row>
    <row r="12114" spans="20:20">
      <c r="T12114" s="10"/>
    </row>
    <row r="12115" spans="20:20">
      <c r="T12115" s="10"/>
    </row>
    <row r="12116" spans="20:20">
      <c r="T12116" s="10"/>
    </row>
    <row r="12117" spans="20:20">
      <c r="T12117" s="10"/>
    </row>
    <row r="12118" spans="20:20">
      <c r="T12118" s="10"/>
    </row>
    <row r="12119" spans="20:20">
      <c r="T12119" s="10"/>
    </row>
    <row r="12120" spans="20:20">
      <c r="T12120" s="10"/>
    </row>
    <row r="12121" spans="20:20">
      <c r="T12121" s="10"/>
    </row>
    <row r="12122" spans="20:20">
      <c r="T12122" s="10"/>
    </row>
    <row r="12123" spans="20:20">
      <c r="T12123" s="10"/>
    </row>
    <row r="12124" spans="20:20">
      <c r="T12124" s="10"/>
    </row>
    <row r="12125" spans="20:20">
      <c r="T12125" s="10"/>
    </row>
    <row r="12126" spans="20:20">
      <c r="T12126" s="10"/>
    </row>
    <row r="12127" spans="20:20">
      <c r="T12127" s="10"/>
    </row>
    <row r="12128" spans="20:20">
      <c r="T12128" s="10"/>
    </row>
    <row r="12129" spans="20:20">
      <c r="T12129" s="10"/>
    </row>
    <row r="12130" spans="20:20">
      <c r="T12130" s="10"/>
    </row>
    <row r="12131" spans="20:20">
      <c r="T12131" s="10"/>
    </row>
    <row r="12132" spans="20:20">
      <c r="T12132" s="10"/>
    </row>
    <row r="12133" spans="20:20">
      <c r="T12133" s="10"/>
    </row>
    <row r="12134" spans="20:20">
      <c r="T12134" s="10"/>
    </row>
    <row r="12135" spans="20:20">
      <c r="T12135" s="10"/>
    </row>
    <row r="12136" spans="20:20">
      <c r="T12136" s="10"/>
    </row>
    <row r="12137" spans="20:20">
      <c r="T12137" s="10"/>
    </row>
    <row r="12138" spans="20:20">
      <c r="T12138" s="10"/>
    </row>
    <row r="12139" spans="20:20">
      <c r="T12139" s="10"/>
    </row>
    <row r="12140" spans="20:20">
      <c r="T12140" s="10"/>
    </row>
    <row r="12141" spans="20:20">
      <c r="T12141" s="10"/>
    </row>
    <row r="12142" spans="20:20">
      <c r="T12142" s="10"/>
    </row>
    <row r="12143" spans="20:20">
      <c r="T12143" s="10"/>
    </row>
    <row r="12144" spans="20:20">
      <c r="T12144" s="10"/>
    </row>
    <row r="12145" spans="20:20">
      <c r="T12145" s="10"/>
    </row>
    <row r="12146" spans="20:20">
      <c r="T12146" s="10"/>
    </row>
    <row r="12147" spans="20:20">
      <c r="T12147" s="10"/>
    </row>
    <row r="12148" spans="20:20">
      <c r="T12148" s="10"/>
    </row>
    <row r="12149" spans="20:20">
      <c r="T12149" s="10"/>
    </row>
    <row r="12150" spans="20:20">
      <c r="T12150" s="10"/>
    </row>
    <row r="12151" spans="20:20">
      <c r="T12151" s="10"/>
    </row>
    <row r="12152" spans="20:20">
      <c r="T12152" s="10"/>
    </row>
    <row r="12153" spans="20:20">
      <c r="T12153" s="10"/>
    </row>
    <row r="12154" spans="20:20">
      <c r="T12154" s="10"/>
    </row>
    <row r="12155" spans="20:20">
      <c r="T12155" s="10"/>
    </row>
    <row r="12156" spans="20:20">
      <c r="T12156" s="10"/>
    </row>
    <row r="12157" spans="20:20">
      <c r="T12157" s="10"/>
    </row>
    <row r="12158" spans="20:20">
      <c r="T12158" s="10"/>
    </row>
    <row r="12159" spans="20:20">
      <c r="T12159" s="10"/>
    </row>
    <row r="12160" spans="20:20">
      <c r="T12160" s="10"/>
    </row>
    <row r="12161" spans="20:20">
      <c r="T12161" s="10"/>
    </row>
    <row r="12162" spans="20:20">
      <c r="T12162" s="10"/>
    </row>
    <row r="12163" spans="20:20">
      <c r="T12163" s="10"/>
    </row>
    <row r="12164" spans="20:20">
      <c r="T12164" s="10"/>
    </row>
    <row r="12165" spans="20:20">
      <c r="T12165" s="10"/>
    </row>
    <row r="12166" spans="20:20">
      <c r="T12166" s="10"/>
    </row>
    <row r="12167" spans="20:20">
      <c r="T12167" s="10"/>
    </row>
    <row r="12168" spans="20:20">
      <c r="T12168" s="10"/>
    </row>
    <row r="12169" spans="20:20">
      <c r="T12169" s="10"/>
    </row>
    <row r="12170" spans="20:20">
      <c r="T12170" s="10"/>
    </row>
    <row r="12171" spans="20:20">
      <c r="T12171" s="10"/>
    </row>
    <row r="12172" spans="20:20">
      <c r="T12172" s="10"/>
    </row>
    <row r="12173" spans="20:20">
      <c r="T12173" s="10"/>
    </row>
    <row r="12174" spans="20:20">
      <c r="T12174" s="10"/>
    </row>
    <row r="12175" spans="20:20">
      <c r="T12175" s="10"/>
    </row>
    <row r="12176" spans="20:20">
      <c r="T12176" s="10"/>
    </row>
    <row r="12177" spans="20:20">
      <c r="T12177" s="10"/>
    </row>
    <row r="12178" spans="20:20">
      <c r="T12178" s="10"/>
    </row>
    <row r="12179" spans="20:20">
      <c r="T12179" s="10"/>
    </row>
    <row r="12180" spans="20:20">
      <c r="T12180" s="10"/>
    </row>
    <row r="12181" spans="20:20">
      <c r="T12181" s="10"/>
    </row>
    <row r="12182" spans="20:20">
      <c r="T12182" s="10"/>
    </row>
    <row r="12183" spans="20:20">
      <c r="T12183" s="10"/>
    </row>
    <row r="12184" spans="20:20">
      <c r="T12184" s="10"/>
    </row>
    <row r="12185" spans="20:20">
      <c r="T12185" s="10"/>
    </row>
    <row r="12186" spans="20:20">
      <c r="T12186" s="10"/>
    </row>
    <row r="12187" spans="20:20">
      <c r="T12187" s="10"/>
    </row>
    <row r="12188" spans="20:20">
      <c r="T12188" s="10"/>
    </row>
    <row r="12189" spans="20:20">
      <c r="T12189" s="10"/>
    </row>
    <row r="12190" spans="20:20">
      <c r="T12190" s="10"/>
    </row>
    <row r="12191" spans="20:20">
      <c r="T12191" s="10"/>
    </row>
    <row r="12192" spans="20:20">
      <c r="T12192" s="10"/>
    </row>
    <row r="12193" spans="20:20">
      <c r="T12193" s="10"/>
    </row>
    <row r="12194" spans="20:20">
      <c r="T12194" s="10"/>
    </row>
    <row r="12195" spans="20:20">
      <c r="T12195" s="10"/>
    </row>
    <row r="12196" spans="20:20">
      <c r="T12196" s="10"/>
    </row>
    <row r="12197" spans="20:20">
      <c r="T12197" s="10"/>
    </row>
    <row r="12198" spans="20:20">
      <c r="T12198" s="10"/>
    </row>
    <row r="12199" spans="20:20">
      <c r="T12199" s="10"/>
    </row>
    <row r="12200" spans="20:20">
      <c r="T12200" s="10"/>
    </row>
    <row r="12201" spans="20:20">
      <c r="T12201" s="10"/>
    </row>
    <row r="12202" spans="20:20">
      <c r="T12202" s="10"/>
    </row>
    <row r="12203" spans="20:20">
      <c r="T12203" s="10"/>
    </row>
    <row r="12204" spans="20:20">
      <c r="T12204" s="10"/>
    </row>
    <row r="12205" spans="20:20">
      <c r="T12205" s="10"/>
    </row>
    <row r="12206" spans="20:20">
      <c r="T12206" s="10"/>
    </row>
    <row r="12207" spans="20:20">
      <c r="T12207" s="10"/>
    </row>
    <row r="12208" spans="20:20">
      <c r="T12208" s="10"/>
    </row>
    <row r="12209" spans="20:20">
      <c r="T12209" s="10"/>
    </row>
    <row r="12210" spans="20:20">
      <c r="T12210" s="10"/>
    </row>
    <row r="12211" spans="20:20">
      <c r="T12211" s="10"/>
    </row>
    <row r="12212" spans="20:20">
      <c r="T12212" s="10"/>
    </row>
    <row r="12213" spans="20:20">
      <c r="T12213" s="10"/>
    </row>
    <row r="12214" spans="20:20">
      <c r="T12214" s="10"/>
    </row>
    <row r="12215" spans="20:20">
      <c r="T12215" s="10"/>
    </row>
    <row r="12216" spans="20:20">
      <c r="T12216" s="10"/>
    </row>
    <row r="12217" spans="20:20">
      <c r="T12217" s="10"/>
    </row>
    <row r="12218" spans="20:20">
      <c r="T12218" s="10"/>
    </row>
    <row r="12219" spans="20:20">
      <c r="T12219" s="10"/>
    </row>
    <row r="12220" spans="20:20">
      <c r="T12220" s="10"/>
    </row>
    <row r="12221" spans="20:20">
      <c r="T12221" s="10"/>
    </row>
    <row r="12222" spans="20:20">
      <c r="T12222" s="10"/>
    </row>
    <row r="12223" spans="20:20">
      <c r="T12223" s="10"/>
    </row>
    <row r="12224" spans="20:20">
      <c r="T12224" s="10"/>
    </row>
    <row r="12225" spans="20:20">
      <c r="T12225" s="10"/>
    </row>
    <row r="12226" spans="20:20">
      <c r="T12226" s="10"/>
    </row>
    <row r="12227" spans="20:20">
      <c r="T12227" s="10"/>
    </row>
    <row r="12228" spans="20:20">
      <c r="T12228" s="10"/>
    </row>
    <row r="12229" spans="20:20">
      <c r="T12229" s="10"/>
    </row>
    <row r="12230" spans="20:20">
      <c r="T12230" s="10"/>
    </row>
    <row r="12231" spans="20:20">
      <c r="T12231" s="10"/>
    </row>
    <row r="12232" spans="20:20">
      <c r="T12232" s="10"/>
    </row>
    <row r="12233" spans="20:20">
      <c r="T12233" s="10"/>
    </row>
    <row r="12234" spans="20:20">
      <c r="T12234" s="10"/>
    </row>
    <row r="12235" spans="20:20">
      <c r="T12235" s="10"/>
    </row>
    <row r="12236" spans="20:20">
      <c r="T12236" s="10"/>
    </row>
    <row r="12237" spans="20:20">
      <c r="T12237" s="10"/>
    </row>
    <row r="12238" spans="20:20">
      <c r="T12238" s="10"/>
    </row>
    <row r="12239" spans="20:20">
      <c r="T12239" s="10"/>
    </row>
    <row r="12240" spans="20:20">
      <c r="T12240" s="10"/>
    </row>
    <row r="12241" spans="20:20">
      <c r="T12241" s="10"/>
    </row>
    <row r="12242" spans="20:20">
      <c r="T12242" s="10"/>
    </row>
    <row r="12243" spans="20:20">
      <c r="T12243" s="10"/>
    </row>
    <row r="12244" spans="20:20">
      <c r="T12244" s="10"/>
    </row>
    <row r="12245" spans="20:20">
      <c r="T12245" s="10"/>
    </row>
    <row r="12246" spans="20:20">
      <c r="T12246" s="10"/>
    </row>
    <row r="12247" spans="20:20">
      <c r="T12247" s="10"/>
    </row>
    <row r="12248" spans="20:20">
      <c r="T12248" s="10"/>
    </row>
    <row r="12249" spans="20:20">
      <c r="T12249" s="10"/>
    </row>
    <row r="12250" spans="20:20">
      <c r="T12250" s="10"/>
    </row>
    <row r="12251" spans="20:20">
      <c r="T12251" s="10"/>
    </row>
    <row r="12252" spans="20:20">
      <c r="T12252" s="10"/>
    </row>
    <row r="12253" spans="20:20">
      <c r="T12253" s="10"/>
    </row>
    <row r="12254" spans="20:20">
      <c r="T12254" s="10"/>
    </row>
    <row r="12255" spans="20:20">
      <c r="T12255" s="10"/>
    </row>
    <row r="12256" spans="20:20">
      <c r="T12256" s="10"/>
    </row>
    <row r="12257" spans="20:20">
      <c r="T12257" s="10"/>
    </row>
    <row r="12258" spans="20:20">
      <c r="T12258" s="10"/>
    </row>
    <row r="12259" spans="20:20">
      <c r="T12259" s="10"/>
    </row>
    <row r="12260" spans="20:20">
      <c r="T12260" s="10"/>
    </row>
    <row r="12261" spans="20:20">
      <c r="T12261" s="10"/>
    </row>
    <row r="12262" spans="20:20">
      <c r="T12262" s="10"/>
    </row>
    <row r="12263" spans="20:20">
      <c r="T12263" s="10"/>
    </row>
    <row r="12264" spans="20:20">
      <c r="T12264" s="10"/>
    </row>
    <row r="12265" spans="20:20">
      <c r="T12265" s="10"/>
    </row>
    <row r="12266" spans="20:20">
      <c r="T12266" s="10"/>
    </row>
    <row r="12267" spans="20:20">
      <c r="T12267" s="10"/>
    </row>
    <row r="12268" spans="20:20">
      <c r="T12268" s="10"/>
    </row>
    <row r="12269" spans="20:20">
      <c r="T12269" s="10"/>
    </row>
    <row r="12270" spans="20:20">
      <c r="T12270" s="10"/>
    </row>
    <row r="12271" spans="20:20">
      <c r="T12271" s="10"/>
    </row>
    <row r="12272" spans="20:20">
      <c r="T12272" s="10"/>
    </row>
    <row r="12273" spans="20:20">
      <c r="T12273" s="10"/>
    </row>
    <row r="12274" spans="20:20">
      <c r="T12274" s="10"/>
    </row>
    <row r="12275" spans="20:20">
      <c r="T12275" s="10"/>
    </row>
    <row r="12276" spans="20:20">
      <c r="T12276" s="10"/>
    </row>
    <row r="12277" spans="20:20">
      <c r="T12277" s="10"/>
    </row>
    <row r="12278" spans="20:20">
      <c r="T12278" s="10"/>
    </row>
    <row r="12279" spans="20:20">
      <c r="T12279" s="10"/>
    </row>
    <row r="12280" spans="20:20">
      <c r="T12280" s="10"/>
    </row>
    <row r="12281" spans="20:20">
      <c r="T12281" s="10"/>
    </row>
    <row r="12282" spans="20:20">
      <c r="T12282" s="10"/>
    </row>
    <row r="12283" spans="20:20">
      <c r="T12283" s="10"/>
    </row>
    <row r="12284" spans="20:20">
      <c r="T12284" s="10"/>
    </row>
    <row r="12285" spans="20:20">
      <c r="T12285" s="10"/>
    </row>
    <row r="12286" spans="20:20">
      <c r="T12286" s="10"/>
    </row>
    <row r="12287" spans="20:20">
      <c r="T12287" s="10"/>
    </row>
    <row r="12288" spans="20:20">
      <c r="T12288" s="10"/>
    </row>
    <row r="12289" spans="20:20">
      <c r="T12289" s="10"/>
    </row>
    <row r="12290" spans="20:20">
      <c r="T12290" s="10"/>
    </row>
    <row r="12291" spans="20:20">
      <c r="T12291" s="10"/>
    </row>
    <row r="12292" spans="20:20">
      <c r="T12292" s="10"/>
    </row>
    <row r="12293" spans="20:20">
      <c r="T12293" s="10"/>
    </row>
    <row r="12294" spans="20:20">
      <c r="T12294" s="10"/>
    </row>
    <row r="12295" spans="20:20">
      <c r="T12295" s="10"/>
    </row>
    <row r="12296" spans="20:20">
      <c r="T12296" s="10"/>
    </row>
    <row r="12297" spans="20:20">
      <c r="T12297" s="10"/>
    </row>
    <row r="12298" spans="20:20">
      <c r="T12298" s="10"/>
    </row>
    <row r="12299" spans="20:20">
      <c r="T12299" s="10"/>
    </row>
    <row r="12300" spans="20:20">
      <c r="T12300" s="10"/>
    </row>
    <row r="12301" spans="20:20">
      <c r="T12301" s="10"/>
    </row>
    <row r="12302" spans="20:20">
      <c r="T12302" s="10"/>
    </row>
    <row r="12303" spans="20:20">
      <c r="T12303" s="10"/>
    </row>
    <row r="12304" spans="20:20">
      <c r="T12304" s="10"/>
    </row>
    <row r="12305" spans="20:20">
      <c r="T12305" s="10"/>
    </row>
    <row r="12306" spans="20:20">
      <c r="T12306" s="10"/>
    </row>
    <row r="12307" spans="20:20">
      <c r="T12307" s="10"/>
    </row>
    <row r="12308" spans="20:20">
      <c r="T12308" s="10"/>
    </row>
    <row r="12309" spans="20:20">
      <c r="T12309" s="10"/>
    </row>
    <row r="12310" spans="20:20">
      <c r="T12310" s="10"/>
    </row>
    <row r="12311" spans="20:20">
      <c r="T12311" s="10"/>
    </row>
    <row r="12312" spans="20:20">
      <c r="T12312" s="10"/>
    </row>
    <row r="12313" spans="20:20">
      <c r="T12313" s="10"/>
    </row>
    <row r="12314" spans="20:20">
      <c r="T12314" s="10"/>
    </row>
    <row r="12315" spans="20:20">
      <c r="T12315" s="10"/>
    </row>
    <row r="12316" spans="20:20">
      <c r="T12316" s="10"/>
    </row>
    <row r="12317" spans="20:20">
      <c r="T12317" s="10"/>
    </row>
    <row r="12318" spans="20:20">
      <c r="T12318" s="10"/>
    </row>
    <row r="12319" spans="20:20">
      <c r="T12319" s="10"/>
    </row>
    <row r="12320" spans="20:20">
      <c r="T12320" s="10"/>
    </row>
    <row r="12321" spans="20:20">
      <c r="T12321" s="10"/>
    </row>
    <row r="12322" spans="20:20">
      <c r="T12322" s="10"/>
    </row>
    <row r="12323" spans="20:20">
      <c r="T12323" s="10"/>
    </row>
    <row r="12324" spans="20:20">
      <c r="T12324" s="10"/>
    </row>
    <row r="12325" spans="20:20">
      <c r="T12325" s="10"/>
    </row>
    <row r="12326" spans="20:20">
      <c r="T12326" s="10"/>
    </row>
    <row r="12327" spans="20:20">
      <c r="T12327" s="10"/>
    </row>
    <row r="12328" spans="20:20">
      <c r="T12328" s="10"/>
    </row>
    <row r="12329" spans="20:20">
      <c r="T12329" s="10"/>
    </row>
    <row r="12330" spans="20:20">
      <c r="T12330" s="10"/>
    </row>
    <row r="12331" spans="20:20">
      <c r="T12331" s="10"/>
    </row>
    <row r="12332" spans="20:20">
      <c r="T12332" s="10"/>
    </row>
    <row r="12333" spans="20:20">
      <c r="T12333" s="10"/>
    </row>
    <row r="12334" spans="20:20">
      <c r="T12334" s="10"/>
    </row>
    <row r="12335" spans="20:20">
      <c r="T12335" s="10"/>
    </row>
    <row r="12336" spans="20:20">
      <c r="T12336" s="10"/>
    </row>
    <row r="12337" spans="20:20">
      <c r="T12337" s="10"/>
    </row>
    <row r="12338" spans="20:20">
      <c r="T12338" s="10"/>
    </row>
    <row r="12339" spans="20:20">
      <c r="T12339" s="10"/>
    </row>
    <row r="12340" spans="20:20">
      <c r="T12340" s="10"/>
    </row>
    <row r="12341" spans="20:20">
      <c r="T12341" s="10"/>
    </row>
    <row r="12342" spans="20:20">
      <c r="T12342" s="10"/>
    </row>
    <row r="12343" spans="20:20">
      <c r="T12343" s="10"/>
    </row>
    <row r="12344" spans="20:20">
      <c r="T12344" s="10"/>
    </row>
    <row r="12345" spans="20:20">
      <c r="T12345" s="10"/>
    </row>
    <row r="12346" spans="20:20">
      <c r="T12346" s="10"/>
    </row>
    <row r="12347" spans="20:20">
      <c r="T12347" s="10"/>
    </row>
    <row r="12348" spans="20:20">
      <c r="T12348" s="10"/>
    </row>
    <row r="12349" spans="20:20">
      <c r="T12349" s="10"/>
    </row>
    <row r="12350" spans="20:20">
      <c r="T12350" s="10"/>
    </row>
    <row r="12351" spans="20:20">
      <c r="T12351" s="10"/>
    </row>
    <row r="12352" spans="20:20">
      <c r="T12352" s="10"/>
    </row>
    <row r="12353" spans="20:20">
      <c r="T12353" s="10"/>
    </row>
    <row r="12354" spans="20:20">
      <c r="T12354" s="10"/>
    </row>
    <row r="12355" spans="20:20">
      <c r="T12355" s="10"/>
    </row>
    <row r="12356" spans="20:20">
      <c r="T12356" s="10"/>
    </row>
    <row r="12357" spans="20:20">
      <c r="T12357" s="10"/>
    </row>
    <row r="12358" spans="20:20">
      <c r="T12358" s="10"/>
    </row>
    <row r="12359" spans="20:20">
      <c r="T12359" s="10"/>
    </row>
    <row r="12360" spans="20:20">
      <c r="T12360" s="10"/>
    </row>
    <row r="12361" spans="20:20">
      <c r="T12361" s="10"/>
    </row>
    <row r="12362" spans="20:20">
      <c r="T12362" s="10"/>
    </row>
    <row r="12363" spans="20:20">
      <c r="T12363" s="10"/>
    </row>
    <row r="12364" spans="20:20">
      <c r="T12364" s="10"/>
    </row>
    <row r="12365" spans="20:20">
      <c r="T12365" s="10"/>
    </row>
    <row r="12366" spans="20:20">
      <c r="T12366" s="10"/>
    </row>
    <row r="12367" spans="20:20">
      <c r="T12367" s="10"/>
    </row>
    <row r="12368" spans="20:20">
      <c r="T12368" s="10"/>
    </row>
    <row r="12369" spans="20:20">
      <c r="T12369" s="10"/>
    </row>
    <row r="12370" spans="20:20">
      <c r="T12370" s="10"/>
    </row>
    <row r="12371" spans="20:20">
      <c r="T12371" s="10"/>
    </row>
    <row r="12372" spans="20:20">
      <c r="T12372" s="10"/>
    </row>
    <row r="12373" spans="20:20">
      <c r="T12373" s="10"/>
    </row>
    <row r="12374" spans="20:20">
      <c r="T12374" s="10"/>
    </row>
    <row r="12375" spans="20:20">
      <c r="T12375" s="10"/>
    </row>
    <row r="12376" spans="20:20">
      <c r="T12376" s="10"/>
    </row>
    <row r="12377" spans="20:20">
      <c r="T12377" s="10"/>
    </row>
    <row r="12378" spans="20:20">
      <c r="T12378" s="10"/>
    </row>
    <row r="12379" spans="20:20">
      <c r="T12379" s="10"/>
    </row>
    <row r="12380" spans="20:20">
      <c r="T12380" s="10"/>
    </row>
    <row r="12381" spans="20:20">
      <c r="T12381" s="10"/>
    </row>
    <row r="12382" spans="20:20">
      <c r="T12382" s="10"/>
    </row>
    <row r="12383" spans="20:20">
      <c r="T12383" s="10"/>
    </row>
    <row r="12384" spans="20:20">
      <c r="T12384" s="10"/>
    </row>
    <row r="12385" spans="20:20">
      <c r="T12385" s="10"/>
    </row>
    <row r="12386" spans="20:20">
      <c r="T12386" s="10"/>
    </row>
    <row r="12387" spans="20:20">
      <c r="T12387" s="10"/>
    </row>
    <row r="12388" spans="20:20">
      <c r="T12388" s="10"/>
    </row>
    <row r="12389" spans="20:20">
      <c r="T12389" s="10"/>
    </row>
    <row r="12390" spans="20:20">
      <c r="T12390" s="10"/>
    </row>
    <row r="12391" spans="20:20">
      <c r="T12391" s="10"/>
    </row>
    <row r="12392" spans="20:20">
      <c r="T12392" s="10"/>
    </row>
    <row r="12393" spans="20:20">
      <c r="T12393" s="10"/>
    </row>
    <row r="12394" spans="20:20">
      <c r="T12394" s="10"/>
    </row>
    <row r="12395" spans="20:20">
      <c r="T12395" s="10"/>
    </row>
    <row r="12396" spans="20:20">
      <c r="T12396" s="10"/>
    </row>
    <row r="12397" spans="20:20">
      <c r="T12397" s="10"/>
    </row>
    <row r="12398" spans="20:20">
      <c r="T12398" s="10"/>
    </row>
    <row r="12399" spans="20:20">
      <c r="T12399" s="10"/>
    </row>
    <row r="12400" spans="20:20">
      <c r="T12400" s="10"/>
    </row>
    <row r="12401" spans="20:20">
      <c r="T12401" s="10"/>
    </row>
    <row r="12402" spans="20:20">
      <c r="T12402" s="10"/>
    </row>
    <row r="12403" spans="20:20">
      <c r="T12403" s="10"/>
    </row>
    <row r="12404" spans="20:20">
      <c r="T12404" s="10"/>
    </row>
    <row r="12405" spans="20:20">
      <c r="T12405" s="10"/>
    </row>
    <row r="12406" spans="20:20">
      <c r="T12406" s="10"/>
    </row>
    <row r="12407" spans="20:20">
      <c r="T12407" s="10"/>
    </row>
    <row r="12408" spans="20:20">
      <c r="T12408" s="10"/>
    </row>
    <row r="12409" spans="20:20">
      <c r="T12409" s="10"/>
    </row>
    <row r="12410" spans="20:20">
      <c r="T12410" s="10"/>
    </row>
    <row r="12411" spans="20:20">
      <c r="T12411" s="10"/>
    </row>
    <row r="12412" spans="20:20">
      <c r="T12412" s="10"/>
    </row>
    <row r="12413" spans="20:20">
      <c r="T12413" s="10"/>
    </row>
    <row r="12414" spans="20:20">
      <c r="T12414" s="10"/>
    </row>
    <row r="12415" spans="20:20">
      <c r="T12415" s="10"/>
    </row>
    <row r="12416" spans="20:20">
      <c r="T12416" s="10"/>
    </row>
    <row r="12417" spans="20:20">
      <c r="T12417" s="10"/>
    </row>
    <row r="12418" spans="20:20">
      <c r="T12418" s="10"/>
    </row>
    <row r="12419" spans="20:20">
      <c r="T12419" s="10"/>
    </row>
    <row r="12420" spans="20:20">
      <c r="T12420" s="10"/>
    </row>
    <row r="12421" spans="20:20">
      <c r="T12421" s="10"/>
    </row>
    <row r="12422" spans="20:20">
      <c r="T12422" s="10"/>
    </row>
    <row r="12423" spans="20:20">
      <c r="T12423" s="10"/>
    </row>
    <row r="12424" spans="20:20">
      <c r="T12424" s="10"/>
    </row>
    <row r="12425" spans="20:20">
      <c r="T12425" s="10"/>
    </row>
    <row r="12426" spans="20:20">
      <c r="T12426" s="10"/>
    </row>
    <row r="12427" spans="20:20">
      <c r="T12427" s="10"/>
    </row>
    <row r="12428" spans="20:20">
      <c r="T12428" s="10"/>
    </row>
    <row r="12429" spans="20:20">
      <c r="T12429" s="10"/>
    </row>
    <row r="12430" spans="20:20">
      <c r="T12430" s="10"/>
    </row>
    <row r="12431" spans="20:20">
      <c r="T12431" s="10"/>
    </row>
    <row r="12432" spans="20:20">
      <c r="T12432" s="10"/>
    </row>
    <row r="12433" spans="20:20">
      <c r="T12433" s="10"/>
    </row>
    <row r="12434" spans="20:20">
      <c r="T12434" s="10"/>
    </row>
    <row r="12435" spans="20:20">
      <c r="T12435" s="10"/>
    </row>
    <row r="12436" spans="20:20">
      <c r="T12436" s="10"/>
    </row>
    <row r="12437" spans="20:20">
      <c r="T12437" s="10"/>
    </row>
    <row r="12438" spans="20:20">
      <c r="T12438" s="10"/>
    </row>
    <row r="12439" spans="20:20">
      <c r="T12439" s="10"/>
    </row>
    <row r="12440" spans="20:20">
      <c r="T12440" s="10"/>
    </row>
    <row r="12441" spans="20:20">
      <c r="T12441" s="10"/>
    </row>
    <row r="12442" spans="20:20">
      <c r="T12442" s="10"/>
    </row>
    <row r="12443" spans="20:20">
      <c r="T12443" s="10"/>
    </row>
    <row r="12444" spans="20:20">
      <c r="T12444" s="10"/>
    </row>
    <row r="12445" spans="20:20">
      <c r="T12445" s="10"/>
    </row>
    <row r="12446" spans="20:20">
      <c r="T12446" s="10"/>
    </row>
    <row r="12447" spans="20:20">
      <c r="T12447" s="10"/>
    </row>
    <row r="12448" spans="20:20">
      <c r="T12448" s="10"/>
    </row>
    <row r="12449" spans="20:20">
      <c r="T12449" s="10"/>
    </row>
    <row r="12450" spans="20:20">
      <c r="T12450" s="10"/>
    </row>
    <row r="12451" spans="20:20">
      <c r="T12451" s="10"/>
    </row>
    <row r="12452" spans="20:20">
      <c r="T12452" s="10"/>
    </row>
    <row r="12453" spans="20:20">
      <c r="T12453" s="10"/>
    </row>
    <row r="12454" spans="20:20">
      <c r="T12454" s="10"/>
    </row>
    <row r="12455" spans="20:20">
      <c r="T12455" s="10"/>
    </row>
    <row r="12456" spans="20:20">
      <c r="T12456" s="10"/>
    </row>
    <row r="12457" spans="20:20">
      <c r="T12457" s="10"/>
    </row>
    <row r="12458" spans="20:20">
      <c r="T12458" s="10"/>
    </row>
    <row r="12459" spans="20:20">
      <c r="T12459" s="10"/>
    </row>
    <row r="12460" spans="20:20">
      <c r="T12460" s="10"/>
    </row>
    <row r="12461" spans="20:20">
      <c r="T12461" s="10"/>
    </row>
    <row r="12462" spans="20:20">
      <c r="T12462" s="10"/>
    </row>
    <row r="12463" spans="20:20">
      <c r="T12463" s="10"/>
    </row>
    <row r="12464" spans="20:20">
      <c r="T12464" s="10"/>
    </row>
    <row r="12465" spans="20:20">
      <c r="T12465" s="10"/>
    </row>
    <row r="12466" spans="20:20">
      <c r="T12466" s="10"/>
    </row>
    <row r="12467" spans="20:20">
      <c r="T12467" s="10"/>
    </row>
    <row r="12468" spans="20:20">
      <c r="T12468" s="10"/>
    </row>
    <row r="12469" spans="20:20">
      <c r="T12469" s="10"/>
    </row>
    <row r="12470" spans="20:20">
      <c r="T12470" s="10"/>
    </row>
    <row r="12471" spans="20:20">
      <c r="T12471" s="10"/>
    </row>
    <row r="12472" spans="20:20">
      <c r="T12472" s="10"/>
    </row>
    <row r="12473" spans="20:20">
      <c r="T12473" s="10"/>
    </row>
    <row r="12474" spans="20:20">
      <c r="T12474" s="10"/>
    </row>
    <row r="12475" spans="20:20">
      <c r="T12475" s="10"/>
    </row>
    <row r="12476" spans="20:20">
      <c r="T12476" s="10"/>
    </row>
    <row r="12477" spans="20:20">
      <c r="T12477" s="10"/>
    </row>
    <row r="12478" spans="20:20">
      <c r="T12478" s="10"/>
    </row>
    <row r="12479" spans="20:20">
      <c r="T12479" s="10"/>
    </row>
    <row r="12480" spans="20:20">
      <c r="T12480" s="10"/>
    </row>
    <row r="12481" spans="20:20">
      <c r="T12481" s="10"/>
    </row>
    <row r="12482" spans="20:20">
      <c r="T12482" s="10"/>
    </row>
    <row r="12483" spans="20:20">
      <c r="T12483" s="10"/>
    </row>
    <row r="12484" spans="20:20">
      <c r="T12484" s="10"/>
    </row>
    <row r="12485" spans="20:20">
      <c r="T12485" s="10"/>
    </row>
    <row r="12486" spans="20:20">
      <c r="T12486" s="10"/>
    </row>
    <row r="12487" spans="20:20">
      <c r="T12487" s="10"/>
    </row>
    <row r="12488" spans="20:20">
      <c r="T12488" s="10"/>
    </row>
    <row r="12489" spans="20:20">
      <c r="T12489" s="10"/>
    </row>
    <row r="12490" spans="20:20">
      <c r="T12490" s="10"/>
    </row>
    <row r="12491" spans="20:20">
      <c r="T12491" s="10"/>
    </row>
    <row r="12492" spans="20:20">
      <c r="T12492" s="10"/>
    </row>
    <row r="12493" spans="20:20">
      <c r="T12493" s="10"/>
    </row>
    <row r="12494" spans="20:20">
      <c r="T12494" s="10"/>
    </row>
    <row r="12495" spans="20:20">
      <c r="T12495" s="10"/>
    </row>
    <row r="12496" spans="20:20">
      <c r="T12496" s="10"/>
    </row>
    <row r="12497" spans="20:20">
      <c r="T12497" s="10"/>
    </row>
    <row r="12498" spans="20:20">
      <c r="T12498" s="10"/>
    </row>
    <row r="12499" spans="20:20">
      <c r="T12499" s="10"/>
    </row>
    <row r="12500" spans="20:20">
      <c r="T12500" s="10"/>
    </row>
    <row r="12501" spans="20:20">
      <c r="T12501" s="10"/>
    </row>
    <row r="12502" spans="20:20">
      <c r="T12502" s="10"/>
    </row>
    <row r="12503" spans="20:20">
      <c r="T12503" s="10"/>
    </row>
    <row r="12504" spans="20:20">
      <c r="T12504" s="10"/>
    </row>
    <row r="12505" spans="20:20">
      <c r="T12505" s="10"/>
    </row>
    <row r="12506" spans="20:20">
      <c r="T12506" s="10"/>
    </row>
    <row r="12507" spans="20:20">
      <c r="T12507" s="10"/>
    </row>
    <row r="12508" spans="20:20">
      <c r="T12508" s="10"/>
    </row>
    <row r="12509" spans="20:20">
      <c r="T12509" s="10"/>
    </row>
    <row r="12510" spans="20:20">
      <c r="T12510" s="10"/>
    </row>
    <row r="12511" spans="20:20">
      <c r="T12511" s="10"/>
    </row>
    <row r="12512" spans="20:20">
      <c r="T12512" s="10"/>
    </row>
    <row r="12513" spans="20:20">
      <c r="T12513" s="10"/>
    </row>
    <row r="12514" spans="20:20">
      <c r="T12514" s="10"/>
    </row>
    <row r="12515" spans="20:20">
      <c r="T12515" s="10"/>
    </row>
    <row r="12516" spans="20:20">
      <c r="T12516" s="10"/>
    </row>
    <row r="12517" spans="20:20">
      <c r="T12517" s="10"/>
    </row>
    <row r="12518" spans="20:20">
      <c r="T12518" s="10"/>
    </row>
    <row r="12519" spans="20:20">
      <c r="T12519" s="10"/>
    </row>
    <row r="12520" spans="20:20">
      <c r="T12520" s="10"/>
    </row>
    <row r="12521" spans="20:20">
      <c r="T12521" s="10"/>
    </row>
    <row r="12522" spans="20:20">
      <c r="T12522" s="10"/>
    </row>
    <row r="12523" spans="20:20">
      <c r="T12523" s="10"/>
    </row>
    <row r="12524" spans="20:20">
      <c r="T12524" s="10"/>
    </row>
    <row r="12525" spans="20:20">
      <c r="T12525" s="10"/>
    </row>
    <row r="12526" spans="20:20">
      <c r="T12526" s="10"/>
    </row>
    <row r="12527" spans="20:20">
      <c r="T12527" s="10"/>
    </row>
    <row r="12528" spans="20:20">
      <c r="T12528" s="10"/>
    </row>
    <row r="12529" spans="20:20">
      <c r="T12529" s="10"/>
    </row>
    <row r="12530" spans="20:20">
      <c r="T12530" s="10"/>
    </row>
    <row r="12531" spans="20:20">
      <c r="T12531" s="10"/>
    </row>
    <row r="12532" spans="20:20">
      <c r="T12532" s="10"/>
    </row>
    <row r="12533" spans="20:20">
      <c r="T12533" s="10"/>
    </row>
    <row r="12534" spans="20:20">
      <c r="T12534" s="10"/>
    </row>
    <row r="12535" spans="20:20">
      <c r="T12535" s="10"/>
    </row>
    <row r="12536" spans="20:20">
      <c r="T12536" s="10"/>
    </row>
    <row r="12537" spans="20:20">
      <c r="T12537" s="10"/>
    </row>
    <row r="12538" spans="20:20">
      <c r="T12538" s="10"/>
    </row>
    <row r="12539" spans="20:20">
      <c r="T12539" s="10"/>
    </row>
    <row r="12540" spans="20:20">
      <c r="T12540" s="10"/>
    </row>
    <row r="12541" spans="20:20">
      <c r="T12541" s="10"/>
    </row>
    <row r="12542" spans="20:20">
      <c r="T12542" s="10"/>
    </row>
    <row r="12543" spans="20:20">
      <c r="T12543" s="10"/>
    </row>
    <row r="12544" spans="20:20">
      <c r="T12544" s="10"/>
    </row>
    <row r="12545" spans="20:20">
      <c r="T12545" s="10"/>
    </row>
    <row r="12546" spans="20:20">
      <c r="T12546" s="10"/>
    </row>
    <row r="12547" spans="20:20">
      <c r="T12547" s="10"/>
    </row>
    <row r="12548" spans="20:20">
      <c r="T12548" s="10"/>
    </row>
    <row r="12549" spans="20:20">
      <c r="T12549" s="10"/>
    </row>
    <row r="12550" spans="20:20">
      <c r="T12550" s="10"/>
    </row>
    <row r="12551" spans="20:20">
      <c r="T12551" s="10"/>
    </row>
    <row r="12552" spans="20:20">
      <c r="T12552" s="10"/>
    </row>
    <row r="12553" spans="20:20">
      <c r="T12553" s="10"/>
    </row>
    <row r="12554" spans="20:20">
      <c r="T12554" s="10"/>
    </row>
    <row r="12555" spans="20:20">
      <c r="T12555" s="10"/>
    </row>
    <row r="12556" spans="20:20">
      <c r="T12556" s="10"/>
    </row>
    <row r="12557" spans="20:20">
      <c r="T12557" s="10"/>
    </row>
    <row r="12558" spans="20:20">
      <c r="T12558" s="10"/>
    </row>
    <row r="12559" spans="20:20">
      <c r="T12559" s="10"/>
    </row>
    <row r="12560" spans="20:20">
      <c r="T12560" s="10"/>
    </row>
    <row r="12561" spans="20:20">
      <c r="T12561" s="10"/>
    </row>
    <row r="12562" spans="20:20">
      <c r="T12562" s="10"/>
    </row>
    <row r="12563" spans="20:20">
      <c r="T12563" s="10"/>
    </row>
    <row r="12564" spans="20:20">
      <c r="T12564" s="10"/>
    </row>
    <row r="12565" spans="20:20">
      <c r="T12565" s="10"/>
    </row>
    <row r="12566" spans="20:20">
      <c r="T12566" s="10"/>
    </row>
    <row r="12567" spans="20:20">
      <c r="T12567" s="10"/>
    </row>
    <row r="12568" spans="20:20">
      <c r="T12568" s="10"/>
    </row>
    <row r="12569" spans="20:20">
      <c r="T12569" s="10"/>
    </row>
    <row r="12570" spans="20:20">
      <c r="T12570" s="10"/>
    </row>
    <row r="12571" spans="20:20">
      <c r="T12571" s="10"/>
    </row>
    <row r="12572" spans="20:20">
      <c r="T12572" s="10"/>
    </row>
    <row r="12573" spans="20:20">
      <c r="T12573" s="10"/>
    </row>
    <row r="12574" spans="20:20">
      <c r="T12574" s="10"/>
    </row>
    <row r="12575" spans="20:20">
      <c r="T12575" s="10"/>
    </row>
    <row r="12576" spans="20:20">
      <c r="T12576" s="10"/>
    </row>
    <row r="12577" spans="20:20">
      <c r="T12577" s="10"/>
    </row>
    <row r="12578" spans="20:20">
      <c r="T12578" s="10"/>
    </row>
    <row r="12579" spans="20:20">
      <c r="T12579" s="10"/>
    </row>
    <row r="12580" spans="20:20">
      <c r="T12580" s="10"/>
    </row>
    <row r="12581" spans="20:20">
      <c r="T12581" s="10"/>
    </row>
    <row r="12582" spans="20:20">
      <c r="T12582" s="10"/>
    </row>
    <row r="12583" spans="20:20">
      <c r="T12583" s="10"/>
    </row>
    <row r="12584" spans="20:20">
      <c r="T12584" s="10"/>
    </row>
    <row r="12585" spans="20:20">
      <c r="T12585" s="10"/>
    </row>
    <row r="12586" spans="20:20">
      <c r="T12586" s="10"/>
    </row>
    <row r="12587" spans="20:20">
      <c r="T12587" s="10"/>
    </row>
    <row r="12588" spans="20:20">
      <c r="T12588" s="10"/>
    </row>
    <row r="12589" spans="20:20">
      <c r="T12589" s="10"/>
    </row>
    <row r="12590" spans="20:20">
      <c r="T12590" s="10"/>
    </row>
    <row r="12591" spans="20:20">
      <c r="T12591" s="10"/>
    </row>
    <row r="12592" spans="20:20">
      <c r="T12592" s="10"/>
    </row>
    <row r="12593" spans="20:20">
      <c r="T12593" s="10"/>
    </row>
    <row r="12594" spans="20:20">
      <c r="T12594" s="10"/>
    </row>
    <row r="12595" spans="20:20">
      <c r="T12595" s="10"/>
    </row>
    <row r="12596" spans="20:20">
      <c r="T12596" s="10"/>
    </row>
    <row r="12597" spans="20:20">
      <c r="T12597" s="10"/>
    </row>
    <row r="12598" spans="20:20">
      <c r="T12598" s="10"/>
    </row>
    <row r="12599" spans="20:20">
      <c r="T12599" s="10"/>
    </row>
    <row r="12600" spans="20:20">
      <c r="T12600" s="10"/>
    </row>
    <row r="12601" spans="20:20">
      <c r="T12601" s="10"/>
    </row>
    <row r="12602" spans="20:20">
      <c r="T12602" s="10"/>
    </row>
    <row r="12603" spans="20:20">
      <c r="T12603" s="10"/>
    </row>
    <row r="12604" spans="20:20">
      <c r="T12604" s="10"/>
    </row>
    <row r="12605" spans="20:20">
      <c r="T12605" s="10"/>
    </row>
    <row r="12606" spans="20:20">
      <c r="T12606" s="10"/>
    </row>
    <row r="12607" spans="20:20">
      <c r="T12607" s="10"/>
    </row>
    <row r="12608" spans="20:20">
      <c r="T12608" s="10"/>
    </row>
    <row r="12609" spans="20:20">
      <c r="T12609" s="10"/>
    </row>
    <row r="12610" spans="20:20">
      <c r="T12610" s="10"/>
    </row>
    <row r="12611" spans="20:20">
      <c r="T12611" s="10"/>
    </row>
    <row r="12612" spans="20:20">
      <c r="T12612" s="10"/>
    </row>
    <row r="12613" spans="20:20">
      <c r="T12613" s="10"/>
    </row>
    <row r="12614" spans="20:20">
      <c r="T12614" s="10"/>
    </row>
    <row r="12615" spans="20:20">
      <c r="T12615" s="10"/>
    </row>
    <row r="12616" spans="20:20">
      <c r="T12616" s="10"/>
    </row>
    <row r="12617" spans="20:20">
      <c r="T12617" s="10"/>
    </row>
    <row r="12618" spans="20:20">
      <c r="T12618" s="10"/>
    </row>
    <row r="12619" spans="20:20">
      <c r="T12619" s="10"/>
    </row>
    <row r="12620" spans="20:20">
      <c r="T12620" s="10"/>
    </row>
    <row r="12621" spans="20:20">
      <c r="T12621" s="10"/>
    </row>
    <row r="12622" spans="20:20">
      <c r="T12622" s="10"/>
    </row>
    <row r="12623" spans="20:20">
      <c r="T12623" s="10"/>
    </row>
    <row r="12624" spans="20:20">
      <c r="T12624" s="10"/>
    </row>
    <row r="12625" spans="20:20">
      <c r="T12625" s="10"/>
    </row>
    <row r="12626" spans="20:20">
      <c r="T12626" s="10"/>
    </row>
    <row r="12627" spans="20:20">
      <c r="T12627" s="10"/>
    </row>
    <row r="12628" spans="20:20">
      <c r="T12628" s="10"/>
    </row>
    <row r="12629" spans="20:20">
      <c r="T12629" s="10"/>
    </row>
    <row r="12630" spans="20:20">
      <c r="T12630" s="10"/>
    </row>
    <row r="12631" spans="20:20">
      <c r="T12631" s="10"/>
    </row>
    <row r="12632" spans="20:20">
      <c r="T12632" s="10"/>
    </row>
    <row r="12633" spans="20:20">
      <c r="T12633" s="10"/>
    </row>
    <row r="12634" spans="20:20">
      <c r="T12634" s="10"/>
    </row>
    <row r="12635" spans="20:20">
      <c r="T12635" s="10"/>
    </row>
    <row r="12636" spans="20:20">
      <c r="T12636" s="10"/>
    </row>
    <row r="12637" spans="20:20">
      <c r="T12637" s="10"/>
    </row>
    <row r="12638" spans="20:20">
      <c r="T12638" s="10"/>
    </row>
    <row r="12639" spans="20:20">
      <c r="T12639" s="10"/>
    </row>
    <row r="12640" spans="20:20">
      <c r="T12640" s="10"/>
    </row>
    <row r="12641" spans="20:20">
      <c r="T12641" s="10"/>
    </row>
    <row r="12642" spans="20:20">
      <c r="T12642" s="10"/>
    </row>
    <row r="12643" spans="20:20">
      <c r="T12643" s="10"/>
    </row>
    <row r="12644" spans="20:20">
      <c r="T12644" s="10"/>
    </row>
    <row r="12645" spans="20:20">
      <c r="T12645" s="10"/>
    </row>
    <row r="12646" spans="20:20">
      <c r="T12646" s="10"/>
    </row>
    <row r="12647" spans="20:20">
      <c r="T12647" s="10"/>
    </row>
    <row r="12648" spans="20:20">
      <c r="T12648" s="10"/>
    </row>
    <row r="12649" spans="20:20">
      <c r="T12649" s="10"/>
    </row>
    <row r="12650" spans="20:20">
      <c r="T12650" s="10"/>
    </row>
    <row r="12651" spans="20:20">
      <c r="T12651" s="10"/>
    </row>
    <row r="12652" spans="20:20">
      <c r="T12652" s="10"/>
    </row>
    <row r="12653" spans="20:20">
      <c r="T12653" s="10"/>
    </row>
    <row r="12654" spans="20:20">
      <c r="T12654" s="10"/>
    </row>
    <row r="12655" spans="20:20">
      <c r="T12655" s="10"/>
    </row>
    <row r="12656" spans="20:20">
      <c r="T12656" s="10"/>
    </row>
    <row r="12657" spans="20:20">
      <c r="T12657" s="10"/>
    </row>
    <row r="12658" spans="20:20">
      <c r="T12658" s="10"/>
    </row>
    <row r="12659" spans="20:20">
      <c r="T12659" s="10"/>
    </row>
    <row r="12660" spans="20:20">
      <c r="T12660" s="10"/>
    </row>
    <row r="12661" spans="20:20">
      <c r="T12661" s="10"/>
    </row>
    <row r="12662" spans="20:20">
      <c r="T12662" s="10"/>
    </row>
    <row r="12663" spans="20:20">
      <c r="T12663" s="10"/>
    </row>
    <row r="12664" spans="20:20">
      <c r="T12664" s="10"/>
    </row>
    <row r="12665" spans="20:20">
      <c r="T12665" s="10"/>
    </row>
    <row r="12666" spans="20:20">
      <c r="T12666" s="10"/>
    </row>
    <row r="12667" spans="20:20">
      <c r="T12667" s="10"/>
    </row>
    <row r="12668" spans="20:20">
      <c r="T12668" s="10"/>
    </row>
    <row r="12669" spans="20:20">
      <c r="T12669" s="10"/>
    </row>
    <row r="12670" spans="20:20">
      <c r="T12670" s="10"/>
    </row>
    <row r="12671" spans="20:20">
      <c r="T12671" s="10"/>
    </row>
    <row r="12672" spans="20:20">
      <c r="T12672" s="10"/>
    </row>
    <row r="12673" spans="20:20">
      <c r="T12673" s="10"/>
    </row>
    <row r="12674" spans="20:20">
      <c r="T12674" s="10"/>
    </row>
    <row r="12675" spans="20:20">
      <c r="T12675" s="10"/>
    </row>
    <row r="12676" spans="20:20">
      <c r="T12676" s="10"/>
    </row>
    <row r="12677" spans="20:20">
      <c r="T12677" s="10"/>
    </row>
    <row r="12678" spans="20:20">
      <c r="T12678" s="10"/>
    </row>
    <row r="12679" spans="20:20">
      <c r="T12679" s="10"/>
    </row>
    <row r="12680" spans="20:20">
      <c r="T12680" s="10"/>
    </row>
    <row r="12681" spans="20:20">
      <c r="T12681" s="10"/>
    </row>
    <row r="12682" spans="20:20">
      <c r="T12682" s="10"/>
    </row>
    <row r="12683" spans="20:20">
      <c r="T12683" s="10"/>
    </row>
    <row r="12684" spans="20:20">
      <c r="T12684" s="10"/>
    </row>
    <row r="12685" spans="20:20">
      <c r="T12685" s="10"/>
    </row>
    <row r="12686" spans="20:20">
      <c r="T12686" s="10"/>
    </row>
    <row r="12687" spans="20:20">
      <c r="T12687" s="10"/>
    </row>
    <row r="12688" spans="20:20">
      <c r="T12688" s="10"/>
    </row>
    <row r="12689" spans="20:20">
      <c r="T12689" s="10"/>
    </row>
    <row r="12690" spans="20:20">
      <c r="T12690" s="10"/>
    </row>
    <row r="12691" spans="20:20">
      <c r="T12691" s="10"/>
    </row>
    <row r="12692" spans="20:20">
      <c r="T12692" s="10"/>
    </row>
    <row r="12693" spans="20:20">
      <c r="T12693" s="10"/>
    </row>
    <row r="12694" spans="20:20">
      <c r="T12694" s="10"/>
    </row>
    <row r="12695" spans="20:20">
      <c r="T12695" s="10"/>
    </row>
    <row r="12696" spans="20:20">
      <c r="T12696" s="10"/>
    </row>
    <row r="12697" spans="20:20">
      <c r="T12697" s="10"/>
    </row>
    <row r="12698" spans="20:20">
      <c r="T12698" s="10"/>
    </row>
    <row r="12699" spans="20:20">
      <c r="T12699" s="10"/>
    </row>
    <row r="12700" spans="20:20">
      <c r="T12700" s="10"/>
    </row>
    <row r="12701" spans="20:20">
      <c r="T12701" s="10"/>
    </row>
    <row r="12702" spans="20:20">
      <c r="T12702" s="10"/>
    </row>
    <row r="12703" spans="20:20">
      <c r="T12703" s="10"/>
    </row>
    <row r="12704" spans="20:20">
      <c r="T12704" s="10"/>
    </row>
    <row r="12705" spans="20:20">
      <c r="T12705" s="10"/>
    </row>
    <row r="12706" spans="20:20">
      <c r="T12706" s="10"/>
    </row>
    <row r="12707" spans="20:20">
      <c r="T12707" s="10"/>
    </row>
    <row r="12708" spans="20:20">
      <c r="T12708" s="10"/>
    </row>
    <row r="12709" spans="20:20">
      <c r="T12709" s="10"/>
    </row>
    <row r="12710" spans="20:20">
      <c r="T12710" s="10"/>
    </row>
    <row r="12711" spans="20:20">
      <c r="T12711" s="10"/>
    </row>
    <row r="12712" spans="20:20">
      <c r="T12712" s="10"/>
    </row>
    <row r="12713" spans="20:20">
      <c r="T12713" s="10"/>
    </row>
    <row r="12714" spans="20:20">
      <c r="T12714" s="10"/>
    </row>
    <row r="12715" spans="20:20">
      <c r="T12715" s="10"/>
    </row>
    <row r="12716" spans="20:20">
      <c r="T12716" s="10"/>
    </row>
    <row r="12717" spans="20:20">
      <c r="T12717" s="10"/>
    </row>
    <row r="12718" spans="20:20">
      <c r="T12718" s="10"/>
    </row>
    <row r="12719" spans="20:20">
      <c r="T12719" s="10"/>
    </row>
    <row r="12720" spans="20:20">
      <c r="T12720" s="10"/>
    </row>
    <row r="12721" spans="20:20">
      <c r="T12721" s="10"/>
    </row>
    <row r="12722" spans="20:20">
      <c r="T12722" s="10"/>
    </row>
    <row r="12723" spans="20:20">
      <c r="T12723" s="10"/>
    </row>
    <row r="12724" spans="20:20">
      <c r="T12724" s="10"/>
    </row>
    <row r="12725" spans="20:20">
      <c r="T12725" s="10"/>
    </row>
    <row r="12726" spans="20:20">
      <c r="T12726" s="10"/>
    </row>
    <row r="12727" spans="20:20">
      <c r="T12727" s="10"/>
    </row>
    <row r="12728" spans="20:20">
      <c r="T12728" s="10"/>
    </row>
    <row r="12729" spans="20:20">
      <c r="T12729" s="10"/>
    </row>
    <row r="12730" spans="20:20">
      <c r="T12730" s="10"/>
    </row>
    <row r="12731" spans="20:20">
      <c r="T12731" s="10"/>
    </row>
    <row r="12732" spans="20:20">
      <c r="T12732" s="10"/>
    </row>
    <row r="12733" spans="20:20">
      <c r="T12733" s="10"/>
    </row>
    <row r="12734" spans="20:20">
      <c r="T12734" s="10"/>
    </row>
    <row r="12735" spans="20:20">
      <c r="T12735" s="10"/>
    </row>
    <row r="12736" spans="20:20">
      <c r="T12736" s="10"/>
    </row>
    <row r="12737" spans="20:20">
      <c r="T12737" s="10"/>
    </row>
    <row r="12738" spans="20:20">
      <c r="T12738" s="10"/>
    </row>
    <row r="12739" spans="20:20">
      <c r="T12739" s="10"/>
    </row>
    <row r="12740" spans="20:20">
      <c r="T12740" s="10"/>
    </row>
    <row r="12741" spans="20:20">
      <c r="T12741" s="10"/>
    </row>
    <row r="12742" spans="20:20">
      <c r="T12742" s="10"/>
    </row>
    <row r="12743" spans="20:20">
      <c r="T12743" s="10"/>
    </row>
    <row r="12744" spans="20:20">
      <c r="T12744" s="10"/>
    </row>
    <row r="12745" spans="20:20">
      <c r="T12745" s="10"/>
    </row>
    <row r="12746" spans="20:20">
      <c r="T12746" s="10"/>
    </row>
    <row r="12747" spans="20:20">
      <c r="T12747" s="10"/>
    </row>
    <row r="12748" spans="20:20">
      <c r="T12748" s="10"/>
    </row>
    <row r="12749" spans="20:20">
      <c r="T12749" s="10"/>
    </row>
    <row r="12750" spans="20:20">
      <c r="T12750" s="10"/>
    </row>
    <row r="12751" spans="20:20">
      <c r="T12751" s="10"/>
    </row>
    <row r="12752" spans="20:20">
      <c r="T12752" s="10"/>
    </row>
    <row r="12753" spans="20:20">
      <c r="T12753" s="10"/>
    </row>
    <row r="12754" spans="20:20">
      <c r="T12754" s="10"/>
    </row>
    <row r="12755" spans="20:20">
      <c r="T12755" s="10"/>
    </row>
    <row r="12756" spans="20:20">
      <c r="T12756" s="10"/>
    </row>
    <row r="12757" spans="20:20">
      <c r="T12757" s="10"/>
    </row>
    <row r="12758" spans="20:20">
      <c r="T12758" s="10"/>
    </row>
    <row r="12759" spans="20:20">
      <c r="T12759" s="10"/>
    </row>
    <row r="12760" spans="20:20">
      <c r="T12760" s="10"/>
    </row>
    <row r="12761" spans="20:20">
      <c r="T12761" s="10"/>
    </row>
    <row r="12762" spans="20:20">
      <c r="T12762" s="10"/>
    </row>
    <row r="12763" spans="20:20">
      <c r="T12763" s="10"/>
    </row>
    <row r="12764" spans="20:20">
      <c r="T12764" s="10"/>
    </row>
    <row r="12765" spans="20:20">
      <c r="T12765" s="10"/>
    </row>
    <row r="12766" spans="20:20">
      <c r="T12766" s="10"/>
    </row>
    <row r="12767" spans="20:20">
      <c r="T12767" s="10"/>
    </row>
    <row r="12768" spans="20:20">
      <c r="T12768" s="10"/>
    </row>
    <row r="12769" spans="20:20">
      <c r="T12769" s="10"/>
    </row>
    <row r="12770" spans="20:20">
      <c r="T12770" s="10"/>
    </row>
    <row r="12771" spans="20:20">
      <c r="T12771" s="10"/>
    </row>
    <row r="12772" spans="20:20">
      <c r="T12772" s="10"/>
    </row>
    <row r="12773" spans="20:20">
      <c r="T12773" s="10"/>
    </row>
    <row r="12774" spans="20:20">
      <c r="T12774" s="10"/>
    </row>
    <row r="12775" spans="20:20">
      <c r="T12775" s="10"/>
    </row>
    <row r="12776" spans="20:20">
      <c r="T12776" s="10"/>
    </row>
    <row r="12777" spans="20:20">
      <c r="T12777" s="10"/>
    </row>
    <row r="12778" spans="20:20">
      <c r="T12778" s="10"/>
    </row>
    <row r="12779" spans="20:20">
      <c r="T12779" s="10"/>
    </row>
    <row r="12780" spans="20:20">
      <c r="T12780" s="10"/>
    </row>
    <row r="12781" spans="20:20">
      <c r="T12781" s="10"/>
    </row>
    <row r="12782" spans="20:20">
      <c r="T12782" s="10"/>
    </row>
    <row r="12783" spans="20:20">
      <c r="T12783" s="10"/>
    </row>
    <row r="12784" spans="20:20">
      <c r="T12784" s="10"/>
    </row>
    <row r="12785" spans="20:20">
      <c r="T12785" s="10"/>
    </row>
    <row r="12786" spans="20:20">
      <c r="T12786" s="10"/>
    </row>
    <row r="12787" spans="20:20">
      <c r="T12787" s="10"/>
    </row>
    <row r="12788" spans="20:20">
      <c r="T12788" s="10"/>
    </row>
    <row r="12789" spans="20:20">
      <c r="T12789" s="10"/>
    </row>
    <row r="12790" spans="20:20">
      <c r="T12790" s="10"/>
    </row>
    <row r="12791" spans="20:20">
      <c r="T12791" s="10"/>
    </row>
    <row r="12792" spans="20:20">
      <c r="T12792" s="10"/>
    </row>
    <row r="12793" spans="20:20">
      <c r="T12793" s="10"/>
    </row>
    <row r="12794" spans="20:20">
      <c r="T12794" s="10"/>
    </row>
    <row r="12795" spans="20:20">
      <c r="T12795" s="10"/>
    </row>
    <row r="12796" spans="20:20">
      <c r="T12796" s="10"/>
    </row>
    <row r="12797" spans="20:20">
      <c r="T12797" s="10"/>
    </row>
    <row r="12798" spans="20:20">
      <c r="T12798" s="10"/>
    </row>
    <row r="12799" spans="20:20">
      <c r="T12799" s="10"/>
    </row>
    <row r="12800" spans="20:20">
      <c r="T12800" s="10"/>
    </row>
    <row r="12801" spans="20:20">
      <c r="T12801" s="10"/>
    </row>
    <row r="12802" spans="20:20">
      <c r="T12802" s="10"/>
    </row>
    <row r="12803" spans="20:20">
      <c r="T12803" s="10"/>
    </row>
    <row r="12804" spans="20:20">
      <c r="T12804" s="10"/>
    </row>
    <row r="12805" spans="20:20">
      <c r="T12805" s="10"/>
    </row>
    <row r="12806" spans="20:20">
      <c r="T12806" s="10"/>
    </row>
    <row r="12807" spans="20:20">
      <c r="T12807" s="10"/>
    </row>
    <row r="12808" spans="20:20">
      <c r="T12808" s="10"/>
    </row>
    <row r="12809" spans="20:20">
      <c r="T12809" s="10"/>
    </row>
    <row r="12810" spans="20:20">
      <c r="T12810" s="10"/>
    </row>
    <row r="12811" spans="20:20">
      <c r="T12811" s="10"/>
    </row>
    <row r="12812" spans="20:20">
      <c r="T12812" s="10"/>
    </row>
    <row r="12813" spans="20:20">
      <c r="T12813" s="10"/>
    </row>
    <row r="12814" spans="20:20">
      <c r="T12814" s="10"/>
    </row>
    <row r="12815" spans="20:20">
      <c r="T12815" s="10"/>
    </row>
    <row r="12816" spans="20:20">
      <c r="T12816" s="10"/>
    </row>
    <row r="12817" spans="20:20">
      <c r="T12817" s="10"/>
    </row>
    <row r="12818" spans="20:20">
      <c r="T12818" s="10"/>
    </row>
    <row r="12819" spans="20:20">
      <c r="T12819" s="10"/>
    </row>
    <row r="12820" spans="20:20">
      <c r="T12820" s="10"/>
    </row>
    <row r="12821" spans="20:20">
      <c r="T12821" s="10"/>
    </row>
    <row r="12822" spans="20:20">
      <c r="T12822" s="10"/>
    </row>
    <row r="12823" spans="20:20">
      <c r="T12823" s="10"/>
    </row>
    <row r="12824" spans="20:20">
      <c r="T12824" s="10"/>
    </row>
    <row r="12825" spans="20:20">
      <c r="T12825" s="10"/>
    </row>
    <row r="12826" spans="20:20">
      <c r="T12826" s="10"/>
    </row>
    <row r="12827" spans="20:20">
      <c r="T12827" s="10"/>
    </row>
    <row r="12828" spans="20:20">
      <c r="T12828" s="10"/>
    </row>
    <row r="12829" spans="20:20">
      <c r="T12829" s="10"/>
    </row>
    <row r="12830" spans="20:20">
      <c r="T12830" s="10"/>
    </row>
    <row r="12831" spans="20:20">
      <c r="T12831" s="10"/>
    </row>
    <row r="12832" spans="20:20">
      <c r="T12832" s="10"/>
    </row>
    <row r="12833" spans="20:20">
      <c r="T12833" s="10"/>
    </row>
    <row r="12834" spans="20:20">
      <c r="T12834" s="10"/>
    </row>
    <row r="12835" spans="20:20">
      <c r="T12835" s="10"/>
    </row>
    <row r="12836" spans="20:20">
      <c r="T12836" s="10"/>
    </row>
    <row r="12837" spans="20:20">
      <c r="T12837" s="10"/>
    </row>
    <row r="12838" spans="20:20">
      <c r="T12838" s="10"/>
    </row>
    <row r="12839" spans="20:20">
      <c r="T12839" s="10"/>
    </row>
    <row r="12840" spans="20:20">
      <c r="T12840" s="10"/>
    </row>
    <row r="12841" spans="20:20">
      <c r="T12841" s="10"/>
    </row>
    <row r="12842" spans="20:20">
      <c r="T12842" s="10"/>
    </row>
    <row r="12843" spans="20:20">
      <c r="T12843" s="10"/>
    </row>
    <row r="12844" spans="20:20">
      <c r="T12844" s="10"/>
    </row>
    <row r="12845" spans="20:20">
      <c r="T12845" s="10"/>
    </row>
    <row r="12846" spans="20:20">
      <c r="T12846" s="10"/>
    </row>
    <row r="12847" spans="20:20">
      <c r="T12847" s="10"/>
    </row>
    <row r="12848" spans="20:20">
      <c r="T12848" s="10"/>
    </row>
    <row r="12849" spans="20:20">
      <c r="T12849" s="10"/>
    </row>
    <row r="12850" spans="20:20">
      <c r="T12850" s="10"/>
    </row>
    <row r="12851" spans="20:20">
      <c r="T12851" s="10"/>
    </row>
    <row r="12852" spans="20:20">
      <c r="T12852" s="10"/>
    </row>
    <row r="12853" spans="20:20">
      <c r="T12853" s="10"/>
    </row>
    <row r="12854" spans="20:20">
      <c r="T12854" s="10"/>
    </row>
    <row r="12855" spans="20:20">
      <c r="T12855" s="10"/>
    </row>
    <row r="12856" spans="20:20">
      <c r="T12856" s="10"/>
    </row>
    <row r="12857" spans="20:20">
      <c r="T12857" s="10"/>
    </row>
    <row r="12858" spans="20:20">
      <c r="T12858" s="10"/>
    </row>
    <row r="12859" spans="20:20">
      <c r="T12859" s="10"/>
    </row>
    <row r="12860" spans="20:20">
      <c r="T12860" s="10"/>
    </row>
    <row r="12861" spans="20:20">
      <c r="T12861" s="10"/>
    </row>
    <row r="12862" spans="20:20">
      <c r="T12862" s="10"/>
    </row>
    <row r="12863" spans="20:20">
      <c r="T12863" s="10"/>
    </row>
    <row r="12864" spans="20:20">
      <c r="T12864" s="10"/>
    </row>
    <row r="12865" spans="20:20">
      <c r="T12865" s="10"/>
    </row>
    <row r="12866" spans="20:20">
      <c r="T12866" s="10"/>
    </row>
    <row r="12867" spans="20:20">
      <c r="T12867" s="10"/>
    </row>
    <row r="12868" spans="20:20">
      <c r="T12868" s="10"/>
    </row>
    <row r="12869" spans="20:20">
      <c r="T12869" s="10"/>
    </row>
    <row r="12870" spans="20:20">
      <c r="T12870" s="10"/>
    </row>
    <row r="12871" spans="20:20">
      <c r="T12871" s="10"/>
    </row>
    <row r="12872" spans="20:20">
      <c r="T12872" s="10"/>
    </row>
    <row r="12873" spans="20:20">
      <c r="T12873" s="10"/>
    </row>
    <row r="12874" spans="20:20">
      <c r="T12874" s="10"/>
    </row>
    <row r="12875" spans="20:20">
      <c r="T12875" s="10"/>
    </row>
    <row r="12876" spans="20:20">
      <c r="T12876" s="10"/>
    </row>
    <row r="12877" spans="20:20">
      <c r="T12877" s="10"/>
    </row>
    <row r="12878" spans="20:20">
      <c r="T12878" s="10"/>
    </row>
    <row r="12879" spans="20:20">
      <c r="T12879" s="10"/>
    </row>
    <row r="12880" spans="20:20">
      <c r="T12880" s="10"/>
    </row>
    <row r="12881" spans="20:20">
      <c r="T12881" s="10"/>
    </row>
    <row r="12882" spans="20:20">
      <c r="T12882" s="10"/>
    </row>
    <row r="12883" spans="20:20">
      <c r="T12883" s="10"/>
    </row>
    <row r="12884" spans="20:20">
      <c r="T12884" s="10"/>
    </row>
    <row r="12885" spans="20:20">
      <c r="T12885" s="10"/>
    </row>
    <row r="12886" spans="20:20">
      <c r="T12886" s="10"/>
    </row>
    <row r="12887" spans="20:20">
      <c r="T12887" s="10"/>
    </row>
    <row r="12888" spans="20:20">
      <c r="T12888" s="10"/>
    </row>
    <row r="12889" spans="20:20">
      <c r="T12889" s="10"/>
    </row>
    <row r="12890" spans="20:20">
      <c r="T12890" s="10"/>
    </row>
    <row r="12891" spans="20:20">
      <c r="T12891" s="10"/>
    </row>
    <row r="12892" spans="20:20">
      <c r="T12892" s="10"/>
    </row>
    <row r="12893" spans="20:20">
      <c r="T12893" s="10"/>
    </row>
    <row r="12894" spans="20:20">
      <c r="T12894" s="10"/>
    </row>
    <row r="12895" spans="20:20">
      <c r="T12895" s="10"/>
    </row>
    <row r="12896" spans="20:20">
      <c r="T12896" s="10"/>
    </row>
    <row r="12897" spans="20:20">
      <c r="T12897" s="10"/>
    </row>
    <row r="12898" spans="20:20">
      <c r="T12898" s="10"/>
    </row>
    <row r="12899" spans="20:20">
      <c r="T12899" s="10"/>
    </row>
    <row r="12900" spans="20:20">
      <c r="T12900" s="10"/>
    </row>
    <row r="12901" spans="20:20">
      <c r="T12901" s="10"/>
    </row>
    <row r="12902" spans="20:20">
      <c r="T12902" s="10"/>
    </row>
    <row r="12903" spans="20:20">
      <c r="T12903" s="10"/>
    </row>
    <row r="12904" spans="20:20">
      <c r="T12904" s="10"/>
    </row>
    <row r="12905" spans="20:20">
      <c r="T12905" s="10"/>
    </row>
    <row r="12906" spans="20:20">
      <c r="T12906" s="10"/>
    </row>
    <row r="12907" spans="20:20">
      <c r="T12907" s="10"/>
    </row>
    <row r="12908" spans="20:20">
      <c r="T12908" s="10"/>
    </row>
    <row r="12909" spans="20:20">
      <c r="T12909" s="10"/>
    </row>
    <row r="12910" spans="20:20">
      <c r="T12910" s="10"/>
    </row>
    <row r="12911" spans="20:20">
      <c r="T12911" s="10"/>
    </row>
    <row r="12912" spans="20:20">
      <c r="T12912" s="10"/>
    </row>
    <row r="12913" spans="20:20">
      <c r="T12913" s="10"/>
    </row>
    <row r="12914" spans="20:20">
      <c r="T12914" s="10"/>
    </row>
    <row r="12915" spans="20:20">
      <c r="T12915" s="10"/>
    </row>
    <row r="12916" spans="20:20">
      <c r="T12916" s="10"/>
    </row>
    <row r="12917" spans="20:20">
      <c r="T12917" s="10"/>
    </row>
    <row r="12918" spans="20:20">
      <c r="T12918" s="10"/>
    </row>
    <row r="12919" spans="20:20">
      <c r="T12919" s="10"/>
    </row>
    <row r="12920" spans="20:20">
      <c r="T12920" s="10"/>
    </row>
    <row r="12921" spans="20:20">
      <c r="T12921" s="10"/>
    </row>
    <row r="12922" spans="20:20">
      <c r="T12922" s="10"/>
    </row>
    <row r="12923" spans="20:20">
      <c r="T12923" s="10"/>
    </row>
    <row r="12924" spans="20:20">
      <c r="T12924" s="10"/>
    </row>
    <row r="12925" spans="20:20">
      <c r="T12925" s="10"/>
    </row>
    <row r="12926" spans="20:20">
      <c r="T12926" s="10"/>
    </row>
    <row r="12927" spans="20:20">
      <c r="T12927" s="10"/>
    </row>
    <row r="12928" spans="20:20">
      <c r="T12928" s="10"/>
    </row>
    <row r="12929" spans="20:20">
      <c r="T12929" s="10"/>
    </row>
    <row r="12930" spans="20:20">
      <c r="T12930" s="10"/>
    </row>
    <row r="12931" spans="20:20">
      <c r="T12931" s="10"/>
    </row>
    <row r="12932" spans="20:20">
      <c r="T12932" s="10"/>
    </row>
    <row r="12933" spans="20:20">
      <c r="T12933" s="10"/>
    </row>
    <row r="12934" spans="20:20">
      <c r="T12934" s="10"/>
    </row>
    <row r="12935" spans="20:20">
      <c r="T12935" s="10"/>
    </row>
    <row r="12936" spans="20:20">
      <c r="T12936" s="10"/>
    </row>
    <row r="12937" spans="20:20">
      <c r="T12937" s="10"/>
    </row>
    <row r="12938" spans="20:20">
      <c r="T12938" s="10"/>
    </row>
    <row r="12939" spans="20:20">
      <c r="T12939" s="10"/>
    </row>
    <row r="12940" spans="20:20">
      <c r="T12940" s="10"/>
    </row>
    <row r="12941" spans="20:20">
      <c r="T12941" s="10"/>
    </row>
    <row r="12942" spans="20:20">
      <c r="T12942" s="10"/>
    </row>
    <row r="12943" spans="20:20">
      <c r="T12943" s="10"/>
    </row>
    <row r="12944" spans="20:20">
      <c r="T12944" s="10"/>
    </row>
    <row r="12945" spans="20:20">
      <c r="T12945" s="10"/>
    </row>
    <row r="12946" spans="20:20">
      <c r="T12946" s="10"/>
    </row>
    <row r="12947" spans="20:20">
      <c r="T12947" s="10"/>
    </row>
    <row r="12948" spans="20:20">
      <c r="T12948" s="10"/>
    </row>
    <row r="12949" spans="20:20">
      <c r="T12949" s="10"/>
    </row>
    <row r="12950" spans="20:20">
      <c r="T12950" s="10"/>
    </row>
    <row r="12951" spans="20:20">
      <c r="T12951" s="10"/>
    </row>
    <row r="12952" spans="20:20">
      <c r="T12952" s="10"/>
    </row>
    <row r="12953" spans="20:20">
      <c r="T12953" s="10"/>
    </row>
    <row r="12954" spans="20:20">
      <c r="T12954" s="10"/>
    </row>
    <row r="12955" spans="20:20">
      <c r="T12955" s="10"/>
    </row>
    <row r="12956" spans="20:20">
      <c r="T12956" s="10"/>
    </row>
    <row r="12957" spans="20:20">
      <c r="T12957" s="10"/>
    </row>
    <row r="12958" spans="20:20">
      <c r="T12958" s="10"/>
    </row>
    <row r="12959" spans="20:20">
      <c r="T12959" s="10"/>
    </row>
    <row r="12960" spans="20:20">
      <c r="T12960" s="10"/>
    </row>
    <row r="12961" spans="20:20">
      <c r="T12961" s="10"/>
    </row>
    <row r="12962" spans="20:20">
      <c r="T12962" s="10"/>
    </row>
    <row r="12963" spans="20:20">
      <c r="T12963" s="10"/>
    </row>
    <row r="12964" spans="20:20">
      <c r="T12964" s="10"/>
    </row>
    <row r="12965" spans="20:20">
      <c r="T12965" s="10"/>
    </row>
    <row r="12966" spans="20:20">
      <c r="T12966" s="10"/>
    </row>
    <row r="12967" spans="20:20">
      <c r="T12967" s="10"/>
    </row>
    <row r="12968" spans="20:20">
      <c r="T12968" s="10"/>
    </row>
    <row r="12969" spans="20:20">
      <c r="T12969" s="10"/>
    </row>
    <row r="12970" spans="20:20">
      <c r="T12970" s="10"/>
    </row>
    <row r="12971" spans="20:20">
      <c r="T12971" s="10"/>
    </row>
    <row r="12972" spans="20:20">
      <c r="T12972" s="10"/>
    </row>
    <row r="12973" spans="20:20">
      <c r="T12973" s="10"/>
    </row>
    <row r="12974" spans="20:20">
      <c r="T12974" s="10"/>
    </row>
    <row r="12975" spans="20:20">
      <c r="T12975" s="10"/>
    </row>
    <row r="12976" spans="20:20">
      <c r="T12976" s="10"/>
    </row>
    <row r="12977" spans="20:20">
      <c r="T12977" s="10"/>
    </row>
    <row r="12978" spans="20:20">
      <c r="T12978" s="10"/>
    </row>
    <row r="12979" spans="20:20">
      <c r="T12979" s="10"/>
    </row>
    <row r="12980" spans="20:20">
      <c r="T12980" s="10"/>
    </row>
    <row r="12981" spans="20:20">
      <c r="T12981" s="10"/>
    </row>
    <row r="12982" spans="20:20">
      <c r="T12982" s="10"/>
    </row>
    <row r="12983" spans="20:20">
      <c r="T12983" s="10"/>
    </row>
    <row r="12984" spans="20:20">
      <c r="T12984" s="10"/>
    </row>
    <row r="12985" spans="20:20">
      <c r="T12985" s="10"/>
    </row>
    <row r="12986" spans="20:20">
      <c r="T12986" s="10"/>
    </row>
    <row r="12987" spans="20:20">
      <c r="T12987" s="10"/>
    </row>
    <row r="12988" spans="20:20">
      <c r="T12988" s="10"/>
    </row>
    <row r="12989" spans="20:20">
      <c r="T12989" s="10"/>
    </row>
    <row r="12990" spans="20:20">
      <c r="T12990" s="10"/>
    </row>
    <row r="12991" spans="20:20">
      <c r="T12991" s="10"/>
    </row>
    <row r="12992" spans="20:20">
      <c r="T12992" s="10"/>
    </row>
    <row r="12993" spans="20:20">
      <c r="T12993" s="10"/>
    </row>
    <row r="12994" spans="20:20">
      <c r="T12994" s="10"/>
    </row>
    <row r="12995" spans="20:20">
      <c r="T12995" s="10"/>
    </row>
    <row r="12996" spans="20:20">
      <c r="T12996" s="10"/>
    </row>
    <row r="12997" spans="20:20">
      <c r="T12997" s="10"/>
    </row>
    <row r="12998" spans="20:20">
      <c r="T12998" s="10"/>
    </row>
    <row r="12999" spans="20:20">
      <c r="T12999" s="10"/>
    </row>
    <row r="13000" spans="20:20">
      <c r="T13000" s="10"/>
    </row>
    <row r="13001" spans="20:20">
      <c r="T13001" s="10"/>
    </row>
    <row r="13002" spans="20:20">
      <c r="T13002" s="10"/>
    </row>
    <row r="13003" spans="20:20">
      <c r="T13003" s="10"/>
    </row>
    <row r="13004" spans="20:20">
      <c r="T13004" s="10"/>
    </row>
    <row r="13005" spans="20:20">
      <c r="T13005" s="10"/>
    </row>
    <row r="13006" spans="20:20">
      <c r="T13006" s="10"/>
    </row>
    <row r="13007" spans="20:20">
      <c r="T13007" s="10"/>
    </row>
    <row r="13008" spans="20:20">
      <c r="T13008" s="10"/>
    </row>
    <row r="13009" spans="20:20">
      <c r="T13009" s="10"/>
    </row>
    <row r="13010" spans="20:20">
      <c r="T13010" s="10"/>
    </row>
    <row r="13011" spans="20:20">
      <c r="T13011" s="10"/>
    </row>
    <row r="13012" spans="20:20">
      <c r="T13012" s="10"/>
    </row>
    <row r="13013" spans="20:20">
      <c r="T13013" s="10"/>
    </row>
    <row r="13014" spans="20:20">
      <c r="T13014" s="10"/>
    </row>
    <row r="13015" spans="20:20">
      <c r="T13015" s="10"/>
    </row>
    <row r="13016" spans="20:20">
      <c r="T13016" s="10"/>
    </row>
    <row r="13017" spans="20:20">
      <c r="T13017" s="10"/>
    </row>
    <row r="13018" spans="20:20">
      <c r="T13018" s="10"/>
    </row>
    <row r="13019" spans="20:20">
      <c r="T13019" s="10"/>
    </row>
    <row r="13020" spans="20:20">
      <c r="T13020" s="10"/>
    </row>
    <row r="13021" spans="20:20">
      <c r="T13021" s="10"/>
    </row>
    <row r="13022" spans="20:20">
      <c r="T13022" s="10"/>
    </row>
    <row r="13023" spans="20:20">
      <c r="T13023" s="10"/>
    </row>
    <row r="13024" spans="20:20">
      <c r="T13024" s="10"/>
    </row>
    <row r="13025" spans="20:20">
      <c r="T13025" s="10"/>
    </row>
    <row r="13026" spans="20:20">
      <c r="T13026" s="10"/>
    </row>
    <row r="13027" spans="20:20">
      <c r="T13027" s="10"/>
    </row>
    <row r="13028" spans="20:20">
      <c r="T13028" s="10"/>
    </row>
    <row r="13029" spans="20:20">
      <c r="T13029" s="10"/>
    </row>
    <row r="13030" spans="20:20">
      <c r="T13030" s="10"/>
    </row>
    <row r="13031" spans="20:20">
      <c r="T13031" s="10"/>
    </row>
    <row r="13032" spans="20:20">
      <c r="T13032" s="10"/>
    </row>
    <row r="13033" spans="20:20">
      <c r="T13033" s="10"/>
    </row>
    <row r="13034" spans="20:20">
      <c r="T13034" s="10"/>
    </row>
    <row r="13035" spans="20:20">
      <c r="T13035" s="10"/>
    </row>
    <row r="13036" spans="20:20">
      <c r="T13036" s="10"/>
    </row>
    <row r="13037" spans="20:20">
      <c r="T13037" s="10"/>
    </row>
    <row r="13038" spans="20:20">
      <c r="T13038" s="10"/>
    </row>
    <row r="13039" spans="20:20">
      <c r="T13039" s="10"/>
    </row>
    <row r="13040" spans="20:20">
      <c r="T13040" s="10"/>
    </row>
    <row r="13041" spans="20:20">
      <c r="T13041" s="10"/>
    </row>
    <row r="13042" spans="20:20">
      <c r="T13042" s="10"/>
    </row>
    <row r="13043" spans="20:20">
      <c r="T13043" s="10"/>
    </row>
    <row r="13044" spans="20:20">
      <c r="T13044" s="10"/>
    </row>
    <row r="13045" spans="20:20">
      <c r="T13045" s="10"/>
    </row>
    <row r="13046" spans="20:20">
      <c r="T13046" s="10"/>
    </row>
    <row r="13047" spans="20:20">
      <c r="T13047" s="10"/>
    </row>
    <row r="13048" spans="20:20">
      <c r="T13048" s="10"/>
    </row>
    <row r="13049" spans="20:20">
      <c r="T13049" s="10"/>
    </row>
    <row r="13050" spans="20:20">
      <c r="T13050" s="10"/>
    </row>
    <row r="13051" spans="20:20">
      <c r="T13051" s="10"/>
    </row>
    <row r="13052" spans="20:20">
      <c r="T13052" s="10"/>
    </row>
    <row r="13053" spans="20:20">
      <c r="T13053" s="10"/>
    </row>
    <row r="13054" spans="20:20">
      <c r="T13054" s="10"/>
    </row>
    <row r="13055" spans="20:20">
      <c r="T13055" s="10"/>
    </row>
    <row r="13056" spans="20:20">
      <c r="T13056" s="10"/>
    </row>
    <row r="13057" spans="20:20">
      <c r="T13057" s="10"/>
    </row>
    <row r="13058" spans="20:20">
      <c r="T13058" s="10"/>
    </row>
    <row r="13059" spans="20:20">
      <c r="T13059" s="10"/>
    </row>
    <row r="13060" spans="20:20">
      <c r="T13060" s="10"/>
    </row>
    <row r="13061" spans="20:20">
      <c r="T13061" s="10"/>
    </row>
    <row r="13062" spans="20:20">
      <c r="T13062" s="10"/>
    </row>
    <row r="13063" spans="20:20">
      <c r="T13063" s="10"/>
    </row>
    <row r="13064" spans="20:20">
      <c r="T13064" s="10"/>
    </row>
    <row r="13065" spans="20:20">
      <c r="T13065" s="10"/>
    </row>
    <row r="13066" spans="20:20">
      <c r="T13066" s="10"/>
    </row>
    <row r="13067" spans="20:20">
      <c r="T13067" s="10"/>
    </row>
    <row r="13068" spans="20:20">
      <c r="T13068" s="10"/>
    </row>
    <row r="13069" spans="20:20">
      <c r="T13069" s="10"/>
    </row>
    <row r="13070" spans="20:20">
      <c r="T13070" s="10"/>
    </row>
    <row r="13071" spans="20:20">
      <c r="T13071" s="10"/>
    </row>
    <row r="13072" spans="20:20">
      <c r="T13072" s="10"/>
    </row>
    <row r="13073" spans="20:20">
      <c r="T13073" s="10"/>
    </row>
    <row r="13074" spans="20:20">
      <c r="T13074" s="10"/>
    </row>
    <row r="13075" spans="20:20">
      <c r="T13075" s="10"/>
    </row>
    <row r="13076" spans="20:20">
      <c r="T13076" s="10"/>
    </row>
    <row r="13077" spans="20:20">
      <c r="T13077" s="10"/>
    </row>
    <row r="13078" spans="20:20">
      <c r="T13078" s="10"/>
    </row>
    <row r="13079" spans="20:20">
      <c r="T13079" s="10"/>
    </row>
    <row r="13080" spans="20:20">
      <c r="T13080" s="10"/>
    </row>
    <row r="13081" spans="20:20">
      <c r="T13081" s="10"/>
    </row>
    <row r="13082" spans="20:20">
      <c r="T13082" s="10"/>
    </row>
    <row r="13083" spans="20:20">
      <c r="T13083" s="10"/>
    </row>
    <row r="13084" spans="20:20">
      <c r="T13084" s="10"/>
    </row>
    <row r="13085" spans="20:20">
      <c r="T13085" s="10"/>
    </row>
    <row r="13086" spans="20:20">
      <c r="T13086" s="10"/>
    </row>
    <row r="13087" spans="20:20">
      <c r="T13087" s="10"/>
    </row>
    <row r="13088" spans="20:20">
      <c r="T13088" s="10"/>
    </row>
    <row r="13089" spans="20:20">
      <c r="T13089" s="10"/>
    </row>
    <row r="13090" spans="20:20">
      <c r="T13090" s="10"/>
    </row>
    <row r="13091" spans="20:20">
      <c r="T13091" s="10"/>
    </row>
    <row r="13092" spans="20:20">
      <c r="T13092" s="10"/>
    </row>
    <row r="13093" spans="20:20">
      <c r="T13093" s="10"/>
    </row>
    <row r="13094" spans="20:20">
      <c r="T13094" s="10"/>
    </row>
    <row r="13095" spans="20:20">
      <c r="T13095" s="10"/>
    </row>
    <row r="13096" spans="20:20">
      <c r="T13096" s="10"/>
    </row>
    <row r="13097" spans="20:20">
      <c r="T13097" s="10"/>
    </row>
    <row r="13098" spans="20:20">
      <c r="T13098" s="10"/>
    </row>
    <row r="13099" spans="20:20">
      <c r="T13099" s="10"/>
    </row>
    <row r="13100" spans="20:20">
      <c r="T13100" s="10"/>
    </row>
    <row r="13101" spans="20:20">
      <c r="T13101" s="10"/>
    </row>
    <row r="13102" spans="20:20">
      <c r="T13102" s="10"/>
    </row>
    <row r="13103" spans="20:20">
      <c r="T13103" s="10"/>
    </row>
    <row r="13104" spans="20:20">
      <c r="T13104" s="10"/>
    </row>
    <row r="13105" spans="20:20">
      <c r="T13105" s="10"/>
    </row>
    <row r="13106" spans="20:20">
      <c r="T13106" s="10"/>
    </row>
    <row r="13107" spans="20:20">
      <c r="T13107" s="10"/>
    </row>
    <row r="13108" spans="20:20">
      <c r="T13108" s="10"/>
    </row>
    <row r="13109" spans="20:20">
      <c r="T13109" s="10"/>
    </row>
    <row r="13110" spans="20:20">
      <c r="T13110" s="10"/>
    </row>
    <row r="13111" spans="20:20">
      <c r="T13111" s="10"/>
    </row>
    <row r="13112" spans="20:20">
      <c r="T13112" s="10"/>
    </row>
    <row r="13113" spans="20:20">
      <c r="T13113" s="10"/>
    </row>
    <row r="13114" spans="20:20">
      <c r="T13114" s="10"/>
    </row>
    <row r="13115" spans="20:20">
      <c r="T13115" s="10"/>
    </row>
    <row r="13116" spans="20:20">
      <c r="T13116" s="10"/>
    </row>
    <row r="13117" spans="20:20">
      <c r="T13117" s="10"/>
    </row>
    <row r="13118" spans="20:20">
      <c r="T13118" s="10"/>
    </row>
    <row r="13119" spans="20:20">
      <c r="T13119" s="10"/>
    </row>
    <row r="13120" spans="20:20">
      <c r="T13120" s="10"/>
    </row>
    <row r="13121" spans="20:20">
      <c r="T13121" s="10"/>
    </row>
    <row r="13122" spans="20:20">
      <c r="T13122" s="10"/>
    </row>
    <row r="13123" spans="20:20">
      <c r="T13123" s="10"/>
    </row>
    <row r="13124" spans="20:20">
      <c r="T13124" s="10"/>
    </row>
    <row r="13125" spans="20:20">
      <c r="T13125" s="10"/>
    </row>
    <row r="13126" spans="20:20">
      <c r="T13126" s="10"/>
    </row>
    <row r="13127" spans="20:20">
      <c r="T13127" s="10"/>
    </row>
    <row r="13128" spans="20:20">
      <c r="T13128" s="10"/>
    </row>
    <row r="13129" spans="20:20">
      <c r="T13129" s="10"/>
    </row>
    <row r="13130" spans="20:20">
      <c r="T13130" s="10"/>
    </row>
    <row r="13131" spans="20:20">
      <c r="T13131" s="10"/>
    </row>
    <row r="13132" spans="20:20">
      <c r="T13132" s="10"/>
    </row>
    <row r="13133" spans="20:20">
      <c r="T13133" s="10"/>
    </row>
    <row r="13134" spans="20:20">
      <c r="T13134" s="10"/>
    </row>
    <row r="13135" spans="20:20">
      <c r="T13135" s="10"/>
    </row>
    <row r="13136" spans="20:20">
      <c r="T13136" s="10"/>
    </row>
    <row r="13137" spans="20:20">
      <c r="T13137" s="10"/>
    </row>
    <row r="13138" spans="20:20">
      <c r="T13138" s="10"/>
    </row>
    <row r="13139" spans="20:20">
      <c r="T13139" s="10"/>
    </row>
    <row r="13140" spans="20:20">
      <c r="T13140" s="10"/>
    </row>
    <row r="13141" spans="20:20">
      <c r="T13141" s="10"/>
    </row>
    <row r="13142" spans="20:20">
      <c r="T13142" s="10"/>
    </row>
    <row r="13143" spans="20:20">
      <c r="T13143" s="10"/>
    </row>
    <row r="13144" spans="20:20">
      <c r="T13144" s="10"/>
    </row>
    <row r="13145" spans="20:20">
      <c r="T13145" s="10"/>
    </row>
    <row r="13146" spans="20:20">
      <c r="T13146" s="10"/>
    </row>
    <row r="13147" spans="20:20">
      <c r="T13147" s="10"/>
    </row>
    <row r="13148" spans="20:20">
      <c r="T13148" s="10"/>
    </row>
    <row r="13149" spans="20:20">
      <c r="T13149" s="10"/>
    </row>
    <row r="13150" spans="20:20">
      <c r="T13150" s="10"/>
    </row>
    <row r="13151" spans="20:20">
      <c r="T13151" s="10"/>
    </row>
    <row r="13152" spans="20:20">
      <c r="T13152" s="10"/>
    </row>
    <row r="13153" spans="20:20">
      <c r="T13153" s="10"/>
    </row>
    <row r="13154" spans="20:20">
      <c r="T13154" s="10"/>
    </row>
    <row r="13155" spans="20:20">
      <c r="T13155" s="10"/>
    </row>
    <row r="13156" spans="20:20">
      <c r="T13156" s="10"/>
    </row>
    <row r="13157" spans="20:20">
      <c r="T13157" s="10"/>
    </row>
    <row r="13158" spans="20:20">
      <c r="T13158" s="10"/>
    </row>
    <row r="13159" spans="20:20">
      <c r="T13159" s="10"/>
    </row>
    <row r="13160" spans="20:20">
      <c r="T13160" s="10"/>
    </row>
    <row r="13161" spans="20:20">
      <c r="T13161" s="10"/>
    </row>
    <row r="13162" spans="20:20">
      <c r="T13162" s="10"/>
    </row>
    <row r="13163" spans="20:20">
      <c r="T13163" s="10"/>
    </row>
    <row r="13164" spans="20:20">
      <c r="T13164" s="10"/>
    </row>
    <row r="13165" spans="20:20">
      <c r="T13165" s="10"/>
    </row>
    <row r="13166" spans="20:20">
      <c r="T13166" s="10"/>
    </row>
    <row r="13167" spans="20:20">
      <c r="T13167" s="10"/>
    </row>
    <row r="13168" spans="20:20">
      <c r="T13168" s="10"/>
    </row>
    <row r="13169" spans="20:20">
      <c r="T13169" s="10"/>
    </row>
    <row r="13170" spans="20:20">
      <c r="T13170" s="10"/>
    </row>
    <row r="13171" spans="20:20">
      <c r="T13171" s="10"/>
    </row>
    <row r="13172" spans="20:20">
      <c r="T13172" s="10"/>
    </row>
    <row r="13173" spans="20:20">
      <c r="T13173" s="10"/>
    </row>
    <row r="13174" spans="20:20">
      <c r="T13174" s="10"/>
    </row>
    <row r="13175" spans="20:20">
      <c r="T13175" s="10"/>
    </row>
    <row r="13176" spans="20:20">
      <c r="T13176" s="10"/>
    </row>
    <row r="13177" spans="20:20">
      <c r="T13177" s="10"/>
    </row>
    <row r="13178" spans="20:20">
      <c r="T13178" s="10"/>
    </row>
    <row r="13179" spans="20:20">
      <c r="T13179" s="10"/>
    </row>
    <row r="13180" spans="20:20">
      <c r="T13180" s="10"/>
    </row>
    <row r="13181" spans="20:20">
      <c r="T13181" s="10"/>
    </row>
    <row r="13182" spans="20:20">
      <c r="T13182" s="10"/>
    </row>
    <row r="13183" spans="20:20">
      <c r="T13183" s="10"/>
    </row>
    <row r="13184" spans="20:20">
      <c r="T13184" s="10"/>
    </row>
    <row r="13185" spans="20:20">
      <c r="T13185" s="10"/>
    </row>
    <row r="13186" spans="20:20">
      <c r="T13186" s="10"/>
    </row>
    <row r="13187" spans="20:20">
      <c r="T13187" s="10"/>
    </row>
    <row r="13188" spans="20:20">
      <c r="T13188" s="10"/>
    </row>
    <row r="13189" spans="20:20">
      <c r="T13189" s="10"/>
    </row>
    <row r="13190" spans="20:20">
      <c r="T13190" s="10"/>
    </row>
    <row r="13191" spans="20:20">
      <c r="T13191" s="10"/>
    </row>
    <row r="13192" spans="20:20">
      <c r="T13192" s="10"/>
    </row>
    <row r="13193" spans="20:20">
      <c r="T13193" s="10"/>
    </row>
    <row r="13194" spans="20:20">
      <c r="T13194" s="10"/>
    </row>
    <row r="13195" spans="20:20">
      <c r="T13195" s="10"/>
    </row>
    <row r="13196" spans="20:20">
      <c r="T13196" s="10"/>
    </row>
    <row r="13197" spans="20:20">
      <c r="T13197" s="10"/>
    </row>
    <row r="13198" spans="20:20">
      <c r="T13198" s="10"/>
    </row>
    <row r="13199" spans="20:20">
      <c r="T13199" s="10"/>
    </row>
    <row r="13200" spans="20:20">
      <c r="T13200" s="10"/>
    </row>
    <row r="13201" spans="20:20">
      <c r="T13201" s="10"/>
    </row>
    <row r="13202" spans="20:20">
      <c r="T13202" s="10"/>
    </row>
    <row r="13203" spans="20:20">
      <c r="T13203" s="10"/>
    </row>
    <row r="13204" spans="20:20">
      <c r="T13204" s="10"/>
    </row>
    <row r="13205" spans="20:20">
      <c r="T13205" s="10"/>
    </row>
    <row r="13206" spans="20:20">
      <c r="T13206" s="10"/>
    </row>
    <row r="13207" spans="20:20">
      <c r="T13207" s="10"/>
    </row>
    <row r="13208" spans="20:20">
      <c r="T13208" s="10"/>
    </row>
    <row r="13209" spans="20:20">
      <c r="T13209" s="10"/>
    </row>
    <row r="13210" spans="20:20">
      <c r="T13210" s="10"/>
    </row>
    <row r="13211" spans="20:20">
      <c r="T13211" s="10"/>
    </row>
    <row r="13212" spans="20:20">
      <c r="T13212" s="10"/>
    </row>
    <row r="13213" spans="20:20">
      <c r="T13213" s="10"/>
    </row>
    <row r="13214" spans="20:20">
      <c r="T13214" s="10"/>
    </row>
    <row r="13215" spans="20:20">
      <c r="T13215" s="10"/>
    </row>
    <row r="13216" spans="20:20">
      <c r="T13216" s="10"/>
    </row>
    <row r="13217" spans="20:20">
      <c r="T13217" s="10"/>
    </row>
    <row r="13218" spans="20:20">
      <c r="T13218" s="10"/>
    </row>
    <row r="13219" spans="20:20">
      <c r="T13219" s="10"/>
    </row>
    <row r="13220" spans="20:20">
      <c r="T13220" s="10"/>
    </row>
    <row r="13221" spans="20:20">
      <c r="T13221" s="10"/>
    </row>
    <row r="13222" spans="20:20">
      <c r="T13222" s="10"/>
    </row>
    <row r="13223" spans="20:20">
      <c r="T13223" s="10"/>
    </row>
    <row r="13224" spans="20:20">
      <c r="T13224" s="10"/>
    </row>
    <row r="13225" spans="20:20">
      <c r="T13225" s="10"/>
    </row>
    <row r="13226" spans="20:20">
      <c r="T13226" s="10"/>
    </row>
    <row r="13227" spans="20:20">
      <c r="T13227" s="10"/>
    </row>
    <row r="13228" spans="20:20">
      <c r="T13228" s="10"/>
    </row>
    <row r="13229" spans="20:20">
      <c r="T13229" s="10"/>
    </row>
    <row r="13230" spans="20:20">
      <c r="T13230" s="10"/>
    </row>
    <row r="13231" spans="20:20">
      <c r="T13231" s="10"/>
    </row>
    <row r="13232" spans="20:20">
      <c r="T13232" s="10"/>
    </row>
    <row r="13233" spans="20:20">
      <c r="T13233" s="10"/>
    </row>
    <row r="13234" spans="20:20">
      <c r="T13234" s="10"/>
    </row>
    <row r="13235" spans="20:20">
      <c r="T13235" s="10"/>
    </row>
    <row r="13236" spans="20:20">
      <c r="T13236" s="10"/>
    </row>
    <row r="13237" spans="20:20">
      <c r="T13237" s="10"/>
    </row>
    <row r="13238" spans="20:20">
      <c r="T13238" s="10"/>
    </row>
    <row r="13239" spans="20:20">
      <c r="T13239" s="10"/>
    </row>
    <row r="13240" spans="20:20">
      <c r="T13240" s="10"/>
    </row>
    <row r="13241" spans="20:20">
      <c r="T13241" s="10"/>
    </row>
    <row r="13242" spans="20:20">
      <c r="T13242" s="10"/>
    </row>
    <row r="13243" spans="20:20">
      <c r="T13243" s="10"/>
    </row>
    <row r="13244" spans="20:20">
      <c r="T13244" s="10"/>
    </row>
    <row r="13245" spans="20:20">
      <c r="T13245" s="10"/>
    </row>
    <row r="13246" spans="20:20">
      <c r="T13246" s="10"/>
    </row>
    <row r="13247" spans="20:20">
      <c r="T13247" s="10"/>
    </row>
    <row r="13248" spans="20:20">
      <c r="T13248" s="10"/>
    </row>
    <row r="13249" spans="20:20">
      <c r="T13249" s="10"/>
    </row>
    <row r="13250" spans="20:20">
      <c r="T13250" s="10"/>
    </row>
    <row r="13251" spans="20:20">
      <c r="T13251" s="10"/>
    </row>
    <row r="13252" spans="20:20">
      <c r="T13252" s="10"/>
    </row>
    <row r="13253" spans="20:20">
      <c r="T13253" s="10"/>
    </row>
    <row r="13254" spans="20:20">
      <c r="T13254" s="10"/>
    </row>
    <row r="13255" spans="20:20">
      <c r="T13255" s="10"/>
    </row>
    <row r="13256" spans="20:20">
      <c r="T13256" s="10"/>
    </row>
    <row r="13257" spans="20:20">
      <c r="T13257" s="10"/>
    </row>
    <row r="13258" spans="20:20">
      <c r="T13258" s="10"/>
    </row>
    <row r="13259" spans="20:20">
      <c r="T13259" s="10"/>
    </row>
    <row r="13260" spans="20:20">
      <c r="T13260" s="10"/>
    </row>
    <row r="13261" spans="20:20">
      <c r="T13261" s="10"/>
    </row>
    <row r="13262" spans="20:20">
      <c r="T13262" s="10"/>
    </row>
    <row r="13263" spans="20:20">
      <c r="T13263" s="10"/>
    </row>
    <row r="13264" spans="20:20">
      <c r="T13264" s="10"/>
    </row>
    <row r="13265" spans="20:20">
      <c r="T13265" s="10"/>
    </row>
    <row r="13266" spans="20:20">
      <c r="T13266" s="10"/>
    </row>
    <row r="13267" spans="20:20">
      <c r="T13267" s="10"/>
    </row>
    <row r="13268" spans="20:20">
      <c r="T13268" s="10"/>
    </row>
    <row r="13269" spans="20:20">
      <c r="T13269" s="10"/>
    </row>
    <row r="13270" spans="20:20">
      <c r="T13270" s="10"/>
    </row>
    <row r="13271" spans="20:20">
      <c r="T13271" s="10"/>
    </row>
    <row r="13272" spans="20:20">
      <c r="T13272" s="10"/>
    </row>
    <row r="13273" spans="20:20">
      <c r="T13273" s="10"/>
    </row>
    <row r="13274" spans="20:20">
      <c r="T13274" s="10"/>
    </row>
    <row r="13275" spans="20:20">
      <c r="T13275" s="10"/>
    </row>
    <row r="13276" spans="20:20">
      <c r="T13276" s="10"/>
    </row>
    <row r="13277" spans="20:20">
      <c r="T13277" s="10"/>
    </row>
    <row r="13278" spans="20:20">
      <c r="T13278" s="10"/>
    </row>
    <row r="13279" spans="20:20">
      <c r="T13279" s="10"/>
    </row>
    <row r="13280" spans="20:20">
      <c r="T13280" s="10"/>
    </row>
    <row r="13281" spans="20:20">
      <c r="T13281" s="10"/>
    </row>
    <row r="13282" spans="20:20">
      <c r="T13282" s="10"/>
    </row>
    <row r="13283" spans="20:20">
      <c r="T13283" s="10"/>
    </row>
    <row r="13284" spans="20:20">
      <c r="T13284" s="10"/>
    </row>
    <row r="13285" spans="20:20">
      <c r="T13285" s="10"/>
    </row>
    <row r="13286" spans="20:20">
      <c r="T13286" s="10"/>
    </row>
    <row r="13287" spans="20:20">
      <c r="T13287" s="10"/>
    </row>
    <row r="13288" spans="20:20">
      <c r="T13288" s="10"/>
    </row>
    <row r="13289" spans="20:20">
      <c r="T13289" s="10"/>
    </row>
    <row r="13290" spans="20:20">
      <c r="T13290" s="10"/>
    </row>
    <row r="13291" spans="20:20">
      <c r="T13291" s="10"/>
    </row>
    <row r="13292" spans="20:20">
      <c r="T13292" s="10"/>
    </row>
    <row r="13293" spans="20:20">
      <c r="T13293" s="10"/>
    </row>
    <row r="13294" spans="20:20">
      <c r="T13294" s="10"/>
    </row>
    <row r="13295" spans="20:20">
      <c r="T13295" s="10"/>
    </row>
    <row r="13296" spans="20:20">
      <c r="T13296" s="10"/>
    </row>
    <row r="13297" spans="20:20">
      <c r="T13297" s="10"/>
    </row>
    <row r="13298" spans="20:20">
      <c r="T13298" s="10"/>
    </row>
    <row r="13299" spans="20:20">
      <c r="T13299" s="10"/>
    </row>
    <row r="13300" spans="20:20">
      <c r="T13300" s="10"/>
    </row>
    <row r="13301" spans="20:20">
      <c r="T13301" s="10"/>
    </row>
    <row r="13302" spans="20:20">
      <c r="T13302" s="10"/>
    </row>
    <row r="13303" spans="20:20">
      <c r="T13303" s="10"/>
    </row>
    <row r="13304" spans="20:20">
      <c r="T13304" s="10"/>
    </row>
    <row r="13305" spans="20:20">
      <c r="T13305" s="10"/>
    </row>
    <row r="13306" spans="20:20">
      <c r="T13306" s="10"/>
    </row>
    <row r="13307" spans="20:20">
      <c r="T13307" s="10"/>
    </row>
    <row r="13308" spans="20:20">
      <c r="T13308" s="10"/>
    </row>
    <row r="13309" spans="20:20">
      <c r="T13309" s="10"/>
    </row>
    <row r="13310" spans="20:20">
      <c r="T13310" s="10"/>
    </row>
    <row r="13311" spans="20:20">
      <c r="T13311" s="10"/>
    </row>
    <row r="13312" spans="20:20">
      <c r="T13312" s="10"/>
    </row>
    <row r="13313" spans="20:20">
      <c r="T13313" s="10"/>
    </row>
    <row r="13314" spans="20:20">
      <c r="T13314" s="10"/>
    </row>
    <row r="13315" spans="20:20">
      <c r="T13315" s="10"/>
    </row>
    <row r="13316" spans="20:20">
      <c r="T13316" s="10"/>
    </row>
    <row r="13317" spans="20:20">
      <c r="T13317" s="10"/>
    </row>
    <row r="13318" spans="20:20">
      <c r="T13318" s="10"/>
    </row>
    <row r="13319" spans="20:20">
      <c r="T13319" s="10"/>
    </row>
    <row r="13320" spans="20:20">
      <c r="T13320" s="10"/>
    </row>
    <row r="13321" spans="20:20">
      <c r="T13321" s="10"/>
    </row>
    <row r="13322" spans="20:20">
      <c r="T13322" s="10"/>
    </row>
    <row r="13323" spans="20:20">
      <c r="T13323" s="10"/>
    </row>
    <row r="13324" spans="20:20">
      <c r="T13324" s="10"/>
    </row>
    <row r="13325" spans="20:20">
      <c r="T13325" s="10"/>
    </row>
    <row r="13326" spans="20:20">
      <c r="T13326" s="10"/>
    </row>
    <row r="13327" spans="20:20">
      <c r="T13327" s="10"/>
    </row>
    <row r="13328" spans="20:20">
      <c r="T13328" s="10"/>
    </row>
    <row r="13329" spans="20:20">
      <c r="T13329" s="10"/>
    </row>
    <row r="13330" spans="20:20">
      <c r="T13330" s="10"/>
    </row>
    <row r="13331" spans="20:20">
      <c r="T13331" s="10"/>
    </row>
    <row r="13332" spans="20:20">
      <c r="T13332" s="10"/>
    </row>
    <row r="13333" spans="20:20">
      <c r="T13333" s="10"/>
    </row>
    <row r="13334" spans="20:20">
      <c r="T13334" s="10"/>
    </row>
    <row r="13335" spans="20:20">
      <c r="T13335" s="10"/>
    </row>
    <row r="13336" spans="20:20">
      <c r="T13336" s="10"/>
    </row>
    <row r="13337" spans="20:20">
      <c r="T13337" s="10"/>
    </row>
    <row r="13338" spans="20:20">
      <c r="T13338" s="10"/>
    </row>
    <row r="13339" spans="20:20">
      <c r="T13339" s="10"/>
    </row>
    <row r="13340" spans="20:20">
      <c r="T13340" s="10"/>
    </row>
    <row r="13341" spans="20:20">
      <c r="T13341" s="10"/>
    </row>
    <row r="13342" spans="20:20">
      <c r="T13342" s="10"/>
    </row>
    <row r="13343" spans="20:20">
      <c r="T13343" s="10"/>
    </row>
    <row r="13344" spans="20:20">
      <c r="T13344" s="10"/>
    </row>
    <row r="13345" spans="20:20">
      <c r="T13345" s="10"/>
    </row>
    <row r="13346" spans="20:20">
      <c r="T13346" s="10"/>
    </row>
    <row r="13347" spans="20:20">
      <c r="T13347" s="10"/>
    </row>
    <row r="13348" spans="20:20">
      <c r="T13348" s="10"/>
    </row>
    <row r="13349" spans="20:20">
      <c r="T13349" s="10"/>
    </row>
    <row r="13350" spans="20:20">
      <c r="T13350" s="10"/>
    </row>
    <row r="13351" spans="20:20">
      <c r="T13351" s="10"/>
    </row>
    <row r="13352" spans="20:20">
      <c r="T13352" s="10"/>
    </row>
    <row r="13353" spans="20:20">
      <c r="T13353" s="10"/>
    </row>
    <row r="13354" spans="20:20">
      <c r="T13354" s="10"/>
    </row>
    <row r="13355" spans="20:20">
      <c r="T13355" s="10"/>
    </row>
    <row r="13356" spans="20:20">
      <c r="T13356" s="10"/>
    </row>
    <row r="13357" spans="20:20">
      <c r="T13357" s="10"/>
    </row>
    <row r="13358" spans="20:20">
      <c r="T13358" s="10"/>
    </row>
    <row r="13359" spans="20:20">
      <c r="T13359" s="10"/>
    </row>
    <row r="13360" spans="20:20">
      <c r="T13360" s="10"/>
    </row>
    <row r="13361" spans="20:20">
      <c r="T13361" s="10"/>
    </row>
    <row r="13362" spans="20:20">
      <c r="T13362" s="10"/>
    </row>
    <row r="13363" spans="20:20">
      <c r="T13363" s="10"/>
    </row>
    <row r="13364" spans="20:20">
      <c r="T13364" s="10"/>
    </row>
    <row r="13365" spans="20:20">
      <c r="T13365" s="10"/>
    </row>
    <row r="13366" spans="20:20">
      <c r="T13366" s="10"/>
    </row>
    <row r="13367" spans="20:20">
      <c r="T13367" s="10"/>
    </row>
    <row r="13368" spans="20:20">
      <c r="T13368" s="10"/>
    </row>
    <row r="13369" spans="20:20">
      <c r="T13369" s="10"/>
    </row>
    <row r="13370" spans="20:20">
      <c r="T13370" s="10"/>
    </row>
    <row r="13371" spans="20:20">
      <c r="T13371" s="10"/>
    </row>
    <row r="13372" spans="20:20">
      <c r="T13372" s="10"/>
    </row>
    <row r="13373" spans="20:20">
      <c r="T13373" s="10"/>
    </row>
    <row r="13374" spans="20:20">
      <c r="T13374" s="10"/>
    </row>
    <row r="13375" spans="20:20">
      <c r="T13375" s="10"/>
    </row>
    <row r="13376" spans="20:20">
      <c r="T13376" s="10"/>
    </row>
    <row r="13377" spans="20:20">
      <c r="T13377" s="10"/>
    </row>
    <row r="13378" spans="20:20">
      <c r="T13378" s="10"/>
    </row>
    <row r="13379" spans="20:20">
      <c r="T13379" s="10"/>
    </row>
    <row r="13380" spans="20:20">
      <c r="T13380" s="10"/>
    </row>
    <row r="13381" spans="20:20">
      <c r="T13381" s="10"/>
    </row>
    <row r="13382" spans="20:20">
      <c r="T13382" s="10"/>
    </row>
    <row r="13383" spans="20:20">
      <c r="T13383" s="10"/>
    </row>
    <row r="13384" spans="20:20">
      <c r="T13384" s="10"/>
    </row>
    <row r="13385" spans="20:20">
      <c r="T13385" s="10"/>
    </row>
    <row r="13386" spans="20:20">
      <c r="T13386" s="10"/>
    </row>
    <row r="13387" spans="20:20">
      <c r="T13387" s="10"/>
    </row>
    <row r="13388" spans="20:20">
      <c r="T13388" s="10"/>
    </row>
    <row r="13389" spans="20:20">
      <c r="T13389" s="10"/>
    </row>
    <row r="13390" spans="20:20">
      <c r="T13390" s="10"/>
    </row>
    <row r="13391" spans="20:20">
      <c r="T13391" s="10"/>
    </row>
    <row r="13392" spans="20:20">
      <c r="T13392" s="10"/>
    </row>
    <row r="13393" spans="20:20">
      <c r="T13393" s="10"/>
    </row>
    <row r="13394" spans="20:20">
      <c r="T13394" s="10"/>
    </row>
    <row r="13395" spans="20:20">
      <c r="T13395" s="10"/>
    </row>
    <row r="13396" spans="20:20">
      <c r="T13396" s="10"/>
    </row>
    <row r="13397" spans="20:20">
      <c r="T13397" s="10"/>
    </row>
    <row r="13398" spans="20:20">
      <c r="T13398" s="10"/>
    </row>
    <row r="13399" spans="20:20">
      <c r="T13399" s="10"/>
    </row>
    <row r="13400" spans="20:20">
      <c r="T13400" s="10"/>
    </row>
    <row r="13401" spans="20:20">
      <c r="T13401" s="10"/>
    </row>
    <row r="13402" spans="20:20">
      <c r="T13402" s="10"/>
    </row>
    <row r="13403" spans="20:20">
      <c r="T13403" s="10"/>
    </row>
    <row r="13404" spans="20:20">
      <c r="T13404" s="10"/>
    </row>
    <row r="13405" spans="20:20">
      <c r="T13405" s="10"/>
    </row>
    <row r="13406" spans="20:20">
      <c r="T13406" s="10"/>
    </row>
    <row r="13407" spans="20:20">
      <c r="T13407" s="10"/>
    </row>
    <row r="13408" spans="20:20">
      <c r="T13408" s="10"/>
    </row>
    <row r="13409" spans="20:20">
      <c r="T13409" s="10"/>
    </row>
    <row r="13410" spans="20:20">
      <c r="T13410" s="10"/>
    </row>
    <row r="13411" spans="20:20">
      <c r="T13411" s="10"/>
    </row>
    <row r="13412" spans="20:20">
      <c r="T13412" s="10"/>
    </row>
    <row r="13413" spans="20:20">
      <c r="T13413" s="10"/>
    </row>
    <row r="13414" spans="20:20">
      <c r="T13414" s="10"/>
    </row>
    <row r="13415" spans="20:20">
      <c r="T13415" s="10"/>
    </row>
    <row r="13416" spans="20:20">
      <c r="T13416" s="10"/>
    </row>
    <row r="13417" spans="20:20">
      <c r="T13417" s="10"/>
    </row>
    <row r="13418" spans="20:20">
      <c r="T13418" s="10"/>
    </row>
    <row r="13419" spans="20:20">
      <c r="T13419" s="10"/>
    </row>
    <row r="13420" spans="20:20">
      <c r="T13420" s="10"/>
    </row>
    <row r="13421" spans="20:20">
      <c r="T13421" s="10"/>
    </row>
    <row r="13422" spans="20:20">
      <c r="T13422" s="10"/>
    </row>
    <row r="13423" spans="20:20">
      <c r="T13423" s="10"/>
    </row>
    <row r="13424" spans="20:20">
      <c r="T13424" s="10"/>
    </row>
    <row r="13425" spans="20:20">
      <c r="T13425" s="10"/>
    </row>
    <row r="13426" spans="20:20">
      <c r="T13426" s="10"/>
    </row>
    <row r="13427" spans="20:20">
      <c r="T13427" s="10"/>
    </row>
    <row r="13428" spans="20:20">
      <c r="T13428" s="10"/>
    </row>
    <row r="13429" spans="20:20">
      <c r="T13429" s="10"/>
    </row>
    <row r="13430" spans="20:20">
      <c r="T13430" s="10"/>
    </row>
    <row r="13431" spans="20:20">
      <c r="T13431" s="10"/>
    </row>
    <row r="13432" spans="20:20">
      <c r="T13432" s="10"/>
    </row>
    <row r="13433" spans="20:20">
      <c r="T13433" s="10"/>
    </row>
    <row r="13434" spans="20:20">
      <c r="T13434" s="10"/>
    </row>
    <row r="13435" spans="20:20">
      <c r="T13435" s="10"/>
    </row>
    <row r="13436" spans="20:20">
      <c r="T13436" s="10"/>
    </row>
    <row r="13437" spans="20:20">
      <c r="T13437" s="10"/>
    </row>
    <row r="13438" spans="20:20">
      <c r="T13438" s="10"/>
    </row>
    <row r="13439" spans="20:20">
      <c r="T13439" s="10"/>
    </row>
    <row r="13440" spans="20:20">
      <c r="T13440" s="10"/>
    </row>
    <row r="13441" spans="20:20">
      <c r="T13441" s="10"/>
    </row>
    <row r="13442" spans="20:20">
      <c r="T13442" s="10"/>
    </row>
    <row r="13443" spans="20:20">
      <c r="T13443" s="10"/>
    </row>
    <row r="13444" spans="20:20">
      <c r="T13444" s="10"/>
    </row>
    <row r="13445" spans="20:20">
      <c r="T13445" s="10"/>
    </row>
    <row r="13446" spans="20:20">
      <c r="T13446" s="10"/>
    </row>
    <row r="13447" spans="20:20">
      <c r="T13447" s="10"/>
    </row>
    <row r="13448" spans="20:20">
      <c r="T13448" s="10"/>
    </row>
    <row r="13449" spans="20:20">
      <c r="T13449" s="10"/>
    </row>
    <row r="13450" spans="20:20">
      <c r="T13450" s="10"/>
    </row>
    <row r="13451" spans="20:20">
      <c r="T13451" s="10"/>
    </row>
    <row r="13452" spans="20:20">
      <c r="T13452" s="10"/>
    </row>
    <row r="13453" spans="20:20">
      <c r="T13453" s="10"/>
    </row>
    <row r="13454" spans="20:20">
      <c r="T13454" s="10"/>
    </row>
    <row r="13455" spans="20:20">
      <c r="T13455" s="10"/>
    </row>
    <row r="13456" spans="20:20">
      <c r="T13456" s="10"/>
    </row>
    <row r="13457" spans="20:20">
      <c r="T13457" s="10"/>
    </row>
    <row r="13458" spans="20:20">
      <c r="T13458" s="10"/>
    </row>
    <row r="13459" spans="20:20">
      <c r="T13459" s="10"/>
    </row>
    <row r="13460" spans="20:20">
      <c r="T13460" s="10"/>
    </row>
    <row r="13461" spans="20:20">
      <c r="T13461" s="10"/>
    </row>
    <row r="13462" spans="20:20">
      <c r="T13462" s="10"/>
    </row>
    <row r="13463" spans="20:20">
      <c r="T13463" s="10"/>
    </row>
    <row r="13464" spans="20:20">
      <c r="T13464" s="10"/>
    </row>
    <row r="13465" spans="20:20">
      <c r="T13465" s="10"/>
    </row>
    <row r="13466" spans="20:20">
      <c r="T13466" s="10"/>
    </row>
    <row r="13467" spans="20:20">
      <c r="T13467" s="10"/>
    </row>
    <row r="13468" spans="20:20">
      <c r="T13468" s="10"/>
    </row>
    <row r="13469" spans="20:20">
      <c r="T13469" s="10"/>
    </row>
    <row r="13470" spans="20:20">
      <c r="T13470" s="10"/>
    </row>
    <row r="13471" spans="20:20">
      <c r="T13471" s="10"/>
    </row>
    <row r="13472" spans="20:20">
      <c r="T13472" s="10"/>
    </row>
    <row r="13473" spans="20:20">
      <c r="T13473" s="10"/>
    </row>
    <row r="13474" spans="20:20">
      <c r="T13474" s="10"/>
    </row>
    <row r="13475" spans="20:20">
      <c r="T13475" s="10"/>
    </row>
    <row r="13476" spans="20:20">
      <c r="T13476" s="10"/>
    </row>
    <row r="13477" spans="20:20">
      <c r="T13477" s="10"/>
    </row>
    <row r="13478" spans="20:20">
      <c r="T13478" s="10"/>
    </row>
    <row r="13479" spans="20:20">
      <c r="T13479" s="10"/>
    </row>
    <row r="13480" spans="20:20">
      <c r="T13480" s="10"/>
    </row>
    <row r="13481" spans="20:20">
      <c r="T13481" s="10"/>
    </row>
    <row r="13482" spans="20:20">
      <c r="T13482" s="10"/>
    </row>
    <row r="13483" spans="20:20">
      <c r="T13483" s="10"/>
    </row>
    <row r="13484" spans="20:20">
      <c r="T13484" s="10"/>
    </row>
    <row r="13485" spans="20:20">
      <c r="T13485" s="10"/>
    </row>
    <row r="13486" spans="20:20">
      <c r="T13486" s="10"/>
    </row>
    <row r="13487" spans="20:20">
      <c r="T13487" s="10"/>
    </row>
    <row r="13488" spans="20:20">
      <c r="T13488" s="10"/>
    </row>
    <row r="13489" spans="20:20">
      <c r="T13489" s="10"/>
    </row>
    <row r="13490" spans="20:20">
      <c r="T13490" s="10"/>
    </row>
    <row r="13491" spans="20:20">
      <c r="T13491" s="10"/>
    </row>
    <row r="13492" spans="20:20">
      <c r="T13492" s="10"/>
    </row>
    <row r="13493" spans="20:20">
      <c r="T13493" s="10"/>
    </row>
    <row r="13494" spans="20:20">
      <c r="T13494" s="10"/>
    </row>
    <row r="13495" spans="20:20">
      <c r="T13495" s="10"/>
    </row>
    <row r="13496" spans="20:20">
      <c r="T13496" s="10"/>
    </row>
    <row r="13497" spans="20:20">
      <c r="T13497" s="10"/>
    </row>
    <row r="13498" spans="20:20">
      <c r="T13498" s="10"/>
    </row>
    <row r="13499" spans="20:20">
      <c r="T13499" s="10"/>
    </row>
    <row r="13500" spans="20:20">
      <c r="T13500" s="10"/>
    </row>
    <row r="13501" spans="20:20">
      <c r="T13501" s="10"/>
    </row>
    <row r="13502" spans="20:20">
      <c r="T13502" s="10"/>
    </row>
    <row r="13503" spans="20:20">
      <c r="T13503" s="10"/>
    </row>
    <row r="13504" spans="20:20">
      <c r="T13504" s="10"/>
    </row>
    <row r="13505" spans="20:20">
      <c r="T13505" s="10"/>
    </row>
    <row r="13506" spans="20:20">
      <c r="T13506" s="10"/>
    </row>
    <row r="13507" spans="20:20">
      <c r="T13507" s="10"/>
    </row>
    <row r="13508" spans="20:20">
      <c r="T13508" s="10"/>
    </row>
    <row r="13509" spans="20:20">
      <c r="T13509" s="10"/>
    </row>
    <row r="13510" spans="20:20">
      <c r="T13510" s="10"/>
    </row>
    <row r="13511" spans="20:20">
      <c r="T13511" s="10"/>
    </row>
    <row r="13512" spans="20:20">
      <c r="T13512" s="10"/>
    </row>
    <row r="13513" spans="20:20">
      <c r="T13513" s="10"/>
    </row>
    <row r="13514" spans="20:20">
      <c r="T13514" s="10"/>
    </row>
    <row r="13515" spans="20:20">
      <c r="T13515" s="10"/>
    </row>
    <row r="13516" spans="20:20">
      <c r="T13516" s="10"/>
    </row>
    <row r="13517" spans="20:20">
      <c r="T13517" s="10"/>
    </row>
    <row r="13518" spans="20:20">
      <c r="T13518" s="10"/>
    </row>
    <row r="13519" spans="20:20">
      <c r="T13519" s="10"/>
    </row>
    <row r="13520" spans="20:20">
      <c r="T13520" s="10"/>
    </row>
    <row r="13521" spans="20:20">
      <c r="T13521" s="10"/>
    </row>
    <row r="13522" spans="20:20">
      <c r="T13522" s="10"/>
    </row>
    <row r="13523" spans="20:20">
      <c r="T13523" s="10"/>
    </row>
    <row r="13524" spans="20:20">
      <c r="T13524" s="10"/>
    </row>
    <row r="13525" spans="20:20">
      <c r="T13525" s="10"/>
    </row>
    <row r="13526" spans="20:20">
      <c r="T13526" s="10"/>
    </row>
    <row r="13527" spans="20:20">
      <c r="T13527" s="10"/>
    </row>
    <row r="13528" spans="20:20">
      <c r="T13528" s="10"/>
    </row>
    <row r="13529" spans="20:20">
      <c r="T13529" s="10"/>
    </row>
    <row r="13530" spans="20:20">
      <c r="T13530" s="10"/>
    </row>
    <row r="13531" spans="20:20">
      <c r="T13531" s="10"/>
    </row>
    <row r="13532" spans="20:20">
      <c r="T13532" s="10"/>
    </row>
    <row r="13533" spans="20:20">
      <c r="T13533" s="10"/>
    </row>
    <row r="13534" spans="20:20">
      <c r="T13534" s="10"/>
    </row>
    <row r="13535" spans="20:20">
      <c r="T13535" s="10"/>
    </row>
    <row r="13536" spans="20:20">
      <c r="T13536" s="10"/>
    </row>
    <row r="13537" spans="20:20">
      <c r="T13537" s="10"/>
    </row>
    <row r="13538" spans="20:20">
      <c r="T13538" s="10"/>
    </row>
    <row r="13539" spans="20:20">
      <c r="T13539" s="10"/>
    </row>
    <row r="13540" spans="20:20">
      <c r="T13540" s="10"/>
    </row>
    <row r="13541" spans="20:20">
      <c r="T13541" s="10"/>
    </row>
    <row r="13542" spans="20:20">
      <c r="T13542" s="10"/>
    </row>
    <row r="13543" spans="20:20">
      <c r="T13543" s="10"/>
    </row>
    <row r="13544" spans="20:20">
      <c r="T13544" s="10"/>
    </row>
    <row r="13545" spans="20:20">
      <c r="T13545" s="10"/>
    </row>
    <row r="13546" spans="20:20">
      <c r="T13546" s="10"/>
    </row>
    <row r="13547" spans="20:20">
      <c r="T13547" s="10"/>
    </row>
    <row r="13548" spans="20:20">
      <c r="T13548" s="10"/>
    </row>
    <row r="13549" spans="20:20">
      <c r="T13549" s="10"/>
    </row>
    <row r="13550" spans="20:20">
      <c r="T13550" s="10"/>
    </row>
    <row r="13551" spans="20:20">
      <c r="T13551" s="10"/>
    </row>
    <row r="13552" spans="20:20">
      <c r="T13552" s="10"/>
    </row>
    <row r="13553" spans="20:20">
      <c r="T13553" s="10"/>
    </row>
    <row r="13554" spans="20:20">
      <c r="T13554" s="10"/>
    </row>
    <row r="13555" spans="20:20">
      <c r="T13555" s="10"/>
    </row>
    <row r="13556" spans="20:20">
      <c r="T13556" s="10"/>
    </row>
    <row r="13557" spans="20:20">
      <c r="T13557" s="10"/>
    </row>
    <row r="13558" spans="20:20">
      <c r="T13558" s="10"/>
    </row>
    <row r="13559" spans="20:20">
      <c r="T13559" s="10"/>
    </row>
    <row r="13560" spans="20:20">
      <c r="T13560" s="10"/>
    </row>
    <row r="13561" spans="20:20">
      <c r="T13561" s="10"/>
    </row>
    <row r="13562" spans="20:20">
      <c r="T13562" s="10"/>
    </row>
    <row r="13563" spans="20:20">
      <c r="T13563" s="10"/>
    </row>
    <row r="13564" spans="20:20">
      <c r="T13564" s="10"/>
    </row>
    <row r="13565" spans="20:20">
      <c r="T13565" s="10"/>
    </row>
    <row r="13566" spans="20:20">
      <c r="T13566" s="10"/>
    </row>
    <row r="13567" spans="20:20">
      <c r="T13567" s="10"/>
    </row>
    <row r="13568" spans="20:20">
      <c r="T13568" s="10"/>
    </row>
    <row r="13569" spans="20:20">
      <c r="T13569" s="10"/>
    </row>
    <row r="13570" spans="20:20">
      <c r="T13570" s="10"/>
    </row>
    <row r="13571" spans="20:20">
      <c r="T13571" s="10"/>
    </row>
    <row r="13572" spans="20:20">
      <c r="T13572" s="10"/>
    </row>
    <row r="13573" spans="20:20">
      <c r="T13573" s="10"/>
    </row>
    <row r="13574" spans="20:20">
      <c r="T13574" s="10"/>
    </row>
    <row r="13575" spans="20:20">
      <c r="T13575" s="10"/>
    </row>
    <row r="13576" spans="20:20">
      <c r="T13576" s="10"/>
    </row>
    <row r="13577" spans="20:20">
      <c r="T13577" s="10"/>
    </row>
    <row r="13578" spans="20:20">
      <c r="T13578" s="10"/>
    </row>
    <row r="13579" spans="20:20">
      <c r="T13579" s="10"/>
    </row>
    <row r="13580" spans="20:20">
      <c r="T13580" s="10"/>
    </row>
    <row r="13581" spans="20:20">
      <c r="T13581" s="10"/>
    </row>
    <row r="13582" spans="20:20">
      <c r="T13582" s="10"/>
    </row>
    <row r="13583" spans="20:20">
      <c r="T13583" s="10"/>
    </row>
    <row r="13584" spans="20:20">
      <c r="T13584" s="10"/>
    </row>
    <row r="13585" spans="20:20">
      <c r="T13585" s="10"/>
    </row>
    <row r="13586" spans="20:20">
      <c r="T13586" s="10"/>
    </row>
    <row r="13587" spans="20:20">
      <c r="T13587" s="10"/>
    </row>
    <row r="13588" spans="20:20">
      <c r="T13588" s="10"/>
    </row>
    <row r="13589" spans="20:20">
      <c r="T13589" s="10"/>
    </row>
    <row r="13590" spans="20:20">
      <c r="T13590" s="10"/>
    </row>
    <row r="13591" spans="20:20">
      <c r="T13591" s="10"/>
    </row>
    <row r="13592" spans="20:20">
      <c r="T13592" s="10"/>
    </row>
    <row r="13593" spans="20:20">
      <c r="T13593" s="10"/>
    </row>
    <row r="13594" spans="20:20">
      <c r="T13594" s="10"/>
    </row>
    <row r="13595" spans="20:20">
      <c r="T13595" s="10"/>
    </row>
    <row r="13596" spans="20:20">
      <c r="T13596" s="10"/>
    </row>
    <row r="13597" spans="20:20">
      <c r="T13597" s="10"/>
    </row>
    <row r="13598" spans="20:20">
      <c r="T13598" s="10"/>
    </row>
    <row r="13599" spans="20:20">
      <c r="T13599" s="10"/>
    </row>
    <row r="13600" spans="20:20">
      <c r="T13600" s="10"/>
    </row>
    <row r="13601" spans="20:20">
      <c r="T13601" s="10"/>
    </row>
    <row r="13602" spans="20:20">
      <c r="T13602" s="10"/>
    </row>
    <row r="13603" spans="20:20">
      <c r="T13603" s="10"/>
    </row>
    <row r="13604" spans="20:20">
      <c r="T13604" s="10"/>
    </row>
    <row r="13605" spans="20:20">
      <c r="T13605" s="10"/>
    </row>
    <row r="13606" spans="20:20">
      <c r="T13606" s="10"/>
    </row>
    <row r="13607" spans="20:20">
      <c r="T13607" s="10"/>
    </row>
    <row r="13608" spans="20:20">
      <c r="T13608" s="10"/>
    </row>
    <row r="13609" spans="20:20">
      <c r="T13609" s="10"/>
    </row>
    <row r="13610" spans="20:20">
      <c r="T13610" s="10"/>
    </row>
    <row r="13611" spans="20:20">
      <c r="T13611" s="10"/>
    </row>
    <row r="13612" spans="20:20">
      <c r="T13612" s="10"/>
    </row>
    <row r="13613" spans="20:20">
      <c r="T13613" s="10"/>
    </row>
    <row r="13614" spans="20:20">
      <c r="T13614" s="10"/>
    </row>
    <row r="13615" spans="20:20">
      <c r="T13615" s="10"/>
    </row>
    <row r="13616" spans="20:20">
      <c r="T13616" s="10"/>
    </row>
    <row r="13617" spans="20:20">
      <c r="T13617" s="10"/>
    </row>
    <row r="13618" spans="20:20">
      <c r="T13618" s="10"/>
    </row>
    <row r="13619" spans="20:20">
      <c r="T13619" s="10"/>
    </row>
    <row r="13620" spans="20:20">
      <c r="T13620" s="10"/>
    </row>
    <row r="13621" spans="20:20">
      <c r="T13621" s="10"/>
    </row>
    <row r="13622" spans="20:20">
      <c r="T13622" s="10"/>
    </row>
    <row r="13623" spans="20:20">
      <c r="T13623" s="10"/>
    </row>
    <row r="13624" spans="20:20">
      <c r="T13624" s="10"/>
    </row>
    <row r="13625" spans="20:20">
      <c r="T13625" s="10"/>
    </row>
    <row r="13626" spans="20:20">
      <c r="T13626" s="10"/>
    </row>
    <row r="13627" spans="20:20">
      <c r="T13627" s="10"/>
    </row>
    <row r="13628" spans="20:20">
      <c r="T13628" s="10"/>
    </row>
    <row r="13629" spans="20:20">
      <c r="T13629" s="10"/>
    </row>
    <row r="13630" spans="20:20">
      <c r="T13630" s="10"/>
    </row>
    <row r="13631" spans="20:20">
      <c r="T13631" s="10"/>
    </row>
    <row r="13632" spans="20:20">
      <c r="T13632" s="10"/>
    </row>
    <row r="13633" spans="20:20">
      <c r="T13633" s="10"/>
    </row>
    <row r="13634" spans="20:20">
      <c r="T13634" s="10"/>
    </row>
    <row r="13635" spans="20:20">
      <c r="T13635" s="10"/>
    </row>
    <row r="13636" spans="20:20">
      <c r="T13636" s="10"/>
    </row>
    <row r="13637" spans="20:20">
      <c r="T13637" s="10"/>
    </row>
    <row r="13638" spans="20:20">
      <c r="T13638" s="10"/>
    </row>
    <row r="13639" spans="20:20">
      <c r="T13639" s="10"/>
    </row>
    <row r="13640" spans="20:20">
      <c r="T13640" s="10"/>
    </row>
    <row r="13641" spans="20:20">
      <c r="T13641" s="10"/>
    </row>
    <row r="13642" spans="20:20">
      <c r="T13642" s="10"/>
    </row>
    <row r="13643" spans="20:20">
      <c r="T13643" s="10"/>
    </row>
    <row r="13644" spans="20:20">
      <c r="T13644" s="10"/>
    </row>
    <row r="13645" spans="20:20">
      <c r="T13645" s="10"/>
    </row>
    <row r="13646" spans="20:20">
      <c r="T13646" s="10"/>
    </row>
    <row r="13647" spans="20:20">
      <c r="T13647" s="10"/>
    </row>
    <row r="13648" spans="20:20">
      <c r="T13648" s="10"/>
    </row>
    <row r="13649" spans="20:20">
      <c r="T13649" s="10"/>
    </row>
    <row r="13650" spans="20:20">
      <c r="T13650" s="10"/>
    </row>
    <row r="13651" spans="20:20">
      <c r="T13651" s="10"/>
    </row>
    <row r="13652" spans="20:20">
      <c r="T13652" s="10"/>
    </row>
    <row r="13653" spans="20:20">
      <c r="T13653" s="10"/>
    </row>
    <row r="13654" spans="20:20">
      <c r="T13654" s="10"/>
    </row>
    <row r="13655" spans="20:20">
      <c r="T13655" s="10"/>
    </row>
    <row r="13656" spans="20:20">
      <c r="T13656" s="10"/>
    </row>
    <row r="13657" spans="20:20">
      <c r="T13657" s="10"/>
    </row>
    <row r="13658" spans="20:20">
      <c r="T13658" s="10"/>
    </row>
    <row r="13659" spans="20:20">
      <c r="T13659" s="10"/>
    </row>
    <row r="13660" spans="20:20">
      <c r="T13660" s="10"/>
    </row>
    <row r="13661" spans="20:20">
      <c r="T13661" s="10"/>
    </row>
    <row r="13662" spans="20:20">
      <c r="T13662" s="10"/>
    </row>
    <row r="13663" spans="20:20">
      <c r="T13663" s="10"/>
    </row>
    <row r="13664" spans="20:20">
      <c r="T13664" s="10"/>
    </row>
    <row r="13665" spans="20:20">
      <c r="T13665" s="10"/>
    </row>
    <row r="13666" spans="20:20">
      <c r="T13666" s="10"/>
    </row>
    <row r="13667" spans="20:20">
      <c r="T13667" s="10"/>
    </row>
    <row r="13668" spans="20:20">
      <c r="T13668" s="10"/>
    </row>
    <row r="13669" spans="20:20">
      <c r="T13669" s="10"/>
    </row>
    <row r="13670" spans="20:20">
      <c r="T13670" s="10"/>
    </row>
    <row r="13671" spans="20:20">
      <c r="T13671" s="10"/>
    </row>
    <row r="13672" spans="20:20">
      <c r="T13672" s="10"/>
    </row>
    <row r="13673" spans="20:20">
      <c r="T13673" s="10"/>
    </row>
    <row r="13674" spans="20:20">
      <c r="T13674" s="10"/>
    </row>
    <row r="13675" spans="20:20">
      <c r="T13675" s="10"/>
    </row>
    <row r="13676" spans="20:20">
      <c r="T13676" s="10"/>
    </row>
    <row r="13677" spans="20:20">
      <c r="T13677" s="10"/>
    </row>
    <row r="13678" spans="20:20">
      <c r="T13678" s="10"/>
    </row>
    <row r="13679" spans="20:20">
      <c r="T13679" s="10"/>
    </row>
    <row r="13680" spans="20:20">
      <c r="T13680" s="10"/>
    </row>
    <row r="13681" spans="20:20">
      <c r="T13681" s="10"/>
    </row>
    <row r="13682" spans="20:20">
      <c r="T13682" s="10"/>
    </row>
    <row r="13683" spans="20:20">
      <c r="T13683" s="10"/>
    </row>
    <row r="13684" spans="20:20">
      <c r="T13684" s="10"/>
    </row>
    <row r="13685" spans="20:20">
      <c r="T13685" s="10"/>
    </row>
    <row r="13686" spans="20:20">
      <c r="T13686" s="10"/>
    </row>
    <row r="13687" spans="20:20">
      <c r="T13687" s="10"/>
    </row>
    <row r="13688" spans="20:20">
      <c r="T13688" s="10"/>
    </row>
    <row r="13689" spans="20:20">
      <c r="T13689" s="10"/>
    </row>
    <row r="13690" spans="20:20">
      <c r="T13690" s="10"/>
    </row>
    <row r="13691" spans="20:20">
      <c r="T13691" s="10"/>
    </row>
    <row r="13692" spans="20:20">
      <c r="T13692" s="10"/>
    </row>
    <row r="13693" spans="20:20">
      <c r="T13693" s="10"/>
    </row>
    <row r="13694" spans="20:20">
      <c r="T13694" s="10"/>
    </row>
    <row r="13695" spans="20:20">
      <c r="T13695" s="10"/>
    </row>
    <row r="13696" spans="20:20">
      <c r="T13696" s="10"/>
    </row>
    <row r="13697" spans="20:20">
      <c r="T13697" s="10"/>
    </row>
    <row r="13698" spans="20:20">
      <c r="T13698" s="10"/>
    </row>
    <row r="13699" spans="20:20">
      <c r="T13699" s="10"/>
    </row>
    <row r="13700" spans="20:20">
      <c r="T13700" s="10"/>
    </row>
    <row r="13701" spans="20:20">
      <c r="T13701" s="10"/>
    </row>
    <row r="13702" spans="20:20">
      <c r="T13702" s="10"/>
    </row>
    <row r="13703" spans="20:20">
      <c r="T13703" s="10"/>
    </row>
    <row r="13704" spans="20:20">
      <c r="T13704" s="10"/>
    </row>
    <row r="13705" spans="20:20">
      <c r="T13705" s="10"/>
    </row>
    <row r="13706" spans="20:20">
      <c r="T13706" s="10"/>
    </row>
    <row r="13707" spans="20:20">
      <c r="T13707" s="10"/>
    </row>
    <row r="13708" spans="20:20">
      <c r="T13708" s="10"/>
    </row>
    <row r="13709" spans="20:20">
      <c r="T13709" s="10"/>
    </row>
    <row r="13710" spans="20:20">
      <c r="T13710" s="10"/>
    </row>
    <row r="13711" spans="20:20">
      <c r="T13711" s="10"/>
    </row>
    <row r="13712" spans="20:20">
      <c r="T13712" s="10"/>
    </row>
    <row r="13713" spans="20:20">
      <c r="T13713" s="10"/>
    </row>
    <row r="13714" spans="20:20">
      <c r="T13714" s="10"/>
    </row>
    <row r="13715" spans="20:20">
      <c r="T13715" s="10"/>
    </row>
    <row r="13716" spans="20:20">
      <c r="T13716" s="10"/>
    </row>
    <row r="13717" spans="20:20">
      <c r="T13717" s="10"/>
    </row>
    <row r="13718" spans="20:20">
      <c r="T13718" s="10"/>
    </row>
    <row r="13719" spans="20:20">
      <c r="T13719" s="10"/>
    </row>
    <row r="13720" spans="20:20">
      <c r="T13720" s="10"/>
    </row>
    <row r="13721" spans="20:20">
      <c r="T13721" s="10"/>
    </row>
    <row r="13722" spans="20:20">
      <c r="T13722" s="10"/>
    </row>
    <row r="13723" spans="20:20">
      <c r="T13723" s="10"/>
    </row>
    <row r="13724" spans="20:20">
      <c r="T13724" s="10"/>
    </row>
    <row r="13725" spans="20:20">
      <c r="T13725" s="10"/>
    </row>
    <row r="13726" spans="20:20">
      <c r="T13726" s="10"/>
    </row>
    <row r="13727" spans="20:20">
      <c r="T13727" s="10"/>
    </row>
    <row r="13728" spans="20:20">
      <c r="T13728" s="10"/>
    </row>
    <row r="13729" spans="20:20">
      <c r="T13729" s="10"/>
    </row>
    <row r="13730" spans="20:20">
      <c r="T13730" s="10"/>
    </row>
    <row r="13731" spans="20:20">
      <c r="T13731" s="10"/>
    </row>
    <row r="13732" spans="20:20">
      <c r="T13732" s="10"/>
    </row>
    <row r="13733" spans="20:20">
      <c r="T13733" s="10"/>
    </row>
    <row r="13734" spans="20:20">
      <c r="T13734" s="10"/>
    </row>
    <row r="13735" spans="20:20">
      <c r="T13735" s="10"/>
    </row>
    <row r="13736" spans="20:20">
      <c r="T13736" s="10"/>
    </row>
    <row r="13737" spans="20:20">
      <c r="T13737" s="10"/>
    </row>
    <row r="13738" spans="20:20">
      <c r="T13738" s="10"/>
    </row>
    <row r="13739" spans="20:20">
      <c r="T13739" s="10"/>
    </row>
    <row r="13740" spans="20:20">
      <c r="T13740" s="10"/>
    </row>
    <row r="13741" spans="20:20">
      <c r="T13741" s="10"/>
    </row>
    <row r="13742" spans="20:20">
      <c r="T13742" s="10"/>
    </row>
    <row r="13743" spans="20:20">
      <c r="T13743" s="10"/>
    </row>
    <row r="13744" spans="20:20">
      <c r="T13744" s="10"/>
    </row>
    <row r="13745" spans="20:20">
      <c r="T13745" s="10"/>
    </row>
    <row r="13746" spans="20:20">
      <c r="T13746" s="10"/>
    </row>
    <row r="13747" spans="20:20">
      <c r="T13747" s="10"/>
    </row>
    <row r="13748" spans="20:20">
      <c r="T13748" s="10"/>
    </row>
    <row r="13749" spans="20:20">
      <c r="T13749" s="10"/>
    </row>
    <row r="13750" spans="20:20">
      <c r="T13750" s="10"/>
    </row>
    <row r="13751" spans="20:20">
      <c r="T13751" s="10"/>
    </row>
    <row r="13752" spans="20:20">
      <c r="T13752" s="10"/>
    </row>
    <row r="13753" spans="20:20">
      <c r="T13753" s="10"/>
    </row>
    <row r="13754" spans="20:20">
      <c r="T13754" s="10"/>
    </row>
    <row r="13755" spans="20:20">
      <c r="T13755" s="10"/>
    </row>
    <row r="13756" spans="20:20">
      <c r="T13756" s="10"/>
    </row>
    <row r="13757" spans="20:20">
      <c r="T13757" s="10"/>
    </row>
    <row r="13758" spans="20:20">
      <c r="T13758" s="10"/>
    </row>
    <row r="13759" spans="20:20">
      <c r="T13759" s="10"/>
    </row>
    <row r="13760" spans="20:20">
      <c r="T13760" s="10"/>
    </row>
    <row r="13761" spans="20:20">
      <c r="T13761" s="10"/>
    </row>
    <row r="13762" spans="20:20">
      <c r="T13762" s="10"/>
    </row>
    <row r="13763" spans="20:20">
      <c r="T13763" s="10"/>
    </row>
    <row r="13764" spans="20:20">
      <c r="T13764" s="10"/>
    </row>
    <row r="13765" spans="20:20">
      <c r="T13765" s="10"/>
    </row>
    <row r="13766" spans="20:20">
      <c r="T13766" s="10"/>
    </row>
    <row r="13767" spans="20:20">
      <c r="T13767" s="10"/>
    </row>
    <row r="13768" spans="20:20">
      <c r="T13768" s="10"/>
    </row>
    <row r="13769" spans="20:20">
      <c r="T13769" s="10"/>
    </row>
    <row r="13770" spans="20:20">
      <c r="T13770" s="10"/>
    </row>
    <row r="13771" spans="20:20">
      <c r="T13771" s="10"/>
    </row>
    <row r="13772" spans="20:20">
      <c r="T13772" s="10"/>
    </row>
    <row r="13773" spans="20:20">
      <c r="T13773" s="10"/>
    </row>
    <row r="13774" spans="20:20">
      <c r="T13774" s="10"/>
    </row>
    <row r="13775" spans="20:20">
      <c r="T13775" s="10"/>
    </row>
    <row r="13776" spans="20:20">
      <c r="T13776" s="10"/>
    </row>
    <row r="13777" spans="20:20">
      <c r="T13777" s="10"/>
    </row>
    <row r="13778" spans="20:20">
      <c r="T13778" s="10"/>
    </row>
    <row r="13779" spans="20:20">
      <c r="T13779" s="10"/>
    </row>
    <row r="13780" spans="20:20">
      <c r="T13780" s="10"/>
    </row>
    <row r="13781" spans="20:20">
      <c r="T13781" s="10"/>
    </row>
    <row r="13782" spans="20:20">
      <c r="T13782" s="10"/>
    </row>
    <row r="13783" spans="20:20">
      <c r="T13783" s="10"/>
    </row>
    <row r="13784" spans="20:20">
      <c r="T13784" s="10"/>
    </row>
    <row r="13785" spans="20:20">
      <c r="T13785" s="10"/>
    </row>
    <row r="13786" spans="20:20">
      <c r="T13786" s="10"/>
    </row>
    <row r="13787" spans="20:20">
      <c r="T13787" s="10"/>
    </row>
    <row r="13788" spans="20:20">
      <c r="T13788" s="10"/>
    </row>
    <row r="13789" spans="20:20">
      <c r="T13789" s="10"/>
    </row>
    <row r="13790" spans="20:20">
      <c r="T13790" s="10"/>
    </row>
    <row r="13791" spans="20:20">
      <c r="T13791" s="10"/>
    </row>
    <row r="13792" spans="20:20">
      <c r="T13792" s="10"/>
    </row>
    <row r="13793" spans="20:20">
      <c r="T13793" s="10"/>
    </row>
    <row r="13794" spans="20:20">
      <c r="T13794" s="10"/>
    </row>
    <row r="13795" spans="20:20">
      <c r="T13795" s="10"/>
    </row>
    <row r="13796" spans="20:20">
      <c r="T13796" s="10"/>
    </row>
    <row r="13797" spans="20:20">
      <c r="T13797" s="10"/>
    </row>
    <row r="13798" spans="20:20">
      <c r="T13798" s="10"/>
    </row>
    <row r="13799" spans="20:20">
      <c r="T13799" s="10"/>
    </row>
    <row r="13800" spans="20:20">
      <c r="T13800" s="10"/>
    </row>
    <row r="13801" spans="20:20">
      <c r="T13801" s="10"/>
    </row>
    <row r="13802" spans="20:20">
      <c r="T13802" s="10"/>
    </row>
    <row r="13803" spans="20:20">
      <c r="T13803" s="10"/>
    </row>
    <row r="13804" spans="20:20">
      <c r="T13804" s="10"/>
    </row>
    <row r="13805" spans="20:20">
      <c r="T13805" s="10"/>
    </row>
    <row r="13806" spans="20:20">
      <c r="T13806" s="10"/>
    </row>
    <row r="13807" spans="20:20">
      <c r="T13807" s="10"/>
    </row>
    <row r="13808" spans="20:20">
      <c r="T13808" s="10"/>
    </row>
    <row r="13809" spans="20:20">
      <c r="T13809" s="10"/>
    </row>
    <row r="13810" spans="20:20">
      <c r="T13810" s="10"/>
    </row>
    <row r="13811" spans="20:20">
      <c r="T13811" s="10"/>
    </row>
    <row r="13812" spans="20:20">
      <c r="T13812" s="10"/>
    </row>
    <row r="13813" spans="20:20">
      <c r="T13813" s="10"/>
    </row>
    <row r="13814" spans="20:20">
      <c r="T13814" s="10"/>
    </row>
    <row r="13815" spans="20:20">
      <c r="T13815" s="10"/>
    </row>
    <row r="13816" spans="20:20">
      <c r="T13816" s="10"/>
    </row>
    <row r="13817" spans="20:20">
      <c r="T13817" s="10"/>
    </row>
    <row r="13818" spans="20:20">
      <c r="T13818" s="10"/>
    </row>
    <row r="13819" spans="20:20">
      <c r="T13819" s="10"/>
    </row>
    <row r="13820" spans="20:20">
      <c r="T13820" s="10"/>
    </row>
    <row r="13821" spans="20:20">
      <c r="T13821" s="10"/>
    </row>
    <row r="13822" spans="20:20">
      <c r="T13822" s="10"/>
    </row>
    <row r="13823" spans="20:20">
      <c r="T13823" s="10"/>
    </row>
    <row r="13824" spans="20:20">
      <c r="T13824" s="10"/>
    </row>
    <row r="13825" spans="20:20">
      <c r="T13825" s="10"/>
    </row>
    <row r="13826" spans="20:20">
      <c r="T13826" s="10"/>
    </row>
    <row r="13827" spans="20:20">
      <c r="T13827" s="10"/>
    </row>
    <row r="13828" spans="20:20">
      <c r="T13828" s="10"/>
    </row>
    <row r="13829" spans="20:20">
      <c r="T13829" s="10"/>
    </row>
    <row r="13830" spans="20:20">
      <c r="T13830" s="10"/>
    </row>
    <row r="13831" spans="20:20">
      <c r="T13831" s="10"/>
    </row>
    <row r="13832" spans="20:20">
      <c r="T13832" s="10"/>
    </row>
    <row r="13833" spans="20:20">
      <c r="T13833" s="10"/>
    </row>
    <row r="13834" spans="20:20">
      <c r="T13834" s="10"/>
    </row>
    <row r="13835" spans="20:20">
      <c r="T13835" s="10"/>
    </row>
    <row r="13836" spans="20:20">
      <c r="T13836" s="10"/>
    </row>
    <row r="13837" spans="20:20">
      <c r="T13837" s="10"/>
    </row>
    <row r="13838" spans="20:20">
      <c r="T13838" s="10"/>
    </row>
    <row r="13839" spans="20:20">
      <c r="T13839" s="10"/>
    </row>
    <row r="13840" spans="20:20">
      <c r="T13840" s="10"/>
    </row>
    <row r="13841" spans="20:20">
      <c r="T13841" s="10"/>
    </row>
    <row r="13842" spans="20:20">
      <c r="T13842" s="10"/>
    </row>
    <row r="13843" spans="20:20">
      <c r="T13843" s="10"/>
    </row>
    <row r="13844" spans="20:20">
      <c r="T13844" s="10"/>
    </row>
    <row r="13845" spans="20:20">
      <c r="T13845" s="10"/>
    </row>
    <row r="13846" spans="20:20">
      <c r="T13846" s="10"/>
    </row>
    <row r="13847" spans="20:20">
      <c r="T13847" s="10"/>
    </row>
    <row r="13848" spans="20:20">
      <c r="T13848" s="10"/>
    </row>
    <row r="13849" spans="20:20">
      <c r="T13849" s="10"/>
    </row>
    <row r="13850" spans="20:20">
      <c r="T13850" s="10"/>
    </row>
    <row r="13851" spans="20:20">
      <c r="T13851" s="10"/>
    </row>
    <row r="13852" spans="20:20">
      <c r="T13852" s="10"/>
    </row>
    <row r="13853" spans="20:20">
      <c r="T13853" s="10"/>
    </row>
    <row r="13854" spans="20:20">
      <c r="T13854" s="10"/>
    </row>
    <row r="13855" spans="20:20">
      <c r="T13855" s="10"/>
    </row>
    <row r="13856" spans="20:20">
      <c r="T13856" s="10"/>
    </row>
    <row r="13857" spans="20:20">
      <c r="T13857" s="10"/>
    </row>
    <row r="13858" spans="20:20">
      <c r="T13858" s="10"/>
    </row>
    <row r="13859" spans="20:20">
      <c r="T13859" s="10"/>
    </row>
    <row r="13860" spans="20:20">
      <c r="T13860" s="10"/>
    </row>
    <row r="13861" spans="20:20">
      <c r="T13861" s="10"/>
    </row>
    <row r="13862" spans="20:20">
      <c r="T13862" s="10"/>
    </row>
    <row r="13863" spans="20:20">
      <c r="T13863" s="10"/>
    </row>
    <row r="13864" spans="20:20">
      <c r="T13864" s="10"/>
    </row>
    <row r="13865" spans="20:20">
      <c r="T13865" s="10"/>
    </row>
    <row r="13866" spans="20:20">
      <c r="T13866" s="10"/>
    </row>
    <row r="13867" spans="20:20">
      <c r="T13867" s="10"/>
    </row>
    <row r="13868" spans="20:20">
      <c r="T13868" s="10"/>
    </row>
    <row r="13869" spans="20:20">
      <c r="T13869" s="10"/>
    </row>
    <row r="13870" spans="20:20">
      <c r="T13870" s="10"/>
    </row>
    <row r="13871" spans="20:20">
      <c r="T13871" s="10"/>
    </row>
    <row r="13872" spans="20:20">
      <c r="T13872" s="10"/>
    </row>
    <row r="13873" spans="20:20">
      <c r="T13873" s="10"/>
    </row>
    <row r="13874" spans="20:20">
      <c r="T13874" s="10"/>
    </row>
    <row r="13875" spans="20:20">
      <c r="T13875" s="10"/>
    </row>
    <row r="13876" spans="20:20">
      <c r="T13876" s="10"/>
    </row>
    <row r="13877" spans="20:20">
      <c r="T13877" s="10"/>
    </row>
    <row r="13878" spans="20:20">
      <c r="T13878" s="10"/>
    </row>
    <row r="13879" spans="20:20">
      <c r="T13879" s="10"/>
    </row>
    <row r="13880" spans="20:20">
      <c r="T13880" s="10"/>
    </row>
    <row r="13881" spans="20:20">
      <c r="T13881" s="10"/>
    </row>
    <row r="13882" spans="20:20">
      <c r="T13882" s="10"/>
    </row>
    <row r="13883" spans="20:20">
      <c r="T13883" s="10"/>
    </row>
    <row r="13884" spans="20:20">
      <c r="T13884" s="10"/>
    </row>
    <row r="13885" spans="20:20">
      <c r="T13885" s="10"/>
    </row>
    <row r="13886" spans="20:20">
      <c r="T13886" s="10"/>
    </row>
    <row r="13887" spans="20:20">
      <c r="T13887" s="10"/>
    </row>
    <row r="13888" spans="20:20">
      <c r="T13888" s="10"/>
    </row>
    <row r="13889" spans="20:20">
      <c r="T13889" s="10"/>
    </row>
    <row r="13890" spans="20:20">
      <c r="T13890" s="10"/>
    </row>
    <row r="13891" spans="20:20">
      <c r="T13891" s="10"/>
    </row>
    <row r="13892" spans="20:20">
      <c r="T13892" s="10"/>
    </row>
    <row r="13893" spans="20:20">
      <c r="T13893" s="10"/>
    </row>
    <row r="13894" spans="20:20">
      <c r="T13894" s="10"/>
    </row>
    <row r="13895" spans="20:20">
      <c r="T13895" s="10"/>
    </row>
    <row r="13896" spans="20:20">
      <c r="T13896" s="10"/>
    </row>
    <row r="13897" spans="20:20">
      <c r="T13897" s="10"/>
    </row>
    <row r="13898" spans="20:20">
      <c r="T13898" s="10"/>
    </row>
    <row r="13899" spans="20:20">
      <c r="T13899" s="10"/>
    </row>
    <row r="13900" spans="20:20">
      <c r="T13900" s="10"/>
    </row>
    <row r="13901" spans="20:20">
      <c r="T13901" s="10"/>
    </row>
    <row r="13902" spans="20:20">
      <c r="T13902" s="10"/>
    </row>
    <row r="13903" spans="20:20">
      <c r="T13903" s="10"/>
    </row>
    <row r="13904" spans="20:20">
      <c r="T13904" s="10"/>
    </row>
    <row r="13905" spans="20:20">
      <c r="T13905" s="10"/>
    </row>
    <row r="13906" spans="20:20">
      <c r="T13906" s="10"/>
    </row>
    <row r="13907" spans="20:20">
      <c r="T13907" s="10"/>
    </row>
    <row r="13908" spans="20:20">
      <c r="T13908" s="10"/>
    </row>
    <row r="13909" spans="20:20">
      <c r="T13909" s="10"/>
    </row>
    <row r="13910" spans="20:20">
      <c r="T13910" s="10"/>
    </row>
    <row r="13911" spans="20:20">
      <c r="T13911" s="10"/>
    </row>
    <row r="13912" spans="20:20">
      <c r="T13912" s="10"/>
    </row>
    <row r="13913" spans="20:20">
      <c r="T13913" s="10"/>
    </row>
    <row r="13914" spans="20:20">
      <c r="T13914" s="10"/>
    </row>
    <row r="13915" spans="20:20">
      <c r="T13915" s="10"/>
    </row>
    <row r="13916" spans="20:20">
      <c r="T13916" s="10"/>
    </row>
    <row r="13917" spans="20:20">
      <c r="T13917" s="10"/>
    </row>
    <row r="13918" spans="20:20">
      <c r="T13918" s="10"/>
    </row>
    <row r="13919" spans="20:20">
      <c r="T13919" s="10"/>
    </row>
    <row r="13920" spans="20:20">
      <c r="T13920" s="10"/>
    </row>
    <row r="13921" spans="20:20">
      <c r="T13921" s="10"/>
    </row>
    <row r="13922" spans="20:20">
      <c r="T13922" s="10"/>
    </row>
    <row r="13923" spans="20:20">
      <c r="T13923" s="10"/>
    </row>
    <row r="13924" spans="20:20">
      <c r="T13924" s="10"/>
    </row>
    <row r="13925" spans="20:20">
      <c r="T13925" s="10"/>
    </row>
    <row r="13926" spans="20:20">
      <c r="T13926" s="10"/>
    </row>
    <row r="13927" spans="20:20">
      <c r="T13927" s="10"/>
    </row>
    <row r="13928" spans="20:20">
      <c r="T13928" s="10"/>
    </row>
    <row r="13929" spans="20:20">
      <c r="T13929" s="10"/>
    </row>
    <row r="13930" spans="20:20">
      <c r="T13930" s="10"/>
    </row>
    <row r="13931" spans="20:20">
      <c r="T13931" s="10"/>
    </row>
    <row r="13932" spans="20:20">
      <c r="T13932" s="10"/>
    </row>
    <row r="13933" spans="20:20">
      <c r="T13933" s="10"/>
    </row>
    <row r="13934" spans="20:20">
      <c r="T13934" s="10"/>
    </row>
    <row r="13935" spans="20:20">
      <c r="T13935" s="10"/>
    </row>
    <row r="13936" spans="20:20">
      <c r="T13936" s="10"/>
    </row>
    <row r="13937" spans="20:20">
      <c r="T13937" s="10"/>
    </row>
    <row r="13938" spans="20:20">
      <c r="T13938" s="10"/>
    </row>
    <row r="13939" spans="20:20">
      <c r="T13939" s="10"/>
    </row>
    <row r="13940" spans="20:20">
      <c r="T13940" s="10"/>
    </row>
    <row r="13941" spans="20:20">
      <c r="T13941" s="10"/>
    </row>
    <row r="13942" spans="20:20">
      <c r="T13942" s="10"/>
    </row>
    <row r="13943" spans="20:20">
      <c r="T13943" s="10"/>
    </row>
    <row r="13944" spans="20:20">
      <c r="T13944" s="10"/>
    </row>
    <row r="13945" spans="20:20">
      <c r="T13945" s="10"/>
    </row>
    <row r="13946" spans="20:20">
      <c r="T13946" s="10"/>
    </row>
    <row r="13947" spans="20:20">
      <c r="T13947" s="10"/>
    </row>
    <row r="13948" spans="20:20">
      <c r="T13948" s="10"/>
    </row>
    <row r="13949" spans="20:20">
      <c r="T13949" s="10"/>
    </row>
    <row r="13950" spans="20:20">
      <c r="T13950" s="10"/>
    </row>
    <row r="13951" spans="20:20">
      <c r="T13951" s="10"/>
    </row>
    <row r="13952" spans="20:20">
      <c r="T13952" s="10"/>
    </row>
    <row r="13953" spans="20:20">
      <c r="T13953" s="10"/>
    </row>
    <row r="13954" spans="20:20">
      <c r="T13954" s="10"/>
    </row>
    <row r="13955" spans="20:20">
      <c r="T13955" s="10"/>
    </row>
    <row r="13956" spans="20:20">
      <c r="T13956" s="10"/>
    </row>
    <row r="13957" spans="20:20">
      <c r="T13957" s="10"/>
    </row>
    <row r="13958" spans="20:20">
      <c r="T13958" s="10"/>
    </row>
    <row r="13959" spans="20:20">
      <c r="T13959" s="10"/>
    </row>
    <row r="13960" spans="20:20">
      <c r="T13960" s="10"/>
    </row>
    <row r="13961" spans="20:20">
      <c r="T13961" s="10"/>
    </row>
    <row r="13962" spans="20:20">
      <c r="T13962" s="10"/>
    </row>
    <row r="13963" spans="20:20">
      <c r="T13963" s="10"/>
    </row>
    <row r="13964" spans="20:20">
      <c r="T13964" s="10"/>
    </row>
    <row r="13965" spans="20:20">
      <c r="T13965" s="10"/>
    </row>
    <row r="13966" spans="20:20">
      <c r="T13966" s="10"/>
    </row>
    <row r="13967" spans="20:20">
      <c r="T13967" s="10"/>
    </row>
    <row r="13968" spans="20:20">
      <c r="T13968" s="10"/>
    </row>
    <row r="13969" spans="20:20">
      <c r="T13969" s="10"/>
    </row>
    <row r="13970" spans="20:20">
      <c r="T13970" s="10"/>
    </row>
    <row r="13971" spans="20:20">
      <c r="T13971" s="10"/>
    </row>
    <row r="13972" spans="20:20">
      <c r="T13972" s="10"/>
    </row>
    <row r="13973" spans="20:20">
      <c r="T13973" s="10"/>
    </row>
    <row r="13974" spans="20:20">
      <c r="T13974" s="10"/>
    </row>
    <row r="13975" spans="20:20">
      <c r="T13975" s="10"/>
    </row>
    <row r="13976" spans="20:20">
      <c r="T13976" s="10"/>
    </row>
    <row r="13977" spans="20:20">
      <c r="T13977" s="10"/>
    </row>
    <row r="13978" spans="20:20">
      <c r="T13978" s="10"/>
    </row>
    <row r="13979" spans="20:20">
      <c r="T13979" s="10"/>
    </row>
    <row r="13980" spans="20:20">
      <c r="T13980" s="10"/>
    </row>
    <row r="13981" spans="20:20">
      <c r="T13981" s="10"/>
    </row>
    <row r="13982" spans="20:20">
      <c r="T13982" s="10"/>
    </row>
    <row r="13983" spans="20:20">
      <c r="T13983" s="10"/>
    </row>
    <row r="13984" spans="20:20">
      <c r="T13984" s="10"/>
    </row>
    <row r="13985" spans="20:20">
      <c r="T13985" s="10"/>
    </row>
    <row r="13986" spans="20:20">
      <c r="T13986" s="10"/>
    </row>
    <row r="13987" spans="20:20">
      <c r="T13987" s="10"/>
    </row>
    <row r="13988" spans="20:20">
      <c r="T13988" s="10"/>
    </row>
    <row r="13989" spans="20:20">
      <c r="T13989" s="10"/>
    </row>
    <row r="13990" spans="20:20">
      <c r="T13990" s="10"/>
    </row>
    <row r="13991" spans="20:20">
      <c r="T13991" s="10"/>
    </row>
    <row r="13992" spans="20:20">
      <c r="T13992" s="10"/>
    </row>
    <row r="13993" spans="20:20">
      <c r="T13993" s="10"/>
    </row>
    <row r="13994" spans="20:20">
      <c r="T13994" s="10"/>
    </row>
    <row r="13995" spans="20:20">
      <c r="T13995" s="10"/>
    </row>
    <row r="13996" spans="20:20">
      <c r="T13996" s="10"/>
    </row>
    <row r="13997" spans="20:20">
      <c r="T13997" s="10"/>
    </row>
    <row r="13998" spans="20:20">
      <c r="T13998" s="10"/>
    </row>
    <row r="13999" spans="20:20">
      <c r="T13999" s="10"/>
    </row>
    <row r="14000" spans="20:20">
      <c r="T14000" s="10"/>
    </row>
    <row r="14001" spans="20:20">
      <c r="T14001" s="10"/>
    </row>
    <row r="14002" spans="20:20">
      <c r="T14002" s="10"/>
    </row>
    <row r="14003" spans="20:20">
      <c r="T14003" s="10"/>
    </row>
    <row r="14004" spans="20:20">
      <c r="T14004" s="10"/>
    </row>
    <row r="14005" spans="20:20">
      <c r="T14005" s="10"/>
    </row>
    <row r="14006" spans="20:20">
      <c r="T14006" s="10"/>
    </row>
    <row r="14007" spans="20:20">
      <c r="T14007" s="10"/>
    </row>
    <row r="14008" spans="20:20">
      <c r="T14008" s="10"/>
    </row>
    <row r="14009" spans="20:20">
      <c r="T14009" s="10"/>
    </row>
    <row r="14010" spans="20:20">
      <c r="T14010" s="10"/>
    </row>
    <row r="14011" spans="20:20">
      <c r="T14011" s="10"/>
    </row>
    <row r="14012" spans="20:20">
      <c r="T14012" s="10"/>
    </row>
    <row r="14013" spans="20:20">
      <c r="T14013" s="10"/>
    </row>
    <row r="14014" spans="20:20">
      <c r="T14014" s="10"/>
    </row>
    <row r="14015" spans="20:20">
      <c r="T14015" s="10"/>
    </row>
    <row r="14016" spans="20:20">
      <c r="T14016" s="10"/>
    </row>
    <row r="14017" spans="20:20">
      <c r="T14017" s="10"/>
    </row>
    <row r="14018" spans="20:20">
      <c r="T14018" s="10"/>
    </row>
    <row r="14019" spans="20:20">
      <c r="T14019" s="10"/>
    </row>
    <row r="14020" spans="20:20">
      <c r="T14020" s="10"/>
    </row>
    <row r="14021" spans="20:20">
      <c r="T14021" s="10"/>
    </row>
    <row r="14022" spans="20:20">
      <c r="T14022" s="10"/>
    </row>
    <row r="14023" spans="20:20">
      <c r="T14023" s="10"/>
    </row>
    <row r="14024" spans="20:20">
      <c r="T14024" s="10"/>
    </row>
    <row r="14025" spans="20:20">
      <c r="T14025" s="10"/>
    </row>
    <row r="14026" spans="20:20">
      <c r="T14026" s="10"/>
    </row>
    <row r="14027" spans="20:20">
      <c r="T14027" s="10"/>
    </row>
    <row r="14028" spans="20:20">
      <c r="T14028" s="10"/>
    </row>
    <row r="14029" spans="20:20">
      <c r="T14029" s="10"/>
    </row>
    <row r="14030" spans="20:20">
      <c r="T14030" s="10"/>
    </row>
    <row r="14031" spans="20:20">
      <c r="T14031" s="10"/>
    </row>
    <row r="14032" spans="20:20">
      <c r="T14032" s="10"/>
    </row>
    <row r="14033" spans="20:20">
      <c r="T14033" s="10"/>
    </row>
    <row r="14034" spans="20:20">
      <c r="T14034" s="10"/>
    </row>
    <row r="14035" spans="20:20">
      <c r="T14035" s="10"/>
    </row>
    <row r="14036" spans="20:20">
      <c r="T14036" s="10"/>
    </row>
    <row r="14037" spans="20:20">
      <c r="T14037" s="10"/>
    </row>
    <row r="14038" spans="20:20">
      <c r="T14038" s="10"/>
    </row>
    <row r="14039" spans="20:20">
      <c r="T14039" s="10"/>
    </row>
    <row r="14040" spans="20:20">
      <c r="T14040" s="10"/>
    </row>
    <row r="14041" spans="20:20">
      <c r="T14041" s="10"/>
    </row>
    <row r="14042" spans="20:20">
      <c r="T14042" s="10"/>
    </row>
    <row r="14043" spans="20:20">
      <c r="T14043" s="10"/>
    </row>
    <row r="14044" spans="20:20">
      <c r="T14044" s="10"/>
    </row>
    <row r="14045" spans="20:20">
      <c r="T14045" s="10"/>
    </row>
    <row r="14046" spans="20:20">
      <c r="T14046" s="10"/>
    </row>
    <row r="14047" spans="20:20">
      <c r="T14047" s="10"/>
    </row>
    <row r="14048" spans="20:20">
      <c r="T14048" s="10"/>
    </row>
    <row r="14049" spans="20:20">
      <c r="T14049" s="10"/>
    </row>
    <row r="14050" spans="20:20">
      <c r="T14050" s="10"/>
    </row>
    <row r="14051" spans="20:20">
      <c r="T14051" s="10"/>
    </row>
    <row r="14052" spans="20:20">
      <c r="T14052" s="10"/>
    </row>
    <row r="14053" spans="20:20">
      <c r="T14053" s="10"/>
    </row>
    <row r="14054" spans="20:20">
      <c r="T14054" s="10"/>
    </row>
    <row r="14055" spans="20:20">
      <c r="T14055" s="10"/>
    </row>
    <row r="14056" spans="20:20">
      <c r="T14056" s="10"/>
    </row>
    <row r="14057" spans="20:20">
      <c r="T14057" s="10"/>
    </row>
    <row r="14058" spans="20:20">
      <c r="T14058" s="10"/>
    </row>
    <row r="14059" spans="20:20">
      <c r="T14059" s="10"/>
    </row>
    <row r="14060" spans="20:20">
      <c r="T14060" s="10"/>
    </row>
    <row r="14061" spans="20:20">
      <c r="T14061" s="10"/>
    </row>
    <row r="14062" spans="20:20">
      <c r="T14062" s="10"/>
    </row>
    <row r="14063" spans="20:20">
      <c r="T14063" s="10"/>
    </row>
    <row r="14064" spans="20:20">
      <c r="T14064" s="10"/>
    </row>
    <row r="14065" spans="20:20">
      <c r="T14065" s="10"/>
    </row>
    <row r="14066" spans="20:20">
      <c r="T14066" s="10"/>
    </row>
    <row r="14067" spans="20:20">
      <c r="T14067" s="10"/>
    </row>
    <row r="14068" spans="20:20">
      <c r="T14068" s="10"/>
    </row>
    <row r="14069" spans="20:20">
      <c r="T14069" s="10"/>
    </row>
    <row r="14070" spans="20:20">
      <c r="T14070" s="10"/>
    </row>
    <row r="14071" spans="20:20">
      <c r="T14071" s="10"/>
    </row>
    <row r="14072" spans="20:20">
      <c r="T14072" s="10"/>
    </row>
    <row r="14073" spans="20:20">
      <c r="T14073" s="10"/>
    </row>
    <row r="14074" spans="20:20">
      <c r="T14074" s="10"/>
    </row>
    <row r="14075" spans="20:20">
      <c r="T14075" s="10"/>
    </row>
    <row r="14076" spans="20:20">
      <c r="T14076" s="10"/>
    </row>
    <row r="14077" spans="20:20">
      <c r="T14077" s="10"/>
    </row>
    <row r="14078" spans="20:20">
      <c r="T14078" s="10"/>
    </row>
    <row r="14079" spans="20:20">
      <c r="T14079" s="10"/>
    </row>
    <row r="14080" spans="20:20">
      <c r="T14080" s="10"/>
    </row>
    <row r="14081" spans="20:20">
      <c r="T14081" s="10"/>
    </row>
    <row r="14082" spans="20:20">
      <c r="T14082" s="10"/>
    </row>
    <row r="14083" spans="20:20">
      <c r="T14083" s="10"/>
    </row>
    <row r="14084" spans="20:20">
      <c r="T14084" s="10"/>
    </row>
    <row r="14085" spans="20:20">
      <c r="T14085" s="10"/>
    </row>
    <row r="14086" spans="20:20">
      <c r="T14086" s="10"/>
    </row>
    <row r="14087" spans="20:20">
      <c r="T14087" s="10"/>
    </row>
    <row r="14088" spans="20:20">
      <c r="T14088" s="10"/>
    </row>
    <row r="14089" spans="20:20">
      <c r="T14089" s="10"/>
    </row>
    <row r="14090" spans="20:20">
      <c r="T14090" s="10"/>
    </row>
    <row r="14091" spans="20:20">
      <c r="T14091" s="10"/>
    </row>
    <row r="14092" spans="20:20">
      <c r="T14092" s="10"/>
    </row>
    <row r="14093" spans="20:20">
      <c r="T14093" s="10"/>
    </row>
    <row r="14094" spans="20:20">
      <c r="T14094" s="10"/>
    </row>
    <row r="14095" spans="20:20">
      <c r="T14095" s="10"/>
    </row>
    <row r="14096" spans="20:20">
      <c r="T14096" s="10"/>
    </row>
    <row r="14097" spans="20:20">
      <c r="T14097" s="10"/>
    </row>
    <row r="14098" spans="20:20">
      <c r="T14098" s="10"/>
    </row>
    <row r="14099" spans="20:20">
      <c r="T14099" s="10"/>
    </row>
    <row r="14100" spans="20:20">
      <c r="T14100" s="10"/>
    </row>
    <row r="14101" spans="20:20">
      <c r="T14101" s="10"/>
    </row>
    <row r="14102" spans="20:20">
      <c r="T14102" s="10"/>
    </row>
    <row r="14103" spans="20:20">
      <c r="T14103" s="10"/>
    </row>
    <row r="14104" spans="20:20">
      <c r="T14104" s="10"/>
    </row>
    <row r="14105" spans="20:20">
      <c r="T14105" s="10"/>
    </row>
    <row r="14106" spans="20:20">
      <c r="T14106" s="10"/>
    </row>
    <row r="14107" spans="20:20">
      <c r="T14107" s="10"/>
    </row>
    <row r="14108" spans="20:20">
      <c r="T14108" s="10"/>
    </row>
    <row r="14109" spans="20:20">
      <c r="T14109" s="10"/>
    </row>
    <row r="14110" spans="20:20">
      <c r="T14110" s="10"/>
    </row>
    <row r="14111" spans="20:20">
      <c r="T14111" s="10"/>
    </row>
    <row r="14112" spans="20:20">
      <c r="T14112" s="10"/>
    </row>
    <row r="14113" spans="20:20">
      <c r="T14113" s="10"/>
    </row>
    <row r="14114" spans="20:20">
      <c r="T14114" s="10"/>
    </row>
    <row r="14115" spans="20:20">
      <c r="T14115" s="10"/>
    </row>
    <row r="14116" spans="20:20">
      <c r="T14116" s="10"/>
    </row>
    <row r="14117" spans="20:20">
      <c r="T14117" s="10"/>
    </row>
    <row r="14118" spans="20:20">
      <c r="T14118" s="10"/>
    </row>
    <row r="14119" spans="20:20">
      <c r="T14119" s="10"/>
    </row>
    <row r="14120" spans="20:20">
      <c r="T14120" s="10"/>
    </row>
    <row r="14121" spans="20:20">
      <c r="T14121" s="10"/>
    </row>
    <row r="14122" spans="20:20">
      <c r="T14122" s="10"/>
    </row>
    <row r="14123" spans="20:20">
      <c r="T14123" s="10"/>
    </row>
    <row r="14124" spans="20:20">
      <c r="T14124" s="10"/>
    </row>
    <row r="14125" spans="20:20">
      <c r="T14125" s="10"/>
    </row>
    <row r="14126" spans="20:20">
      <c r="T14126" s="10"/>
    </row>
    <row r="14127" spans="20:20">
      <c r="T14127" s="10"/>
    </row>
    <row r="14128" spans="20:20">
      <c r="T14128" s="10"/>
    </row>
    <row r="14129" spans="20:20">
      <c r="T14129" s="10"/>
    </row>
    <row r="14130" spans="20:20">
      <c r="T14130" s="10"/>
    </row>
    <row r="14131" spans="20:20">
      <c r="T14131" s="10"/>
    </row>
    <row r="14132" spans="20:20">
      <c r="T14132" s="10"/>
    </row>
    <row r="14133" spans="20:20">
      <c r="T14133" s="10"/>
    </row>
    <row r="14134" spans="20:20">
      <c r="T14134" s="10"/>
    </row>
    <row r="14135" spans="20:20">
      <c r="T14135" s="10"/>
    </row>
    <row r="14136" spans="20:20">
      <c r="T14136" s="10"/>
    </row>
    <row r="14137" spans="20:20">
      <c r="T14137" s="10"/>
    </row>
    <row r="14138" spans="20:20">
      <c r="T14138" s="10"/>
    </row>
    <row r="14139" spans="20:20">
      <c r="T14139" s="10"/>
    </row>
    <row r="14140" spans="20:20">
      <c r="T14140" s="10"/>
    </row>
    <row r="14141" spans="20:20">
      <c r="T14141" s="10"/>
    </row>
    <row r="14142" spans="20:20">
      <c r="T14142" s="10"/>
    </row>
    <row r="14143" spans="20:20">
      <c r="T14143" s="10"/>
    </row>
    <row r="14144" spans="20:20">
      <c r="T14144" s="10"/>
    </row>
    <row r="14145" spans="20:20">
      <c r="T14145" s="10"/>
    </row>
    <row r="14146" spans="20:20">
      <c r="T14146" s="10"/>
    </row>
    <row r="14147" spans="20:20">
      <c r="T14147" s="10"/>
    </row>
    <row r="14148" spans="20:20">
      <c r="T14148" s="10"/>
    </row>
    <row r="14149" spans="20:20">
      <c r="T14149" s="10"/>
    </row>
    <row r="14150" spans="20:20">
      <c r="T14150" s="10"/>
    </row>
    <row r="14151" spans="20:20">
      <c r="T14151" s="10"/>
    </row>
    <row r="14152" spans="20:20">
      <c r="T14152" s="10"/>
    </row>
    <row r="14153" spans="20:20">
      <c r="T14153" s="10"/>
    </row>
    <row r="14154" spans="20:20">
      <c r="T14154" s="10"/>
    </row>
    <row r="14155" spans="20:20">
      <c r="T14155" s="10"/>
    </row>
    <row r="14156" spans="20:20">
      <c r="T14156" s="10"/>
    </row>
    <row r="14157" spans="20:20">
      <c r="T14157" s="10"/>
    </row>
    <row r="14158" spans="20:20">
      <c r="T14158" s="10"/>
    </row>
    <row r="14159" spans="20:20">
      <c r="T14159" s="10"/>
    </row>
    <row r="14160" spans="20:20">
      <c r="T14160" s="10"/>
    </row>
    <row r="14161" spans="20:20">
      <c r="T14161" s="10"/>
    </row>
    <row r="14162" spans="20:20">
      <c r="T14162" s="10"/>
    </row>
    <row r="14163" spans="20:20">
      <c r="T14163" s="10"/>
    </row>
    <row r="14164" spans="20:20">
      <c r="T14164" s="10"/>
    </row>
    <row r="14165" spans="20:20">
      <c r="T14165" s="10"/>
    </row>
    <row r="14166" spans="20:20">
      <c r="T14166" s="10"/>
    </row>
    <row r="14167" spans="20:20">
      <c r="T14167" s="10"/>
    </row>
    <row r="14168" spans="20:20">
      <c r="T14168" s="10"/>
    </row>
    <row r="14169" spans="20:20">
      <c r="T14169" s="10"/>
    </row>
    <row r="14170" spans="20:20">
      <c r="T14170" s="10"/>
    </row>
    <row r="14171" spans="20:20">
      <c r="T14171" s="10"/>
    </row>
    <row r="14172" spans="20:20">
      <c r="T14172" s="10"/>
    </row>
    <row r="14173" spans="20:20">
      <c r="T14173" s="10"/>
    </row>
    <row r="14174" spans="20:20">
      <c r="T14174" s="10"/>
    </row>
    <row r="14175" spans="20:20">
      <c r="T14175" s="10"/>
    </row>
    <row r="14176" spans="20:20">
      <c r="T14176" s="10"/>
    </row>
    <row r="14177" spans="20:20">
      <c r="T14177" s="10"/>
    </row>
    <row r="14178" spans="20:20">
      <c r="T14178" s="10"/>
    </row>
    <row r="14179" spans="20:20">
      <c r="T14179" s="10"/>
    </row>
    <row r="14180" spans="20:20">
      <c r="T14180" s="10"/>
    </row>
    <row r="14181" spans="20:20">
      <c r="T14181" s="10"/>
    </row>
    <row r="14182" spans="20:20">
      <c r="T14182" s="10"/>
    </row>
    <row r="14183" spans="20:20">
      <c r="T14183" s="10"/>
    </row>
    <row r="14184" spans="20:20">
      <c r="T14184" s="10"/>
    </row>
    <row r="14185" spans="20:20">
      <c r="T14185" s="10"/>
    </row>
    <row r="14186" spans="20:20">
      <c r="T14186" s="10"/>
    </row>
    <row r="14187" spans="20:20">
      <c r="T14187" s="10"/>
    </row>
    <row r="14188" spans="20:20">
      <c r="T14188" s="10"/>
    </row>
    <row r="14189" spans="20:20">
      <c r="T14189" s="10"/>
    </row>
    <row r="14190" spans="20:20">
      <c r="T14190" s="10"/>
    </row>
    <row r="14191" spans="20:20">
      <c r="T14191" s="10"/>
    </row>
    <row r="14192" spans="20:20">
      <c r="T14192" s="10"/>
    </row>
    <row r="14193" spans="20:20">
      <c r="T14193" s="10"/>
    </row>
    <row r="14194" spans="20:20">
      <c r="T14194" s="10"/>
    </row>
    <row r="14195" spans="20:20">
      <c r="T14195" s="10"/>
    </row>
    <row r="14196" spans="20:20">
      <c r="T14196" s="10"/>
    </row>
    <row r="14197" spans="20:20">
      <c r="T14197" s="10"/>
    </row>
    <row r="14198" spans="20:20">
      <c r="T14198" s="10"/>
    </row>
    <row r="14199" spans="20:20">
      <c r="T14199" s="10"/>
    </row>
    <row r="14200" spans="20:20">
      <c r="T14200" s="10"/>
    </row>
    <row r="14201" spans="20:20">
      <c r="T14201" s="10"/>
    </row>
    <row r="14202" spans="20:20">
      <c r="T14202" s="10"/>
    </row>
    <row r="14203" spans="20:20">
      <c r="T14203" s="10"/>
    </row>
    <row r="14204" spans="20:20">
      <c r="T14204" s="10"/>
    </row>
    <row r="14205" spans="20:20">
      <c r="T14205" s="10"/>
    </row>
    <row r="14206" spans="20:20">
      <c r="T14206" s="10"/>
    </row>
    <row r="14207" spans="20:20">
      <c r="T14207" s="10"/>
    </row>
    <row r="14208" spans="20:20">
      <c r="T14208" s="10"/>
    </row>
    <row r="14209" spans="20:20">
      <c r="T14209" s="10"/>
    </row>
    <row r="14210" spans="20:20">
      <c r="T14210" s="10"/>
    </row>
    <row r="14211" spans="20:20">
      <c r="T14211" s="10"/>
    </row>
    <row r="14212" spans="20:20">
      <c r="T14212" s="10"/>
    </row>
    <row r="14213" spans="20:20">
      <c r="T14213" s="10"/>
    </row>
    <row r="14214" spans="20:20">
      <c r="T14214" s="10"/>
    </row>
    <row r="14215" spans="20:20">
      <c r="T14215" s="10"/>
    </row>
    <row r="14216" spans="20:20">
      <c r="T14216" s="10"/>
    </row>
    <row r="14217" spans="20:20">
      <c r="T14217" s="10"/>
    </row>
    <row r="14218" spans="20:20">
      <c r="T14218" s="10"/>
    </row>
    <row r="14219" spans="20:20">
      <c r="T14219" s="10"/>
    </row>
    <row r="14220" spans="20:20">
      <c r="T14220" s="10"/>
    </row>
    <row r="14221" spans="20:20">
      <c r="T14221" s="10"/>
    </row>
    <row r="14222" spans="20:20">
      <c r="T14222" s="10"/>
    </row>
    <row r="14223" spans="20:20">
      <c r="T14223" s="10"/>
    </row>
    <row r="14224" spans="20:20">
      <c r="T14224" s="10"/>
    </row>
    <row r="14225" spans="20:20">
      <c r="T14225" s="10"/>
    </row>
    <row r="14226" spans="20:20">
      <c r="T14226" s="10"/>
    </row>
    <row r="14227" spans="20:20">
      <c r="T14227" s="10"/>
    </row>
    <row r="14228" spans="20:20">
      <c r="T14228" s="10"/>
    </row>
    <row r="14229" spans="20:20">
      <c r="T14229" s="10"/>
    </row>
    <row r="14230" spans="20:20">
      <c r="T14230" s="10"/>
    </row>
    <row r="14231" spans="20:20">
      <c r="T14231" s="10"/>
    </row>
    <row r="14232" spans="20:20">
      <c r="T14232" s="10"/>
    </row>
    <row r="14233" spans="20:20">
      <c r="T14233" s="10"/>
    </row>
    <row r="14234" spans="20:20">
      <c r="T14234" s="10"/>
    </row>
    <row r="14235" spans="20:20">
      <c r="T14235" s="10"/>
    </row>
    <row r="14236" spans="20:20">
      <c r="T14236" s="10"/>
    </row>
    <row r="14237" spans="20:20">
      <c r="T14237" s="10"/>
    </row>
    <row r="14238" spans="20:20">
      <c r="T14238" s="10"/>
    </row>
    <row r="14239" spans="20:20">
      <c r="T14239" s="10"/>
    </row>
    <row r="14240" spans="20:20">
      <c r="T14240" s="10"/>
    </row>
    <row r="14241" spans="20:20">
      <c r="T14241" s="10"/>
    </row>
    <row r="14242" spans="20:20">
      <c r="T14242" s="10"/>
    </row>
    <row r="14243" spans="20:20">
      <c r="T14243" s="10"/>
    </row>
    <row r="14244" spans="20:20">
      <c r="T14244" s="10"/>
    </row>
    <row r="14245" spans="20:20">
      <c r="T14245" s="10"/>
    </row>
    <row r="14246" spans="20:20">
      <c r="T14246" s="10"/>
    </row>
    <row r="14247" spans="20:20">
      <c r="T14247" s="10"/>
    </row>
    <row r="14248" spans="20:20">
      <c r="T14248" s="10"/>
    </row>
    <row r="14249" spans="20:20">
      <c r="T14249" s="10"/>
    </row>
    <row r="14250" spans="20:20">
      <c r="T14250" s="10"/>
    </row>
    <row r="14251" spans="20:20">
      <c r="T14251" s="10"/>
    </row>
    <row r="14252" spans="20:20">
      <c r="T14252" s="10"/>
    </row>
    <row r="14253" spans="20:20">
      <c r="T14253" s="10"/>
    </row>
    <row r="14254" spans="20:20">
      <c r="T14254" s="10"/>
    </row>
    <row r="14255" spans="20:20">
      <c r="T14255" s="10"/>
    </row>
    <row r="14256" spans="20:20">
      <c r="T14256" s="10"/>
    </row>
    <row r="14257" spans="20:20">
      <c r="T14257" s="10"/>
    </row>
    <row r="14258" spans="20:20">
      <c r="T14258" s="10"/>
    </row>
    <row r="14259" spans="20:20">
      <c r="T14259" s="10"/>
    </row>
    <row r="14260" spans="20:20">
      <c r="T14260" s="10"/>
    </row>
    <row r="14261" spans="20:20">
      <c r="T14261" s="10"/>
    </row>
    <row r="14262" spans="20:20">
      <c r="T14262" s="10"/>
    </row>
    <row r="14263" spans="20:20">
      <c r="T14263" s="10"/>
    </row>
    <row r="14264" spans="20:20">
      <c r="T14264" s="10"/>
    </row>
    <row r="14265" spans="20:20">
      <c r="T14265" s="10"/>
    </row>
    <row r="14266" spans="20:20">
      <c r="T14266" s="10"/>
    </row>
    <row r="14267" spans="20:20">
      <c r="T14267" s="10"/>
    </row>
    <row r="14268" spans="20:20">
      <c r="T14268" s="10"/>
    </row>
    <row r="14269" spans="20:20">
      <c r="T14269" s="10"/>
    </row>
    <row r="14270" spans="20:20">
      <c r="T14270" s="10"/>
    </row>
    <row r="14271" spans="20:20">
      <c r="T14271" s="10"/>
    </row>
    <row r="14272" spans="20:20">
      <c r="T14272" s="10"/>
    </row>
    <row r="14273" spans="20:20">
      <c r="T14273" s="10"/>
    </row>
    <row r="14274" spans="20:20">
      <c r="T14274" s="10"/>
    </row>
    <row r="14275" spans="20:20">
      <c r="T14275" s="10"/>
    </row>
    <row r="14276" spans="20:20">
      <c r="T14276" s="10"/>
    </row>
    <row r="14277" spans="20:20">
      <c r="T14277" s="10"/>
    </row>
    <row r="14278" spans="20:20">
      <c r="T14278" s="10"/>
    </row>
    <row r="14279" spans="20:20">
      <c r="T14279" s="10"/>
    </row>
    <row r="14280" spans="20:20">
      <c r="T14280" s="10"/>
    </row>
    <row r="14281" spans="20:20">
      <c r="T14281" s="10"/>
    </row>
    <row r="14282" spans="20:20">
      <c r="T14282" s="10"/>
    </row>
    <row r="14283" spans="20:20">
      <c r="T14283" s="10"/>
    </row>
    <row r="14284" spans="20:20">
      <c r="T14284" s="10"/>
    </row>
    <row r="14285" spans="20:20">
      <c r="T14285" s="10"/>
    </row>
    <row r="14286" spans="20:20">
      <c r="T14286" s="10"/>
    </row>
    <row r="14287" spans="20:20">
      <c r="T14287" s="10"/>
    </row>
    <row r="14288" spans="20:20">
      <c r="T14288" s="10"/>
    </row>
    <row r="14289" spans="20:20">
      <c r="T14289" s="10"/>
    </row>
    <row r="14290" spans="20:20">
      <c r="T14290" s="10"/>
    </row>
    <row r="14291" spans="20:20">
      <c r="T14291" s="10"/>
    </row>
    <row r="14292" spans="20:20">
      <c r="T14292" s="10"/>
    </row>
    <row r="14293" spans="20:20">
      <c r="T14293" s="10"/>
    </row>
    <row r="14294" spans="20:20">
      <c r="T14294" s="10"/>
    </row>
    <row r="14295" spans="20:20">
      <c r="T14295" s="10"/>
    </row>
    <row r="14296" spans="20:20">
      <c r="T14296" s="10"/>
    </row>
    <row r="14297" spans="20:20">
      <c r="T14297" s="10"/>
    </row>
    <row r="14298" spans="20:20">
      <c r="T14298" s="10"/>
    </row>
    <row r="14299" spans="20:20">
      <c r="T14299" s="10"/>
    </row>
    <row r="14300" spans="20:20">
      <c r="T14300" s="10"/>
    </row>
    <row r="14301" spans="20:20">
      <c r="T14301" s="10"/>
    </row>
    <row r="14302" spans="20:20">
      <c r="T14302" s="10"/>
    </row>
    <row r="14303" spans="20:20">
      <c r="T14303" s="10"/>
    </row>
    <row r="14304" spans="20:20">
      <c r="T14304" s="10"/>
    </row>
    <row r="14305" spans="20:20">
      <c r="T14305" s="10"/>
    </row>
    <row r="14306" spans="20:20">
      <c r="T14306" s="10"/>
    </row>
    <row r="14307" spans="20:20">
      <c r="T14307" s="10"/>
    </row>
    <row r="14308" spans="20:20">
      <c r="T14308" s="10"/>
    </row>
    <row r="14309" spans="20:20">
      <c r="T14309" s="10"/>
    </row>
    <row r="14310" spans="20:20">
      <c r="T14310" s="10"/>
    </row>
    <row r="14311" spans="20:20">
      <c r="T14311" s="10"/>
    </row>
    <row r="14312" spans="20:20">
      <c r="T14312" s="10"/>
    </row>
    <row r="14313" spans="20:20">
      <c r="T14313" s="10"/>
    </row>
    <row r="14314" spans="20:20">
      <c r="T14314" s="10"/>
    </row>
    <row r="14315" spans="20:20">
      <c r="T14315" s="10"/>
    </row>
    <row r="14316" spans="20:20">
      <c r="T14316" s="10"/>
    </row>
    <row r="14317" spans="20:20">
      <c r="T14317" s="10"/>
    </row>
    <row r="14318" spans="20:20">
      <c r="T14318" s="10"/>
    </row>
    <row r="14319" spans="20:20">
      <c r="T14319" s="10"/>
    </row>
    <row r="14320" spans="20:20">
      <c r="T14320" s="10"/>
    </row>
    <row r="14321" spans="20:20">
      <c r="T14321" s="10"/>
    </row>
    <row r="14322" spans="20:20">
      <c r="T14322" s="10"/>
    </row>
    <row r="14323" spans="20:20">
      <c r="T14323" s="10"/>
    </row>
    <row r="14324" spans="20:20">
      <c r="T14324" s="10"/>
    </row>
    <row r="14325" spans="20:20">
      <c r="T14325" s="10"/>
    </row>
    <row r="14326" spans="20:20">
      <c r="T14326" s="10"/>
    </row>
    <row r="14327" spans="20:20">
      <c r="T14327" s="10"/>
    </row>
    <row r="14328" spans="20:20">
      <c r="T14328" s="10"/>
    </row>
    <row r="14329" spans="20:20">
      <c r="T14329" s="10"/>
    </row>
    <row r="14330" spans="20:20">
      <c r="T14330" s="10"/>
    </row>
    <row r="14331" spans="20:20">
      <c r="T14331" s="10"/>
    </row>
    <row r="14332" spans="20:20">
      <c r="T14332" s="10"/>
    </row>
    <row r="14333" spans="20:20">
      <c r="T14333" s="10"/>
    </row>
    <row r="14334" spans="20:20">
      <c r="T14334" s="10"/>
    </row>
    <row r="14335" spans="20:20">
      <c r="T14335" s="10"/>
    </row>
    <row r="14336" spans="20:20">
      <c r="T14336" s="10"/>
    </row>
    <row r="14337" spans="20:20">
      <c r="T14337" s="10"/>
    </row>
    <row r="14338" spans="20:20">
      <c r="T14338" s="10"/>
    </row>
    <row r="14339" spans="20:20">
      <c r="T14339" s="10"/>
    </row>
    <row r="14340" spans="20:20">
      <c r="T14340" s="10"/>
    </row>
    <row r="14341" spans="20:20">
      <c r="T14341" s="10"/>
    </row>
    <row r="14342" spans="20:20">
      <c r="T14342" s="10"/>
    </row>
    <row r="14343" spans="20:20">
      <c r="T14343" s="10"/>
    </row>
    <row r="14344" spans="20:20">
      <c r="T14344" s="10"/>
    </row>
    <row r="14345" spans="20:20">
      <c r="T14345" s="10"/>
    </row>
    <row r="14346" spans="20:20">
      <c r="T14346" s="10"/>
    </row>
    <row r="14347" spans="20:20">
      <c r="T14347" s="10"/>
    </row>
    <row r="14348" spans="20:20">
      <c r="T14348" s="10"/>
    </row>
    <row r="14349" spans="20:20">
      <c r="T14349" s="10"/>
    </row>
    <row r="14350" spans="20:20">
      <c r="T14350" s="10"/>
    </row>
    <row r="14351" spans="20:20">
      <c r="T14351" s="10"/>
    </row>
    <row r="14352" spans="20:20">
      <c r="T14352" s="10"/>
    </row>
    <row r="14353" spans="20:20">
      <c r="T14353" s="10"/>
    </row>
    <row r="14354" spans="20:20">
      <c r="T14354" s="10"/>
    </row>
    <row r="14355" spans="20:20">
      <c r="T14355" s="10"/>
    </row>
    <row r="14356" spans="20:20">
      <c r="T14356" s="10"/>
    </row>
    <row r="14357" spans="20:20">
      <c r="T14357" s="10"/>
    </row>
    <row r="14358" spans="20:20">
      <c r="T14358" s="10"/>
    </row>
    <row r="14359" spans="20:20">
      <c r="T14359" s="10"/>
    </row>
    <row r="14360" spans="20:20">
      <c r="T14360" s="10"/>
    </row>
    <row r="14361" spans="20:20">
      <c r="T14361" s="10"/>
    </row>
    <row r="14362" spans="20:20">
      <c r="T14362" s="10"/>
    </row>
    <row r="14363" spans="20:20">
      <c r="T14363" s="10"/>
    </row>
    <row r="14364" spans="20:20">
      <c r="T14364" s="10"/>
    </row>
    <row r="14365" spans="20:20">
      <c r="T14365" s="10"/>
    </row>
    <row r="14366" spans="20:20">
      <c r="T14366" s="10"/>
    </row>
    <row r="14367" spans="20:20">
      <c r="T14367" s="10"/>
    </row>
    <row r="14368" spans="20:20">
      <c r="T14368" s="10"/>
    </row>
    <row r="14369" spans="20:20">
      <c r="T14369" s="10"/>
    </row>
    <row r="14370" spans="20:20">
      <c r="T14370" s="10"/>
    </row>
    <row r="14371" spans="20:20">
      <c r="T14371" s="10"/>
    </row>
    <row r="14372" spans="20:20">
      <c r="T14372" s="10"/>
    </row>
    <row r="14373" spans="20:20">
      <c r="T14373" s="10"/>
    </row>
    <row r="14374" spans="20:20">
      <c r="T14374" s="10"/>
    </row>
    <row r="14375" spans="20:20">
      <c r="T14375" s="10"/>
    </row>
    <row r="14376" spans="20:20">
      <c r="T14376" s="10"/>
    </row>
    <row r="14377" spans="20:20">
      <c r="T14377" s="10"/>
    </row>
    <row r="14378" spans="20:20">
      <c r="T14378" s="10"/>
    </row>
    <row r="14379" spans="20:20">
      <c r="T14379" s="10"/>
    </row>
    <row r="14380" spans="20:20">
      <c r="T14380" s="10"/>
    </row>
    <row r="14381" spans="20:20">
      <c r="T14381" s="10"/>
    </row>
    <row r="14382" spans="20:20">
      <c r="T14382" s="10"/>
    </row>
    <row r="14383" spans="20:20">
      <c r="T14383" s="10"/>
    </row>
    <row r="14384" spans="20:20">
      <c r="T14384" s="10"/>
    </row>
    <row r="14385" spans="20:20">
      <c r="T14385" s="10"/>
    </row>
    <row r="14386" spans="20:20">
      <c r="T14386" s="10"/>
    </row>
    <row r="14387" spans="20:20">
      <c r="T14387" s="10"/>
    </row>
    <row r="14388" spans="20:20">
      <c r="T14388" s="10"/>
    </row>
    <row r="14389" spans="20:20">
      <c r="T14389" s="10"/>
    </row>
    <row r="14390" spans="20:20">
      <c r="T14390" s="10"/>
    </row>
    <row r="14391" spans="20:20">
      <c r="T14391" s="10"/>
    </row>
    <row r="14392" spans="20:20">
      <c r="T14392" s="10"/>
    </row>
    <row r="14393" spans="20:20">
      <c r="T14393" s="10"/>
    </row>
    <row r="14394" spans="20:20">
      <c r="T14394" s="10"/>
    </row>
    <row r="14395" spans="20:20">
      <c r="T14395" s="10"/>
    </row>
    <row r="14396" spans="20:20">
      <c r="T14396" s="10"/>
    </row>
    <row r="14397" spans="20:20">
      <c r="T14397" s="10"/>
    </row>
    <row r="14398" spans="20:20">
      <c r="T14398" s="10"/>
    </row>
    <row r="14399" spans="20:20">
      <c r="T14399" s="10"/>
    </row>
    <row r="14400" spans="20:20">
      <c r="T14400" s="10"/>
    </row>
    <row r="14401" spans="20:20">
      <c r="T14401" s="10"/>
    </row>
    <row r="14402" spans="20:20">
      <c r="T14402" s="10"/>
    </row>
    <row r="14403" spans="20:20">
      <c r="T14403" s="10"/>
    </row>
    <row r="14404" spans="20:20">
      <c r="T14404" s="10"/>
    </row>
    <row r="14405" spans="20:20">
      <c r="T14405" s="10"/>
    </row>
    <row r="14406" spans="20:20">
      <c r="T14406" s="10"/>
    </row>
    <row r="14407" spans="20:20">
      <c r="T14407" s="10"/>
    </row>
    <row r="14408" spans="20:20">
      <c r="T14408" s="10"/>
    </row>
    <row r="14409" spans="20:20">
      <c r="T14409" s="10"/>
    </row>
    <row r="14410" spans="20:20">
      <c r="T14410" s="10"/>
    </row>
    <row r="14411" spans="20:20">
      <c r="T14411" s="10"/>
    </row>
    <row r="14412" spans="20:20">
      <c r="T14412" s="10"/>
    </row>
    <row r="14413" spans="20:20">
      <c r="T14413" s="10"/>
    </row>
    <row r="14414" spans="20:20">
      <c r="T14414" s="10"/>
    </row>
    <row r="14415" spans="20:20">
      <c r="T14415" s="10"/>
    </row>
    <row r="14416" spans="20:20">
      <c r="T14416" s="10"/>
    </row>
    <row r="14417" spans="20:20">
      <c r="T14417" s="10"/>
    </row>
    <row r="14418" spans="20:20">
      <c r="T14418" s="10"/>
    </row>
    <row r="14419" spans="20:20">
      <c r="T14419" s="10"/>
    </row>
    <row r="14420" spans="20:20">
      <c r="T14420" s="10"/>
    </row>
    <row r="14421" spans="20:20">
      <c r="T14421" s="10"/>
    </row>
    <row r="14422" spans="20:20">
      <c r="T14422" s="10"/>
    </row>
    <row r="14423" spans="20:20">
      <c r="T14423" s="10"/>
    </row>
    <row r="14424" spans="20:20">
      <c r="T14424" s="10"/>
    </row>
    <row r="14425" spans="20:20">
      <c r="T14425" s="10"/>
    </row>
    <row r="14426" spans="20:20">
      <c r="T14426" s="10"/>
    </row>
    <row r="14427" spans="20:20">
      <c r="T14427" s="10"/>
    </row>
    <row r="14428" spans="20:20">
      <c r="T14428" s="10"/>
    </row>
    <row r="14429" spans="20:20">
      <c r="T14429" s="10"/>
    </row>
    <row r="14430" spans="20:20">
      <c r="T14430" s="10"/>
    </row>
    <row r="14431" spans="20:20">
      <c r="T14431" s="10"/>
    </row>
    <row r="14432" spans="20:20">
      <c r="T14432" s="10"/>
    </row>
    <row r="14433" spans="20:20">
      <c r="T14433" s="10"/>
    </row>
    <row r="14434" spans="20:20">
      <c r="T14434" s="10"/>
    </row>
    <row r="14435" spans="20:20">
      <c r="T14435" s="10"/>
    </row>
    <row r="14436" spans="20:20">
      <c r="T14436" s="10"/>
    </row>
    <row r="14437" spans="20:20">
      <c r="T14437" s="10"/>
    </row>
    <row r="14438" spans="20:20">
      <c r="T14438" s="10"/>
    </row>
    <row r="14439" spans="20:20">
      <c r="T14439" s="10"/>
    </row>
    <row r="14440" spans="20:20">
      <c r="T14440" s="10"/>
    </row>
    <row r="14441" spans="20:20">
      <c r="T14441" s="10"/>
    </row>
    <row r="14442" spans="20:20">
      <c r="T14442" s="10"/>
    </row>
    <row r="14443" spans="20:20">
      <c r="T14443" s="10"/>
    </row>
    <row r="14444" spans="20:20">
      <c r="T14444" s="10"/>
    </row>
    <row r="14445" spans="20:20">
      <c r="T14445" s="10"/>
    </row>
    <row r="14446" spans="20:20">
      <c r="T14446" s="10"/>
    </row>
    <row r="14447" spans="20:20">
      <c r="T14447" s="10"/>
    </row>
    <row r="14448" spans="20:20">
      <c r="T14448" s="10"/>
    </row>
    <row r="14449" spans="20:20">
      <c r="T14449" s="10"/>
    </row>
    <row r="14450" spans="20:20">
      <c r="T14450" s="10"/>
    </row>
    <row r="14451" spans="20:20">
      <c r="T14451" s="10"/>
    </row>
    <row r="14452" spans="20:20">
      <c r="T14452" s="10"/>
    </row>
    <row r="14453" spans="20:20">
      <c r="T14453" s="10"/>
    </row>
    <row r="14454" spans="20:20">
      <c r="T14454" s="10"/>
    </row>
    <row r="14455" spans="20:20">
      <c r="T14455" s="10"/>
    </row>
    <row r="14456" spans="20:20">
      <c r="T14456" s="10"/>
    </row>
    <row r="14457" spans="20:20">
      <c r="T14457" s="10"/>
    </row>
    <row r="14458" spans="20:20">
      <c r="T14458" s="10"/>
    </row>
    <row r="14459" spans="20:20">
      <c r="T14459" s="10"/>
    </row>
    <row r="14460" spans="20:20">
      <c r="T14460" s="10"/>
    </row>
    <row r="14461" spans="20:20">
      <c r="T14461" s="10"/>
    </row>
    <row r="14462" spans="20:20">
      <c r="T14462" s="10"/>
    </row>
    <row r="14463" spans="20:20">
      <c r="T14463" s="10"/>
    </row>
    <row r="14464" spans="20:20">
      <c r="T14464" s="10"/>
    </row>
    <row r="14465" spans="20:20">
      <c r="T14465" s="10"/>
    </row>
    <row r="14466" spans="20:20">
      <c r="T14466" s="10"/>
    </row>
    <row r="14467" spans="20:20">
      <c r="T14467" s="10"/>
    </row>
    <row r="14468" spans="20:20">
      <c r="T14468" s="10"/>
    </row>
    <row r="14469" spans="20:20">
      <c r="T14469" s="10"/>
    </row>
    <row r="14470" spans="20:20">
      <c r="T14470" s="10"/>
    </row>
    <row r="14471" spans="20:20">
      <c r="T14471" s="10"/>
    </row>
    <row r="14472" spans="20:20">
      <c r="T14472" s="10"/>
    </row>
    <row r="14473" spans="20:20">
      <c r="T14473" s="10"/>
    </row>
    <row r="14474" spans="20:20">
      <c r="T14474" s="10"/>
    </row>
    <row r="14475" spans="20:20">
      <c r="T14475" s="10"/>
    </row>
    <row r="14476" spans="20:20">
      <c r="T14476" s="10"/>
    </row>
    <row r="14477" spans="20:20">
      <c r="T14477" s="10"/>
    </row>
    <row r="14478" spans="20:20">
      <c r="T14478" s="10"/>
    </row>
    <row r="14479" spans="20:20">
      <c r="T14479" s="10"/>
    </row>
    <row r="14480" spans="20:20">
      <c r="T14480" s="10"/>
    </row>
    <row r="14481" spans="20:20">
      <c r="T14481" s="10"/>
    </row>
    <row r="14482" spans="20:20">
      <c r="T14482" s="10"/>
    </row>
    <row r="14483" spans="20:20">
      <c r="T14483" s="10"/>
    </row>
    <row r="14484" spans="20:20">
      <c r="T14484" s="10"/>
    </row>
    <row r="14485" spans="20:20">
      <c r="T14485" s="10"/>
    </row>
    <row r="14486" spans="20:20">
      <c r="T14486" s="10"/>
    </row>
    <row r="14487" spans="20:20">
      <c r="T14487" s="10"/>
    </row>
    <row r="14488" spans="20:20">
      <c r="T14488" s="10"/>
    </row>
    <row r="14489" spans="20:20">
      <c r="T14489" s="10"/>
    </row>
    <row r="14490" spans="20:20">
      <c r="T14490" s="10"/>
    </row>
    <row r="14491" spans="20:20">
      <c r="T14491" s="10"/>
    </row>
    <row r="14492" spans="20:20">
      <c r="T14492" s="10"/>
    </row>
    <row r="14493" spans="20:20">
      <c r="T14493" s="10"/>
    </row>
    <row r="14494" spans="20:20">
      <c r="T14494" s="10"/>
    </row>
    <row r="14495" spans="20:20">
      <c r="T14495" s="10"/>
    </row>
    <row r="14496" spans="20:20">
      <c r="T14496" s="10"/>
    </row>
    <row r="14497" spans="20:20">
      <c r="T14497" s="10"/>
    </row>
    <row r="14498" spans="20:20">
      <c r="T14498" s="10"/>
    </row>
    <row r="14499" spans="20:20">
      <c r="T14499" s="10"/>
    </row>
    <row r="14500" spans="20:20">
      <c r="T14500" s="10"/>
    </row>
    <row r="14501" spans="20:20">
      <c r="T14501" s="10"/>
    </row>
    <row r="14502" spans="20:20">
      <c r="T14502" s="10"/>
    </row>
    <row r="14503" spans="20:20">
      <c r="T14503" s="10"/>
    </row>
    <row r="14504" spans="20:20">
      <c r="T14504" s="10"/>
    </row>
    <row r="14505" spans="20:20">
      <c r="T14505" s="10"/>
    </row>
    <row r="14506" spans="20:20">
      <c r="T14506" s="10"/>
    </row>
    <row r="14507" spans="20:20">
      <c r="T14507" s="10"/>
    </row>
    <row r="14508" spans="20:20">
      <c r="T14508" s="10"/>
    </row>
    <row r="14509" spans="20:20">
      <c r="T14509" s="10"/>
    </row>
    <row r="14510" spans="20:20">
      <c r="T14510" s="10"/>
    </row>
    <row r="14511" spans="20:20">
      <c r="T14511" s="10"/>
    </row>
    <row r="14512" spans="20:20">
      <c r="T14512" s="10"/>
    </row>
    <row r="14513" spans="20:20">
      <c r="T14513" s="10"/>
    </row>
    <row r="14514" spans="20:20">
      <c r="T14514" s="10"/>
    </row>
    <row r="14515" spans="20:20">
      <c r="T14515" s="10"/>
    </row>
    <row r="14516" spans="20:20">
      <c r="T14516" s="10"/>
    </row>
    <row r="14517" spans="20:20">
      <c r="T14517" s="10"/>
    </row>
    <row r="14518" spans="20:20">
      <c r="T14518" s="10"/>
    </row>
    <row r="14519" spans="20:20">
      <c r="T14519" s="10"/>
    </row>
    <row r="14520" spans="20:20">
      <c r="T14520" s="10"/>
    </row>
    <row r="14521" spans="20:20">
      <c r="T14521" s="10"/>
    </row>
    <row r="14522" spans="20:20">
      <c r="T14522" s="10"/>
    </row>
    <row r="14523" spans="20:20">
      <c r="T14523" s="10"/>
    </row>
    <row r="14524" spans="20:20">
      <c r="T14524" s="10"/>
    </row>
    <row r="14525" spans="20:20">
      <c r="T14525" s="10"/>
    </row>
    <row r="14526" spans="20:20">
      <c r="T14526" s="10"/>
    </row>
    <row r="14527" spans="20:20">
      <c r="T14527" s="10"/>
    </row>
    <row r="14528" spans="20:20">
      <c r="T14528" s="10"/>
    </row>
    <row r="14529" spans="20:20">
      <c r="T14529" s="10"/>
    </row>
    <row r="14530" spans="20:20">
      <c r="T14530" s="10"/>
    </row>
    <row r="14531" spans="20:20">
      <c r="T14531" s="10"/>
    </row>
    <row r="14532" spans="20:20">
      <c r="T14532" s="10"/>
    </row>
    <row r="14533" spans="20:20">
      <c r="T14533" s="10"/>
    </row>
    <row r="14534" spans="20:20">
      <c r="T14534" s="10"/>
    </row>
    <row r="14535" spans="20:20">
      <c r="T14535" s="10"/>
    </row>
    <row r="14536" spans="20:20">
      <c r="T14536" s="10"/>
    </row>
    <row r="14537" spans="20:20">
      <c r="T14537" s="10"/>
    </row>
    <row r="14538" spans="20:20">
      <c r="T14538" s="10"/>
    </row>
    <row r="14539" spans="20:20">
      <c r="T14539" s="10"/>
    </row>
    <row r="14540" spans="20:20">
      <c r="T14540" s="10"/>
    </row>
    <row r="14541" spans="20:20">
      <c r="T14541" s="10"/>
    </row>
    <row r="14542" spans="20:20">
      <c r="T14542" s="10"/>
    </row>
    <row r="14543" spans="20:20">
      <c r="T14543" s="10"/>
    </row>
    <row r="14544" spans="20:20">
      <c r="T14544" s="10"/>
    </row>
    <row r="14545" spans="20:20">
      <c r="T14545" s="10"/>
    </row>
    <row r="14546" spans="20:20">
      <c r="T14546" s="10"/>
    </row>
    <row r="14547" spans="20:20">
      <c r="T14547" s="10"/>
    </row>
    <row r="14548" spans="20:20">
      <c r="T14548" s="10"/>
    </row>
    <row r="14549" spans="20:20">
      <c r="T14549" s="10"/>
    </row>
    <row r="14550" spans="20:20">
      <c r="T14550" s="10"/>
    </row>
    <row r="14551" spans="20:20">
      <c r="T14551" s="10"/>
    </row>
    <row r="14552" spans="20:20">
      <c r="T14552" s="10"/>
    </row>
    <row r="14553" spans="20:20">
      <c r="T14553" s="10"/>
    </row>
    <row r="14554" spans="20:20">
      <c r="T14554" s="10"/>
    </row>
    <row r="14555" spans="20:20">
      <c r="T14555" s="10"/>
    </row>
    <row r="14556" spans="20:20">
      <c r="T14556" s="10"/>
    </row>
    <row r="14557" spans="20:20">
      <c r="T14557" s="10"/>
    </row>
    <row r="14558" spans="20:20">
      <c r="T14558" s="10"/>
    </row>
    <row r="14559" spans="20:20">
      <c r="T14559" s="10"/>
    </row>
    <row r="14560" spans="20:20">
      <c r="T14560" s="10"/>
    </row>
    <row r="14561" spans="20:20">
      <c r="T14561" s="10"/>
    </row>
    <row r="14562" spans="20:20">
      <c r="T14562" s="10"/>
    </row>
    <row r="14563" spans="20:20">
      <c r="T14563" s="10"/>
    </row>
    <row r="14564" spans="20:20">
      <c r="T14564" s="10"/>
    </row>
    <row r="14565" spans="20:20">
      <c r="T14565" s="10"/>
    </row>
    <row r="14566" spans="20:20">
      <c r="T14566" s="10"/>
    </row>
    <row r="14567" spans="20:20">
      <c r="T14567" s="10"/>
    </row>
    <row r="14568" spans="20:20">
      <c r="T14568" s="10"/>
    </row>
    <row r="14569" spans="20:20">
      <c r="T14569" s="10"/>
    </row>
    <row r="14570" spans="20:20">
      <c r="T14570" s="10"/>
    </row>
    <row r="14571" spans="20:20">
      <c r="T14571" s="10"/>
    </row>
    <row r="14572" spans="20:20">
      <c r="T14572" s="10"/>
    </row>
    <row r="14573" spans="20:20">
      <c r="T14573" s="10"/>
    </row>
    <row r="14574" spans="20:20">
      <c r="T14574" s="10"/>
    </row>
    <row r="14575" spans="20:20">
      <c r="T14575" s="10"/>
    </row>
    <row r="14576" spans="20:20">
      <c r="T14576" s="10"/>
    </row>
    <row r="14577" spans="20:20">
      <c r="T14577" s="10"/>
    </row>
    <row r="14578" spans="20:20">
      <c r="T14578" s="10"/>
    </row>
    <row r="14579" spans="20:20">
      <c r="T14579" s="10"/>
    </row>
    <row r="14580" spans="20:20">
      <c r="T14580" s="10"/>
    </row>
    <row r="14581" spans="20:20">
      <c r="T14581" s="10"/>
    </row>
    <row r="14582" spans="20:20">
      <c r="T14582" s="10"/>
    </row>
    <row r="14583" spans="20:20">
      <c r="T14583" s="10"/>
    </row>
    <row r="14584" spans="20:20">
      <c r="T14584" s="10"/>
    </row>
    <row r="14585" spans="20:20">
      <c r="T14585" s="10"/>
    </row>
    <row r="14586" spans="20:20">
      <c r="T14586" s="10"/>
    </row>
    <row r="14587" spans="20:20">
      <c r="T14587" s="10"/>
    </row>
    <row r="14588" spans="20:20">
      <c r="T14588" s="10"/>
    </row>
    <row r="14589" spans="20:20">
      <c r="T14589" s="10"/>
    </row>
    <row r="14590" spans="20:20">
      <c r="T14590" s="10"/>
    </row>
    <row r="14591" spans="20:20">
      <c r="T14591" s="10"/>
    </row>
    <row r="14592" spans="20:20">
      <c r="T14592" s="10"/>
    </row>
    <row r="14593" spans="20:20">
      <c r="T14593" s="10"/>
    </row>
    <row r="14594" spans="20:20">
      <c r="T14594" s="10"/>
    </row>
    <row r="14595" spans="20:20">
      <c r="T14595" s="10"/>
    </row>
    <row r="14596" spans="20:20">
      <c r="T14596" s="10"/>
    </row>
    <row r="14597" spans="20:20">
      <c r="T14597" s="10"/>
    </row>
    <row r="14598" spans="20:20">
      <c r="T14598" s="10"/>
    </row>
    <row r="14599" spans="20:20">
      <c r="T14599" s="10"/>
    </row>
    <row r="14600" spans="20:20">
      <c r="T14600" s="10"/>
    </row>
    <row r="14601" spans="20:20">
      <c r="T14601" s="10"/>
    </row>
    <row r="14602" spans="20:20">
      <c r="T14602" s="10"/>
    </row>
    <row r="14603" spans="20:20">
      <c r="T14603" s="10"/>
    </row>
    <row r="14604" spans="20:20">
      <c r="T14604" s="10"/>
    </row>
    <row r="14605" spans="20:20">
      <c r="T14605" s="10"/>
    </row>
    <row r="14606" spans="20:20">
      <c r="T14606" s="10"/>
    </row>
    <row r="14607" spans="20:20">
      <c r="T14607" s="10"/>
    </row>
    <row r="14608" spans="20:20">
      <c r="T14608" s="10"/>
    </row>
    <row r="14609" spans="20:20">
      <c r="T14609" s="10"/>
    </row>
    <row r="14610" spans="20:20">
      <c r="T14610" s="10"/>
    </row>
    <row r="14611" spans="20:20">
      <c r="T14611" s="10"/>
    </row>
    <row r="14612" spans="20:20">
      <c r="T14612" s="10"/>
    </row>
    <row r="14613" spans="20:20">
      <c r="T14613" s="10"/>
    </row>
    <row r="14614" spans="20:20">
      <c r="T14614" s="10"/>
    </row>
    <row r="14615" spans="20:20">
      <c r="T14615" s="10"/>
    </row>
    <row r="14616" spans="20:20">
      <c r="T14616" s="10"/>
    </row>
    <row r="14617" spans="20:20">
      <c r="T14617" s="10"/>
    </row>
    <row r="14618" spans="20:20">
      <c r="T14618" s="10"/>
    </row>
    <row r="14619" spans="20:20">
      <c r="T14619" s="10"/>
    </row>
    <row r="14620" spans="20:20">
      <c r="T14620" s="10"/>
    </row>
    <row r="14621" spans="20:20">
      <c r="T14621" s="10"/>
    </row>
    <row r="14622" spans="20:20">
      <c r="T14622" s="10"/>
    </row>
    <row r="14623" spans="20:20">
      <c r="T14623" s="10"/>
    </row>
    <row r="14624" spans="20:20">
      <c r="T14624" s="10"/>
    </row>
    <row r="14625" spans="20:20">
      <c r="T14625" s="10"/>
    </row>
    <row r="14626" spans="20:20">
      <c r="T14626" s="10"/>
    </row>
    <row r="14627" spans="20:20">
      <c r="T14627" s="10"/>
    </row>
    <row r="14628" spans="20:20">
      <c r="T14628" s="10"/>
    </row>
    <row r="14629" spans="20:20">
      <c r="T14629" s="10"/>
    </row>
    <row r="14630" spans="20:20">
      <c r="T14630" s="10"/>
    </row>
    <row r="14631" spans="20:20">
      <c r="T14631" s="10"/>
    </row>
    <row r="14632" spans="20:20">
      <c r="T14632" s="10"/>
    </row>
    <row r="14633" spans="20:20">
      <c r="T14633" s="10"/>
    </row>
    <row r="14634" spans="20:20">
      <c r="T14634" s="10"/>
    </row>
    <row r="14635" spans="20:20">
      <c r="T14635" s="10"/>
    </row>
    <row r="14636" spans="20:20">
      <c r="T14636" s="10"/>
    </row>
    <row r="14637" spans="20:20">
      <c r="T14637" s="10"/>
    </row>
    <row r="14638" spans="20:20">
      <c r="T14638" s="10"/>
    </row>
    <row r="14639" spans="20:20">
      <c r="T14639" s="10"/>
    </row>
    <row r="14640" spans="20:20">
      <c r="T14640" s="10"/>
    </row>
    <row r="14641" spans="20:20">
      <c r="T14641" s="10"/>
    </row>
    <row r="14642" spans="20:20">
      <c r="T14642" s="10"/>
    </row>
    <row r="14643" spans="20:20">
      <c r="T14643" s="10"/>
    </row>
    <row r="14644" spans="20:20">
      <c r="T14644" s="10"/>
    </row>
    <row r="14645" spans="20:20">
      <c r="T14645" s="10"/>
    </row>
    <row r="14646" spans="20:20">
      <c r="T14646" s="10"/>
    </row>
    <row r="14647" spans="20:20">
      <c r="T14647" s="10"/>
    </row>
    <row r="14648" spans="20:20">
      <c r="T14648" s="10"/>
    </row>
    <row r="14649" spans="20:20">
      <c r="T14649" s="10"/>
    </row>
    <row r="14650" spans="20:20">
      <c r="T14650" s="10"/>
    </row>
    <row r="14651" spans="20:20">
      <c r="T14651" s="10"/>
    </row>
    <row r="14652" spans="20:20">
      <c r="T14652" s="10"/>
    </row>
    <row r="14653" spans="20:20">
      <c r="T14653" s="10"/>
    </row>
    <row r="14654" spans="20:20">
      <c r="T14654" s="10"/>
    </row>
    <row r="14655" spans="20:20">
      <c r="T14655" s="10"/>
    </row>
    <row r="14656" spans="20:20">
      <c r="T14656" s="10"/>
    </row>
    <row r="14657" spans="20:20">
      <c r="T14657" s="10"/>
    </row>
    <row r="14658" spans="20:20">
      <c r="T14658" s="10"/>
    </row>
    <row r="14659" spans="20:20">
      <c r="T14659" s="10"/>
    </row>
    <row r="14660" spans="20:20">
      <c r="T14660" s="10"/>
    </row>
    <row r="14661" spans="20:20">
      <c r="T14661" s="10"/>
    </row>
    <row r="14662" spans="20:20">
      <c r="T14662" s="10"/>
    </row>
    <row r="14663" spans="20:20">
      <c r="T14663" s="10"/>
    </row>
    <row r="14664" spans="20:20">
      <c r="T14664" s="10"/>
    </row>
    <row r="14665" spans="20:20">
      <c r="T14665" s="10"/>
    </row>
    <row r="14666" spans="20:20">
      <c r="T14666" s="10"/>
    </row>
    <row r="14667" spans="20:20">
      <c r="T14667" s="10"/>
    </row>
    <row r="14668" spans="20:20">
      <c r="T14668" s="10"/>
    </row>
    <row r="14669" spans="20:20">
      <c r="T14669" s="10"/>
    </row>
    <row r="14670" spans="20:20">
      <c r="T14670" s="10"/>
    </row>
    <row r="14671" spans="20:20">
      <c r="T14671" s="10"/>
    </row>
    <row r="14672" spans="20:20">
      <c r="T14672" s="10"/>
    </row>
    <row r="14673" spans="20:20">
      <c r="T14673" s="10"/>
    </row>
    <row r="14674" spans="20:20">
      <c r="T14674" s="10"/>
    </row>
    <row r="14675" spans="20:20">
      <c r="T14675" s="10"/>
    </row>
    <row r="14676" spans="20:20">
      <c r="T14676" s="10"/>
    </row>
    <row r="14677" spans="20:20">
      <c r="T14677" s="10"/>
    </row>
    <row r="14678" spans="20:20">
      <c r="T14678" s="10"/>
    </row>
    <row r="14679" spans="20:20">
      <c r="T14679" s="10"/>
    </row>
    <row r="14680" spans="20:20">
      <c r="T14680" s="10"/>
    </row>
    <row r="14681" spans="20:20">
      <c r="T14681" s="10"/>
    </row>
    <row r="14682" spans="20:20">
      <c r="T14682" s="10"/>
    </row>
    <row r="14683" spans="20:20">
      <c r="T14683" s="10"/>
    </row>
    <row r="14684" spans="20:20">
      <c r="T14684" s="10"/>
    </row>
    <row r="14685" spans="20:20">
      <c r="T14685" s="10"/>
    </row>
    <row r="14686" spans="20:20">
      <c r="T14686" s="10"/>
    </row>
    <row r="14687" spans="20:20">
      <c r="T14687" s="10"/>
    </row>
    <row r="14688" spans="20:20">
      <c r="T14688" s="10"/>
    </row>
    <row r="14689" spans="20:20">
      <c r="T14689" s="10"/>
    </row>
    <row r="14690" spans="20:20">
      <c r="T14690" s="10"/>
    </row>
    <row r="14691" spans="20:20">
      <c r="T14691" s="10"/>
    </row>
    <row r="14692" spans="20:20">
      <c r="T14692" s="10"/>
    </row>
    <row r="14693" spans="20:20">
      <c r="T14693" s="10"/>
    </row>
    <row r="14694" spans="20:20">
      <c r="T14694" s="10"/>
    </row>
    <row r="14695" spans="20:20">
      <c r="T14695" s="10"/>
    </row>
    <row r="14696" spans="20:20">
      <c r="T14696" s="10"/>
    </row>
    <row r="14697" spans="20:20">
      <c r="T14697" s="10"/>
    </row>
    <row r="14698" spans="20:20">
      <c r="T14698" s="10"/>
    </row>
    <row r="14699" spans="20:20">
      <c r="T14699" s="10"/>
    </row>
    <row r="14700" spans="20:20">
      <c r="T14700" s="10"/>
    </row>
    <row r="14701" spans="20:20">
      <c r="T14701" s="10"/>
    </row>
    <row r="14702" spans="20:20">
      <c r="T14702" s="10"/>
    </row>
    <row r="14703" spans="20:20">
      <c r="T14703" s="10"/>
    </row>
    <row r="14704" spans="20:20">
      <c r="T14704" s="10"/>
    </row>
    <row r="14705" spans="20:20">
      <c r="T14705" s="10"/>
    </row>
    <row r="14706" spans="20:20">
      <c r="T14706" s="10"/>
    </row>
    <row r="14707" spans="20:20">
      <c r="T14707" s="10"/>
    </row>
    <row r="14708" spans="20:20">
      <c r="T14708" s="10"/>
    </row>
    <row r="14709" spans="20:20">
      <c r="T14709" s="10"/>
    </row>
    <row r="14710" spans="20:20">
      <c r="T14710" s="10"/>
    </row>
    <row r="14711" spans="20:20">
      <c r="T14711" s="10"/>
    </row>
    <row r="14712" spans="20:20">
      <c r="T14712" s="10"/>
    </row>
    <row r="14713" spans="20:20">
      <c r="T14713" s="10"/>
    </row>
    <row r="14714" spans="20:20">
      <c r="T14714" s="10"/>
    </row>
    <row r="14715" spans="20:20">
      <c r="T14715" s="10"/>
    </row>
    <row r="14716" spans="20:20">
      <c r="T14716" s="10"/>
    </row>
    <row r="14717" spans="20:20">
      <c r="T14717" s="10"/>
    </row>
    <row r="14718" spans="20:20">
      <c r="T14718" s="10"/>
    </row>
    <row r="14719" spans="20:20">
      <c r="T14719" s="10"/>
    </row>
    <row r="14720" spans="20:20">
      <c r="T14720" s="10"/>
    </row>
    <row r="14721" spans="20:20">
      <c r="T14721" s="10"/>
    </row>
    <row r="14722" spans="20:20">
      <c r="T14722" s="10"/>
    </row>
    <row r="14723" spans="20:20">
      <c r="T14723" s="10"/>
    </row>
    <row r="14724" spans="20:20">
      <c r="T14724" s="10"/>
    </row>
    <row r="14725" spans="20:20">
      <c r="T14725" s="10"/>
    </row>
    <row r="14726" spans="20:20">
      <c r="T14726" s="10"/>
    </row>
    <row r="14727" spans="20:20">
      <c r="T14727" s="10"/>
    </row>
    <row r="14728" spans="20:20">
      <c r="T14728" s="10"/>
    </row>
    <row r="14729" spans="20:20">
      <c r="T14729" s="10"/>
    </row>
    <row r="14730" spans="20:20">
      <c r="T14730" s="10"/>
    </row>
    <row r="14731" spans="20:20">
      <c r="T14731" s="10"/>
    </row>
    <row r="14732" spans="20:20">
      <c r="T14732" s="10"/>
    </row>
    <row r="14733" spans="20:20">
      <c r="T14733" s="10"/>
    </row>
    <row r="14734" spans="20:20">
      <c r="T14734" s="10"/>
    </row>
    <row r="14735" spans="20:20">
      <c r="T14735" s="10"/>
    </row>
    <row r="14736" spans="20:20">
      <c r="T14736" s="10"/>
    </row>
    <row r="14737" spans="20:20">
      <c r="T14737" s="10"/>
    </row>
    <row r="14738" spans="20:20">
      <c r="T14738" s="10"/>
    </row>
    <row r="14739" spans="20:20">
      <c r="T14739" s="10"/>
    </row>
    <row r="14740" spans="20:20">
      <c r="T14740" s="10"/>
    </row>
    <row r="14741" spans="20:20">
      <c r="T14741" s="10"/>
    </row>
    <row r="14742" spans="20:20">
      <c r="T14742" s="10"/>
    </row>
    <row r="14743" spans="20:20">
      <c r="T14743" s="10"/>
    </row>
    <row r="14744" spans="20:20">
      <c r="T14744" s="10"/>
    </row>
    <row r="14745" spans="20:20">
      <c r="T14745" s="10"/>
    </row>
    <row r="14746" spans="20:20">
      <c r="T14746" s="10"/>
    </row>
    <row r="14747" spans="20:20">
      <c r="T14747" s="10"/>
    </row>
    <row r="14748" spans="20:20">
      <c r="T14748" s="10"/>
    </row>
    <row r="14749" spans="20:20">
      <c r="T14749" s="10"/>
    </row>
    <row r="14750" spans="20:20">
      <c r="T14750" s="10"/>
    </row>
    <row r="14751" spans="20:20">
      <c r="T14751" s="10"/>
    </row>
    <row r="14752" spans="20:20">
      <c r="T14752" s="10"/>
    </row>
    <row r="14753" spans="20:20">
      <c r="T14753" s="10"/>
    </row>
    <row r="14754" spans="20:20">
      <c r="T14754" s="10"/>
    </row>
    <row r="14755" spans="20:20">
      <c r="T14755" s="10"/>
    </row>
    <row r="14756" spans="20:20">
      <c r="T14756" s="10"/>
    </row>
    <row r="14757" spans="20:20">
      <c r="T14757" s="10"/>
    </row>
    <row r="14758" spans="20:20">
      <c r="T14758" s="10"/>
    </row>
    <row r="14759" spans="20:20">
      <c r="T14759" s="10"/>
    </row>
    <row r="14760" spans="20:20">
      <c r="T14760" s="10"/>
    </row>
    <row r="14761" spans="20:20">
      <c r="T14761" s="10"/>
    </row>
    <row r="14762" spans="20:20">
      <c r="T14762" s="10"/>
    </row>
    <row r="14763" spans="20:20">
      <c r="T14763" s="10"/>
    </row>
    <row r="14764" spans="20:20">
      <c r="T14764" s="10"/>
    </row>
    <row r="14765" spans="20:20">
      <c r="T14765" s="10"/>
    </row>
    <row r="14766" spans="20:20">
      <c r="T14766" s="10"/>
    </row>
    <row r="14767" spans="20:20">
      <c r="T14767" s="10"/>
    </row>
    <row r="14768" spans="20:20">
      <c r="T14768" s="10"/>
    </row>
    <row r="14769" spans="20:20">
      <c r="T14769" s="10"/>
    </row>
    <row r="14770" spans="20:20">
      <c r="T14770" s="10"/>
    </row>
    <row r="14771" spans="20:20">
      <c r="T14771" s="10"/>
    </row>
    <row r="14772" spans="20:20">
      <c r="T14772" s="10"/>
    </row>
    <row r="14773" spans="20:20">
      <c r="T14773" s="10"/>
    </row>
    <row r="14774" spans="20:20">
      <c r="T14774" s="10"/>
    </row>
    <row r="14775" spans="20:20">
      <c r="T14775" s="10"/>
    </row>
    <row r="14776" spans="20:20">
      <c r="T14776" s="10"/>
    </row>
    <row r="14777" spans="20:20">
      <c r="T14777" s="10"/>
    </row>
    <row r="14778" spans="20:20">
      <c r="T14778" s="10"/>
    </row>
    <row r="14779" spans="20:20">
      <c r="T14779" s="10"/>
    </row>
    <row r="14780" spans="20:20">
      <c r="T14780" s="10"/>
    </row>
    <row r="14781" spans="20:20">
      <c r="T14781" s="10"/>
    </row>
    <row r="14782" spans="20:20">
      <c r="T14782" s="10"/>
    </row>
    <row r="14783" spans="20:20">
      <c r="T14783" s="10"/>
    </row>
    <row r="14784" spans="20:20">
      <c r="T14784" s="10"/>
    </row>
    <row r="14785" spans="20:20">
      <c r="T14785" s="10"/>
    </row>
    <row r="14786" spans="20:20">
      <c r="T14786" s="10"/>
    </row>
    <row r="14787" spans="20:20">
      <c r="T14787" s="10"/>
    </row>
    <row r="14788" spans="20:20">
      <c r="T14788" s="10"/>
    </row>
    <row r="14789" spans="20:20">
      <c r="T14789" s="10"/>
    </row>
    <row r="14790" spans="20:20">
      <c r="T14790" s="10"/>
    </row>
    <row r="14791" spans="20:20">
      <c r="T14791" s="10"/>
    </row>
    <row r="14792" spans="20:20">
      <c r="T14792" s="10"/>
    </row>
    <row r="14793" spans="20:20">
      <c r="T14793" s="10"/>
    </row>
    <row r="14794" spans="20:20">
      <c r="T14794" s="10"/>
    </row>
    <row r="14795" spans="20:20">
      <c r="T14795" s="10"/>
    </row>
    <row r="14796" spans="20:20">
      <c r="T14796" s="10"/>
    </row>
    <row r="14797" spans="20:20">
      <c r="T14797" s="10"/>
    </row>
    <row r="14798" spans="20:20">
      <c r="T14798" s="10"/>
    </row>
    <row r="14799" spans="20:20">
      <c r="T14799" s="10"/>
    </row>
    <row r="14800" spans="20:20">
      <c r="T14800" s="10"/>
    </row>
    <row r="14801" spans="20:20">
      <c r="T14801" s="10"/>
    </row>
    <row r="14802" spans="20:20">
      <c r="T14802" s="10"/>
    </row>
    <row r="14803" spans="20:20">
      <c r="T14803" s="10"/>
    </row>
    <row r="14804" spans="20:20">
      <c r="T14804" s="10"/>
    </row>
    <row r="14805" spans="20:20">
      <c r="T14805" s="10"/>
    </row>
    <row r="14806" spans="20:20">
      <c r="T14806" s="10"/>
    </row>
    <row r="14807" spans="20:20">
      <c r="T14807" s="10"/>
    </row>
    <row r="14808" spans="20:20">
      <c r="T14808" s="10"/>
    </row>
    <row r="14809" spans="20:20">
      <c r="T14809" s="10"/>
    </row>
    <row r="14810" spans="20:20">
      <c r="T14810" s="10"/>
    </row>
    <row r="14811" spans="20:20">
      <c r="T14811" s="10"/>
    </row>
    <row r="14812" spans="20:20">
      <c r="T14812" s="10"/>
    </row>
    <row r="14813" spans="20:20">
      <c r="T14813" s="10"/>
    </row>
    <row r="14814" spans="20:20">
      <c r="T14814" s="10"/>
    </row>
    <row r="14815" spans="20:20">
      <c r="T14815" s="10"/>
    </row>
    <row r="14816" spans="20:20">
      <c r="T14816" s="10"/>
    </row>
    <row r="14817" spans="20:20">
      <c r="T14817" s="10"/>
    </row>
    <row r="14818" spans="20:20">
      <c r="T14818" s="10"/>
    </row>
    <row r="14819" spans="20:20">
      <c r="T14819" s="10"/>
    </row>
    <row r="14820" spans="20:20">
      <c r="T14820" s="10"/>
    </row>
    <row r="14821" spans="20:20">
      <c r="T14821" s="10"/>
    </row>
    <row r="14822" spans="20:20">
      <c r="T14822" s="10"/>
    </row>
    <row r="14823" spans="20:20">
      <c r="T14823" s="10"/>
    </row>
    <row r="14824" spans="20:20">
      <c r="T14824" s="10"/>
    </row>
    <row r="14825" spans="20:20">
      <c r="T14825" s="10"/>
    </row>
    <row r="14826" spans="20:20">
      <c r="T14826" s="10"/>
    </row>
    <row r="14827" spans="20:20">
      <c r="T14827" s="10"/>
    </row>
    <row r="14828" spans="20:20">
      <c r="T14828" s="10"/>
    </row>
    <row r="14829" spans="20:20">
      <c r="T14829" s="10"/>
    </row>
    <row r="14830" spans="20:20">
      <c r="T14830" s="10"/>
    </row>
    <row r="14831" spans="20:20">
      <c r="T14831" s="10"/>
    </row>
    <row r="14832" spans="20:20">
      <c r="T14832" s="10"/>
    </row>
    <row r="14833" spans="20:20">
      <c r="T14833" s="10"/>
    </row>
    <row r="14834" spans="20:20">
      <c r="T14834" s="10"/>
    </row>
    <row r="14835" spans="20:20">
      <c r="T14835" s="10"/>
    </row>
    <row r="14836" spans="20:20">
      <c r="T14836" s="10"/>
    </row>
    <row r="14837" spans="20:20">
      <c r="T14837" s="10"/>
    </row>
    <row r="14838" spans="20:20">
      <c r="T14838" s="10"/>
    </row>
    <row r="14839" spans="20:20">
      <c r="T14839" s="10"/>
    </row>
    <row r="14840" spans="20:20">
      <c r="T14840" s="10"/>
    </row>
    <row r="14841" spans="20:20">
      <c r="T14841" s="10"/>
    </row>
    <row r="14842" spans="20:20">
      <c r="T14842" s="10"/>
    </row>
    <row r="14843" spans="20:20">
      <c r="T14843" s="10"/>
    </row>
    <row r="14844" spans="20:20">
      <c r="T14844" s="10"/>
    </row>
    <row r="14845" spans="20:20">
      <c r="T14845" s="10"/>
    </row>
    <row r="14846" spans="20:20">
      <c r="T14846" s="10"/>
    </row>
    <row r="14847" spans="20:20">
      <c r="T14847" s="10"/>
    </row>
    <row r="14848" spans="20:20">
      <c r="T14848" s="10"/>
    </row>
    <row r="14849" spans="20:20">
      <c r="T14849" s="10"/>
    </row>
    <row r="14850" spans="20:20">
      <c r="T14850" s="10"/>
    </row>
    <row r="14851" spans="20:20">
      <c r="T14851" s="10"/>
    </row>
    <row r="14852" spans="20:20">
      <c r="T14852" s="10"/>
    </row>
    <row r="14853" spans="20:20">
      <c r="T14853" s="10"/>
    </row>
    <row r="14854" spans="20:20">
      <c r="T14854" s="10"/>
    </row>
    <row r="14855" spans="20:20">
      <c r="T14855" s="10"/>
    </row>
    <row r="14856" spans="20:20">
      <c r="T14856" s="10"/>
    </row>
    <row r="14857" spans="20:20">
      <c r="T14857" s="10"/>
    </row>
    <row r="14858" spans="20:20">
      <c r="T14858" s="10"/>
    </row>
    <row r="14859" spans="20:20">
      <c r="T14859" s="10"/>
    </row>
    <row r="14860" spans="20:20">
      <c r="T14860" s="10"/>
    </row>
    <row r="14861" spans="20:20">
      <c r="T14861" s="10"/>
    </row>
    <row r="14862" spans="20:20">
      <c r="T14862" s="10"/>
    </row>
    <row r="14863" spans="20:20">
      <c r="T14863" s="10"/>
    </row>
    <row r="14864" spans="20:20">
      <c r="T14864" s="10"/>
    </row>
    <row r="14865" spans="20:20">
      <c r="T14865" s="10"/>
    </row>
    <row r="14866" spans="20:20">
      <c r="T14866" s="10"/>
    </row>
    <row r="14867" spans="20:20">
      <c r="T14867" s="10"/>
    </row>
    <row r="14868" spans="20:20">
      <c r="T14868" s="10"/>
    </row>
    <row r="14869" spans="20:20">
      <c r="T14869" s="10"/>
    </row>
    <row r="14870" spans="20:20">
      <c r="T14870" s="10"/>
    </row>
    <row r="14871" spans="20:20">
      <c r="T14871" s="10"/>
    </row>
    <row r="14872" spans="20:20">
      <c r="T14872" s="10"/>
    </row>
    <row r="14873" spans="20:20">
      <c r="T14873" s="10"/>
    </row>
    <row r="14874" spans="20:20">
      <c r="T14874" s="10"/>
    </row>
    <row r="14875" spans="20:20">
      <c r="T14875" s="10"/>
    </row>
    <row r="14876" spans="20:20">
      <c r="T14876" s="10"/>
    </row>
    <row r="14877" spans="20:20">
      <c r="T14877" s="10"/>
    </row>
    <row r="14878" spans="20:20">
      <c r="T14878" s="10"/>
    </row>
    <row r="14879" spans="20:20">
      <c r="T14879" s="10"/>
    </row>
    <row r="14880" spans="20:20">
      <c r="T14880" s="10"/>
    </row>
    <row r="14881" spans="20:20">
      <c r="T14881" s="10"/>
    </row>
    <row r="14882" spans="20:20">
      <c r="T14882" s="10"/>
    </row>
    <row r="14883" spans="20:20">
      <c r="T14883" s="10"/>
    </row>
    <row r="14884" spans="20:20">
      <c r="T14884" s="10"/>
    </row>
    <row r="14885" spans="20:20">
      <c r="T14885" s="10"/>
    </row>
    <row r="14886" spans="20:20">
      <c r="T14886" s="10"/>
    </row>
    <row r="14887" spans="20:20">
      <c r="T14887" s="10"/>
    </row>
    <row r="14888" spans="20:20">
      <c r="T14888" s="10"/>
    </row>
    <row r="14889" spans="20:20">
      <c r="T14889" s="10"/>
    </row>
    <row r="14890" spans="20:20">
      <c r="T14890" s="10"/>
    </row>
    <row r="14891" spans="20:20">
      <c r="T14891" s="10"/>
    </row>
    <row r="14892" spans="20:20">
      <c r="T14892" s="10"/>
    </row>
    <row r="14893" spans="20:20">
      <c r="T14893" s="10"/>
    </row>
    <row r="14894" spans="20:20">
      <c r="T14894" s="10"/>
    </row>
    <row r="14895" spans="20:20">
      <c r="T14895" s="10"/>
    </row>
    <row r="14896" spans="20:20">
      <c r="T14896" s="10"/>
    </row>
    <row r="14897" spans="20:20">
      <c r="T14897" s="10"/>
    </row>
    <row r="14898" spans="20:20">
      <c r="T14898" s="10"/>
    </row>
    <row r="14899" spans="20:20">
      <c r="T14899" s="10"/>
    </row>
    <row r="14900" spans="20:20">
      <c r="T14900" s="10"/>
    </row>
    <row r="14901" spans="20:20">
      <c r="T14901" s="10"/>
    </row>
    <row r="14902" spans="20:20">
      <c r="T14902" s="10"/>
    </row>
    <row r="14903" spans="20:20">
      <c r="T14903" s="10"/>
    </row>
    <row r="14904" spans="20:20">
      <c r="T14904" s="10"/>
    </row>
    <row r="14905" spans="20:20">
      <c r="T14905" s="10"/>
    </row>
    <row r="14906" spans="20:20">
      <c r="T14906" s="10"/>
    </row>
    <row r="14907" spans="20:20">
      <c r="T14907" s="10"/>
    </row>
    <row r="14908" spans="20:20">
      <c r="T14908" s="10"/>
    </row>
    <row r="14909" spans="20:20">
      <c r="T14909" s="10"/>
    </row>
    <row r="14910" spans="20:20">
      <c r="T14910" s="10"/>
    </row>
    <row r="14911" spans="20:20">
      <c r="T14911" s="10"/>
    </row>
    <row r="14912" spans="20:20">
      <c r="T14912" s="10"/>
    </row>
    <row r="14913" spans="20:20">
      <c r="T14913" s="10"/>
    </row>
    <row r="14914" spans="20:20">
      <c r="T14914" s="10"/>
    </row>
    <row r="14915" spans="20:20">
      <c r="T14915" s="10"/>
    </row>
    <row r="14916" spans="20:20">
      <c r="T14916" s="10"/>
    </row>
    <row r="14917" spans="20:20">
      <c r="T14917" s="10"/>
    </row>
    <row r="14918" spans="20:20">
      <c r="T14918" s="10"/>
    </row>
    <row r="14919" spans="20:20">
      <c r="T14919" s="10"/>
    </row>
    <row r="14920" spans="20:20">
      <c r="T14920" s="10"/>
    </row>
    <row r="14921" spans="20:20">
      <c r="T14921" s="10"/>
    </row>
    <row r="14922" spans="20:20">
      <c r="T14922" s="10"/>
    </row>
    <row r="14923" spans="20:20">
      <c r="T14923" s="10"/>
    </row>
    <row r="14924" spans="20:20">
      <c r="T14924" s="10"/>
    </row>
    <row r="14925" spans="20:20">
      <c r="T14925" s="10"/>
    </row>
    <row r="14926" spans="20:20">
      <c r="T14926" s="10"/>
    </row>
    <row r="14927" spans="20:20">
      <c r="T14927" s="10"/>
    </row>
    <row r="14928" spans="20:20">
      <c r="T14928" s="10"/>
    </row>
    <row r="14929" spans="20:20">
      <c r="T14929" s="10"/>
    </row>
    <row r="14930" spans="20:20">
      <c r="T14930" s="10"/>
    </row>
    <row r="14931" spans="20:20">
      <c r="T14931" s="10"/>
    </row>
    <row r="14932" spans="20:20">
      <c r="T14932" s="10"/>
    </row>
    <row r="14933" spans="20:20">
      <c r="T14933" s="10"/>
    </row>
    <row r="14934" spans="20:20">
      <c r="T14934" s="10"/>
    </row>
    <row r="14935" spans="20:20">
      <c r="T14935" s="10"/>
    </row>
    <row r="14936" spans="20:20">
      <c r="T14936" s="10"/>
    </row>
    <row r="14937" spans="20:20">
      <c r="T14937" s="10"/>
    </row>
    <row r="14938" spans="20:20">
      <c r="T14938" s="10"/>
    </row>
    <row r="14939" spans="20:20">
      <c r="T14939" s="10"/>
    </row>
    <row r="14940" spans="20:20">
      <c r="T14940" s="10"/>
    </row>
    <row r="14941" spans="20:20">
      <c r="T14941" s="10"/>
    </row>
    <row r="14942" spans="20:20">
      <c r="T14942" s="10"/>
    </row>
    <row r="14943" spans="20:20">
      <c r="T14943" s="10"/>
    </row>
    <row r="14944" spans="20:20">
      <c r="T14944" s="10"/>
    </row>
    <row r="14945" spans="20:20">
      <c r="T14945" s="10"/>
    </row>
    <row r="14946" spans="20:20">
      <c r="T14946" s="10"/>
    </row>
    <row r="14947" spans="20:20">
      <c r="T14947" s="10"/>
    </row>
    <row r="14948" spans="20:20">
      <c r="T14948" s="10"/>
    </row>
    <row r="14949" spans="20:20">
      <c r="T14949" s="10"/>
    </row>
    <row r="14950" spans="20:20">
      <c r="T14950" s="10"/>
    </row>
    <row r="14951" spans="20:20">
      <c r="T14951" s="10"/>
    </row>
    <row r="14952" spans="20:20">
      <c r="T14952" s="10"/>
    </row>
    <row r="14953" spans="20:20">
      <c r="T14953" s="10"/>
    </row>
    <row r="14954" spans="20:20">
      <c r="T14954" s="10"/>
    </row>
    <row r="14955" spans="20:20">
      <c r="T14955" s="10"/>
    </row>
    <row r="14956" spans="20:20">
      <c r="T14956" s="10"/>
    </row>
    <row r="14957" spans="20:20">
      <c r="T14957" s="10"/>
    </row>
    <row r="14958" spans="20:20">
      <c r="T14958" s="10"/>
    </row>
    <row r="14959" spans="20:20">
      <c r="T14959" s="10"/>
    </row>
    <row r="14960" spans="20:20">
      <c r="T14960" s="10"/>
    </row>
    <row r="14961" spans="20:20">
      <c r="T14961" s="10"/>
    </row>
    <row r="14962" spans="20:20">
      <c r="T14962" s="10"/>
    </row>
    <row r="14963" spans="20:20">
      <c r="T14963" s="10"/>
    </row>
    <row r="14964" spans="20:20">
      <c r="T14964" s="10"/>
    </row>
    <row r="14965" spans="20:20">
      <c r="T14965" s="10"/>
    </row>
    <row r="14966" spans="20:20">
      <c r="T14966" s="10"/>
    </row>
    <row r="14967" spans="20:20">
      <c r="T14967" s="10"/>
    </row>
    <row r="14968" spans="20:20">
      <c r="T14968" s="10"/>
    </row>
    <row r="14969" spans="20:20">
      <c r="T14969" s="10"/>
    </row>
    <row r="14970" spans="20:20">
      <c r="T14970" s="10"/>
    </row>
    <row r="14971" spans="20:20">
      <c r="T14971" s="10"/>
    </row>
    <row r="14972" spans="20:20">
      <c r="T14972" s="10"/>
    </row>
    <row r="14973" spans="20:20">
      <c r="T14973" s="10"/>
    </row>
    <row r="14974" spans="20:20">
      <c r="T14974" s="10"/>
    </row>
    <row r="14975" spans="20:20">
      <c r="T14975" s="10"/>
    </row>
    <row r="14976" spans="20:20">
      <c r="T14976" s="10"/>
    </row>
    <row r="14977" spans="20:20">
      <c r="T14977" s="10"/>
    </row>
    <row r="14978" spans="20:20">
      <c r="T14978" s="10"/>
    </row>
    <row r="14979" spans="20:20">
      <c r="T14979" s="10"/>
    </row>
    <row r="14980" spans="20:20">
      <c r="T14980" s="10"/>
    </row>
    <row r="14981" spans="20:20">
      <c r="T14981" s="10"/>
    </row>
    <row r="14982" spans="20:20">
      <c r="T14982" s="10"/>
    </row>
    <row r="14983" spans="20:20">
      <c r="T14983" s="10"/>
    </row>
    <row r="14984" spans="20:20">
      <c r="T14984" s="10"/>
    </row>
    <row r="14985" spans="20:20">
      <c r="T14985" s="10"/>
    </row>
    <row r="14986" spans="20:20">
      <c r="T14986" s="10"/>
    </row>
    <row r="14987" spans="20:20">
      <c r="T14987" s="10"/>
    </row>
    <row r="14988" spans="20:20">
      <c r="T14988" s="10"/>
    </row>
    <row r="14989" spans="20:20">
      <c r="T14989" s="10"/>
    </row>
    <row r="14990" spans="20:20">
      <c r="T14990" s="10"/>
    </row>
    <row r="14991" spans="20:20">
      <c r="T14991" s="10"/>
    </row>
    <row r="14992" spans="20:20">
      <c r="T14992" s="10"/>
    </row>
    <row r="14993" spans="20:20">
      <c r="T14993" s="10"/>
    </row>
    <row r="14994" spans="20:20">
      <c r="T14994" s="10"/>
    </row>
    <row r="14995" spans="20:20">
      <c r="T14995" s="10"/>
    </row>
    <row r="14996" spans="20:20">
      <c r="T14996" s="10"/>
    </row>
    <row r="14997" spans="20:20">
      <c r="T14997" s="10"/>
    </row>
    <row r="14998" spans="20:20">
      <c r="T14998" s="10"/>
    </row>
    <row r="14999" spans="20:20">
      <c r="T14999" s="10"/>
    </row>
    <row r="15000" spans="20:20">
      <c r="T15000" s="10"/>
    </row>
    <row r="15001" spans="20:20">
      <c r="T15001" s="10"/>
    </row>
    <row r="15002" spans="20:20">
      <c r="T15002" s="10"/>
    </row>
    <row r="15003" spans="20:20">
      <c r="T15003" s="10"/>
    </row>
    <row r="15004" spans="20:20">
      <c r="T15004" s="10"/>
    </row>
    <row r="15005" spans="20:20">
      <c r="T15005" s="10"/>
    </row>
    <row r="15006" spans="20:20">
      <c r="T15006" s="10"/>
    </row>
    <row r="15007" spans="20:20">
      <c r="T15007" s="10"/>
    </row>
    <row r="15008" spans="20:20">
      <c r="T15008" s="10"/>
    </row>
    <row r="15009" spans="20:20">
      <c r="T15009" s="10"/>
    </row>
    <row r="15010" spans="20:20">
      <c r="T15010" s="10"/>
    </row>
    <row r="15011" spans="20:20">
      <c r="T15011" s="10"/>
    </row>
    <row r="15012" spans="20:20">
      <c r="T15012" s="10"/>
    </row>
    <row r="15013" spans="20:20">
      <c r="T15013" s="10"/>
    </row>
    <row r="15014" spans="20:20">
      <c r="T15014" s="10"/>
    </row>
    <row r="15015" spans="20:20">
      <c r="T15015" s="10"/>
    </row>
    <row r="15016" spans="20:20">
      <c r="T15016" s="10"/>
    </row>
    <row r="15017" spans="20:20">
      <c r="T15017" s="10"/>
    </row>
    <row r="15018" spans="20:20">
      <c r="T15018" s="10"/>
    </row>
    <row r="15019" spans="20:20">
      <c r="T15019" s="10"/>
    </row>
    <row r="15020" spans="20:20">
      <c r="T15020" s="10"/>
    </row>
    <row r="15021" spans="20:20">
      <c r="T15021" s="10"/>
    </row>
    <row r="15022" spans="20:20">
      <c r="T15022" s="10"/>
    </row>
    <row r="15023" spans="20:20">
      <c r="T15023" s="10"/>
    </row>
    <row r="15024" spans="20:20">
      <c r="T15024" s="10"/>
    </row>
    <row r="15025" spans="20:20">
      <c r="T15025" s="10"/>
    </row>
    <row r="15026" spans="20:20">
      <c r="T15026" s="10"/>
    </row>
    <row r="15027" spans="20:20">
      <c r="T15027" s="10"/>
    </row>
    <row r="15028" spans="20:20">
      <c r="T15028" s="10"/>
    </row>
    <row r="15029" spans="20:20">
      <c r="T15029" s="10"/>
    </row>
    <row r="15030" spans="20:20">
      <c r="T15030" s="10"/>
    </row>
    <row r="15031" spans="20:20">
      <c r="T15031" s="10"/>
    </row>
    <row r="15032" spans="20:20">
      <c r="T15032" s="10"/>
    </row>
    <row r="15033" spans="20:20">
      <c r="T15033" s="10"/>
    </row>
    <row r="15034" spans="20:20">
      <c r="T15034" s="10"/>
    </row>
    <row r="15035" spans="20:20">
      <c r="T15035" s="10"/>
    </row>
    <row r="15036" spans="20:20">
      <c r="T15036" s="10"/>
    </row>
    <row r="15037" spans="20:20">
      <c r="T15037" s="10"/>
    </row>
    <row r="15038" spans="20:20">
      <c r="T15038" s="10"/>
    </row>
    <row r="15039" spans="20:20">
      <c r="T15039" s="10"/>
    </row>
    <row r="15040" spans="20:20">
      <c r="T15040" s="10"/>
    </row>
    <row r="15041" spans="20:20">
      <c r="T15041" s="10"/>
    </row>
    <row r="15042" spans="20:20">
      <c r="T15042" s="10"/>
    </row>
    <row r="15043" spans="20:20">
      <c r="T15043" s="10"/>
    </row>
    <row r="15044" spans="20:20">
      <c r="T15044" s="10"/>
    </row>
    <row r="15045" spans="20:20">
      <c r="T15045" s="10"/>
    </row>
    <row r="15046" spans="20:20">
      <c r="T15046" s="10"/>
    </row>
    <row r="15047" spans="20:20">
      <c r="T15047" s="10"/>
    </row>
    <row r="15048" spans="20:20">
      <c r="T15048" s="10"/>
    </row>
    <row r="15049" spans="20:20">
      <c r="T15049" s="10"/>
    </row>
    <row r="15050" spans="20:20">
      <c r="T15050" s="10"/>
    </row>
    <row r="15051" spans="20:20">
      <c r="T15051" s="10"/>
    </row>
    <row r="15052" spans="20:20">
      <c r="T15052" s="10"/>
    </row>
    <row r="15053" spans="20:20">
      <c r="T15053" s="10"/>
    </row>
    <row r="15054" spans="20:20">
      <c r="T15054" s="10"/>
    </row>
    <row r="15055" spans="20:20">
      <c r="T15055" s="10"/>
    </row>
    <row r="15056" spans="20:20">
      <c r="T15056" s="10"/>
    </row>
    <row r="15057" spans="20:20">
      <c r="T15057" s="10"/>
    </row>
    <row r="15058" spans="20:20">
      <c r="T15058" s="10"/>
    </row>
    <row r="15059" spans="20:20">
      <c r="T15059" s="10"/>
    </row>
    <row r="15060" spans="20:20">
      <c r="T15060" s="10"/>
    </row>
    <row r="15061" spans="20:20">
      <c r="T15061" s="10"/>
    </row>
    <row r="15062" spans="20:20">
      <c r="T15062" s="10"/>
    </row>
    <row r="15063" spans="20:20">
      <c r="T15063" s="10"/>
    </row>
    <row r="15064" spans="20:20">
      <c r="T15064" s="10"/>
    </row>
    <row r="15065" spans="20:20">
      <c r="T15065" s="10"/>
    </row>
    <row r="15066" spans="20:20">
      <c r="T15066" s="10"/>
    </row>
    <row r="15067" spans="20:20">
      <c r="T15067" s="10"/>
    </row>
    <row r="15068" spans="20:20">
      <c r="T15068" s="10"/>
    </row>
    <row r="15069" spans="20:20">
      <c r="T15069" s="10"/>
    </row>
    <row r="15070" spans="20:20">
      <c r="T15070" s="10"/>
    </row>
    <row r="15071" spans="20:20">
      <c r="T15071" s="10"/>
    </row>
    <row r="15072" spans="20:20">
      <c r="T15072" s="10"/>
    </row>
    <row r="15073" spans="20:20">
      <c r="T15073" s="10"/>
    </row>
    <row r="15074" spans="20:20">
      <c r="T15074" s="10"/>
    </row>
    <row r="15075" spans="20:20">
      <c r="T15075" s="10"/>
    </row>
    <row r="15076" spans="20:20">
      <c r="T15076" s="10"/>
    </row>
    <row r="15077" spans="20:20">
      <c r="T15077" s="10"/>
    </row>
    <row r="15078" spans="20:20">
      <c r="T15078" s="10"/>
    </row>
    <row r="15079" spans="20:20">
      <c r="T15079" s="10"/>
    </row>
    <row r="15080" spans="20:20">
      <c r="T15080" s="10"/>
    </row>
    <row r="15081" spans="20:20">
      <c r="T15081" s="10"/>
    </row>
    <row r="15082" spans="20:20">
      <c r="T15082" s="10"/>
    </row>
    <row r="15083" spans="20:20">
      <c r="T15083" s="10"/>
    </row>
    <row r="15084" spans="20:20">
      <c r="T15084" s="10"/>
    </row>
    <row r="15085" spans="20:20">
      <c r="T15085" s="10"/>
    </row>
    <row r="15086" spans="20:20">
      <c r="T15086" s="10"/>
    </row>
    <row r="15087" spans="20:20">
      <c r="T15087" s="10"/>
    </row>
    <row r="15088" spans="20:20">
      <c r="T15088" s="10"/>
    </row>
    <row r="15089" spans="20:20">
      <c r="T15089" s="10"/>
    </row>
    <row r="15090" spans="20:20">
      <c r="T15090" s="10"/>
    </row>
    <row r="15091" spans="20:20">
      <c r="T15091" s="10"/>
    </row>
    <row r="15092" spans="20:20">
      <c r="T15092" s="10"/>
    </row>
    <row r="15093" spans="20:20">
      <c r="T15093" s="10"/>
    </row>
    <row r="15094" spans="20:20">
      <c r="T15094" s="10"/>
    </row>
    <row r="15095" spans="20:20">
      <c r="T15095" s="10"/>
    </row>
    <row r="15096" spans="20:20">
      <c r="T15096" s="10"/>
    </row>
    <row r="15097" spans="20:20">
      <c r="T15097" s="10"/>
    </row>
    <row r="15098" spans="20:20">
      <c r="T15098" s="10"/>
    </row>
    <row r="15099" spans="20:20">
      <c r="T15099" s="10"/>
    </row>
    <row r="15100" spans="20:20">
      <c r="T15100" s="10"/>
    </row>
    <row r="15101" spans="20:20">
      <c r="T15101" s="10"/>
    </row>
    <row r="15102" spans="20:20">
      <c r="T15102" s="10"/>
    </row>
    <row r="15103" spans="20:20">
      <c r="T15103" s="10"/>
    </row>
    <row r="15104" spans="20:20">
      <c r="T15104" s="10"/>
    </row>
    <row r="15105" spans="20:20">
      <c r="T15105" s="10"/>
    </row>
    <row r="15106" spans="20:20">
      <c r="T15106" s="10"/>
    </row>
    <row r="15107" spans="20:20">
      <c r="T15107" s="10"/>
    </row>
    <row r="15108" spans="20:20">
      <c r="T15108" s="10"/>
    </row>
    <row r="15109" spans="20:20">
      <c r="T15109" s="10"/>
    </row>
    <row r="15110" spans="20:20">
      <c r="T15110" s="10"/>
    </row>
    <row r="15111" spans="20:20">
      <c r="T15111" s="10"/>
    </row>
    <row r="15112" spans="20:20">
      <c r="T15112" s="10"/>
    </row>
    <row r="15113" spans="20:20">
      <c r="T15113" s="10"/>
    </row>
    <row r="15114" spans="20:20">
      <c r="T15114" s="10"/>
    </row>
    <row r="15115" spans="20:20">
      <c r="T15115" s="10"/>
    </row>
    <row r="15116" spans="20:20">
      <c r="T15116" s="10"/>
    </row>
    <row r="15117" spans="20:20">
      <c r="T15117" s="10"/>
    </row>
    <row r="15118" spans="20:20">
      <c r="T15118" s="10"/>
    </row>
    <row r="15119" spans="20:20">
      <c r="T15119" s="10"/>
    </row>
    <row r="15120" spans="20:20">
      <c r="T15120" s="10"/>
    </row>
    <row r="15121" spans="20:20">
      <c r="T15121" s="10"/>
    </row>
    <row r="15122" spans="20:20">
      <c r="T15122" s="10"/>
    </row>
    <row r="15123" spans="20:20">
      <c r="T15123" s="10"/>
    </row>
    <row r="15124" spans="20:20">
      <c r="T15124" s="10"/>
    </row>
    <row r="15125" spans="20:20">
      <c r="T15125" s="10"/>
    </row>
    <row r="15126" spans="20:20">
      <c r="T15126" s="10"/>
    </row>
    <row r="15127" spans="20:20">
      <c r="T15127" s="10"/>
    </row>
    <row r="15128" spans="20:20">
      <c r="T15128" s="10"/>
    </row>
    <row r="15129" spans="20:20">
      <c r="T15129" s="10"/>
    </row>
    <row r="15130" spans="20:20">
      <c r="T15130" s="10"/>
    </row>
    <row r="15131" spans="20:20">
      <c r="T15131" s="10"/>
    </row>
    <row r="15132" spans="20:20">
      <c r="T15132" s="10"/>
    </row>
    <row r="15133" spans="20:20">
      <c r="T15133" s="10"/>
    </row>
    <row r="15134" spans="20:20">
      <c r="T15134" s="10"/>
    </row>
    <row r="15135" spans="20:20">
      <c r="T15135" s="10"/>
    </row>
    <row r="15136" spans="20:20">
      <c r="T15136" s="10"/>
    </row>
    <row r="15137" spans="20:20">
      <c r="T15137" s="10"/>
    </row>
    <row r="15138" spans="20:20">
      <c r="T15138" s="10"/>
    </row>
    <row r="15139" spans="20:20">
      <c r="T15139" s="10"/>
    </row>
    <row r="15140" spans="20:20">
      <c r="T15140" s="10"/>
    </row>
    <row r="15141" spans="20:20">
      <c r="T15141" s="10"/>
    </row>
    <row r="15142" spans="20:20">
      <c r="T15142" s="10"/>
    </row>
    <row r="15143" spans="20:20">
      <c r="T15143" s="10"/>
    </row>
    <row r="15144" spans="20:20">
      <c r="T15144" s="10"/>
    </row>
    <row r="15145" spans="20:20">
      <c r="T15145" s="10"/>
    </row>
    <row r="15146" spans="20:20">
      <c r="T15146" s="10"/>
    </row>
    <row r="15147" spans="20:20">
      <c r="T15147" s="10"/>
    </row>
    <row r="15148" spans="20:20">
      <c r="T15148" s="10"/>
    </row>
    <row r="15149" spans="20:20">
      <c r="T15149" s="10"/>
    </row>
    <row r="15150" spans="20:20">
      <c r="T15150" s="10"/>
    </row>
    <row r="15151" spans="20:20">
      <c r="T15151" s="10"/>
    </row>
    <row r="15152" spans="20:20">
      <c r="T15152" s="10"/>
    </row>
    <row r="15153" spans="20:20">
      <c r="T15153" s="10"/>
    </row>
    <row r="15154" spans="20:20">
      <c r="T15154" s="10"/>
    </row>
    <row r="15155" spans="20:20">
      <c r="T15155" s="10"/>
    </row>
    <row r="15156" spans="20:20">
      <c r="T15156" s="10"/>
    </row>
    <row r="15157" spans="20:20">
      <c r="T15157" s="10"/>
    </row>
    <row r="15158" spans="20:20">
      <c r="T15158" s="10"/>
    </row>
    <row r="15159" spans="20:20">
      <c r="T15159" s="10"/>
    </row>
    <row r="15160" spans="20:20">
      <c r="T15160" s="10"/>
    </row>
    <row r="15161" spans="20:20">
      <c r="T15161" s="10"/>
    </row>
    <row r="15162" spans="20:20">
      <c r="T15162" s="10"/>
    </row>
    <row r="15163" spans="20:20">
      <c r="T15163" s="10"/>
    </row>
    <row r="15164" spans="20:20">
      <c r="T15164" s="10"/>
    </row>
    <row r="15165" spans="20:20">
      <c r="T15165" s="10"/>
    </row>
    <row r="15166" spans="20:20">
      <c r="T15166" s="10"/>
    </row>
    <row r="15167" spans="20:20">
      <c r="T15167" s="10"/>
    </row>
    <row r="15168" spans="20:20">
      <c r="T15168" s="10"/>
    </row>
    <row r="15169" spans="20:20">
      <c r="T15169" s="10"/>
    </row>
    <row r="15170" spans="20:20">
      <c r="T15170" s="10"/>
    </row>
    <row r="15171" spans="20:20">
      <c r="T15171" s="10"/>
    </row>
    <row r="15172" spans="20:20">
      <c r="T15172" s="10"/>
    </row>
    <row r="15173" spans="20:20">
      <c r="T15173" s="10"/>
    </row>
    <row r="15174" spans="20:20">
      <c r="T15174" s="10"/>
    </row>
    <row r="15175" spans="20:20">
      <c r="T15175" s="10"/>
    </row>
    <row r="15176" spans="20:20">
      <c r="T15176" s="10"/>
    </row>
    <row r="15177" spans="20:20">
      <c r="T15177" s="10"/>
    </row>
    <row r="15178" spans="20:20">
      <c r="T15178" s="10"/>
    </row>
    <row r="15179" spans="20:20">
      <c r="T15179" s="10"/>
    </row>
    <row r="15180" spans="20:20">
      <c r="T15180" s="10"/>
    </row>
    <row r="15181" spans="20:20">
      <c r="T15181" s="10"/>
    </row>
    <row r="15182" spans="20:20">
      <c r="T15182" s="10"/>
    </row>
    <row r="15183" spans="20:20">
      <c r="T15183" s="10"/>
    </row>
    <row r="15184" spans="20:20">
      <c r="T15184" s="10"/>
    </row>
    <row r="15185" spans="20:20">
      <c r="T15185" s="10"/>
    </row>
    <row r="15186" spans="20:20">
      <c r="T15186" s="10"/>
    </row>
    <row r="15187" spans="20:20">
      <c r="T15187" s="10"/>
    </row>
    <row r="15188" spans="20:20">
      <c r="T15188" s="10"/>
    </row>
    <row r="15189" spans="20:20">
      <c r="T15189" s="10"/>
    </row>
    <row r="15190" spans="20:20">
      <c r="T15190" s="10"/>
    </row>
    <row r="15191" spans="20:20">
      <c r="T15191" s="10"/>
    </row>
    <row r="15192" spans="20:20">
      <c r="T15192" s="10"/>
    </row>
    <row r="15193" spans="20:20">
      <c r="T15193" s="10"/>
    </row>
    <row r="15194" spans="20:20">
      <c r="T15194" s="10"/>
    </row>
    <row r="15195" spans="20:20">
      <c r="T15195" s="10"/>
    </row>
    <row r="15196" spans="20:20">
      <c r="T15196" s="10"/>
    </row>
    <row r="15197" spans="20:20">
      <c r="T15197" s="10"/>
    </row>
    <row r="15198" spans="20:20">
      <c r="T15198" s="10"/>
    </row>
    <row r="15199" spans="20:20">
      <c r="T15199" s="10"/>
    </row>
    <row r="15200" spans="20:20">
      <c r="T15200" s="10"/>
    </row>
    <row r="15201" spans="20:20">
      <c r="T15201" s="10"/>
    </row>
    <row r="15202" spans="20:20">
      <c r="T15202" s="10"/>
    </row>
    <row r="15203" spans="20:20">
      <c r="T15203" s="10"/>
    </row>
    <row r="15204" spans="20:20">
      <c r="T15204" s="10"/>
    </row>
    <row r="15205" spans="20:20">
      <c r="T15205" s="10"/>
    </row>
    <row r="15206" spans="20:20">
      <c r="T15206" s="10"/>
    </row>
    <row r="15207" spans="20:20">
      <c r="T15207" s="10"/>
    </row>
    <row r="15208" spans="20:20">
      <c r="T15208" s="10"/>
    </row>
    <row r="15209" spans="20:20">
      <c r="T15209" s="10"/>
    </row>
    <row r="15210" spans="20:20">
      <c r="T15210" s="10"/>
    </row>
    <row r="15211" spans="20:20">
      <c r="T15211" s="10"/>
    </row>
    <row r="15212" spans="20:20">
      <c r="T15212" s="10"/>
    </row>
    <row r="15213" spans="20:20">
      <c r="T15213" s="10"/>
    </row>
    <row r="15214" spans="20:20">
      <c r="T15214" s="10"/>
    </row>
    <row r="15215" spans="20:20">
      <c r="T15215" s="10"/>
    </row>
    <row r="15216" spans="20:20">
      <c r="T15216" s="10"/>
    </row>
    <row r="15217" spans="20:20">
      <c r="T15217" s="10"/>
    </row>
    <row r="15218" spans="20:20">
      <c r="T15218" s="10"/>
    </row>
    <row r="15219" spans="20:20">
      <c r="T15219" s="10"/>
    </row>
    <row r="15220" spans="20:20">
      <c r="T15220" s="10"/>
    </row>
    <row r="15221" spans="20:20">
      <c r="T15221" s="10"/>
    </row>
    <row r="15222" spans="20:20">
      <c r="T15222" s="10"/>
    </row>
    <row r="15223" spans="20:20">
      <c r="T15223" s="10"/>
    </row>
    <row r="15224" spans="20:20">
      <c r="T15224" s="10"/>
    </row>
    <row r="15225" spans="20:20">
      <c r="T15225" s="10"/>
    </row>
    <row r="15226" spans="20:20">
      <c r="T15226" s="10"/>
    </row>
    <row r="15227" spans="20:20">
      <c r="T15227" s="10"/>
    </row>
    <row r="15228" spans="20:20">
      <c r="T15228" s="10"/>
    </row>
    <row r="15229" spans="20:20">
      <c r="T15229" s="10"/>
    </row>
    <row r="15230" spans="20:20">
      <c r="T15230" s="10"/>
    </row>
    <row r="15231" spans="20:20">
      <c r="T15231" s="10"/>
    </row>
    <row r="15232" spans="20:20">
      <c r="T15232" s="10"/>
    </row>
    <row r="15233" spans="20:20">
      <c r="T15233" s="10"/>
    </row>
    <row r="15234" spans="20:20">
      <c r="T15234" s="10"/>
    </row>
    <row r="15235" spans="20:20">
      <c r="T15235" s="10"/>
    </row>
    <row r="15236" spans="20:20">
      <c r="T15236" s="10"/>
    </row>
    <row r="15237" spans="20:20">
      <c r="T15237" s="10"/>
    </row>
    <row r="15238" spans="20:20">
      <c r="T15238" s="10"/>
    </row>
    <row r="15239" spans="20:20">
      <c r="T15239" s="10"/>
    </row>
    <row r="15240" spans="20:20">
      <c r="T15240" s="10"/>
    </row>
    <row r="15241" spans="20:20">
      <c r="T15241" s="10"/>
    </row>
    <row r="15242" spans="20:20">
      <c r="T15242" s="10"/>
    </row>
    <row r="15243" spans="20:20">
      <c r="T15243" s="10"/>
    </row>
    <row r="15244" spans="20:20">
      <c r="T15244" s="10"/>
    </row>
    <row r="15245" spans="20:20">
      <c r="T15245" s="10"/>
    </row>
    <row r="15246" spans="20:20">
      <c r="T15246" s="10"/>
    </row>
    <row r="15247" spans="20:20">
      <c r="T15247" s="10"/>
    </row>
    <row r="15248" spans="20:20">
      <c r="T15248" s="10"/>
    </row>
    <row r="15249" spans="20:20">
      <c r="T15249" s="10"/>
    </row>
    <row r="15250" spans="20:20">
      <c r="T15250" s="10"/>
    </row>
    <row r="15251" spans="20:20">
      <c r="T15251" s="10"/>
    </row>
    <row r="15252" spans="20:20">
      <c r="T15252" s="10"/>
    </row>
    <row r="15253" spans="20:20">
      <c r="T15253" s="10"/>
    </row>
    <row r="15254" spans="20:20">
      <c r="T15254" s="10"/>
    </row>
    <row r="15255" spans="20:20">
      <c r="T15255" s="10"/>
    </row>
    <row r="15256" spans="20:20">
      <c r="T15256" s="10"/>
    </row>
    <row r="15257" spans="20:20">
      <c r="T15257" s="10"/>
    </row>
    <row r="15258" spans="20:20">
      <c r="T15258" s="10"/>
    </row>
    <row r="15259" spans="20:20">
      <c r="T15259" s="10"/>
    </row>
    <row r="15260" spans="20:20">
      <c r="T15260" s="10"/>
    </row>
    <row r="15261" spans="20:20">
      <c r="T15261" s="10"/>
    </row>
    <row r="15262" spans="20:20">
      <c r="T15262" s="10"/>
    </row>
    <row r="15263" spans="20:20">
      <c r="T15263" s="10"/>
    </row>
    <row r="15264" spans="20:20">
      <c r="T15264" s="10"/>
    </row>
    <row r="15265" spans="20:20">
      <c r="T15265" s="10"/>
    </row>
    <row r="15266" spans="20:20">
      <c r="T15266" s="10"/>
    </row>
    <row r="15267" spans="20:20">
      <c r="T15267" s="10"/>
    </row>
    <row r="15268" spans="20:20">
      <c r="T15268" s="10"/>
    </row>
    <row r="15269" spans="20:20">
      <c r="T15269" s="10"/>
    </row>
    <row r="15270" spans="20:20">
      <c r="T15270" s="10"/>
    </row>
    <row r="15271" spans="20:20">
      <c r="T15271" s="10"/>
    </row>
    <row r="15272" spans="20:20">
      <c r="T15272" s="10"/>
    </row>
    <row r="15273" spans="20:20">
      <c r="T15273" s="10"/>
    </row>
    <row r="15274" spans="20:20">
      <c r="T15274" s="10"/>
    </row>
    <row r="15275" spans="20:20">
      <c r="T15275" s="10"/>
    </row>
    <row r="15276" spans="20:20">
      <c r="T15276" s="10"/>
    </row>
    <row r="15277" spans="20:20">
      <c r="T15277" s="10"/>
    </row>
    <row r="15278" spans="20:20">
      <c r="T15278" s="10"/>
    </row>
    <row r="15279" spans="20:20">
      <c r="T15279" s="10"/>
    </row>
    <row r="15280" spans="20:20">
      <c r="T15280" s="10"/>
    </row>
    <row r="15281" spans="20:20">
      <c r="T15281" s="10"/>
    </row>
    <row r="15282" spans="20:20">
      <c r="T15282" s="10"/>
    </row>
    <row r="15283" spans="20:20">
      <c r="T15283" s="10"/>
    </row>
    <row r="15284" spans="20:20">
      <c r="T15284" s="10"/>
    </row>
    <row r="15285" spans="20:20">
      <c r="T15285" s="10"/>
    </row>
    <row r="15286" spans="20:20">
      <c r="T15286" s="10"/>
    </row>
    <row r="15287" spans="20:20">
      <c r="T15287" s="10"/>
    </row>
    <row r="15288" spans="20:20">
      <c r="T15288" s="10"/>
    </row>
    <row r="15289" spans="20:20">
      <c r="T15289" s="10"/>
    </row>
    <row r="15290" spans="20:20">
      <c r="T15290" s="10"/>
    </row>
    <row r="15291" spans="20:20">
      <c r="T15291" s="10"/>
    </row>
    <row r="15292" spans="20:20">
      <c r="T15292" s="10"/>
    </row>
    <row r="15293" spans="20:20">
      <c r="T15293" s="10"/>
    </row>
    <row r="15294" spans="20:20">
      <c r="T15294" s="10"/>
    </row>
    <row r="15295" spans="20:20">
      <c r="T15295" s="10"/>
    </row>
    <row r="15296" spans="20:20">
      <c r="T15296" s="10"/>
    </row>
    <row r="15297" spans="20:20">
      <c r="T15297" s="10"/>
    </row>
    <row r="15298" spans="20:20">
      <c r="T15298" s="10"/>
    </row>
    <row r="15299" spans="20:20">
      <c r="T15299" s="10"/>
    </row>
    <row r="15300" spans="20:20">
      <c r="T15300" s="10"/>
    </row>
    <row r="15301" spans="20:20">
      <c r="T15301" s="10"/>
    </row>
    <row r="15302" spans="20:20">
      <c r="T15302" s="10"/>
    </row>
    <row r="15303" spans="20:20">
      <c r="T15303" s="10"/>
    </row>
    <row r="15304" spans="20:20">
      <c r="T15304" s="10"/>
    </row>
    <row r="15305" spans="20:20">
      <c r="T15305" s="10"/>
    </row>
    <row r="15306" spans="20:20">
      <c r="T15306" s="10"/>
    </row>
    <row r="15307" spans="20:20">
      <c r="T15307" s="10"/>
    </row>
    <row r="15308" spans="20:20">
      <c r="T15308" s="10"/>
    </row>
    <row r="15309" spans="20:20">
      <c r="T15309" s="10"/>
    </row>
    <row r="15310" spans="20:20">
      <c r="T15310" s="10"/>
    </row>
    <row r="15311" spans="20:20">
      <c r="T15311" s="10"/>
    </row>
    <row r="15312" spans="20:20">
      <c r="T15312" s="10"/>
    </row>
    <row r="15313" spans="20:20">
      <c r="T15313" s="10"/>
    </row>
    <row r="15314" spans="20:20">
      <c r="T15314" s="10"/>
    </row>
    <row r="15315" spans="20:20">
      <c r="T15315" s="10"/>
    </row>
    <row r="15316" spans="20:20">
      <c r="T15316" s="10"/>
    </row>
    <row r="15317" spans="20:20">
      <c r="T15317" s="10"/>
    </row>
    <row r="15318" spans="20:20">
      <c r="T15318" s="10"/>
    </row>
    <row r="15319" spans="20:20">
      <c r="T15319" s="10"/>
    </row>
    <row r="15320" spans="20:20">
      <c r="T15320" s="10"/>
    </row>
    <row r="15321" spans="20:20">
      <c r="T15321" s="10"/>
    </row>
    <row r="15322" spans="20:20">
      <c r="T15322" s="10"/>
    </row>
    <row r="15323" spans="20:20">
      <c r="T15323" s="10"/>
    </row>
    <row r="15324" spans="20:20">
      <c r="T15324" s="10"/>
    </row>
    <row r="15325" spans="20:20">
      <c r="T15325" s="10"/>
    </row>
    <row r="15326" spans="20:20">
      <c r="T15326" s="10"/>
    </row>
    <row r="15327" spans="20:20">
      <c r="T15327" s="10"/>
    </row>
    <row r="15328" spans="20:20">
      <c r="T15328" s="10"/>
    </row>
    <row r="15329" spans="20:20">
      <c r="T15329" s="10"/>
    </row>
    <row r="15330" spans="20:20">
      <c r="T15330" s="10"/>
    </row>
    <row r="15331" spans="20:20">
      <c r="T15331" s="10"/>
    </row>
    <row r="15332" spans="20:20">
      <c r="T15332" s="10"/>
    </row>
    <row r="15333" spans="20:20">
      <c r="T15333" s="10"/>
    </row>
    <row r="15334" spans="20:20">
      <c r="T15334" s="10"/>
    </row>
    <row r="15335" spans="20:20">
      <c r="T15335" s="10"/>
    </row>
    <row r="15336" spans="20:20">
      <c r="T15336" s="10"/>
    </row>
    <row r="15337" spans="20:20">
      <c r="T15337" s="10"/>
    </row>
    <row r="15338" spans="20:20">
      <c r="T15338" s="10"/>
    </row>
    <row r="15339" spans="20:20">
      <c r="T15339" s="10"/>
    </row>
    <row r="15340" spans="20:20">
      <c r="T15340" s="10"/>
    </row>
    <row r="15341" spans="20:20">
      <c r="T15341" s="10"/>
    </row>
    <row r="15342" spans="20:20">
      <c r="T15342" s="10"/>
    </row>
    <row r="15343" spans="20:20">
      <c r="T15343" s="10"/>
    </row>
    <row r="15344" spans="20:20">
      <c r="T15344" s="10"/>
    </row>
    <row r="15345" spans="20:20">
      <c r="T15345" s="10"/>
    </row>
    <row r="15346" spans="20:20">
      <c r="T15346" s="10"/>
    </row>
    <row r="15347" spans="20:20">
      <c r="T15347" s="10"/>
    </row>
    <row r="15348" spans="20:20">
      <c r="T15348" s="10"/>
    </row>
    <row r="15349" spans="20:20">
      <c r="T15349" s="10"/>
    </row>
    <row r="15350" spans="20:20">
      <c r="T15350" s="10"/>
    </row>
    <row r="15351" spans="20:20">
      <c r="T15351" s="10"/>
    </row>
    <row r="15352" spans="20:20">
      <c r="T15352" s="10"/>
    </row>
    <row r="15353" spans="20:20">
      <c r="T15353" s="10"/>
    </row>
    <row r="15354" spans="20:20">
      <c r="T15354" s="10"/>
    </row>
    <row r="15355" spans="20:20">
      <c r="T15355" s="10"/>
    </row>
    <row r="15356" spans="20:20">
      <c r="T15356" s="10"/>
    </row>
    <row r="15357" spans="20:20">
      <c r="T15357" s="10"/>
    </row>
    <row r="15358" spans="20:20">
      <c r="T15358" s="10"/>
    </row>
    <row r="15359" spans="20:20">
      <c r="T15359" s="10"/>
    </row>
    <row r="15360" spans="20:20">
      <c r="T15360" s="10"/>
    </row>
    <row r="15361" spans="20:20">
      <c r="T15361" s="10"/>
    </row>
    <row r="15362" spans="20:20">
      <c r="T15362" s="10"/>
    </row>
    <row r="15363" spans="20:20">
      <c r="T15363" s="10"/>
    </row>
    <row r="15364" spans="20:20">
      <c r="T15364" s="10"/>
    </row>
    <row r="15365" spans="20:20">
      <c r="T15365" s="10"/>
    </row>
    <row r="15366" spans="20:20">
      <c r="T15366" s="10"/>
    </row>
    <row r="15367" spans="20:20">
      <c r="T15367" s="10"/>
    </row>
    <row r="15368" spans="20:20">
      <c r="T15368" s="10"/>
    </row>
    <row r="15369" spans="20:20">
      <c r="T15369" s="10"/>
    </row>
    <row r="15370" spans="20:20">
      <c r="T15370" s="10"/>
    </row>
    <row r="15371" spans="20:20">
      <c r="T15371" s="10"/>
    </row>
    <row r="15372" spans="20:20">
      <c r="T15372" s="10"/>
    </row>
    <row r="15373" spans="20:20">
      <c r="T15373" s="10"/>
    </row>
    <row r="15374" spans="20:20">
      <c r="T15374" s="10"/>
    </row>
    <row r="15375" spans="20:20">
      <c r="T15375" s="10"/>
    </row>
    <row r="15376" spans="20:20">
      <c r="T15376" s="10"/>
    </row>
    <row r="15377" spans="20:20">
      <c r="T15377" s="10"/>
    </row>
    <row r="15378" spans="20:20">
      <c r="T15378" s="10"/>
    </row>
    <row r="15379" spans="20:20">
      <c r="T15379" s="10"/>
    </row>
    <row r="15380" spans="20:20">
      <c r="T15380" s="10"/>
    </row>
    <row r="15381" spans="20:20">
      <c r="T15381" s="10"/>
    </row>
    <row r="15382" spans="20:20">
      <c r="T15382" s="10"/>
    </row>
    <row r="15383" spans="20:20">
      <c r="T15383" s="10"/>
    </row>
    <row r="15384" spans="20:20">
      <c r="T15384" s="10"/>
    </row>
    <row r="15385" spans="20:20">
      <c r="T15385" s="10"/>
    </row>
    <row r="15386" spans="20:20">
      <c r="T15386" s="10"/>
    </row>
    <row r="15387" spans="20:20">
      <c r="T15387" s="10"/>
    </row>
    <row r="15388" spans="20:20">
      <c r="T15388" s="10"/>
    </row>
    <row r="15389" spans="20:20">
      <c r="T15389" s="10"/>
    </row>
    <row r="15390" spans="20:20">
      <c r="T15390" s="10"/>
    </row>
    <row r="15391" spans="20:20">
      <c r="T15391" s="10"/>
    </row>
    <row r="15392" spans="20:20">
      <c r="T15392" s="10"/>
    </row>
    <row r="15393" spans="20:20">
      <c r="T15393" s="10"/>
    </row>
    <row r="15394" spans="20:20">
      <c r="T15394" s="10"/>
    </row>
    <row r="15395" spans="20:20">
      <c r="T15395" s="10"/>
    </row>
    <row r="15396" spans="20:20">
      <c r="T15396" s="10"/>
    </row>
    <row r="15397" spans="20:20">
      <c r="T15397" s="10"/>
    </row>
    <row r="15398" spans="20:20">
      <c r="T15398" s="10"/>
    </row>
    <row r="15399" spans="20:20">
      <c r="T15399" s="10"/>
    </row>
    <row r="15400" spans="20:20">
      <c r="T15400" s="10"/>
    </row>
    <row r="15401" spans="20:20">
      <c r="T15401" s="10"/>
    </row>
    <row r="15402" spans="20:20">
      <c r="T15402" s="10"/>
    </row>
    <row r="15403" spans="20:20">
      <c r="T15403" s="10"/>
    </row>
    <row r="15404" spans="20:20">
      <c r="T15404" s="10"/>
    </row>
    <row r="15405" spans="20:20">
      <c r="T15405" s="10"/>
    </row>
    <row r="15406" spans="20:20">
      <c r="T15406" s="10"/>
    </row>
    <row r="15407" spans="20:20">
      <c r="T15407" s="10"/>
    </row>
    <row r="15408" spans="20:20">
      <c r="T15408" s="10"/>
    </row>
    <row r="15409" spans="20:20">
      <c r="T15409" s="10"/>
    </row>
    <row r="15410" spans="20:20">
      <c r="T15410" s="10"/>
    </row>
    <row r="15411" spans="20:20">
      <c r="T15411" s="10"/>
    </row>
    <row r="15412" spans="20:20">
      <c r="T15412" s="10"/>
    </row>
    <row r="15413" spans="20:20">
      <c r="T15413" s="10"/>
    </row>
    <row r="15414" spans="20:20">
      <c r="T15414" s="10"/>
    </row>
    <row r="15415" spans="20:20">
      <c r="T15415" s="10"/>
    </row>
    <row r="15416" spans="20:20">
      <c r="T15416" s="10"/>
    </row>
    <row r="15417" spans="20:20">
      <c r="T15417" s="10"/>
    </row>
    <row r="15418" spans="20:20">
      <c r="T15418" s="10"/>
    </row>
    <row r="15419" spans="20:20">
      <c r="T15419" s="10"/>
    </row>
    <row r="15420" spans="20:20">
      <c r="T15420" s="10"/>
    </row>
    <row r="15421" spans="20:20">
      <c r="T15421" s="10"/>
    </row>
    <row r="15422" spans="20:20">
      <c r="T15422" s="10"/>
    </row>
    <row r="15423" spans="20:20">
      <c r="T15423" s="10"/>
    </row>
    <row r="15424" spans="20:20">
      <c r="T15424" s="10"/>
    </row>
    <row r="15425" spans="20:20">
      <c r="T15425" s="10"/>
    </row>
    <row r="15426" spans="20:20">
      <c r="T15426" s="10"/>
    </row>
    <row r="15427" spans="20:20">
      <c r="T15427" s="10"/>
    </row>
    <row r="15428" spans="20:20">
      <c r="T15428" s="10"/>
    </row>
    <row r="15429" spans="20:20">
      <c r="T15429" s="10"/>
    </row>
    <row r="15430" spans="20:20">
      <c r="T15430" s="10"/>
    </row>
    <row r="15431" spans="20:20">
      <c r="T15431" s="10"/>
    </row>
    <row r="15432" spans="20:20">
      <c r="T15432" s="10"/>
    </row>
    <row r="15433" spans="20:20">
      <c r="T15433" s="10"/>
    </row>
    <row r="15434" spans="20:20">
      <c r="T15434" s="10"/>
    </row>
    <row r="15435" spans="20:20">
      <c r="T15435" s="10"/>
    </row>
    <row r="15436" spans="20:20">
      <c r="T15436" s="10"/>
    </row>
    <row r="15437" spans="20:20">
      <c r="T15437" s="10"/>
    </row>
    <row r="15438" spans="20:20">
      <c r="T15438" s="10"/>
    </row>
    <row r="15439" spans="20:20">
      <c r="T15439" s="10"/>
    </row>
    <row r="15440" spans="20:20">
      <c r="T15440" s="10"/>
    </row>
    <row r="15441" spans="20:20">
      <c r="T15441" s="10"/>
    </row>
    <row r="15442" spans="20:20">
      <c r="T15442" s="10"/>
    </row>
    <row r="15443" spans="20:20">
      <c r="T15443" s="10"/>
    </row>
    <row r="15444" spans="20:20">
      <c r="T15444" s="10"/>
    </row>
    <row r="15445" spans="20:20">
      <c r="T15445" s="10"/>
    </row>
    <row r="15446" spans="20:20">
      <c r="T15446" s="10"/>
    </row>
    <row r="15447" spans="20:20">
      <c r="T15447" s="10"/>
    </row>
    <row r="15448" spans="20:20">
      <c r="T15448" s="10"/>
    </row>
    <row r="15449" spans="20:20">
      <c r="T15449" s="10"/>
    </row>
    <row r="15450" spans="20:20">
      <c r="T15450" s="10"/>
    </row>
    <row r="15451" spans="20:20">
      <c r="T15451" s="10"/>
    </row>
    <row r="15452" spans="20:20">
      <c r="T15452" s="10"/>
    </row>
    <row r="15453" spans="20:20">
      <c r="T15453" s="10"/>
    </row>
    <row r="15454" spans="20:20">
      <c r="T15454" s="10"/>
    </row>
    <row r="15455" spans="20:20">
      <c r="T15455" s="10"/>
    </row>
    <row r="15456" spans="20:20">
      <c r="T15456" s="10"/>
    </row>
    <row r="15457" spans="20:20">
      <c r="T15457" s="10"/>
    </row>
    <row r="15458" spans="20:20">
      <c r="T15458" s="10"/>
    </row>
    <row r="15459" spans="20:20">
      <c r="T15459" s="10"/>
    </row>
    <row r="15460" spans="20:20">
      <c r="T15460" s="10"/>
    </row>
    <row r="15461" spans="20:20">
      <c r="T15461" s="10"/>
    </row>
    <row r="15462" spans="20:20">
      <c r="T15462" s="10"/>
    </row>
    <row r="15463" spans="20:20">
      <c r="T15463" s="10"/>
    </row>
    <row r="15464" spans="20:20">
      <c r="T15464" s="10"/>
    </row>
    <row r="15465" spans="20:20">
      <c r="T15465" s="10"/>
    </row>
    <row r="15466" spans="20:20">
      <c r="T15466" s="10"/>
    </row>
    <row r="15467" spans="20:20">
      <c r="T15467" s="10"/>
    </row>
    <row r="15468" spans="20:20">
      <c r="T15468" s="10"/>
    </row>
    <row r="15469" spans="20:20">
      <c r="T15469" s="10"/>
    </row>
    <row r="15470" spans="20:20">
      <c r="T15470" s="10"/>
    </row>
    <row r="15471" spans="20:20">
      <c r="T15471" s="10"/>
    </row>
    <row r="15472" spans="20:20">
      <c r="T15472" s="10"/>
    </row>
    <row r="15473" spans="20:20">
      <c r="T15473" s="10"/>
    </row>
    <row r="15474" spans="20:20">
      <c r="T15474" s="10"/>
    </row>
    <row r="15475" spans="20:20">
      <c r="T15475" s="10"/>
    </row>
    <row r="15476" spans="20:20">
      <c r="T15476" s="10"/>
    </row>
    <row r="15477" spans="20:20">
      <c r="T15477" s="10"/>
    </row>
    <row r="15478" spans="20:20">
      <c r="T15478" s="10"/>
    </row>
    <row r="15479" spans="20:20">
      <c r="T15479" s="10"/>
    </row>
    <row r="15480" spans="20:20">
      <c r="T15480" s="10"/>
    </row>
    <row r="15481" spans="20:20">
      <c r="T15481" s="10"/>
    </row>
    <row r="15482" spans="20:20">
      <c r="T15482" s="10"/>
    </row>
    <row r="15483" spans="20:20">
      <c r="T15483" s="10"/>
    </row>
    <row r="15484" spans="20:20">
      <c r="T15484" s="10"/>
    </row>
    <row r="15485" spans="20:20">
      <c r="T15485" s="10"/>
    </row>
    <row r="15486" spans="20:20">
      <c r="T15486" s="10"/>
    </row>
    <row r="15487" spans="20:20">
      <c r="T15487" s="10"/>
    </row>
    <row r="15488" spans="20:20">
      <c r="T15488" s="10"/>
    </row>
    <row r="15489" spans="20:20">
      <c r="T15489" s="10"/>
    </row>
    <row r="15490" spans="20:20">
      <c r="T15490" s="10"/>
    </row>
    <row r="15491" spans="20:20">
      <c r="T15491" s="10"/>
    </row>
    <row r="15492" spans="20:20">
      <c r="T15492" s="10"/>
    </row>
    <row r="15493" spans="20:20">
      <c r="T15493" s="10"/>
    </row>
    <row r="15494" spans="20:20">
      <c r="T15494" s="10"/>
    </row>
    <row r="15495" spans="20:20">
      <c r="T15495" s="10"/>
    </row>
    <row r="15496" spans="20:20">
      <c r="T15496" s="10"/>
    </row>
    <row r="15497" spans="20:20">
      <c r="T15497" s="10"/>
    </row>
    <row r="15498" spans="20:20">
      <c r="T15498" s="10"/>
    </row>
    <row r="15499" spans="20:20">
      <c r="T15499" s="10"/>
    </row>
    <row r="15500" spans="20:20">
      <c r="T15500" s="10"/>
    </row>
    <row r="15501" spans="20:20">
      <c r="T15501" s="10"/>
    </row>
    <row r="15502" spans="20:20">
      <c r="T15502" s="10"/>
    </row>
    <row r="15503" spans="20:20">
      <c r="T15503" s="10"/>
    </row>
    <row r="15504" spans="20:20">
      <c r="T15504" s="10"/>
    </row>
    <row r="15505" spans="20:20">
      <c r="T15505" s="10"/>
    </row>
    <row r="15506" spans="20:20">
      <c r="T15506" s="10"/>
    </row>
    <row r="15507" spans="20:20">
      <c r="T15507" s="10"/>
    </row>
    <row r="15508" spans="20:20">
      <c r="T15508" s="10"/>
    </row>
    <row r="15509" spans="20:20">
      <c r="T15509" s="10"/>
    </row>
    <row r="15510" spans="20:20">
      <c r="T15510" s="10"/>
    </row>
    <row r="15511" spans="20:20">
      <c r="T15511" s="10"/>
    </row>
    <row r="15512" spans="20:20">
      <c r="T15512" s="10"/>
    </row>
    <row r="15513" spans="20:20">
      <c r="T15513" s="10"/>
    </row>
    <row r="15514" spans="20:20">
      <c r="T15514" s="10"/>
    </row>
    <row r="15515" spans="20:20">
      <c r="T15515" s="10"/>
    </row>
    <row r="15516" spans="20:20">
      <c r="T15516" s="10"/>
    </row>
    <row r="15517" spans="20:20">
      <c r="T15517" s="10"/>
    </row>
    <row r="15518" spans="20:20">
      <c r="T15518" s="10"/>
    </row>
    <row r="15519" spans="20:20">
      <c r="T15519" s="10"/>
    </row>
    <row r="15520" spans="20:20">
      <c r="T15520" s="10"/>
    </row>
    <row r="15521" spans="20:20">
      <c r="T15521" s="10"/>
    </row>
    <row r="15522" spans="20:20">
      <c r="T15522" s="10"/>
    </row>
    <row r="15523" spans="20:20">
      <c r="T15523" s="10"/>
    </row>
    <row r="15524" spans="20:20">
      <c r="T15524" s="10"/>
    </row>
    <row r="15525" spans="20:20">
      <c r="T15525" s="10"/>
    </row>
    <row r="15526" spans="20:20">
      <c r="T15526" s="10"/>
    </row>
    <row r="15527" spans="20:20">
      <c r="T15527" s="10"/>
    </row>
    <row r="15528" spans="20:20">
      <c r="T15528" s="10"/>
    </row>
    <row r="15529" spans="20:20">
      <c r="T15529" s="10"/>
    </row>
    <row r="15530" spans="20:20">
      <c r="T15530" s="10"/>
    </row>
    <row r="15531" spans="20:20">
      <c r="T15531" s="10"/>
    </row>
    <row r="15532" spans="20:20">
      <c r="T15532" s="10"/>
    </row>
    <row r="15533" spans="20:20">
      <c r="T15533" s="10"/>
    </row>
    <row r="15534" spans="20:20">
      <c r="T15534" s="10"/>
    </row>
    <row r="15535" spans="20:20">
      <c r="T15535" s="10"/>
    </row>
    <row r="15536" spans="20:20">
      <c r="T15536" s="10"/>
    </row>
    <row r="15537" spans="20:20">
      <c r="T15537" s="10"/>
    </row>
    <row r="15538" spans="20:20">
      <c r="T15538" s="10"/>
    </row>
    <row r="15539" spans="20:20">
      <c r="T15539" s="10"/>
    </row>
    <row r="15540" spans="20:20">
      <c r="T15540" s="10"/>
    </row>
    <row r="15541" spans="20:20">
      <c r="T15541" s="10"/>
    </row>
    <row r="15542" spans="20:20">
      <c r="T15542" s="10"/>
    </row>
    <row r="15543" spans="20:20">
      <c r="T15543" s="10"/>
    </row>
    <row r="15544" spans="20:20">
      <c r="T15544" s="10"/>
    </row>
    <row r="15545" spans="20:20">
      <c r="T15545" s="10"/>
    </row>
    <row r="15546" spans="20:20">
      <c r="T15546" s="10"/>
    </row>
    <row r="15547" spans="20:20">
      <c r="T15547" s="10"/>
    </row>
    <row r="15548" spans="20:20">
      <c r="T15548" s="10"/>
    </row>
    <row r="15549" spans="20:20">
      <c r="T15549" s="10"/>
    </row>
    <row r="15550" spans="20:20">
      <c r="T15550" s="10"/>
    </row>
    <row r="15551" spans="20:20">
      <c r="T15551" s="10"/>
    </row>
    <row r="15552" spans="20:20">
      <c r="T15552" s="10"/>
    </row>
    <row r="15553" spans="20:20">
      <c r="T15553" s="10"/>
    </row>
    <row r="15554" spans="20:20">
      <c r="T15554" s="10"/>
    </row>
    <row r="15555" spans="20:20">
      <c r="T15555" s="10"/>
    </row>
    <row r="15556" spans="20:20">
      <c r="T15556" s="10"/>
    </row>
    <row r="15557" spans="20:20">
      <c r="T15557" s="10"/>
    </row>
    <row r="15558" spans="20:20">
      <c r="T15558" s="10"/>
    </row>
    <row r="15559" spans="20:20">
      <c r="T15559" s="10"/>
    </row>
    <row r="15560" spans="20:20">
      <c r="T15560" s="10"/>
    </row>
    <row r="15561" spans="20:20">
      <c r="T15561" s="10"/>
    </row>
    <row r="15562" spans="20:20">
      <c r="T15562" s="10"/>
    </row>
    <row r="15563" spans="20:20">
      <c r="T15563" s="10"/>
    </row>
    <row r="15564" spans="20:20">
      <c r="T15564" s="10"/>
    </row>
    <row r="15565" spans="20:20">
      <c r="T15565" s="10"/>
    </row>
    <row r="15566" spans="20:20">
      <c r="T15566" s="10"/>
    </row>
    <row r="15567" spans="20:20">
      <c r="T15567" s="10"/>
    </row>
    <row r="15568" spans="20:20">
      <c r="T15568" s="10"/>
    </row>
    <row r="15569" spans="20:20">
      <c r="T15569" s="10"/>
    </row>
    <row r="15570" spans="20:20">
      <c r="T15570" s="10"/>
    </row>
    <row r="15571" spans="20:20">
      <c r="T15571" s="10"/>
    </row>
    <row r="15572" spans="20:20">
      <c r="T15572" s="10"/>
    </row>
    <row r="15573" spans="20:20">
      <c r="T15573" s="10"/>
    </row>
    <row r="15574" spans="20:20">
      <c r="T15574" s="10"/>
    </row>
    <row r="15575" spans="20:20">
      <c r="T15575" s="10"/>
    </row>
    <row r="15576" spans="20:20">
      <c r="T15576" s="10"/>
    </row>
    <row r="15577" spans="20:20">
      <c r="T15577" s="10"/>
    </row>
    <row r="15578" spans="20:20">
      <c r="T15578" s="10"/>
    </row>
    <row r="15579" spans="20:20">
      <c r="T15579" s="10"/>
    </row>
    <row r="15580" spans="20:20">
      <c r="T15580" s="10"/>
    </row>
    <row r="15581" spans="20:20">
      <c r="T15581" s="10"/>
    </row>
    <row r="15582" spans="20:20">
      <c r="T15582" s="10"/>
    </row>
    <row r="15583" spans="20:20">
      <c r="T15583" s="10"/>
    </row>
    <row r="15584" spans="20:20">
      <c r="T15584" s="10"/>
    </row>
    <row r="15585" spans="20:20">
      <c r="T15585" s="10"/>
    </row>
    <row r="15586" spans="20:20">
      <c r="T15586" s="10"/>
    </row>
    <row r="15587" spans="20:20">
      <c r="T15587" s="10"/>
    </row>
    <row r="15588" spans="20:20">
      <c r="T15588" s="10"/>
    </row>
    <row r="15589" spans="20:20">
      <c r="T15589" s="10"/>
    </row>
    <row r="15590" spans="20:20">
      <c r="T15590" s="10"/>
    </row>
    <row r="15591" spans="20:20">
      <c r="T15591" s="10"/>
    </row>
    <row r="15592" spans="20:20">
      <c r="T15592" s="10"/>
    </row>
    <row r="15593" spans="20:20">
      <c r="T15593" s="10"/>
    </row>
    <row r="15594" spans="20:20">
      <c r="T15594" s="10"/>
    </row>
    <row r="15595" spans="20:20">
      <c r="T15595" s="10"/>
    </row>
    <row r="15596" spans="20:20">
      <c r="T15596" s="10"/>
    </row>
    <row r="15597" spans="20:20">
      <c r="T15597" s="10"/>
    </row>
    <row r="15598" spans="20:20">
      <c r="T15598" s="10"/>
    </row>
    <row r="15599" spans="20:20">
      <c r="T15599" s="10"/>
    </row>
    <row r="15600" spans="20:20">
      <c r="T15600" s="10"/>
    </row>
    <row r="15601" spans="20:20">
      <c r="T15601" s="10"/>
    </row>
    <row r="15602" spans="20:20">
      <c r="T15602" s="10"/>
    </row>
    <row r="15603" spans="20:20">
      <c r="T15603" s="10"/>
    </row>
    <row r="15604" spans="20:20">
      <c r="T15604" s="10"/>
    </row>
    <row r="15605" spans="20:20">
      <c r="T15605" s="10"/>
    </row>
    <row r="15606" spans="20:20">
      <c r="T15606" s="10"/>
    </row>
    <row r="15607" spans="20:20">
      <c r="T15607" s="10"/>
    </row>
    <row r="15608" spans="20:20">
      <c r="T15608" s="10"/>
    </row>
    <row r="15609" spans="20:20">
      <c r="T15609" s="10"/>
    </row>
    <row r="15610" spans="20:20">
      <c r="T15610" s="10"/>
    </row>
    <row r="15611" spans="20:20">
      <c r="T15611" s="10"/>
    </row>
    <row r="15612" spans="20:20">
      <c r="T15612" s="10"/>
    </row>
    <row r="15613" spans="20:20">
      <c r="T15613" s="10"/>
    </row>
    <row r="15614" spans="20:20">
      <c r="T15614" s="10"/>
    </row>
    <row r="15615" spans="20:20">
      <c r="T15615" s="10"/>
    </row>
    <row r="15616" spans="20:20">
      <c r="T15616" s="10"/>
    </row>
    <row r="15617" spans="20:20">
      <c r="T15617" s="10"/>
    </row>
    <row r="15618" spans="20:20">
      <c r="T15618" s="10"/>
    </row>
    <row r="15619" spans="20:20">
      <c r="T15619" s="10"/>
    </row>
    <row r="15620" spans="20:20">
      <c r="T15620" s="10"/>
    </row>
    <row r="15621" spans="20:20">
      <c r="T15621" s="10"/>
    </row>
    <row r="15622" spans="20:20">
      <c r="T15622" s="10"/>
    </row>
    <row r="15623" spans="20:20">
      <c r="T15623" s="10"/>
    </row>
    <row r="15624" spans="20:20">
      <c r="T15624" s="10"/>
    </row>
    <row r="15625" spans="20:20">
      <c r="T15625" s="10"/>
    </row>
    <row r="15626" spans="20:20">
      <c r="T15626" s="10"/>
    </row>
    <row r="15627" spans="20:20">
      <c r="T15627" s="10"/>
    </row>
    <row r="15628" spans="20:20">
      <c r="T15628" s="10"/>
    </row>
    <row r="15629" spans="20:20">
      <c r="T15629" s="10"/>
    </row>
    <row r="15630" spans="20:20">
      <c r="T15630" s="10"/>
    </row>
    <row r="15631" spans="20:20">
      <c r="T15631" s="10"/>
    </row>
    <row r="15632" spans="20:20">
      <c r="T15632" s="10"/>
    </row>
    <row r="15633" spans="20:20">
      <c r="T15633" s="10"/>
    </row>
    <row r="15634" spans="20:20">
      <c r="T15634" s="10"/>
    </row>
    <row r="15635" spans="20:20">
      <c r="T15635" s="10"/>
    </row>
    <row r="15636" spans="20:20">
      <c r="T15636" s="10"/>
    </row>
    <row r="15637" spans="20:20">
      <c r="T15637" s="10"/>
    </row>
    <row r="15638" spans="20:20">
      <c r="T15638" s="10"/>
    </row>
    <row r="15639" spans="20:20">
      <c r="T15639" s="10"/>
    </row>
    <row r="15640" spans="20:20">
      <c r="T15640" s="10"/>
    </row>
    <row r="15641" spans="20:20">
      <c r="T15641" s="10"/>
    </row>
    <row r="15642" spans="20:20">
      <c r="T15642" s="10"/>
    </row>
    <row r="15643" spans="20:20">
      <c r="T15643" s="10"/>
    </row>
    <row r="15644" spans="20:20">
      <c r="T15644" s="10"/>
    </row>
    <row r="15645" spans="20:20">
      <c r="T15645" s="10"/>
    </row>
    <row r="15646" spans="20:20">
      <c r="T15646" s="10"/>
    </row>
    <row r="15647" spans="20:20">
      <c r="T15647" s="10"/>
    </row>
    <row r="15648" spans="20:20">
      <c r="T15648" s="10"/>
    </row>
    <row r="15649" spans="20:20">
      <c r="T15649" s="10"/>
    </row>
    <row r="15650" spans="20:20">
      <c r="T15650" s="10"/>
    </row>
    <row r="15651" spans="20:20">
      <c r="T15651" s="10"/>
    </row>
    <row r="15652" spans="20:20">
      <c r="T15652" s="10"/>
    </row>
    <row r="15653" spans="20:20">
      <c r="T15653" s="10"/>
    </row>
    <row r="15654" spans="20:20">
      <c r="T15654" s="10"/>
    </row>
    <row r="15655" spans="20:20">
      <c r="T15655" s="10"/>
    </row>
    <row r="15656" spans="20:20">
      <c r="T15656" s="10"/>
    </row>
    <row r="15657" spans="20:20">
      <c r="T15657" s="10"/>
    </row>
    <row r="15658" spans="20:20">
      <c r="T15658" s="10"/>
    </row>
    <row r="15659" spans="20:20">
      <c r="T15659" s="10"/>
    </row>
    <row r="15660" spans="20:20">
      <c r="T15660" s="10"/>
    </row>
    <row r="15661" spans="20:20">
      <c r="T15661" s="10"/>
    </row>
    <row r="15662" spans="20:20">
      <c r="T15662" s="10"/>
    </row>
    <row r="15663" spans="20:20">
      <c r="T15663" s="10"/>
    </row>
    <row r="15664" spans="20:20">
      <c r="T15664" s="10"/>
    </row>
    <row r="15665" spans="20:20">
      <c r="T15665" s="10"/>
    </row>
    <row r="15666" spans="20:20">
      <c r="T15666" s="10"/>
    </row>
    <row r="15667" spans="20:20">
      <c r="T15667" s="10"/>
    </row>
    <row r="15668" spans="20:20">
      <c r="T15668" s="10"/>
    </row>
    <row r="15669" spans="20:20">
      <c r="T15669" s="10"/>
    </row>
    <row r="15670" spans="20:20">
      <c r="T15670" s="10"/>
    </row>
    <row r="15671" spans="20:20">
      <c r="T15671" s="10"/>
    </row>
    <row r="15672" spans="20:20">
      <c r="T15672" s="10"/>
    </row>
    <row r="15673" spans="20:20">
      <c r="T15673" s="10"/>
    </row>
    <row r="15674" spans="20:20">
      <c r="T15674" s="10"/>
    </row>
    <row r="15675" spans="20:20">
      <c r="T15675" s="10"/>
    </row>
    <row r="15676" spans="20:20">
      <c r="T15676" s="10"/>
    </row>
    <row r="15677" spans="20:20">
      <c r="T15677" s="10"/>
    </row>
    <row r="15678" spans="20:20">
      <c r="T15678" s="10"/>
    </row>
    <row r="15679" spans="20:20">
      <c r="T15679" s="10"/>
    </row>
    <row r="15680" spans="20:20">
      <c r="T15680" s="10"/>
    </row>
    <row r="15681" spans="20:20">
      <c r="T15681" s="10"/>
    </row>
    <row r="15682" spans="20:20">
      <c r="T15682" s="10"/>
    </row>
    <row r="15683" spans="20:20">
      <c r="T15683" s="10"/>
    </row>
    <row r="15684" spans="20:20">
      <c r="T15684" s="10"/>
    </row>
    <row r="15685" spans="20:20">
      <c r="T15685" s="10"/>
    </row>
    <row r="15686" spans="20:20">
      <c r="T15686" s="10"/>
    </row>
    <row r="15687" spans="20:20">
      <c r="T15687" s="10"/>
    </row>
    <row r="15688" spans="20:20">
      <c r="T15688" s="10"/>
    </row>
    <row r="15689" spans="20:20">
      <c r="T15689" s="10"/>
    </row>
    <row r="15690" spans="20:20">
      <c r="T15690" s="10"/>
    </row>
    <row r="15691" spans="20:20">
      <c r="T15691" s="10"/>
    </row>
    <row r="15692" spans="20:20">
      <c r="T15692" s="10"/>
    </row>
    <row r="15693" spans="20:20">
      <c r="T15693" s="10"/>
    </row>
    <row r="15694" spans="20:20">
      <c r="T15694" s="10"/>
    </row>
    <row r="15695" spans="20:20">
      <c r="T15695" s="10"/>
    </row>
    <row r="15696" spans="20:20">
      <c r="T15696" s="10"/>
    </row>
    <row r="15697" spans="20:20">
      <c r="T15697" s="10"/>
    </row>
    <row r="15698" spans="20:20">
      <c r="T15698" s="10"/>
    </row>
    <row r="15699" spans="20:20">
      <c r="T15699" s="10"/>
    </row>
    <row r="15700" spans="20:20">
      <c r="T15700" s="10"/>
    </row>
    <row r="15701" spans="20:20">
      <c r="T15701" s="10"/>
    </row>
    <row r="15702" spans="20:20">
      <c r="T15702" s="10"/>
    </row>
    <row r="15703" spans="20:20">
      <c r="T15703" s="10"/>
    </row>
    <row r="15704" spans="20:20">
      <c r="T15704" s="10"/>
    </row>
    <row r="15705" spans="20:20">
      <c r="T15705" s="10"/>
    </row>
    <row r="15706" spans="20:20">
      <c r="T15706" s="10"/>
    </row>
    <row r="15707" spans="20:20">
      <c r="T15707" s="10"/>
    </row>
    <row r="15708" spans="20:20">
      <c r="T15708" s="10"/>
    </row>
    <row r="15709" spans="20:20">
      <c r="T15709" s="10"/>
    </row>
    <row r="15710" spans="20:20">
      <c r="T15710" s="10"/>
    </row>
    <row r="15711" spans="20:20">
      <c r="T15711" s="10"/>
    </row>
    <row r="15712" spans="20:20">
      <c r="T15712" s="10"/>
    </row>
    <row r="15713" spans="20:20">
      <c r="T15713" s="10"/>
    </row>
    <row r="15714" spans="20:20">
      <c r="T15714" s="10"/>
    </row>
    <row r="15715" spans="20:20">
      <c r="T15715" s="10"/>
    </row>
    <row r="15716" spans="20:20">
      <c r="T15716" s="10"/>
    </row>
    <row r="15717" spans="20:20">
      <c r="T15717" s="10"/>
    </row>
    <row r="15718" spans="20:20">
      <c r="T15718" s="10"/>
    </row>
    <row r="15719" spans="20:20">
      <c r="T15719" s="10"/>
    </row>
    <row r="15720" spans="20:20">
      <c r="T15720" s="10"/>
    </row>
    <row r="15721" spans="20:20">
      <c r="T15721" s="10"/>
    </row>
    <row r="15722" spans="20:20">
      <c r="T15722" s="10"/>
    </row>
    <row r="15723" spans="20:20">
      <c r="T15723" s="10"/>
    </row>
    <row r="15724" spans="20:20">
      <c r="T15724" s="10"/>
    </row>
    <row r="15725" spans="20:20">
      <c r="T15725" s="10"/>
    </row>
    <row r="15726" spans="20:20">
      <c r="T15726" s="10"/>
    </row>
    <row r="15727" spans="20:20">
      <c r="T15727" s="10"/>
    </row>
    <row r="15728" spans="20:20">
      <c r="T15728" s="10"/>
    </row>
    <row r="15729" spans="20:20">
      <c r="T15729" s="10"/>
    </row>
    <row r="15730" spans="20:20">
      <c r="T15730" s="10"/>
    </row>
    <row r="15731" spans="20:20">
      <c r="T15731" s="10"/>
    </row>
    <row r="15732" spans="20:20">
      <c r="T15732" s="10"/>
    </row>
    <row r="15733" spans="20:20">
      <c r="T15733" s="10"/>
    </row>
    <row r="15734" spans="20:20">
      <c r="T15734" s="10"/>
    </row>
    <row r="15735" spans="20:20">
      <c r="T15735" s="10"/>
    </row>
    <row r="15736" spans="20:20">
      <c r="T15736" s="10"/>
    </row>
    <row r="15737" spans="20:20">
      <c r="T15737" s="10"/>
    </row>
    <row r="15738" spans="20:20">
      <c r="T15738" s="10"/>
    </row>
    <row r="15739" spans="20:20">
      <c r="T15739" s="10"/>
    </row>
    <row r="15740" spans="20:20">
      <c r="T15740" s="10"/>
    </row>
    <row r="15741" spans="20:20">
      <c r="T15741" s="10"/>
    </row>
    <row r="15742" spans="20:20">
      <c r="T15742" s="10"/>
    </row>
    <row r="15743" spans="20:20">
      <c r="T15743" s="10"/>
    </row>
    <row r="15744" spans="20:20">
      <c r="T15744" s="10"/>
    </row>
    <row r="15745" spans="20:20">
      <c r="T15745" s="10"/>
    </row>
    <row r="15746" spans="20:20">
      <c r="T15746" s="10"/>
    </row>
    <row r="15747" spans="20:20">
      <c r="T15747" s="10"/>
    </row>
    <row r="15748" spans="20:20">
      <c r="T15748" s="10"/>
    </row>
    <row r="15749" spans="20:20">
      <c r="T15749" s="10"/>
    </row>
    <row r="15750" spans="20:20">
      <c r="T15750" s="10"/>
    </row>
    <row r="15751" spans="20:20">
      <c r="T15751" s="10"/>
    </row>
    <row r="15752" spans="20:20">
      <c r="T15752" s="10"/>
    </row>
    <row r="15753" spans="20:20">
      <c r="T15753" s="10"/>
    </row>
    <row r="15754" spans="20:20">
      <c r="T15754" s="10"/>
    </row>
    <row r="15755" spans="20:20">
      <c r="T15755" s="10"/>
    </row>
    <row r="15756" spans="20:20">
      <c r="T15756" s="10"/>
    </row>
    <row r="15757" spans="20:20">
      <c r="T15757" s="10"/>
    </row>
    <row r="15758" spans="20:20">
      <c r="T15758" s="10"/>
    </row>
    <row r="15759" spans="20:20">
      <c r="T15759" s="10"/>
    </row>
    <row r="15760" spans="20:20">
      <c r="T15760" s="10"/>
    </row>
    <row r="15761" spans="20:20">
      <c r="T15761" s="10"/>
    </row>
    <row r="15762" spans="20:20">
      <c r="T15762" s="10"/>
    </row>
    <row r="15763" spans="20:20">
      <c r="T15763" s="10"/>
    </row>
    <row r="15764" spans="20:20">
      <c r="T15764" s="10"/>
    </row>
    <row r="15765" spans="20:20">
      <c r="T15765" s="10"/>
    </row>
    <row r="15766" spans="20:20">
      <c r="T15766" s="10"/>
    </row>
    <row r="15767" spans="20:20">
      <c r="T15767" s="10"/>
    </row>
    <row r="15768" spans="20:20">
      <c r="T15768" s="10"/>
    </row>
    <row r="15769" spans="20:20">
      <c r="T15769" s="10"/>
    </row>
    <row r="15770" spans="20:20">
      <c r="T15770" s="10"/>
    </row>
    <row r="15771" spans="20:20">
      <c r="T15771" s="10"/>
    </row>
    <row r="15772" spans="20:20">
      <c r="T15772" s="10"/>
    </row>
    <row r="15773" spans="20:20">
      <c r="T15773" s="10"/>
    </row>
    <row r="15774" spans="20:20">
      <c r="T15774" s="10"/>
    </row>
    <row r="15775" spans="20:20">
      <c r="T15775" s="10"/>
    </row>
    <row r="15776" spans="20:20">
      <c r="T15776" s="10"/>
    </row>
    <row r="15777" spans="20:20">
      <c r="T15777" s="10"/>
    </row>
    <row r="15778" spans="20:20">
      <c r="T15778" s="10"/>
    </row>
    <row r="15779" spans="20:20">
      <c r="T15779" s="10"/>
    </row>
    <row r="15780" spans="20:20">
      <c r="T15780" s="10"/>
    </row>
    <row r="15781" spans="20:20">
      <c r="T15781" s="10"/>
    </row>
    <row r="15782" spans="20:20">
      <c r="T15782" s="10"/>
    </row>
    <row r="15783" spans="20:20">
      <c r="T15783" s="10"/>
    </row>
    <row r="15784" spans="20:20">
      <c r="T15784" s="10"/>
    </row>
    <row r="15785" spans="20:20">
      <c r="T15785" s="10"/>
    </row>
    <row r="15786" spans="20:20">
      <c r="T15786" s="10"/>
    </row>
    <row r="15787" spans="20:20">
      <c r="T15787" s="10"/>
    </row>
    <row r="15788" spans="20:20">
      <c r="T15788" s="10"/>
    </row>
    <row r="15789" spans="20:20">
      <c r="T15789" s="10"/>
    </row>
    <row r="15790" spans="20:20">
      <c r="T15790" s="10"/>
    </row>
    <row r="15791" spans="20:20">
      <c r="T15791" s="10"/>
    </row>
    <row r="15792" spans="20:20">
      <c r="T15792" s="10"/>
    </row>
    <row r="15793" spans="20:20">
      <c r="T15793" s="10"/>
    </row>
    <row r="15794" spans="20:20">
      <c r="T15794" s="10"/>
    </row>
    <row r="15795" spans="20:20">
      <c r="T15795" s="10"/>
    </row>
    <row r="15796" spans="20:20">
      <c r="T15796" s="10"/>
    </row>
    <row r="15797" spans="20:20">
      <c r="T15797" s="10"/>
    </row>
    <row r="15798" spans="20:20">
      <c r="T15798" s="10"/>
    </row>
    <row r="15799" spans="20:20">
      <c r="T15799" s="10"/>
    </row>
    <row r="15800" spans="20:20">
      <c r="T15800" s="10"/>
    </row>
    <row r="15801" spans="20:20">
      <c r="T15801" s="10"/>
    </row>
    <row r="15802" spans="20:20">
      <c r="T15802" s="10"/>
    </row>
    <row r="15803" spans="20:20">
      <c r="T15803" s="10"/>
    </row>
    <row r="15804" spans="20:20">
      <c r="T15804" s="10"/>
    </row>
    <row r="15805" spans="20:20">
      <c r="T15805" s="10"/>
    </row>
    <row r="15806" spans="20:20">
      <c r="T15806" s="10"/>
    </row>
    <row r="15807" spans="20:20">
      <c r="T15807" s="10"/>
    </row>
    <row r="15808" spans="20:20">
      <c r="T15808" s="10"/>
    </row>
    <row r="15809" spans="20:20">
      <c r="T15809" s="10"/>
    </row>
    <row r="15810" spans="20:20">
      <c r="T15810" s="10"/>
    </row>
    <row r="15811" spans="20:20">
      <c r="T15811" s="10"/>
    </row>
    <row r="15812" spans="20:20">
      <c r="T15812" s="10"/>
    </row>
    <row r="15813" spans="20:20">
      <c r="T15813" s="10"/>
    </row>
    <row r="15814" spans="20:20">
      <c r="T15814" s="10"/>
    </row>
    <row r="15815" spans="20:20">
      <c r="T15815" s="10"/>
    </row>
    <row r="15816" spans="20:20">
      <c r="T15816" s="10"/>
    </row>
    <row r="15817" spans="20:20">
      <c r="T15817" s="10"/>
    </row>
    <row r="15818" spans="20:20">
      <c r="T15818" s="10"/>
    </row>
    <row r="15819" spans="20:20">
      <c r="T15819" s="10"/>
    </row>
    <row r="15820" spans="20:20">
      <c r="T15820" s="10"/>
    </row>
    <row r="15821" spans="20:20">
      <c r="T15821" s="10"/>
    </row>
    <row r="15822" spans="20:20">
      <c r="T15822" s="10"/>
    </row>
    <row r="15823" spans="20:20">
      <c r="T15823" s="10"/>
    </row>
    <row r="15824" spans="20:20">
      <c r="T15824" s="10"/>
    </row>
    <row r="15825" spans="20:20">
      <c r="T15825" s="10"/>
    </row>
    <row r="15826" spans="20:20">
      <c r="T15826" s="10"/>
    </row>
    <row r="15827" spans="20:20">
      <c r="T15827" s="10"/>
    </row>
    <row r="15828" spans="20:20">
      <c r="T15828" s="10"/>
    </row>
    <row r="15829" spans="20:20">
      <c r="T15829" s="10"/>
    </row>
    <row r="15830" spans="20:20">
      <c r="T15830" s="10"/>
    </row>
    <row r="15831" spans="20:20">
      <c r="T15831" s="10"/>
    </row>
    <row r="15832" spans="20:20">
      <c r="T15832" s="10"/>
    </row>
    <row r="15833" spans="20:20">
      <c r="T15833" s="10"/>
    </row>
    <row r="15834" spans="20:20">
      <c r="T15834" s="10"/>
    </row>
    <row r="15835" spans="20:20">
      <c r="T15835" s="10"/>
    </row>
    <row r="15836" spans="20:20">
      <c r="T15836" s="10"/>
    </row>
    <row r="15837" spans="20:20">
      <c r="T15837" s="10"/>
    </row>
    <row r="15838" spans="20:20">
      <c r="T15838" s="10"/>
    </row>
    <row r="15839" spans="20:20">
      <c r="T15839" s="10"/>
    </row>
    <row r="15840" spans="20:20">
      <c r="T15840" s="10"/>
    </row>
    <row r="15841" spans="20:20">
      <c r="T15841" s="10"/>
    </row>
    <row r="15842" spans="20:20">
      <c r="T15842" s="10"/>
    </row>
    <row r="15843" spans="20:20">
      <c r="T15843" s="10"/>
    </row>
    <row r="15844" spans="20:20">
      <c r="T15844" s="10"/>
    </row>
    <row r="15845" spans="20:20">
      <c r="T15845" s="10"/>
    </row>
    <row r="15846" spans="20:20">
      <c r="T15846" s="10"/>
    </row>
    <row r="15847" spans="20:20">
      <c r="T15847" s="10"/>
    </row>
    <row r="15848" spans="20:20">
      <c r="T15848" s="10"/>
    </row>
    <row r="15849" spans="20:20">
      <c r="T15849" s="10"/>
    </row>
    <row r="15850" spans="20:20">
      <c r="T15850" s="10"/>
    </row>
    <row r="15851" spans="20:20">
      <c r="T15851" s="10"/>
    </row>
    <row r="15852" spans="20:20">
      <c r="T15852" s="10"/>
    </row>
    <row r="15853" spans="20:20">
      <c r="T15853" s="10"/>
    </row>
    <row r="15854" spans="20:20">
      <c r="T15854" s="10"/>
    </row>
    <row r="15855" spans="20:20">
      <c r="T15855" s="10"/>
    </row>
    <row r="15856" spans="20:20">
      <c r="T15856" s="10"/>
    </row>
    <row r="15857" spans="20:20">
      <c r="T15857" s="10"/>
    </row>
    <row r="15858" spans="20:20">
      <c r="T15858" s="10"/>
    </row>
    <row r="15859" spans="20:20">
      <c r="T15859" s="10"/>
    </row>
    <row r="15860" spans="20:20">
      <c r="T15860" s="10"/>
    </row>
    <row r="15861" spans="20:20">
      <c r="T15861" s="10"/>
    </row>
    <row r="15862" spans="20:20">
      <c r="T15862" s="10"/>
    </row>
    <row r="15863" spans="20:20">
      <c r="T15863" s="10"/>
    </row>
    <row r="15864" spans="20:20">
      <c r="T15864" s="10"/>
    </row>
    <row r="15865" spans="20:20">
      <c r="T15865" s="10"/>
    </row>
    <row r="15866" spans="20:20">
      <c r="T15866" s="10"/>
    </row>
    <row r="15867" spans="20:20">
      <c r="T15867" s="10"/>
    </row>
    <row r="15868" spans="20:20">
      <c r="T15868" s="10"/>
    </row>
    <row r="15869" spans="20:20">
      <c r="T15869" s="10"/>
    </row>
    <row r="15870" spans="20:20">
      <c r="T15870" s="10"/>
    </row>
    <row r="15871" spans="20:20">
      <c r="T15871" s="10"/>
    </row>
    <row r="15872" spans="20:20">
      <c r="T15872" s="10"/>
    </row>
    <row r="15873" spans="20:20">
      <c r="T15873" s="10"/>
    </row>
    <row r="15874" spans="20:20">
      <c r="T15874" s="10"/>
    </row>
    <row r="15875" spans="20:20">
      <c r="T15875" s="10"/>
    </row>
    <row r="15876" spans="20:20">
      <c r="T15876" s="10"/>
    </row>
    <row r="15877" spans="20:20">
      <c r="T15877" s="10"/>
    </row>
    <row r="15878" spans="20:20">
      <c r="T15878" s="10"/>
    </row>
    <row r="15879" spans="20:20">
      <c r="T15879" s="10"/>
    </row>
    <row r="15880" spans="20:20">
      <c r="T15880" s="10"/>
    </row>
    <row r="15881" spans="20:20">
      <c r="T15881" s="10"/>
    </row>
    <row r="15882" spans="20:20">
      <c r="T15882" s="10"/>
    </row>
    <row r="15883" spans="20:20">
      <c r="T15883" s="10"/>
    </row>
    <row r="15884" spans="20:20">
      <c r="T15884" s="10"/>
    </row>
    <row r="15885" spans="20:20">
      <c r="T15885" s="10"/>
    </row>
    <row r="15886" spans="20:20">
      <c r="T15886" s="10"/>
    </row>
    <row r="15887" spans="20:20">
      <c r="T15887" s="10"/>
    </row>
    <row r="15888" spans="20:20">
      <c r="T15888" s="10"/>
    </row>
    <row r="15889" spans="20:20">
      <c r="T15889" s="10"/>
    </row>
    <row r="15890" spans="20:20">
      <c r="T15890" s="10"/>
    </row>
    <row r="15891" spans="20:20">
      <c r="T15891" s="10"/>
    </row>
    <row r="15892" spans="20:20">
      <c r="T15892" s="10"/>
    </row>
    <row r="15893" spans="20:20">
      <c r="T15893" s="10"/>
    </row>
    <row r="15894" spans="20:20">
      <c r="T15894" s="10"/>
    </row>
    <row r="15895" spans="20:20">
      <c r="T15895" s="10"/>
    </row>
    <row r="15896" spans="20:20">
      <c r="T15896" s="10"/>
    </row>
    <row r="15897" spans="20:20">
      <c r="T15897" s="10"/>
    </row>
    <row r="15898" spans="20:20">
      <c r="T15898" s="10"/>
    </row>
    <row r="15899" spans="20:20">
      <c r="T15899" s="10"/>
    </row>
    <row r="15900" spans="20:20">
      <c r="T15900" s="10"/>
    </row>
    <row r="15901" spans="20:20">
      <c r="T15901" s="10"/>
    </row>
    <row r="15902" spans="20:20">
      <c r="T15902" s="10"/>
    </row>
    <row r="15903" spans="20:20">
      <c r="T15903" s="10"/>
    </row>
    <row r="15904" spans="20:20">
      <c r="T15904" s="10"/>
    </row>
    <row r="15905" spans="20:20">
      <c r="T15905" s="10"/>
    </row>
    <row r="15906" spans="20:20">
      <c r="T15906" s="10"/>
    </row>
    <row r="15907" spans="20:20">
      <c r="T15907" s="10"/>
    </row>
    <row r="15908" spans="20:20">
      <c r="T15908" s="10"/>
    </row>
    <row r="15909" spans="20:20">
      <c r="T15909" s="10"/>
    </row>
    <row r="15910" spans="20:20">
      <c r="T15910" s="10"/>
    </row>
    <row r="15911" spans="20:20">
      <c r="T15911" s="10"/>
    </row>
    <row r="15912" spans="20:20">
      <c r="T15912" s="10"/>
    </row>
    <row r="15913" spans="20:20">
      <c r="T15913" s="10"/>
    </row>
    <row r="15914" spans="20:20">
      <c r="T15914" s="10"/>
    </row>
    <row r="15915" spans="20:20">
      <c r="T15915" s="10"/>
    </row>
    <row r="15916" spans="20:20">
      <c r="T15916" s="10"/>
    </row>
    <row r="15917" spans="20:20">
      <c r="T15917" s="10"/>
    </row>
    <row r="15918" spans="20:20">
      <c r="T15918" s="10"/>
    </row>
    <row r="15919" spans="20:20">
      <c r="T15919" s="10"/>
    </row>
    <row r="15920" spans="20:20">
      <c r="T15920" s="10"/>
    </row>
    <row r="15921" spans="20:20">
      <c r="T15921" s="10"/>
    </row>
    <row r="15922" spans="20:20">
      <c r="T15922" s="10"/>
    </row>
    <row r="15923" spans="20:20">
      <c r="T15923" s="10"/>
    </row>
    <row r="15924" spans="20:20">
      <c r="T15924" s="10"/>
    </row>
    <row r="15925" spans="20:20">
      <c r="T15925" s="10"/>
    </row>
    <row r="15926" spans="20:20">
      <c r="T15926" s="10"/>
    </row>
    <row r="15927" spans="20:20">
      <c r="T15927" s="10"/>
    </row>
    <row r="15928" spans="20:20">
      <c r="T15928" s="10"/>
    </row>
    <row r="15929" spans="20:20">
      <c r="T15929" s="10"/>
    </row>
    <row r="15930" spans="20:20">
      <c r="T15930" s="10"/>
    </row>
    <row r="15931" spans="20:20">
      <c r="T15931" s="10"/>
    </row>
    <row r="15932" spans="20:20">
      <c r="T15932" s="10"/>
    </row>
    <row r="15933" spans="20:20">
      <c r="T15933" s="10"/>
    </row>
    <row r="15934" spans="20:20">
      <c r="T15934" s="10"/>
    </row>
    <row r="15935" spans="20:20">
      <c r="T15935" s="10"/>
    </row>
    <row r="15936" spans="20:20">
      <c r="T15936" s="10"/>
    </row>
    <row r="15937" spans="20:20">
      <c r="T15937" s="10"/>
    </row>
    <row r="15938" spans="20:20">
      <c r="T15938" s="10"/>
    </row>
    <row r="15939" spans="20:20">
      <c r="T15939" s="10"/>
    </row>
    <row r="15940" spans="20:20">
      <c r="T15940" s="10"/>
    </row>
    <row r="15941" spans="20:20">
      <c r="T15941" s="10"/>
    </row>
    <row r="15942" spans="20:20">
      <c r="T15942" s="10"/>
    </row>
    <row r="15943" spans="20:20">
      <c r="T15943" s="10"/>
    </row>
    <row r="15944" spans="20:20">
      <c r="T15944" s="10"/>
    </row>
    <row r="15945" spans="20:20">
      <c r="T15945" s="10"/>
    </row>
    <row r="15946" spans="20:20">
      <c r="T15946" s="10"/>
    </row>
    <row r="15947" spans="20:20">
      <c r="T15947" s="10"/>
    </row>
    <row r="15948" spans="20:20">
      <c r="T15948" s="10"/>
    </row>
    <row r="15949" spans="20:20">
      <c r="T15949" s="10"/>
    </row>
    <row r="15950" spans="20:20">
      <c r="T15950" s="10"/>
    </row>
    <row r="15951" spans="20:20">
      <c r="T15951" s="10"/>
    </row>
    <row r="15952" spans="20:20">
      <c r="T15952" s="10"/>
    </row>
    <row r="15953" spans="20:20">
      <c r="T15953" s="10"/>
    </row>
    <row r="15954" spans="20:20">
      <c r="T15954" s="10"/>
    </row>
    <row r="15955" spans="20:20">
      <c r="T15955" s="10"/>
    </row>
    <row r="15956" spans="20:20">
      <c r="T15956" s="10"/>
    </row>
    <row r="15957" spans="20:20">
      <c r="T15957" s="10"/>
    </row>
    <row r="15958" spans="20:20">
      <c r="T15958" s="10"/>
    </row>
    <row r="15959" spans="20:20">
      <c r="T15959" s="10"/>
    </row>
    <row r="15960" spans="20:20">
      <c r="T15960" s="10"/>
    </row>
    <row r="15961" spans="20:20">
      <c r="T15961" s="10"/>
    </row>
    <row r="15962" spans="20:20">
      <c r="T15962" s="10"/>
    </row>
    <row r="15963" spans="20:20">
      <c r="T15963" s="10"/>
    </row>
    <row r="15964" spans="20:20">
      <c r="T15964" s="10"/>
    </row>
    <row r="15965" spans="20:20">
      <c r="T15965" s="10"/>
    </row>
    <row r="15966" spans="20:20">
      <c r="T15966" s="10"/>
    </row>
    <row r="15967" spans="20:20">
      <c r="T15967" s="10"/>
    </row>
    <row r="15968" spans="20:20">
      <c r="T15968" s="10"/>
    </row>
    <row r="15969" spans="20:20">
      <c r="T15969" s="10"/>
    </row>
    <row r="15970" spans="20:20">
      <c r="T15970" s="10"/>
    </row>
    <row r="15971" spans="20:20">
      <c r="T15971" s="10"/>
    </row>
    <row r="15972" spans="20:20">
      <c r="T15972" s="10"/>
    </row>
    <row r="15973" spans="20:20">
      <c r="T15973" s="10"/>
    </row>
    <row r="15974" spans="20:20">
      <c r="T15974" s="10"/>
    </row>
    <row r="15975" spans="20:20">
      <c r="T15975" s="10"/>
    </row>
    <row r="15976" spans="20:20">
      <c r="T15976" s="10"/>
    </row>
    <row r="15977" spans="20:20">
      <c r="T15977" s="10"/>
    </row>
    <row r="15978" spans="20:20">
      <c r="T15978" s="10"/>
    </row>
    <row r="15979" spans="20:20">
      <c r="T15979" s="10"/>
    </row>
    <row r="15980" spans="20:20">
      <c r="T15980" s="10"/>
    </row>
    <row r="15981" spans="20:20">
      <c r="T15981" s="10"/>
    </row>
    <row r="15982" spans="20:20">
      <c r="T15982" s="10"/>
    </row>
    <row r="15983" spans="20:20">
      <c r="T15983" s="10"/>
    </row>
    <row r="15984" spans="20:20">
      <c r="T15984" s="10"/>
    </row>
    <row r="15985" spans="20:20">
      <c r="T15985" s="10"/>
    </row>
    <row r="15986" spans="20:20">
      <c r="T15986" s="10"/>
    </row>
    <row r="15987" spans="20:20">
      <c r="T15987" s="10"/>
    </row>
    <row r="15988" spans="20:20">
      <c r="T15988" s="10"/>
    </row>
    <row r="15989" spans="20:20">
      <c r="T15989" s="10"/>
    </row>
    <row r="15990" spans="20:20">
      <c r="T15990" s="10"/>
    </row>
    <row r="15991" spans="20:20">
      <c r="T15991" s="10"/>
    </row>
    <row r="15992" spans="20:20">
      <c r="T15992" s="10"/>
    </row>
    <row r="15993" spans="20:20">
      <c r="T15993" s="10"/>
    </row>
    <row r="15994" spans="20:20">
      <c r="T15994" s="10"/>
    </row>
    <row r="15995" spans="20:20">
      <c r="T15995" s="10"/>
    </row>
    <row r="15996" spans="20:20">
      <c r="T15996" s="10"/>
    </row>
    <row r="15997" spans="20:20">
      <c r="T15997" s="10"/>
    </row>
    <row r="15998" spans="20:20">
      <c r="T15998" s="10"/>
    </row>
    <row r="15999" spans="20:20">
      <c r="T15999" s="10"/>
    </row>
    <row r="16000" spans="20:20">
      <c r="T16000" s="10"/>
    </row>
    <row r="16001" spans="20:20">
      <c r="T16001" s="10"/>
    </row>
    <row r="16002" spans="20:20">
      <c r="T16002" s="10"/>
    </row>
    <row r="16003" spans="20:20">
      <c r="T16003" s="10"/>
    </row>
    <row r="16004" spans="20:20">
      <c r="T16004" s="10"/>
    </row>
    <row r="16005" spans="20:20">
      <c r="T16005" s="10"/>
    </row>
    <row r="16006" spans="20:20">
      <c r="T16006" s="10"/>
    </row>
    <row r="16007" spans="20:20">
      <c r="T16007" s="10"/>
    </row>
    <row r="16008" spans="20:20">
      <c r="T16008" s="10"/>
    </row>
    <row r="16009" spans="20:20">
      <c r="T16009" s="10"/>
    </row>
    <row r="16010" spans="20:20">
      <c r="T16010" s="10"/>
    </row>
    <row r="16011" spans="20:20">
      <c r="T16011" s="10"/>
    </row>
    <row r="16012" spans="20:20">
      <c r="T16012" s="10"/>
    </row>
    <row r="16013" spans="20:20">
      <c r="T16013" s="10"/>
    </row>
    <row r="16014" spans="20:20">
      <c r="T16014" s="10"/>
    </row>
    <row r="16015" spans="20:20">
      <c r="T16015" s="10"/>
    </row>
    <row r="16016" spans="20:20">
      <c r="T16016" s="10"/>
    </row>
    <row r="16017" spans="20:20">
      <c r="T16017" s="10"/>
    </row>
    <row r="16018" spans="20:20">
      <c r="T16018" s="10"/>
    </row>
    <row r="16019" spans="20:20">
      <c r="T16019" s="10"/>
    </row>
    <row r="16020" spans="20:20">
      <c r="T16020" s="10"/>
    </row>
    <row r="16021" spans="20:20">
      <c r="T16021" s="10"/>
    </row>
    <row r="16022" spans="20:20">
      <c r="T16022" s="10"/>
    </row>
    <row r="16023" spans="20:20">
      <c r="T16023" s="10"/>
    </row>
    <row r="16024" spans="20:20">
      <c r="T16024" s="10"/>
    </row>
    <row r="16025" spans="20:20">
      <c r="T16025" s="10"/>
    </row>
    <row r="16026" spans="20:20">
      <c r="T16026" s="10"/>
    </row>
    <row r="16027" spans="20:20">
      <c r="T16027" s="10"/>
    </row>
    <row r="16028" spans="20:20">
      <c r="T16028" s="10"/>
    </row>
    <row r="16029" spans="20:20">
      <c r="T16029" s="10"/>
    </row>
    <row r="16030" spans="20:20">
      <c r="T16030" s="10"/>
    </row>
    <row r="16031" spans="20:20">
      <c r="T16031" s="10"/>
    </row>
    <row r="16032" spans="20:20">
      <c r="T16032" s="10"/>
    </row>
    <row r="16033" spans="20:20">
      <c r="T16033" s="10"/>
    </row>
    <row r="16034" spans="20:20">
      <c r="T16034" s="10"/>
    </row>
    <row r="16035" spans="20:20">
      <c r="T16035" s="10"/>
    </row>
    <row r="16036" spans="20:20">
      <c r="T16036" s="10"/>
    </row>
    <row r="16037" spans="20:20">
      <c r="T16037" s="10"/>
    </row>
    <row r="16038" spans="20:20">
      <c r="T16038" s="10"/>
    </row>
    <row r="16039" spans="20:20">
      <c r="T16039" s="10"/>
    </row>
    <row r="16040" spans="20:20">
      <c r="T16040" s="10"/>
    </row>
    <row r="16041" spans="20:20">
      <c r="T16041" s="10"/>
    </row>
    <row r="16042" spans="20:20">
      <c r="T16042" s="10"/>
    </row>
    <row r="16043" spans="20:20">
      <c r="T16043" s="10"/>
    </row>
    <row r="16044" spans="20:20">
      <c r="T16044" s="10"/>
    </row>
    <row r="16045" spans="20:20">
      <c r="T16045" s="10"/>
    </row>
    <row r="16046" spans="20:20">
      <c r="T16046" s="10"/>
    </row>
    <row r="16047" spans="20:20">
      <c r="T16047" s="10"/>
    </row>
    <row r="16048" spans="20:20">
      <c r="T16048" s="10"/>
    </row>
    <row r="16049" spans="20:20">
      <c r="T16049" s="10"/>
    </row>
    <row r="16050" spans="20:20">
      <c r="T16050" s="10"/>
    </row>
    <row r="16051" spans="20:20">
      <c r="T16051" s="10"/>
    </row>
    <row r="16052" spans="20:20">
      <c r="T16052" s="10"/>
    </row>
    <row r="16053" spans="20:20">
      <c r="T16053" s="10"/>
    </row>
    <row r="16054" spans="20:20">
      <c r="T16054" s="10"/>
    </row>
    <row r="16055" spans="20:20">
      <c r="T16055" s="10"/>
    </row>
    <row r="16056" spans="20:20">
      <c r="T16056" s="10"/>
    </row>
    <row r="16057" spans="20:20">
      <c r="T16057" s="10"/>
    </row>
    <row r="16058" spans="20:20">
      <c r="T16058" s="10"/>
    </row>
    <row r="16059" spans="20:20">
      <c r="T16059" s="10"/>
    </row>
    <row r="16060" spans="20:20">
      <c r="T16060" s="10"/>
    </row>
    <row r="16061" spans="20:20">
      <c r="T16061" s="10"/>
    </row>
    <row r="16062" spans="20:20">
      <c r="T16062" s="10"/>
    </row>
    <row r="16063" spans="20:20">
      <c r="T16063" s="10"/>
    </row>
    <row r="16064" spans="20:20">
      <c r="T16064" s="10"/>
    </row>
    <row r="16065" spans="20:20">
      <c r="T16065" s="10"/>
    </row>
    <row r="16066" spans="20:20">
      <c r="T16066" s="10"/>
    </row>
    <row r="16067" spans="20:20">
      <c r="T16067" s="10"/>
    </row>
    <row r="16068" spans="20:20">
      <c r="T16068" s="10"/>
    </row>
    <row r="16069" spans="20:20">
      <c r="T16069" s="10"/>
    </row>
    <row r="16070" spans="20:20">
      <c r="T16070" s="10"/>
    </row>
    <row r="16071" spans="20:20">
      <c r="T16071" s="10"/>
    </row>
    <row r="16072" spans="20:20">
      <c r="T16072" s="10"/>
    </row>
    <row r="16073" spans="20:20">
      <c r="T16073" s="10"/>
    </row>
    <row r="16074" spans="20:20">
      <c r="T16074" s="10"/>
    </row>
    <row r="16075" spans="20:20">
      <c r="T16075" s="10"/>
    </row>
    <row r="16076" spans="20:20">
      <c r="T16076" s="10"/>
    </row>
    <row r="16077" spans="20:20">
      <c r="T16077" s="10"/>
    </row>
    <row r="16078" spans="20:20">
      <c r="T16078" s="10"/>
    </row>
    <row r="16079" spans="20:20">
      <c r="T16079" s="10"/>
    </row>
    <row r="16080" spans="20:20">
      <c r="T16080" s="10"/>
    </row>
    <row r="16081" spans="20:20">
      <c r="T16081" s="10"/>
    </row>
    <row r="16082" spans="20:20">
      <c r="T16082" s="10"/>
    </row>
    <row r="16083" spans="20:20">
      <c r="T16083" s="10"/>
    </row>
    <row r="16084" spans="20:20">
      <c r="T16084" s="10"/>
    </row>
    <row r="16085" spans="20:20">
      <c r="T16085" s="10"/>
    </row>
    <row r="16086" spans="20:20">
      <c r="T16086" s="10"/>
    </row>
    <row r="16087" spans="20:20">
      <c r="T16087" s="10"/>
    </row>
    <row r="16088" spans="20:20">
      <c r="T16088" s="10"/>
    </row>
    <row r="16089" spans="20:20">
      <c r="T16089" s="10"/>
    </row>
    <row r="16090" spans="20:20">
      <c r="T16090" s="10"/>
    </row>
    <row r="16091" spans="20:20">
      <c r="T16091" s="10"/>
    </row>
    <row r="16092" spans="20:20">
      <c r="T16092" s="10"/>
    </row>
    <row r="16093" spans="20:20">
      <c r="T16093" s="10"/>
    </row>
    <row r="16094" spans="20:20">
      <c r="T16094" s="10"/>
    </row>
    <row r="16095" spans="20:20">
      <c r="T16095" s="10"/>
    </row>
    <row r="16096" spans="20:20">
      <c r="T16096" s="10"/>
    </row>
    <row r="16097" spans="20:20">
      <c r="T16097" s="10"/>
    </row>
    <row r="16098" spans="20:20">
      <c r="T16098" s="10"/>
    </row>
    <row r="16099" spans="20:20">
      <c r="T16099" s="10"/>
    </row>
    <row r="16100" spans="20:20">
      <c r="T16100" s="10"/>
    </row>
    <row r="16101" spans="20:20">
      <c r="T16101" s="10"/>
    </row>
    <row r="16102" spans="20:20">
      <c r="T16102" s="10"/>
    </row>
    <row r="16103" spans="20:20">
      <c r="T16103" s="10"/>
    </row>
    <row r="16104" spans="20:20">
      <c r="T16104" s="10"/>
    </row>
    <row r="16105" spans="20:20">
      <c r="T16105" s="10"/>
    </row>
    <row r="16106" spans="20:20">
      <c r="T16106" s="10"/>
    </row>
    <row r="16107" spans="20:20">
      <c r="T16107" s="10"/>
    </row>
    <row r="16108" spans="20:20">
      <c r="T16108" s="10"/>
    </row>
    <row r="16109" spans="20:20">
      <c r="T16109" s="10"/>
    </row>
    <row r="16110" spans="20:20">
      <c r="T16110" s="10"/>
    </row>
    <row r="16111" spans="20:20">
      <c r="T16111" s="10"/>
    </row>
    <row r="16112" spans="20:20">
      <c r="T16112" s="10"/>
    </row>
    <row r="16113" spans="20:20">
      <c r="T16113" s="10"/>
    </row>
    <row r="16114" spans="20:20">
      <c r="T16114" s="10"/>
    </row>
    <row r="16115" spans="20:20">
      <c r="T16115" s="10"/>
    </row>
    <row r="16116" spans="20:20">
      <c r="T16116" s="10"/>
    </row>
    <row r="16117" spans="20:20">
      <c r="T16117" s="10"/>
    </row>
    <row r="16118" spans="20:20">
      <c r="T16118" s="10"/>
    </row>
    <row r="16119" spans="20:20">
      <c r="T16119" s="10"/>
    </row>
    <row r="16120" spans="20:20">
      <c r="T16120" s="10"/>
    </row>
    <row r="16121" spans="20:20">
      <c r="T16121" s="10"/>
    </row>
    <row r="16122" spans="20:20">
      <c r="T16122" s="10"/>
    </row>
    <row r="16123" spans="20:20">
      <c r="T16123" s="10"/>
    </row>
    <row r="16124" spans="20:20">
      <c r="T16124" s="10"/>
    </row>
    <row r="16125" spans="20:20">
      <c r="T16125" s="10"/>
    </row>
    <row r="16126" spans="20:20">
      <c r="T16126" s="10"/>
    </row>
    <row r="16127" spans="20:20">
      <c r="T16127" s="10"/>
    </row>
    <row r="16128" spans="20:20">
      <c r="T16128" s="10"/>
    </row>
    <row r="16129" spans="20:20">
      <c r="T16129" s="10"/>
    </row>
    <row r="16130" spans="20:20">
      <c r="T16130" s="10"/>
    </row>
    <row r="16131" spans="20:20">
      <c r="T16131" s="10"/>
    </row>
    <row r="16132" spans="20:20">
      <c r="T16132" s="10"/>
    </row>
    <row r="16133" spans="20:20">
      <c r="T16133" s="10"/>
    </row>
    <row r="16134" spans="20:20">
      <c r="T16134" s="10"/>
    </row>
    <row r="16135" spans="20:20">
      <c r="T16135" s="10"/>
    </row>
    <row r="16136" spans="20:20">
      <c r="T16136" s="10"/>
    </row>
    <row r="16137" spans="20:20">
      <c r="T16137" s="10"/>
    </row>
    <row r="16138" spans="20:20">
      <c r="T16138" s="10"/>
    </row>
    <row r="16139" spans="20:20">
      <c r="T16139" s="10"/>
    </row>
    <row r="16140" spans="20:20">
      <c r="T16140" s="10"/>
    </row>
    <row r="16141" spans="20:20">
      <c r="T16141" s="10"/>
    </row>
    <row r="16142" spans="20:20">
      <c r="T16142" s="10"/>
    </row>
    <row r="16143" spans="20:20">
      <c r="T16143" s="10"/>
    </row>
    <row r="16144" spans="20:20">
      <c r="T16144" s="10"/>
    </row>
    <row r="16145" spans="20:20">
      <c r="T16145" s="10"/>
    </row>
    <row r="16146" spans="20:20">
      <c r="T16146" s="10"/>
    </row>
    <row r="16147" spans="20:20">
      <c r="T16147" s="10"/>
    </row>
    <row r="16148" spans="20:20">
      <c r="T16148" s="10"/>
    </row>
    <row r="16149" spans="20:20">
      <c r="T16149" s="10"/>
    </row>
    <row r="16150" spans="20:20">
      <c r="T16150" s="10"/>
    </row>
    <row r="16151" spans="20:20">
      <c r="T16151" s="10"/>
    </row>
    <row r="16152" spans="20:20">
      <c r="T16152" s="10"/>
    </row>
    <row r="16153" spans="20:20">
      <c r="T16153" s="10"/>
    </row>
    <row r="16154" spans="20:20">
      <c r="T16154" s="10"/>
    </row>
    <row r="16155" spans="20:20">
      <c r="T16155" s="10"/>
    </row>
    <row r="16156" spans="20:20">
      <c r="T16156" s="10"/>
    </row>
    <row r="16157" spans="20:20">
      <c r="T16157" s="10"/>
    </row>
    <row r="16158" spans="20:20">
      <c r="T16158" s="10"/>
    </row>
    <row r="16159" spans="20:20">
      <c r="T16159" s="10"/>
    </row>
    <row r="16160" spans="20:20">
      <c r="T16160" s="10"/>
    </row>
    <row r="16161" spans="20:20">
      <c r="T16161" s="10"/>
    </row>
    <row r="16162" spans="20:20">
      <c r="T16162" s="10"/>
    </row>
    <row r="16163" spans="20:20">
      <c r="T16163" s="10"/>
    </row>
    <row r="16164" spans="20:20">
      <c r="T16164" s="10"/>
    </row>
    <row r="16165" spans="20:20">
      <c r="T16165" s="10"/>
    </row>
    <row r="16166" spans="20:20">
      <c r="T16166" s="10"/>
    </row>
    <row r="16167" spans="20:20">
      <c r="T16167" s="10"/>
    </row>
    <row r="16168" spans="20:20">
      <c r="T16168" s="10"/>
    </row>
    <row r="16169" spans="20:20">
      <c r="T16169" s="10"/>
    </row>
    <row r="16170" spans="20:20">
      <c r="T16170" s="10"/>
    </row>
    <row r="16171" spans="20:20">
      <c r="T16171" s="10"/>
    </row>
    <row r="16172" spans="20:20">
      <c r="T16172" s="10"/>
    </row>
    <row r="16173" spans="20:20">
      <c r="T16173" s="10"/>
    </row>
    <row r="16174" spans="20:20">
      <c r="T16174" s="10"/>
    </row>
    <row r="16175" spans="20:20">
      <c r="T16175" s="10"/>
    </row>
    <row r="16176" spans="20:20">
      <c r="T16176" s="10"/>
    </row>
    <row r="16177" spans="20:20">
      <c r="T16177" s="10"/>
    </row>
    <row r="16178" spans="20:20">
      <c r="T16178" s="10"/>
    </row>
    <row r="16179" spans="20:20">
      <c r="T16179" s="10"/>
    </row>
    <row r="16180" spans="20:20">
      <c r="T16180" s="10"/>
    </row>
    <row r="16181" spans="20:20">
      <c r="T16181" s="10"/>
    </row>
    <row r="16182" spans="20:20">
      <c r="T16182" s="10"/>
    </row>
    <row r="16183" spans="20:20">
      <c r="T16183" s="10"/>
    </row>
    <row r="16184" spans="20:20">
      <c r="T16184" s="10"/>
    </row>
    <row r="16185" spans="20:20">
      <c r="T16185" s="10"/>
    </row>
    <row r="16186" spans="20:20">
      <c r="T16186" s="10"/>
    </row>
    <row r="16187" spans="20:20">
      <c r="T16187" s="10"/>
    </row>
    <row r="16188" spans="20:20">
      <c r="T16188" s="10"/>
    </row>
    <row r="16189" spans="20:20">
      <c r="T16189" s="10"/>
    </row>
    <row r="16190" spans="20:20">
      <c r="T16190" s="10"/>
    </row>
    <row r="16191" spans="20:20">
      <c r="T16191" s="10"/>
    </row>
    <row r="16192" spans="20:20">
      <c r="T16192" s="10"/>
    </row>
    <row r="16193" spans="20:20">
      <c r="T16193" s="10"/>
    </row>
    <row r="16194" spans="20:20">
      <c r="T16194" s="10"/>
    </row>
    <row r="16195" spans="20:20">
      <c r="T16195" s="10"/>
    </row>
    <row r="16196" spans="20:20">
      <c r="T16196" s="10"/>
    </row>
    <row r="16197" spans="20:20">
      <c r="T16197" s="10"/>
    </row>
    <row r="16198" spans="20:20">
      <c r="T16198" s="10"/>
    </row>
    <row r="16199" spans="20:20">
      <c r="T16199" s="10"/>
    </row>
    <row r="16200" spans="20:20">
      <c r="T16200" s="10"/>
    </row>
    <row r="16201" spans="20:20">
      <c r="T16201" s="10"/>
    </row>
    <row r="16202" spans="20:20">
      <c r="T16202" s="10"/>
    </row>
    <row r="16203" spans="20:20">
      <c r="T16203" s="10"/>
    </row>
    <row r="16204" spans="20:20">
      <c r="T16204" s="10"/>
    </row>
    <row r="16205" spans="20:20">
      <c r="T16205" s="10"/>
    </row>
    <row r="16206" spans="20:20">
      <c r="T16206" s="10"/>
    </row>
    <row r="16207" spans="20:20">
      <c r="T16207" s="10"/>
    </row>
    <row r="16208" spans="20:20">
      <c r="T16208" s="10"/>
    </row>
    <row r="16209" spans="20:20">
      <c r="T16209" s="10"/>
    </row>
    <row r="16210" spans="20:20">
      <c r="T16210" s="10"/>
    </row>
    <row r="16211" spans="20:20">
      <c r="T16211" s="10"/>
    </row>
    <row r="16212" spans="20:20">
      <c r="T16212" s="10"/>
    </row>
    <row r="16213" spans="20:20">
      <c r="T16213" s="10"/>
    </row>
    <row r="16214" spans="20:20">
      <c r="T16214" s="10"/>
    </row>
    <row r="16215" spans="20:20">
      <c r="T16215" s="10"/>
    </row>
    <row r="16216" spans="20:20">
      <c r="T16216" s="10"/>
    </row>
    <row r="16217" spans="20:20">
      <c r="T16217" s="10"/>
    </row>
    <row r="16218" spans="20:20">
      <c r="T16218" s="10"/>
    </row>
    <row r="16219" spans="20:20">
      <c r="T16219" s="10"/>
    </row>
    <row r="16220" spans="20:20">
      <c r="T16220" s="10"/>
    </row>
    <row r="16221" spans="20:20">
      <c r="T16221" s="10"/>
    </row>
    <row r="16222" spans="20:20">
      <c r="T16222" s="10"/>
    </row>
    <row r="16223" spans="20:20">
      <c r="T16223" s="10"/>
    </row>
    <row r="16224" spans="20:20">
      <c r="T16224" s="10"/>
    </row>
    <row r="16225" spans="20:20">
      <c r="T16225" s="10"/>
    </row>
    <row r="16226" spans="20:20">
      <c r="T16226" s="10"/>
    </row>
    <row r="16227" spans="20:20">
      <c r="T16227" s="10"/>
    </row>
    <row r="16228" spans="20:20">
      <c r="T16228" s="10"/>
    </row>
    <row r="16229" spans="20:20">
      <c r="T16229" s="10"/>
    </row>
    <row r="16230" spans="20:20">
      <c r="T16230" s="10"/>
    </row>
    <row r="16231" spans="20:20">
      <c r="T16231" s="10"/>
    </row>
    <row r="16232" spans="20:20">
      <c r="T16232" s="10"/>
    </row>
    <row r="16233" spans="20:20">
      <c r="T16233" s="10"/>
    </row>
    <row r="16234" spans="20:20">
      <c r="T16234" s="10"/>
    </row>
    <row r="16235" spans="20:20">
      <c r="T16235" s="10"/>
    </row>
    <row r="16236" spans="20:20">
      <c r="T16236" s="10"/>
    </row>
    <row r="16237" spans="20:20">
      <c r="T16237" s="10"/>
    </row>
    <row r="16238" spans="20:20">
      <c r="T16238" s="10"/>
    </row>
    <row r="16239" spans="20:20">
      <c r="T16239" s="10"/>
    </row>
    <row r="16240" spans="20:20">
      <c r="T16240" s="10"/>
    </row>
    <row r="16241" spans="20:20">
      <c r="T16241" s="10"/>
    </row>
    <row r="16242" spans="20:20">
      <c r="T16242" s="10"/>
    </row>
    <row r="16243" spans="20:20">
      <c r="T16243" s="10"/>
    </row>
    <row r="16244" spans="20:20">
      <c r="T16244" s="10"/>
    </row>
    <row r="16245" spans="20:20">
      <c r="T16245" s="10"/>
    </row>
    <row r="16246" spans="20:20">
      <c r="T16246" s="10"/>
    </row>
    <row r="16247" spans="20:20">
      <c r="T16247" s="10"/>
    </row>
    <row r="16248" spans="20:20">
      <c r="T16248" s="10"/>
    </row>
    <row r="16249" spans="20:20">
      <c r="T16249" s="10"/>
    </row>
    <row r="16250" spans="20:20">
      <c r="T16250" s="10"/>
    </row>
    <row r="16251" spans="20:20">
      <c r="T16251" s="10"/>
    </row>
    <row r="16252" spans="20:20">
      <c r="T16252" s="10"/>
    </row>
    <row r="16253" spans="20:20">
      <c r="T16253" s="10"/>
    </row>
    <row r="16254" spans="20:20">
      <c r="T16254" s="10"/>
    </row>
    <row r="16255" spans="20:20">
      <c r="T16255" s="10"/>
    </row>
    <row r="16256" spans="20:20">
      <c r="T16256" s="10"/>
    </row>
    <row r="16257" spans="20:20">
      <c r="T16257" s="10"/>
    </row>
    <row r="16258" spans="20:20">
      <c r="T16258" s="10"/>
    </row>
    <row r="16259" spans="20:20">
      <c r="T16259" s="10"/>
    </row>
    <row r="16260" spans="20:20">
      <c r="T16260" s="10"/>
    </row>
    <row r="16261" spans="20:20">
      <c r="T16261" s="10"/>
    </row>
    <row r="16262" spans="20:20">
      <c r="T16262" s="10"/>
    </row>
    <row r="16263" spans="20:20">
      <c r="T16263" s="10"/>
    </row>
    <row r="16264" spans="20:20">
      <c r="T16264" s="10"/>
    </row>
    <row r="16265" spans="20:20">
      <c r="T16265" s="10"/>
    </row>
    <row r="16266" spans="20:20">
      <c r="T16266" s="10"/>
    </row>
    <row r="16267" spans="20:20">
      <c r="T16267" s="10"/>
    </row>
    <row r="16268" spans="20:20">
      <c r="T16268" s="10"/>
    </row>
    <row r="16269" spans="20:20">
      <c r="T16269" s="10"/>
    </row>
    <row r="16270" spans="20:20">
      <c r="T16270" s="10"/>
    </row>
    <row r="16271" spans="20:20">
      <c r="T16271" s="10"/>
    </row>
    <row r="16272" spans="20:20">
      <c r="T16272" s="10"/>
    </row>
    <row r="16273" spans="20:20">
      <c r="T16273" s="10"/>
    </row>
    <row r="16274" spans="20:20">
      <c r="T16274" s="10"/>
    </row>
    <row r="16275" spans="20:20">
      <c r="T16275" s="10"/>
    </row>
    <row r="16276" spans="20:20">
      <c r="T16276" s="10"/>
    </row>
    <row r="16277" spans="20:20">
      <c r="T16277" s="10"/>
    </row>
    <row r="16278" spans="20:20">
      <c r="T16278" s="10"/>
    </row>
    <row r="16279" spans="20:20">
      <c r="T16279" s="10"/>
    </row>
    <row r="16280" spans="20:20">
      <c r="T16280" s="10"/>
    </row>
    <row r="16281" spans="20:20">
      <c r="T16281" s="10"/>
    </row>
    <row r="16282" spans="20:20">
      <c r="T16282" s="10"/>
    </row>
    <row r="16283" spans="20:20">
      <c r="T16283" s="10"/>
    </row>
    <row r="16284" spans="20:20">
      <c r="T16284" s="10"/>
    </row>
    <row r="16285" spans="20:20">
      <c r="T16285" s="10"/>
    </row>
    <row r="16286" spans="20:20">
      <c r="T16286" s="10"/>
    </row>
    <row r="16287" spans="20:20">
      <c r="T16287" s="10"/>
    </row>
    <row r="16288" spans="20:20">
      <c r="T16288" s="10"/>
    </row>
    <row r="16289" spans="20:20">
      <c r="T16289" s="10"/>
    </row>
    <row r="16290" spans="20:20">
      <c r="T16290" s="10"/>
    </row>
    <row r="16291" spans="20:20">
      <c r="T16291" s="10"/>
    </row>
    <row r="16292" spans="20:20">
      <c r="T16292" s="10"/>
    </row>
    <row r="16293" spans="20:20">
      <c r="T16293" s="10"/>
    </row>
    <row r="16294" spans="20:20">
      <c r="T16294" s="10"/>
    </row>
    <row r="16295" spans="20:20">
      <c r="T16295" s="10"/>
    </row>
    <row r="16296" spans="20:20">
      <c r="T16296" s="10"/>
    </row>
    <row r="16297" spans="20:20">
      <c r="T16297" s="10"/>
    </row>
    <row r="16298" spans="20:20">
      <c r="T16298" s="10"/>
    </row>
    <row r="16299" spans="20:20">
      <c r="T16299" s="10"/>
    </row>
    <row r="16300" spans="20:20">
      <c r="T16300" s="10"/>
    </row>
    <row r="16301" spans="20:20">
      <c r="T16301" s="10"/>
    </row>
    <row r="16302" spans="20:20">
      <c r="T16302" s="10"/>
    </row>
    <row r="16303" spans="20:20">
      <c r="T16303" s="10"/>
    </row>
    <row r="16304" spans="20:20">
      <c r="T16304" s="10"/>
    </row>
    <row r="16305" spans="20:20">
      <c r="T16305" s="10"/>
    </row>
    <row r="16306" spans="20:20">
      <c r="T16306" s="10"/>
    </row>
    <row r="16307" spans="20:20">
      <c r="T16307" s="10"/>
    </row>
    <row r="16308" spans="20:20">
      <c r="T16308" s="10"/>
    </row>
    <row r="16309" spans="20:20">
      <c r="T16309" s="10"/>
    </row>
    <row r="16310" spans="20:20">
      <c r="T16310" s="10"/>
    </row>
    <row r="16311" spans="20:20">
      <c r="T16311" s="10"/>
    </row>
    <row r="16312" spans="20:20">
      <c r="T16312" s="10"/>
    </row>
    <row r="16313" spans="20:20">
      <c r="T16313" s="10"/>
    </row>
    <row r="16314" spans="20:20">
      <c r="T16314" s="10"/>
    </row>
    <row r="16315" spans="20:20">
      <c r="T16315" s="10"/>
    </row>
    <row r="16316" spans="20:20">
      <c r="T16316" s="10"/>
    </row>
    <row r="16317" spans="20:20">
      <c r="T16317" s="10"/>
    </row>
    <row r="16318" spans="20:20">
      <c r="T16318" s="10"/>
    </row>
    <row r="16319" spans="20:20">
      <c r="T16319" s="10"/>
    </row>
    <row r="16320" spans="20:20">
      <c r="T16320" s="10"/>
    </row>
    <row r="16321" spans="20:20">
      <c r="T16321" s="10"/>
    </row>
    <row r="16322" spans="20:20">
      <c r="T16322" s="10"/>
    </row>
    <row r="16323" spans="20:20">
      <c r="T16323" s="10"/>
    </row>
    <row r="16324" spans="20:20">
      <c r="T16324" s="10"/>
    </row>
    <row r="16325" spans="20:20">
      <c r="T16325" s="10"/>
    </row>
    <row r="16326" spans="20:20">
      <c r="T16326" s="10"/>
    </row>
    <row r="16327" spans="20:20">
      <c r="T16327" s="10"/>
    </row>
    <row r="16328" spans="20:20">
      <c r="T16328" s="10"/>
    </row>
    <row r="16329" spans="20:20">
      <c r="T16329" s="10"/>
    </row>
    <row r="16330" spans="20:20">
      <c r="T16330" s="10"/>
    </row>
    <row r="16331" spans="20:20">
      <c r="T16331" s="10"/>
    </row>
    <row r="16332" spans="20:20">
      <c r="T16332" s="10"/>
    </row>
    <row r="16333" spans="20:20">
      <c r="T16333" s="10"/>
    </row>
    <row r="16334" spans="20:20">
      <c r="T16334" s="10"/>
    </row>
    <row r="16335" spans="20:20">
      <c r="T16335" s="10"/>
    </row>
    <row r="16336" spans="20:20">
      <c r="T16336" s="10"/>
    </row>
    <row r="16337" spans="20:20">
      <c r="T16337" s="10"/>
    </row>
    <row r="16338" spans="20:20">
      <c r="T16338" s="10"/>
    </row>
    <row r="16339" spans="20:20">
      <c r="T16339" s="10"/>
    </row>
    <row r="16340" spans="20:20">
      <c r="T16340" s="10"/>
    </row>
    <row r="16341" spans="20:20">
      <c r="T16341" s="10"/>
    </row>
    <row r="16342" spans="20:20">
      <c r="T16342" s="10"/>
    </row>
    <row r="16343" spans="20:20">
      <c r="T16343" s="10"/>
    </row>
    <row r="16344" spans="20:20">
      <c r="T16344" s="10"/>
    </row>
    <row r="16345" spans="20:20">
      <c r="T16345" s="10"/>
    </row>
    <row r="16346" spans="20:20">
      <c r="T16346" s="10"/>
    </row>
    <row r="16347" spans="20:20">
      <c r="T16347" s="10"/>
    </row>
    <row r="16348" spans="20:20">
      <c r="T16348" s="10"/>
    </row>
    <row r="16349" spans="20:20">
      <c r="T16349" s="10"/>
    </row>
    <row r="16350" spans="20:20">
      <c r="T16350" s="10"/>
    </row>
    <row r="16351" spans="20:20">
      <c r="T16351" s="10"/>
    </row>
    <row r="16352" spans="20:20">
      <c r="T16352" s="10"/>
    </row>
    <row r="16353" spans="20:20">
      <c r="T16353" s="10"/>
    </row>
    <row r="16354" spans="20:20">
      <c r="T16354" s="10"/>
    </row>
    <row r="16355" spans="20:20">
      <c r="T16355" s="10"/>
    </row>
    <row r="16356" spans="20:20">
      <c r="T16356" s="10"/>
    </row>
    <row r="16357" spans="20:20">
      <c r="T16357" s="10"/>
    </row>
    <row r="16358" spans="20:20">
      <c r="T16358" s="10"/>
    </row>
    <row r="16359" spans="20:20">
      <c r="T16359" s="10"/>
    </row>
    <row r="16360" spans="20:20">
      <c r="T16360" s="10"/>
    </row>
    <row r="16361" spans="20:20">
      <c r="T16361" s="10"/>
    </row>
    <row r="16362" spans="20:20">
      <c r="T16362" s="10"/>
    </row>
    <row r="16363" spans="20:20">
      <c r="T16363" s="10"/>
    </row>
    <row r="16364" spans="20:20">
      <c r="T16364" s="10"/>
    </row>
    <row r="16365" spans="20:20">
      <c r="T16365" s="10"/>
    </row>
    <row r="16366" spans="20:20">
      <c r="T16366" s="10"/>
    </row>
    <row r="16367" spans="20:20">
      <c r="T16367" s="10"/>
    </row>
    <row r="16368" spans="20:20">
      <c r="T16368" s="10"/>
    </row>
    <row r="16369" spans="20:20">
      <c r="T16369" s="10"/>
    </row>
    <row r="16370" spans="20:20">
      <c r="T16370" s="10"/>
    </row>
    <row r="16371" spans="20:20">
      <c r="T16371" s="10"/>
    </row>
    <row r="16372" spans="20:20">
      <c r="T16372" s="10"/>
    </row>
    <row r="16373" spans="20:20">
      <c r="T16373" s="10"/>
    </row>
    <row r="16374" spans="20:20">
      <c r="T16374" s="10"/>
    </row>
    <row r="16375" spans="20:20">
      <c r="T16375" s="10"/>
    </row>
    <row r="16376" spans="20:20">
      <c r="T16376" s="10"/>
    </row>
    <row r="16377" spans="20:20">
      <c r="T16377" s="10"/>
    </row>
    <row r="16378" spans="20:20">
      <c r="T16378" s="10"/>
    </row>
    <row r="16379" spans="20:20">
      <c r="T16379" s="10"/>
    </row>
    <row r="16380" spans="20:20">
      <c r="T16380" s="10"/>
    </row>
    <row r="16381" spans="20:20">
      <c r="T16381" s="10"/>
    </row>
    <row r="16382" spans="20:20">
      <c r="T16382" s="10"/>
    </row>
    <row r="16383" spans="20:20">
      <c r="T16383" s="10"/>
    </row>
    <row r="16384" spans="20:20">
      <c r="T16384" s="10"/>
    </row>
    <row r="16385" spans="20:20">
      <c r="T16385" s="10"/>
    </row>
    <row r="16386" spans="20:20">
      <c r="T16386" s="10"/>
    </row>
    <row r="16387" spans="20:20">
      <c r="T16387" s="10"/>
    </row>
    <row r="16388" spans="20:20">
      <c r="T16388" s="10"/>
    </row>
    <row r="16389" spans="20:20">
      <c r="T16389" s="10"/>
    </row>
    <row r="16390" spans="20:20">
      <c r="T16390" s="10"/>
    </row>
    <row r="16391" spans="20:20">
      <c r="T16391" s="10"/>
    </row>
    <row r="16392" spans="20:20">
      <c r="T16392" s="10"/>
    </row>
    <row r="16393" spans="20:20">
      <c r="T16393" s="10"/>
    </row>
    <row r="16394" spans="20:20">
      <c r="T16394" s="10"/>
    </row>
    <row r="16395" spans="20:20">
      <c r="T16395" s="10"/>
    </row>
    <row r="16396" spans="20:20">
      <c r="T16396" s="10"/>
    </row>
    <row r="16397" spans="20:20">
      <c r="T16397" s="10"/>
    </row>
    <row r="16398" spans="20:20">
      <c r="T16398" s="10"/>
    </row>
    <row r="16399" spans="20:20">
      <c r="T16399" s="10"/>
    </row>
    <row r="16400" spans="20:20">
      <c r="T16400" s="10"/>
    </row>
    <row r="16401" spans="20:20">
      <c r="T16401" s="10"/>
    </row>
    <row r="16402" spans="20:20">
      <c r="T16402" s="10"/>
    </row>
    <row r="16403" spans="20:20">
      <c r="T16403" s="10"/>
    </row>
    <row r="16404" spans="20:20">
      <c r="T16404" s="10"/>
    </row>
    <row r="16405" spans="20:20">
      <c r="T16405" s="10"/>
    </row>
    <row r="16406" spans="20:20">
      <c r="T16406" s="10"/>
    </row>
    <row r="16407" spans="20:20">
      <c r="T16407" s="10"/>
    </row>
    <row r="16408" spans="20:20">
      <c r="T16408" s="10"/>
    </row>
    <row r="16409" spans="20:20">
      <c r="T16409" s="10"/>
    </row>
    <row r="16410" spans="20:20">
      <c r="T16410" s="10"/>
    </row>
    <row r="16411" spans="20:20">
      <c r="T16411" s="10"/>
    </row>
    <row r="16412" spans="20:20">
      <c r="T16412" s="10"/>
    </row>
    <row r="16413" spans="20:20">
      <c r="T16413" s="10"/>
    </row>
    <row r="16414" spans="20:20">
      <c r="T16414" s="10"/>
    </row>
    <row r="16415" spans="20:20">
      <c r="T16415" s="10"/>
    </row>
    <row r="16416" spans="20:20">
      <c r="T16416" s="10"/>
    </row>
    <row r="16417" spans="20:20">
      <c r="T16417" s="10"/>
    </row>
    <row r="16418" spans="20:20">
      <c r="T16418" s="10"/>
    </row>
    <row r="16419" spans="20:20">
      <c r="T16419" s="10"/>
    </row>
    <row r="16420" spans="20:20">
      <c r="T16420" s="10"/>
    </row>
    <row r="16421" spans="20:20">
      <c r="T16421" s="10"/>
    </row>
    <row r="16422" spans="20:20">
      <c r="T16422" s="10"/>
    </row>
    <row r="16423" spans="20:20">
      <c r="T16423" s="10"/>
    </row>
    <row r="16424" spans="20:20">
      <c r="T16424" s="10"/>
    </row>
    <row r="16425" spans="20:20">
      <c r="T16425" s="10"/>
    </row>
    <row r="16426" spans="20:20">
      <c r="T16426" s="10"/>
    </row>
    <row r="16427" spans="20:20">
      <c r="T16427" s="10"/>
    </row>
    <row r="16428" spans="20:20">
      <c r="T16428" s="10"/>
    </row>
    <row r="16429" spans="20:20">
      <c r="T16429" s="10"/>
    </row>
    <row r="16430" spans="20:20">
      <c r="T16430" s="10"/>
    </row>
    <row r="16431" spans="20:20">
      <c r="T16431" s="10"/>
    </row>
    <row r="16432" spans="20:20">
      <c r="T16432" s="10"/>
    </row>
    <row r="16433" spans="20:20">
      <c r="T16433" s="10"/>
    </row>
    <row r="16434" spans="20:20">
      <c r="T16434" s="10"/>
    </row>
    <row r="16435" spans="20:20">
      <c r="T16435" s="10"/>
    </row>
    <row r="16436" spans="20:20">
      <c r="T16436" s="10"/>
    </row>
    <row r="16437" spans="20:20">
      <c r="T16437" s="10"/>
    </row>
    <row r="16438" spans="20:20">
      <c r="T16438" s="10"/>
    </row>
    <row r="16439" spans="20:20">
      <c r="T16439" s="10"/>
    </row>
    <row r="16440" spans="20:20">
      <c r="T16440" s="10"/>
    </row>
    <row r="16441" spans="20:20">
      <c r="T16441" s="10"/>
    </row>
    <row r="16442" spans="20:20">
      <c r="T16442" s="10"/>
    </row>
    <row r="16443" spans="20:20">
      <c r="T16443" s="10"/>
    </row>
    <row r="16444" spans="20:20">
      <c r="T16444" s="10"/>
    </row>
    <row r="16445" spans="20:20">
      <c r="T16445" s="10"/>
    </row>
    <row r="16446" spans="20:20">
      <c r="T16446" s="10"/>
    </row>
    <row r="16447" spans="20:20">
      <c r="T16447" s="10"/>
    </row>
    <row r="16448" spans="20:20">
      <c r="T16448" s="10"/>
    </row>
    <row r="16449" spans="20:20">
      <c r="T16449" s="10"/>
    </row>
    <row r="16450" spans="20:20">
      <c r="T16450" s="10"/>
    </row>
    <row r="16451" spans="20:20">
      <c r="T16451" s="10"/>
    </row>
    <row r="16452" spans="20:20">
      <c r="T16452" s="10"/>
    </row>
    <row r="16453" spans="20:20">
      <c r="T16453" s="10"/>
    </row>
    <row r="16454" spans="20:20">
      <c r="T16454" s="10"/>
    </row>
    <row r="16455" spans="20:20">
      <c r="T16455" s="10"/>
    </row>
    <row r="16456" spans="20:20">
      <c r="T16456" s="10"/>
    </row>
    <row r="16457" spans="20:20">
      <c r="T16457" s="10"/>
    </row>
    <row r="16458" spans="20:20">
      <c r="T16458" s="10"/>
    </row>
    <row r="16459" spans="20:20">
      <c r="T16459" s="10"/>
    </row>
    <row r="16460" spans="20:20">
      <c r="T16460" s="10"/>
    </row>
    <row r="16461" spans="20:20">
      <c r="T16461" s="10"/>
    </row>
    <row r="16462" spans="20:20">
      <c r="T16462" s="10"/>
    </row>
    <row r="16463" spans="20:20">
      <c r="T16463" s="10"/>
    </row>
    <row r="16464" spans="20:20">
      <c r="T16464" s="10"/>
    </row>
    <row r="16465" spans="20:20">
      <c r="T16465" s="10"/>
    </row>
    <row r="16466" spans="20:20">
      <c r="T16466" s="10"/>
    </row>
    <row r="16467" spans="20:20">
      <c r="T16467" s="10"/>
    </row>
    <row r="16468" spans="20:20">
      <c r="T16468" s="10"/>
    </row>
    <row r="16469" spans="20:20">
      <c r="T16469" s="10"/>
    </row>
    <row r="16470" spans="20:20">
      <c r="T16470" s="10"/>
    </row>
    <row r="16471" spans="20:20">
      <c r="T16471" s="10"/>
    </row>
    <row r="16472" spans="20:20">
      <c r="T16472" s="10"/>
    </row>
    <row r="16473" spans="20:20">
      <c r="T16473" s="10"/>
    </row>
    <row r="16474" spans="20:20">
      <c r="T16474" s="10"/>
    </row>
    <row r="16475" spans="20:20">
      <c r="T16475" s="10"/>
    </row>
    <row r="16476" spans="20:20">
      <c r="T16476" s="10"/>
    </row>
    <row r="16477" spans="20:20">
      <c r="T16477" s="10"/>
    </row>
    <row r="16478" spans="20:20">
      <c r="T16478" s="10"/>
    </row>
    <row r="16479" spans="20:20">
      <c r="T16479" s="10"/>
    </row>
    <row r="16480" spans="20:20">
      <c r="T16480" s="10"/>
    </row>
    <row r="16481" spans="20:20">
      <c r="T16481" s="10"/>
    </row>
    <row r="16482" spans="20:20">
      <c r="T16482" s="10"/>
    </row>
    <row r="16483" spans="20:20">
      <c r="T16483" s="10"/>
    </row>
    <row r="16484" spans="20:20">
      <c r="T16484" s="10"/>
    </row>
    <row r="16485" spans="20:20">
      <c r="T16485" s="10"/>
    </row>
    <row r="16486" spans="20:20">
      <c r="T16486" s="10"/>
    </row>
    <row r="16487" spans="20:20">
      <c r="T16487" s="10"/>
    </row>
    <row r="16488" spans="20:20">
      <c r="T16488" s="10"/>
    </row>
    <row r="16489" spans="20:20">
      <c r="T16489" s="10"/>
    </row>
    <row r="16490" spans="20:20">
      <c r="T16490" s="10"/>
    </row>
    <row r="16491" spans="20:20">
      <c r="T16491" s="10"/>
    </row>
    <row r="16492" spans="20:20">
      <c r="T16492" s="10"/>
    </row>
    <row r="16493" spans="20:20">
      <c r="T16493" s="10"/>
    </row>
    <row r="16494" spans="20:20">
      <c r="T16494" s="10"/>
    </row>
    <row r="16495" spans="20:20">
      <c r="T16495" s="10"/>
    </row>
    <row r="16496" spans="20:20">
      <c r="T16496" s="10"/>
    </row>
    <row r="16497" spans="20:20">
      <c r="T16497" s="10"/>
    </row>
    <row r="16498" spans="20:20">
      <c r="T16498" s="10"/>
    </row>
    <row r="16499" spans="20:20">
      <c r="T16499" s="10"/>
    </row>
    <row r="16500" spans="20:20">
      <c r="T16500" s="10"/>
    </row>
    <row r="16501" spans="20:20">
      <c r="T16501" s="10"/>
    </row>
    <row r="16502" spans="20:20">
      <c r="T16502" s="10"/>
    </row>
    <row r="16503" spans="20:20">
      <c r="T16503" s="10"/>
    </row>
    <row r="16504" spans="20:20">
      <c r="T16504" s="10"/>
    </row>
    <row r="16505" spans="20:20">
      <c r="T16505" s="10"/>
    </row>
    <row r="16506" spans="20:20">
      <c r="T16506" s="10"/>
    </row>
    <row r="16507" spans="20:20">
      <c r="T16507" s="10"/>
    </row>
    <row r="16508" spans="20:20">
      <c r="T16508" s="10"/>
    </row>
    <row r="16509" spans="20:20">
      <c r="T16509" s="10"/>
    </row>
    <row r="16510" spans="20:20">
      <c r="T16510" s="10"/>
    </row>
    <row r="16511" spans="20:20">
      <c r="T16511" s="10"/>
    </row>
    <row r="16512" spans="20:20">
      <c r="T16512" s="10"/>
    </row>
    <row r="16513" spans="20:20">
      <c r="T16513" s="10"/>
    </row>
    <row r="16514" spans="20:20">
      <c r="T16514" s="10"/>
    </row>
    <row r="16515" spans="20:20">
      <c r="T16515" s="10"/>
    </row>
    <row r="16516" spans="20:20">
      <c r="T16516" s="10"/>
    </row>
    <row r="16517" spans="20:20">
      <c r="T16517" s="10"/>
    </row>
    <row r="16518" spans="20:20">
      <c r="T16518" s="10"/>
    </row>
    <row r="16519" spans="20:20">
      <c r="T16519" s="10"/>
    </row>
    <row r="16520" spans="20:20">
      <c r="T16520" s="10"/>
    </row>
    <row r="16521" spans="20:20">
      <c r="T16521" s="10"/>
    </row>
    <row r="16522" spans="20:20">
      <c r="T16522" s="10"/>
    </row>
    <row r="16523" spans="20:20">
      <c r="T16523" s="10"/>
    </row>
    <row r="16524" spans="20:20">
      <c r="T16524" s="10"/>
    </row>
    <row r="16525" spans="20:20">
      <c r="T16525" s="10"/>
    </row>
    <row r="16526" spans="20:20">
      <c r="T16526" s="10"/>
    </row>
    <row r="16527" spans="20:20">
      <c r="T16527" s="10"/>
    </row>
    <row r="16528" spans="20:20">
      <c r="T16528" s="10"/>
    </row>
    <row r="16529" spans="20:20">
      <c r="T16529" s="10"/>
    </row>
    <row r="16530" spans="20:20">
      <c r="T16530" s="10"/>
    </row>
    <row r="16531" spans="20:20">
      <c r="T16531" s="10"/>
    </row>
    <row r="16532" spans="20:20">
      <c r="T16532" s="10"/>
    </row>
    <row r="16533" spans="20:20">
      <c r="T16533" s="10"/>
    </row>
    <row r="16534" spans="20:20">
      <c r="T16534" s="10"/>
    </row>
    <row r="16535" spans="20:20">
      <c r="T16535" s="10"/>
    </row>
    <row r="16536" spans="20:20">
      <c r="T16536" s="10"/>
    </row>
    <row r="16537" spans="20:20">
      <c r="T16537" s="10"/>
    </row>
    <row r="16538" spans="20:20">
      <c r="T16538" s="10"/>
    </row>
    <row r="16539" spans="20:20">
      <c r="T16539" s="10"/>
    </row>
    <row r="16540" spans="20:20">
      <c r="T16540" s="10"/>
    </row>
    <row r="16541" spans="20:20">
      <c r="T16541" s="10"/>
    </row>
    <row r="16542" spans="20:20">
      <c r="T16542" s="10"/>
    </row>
    <row r="16543" spans="20:20">
      <c r="T16543" s="10"/>
    </row>
    <row r="16544" spans="20:20">
      <c r="T16544" s="10"/>
    </row>
    <row r="16545" spans="20:20">
      <c r="T16545" s="10"/>
    </row>
    <row r="16546" spans="20:20">
      <c r="T16546" s="10"/>
    </row>
    <row r="16547" spans="20:20">
      <c r="T16547" s="10"/>
    </row>
    <row r="16548" spans="20:20">
      <c r="T16548" s="10"/>
    </row>
    <row r="16549" spans="20:20">
      <c r="T16549" s="10"/>
    </row>
    <row r="16550" spans="20:20">
      <c r="T16550" s="10"/>
    </row>
    <row r="16551" spans="20:20">
      <c r="T16551" s="10"/>
    </row>
    <row r="16552" spans="20:20">
      <c r="T16552" s="10"/>
    </row>
    <row r="16553" spans="20:20">
      <c r="T16553" s="10"/>
    </row>
    <row r="16554" spans="20:20">
      <c r="T16554" s="10"/>
    </row>
    <row r="16555" spans="20:20">
      <c r="T16555" s="10"/>
    </row>
    <row r="16556" spans="20:20">
      <c r="T16556" s="10"/>
    </row>
    <row r="16557" spans="20:20">
      <c r="T16557" s="10"/>
    </row>
    <row r="16558" spans="20:20">
      <c r="T16558" s="10"/>
    </row>
    <row r="16559" spans="20:20">
      <c r="T16559" s="10"/>
    </row>
    <row r="16560" spans="20:20">
      <c r="T16560" s="10"/>
    </row>
    <row r="16561" spans="20:20">
      <c r="T16561" s="10"/>
    </row>
    <row r="16562" spans="20:20">
      <c r="T16562" s="10"/>
    </row>
    <row r="16563" spans="20:20">
      <c r="T16563" s="10"/>
    </row>
    <row r="16564" spans="20:20">
      <c r="T16564" s="10"/>
    </row>
    <row r="16565" spans="20:20">
      <c r="T16565" s="10"/>
    </row>
    <row r="16566" spans="20:20">
      <c r="T16566" s="10"/>
    </row>
    <row r="16567" spans="20:20">
      <c r="T16567" s="10"/>
    </row>
    <row r="16568" spans="20:20">
      <c r="T16568" s="10"/>
    </row>
    <row r="16569" spans="20:20">
      <c r="T16569" s="10"/>
    </row>
    <row r="16570" spans="20:20">
      <c r="T16570" s="10"/>
    </row>
    <row r="16571" spans="20:20">
      <c r="T16571" s="10"/>
    </row>
    <row r="16572" spans="20:20">
      <c r="T16572" s="10"/>
    </row>
    <row r="16573" spans="20:20">
      <c r="T16573" s="10"/>
    </row>
    <row r="16574" spans="20:20">
      <c r="T16574" s="10"/>
    </row>
    <row r="16575" spans="20:20">
      <c r="T16575" s="10"/>
    </row>
    <row r="16576" spans="20:20">
      <c r="T16576" s="10"/>
    </row>
    <row r="16577" spans="20:20">
      <c r="T16577" s="10"/>
    </row>
    <row r="16578" spans="20:20">
      <c r="T16578" s="10"/>
    </row>
    <row r="16579" spans="20:20">
      <c r="T16579" s="10"/>
    </row>
    <row r="16580" spans="20:20">
      <c r="T16580" s="10"/>
    </row>
    <row r="16581" spans="20:20">
      <c r="T16581" s="10"/>
    </row>
    <row r="16582" spans="20:20">
      <c r="T16582" s="10"/>
    </row>
    <row r="16583" spans="20:20">
      <c r="T16583" s="10"/>
    </row>
    <row r="16584" spans="20:20">
      <c r="T16584" s="10"/>
    </row>
    <row r="16585" spans="20:20">
      <c r="T16585" s="10"/>
    </row>
    <row r="16586" spans="20:20">
      <c r="T16586" s="10"/>
    </row>
    <row r="16587" spans="20:20">
      <c r="T16587" s="10"/>
    </row>
    <row r="16588" spans="20:20">
      <c r="T16588" s="10"/>
    </row>
    <row r="16589" spans="20:20">
      <c r="T16589" s="10"/>
    </row>
    <row r="16590" spans="20:20">
      <c r="T16590" s="10"/>
    </row>
    <row r="16591" spans="20:20">
      <c r="T16591" s="10"/>
    </row>
    <row r="16592" spans="20:20">
      <c r="T16592" s="10"/>
    </row>
    <row r="16593" spans="20:20">
      <c r="T16593" s="10"/>
    </row>
    <row r="16594" spans="20:20">
      <c r="T16594" s="10"/>
    </row>
    <row r="16595" spans="20:20">
      <c r="T16595" s="10"/>
    </row>
    <row r="16596" spans="20:20">
      <c r="T16596" s="10"/>
    </row>
    <row r="16597" spans="20:20">
      <c r="T16597" s="10"/>
    </row>
    <row r="16598" spans="20:20">
      <c r="T16598" s="10"/>
    </row>
    <row r="16599" spans="20:20">
      <c r="T16599" s="10"/>
    </row>
    <row r="16600" spans="20:20">
      <c r="T16600" s="10"/>
    </row>
    <row r="16601" spans="20:20">
      <c r="T16601" s="10"/>
    </row>
    <row r="16602" spans="20:20">
      <c r="T16602" s="10"/>
    </row>
    <row r="16603" spans="20:20">
      <c r="T16603" s="10"/>
    </row>
    <row r="16604" spans="20:20">
      <c r="T16604" s="10"/>
    </row>
    <row r="16605" spans="20:20">
      <c r="T16605" s="10"/>
    </row>
    <row r="16606" spans="20:20">
      <c r="T16606" s="10"/>
    </row>
    <row r="16607" spans="20:20">
      <c r="T16607" s="10"/>
    </row>
    <row r="16608" spans="20:20">
      <c r="T16608" s="10"/>
    </row>
    <row r="16609" spans="20:20">
      <c r="T16609" s="10"/>
    </row>
    <row r="16610" spans="20:20">
      <c r="T16610" s="10"/>
    </row>
    <row r="16611" spans="20:20">
      <c r="T16611" s="10"/>
    </row>
    <row r="16612" spans="20:20">
      <c r="T16612" s="10"/>
    </row>
    <row r="16613" spans="20:20">
      <c r="T16613" s="10"/>
    </row>
    <row r="16614" spans="20:20">
      <c r="T16614" s="10"/>
    </row>
    <row r="16615" spans="20:20">
      <c r="T16615" s="10"/>
    </row>
    <row r="16616" spans="20:20">
      <c r="T16616" s="10"/>
    </row>
    <row r="16617" spans="20:20">
      <c r="T16617" s="10"/>
    </row>
    <row r="16618" spans="20:20">
      <c r="T16618" s="10"/>
    </row>
    <row r="16619" spans="20:20">
      <c r="T16619" s="10"/>
    </row>
    <row r="16620" spans="20:20">
      <c r="T16620" s="10"/>
    </row>
    <row r="16621" spans="20:20">
      <c r="T16621" s="10"/>
    </row>
    <row r="16622" spans="20:20">
      <c r="T16622" s="10"/>
    </row>
    <row r="16623" spans="20:20">
      <c r="T16623" s="10"/>
    </row>
    <row r="16624" spans="20:20">
      <c r="T16624" s="10"/>
    </row>
    <row r="16625" spans="20:20">
      <c r="T16625" s="10"/>
    </row>
    <row r="16626" spans="20:20">
      <c r="T16626" s="10"/>
    </row>
    <row r="16627" spans="20:20">
      <c r="T16627" s="10"/>
    </row>
    <row r="16628" spans="20:20">
      <c r="T16628" s="10"/>
    </row>
    <row r="16629" spans="20:20">
      <c r="T16629" s="10"/>
    </row>
    <row r="16630" spans="20:20">
      <c r="T16630" s="10"/>
    </row>
    <row r="16631" spans="20:20">
      <c r="T16631" s="10"/>
    </row>
    <row r="16632" spans="20:20">
      <c r="T16632" s="10"/>
    </row>
    <row r="16633" spans="20:20">
      <c r="T16633" s="10"/>
    </row>
    <row r="16634" spans="20:20">
      <c r="T16634" s="10"/>
    </row>
    <row r="16635" spans="20:20">
      <c r="T16635" s="10"/>
    </row>
    <row r="16636" spans="20:20">
      <c r="T16636" s="10"/>
    </row>
    <row r="16637" spans="20:20">
      <c r="T16637" s="10"/>
    </row>
    <row r="16638" spans="20:20">
      <c r="T16638" s="10"/>
    </row>
    <row r="16639" spans="20:20">
      <c r="T16639" s="10"/>
    </row>
    <row r="16640" spans="20:20">
      <c r="T16640" s="10"/>
    </row>
    <row r="16641" spans="20:20">
      <c r="T16641" s="10"/>
    </row>
    <row r="16642" spans="20:20">
      <c r="T16642" s="10"/>
    </row>
    <row r="16643" spans="20:20">
      <c r="T16643" s="10"/>
    </row>
    <row r="16644" spans="20:20">
      <c r="T16644" s="10"/>
    </row>
    <row r="16645" spans="20:20">
      <c r="T16645" s="10"/>
    </row>
    <row r="16646" spans="20:20">
      <c r="T16646" s="10"/>
    </row>
    <row r="16647" spans="20:20">
      <c r="T16647" s="10"/>
    </row>
    <row r="16648" spans="20:20">
      <c r="T16648" s="10"/>
    </row>
    <row r="16649" spans="20:20">
      <c r="T16649" s="10"/>
    </row>
    <row r="16650" spans="20:20">
      <c r="T16650" s="10"/>
    </row>
    <row r="16651" spans="20:20">
      <c r="T16651" s="10"/>
    </row>
    <row r="16652" spans="20:20">
      <c r="T16652" s="10"/>
    </row>
    <row r="16653" spans="20:20">
      <c r="T16653" s="10"/>
    </row>
    <row r="16654" spans="20:20">
      <c r="T16654" s="10"/>
    </row>
    <row r="16655" spans="20:20">
      <c r="T16655" s="10"/>
    </row>
    <row r="16656" spans="20:20">
      <c r="T16656" s="10"/>
    </row>
    <row r="16657" spans="20:20">
      <c r="T16657" s="10"/>
    </row>
    <row r="16658" spans="20:20">
      <c r="T16658" s="10"/>
    </row>
    <row r="16659" spans="20:20">
      <c r="T16659" s="10"/>
    </row>
    <row r="16660" spans="20:20">
      <c r="T16660" s="10"/>
    </row>
    <row r="16661" spans="20:20">
      <c r="T16661" s="10"/>
    </row>
    <row r="16662" spans="20:20">
      <c r="T16662" s="10"/>
    </row>
    <row r="16663" spans="20:20">
      <c r="T16663" s="10"/>
    </row>
    <row r="16664" spans="20:20">
      <c r="T16664" s="10"/>
    </row>
    <row r="16665" spans="20:20">
      <c r="T16665" s="10"/>
    </row>
    <row r="16666" spans="20:20">
      <c r="T16666" s="10"/>
    </row>
    <row r="16667" spans="20:20">
      <c r="T16667" s="10"/>
    </row>
    <row r="16668" spans="20:20">
      <c r="T16668" s="10"/>
    </row>
    <row r="16669" spans="20:20">
      <c r="T16669" s="10"/>
    </row>
    <row r="16670" spans="20:20">
      <c r="T16670" s="10"/>
    </row>
    <row r="16671" spans="20:20">
      <c r="T16671" s="10"/>
    </row>
    <row r="16672" spans="20:20">
      <c r="T16672" s="10"/>
    </row>
    <row r="16673" spans="20:20">
      <c r="T16673" s="10"/>
    </row>
    <row r="16674" spans="20:20">
      <c r="T16674" s="10"/>
    </row>
    <row r="16675" spans="20:20">
      <c r="T16675" s="10"/>
    </row>
    <row r="16676" spans="20:20">
      <c r="T16676" s="10"/>
    </row>
    <row r="16677" spans="20:20">
      <c r="T16677" s="10"/>
    </row>
    <row r="16678" spans="20:20">
      <c r="T16678" s="10"/>
    </row>
    <row r="16679" spans="20:20">
      <c r="T16679" s="10"/>
    </row>
    <row r="16680" spans="20:20">
      <c r="T16680" s="10"/>
    </row>
    <row r="16681" spans="20:20">
      <c r="T16681" s="10"/>
    </row>
    <row r="16682" spans="20:20">
      <c r="T16682" s="10"/>
    </row>
    <row r="16683" spans="20:20">
      <c r="T16683" s="10"/>
    </row>
    <row r="16684" spans="20:20">
      <c r="T16684" s="10"/>
    </row>
    <row r="16685" spans="20:20">
      <c r="T16685" s="10"/>
    </row>
    <row r="16686" spans="20:20">
      <c r="T16686" s="10"/>
    </row>
    <row r="16687" spans="20:20">
      <c r="T16687" s="10"/>
    </row>
    <row r="16688" spans="20:20">
      <c r="T16688" s="10"/>
    </row>
    <row r="16689" spans="20:20">
      <c r="T16689" s="10"/>
    </row>
    <row r="16690" spans="20:20">
      <c r="T16690" s="10"/>
    </row>
    <row r="16691" spans="20:20">
      <c r="T16691" s="10"/>
    </row>
    <row r="16692" spans="20:20">
      <c r="T16692" s="10"/>
    </row>
    <row r="16693" spans="20:20">
      <c r="T16693" s="10"/>
    </row>
    <row r="16694" spans="20:20">
      <c r="T16694" s="10"/>
    </row>
    <row r="16695" spans="20:20">
      <c r="T16695" s="10"/>
    </row>
    <row r="16696" spans="20:20">
      <c r="T16696" s="10"/>
    </row>
    <row r="16697" spans="20:20">
      <c r="T16697" s="10"/>
    </row>
    <row r="16698" spans="20:20">
      <c r="T16698" s="10"/>
    </row>
    <row r="16699" spans="20:20">
      <c r="T16699" s="10"/>
    </row>
    <row r="16700" spans="20:20">
      <c r="T16700" s="10"/>
    </row>
    <row r="16701" spans="20:20">
      <c r="T16701" s="10"/>
    </row>
    <row r="16702" spans="20:20">
      <c r="T16702" s="10"/>
    </row>
    <row r="16703" spans="20:20">
      <c r="T16703" s="10"/>
    </row>
    <row r="16704" spans="20:20">
      <c r="T16704" s="10"/>
    </row>
    <row r="16705" spans="20:20">
      <c r="T16705" s="10"/>
    </row>
    <row r="16706" spans="20:20">
      <c r="T16706" s="10"/>
    </row>
    <row r="16707" spans="20:20">
      <c r="T16707" s="10"/>
    </row>
    <row r="16708" spans="20:20">
      <c r="T16708" s="10"/>
    </row>
    <row r="16709" spans="20:20">
      <c r="T16709" s="10"/>
    </row>
    <row r="16710" spans="20:20">
      <c r="T16710" s="10"/>
    </row>
    <row r="16711" spans="20:20">
      <c r="T16711" s="10"/>
    </row>
    <row r="16712" spans="20:20">
      <c r="T16712" s="10"/>
    </row>
    <row r="16713" spans="20:20">
      <c r="T16713" s="10"/>
    </row>
    <row r="16714" spans="20:20">
      <c r="T16714" s="10"/>
    </row>
    <row r="16715" spans="20:20">
      <c r="T16715" s="10"/>
    </row>
    <row r="16716" spans="20:20">
      <c r="T16716" s="10"/>
    </row>
    <row r="16717" spans="20:20">
      <c r="T16717" s="10"/>
    </row>
    <row r="16718" spans="20:20">
      <c r="T16718" s="10"/>
    </row>
    <row r="16719" spans="20:20">
      <c r="T16719" s="10"/>
    </row>
    <row r="16720" spans="20:20">
      <c r="T16720" s="10"/>
    </row>
    <row r="16721" spans="20:20">
      <c r="T16721" s="10"/>
    </row>
    <row r="16722" spans="20:20">
      <c r="T16722" s="10"/>
    </row>
    <row r="16723" spans="20:20">
      <c r="T16723" s="10"/>
    </row>
    <row r="16724" spans="20:20">
      <c r="T16724" s="10"/>
    </row>
    <row r="16725" spans="20:20">
      <c r="T16725" s="10"/>
    </row>
    <row r="16726" spans="20:20">
      <c r="T16726" s="10"/>
    </row>
    <row r="16727" spans="20:20">
      <c r="T16727" s="10"/>
    </row>
    <row r="16728" spans="20:20">
      <c r="T16728" s="10"/>
    </row>
    <row r="16729" spans="20:20">
      <c r="T16729" s="10"/>
    </row>
    <row r="16730" spans="20:20">
      <c r="T16730" s="10"/>
    </row>
    <row r="16731" spans="20:20">
      <c r="T16731" s="10"/>
    </row>
    <row r="16732" spans="20:20">
      <c r="T16732" s="10"/>
    </row>
    <row r="16733" spans="20:20">
      <c r="T16733" s="10"/>
    </row>
    <row r="16734" spans="20:20">
      <c r="T16734" s="10"/>
    </row>
    <row r="16735" spans="20:20">
      <c r="T16735" s="10"/>
    </row>
    <row r="16736" spans="20:20">
      <c r="T16736" s="10"/>
    </row>
    <row r="16737" spans="20:20">
      <c r="T16737" s="10"/>
    </row>
    <row r="16738" spans="20:20">
      <c r="T16738" s="10"/>
    </row>
    <row r="16739" spans="20:20">
      <c r="T16739" s="10"/>
    </row>
    <row r="16740" spans="20:20">
      <c r="T16740" s="10"/>
    </row>
    <row r="16741" spans="20:20">
      <c r="T16741" s="10"/>
    </row>
    <row r="16742" spans="20:20">
      <c r="T16742" s="10"/>
    </row>
    <row r="16743" spans="20:20">
      <c r="T16743" s="10"/>
    </row>
    <row r="16744" spans="20:20">
      <c r="T16744" s="10"/>
    </row>
    <row r="16745" spans="20:20">
      <c r="T16745" s="10"/>
    </row>
    <row r="16746" spans="20:20">
      <c r="T16746" s="10"/>
    </row>
    <row r="16747" spans="20:20">
      <c r="T16747" s="10"/>
    </row>
    <row r="16748" spans="20:20">
      <c r="T16748" s="10"/>
    </row>
    <row r="16749" spans="20:20">
      <c r="T16749" s="10"/>
    </row>
    <row r="16750" spans="20:20">
      <c r="T16750" s="10"/>
    </row>
    <row r="16751" spans="20:20">
      <c r="T16751" s="10"/>
    </row>
    <row r="16752" spans="20:20">
      <c r="T16752" s="10"/>
    </row>
    <row r="16753" spans="20:20">
      <c r="T16753" s="10"/>
    </row>
    <row r="16754" spans="20:20">
      <c r="T16754" s="10"/>
    </row>
    <row r="16755" spans="20:20">
      <c r="T16755" s="10"/>
    </row>
    <row r="16756" spans="20:20">
      <c r="T16756" s="10"/>
    </row>
    <row r="16757" spans="20:20">
      <c r="T16757" s="10"/>
    </row>
    <row r="16758" spans="20:20">
      <c r="T16758" s="10"/>
    </row>
    <row r="16759" spans="20:20">
      <c r="T16759" s="10"/>
    </row>
    <row r="16760" spans="20:20">
      <c r="T16760" s="10"/>
    </row>
    <row r="16761" spans="20:20">
      <c r="T16761" s="10"/>
    </row>
    <row r="16762" spans="20:20">
      <c r="T16762" s="10"/>
    </row>
    <row r="16763" spans="20:20">
      <c r="T16763" s="10"/>
    </row>
    <row r="16764" spans="20:20">
      <c r="T16764" s="10"/>
    </row>
    <row r="16765" spans="20:20">
      <c r="T16765" s="10"/>
    </row>
    <row r="16766" spans="20:20">
      <c r="T16766" s="10"/>
    </row>
    <row r="16767" spans="20:20">
      <c r="T16767" s="10"/>
    </row>
    <row r="16768" spans="20:20">
      <c r="T16768" s="10"/>
    </row>
    <row r="16769" spans="20:20">
      <c r="T16769" s="10"/>
    </row>
    <row r="16770" spans="20:20">
      <c r="T16770" s="10"/>
    </row>
    <row r="16771" spans="20:20">
      <c r="T16771" s="10"/>
    </row>
    <row r="16772" spans="20:20">
      <c r="T16772" s="10"/>
    </row>
    <row r="16773" spans="20:20">
      <c r="T16773" s="10"/>
    </row>
    <row r="16774" spans="20:20">
      <c r="T16774" s="10"/>
    </row>
    <row r="16775" spans="20:20">
      <c r="T16775" s="10"/>
    </row>
    <row r="16776" spans="20:20">
      <c r="T16776" s="10"/>
    </row>
    <row r="16777" spans="20:20">
      <c r="T16777" s="10"/>
    </row>
    <row r="16778" spans="20:20">
      <c r="T16778" s="10"/>
    </row>
    <row r="16779" spans="20:20">
      <c r="T16779" s="10"/>
    </row>
    <row r="16780" spans="20:20">
      <c r="T16780" s="10"/>
    </row>
    <row r="16781" spans="20:20">
      <c r="T16781" s="10"/>
    </row>
    <row r="16782" spans="20:20">
      <c r="T16782" s="10"/>
    </row>
    <row r="16783" spans="20:20">
      <c r="T16783" s="10"/>
    </row>
    <row r="16784" spans="20:20">
      <c r="T16784" s="10"/>
    </row>
    <row r="16785" spans="20:20">
      <c r="T16785" s="10"/>
    </row>
    <row r="16786" spans="20:20">
      <c r="T16786" s="10"/>
    </row>
    <row r="16787" spans="20:20">
      <c r="T16787" s="10"/>
    </row>
    <row r="16788" spans="20:20">
      <c r="T16788" s="10"/>
    </row>
    <row r="16789" spans="20:20">
      <c r="T16789" s="10"/>
    </row>
    <row r="16790" spans="20:20">
      <c r="T16790" s="10"/>
    </row>
    <row r="16791" spans="20:20">
      <c r="T16791" s="10"/>
    </row>
    <row r="16792" spans="20:20">
      <c r="T16792" s="10"/>
    </row>
    <row r="16793" spans="20:20">
      <c r="T16793" s="10"/>
    </row>
    <row r="16794" spans="20:20">
      <c r="T16794" s="10"/>
    </row>
    <row r="16795" spans="20:20">
      <c r="T16795" s="10"/>
    </row>
    <row r="16796" spans="20:20">
      <c r="T16796" s="10"/>
    </row>
    <row r="16797" spans="20:20">
      <c r="T16797" s="10"/>
    </row>
    <row r="16798" spans="20:20">
      <c r="T16798" s="10"/>
    </row>
    <row r="16799" spans="20:20">
      <c r="T16799" s="10"/>
    </row>
    <row r="16800" spans="20:20">
      <c r="T16800" s="10"/>
    </row>
    <row r="16801" spans="20:20">
      <c r="T16801" s="10"/>
    </row>
    <row r="16802" spans="20:20">
      <c r="T16802" s="10"/>
    </row>
    <row r="16803" spans="20:20">
      <c r="T16803" s="10"/>
    </row>
    <row r="16804" spans="20:20">
      <c r="T16804" s="10"/>
    </row>
    <row r="16805" spans="20:20">
      <c r="T16805" s="10"/>
    </row>
    <row r="16806" spans="20:20">
      <c r="T16806" s="10"/>
    </row>
    <row r="16807" spans="20:20">
      <c r="T16807" s="10"/>
    </row>
    <row r="16808" spans="20:20">
      <c r="T16808" s="10"/>
    </row>
    <row r="16809" spans="20:20">
      <c r="T16809" s="10"/>
    </row>
    <row r="16810" spans="20:20">
      <c r="T16810" s="10"/>
    </row>
    <row r="16811" spans="20:20">
      <c r="T16811" s="10"/>
    </row>
    <row r="16812" spans="20:20">
      <c r="T16812" s="10"/>
    </row>
    <row r="16813" spans="20:20">
      <c r="T16813" s="10"/>
    </row>
    <row r="16814" spans="20:20">
      <c r="T16814" s="10"/>
    </row>
    <row r="16815" spans="20:20">
      <c r="T16815" s="10"/>
    </row>
    <row r="16816" spans="20:20">
      <c r="T16816" s="10"/>
    </row>
    <row r="16817" spans="20:20">
      <c r="T16817" s="10"/>
    </row>
    <row r="16818" spans="20:20">
      <c r="T16818" s="10"/>
    </row>
    <row r="16819" spans="20:20">
      <c r="T16819" s="10"/>
    </row>
    <row r="16820" spans="20:20">
      <c r="T16820" s="10"/>
    </row>
    <row r="16821" spans="20:20">
      <c r="T16821" s="10"/>
    </row>
    <row r="16822" spans="20:20">
      <c r="T16822" s="10"/>
    </row>
    <row r="16823" spans="20:20">
      <c r="T16823" s="10"/>
    </row>
    <row r="16824" spans="20:20">
      <c r="T16824" s="10"/>
    </row>
    <row r="16825" spans="20:20">
      <c r="T16825" s="10"/>
    </row>
    <row r="16826" spans="20:20">
      <c r="T16826" s="10"/>
    </row>
    <row r="16827" spans="20:20">
      <c r="T16827" s="10"/>
    </row>
    <row r="16828" spans="20:20">
      <c r="T16828" s="10"/>
    </row>
    <row r="16829" spans="20:20">
      <c r="T16829" s="10"/>
    </row>
    <row r="16830" spans="20:20">
      <c r="T16830" s="10"/>
    </row>
    <row r="16831" spans="20:20">
      <c r="T16831" s="10"/>
    </row>
    <row r="16832" spans="20:20">
      <c r="T16832" s="10"/>
    </row>
    <row r="16833" spans="20:20">
      <c r="T16833" s="10"/>
    </row>
    <row r="16834" spans="20:20">
      <c r="T16834" s="10"/>
    </row>
    <row r="16835" spans="20:20">
      <c r="T16835" s="10"/>
    </row>
    <row r="16836" spans="20:20">
      <c r="T16836" s="10"/>
    </row>
    <row r="16837" spans="20:20">
      <c r="T16837" s="10"/>
    </row>
    <row r="16838" spans="20:20">
      <c r="T16838" s="10"/>
    </row>
    <row r="16839" spans="20:20">
      <c r="T16839" s="10"/>
    </row>
    <row r="16840" spans="20:20">
      <c r="T16840" s="10"/>
    </row>
    <row r="16841" spans="20:20">
      <c r="T16841" s="10"/>
    </row>
    <row r="16842" spans="20:20">
      <c r="T16842" s="10"/>
    </row>
    <row r="16843" spans="20:20">
      <c r="T16843" s="10"/>
    </row>
    <row r="16844" spans="20:20">
      <c r="T16844" s="10"/>
    </row>
    <row r="16845" spans="20:20">
      <c r="T16845" s="10"/>
    </row>
    <row r="16846" spans="20:20">
      <c r="T16846" s="10"/>
    </row>
    <row r="16847" spans="20:20">
      <c r="T16847" s="10"/>
    </row>
    <row r="16848" spans="20:20">
      <c r="T16848" s="10"/>
    </row>
    <row r="16849" spans="20:20">
      <c r="T16849" s="10"/>
    </row>
    <row r="16850" spans="20:20">
      <c r="T16850" s="10"/>
    </row>
    <row r="16851" spans="20:20">
      <c r="T16851" s="10"/>
    </row>
    <row r="16852" spans="20:20">
      <c r="T16852" s="10"/>
    </row>
    <row r="16853" spans="20:20">
      <c r="T16853" s="10"/>
    </row>
    <row r="16854" spans="20:20">
      <c r="T16854" s="10"/>
    </row>
    <row r="16855" spans="20:20">
      <c r="T16855" s="10"/>
    </row>
    <row r="16856" spans="20:20">
      <c r="T16856" s="10"/>
    </row>
    <row r="16857" spans="20:20">
      <c r="T16857" s="10"/>
    </row>
    <row r="16858" spans="20:20">
      <c r="T16858" s="10"/>
    </row>
    <row r="16859" spans="20:20">
      <c r="T16859" s="10"/>
    </row>
    <row r="16860" spans="20:20">
      <c r="T16860" s="10"/>
    </row>
    <row r="16861" spans="20:20">
      <c r="T16861" s="10"/>
    </row>
    <row r="16862" spans="20:20">
      <c r="T16862" s="10"/>
    </row>
    <row r="16863" spans="20:20">
      <c r="T16863" s="10"/>
    </row>
    <row r="16864" spans="20:20">
      <c r="T16864" s="10"/>
    </row>
    <row r="16865" spans="20:20">
      <c r="T16865" s="10"/>
    </row>
    <row r="16866" spans="20:20">
      <c r="T16866" s="10"/>
    </row>
    <row r="16867" spans="20:20">
      <c r="T16867" s="10"/>
    </row>
    <row r="16868" spans="20:20">
      <c r="T16868" s="10"/>
    </row>
    <row r="16869" spans="20:20">
      <c r="T16869" s="10"/>
    </row>
    <row r="16870" spans="20:20">
      <c r="T16870" s="10"/>
    </row>
    <row r="16871" spans="20:20">
      <c r="T16871" s="10"/>
    </row>
    <row r="16872" spans="20:20">
      <c r="T16872" s="10"/>
    </row>
    <row r="16873" spans="20:20">
      <c r="T16873" s="10"/>
    </row>
    <row r="16874" spans="20:20">
      <c r="T16874" s="10"/>
    </row>
    <row r="16875" spans="20:20">
      <c r="T16875" s="10"/>
    </row>
    <row r="16876" spans="20:20">
      <c r="T16876" s="10"/>
    </row>
    <row r="16877" spans="20:20">
      <c r="T16877" s="10"/>
    </row>
    <row r="16878" spans="20:20">
      <c r="T16878" s="10"/>
    </row>
    <row r="16879" spans="20:20">
      <c r="T16879" s="10"/>
    </row>
    <row r="16880" spans="20:20">
      <c r="T16880" s="10"/>
    </row>
    <row r="16881" spans="20:20">
      <c r="T16881" s="10"/>
    </row>
    <row r="16882" spans="20:20">
      <c r="T16882" s="10"/>
    </row>
    <row r="16883" spans="20:20">
      <c r="T16883" s="10"/>
    </row>
    <row r="16884" spans="20:20">
      <c r="T16884" s="10"/>
    </row>
    <row r="16885" spans="20:20">
      <c r="T16885" s="10"/>
    </row>
    <row r="16886" spans="20:20">
      <c r="T16886" s="10"/>
    </row>
    <row r="16887" spans="20:20">
      <c r="T16887" s="10"/>
    </row>
    <row r="16888" spans="20:20">
      <c r="T16888" s="10"/>
    </row>
    <row r="16889" spans="20:20">
      <c r="T16889" s="10"/>
    </row>
    <row r="16890" spans="20:20">
      <c r="T16890" s="10"/>
    </row>
    <row r="16891" spans="20:20">
      <c r="T16891" s="10"/>
    </row>
    <row r="16892" spans="20:20">
      <c r="T16892" s="10"/>
    </row>
    <row r="16893" spans="20:20">
      <c r="T16893" s="10"/>
    </row>
    <row r="16894" spans="20:20">
      <c r="T16894" s="10"/>
    </row>
    <row r="16895" spans="20:20">
      <c r="T16895" s="10"/>
    </row>
    <row r="16896" spans="20:20">
      <c r="T16896" s="10"/>
    </row>
    <row r="16897" spans="20:20">
      <c r="T16897" s="10"/>
    </row>
    <row r="16898" spans="20:20">
      <c r="T16898" s="10"/>
    </row>
    <row r="16899" spans="20:20">
      <c r="T16899" s="10"/>
    </row>
    <row r="16900" spans="20:20">
      <c r="T16900" s="10"/>
    </row>
    <row r="16901" spans="20:20">
      <c r="T16901" s="10"/>
    </row>
    <row r="16902" spans="20:20">
      <c r="T16902" s="10"/>
    </row>
    <row r="16903" spans="20:20">
      <c r="T16903" s="10"/>
    </row>
    <row r="16904" spans="20:20">
      <c r="T16904" s="10"/>
    </row>
    <row r="16905" spans="20:20">
      <c r="T16905" s="10"/>
    </row>
    <row r="16906" spans="20:20">
      <c r="T16906" s="10"/>
    </row>
    <row r="16907" spans="20:20">
      <c r="T16907" s="10"/>
    </row>
    <row r="16908" spans="20:20">
      <c r="T16908" s="10"/>
    </row>
    <row r="16909" spans="20:20">
      <c r="T16909" s="10"/>
    </row>
    <row r="16910" spans="20:20">
      <c r="T16910" s="10"/>
    </row>
    <row r="16911" spans="20:20">
      <c r="T16911" s="10"/>
    </row>
    <row r="16912" spans="20:20">
      <c r="T16912" s="10"/>
    </row>
    <row r="16913" spans="20:20">
      <c r="T16913" s="10"/>
    </row>
    <row r="16914" spans="20:20">
      <c r="T16914" s="10"/>
    </row>
    <row r="16915" spans="20:20">
      <c r="T16915" s="10"/>
    </row>
    <row r="16916" spans="20:20">
      <c r="T16916" s="10"/>
    </row>
    <row r="16917" spans="20:20">
      <c r="T16917" s="10"/>
    </row>
    <row r="16918" spans="20:20">
      <c r="T16918" s="10"/>
    </row>
    <row r="16919" spans="20:20">
      <c r="T16919" s="10"/>
    </row>
    <row r="16920" spans="20:20">
      <c r="T16920" s="10"/>
    </row>
    <row r="16921" spans="20:20">
      <c r="T16921" s="10"/>
    </row>
    <row r="16922" spans="20:20">
      <c r="T16922" s="10"/>
    </row>
    <row r="16923" spans="20:20">
      <c r="T16923" s="10"/>
    </row>
    <row r="16924" spans="20:20">
      <c r="T16924" s="10"/>
    </row>
    <row r="16925" spans="20:20">
      <c r="T16925" s="10"/>
    </row>
    <row r="16926" spans="20:20">
      <c r="T16926" s="10"/>
    </row>
    <row r="16927" spans="20:20">
      <c r="T16927" s="10"/>
    </row>
    <row r="16928" spans="20:20">
      <c r="T16928" s="10"/>
    </row>
    <row r="16929" spans="20:20">
      <c r="T16929" s="10"/>
    </row>
    <row r="16930" spans="20:20">
      <c r="T16930" s="10"/>
    </row>
    <row r="16931" spans="20:20">
      <c r="T16931" s="10"/>
    </row>
    <row r="16932" spans="20:20">
      <c r="T16932" s="10"/>
    </row>
    <row r="16933" spans="20:20">
      <c r="T16933" s="10"/>
    </row>
    <row r="16934" spans="20:20">
      <c r="T16934" s="10"/>
    </row>
    <row r="16935" spans="20:20">
      <c r="T16935" s="10"/>
    </row>
    <row r="16936" spans="20:20">
      <c r="T16936" s="10"/>
    </row>
    <row r="16937" spans="20:20">
      <c r="T16937" s="10"/>
    </row>
    <row r="16938" spans="20:20">
      <c r="T16938" s="10"/>
    </row>
    <row r="16939" spans="20:20">
      <c r="T16939" s="10"/>
    </row>
    <row r="16940" spans="20:20">
      <c r="T16940" s="10"/>
    </row>
    <row r="16941" spans="20:20">
      <c r="T16941" s="10"/>
    </row>
    <row r="16942" spans="20:20">
      <c r="T16942" s="10"/>
    </row>
    <row r="16943" spans="20:20">
      <c r="T16943" s="10"/>
    </row>
    <row r="16944" spans="20:20">
      <c r="T16944" s="10"/>
    </row>
    <row r="16945" spans="20:20">
      <c r="T16945" s="10"/>
    </row>
    <row r="16946" spans="20:20">
      <c r="T16946" s="10"/>
    </row>
    <row r="16947" spans="20:20">
      <c r="T16947" s="10"/>
    </row>
    <row r="16948" spans="20:20">
      <c r="T16948" s="10"/>
    </row>
    <row r="16949" spans="20:20">
      <c r="T16949" s="10"/>
    </row>
    <row r="16950" spans="20:20">
      <c r="T16950" s="10"/>
    </row>
    <row r="16951" spans="20:20">
      <c r="T16951" s="10"/>
    </row>
    <row r="16952" spans="20:20">
      <c r="T16952" s="10"/>
    </row>
    <row r="16953" spans="20:20">
      <c r="T16953" s="10"/>
    </row>
    <row r="16954" spans="20:20">
      <c r="T16954" s="10"/>
    </row>
    <row r="16955" spans="20:20">
      <c r="T16955" s="10"/>
    </row>
    <row r="16956" spans="20:20">
      <c r="T16956" s="10"/>
    </row>
    <row r="16957" spans="20:20">
      <c r="T16957" s="10"/>
    </row>
    <row r="16958" spans="20:20">
      <c r="T16958" s="10"/>
    </row>
    <row r="16959" spans="20:20">
      <c r="T16959" s="10"/>
    </row>
    <row r="16960" spans="20:20">
      <c r="T16960" s="10"/>
    </row>
    <row r="16961" spans="20:20">
      <c r="T16961" s="10"/>
    </row>
    <row r="16962" spans="20:20">
      <c r="T16962" s="10"/>
    </row>
    <row r="16963" spans="20:20">
      <c r="T16963" s="10"/>
    </row>
    <row r="16964" spans="20:20">
      <c r="T16964" s="10"/>
    </row>
    <row r="16965" spans="20:20">
      <c r="T16965" s="10"/>
    </row>
    <row r="16966" spans="20:20">
      <c r="T16966" s="10"/>
    </row>
    <row r="16967" spans="20:20">
      <c r="T16967" s="10"/>
    </row>
    <row r="16968" spans="20:20">
      <c r="T16968" s="10"/>
    </row>
    <row r="16969" spans="20:20">
      <c r="T16969" s="10"/>
    </row>
    <row r="16970" spans="20:20">
      <c r="T16970" s="10"/>
    </row>
    <row r="16971" spans="20:20">
      <c r="T16971" s="10"/>
    </row>
    <row r="16972" spans="20:20">
      <c r="T16972" s="10"/>
    </row>
    <row r="16973" spans="20:20">
      <c r="T16973" s="10"/>
    </row>
    <row r="16974" spans="20:20">
      <c r="T16974" s="10"/>
    </row>
    <row r="16975" spans="20:20">
      <c r="T16975" s="10"/>
    </row>
    <row r="16976" spans="20:20">
      <c r="T16976" s="10"/>
    </row>
    <row r="16977" spans="20:20">
      <c r="T16977" s="10"/>
    </row>
    <row r="16978" spans="20:20">
      <c r="T16978" s="10"/>
    </row>
    <row r="16979" spans="20:20">
      <c r="T16979" s="10"/>
    </row>
    <row r="16980" spans="20:20">
      <c r="T16980" s="10"/>
    </row>
    <row r="16981" spans="20:20">
      <c r="T16981" s="10"/>
    </row>
    <row r="16982" spans="20:20">
      <c r="T16982" s="10"/>
    </row>
    <row r="16983" spans="20:20">
      <c r="T16983" s="10"/>
    </row>
    <row r="16984" spans="20:20">
      <c r="T16984" s="10"/>
    </row>
    <row r="16985" spans="20:20">
      <c r="T16985" s="10"/>
    </row>
    <row r="16986" spans="20:20">
      <c r="T16986" s="10"/>
    </row>
    <row r="16987" spans="20:20">
      <c r="T16987" s="10"/>
    </row>
    <row r="16988" spans="20:20">
      <c r="T16988" s="10"/>
    </row>
    <row r="16989" spans="20:20">
      <c r="T16989" s="10"/>
    </row>
    <row r="16990" spans="20:20">
      <c r="T16990" s="10"/>
    </row>
    <row r="16991" spans="20:20">
      <c r="T16991" s="10"/>
    </row>
    <row r="16992" spans="20:20">
      <c r="T16992" s="10"/>
    </row>
    <row r="16993" spans="20:20">
      <c r="T16993" s="10"/>
    </row>
    <row r="16994" spans="20:20">
      <c r="T16994" s="10"/>
    </row>
    <row r="16995" spans="20:20">
      <c r="T16995" s="10"/>
    </row>
    <row r="16996" spans="20:20">
      <c r="T16996" s="10"/>
    </row>
    <row r="16997" spans="20:20">
      <c r="T16997" s="10"/>
    </row>
    <row r="16998" spans="20:20">
      <c r="T16998" s="10"/>
    </row>
    <row r="16999" spans="20:20">
      <c r="T16999" s="10"/>
    </row>
    <row r="17000" spans="20:20">
      <c r="T17000" s="10"/>
    </row>
    <row r="17001" spans="20:20">
      <c r="T17001" s="10"/>
    </row>
    <row r="17002" spans="20:20">
      <c r="T17002" s="10"/>
    </row>
    <row r="17003" spans="20:20">
      <c r="T17003" s="10"/>
    </row>
    <row r="17004" spans="20:20">
      <c r="T17004" s="10"/>
    </row>
    <row r="17005" spans="20:20">
      <c r="T17005" s="10"/>
    </row>
    <row r="17006" spans="20:20">
      <c r="T17006" s="10"/>
    </row>
    <row r="17007" spans="20:20">
      <c r="T17007" s="10"/>
    </row>
    <row r="17008" spans="20:20">
      <c r="T17008" s="10"/>
    </row>
    <row r="17009" spans="20:20">
      <c r="T17009" s="10"/>
    </row>
    <row r="17010" spans="20:20">
      <c r="T17010" s="10"/>
    </row>
    <row r="17011" spans="20:20">
      <c r="T17011" s="10"/>
    </row>
    <row r="17012" spans="20:20">
      <c r="T17012" s="10"/>
    </row>
    <row r="17013" spans="20:20">
      <c r="T17013" s="10"/>
    </row>
    <row r="17014" spans="20:20">
      <c r="T17014" s="10"/>
    </row>
    <row r="17015" spans="20:20">
      <c r="T17015" s="10"/>
    </row>
    <row r="17016" spans="20:20">
      <c r="T17016" s="10"/>
    </row>
    <row r="17017" spans="20:20">
      <c r="T17017" s="10"/>
    </row>
    <row r="17018" spans="20:20">
      <c r="T17018" s="10"/>
    </row>
    <row r="17019" spans="20:20">
      <c r="T17019" s="10"/>
    </row>
    <row r="17020" spans="20:20">
      <c r="T17020" s="10"/>
    </row>
    <row r="17021" spans="20:20">
      <c r="T17021" s="10"/>
    </row>
    <row r="17022" spans="20:20">
      <c r="T17022" s="10"/>
    </row>
    <row r="17023" spans="20:20">
      <c r="T17023" s="10"/>
    </row>
    <row r="17024" spans="20:20">
      <c r="T17024" s="10"/>
    </row>
    <row r="17025" spans="20:20">
      <c r="T17025" s="10"/>
    </row>
    <row r="17026" spans="20:20">
      <c r="T17026" s="10"/>
    </row>
    <row r="17027" spans="20:20">
      <c r="T17027" s="10"/>
    </row>
    <row r="17028" spans="20:20">
      <c r="T17028" s="10"/>
    </row>
    <row r="17029" spans="20:20">
      <c r="T17029" s="10"/>
    </row>
    <row r="17030" spans="20:20">
      <c r="T17030" s="10"/>
    </row>
    <row r="17031" spans="20:20">
      <c r="T17031" s="10"/>
    </row>
    <row r="17032" spans="20:20">
      <c r="T17032" s="10"/>
    </row>
    <row r="17033" spans="20:20">
      <c r="T17033" s="10"/>
    </row>
    <row r="17034" spans="20:20">
      <c r="T17034" s="10"/>
    </row>
    <row r="17035" spans="20:20">
      <c r="T17035" s="10"/>
    </row>
    <row r="17036" spans="20:20">
      <c r="T17036" s="10"/>
    </row>
    <row r="17037" spans="20:20">
      <c r="T17037" s="10"/>
    </row>
    <row r="17038" spans="20:20">
      <c r="T17038" s="10"/>
    </row>
    <row r="17039" spans="20:20">
      <c r="T17039" s="10"/>
    </row>
    <row r="17040" spans="20:20">
      <c r="T17040" s="10"/>
    </row>
    <row r="17041" spans="20:20">
      <c r="T17041" s="10"/>
    </row>
    <row r="17042" spans="20:20">
      <c r="T17042" s="10"/>
    </row>
    <row r="17043" spans="20:20">
      <c r="T17043" s="10"/>
    </row>
    <row r="17044" spans="20:20">
      <c r="T17044" s="10"/>
    </row>
    <row r="17045" spans="20:20">
      <c r="T17045" s="10"/>
    </row>
    <row r="17046" spans="20:20">
      <c r="T17046" s="10"/>
    </row>
    <row r="17047" spans="20:20">
      <c r="T17047" s="10"/>
    </row>
    <row r="17048" spans="20:20">
      <c r="T17048" s="10"/>
    </row>
    <row r="17049" spans="20:20">
      <c r="T17049" s="10"/>
    </row>
    <row r="17050" spans="20:20">
      <c r="T17050" s="10"/>
    </row>
    <row r="17051" spans="20:20">
      <c r="T17051" s="10"/>
    </row>
    <row r="17052" spans="20:20">
      <c r="T17052" s="10"/>
    </row>
    <row r="17053" spans="20:20">
      <c r="T17053" s="10"/>
    </row>
    <row r="17054" spans="20:20">
      <c r="T17054" s="10"/>
    </row>
    <row r="17055" spans="20:20">
      <c r="T17055" s="10"/>
    </row>
    <row r="17056" spans="20:20">
      <c r="T17056" s="10"/>
    </row>
    <row r="17057" spans="20:20">
      <c r="T17057" s="10"/>
    </row>
    <row r="17058" spans="20:20">
      <c r="T17058" s="10"/>
    </row>
    <row r="17059" spans="20:20">
      <c r="T17059" s="10"/>
    </row>
    <row r="17060" spans="20:20">
      <c r="T17060" s="10"/>
    </row>
    <row r="17061" spans="20:20">
      <c r="T17061" s="10"/>
    </row>
    <row r="17062" spans="20:20">
      <c r="T17062" s="10"/>
    </row>
    <row r="17063" spans="20:20">
      <c r="T17063" s="10"/>
    </row>
    <row r="17064" spans="20:20">
      <c r="T17064" s="10"/>
    </row>
    <row r="17065" spans="20:20">
      <c r="T17065" s="10"/>
    </row>
    <row r="17066" spans="20:20">
      <c r="T17066" s="10"/>
    </row>
    <row r="17067" spans="20:20">
      <c r="T17067" s="10"/>
    </row>
    <row r="17068" spans="20:20">
      <c r="T17068" s="10"/>
    </row>
    <row r="17069" spans="20:20">
      <c r="T17069" s="10"/>
    </row>
    <row r="17070" spans="20:20">
      <c r="T17070" s="10"/>
    </row>
    <row r="17071" spans="20:20">
      <c r="T17071" s="10"/>
    </row>
    <row r="17072" spans="20:20">
      <c r="T17072" s="10"/>
    </row>
    <row r="17073" spans="20:20">
      <c r="T17073" s="10"/>
    </row>
    <row r="17074" spans="20:20">
      <c r="T17074" s="10"/>
    </row>
    <row r="17075" spans="20:20">
      <c r="T17075" s="10"/>
    </row>
    <row r="17076" spans="20:20">
      <c r="T17076" s="10"/>
    </row>
    <row r="17077" spans="20:20">
      <c r="T17077" s="10"/>
    </row>
    <row r="17078" spans="20:20">
      <c r="T17078" s="10"/>
    </row>
    <row r="17079" spans="20:20">
      <c r="T17079" s="10"/>
    </row>
    <row r="17080" spans="20:20">
      <c r="T17080" s="10"/>
    </row>
    <row r="17081" spans="20:20">
      <c r="T17081" s="10"/>
    </row>
    <row r="17082" spans="20:20">
      <c r="T17082" s="10"/>
    </row>
    <row r="17083" spans="20:20">
      <c r="T17083" s="10"/>
    </row>
    <row r="17084" spans="20:20">
      <c r="T17084" s="10"/>
    </row>
    <row r="17085" spans="20:20">
      <c r="T17085" s="10"/>
    </row>
    <row r="17086" spans="20:20">
      <c r="T17086" s="10"/>
    </row>
    <row r="17087" spans="20:20">
      <c r="T17087" s="10"/>
    </row>
    <row r="17088" spans="20:20">
      <c r="T17088" s="10"/>
    </row>
    <row r="17089" spans="20:20">
      <c r="T17089" s="10"/>
    </row>
    <row r="17090" spans="20:20">
      <c r="T17090" s="10"/>
    </row>
    <row r="17091" spans="20:20">
      <c r="T17091" s="10"/>
    </row>
    <row r="17092" spans="20:20">
      <c r="T17092" s="10"/>
    </row>
    <row r="17093" spans="20:20">
      <c r="T17093" s="10"/>
    </row>
    <row r="17094" spans="20:20">
      <c r="T17094" s="10"/>
    </row>
    <row r="17095" spans="20:20">
      <c r="T17095" s="10"/>
    </row>
    <row r="17096" spans="20:20">
      <c r="T17096" s="10"/>
    </row>
    <row r="17097" spans="20:20">
      <c r="T17097" s="10"/>
    </row>
    <row r="17098" spans="20:20">
      <c r="T17098" s="10"/>
    </row>
    <row r="17099" spans="20:20">
      <c r="T17099" s="10"/>
    </row>
    <row r="17100" spans="20:20">
      <c r="T17100" s="10"/>
    </row>
    <row r="17101" spans="20:20">
      <c r="T17101" s="10"/>
    </row>
    <row r="17102" spans="20:20">
      <c r="T17102" s="10"/>
    </row>
    <row r="17103" spans="20:20">
      <c r="T17103" s="10"/>
    </row>
    <row r="17104" spans="20:20">
      <c r="T17104" s="10"/>
    </row>
    <row r="17105" spans="20:20">
      <c r="T17105" s="10"/>
    </row>
    <row r="17106" spans="20:20">
      <c r="T17106" s="10"/>
    </row>
    <row r="17107" spans="20:20">
      <c r="T17107" s="10"/>
    </row>
    <row r="17108" spans="20:20">
      <c r="T17108" s="10"/>
    </row>
    <row r="17109" spans="20:20">
      <c r="T17109" s="10"/>
    </row>
    <row r="17110" spans="20:20">
      <c r="T17110" s="10"/>
    </row>
    <row r="17111" spans="20:20">
      <c r="T17111" s="10"/>
    </row>
    <row r="17112" spans="20:20">
      <c r="T17112" s="10"/>
    </row>
    <row r="17113" spans="20:20">
      <c r="T17113" s="10"/>
    </row>
    <row r="17114" spans="20:20">
      <c r="T17114" s="10"/>
    </row>
    <row r="17115" spans="20:20">
      <c r="T17115" s="10"/>
    </row>
    <row r="17116" spans="20:20">
      <c r="T17116" s="10"/>
    </row>
    <row r="17117" spans="20:20">
      <c r="T17117" s="10"/>
    </row>
    <row r="17118" spans="20:20">
      <c r="T17118" s="10"/>
    </row>
    <row r="17119" spans="20:20">
      <c r="T17119" s="10"/>
    </row>
    <row r="17120" spans="20:20">
      <c r="T17120" s="10"/>
    </row>
    <row r="17121" spans="20:20">
      <c r="T17121" s="10"/>
    </row>
    <row r="17122" spans="20:20">
      <c r="T17122" s="10"/>
    </row>
    <row r="17123" spans="20:20">
      <c r="T17123" s="10"/>
    </row>
    <row r="17124" spans="20:20">
      <c r="T17124" s="10"/>
    </row>
    <row r="17125" spans="20:20">
      <c r="T17125" s="10"/>
    </row>
    <row r="17126" spans="20:20">
      <c r="T17126" s="10"/>
    </row>
    <row r="17127" spans="20:20">
      <c r="T17127" s="10"/>
    </row>
    <row r="17128" spans="20:20">
      <c r="T17128" s="10"/>
    </row>
    <row r="17129" spans="20:20">
      <c r="T17129" s="10"/>
    </row>
    <row r="17130" spans="20:20">
      <c r="T17130" s="10"/>
    </row>
    <row r="17131" spans="20:20">
      <c r="T17131" s="10"/>
    </row>
    <row r="17132" spans="20:20">
      <c r="T17132" s="10"/>
    </row>
    <row r="17133" spans="20:20">
      <c r="T17133" s="10"/>
    </row>
    <row r="17134" spans="20:20">
      <c r="T17134" s="10"/>
    </row>
    <row r="17135" spans="20:20">
      <c r="T17135" s="10"/>
    </row>
    <row r="17136" spans="20:20">
      <c r="T17136" s="10"/>
    </row>
    <row r="17137" spans="20:20">
      <c r="T17137" s="10"/>
    </row>
    <row r="17138" spans="20:20">
      <c r="T17138" s="10"/>
    </row>
    <row r="17139" spans="20:20">
      <c r="T17139" s="10"/>
    </row>
    <row r="17140" spans="20:20">
      <c r="T17140" s="10"/>
    </row>
    <row r="17141" spans="20:20">
      <c r="T17141" s="10"/>
    </row>
    <row r="17142" spans="20:20">
      <c r="T17142" s="10"/>
    </row>
    <row r="17143" spans="20:20">
      <c r="T17143" s="10"/>
    </row>
    <row r="17144" spans="20:20">
      <c r="T17144" s="10"/>
    </row>
    <row r="17145" spans="20:20">
      <c r="T17145" s="10"/>
    </row>
    <row r="17146" spans="20:20">
      <c r="T17146" s="10"/>
    </row>
    <row r="17147" spans="20:20">
      <c r="T17147" s="10"/>
    </row>
    <row r="17148" spans="20:20">
      <c r="T17148" s="10"/>
    </row>
    <row r="17149" spans="20:20">
      <c r="T17149" s="10"/>
    </row>
    <row r="17150" spans="20:20">
      <c r="T17150" s="10"/>
    </row>
    <row r="17151" spans="20:20">
      <c r="T17151" s="10"/>
    </row>
    <row r="17152" spans="20:20">
      <c r="T17152" s="10"/>
    </row>
    <row r="17153" spans="20:20">
      <c r="T17153" s="10"/>
    </row>
    <row r="17154" spans="20:20">
      <c r="T17154" s="10"/>
    </row>
    <row r="17155" spans="20:20">
      <c r="T17155" s="10"/>
    </row>
    <row r="17156" spans="20:20">
      <c r="T17156" s="10"/>
    </row>
    <row r="17157" spans="20:20">
      <c r="T17157" s="10"/>
    </row>
    <row r="17158" spans="20:20">
      <c r="T17158" s="10"/>
    </row>
    <row r="17159" spans="20:20">
      <c r="T17159" s="10"/>
    </row>
    <row r="17160" spans="20:20">
      <c r="T17160" s="10"/>
    </row>
    <row r="17161" spans="20:20">
      <c r="T17161" s="10"/>
    </row>
    <row r="17162" spans="20:20">
      <c r="T17162" s="10"/>
    </row>
    <row r="17163" spans="20:20">
      <c r="T17163" s="10"/>
    </row>
    <row r="17164" spans="20:20">
      <c r="T17164" s="10"/>
    </row>
    <row r="17165" spans="20:20">
      <c r="T17165" s="10"/>
    </row>
    <row r="17166" spans="20:20">
      <c r="T17166" s="10"/>
    </row>
    <row r="17167" spans="20:20">
      <c r="T17167" s="10"/>
    </row>
    <row r="17168" spans="20:20">
      <c r="T17168" s="10"/>
    </row>
    <row r="17169" spans="20:20">
      <c r="T17169" s="10"/>
    </row>
    <row r="17170" spans="20:20">
      <c r="T17170" s="10"/>
    </row>
    <row r="17171" spans="20:20">
      <c r="T17171" s="10"/>
    </row>
    <row r="17172" spans="20:20">
      <c r="T17172" s="10"/>
    </row>
    <row r="17173" spans="20:20">
      <c r="T17173" s="10"/>
    </row>
    <row r="17174" spans="20:20">
      <c r="T17174" s="10"/>
    </row>
    <row r="17175" spans="20:20">
      <c r="T17175" s="10"/>
    </row>
    <row r="17176" spans="20:20">
      <c r="T17176" s="10"/>
    </row>
    <row r="17177" spans="20:20">
      <c r="T17177" s="10"/>
    </row>
    <row r="17178" spans="20:20">
      <c r="T17178" s="10"/>
    </row>
    <row r="17179" spans="20:20">
      <c r="T17179" s="10"/>
    </row>
    <row r="17180" spans="20:20">
      <c r="T17180" s="10"/>
    </row>
    <row r="17181" spans="20:20">
      <c r="T17181" s="10"/>
    </row>
    <row r="17182" spans="20:20">
      <c r="T17182" s="10"/>
    </row>
    <row r="17183" spans="20:20">
      <c r="T17183" s="10"/>
    </row>
    <row r="17184" spans="20:20">
      <c r="T17184" s="10"/>
    </row>
    <row r="17185" spans="20:20">
      <c r="T17185" s="10"/>
    </row>
    <row r="17186" spans="20:20">
      <c r="T17186" s="10"/>
    </row>
    <row r="17187" spans="20:20">
      <c r="T17187" s="10"/>
    </row>
    <row r="17188" spans="20:20">
      <c r="T17188" s="10"/>
    </row>
    <row r="17189" spans="20:20">
      <c r="T17189" s="10"/>
    </row>
    <row r="17190" spans="20:20">
      <c r="T17190" s="10"/>
    </row>
    <row r="17191" spans="20:20">
      <c r="T17191" s="10"/>
    </row>
    <row r="17192" spans="20:20">
      <c r="T17192" s="10"/>
    </row>
    <row r="17193" spans="20:20">
      <c r="T17193" s="10"/>
    </row>
    <row r="17194" spans="20:20">
      <c r="T17194" s="10"/>
    </row>
    <row r="17195" spans="20:20">
      <c r="T17195" s="10"/>
    </row>
    <row r="17196" spans="20:20">
      <c r="T17196" s="10"/>
    </row>
    <row r="17197" spans="20:20">
      <c r="T17197" s="10"/>
    </row>
    <row r="17198" spans="20:20">
      <c r="T17198" s="10"/>
    </row>
    <row r="17199" spans="20:20">
      <c r="T17199" s="10"/>
    </row>
    <row r="17200" spans="20:20">
      <c r="T17200" s="10"/>
    </row>
    <row r="17201" spans="20:20">
      <c r="T17201" s="10"/>
    </row>
    <row r="17202" spans="20:20">
      <c r="T17202" s="10"/>
    </row>
    <row r="17203" spans="20:20">
      <c r="T17203" s="10"/>
    </row>
    <row r="17204" spans="20:20">
      <c r="T17204" s="10"/>
    </row>
    <row r="17205" spans="20:20">
      <c r="T17205" s="10"/>
    </row>
    <row r="17206" spans="20:20">
      <c r="T17206" s="10"/>
    </row>
    <row r="17207" spans="20:20">
      <c r="T17207" s="10"/>
    </row>
    <row r="17208" spans="20:20">
      <c r="T17208" s="10"/>
    </row>
    <row r="17209" spans="20:20">
      <c r="T17209" s="10"/>
    </row>
    <row r="17210" spans="20:20">
      <c r="T17210" s="10"/>
    </row>
    <row r="17211" spans="20:20">
      <c r="T17211" s="10"/>
    </row>
    <row r="17212" spans="20:20">
      <c r="T17212" s="10"/>
    </row>
    <row r="17213" spans="20:20">
      <c r="T17213" s="10"/>
    </row>
    <row r="17214" spans="20:20">
      <c r="T17214" s="10"/>
    </row>
    <row r="17215" spans="20:20">
      <c r="T17215" s="10"/>
    </row>
    <row r="17216" spans="20:20">
      <c r="T17216" s="10"/>
    </row>
    <row r="17217" spans="20:20">
      <c r="T17217" s="10"/>
    </row>
    <row r="17218" spans="20:20">
      <c r="T17218" s="10"/>
    </row>
    <row r="17219" spans="20:20">
      <c r="T17219" s="10"/>
    </row>
    <row r="17220" spans="20:20">
      <c r="T17220" s="10"/>
    </row>
    <row r="17221" spans="20:20">
      <c r="T17221" s="10"/>
    </row>
    <row r="17222" spans="20:20">
      <c r="T17222" s="10"/>
    </row>
    <row r="17223" spans="20:20">
      <c r="T17223" s="10"/>
    </row>
    <row r="17224" spans="20:20">
      <c r="T17224" s="10"/>
    </row>
    <row r="17225" spans="20:20">
      <c r="T17225" s="10"/>
    </row>
    <row r="17226" spans="20:20">
      <c r="T17226" s="10"/>
    </row>
    <row r="17227" spans="20:20">
      <c r="T17227" s="10"/>
    </row>
    <row r="17228" spans="20:20">
      <c r="T17228" s="10"/>
    </row>
    <row r="17229" spans="20:20">
      <c r="T17229" s="10"/>
    </row>
    <row r="17230" spans="20:20">
      <c r="T17230" s="10"/>
    </row>
    <row r="17231" spans="20:20">
      <c r="T17231" s="10"/>
    </row>
    <row r="17232" spans="20:20">
      <c r="T17232" s="10"/>
    </row>
    <row r="17233" spans="20:20">
      <c r="T17233" s="10"/>
    </row>
    <row r="17234" spans="20:20">
      <c r="T17234" s="10"/>
    </row>
    <row r="17235" spans="20:20">
      <c r="T17235" s="10"/>
    </row>
    <row r="17236" spans="20:20">
      <c r="T17236" s="10"/>
    </row>
    <row r="17237" spans="20:20">
      <c r="T17237" s="10"/>
    </row>
    <row r="17238" spans="20:20">
      <c r="T17238" s="10"/>
    </row>
    <row r="17239" spans="20:20">
      <c r="T17239" s="10"/>
    </row>
    <row r="17240" spans="20:20">
      <c r="T17240" s="10"/>
    </row>
    <row r="17241" spans="20:20">
      <c r="T17241" s="10"/>
    </row>
    <row r="17242" spans="20:20">
      <c r="T17242" s="10"/>
    </row>
    <row r="17243" spans="20:20">
      <c r="T17243" s="10"/>
    </row>
    <row r="17244" spans="20:20">
      <c r="T17244" s="10"/>
    </row>
    <row r="17245" spans="20:20">
      <c r="T17245" s="10"/>
    </row>
    <row r="17246" spans="20:20">
      <c r="T17246" s="10"/>
    </row>
    <row r="17247" spans="20:20">
      <c r="T17247" s="10"/>
    </row>
    <row r="17248" spans="20:20">
      <c r="T17248" s="10"/>
    </row>
    <row r="17249" spans="20:20">
      <c r="T17249" s="10"/>
    </row>
    <row r="17250" spans="20:20">
      <c r="T17250" s="10"/>
    </row>
    <row r="17251" spans="20:20">
      <c r="T17251" s="10"/>
    </row>
    <row r="17252" spans="20:20">
      <c r="T17252" s="10"/>
    </row>
    <row r="17253" spans="20:20">
      <c r="T17253" s="10"/>
    </row>
    <row r="17254" spans="20:20">
      <c r="T17254" s="10"/>
    </row>
    <row r="17255" spans="20:20">
      <c r="T17255" s="10"/>
    </row>
    <row r="17256" spans="20:20">
      <c r="T17256" s="10"/>
    </row>
    <row r="17257" spans="20:20">
      <c r="T17257" s="10"/>
    </row>
    <row r="17258" spans="20:20">
      <c r="T17258" s="10"/>
    </row>
    <row r="17259" spans="20:20">
      <c r="T17259" s="10"/>
    </row>
    <row r="17260" spans="20:20">
      <c r="T17260" s="10"/>
    </row>
    <row r="17261" spans="20:20">
      <c r="T17261" s="10"/>
    </row>
    <row r="17262" spans="20:20">
      <c r="T17262" s="10"/>
    </row>
    <row r="17263" spans="20:20">
      <c r="T17263" s="10"/>
    </row>
    <row r="17264" spans="20:20">
      <c r="T17264" s="10"/>
    </row>
    <row r="17265" spans="20:20">
      <c r="T17265" s="10"/>
    </row>
    <row r="17266" spans="20:20">
      <c r="T17266" s="10"/>
    </row>
    <row r="17267" spans="20:20">
      <c r="T17267" s="10"/>
    </row>
    <row r="17268" spans="20:20">
      <c r="T17268" s="10"/>
    </row>
    <row r="17269" spans="20:20">
      <c r="T17269" s="10"/>
    </row>
    <row r="17270" spans="20:20">
      <c r="T17270" s="10"/>
    </row>
    <row r="17271" spans="20:20">
      <c r="T17271" s="10"/>
    </row>
    <row r="17272" spans="20:20">
      <c r="T17272" s="10"/>
    </row>
    <row r="17273" spans="20:20">
      <c r="T17273" s="10"/>
    </row>
    <row r="17274" spans="20:20">
      <c r="T17274" s="10"/>
    </row>
    <row r="17275" spans="20:20">
      <c r="T17275" s="10"/>
    </row>
    <row r="17276" spans="20:20">
      <c r="T17276" s="10"/>
    </row>
    <row r="17277" spans="20:20">
      <c r="T17277" s="10"/>
    </row>
    <row r="17278" spans="20:20">
      <c r="T17278" s="10"/>
    </row>
    <row r="17279" spans="20:20">
      <c r="T17279" s="10"/>
    </row>
    <row r="17280" spans="20:20">
      <c r="T17280" s="10"/>
    </row>
    <row r="17281" spans="20:20">
      <c r="T17281" s="10"/>
    </row>
    <row r="17282" spans="20:20">
      <c r="T17282" s="10"/>
    </row>
    <row r="17283" spans="20:20">
      <c r="T17283" s="10"/>
    </row>
    <row r="17284" spans="20:20">
      <c r="T17284" s="10"/>
    </row>
    <row r="17285" spans="20:20">
      <c r="T17285" s="10"/>
    </row>
    <row r="17286" spans="20:20">
      <c r="T17286" s="10"/>
    </row>
    <row r="17287" spans="20:20">
      <c r="T17287" s="10"/>
    </row>
    <row r="17288" spans="20:20">
      <c r="T17288" s="10"/>
    </row>
    <row r="17289" spans="20:20">
      <c r="T17289" s="10"/>
    </row>
    <row r="17290" spans="20:20">
      <c r="T17290" s="10"/>
    </row>
    <row r="17291" spans="20:20">
      <c r="T17291" s="10"/>
    </row>
    <row r="17292" spans="20:20">
      <c r="T17292" s="10"/>
    </row>
    <row r="17293" spans="20:20">
      <c r="T17293" s="10"/>
    </row>
    <row r="17294" spans="20:20">
      <c r="T17294" s="10"/>
    </row>
    <row r="17295" spans="20:20">
      <c r="T17295" s="10"/>
    </row>
    <row r="17296" spans="20:20">
      <c r="T17296" s="10"/>
    </row>
    <row r="17297" spans="20:20">
      <c r="T17297" s="10"/>
    </row>
    <row r="17298" spans="20:20">
      <c r="T17298" s="10"/>
    </row>
    <row r="17299" spans="20:20">
      <c r="T17299" s="10"/>
    </row>
    <row r="17300" spans="20:20">
      <c r="T17300" s="10"/>
    </row>
    <row r="17301" spans="20:20">
      <c r="T17301" s="10"/>
    </row>
    <row r="17302" spans="20:20">
      <c r="T17302" s="10"/>
    </row>
    <row r="17303" spans="20:20">
      <c r="T17303" s="10"/>
    </row>
    <row r="17304" spans="20:20">
      <c r="T17304" s="10"/>
    </row>
    <row r="17305" spans="20:20">
      <c r="T17305" s="10"/>
    </row>
    <row r="17306" spans="20:20">
      <c r="T17306" s="10"/>
    </row>
    <row r="17307" spans="20:20">
      <c r="T17307" s="10"/>
    </row>
    <row r="17308" spans="20:20">
      <c r="T17308" s="10"/>
    </row>
    <row r="17309" spans="20:20">
      <c r="T17309" s="10"/>
    </row>
    <row r="17310" spans="20:20">
      <c r="T17310" s="10"/>
    </row>
    <row r="17311" spans="20:20">
      <c r="T17311" s="10"/>
    </row>
    <row r="17312" spans="20:20">
      <c r="T17312" s="10"/>
    </row>
    <row r="17313" spans="20:20">
      <c r="T17313" s="10"/>
    </row>
    <row r="17314" spans="20:20">
      <c r="T17314" s="10"/>
    </row>
    <row r="17315" spans="20:20">
      <c r="T17315" s="10"/>
    </row>
    <row r="17316" spans="20:20">
      <c r="T17316" s="10"/>
    </row>
    <row r="17317" spans="20:20">
      <c r="T17317" s="10"/>
    </row>
    <row r="17318" spans="20:20">
      <c r="T17318" s="10"/>
    </row>
    <row r="17319" spans="20:20">
      <c r="T17319" s="10"/>
    </row>
    <row r="17320" spans="20:20">
      <c r="T17320" s="10"/>
    </row>
    <row r="17321" spans="20:20">
      <c r="T17321" s="10"/>
    </row>
    <row r="17322" spans="20:20">
      <c r="T17322" s="10"/>
    </row>
    <row r="17323" spans="20:20">
      <c r="T17323" s="10"/>
    </row>
    <row r="17324" spans="20:20">
      <c r="T17324" s="10"/>
    </row>
    <row r="17325" spans="20:20">
      <c r="T17325" s="10"/>
    </row>
    <row r="17326" spans="20:20">
      <c r="T17326" s="10"/>
    </row>
    <row r="17327" spans="20:20">
      <c r="T17327" s="10"/>
    </row>
    <row r="17328" spans="20:20">
      <c r="T17328" s="10"/>
    </row>
    <row r="17329" spans="20:20">
      <c r="T17329" s="10"/>
    </row>
    <row r="17330" spans="20:20">
      <c r="T17330" s="10"/>
    </row>
    <row r="17331" spans="20:20">
      <c r="T17331" s="10"/>
    </row>
    <row r="17332" spans="20:20">
      <c r="T17332" s="10"/>
    </row>
    <row r="17333" spans="20:20">
      <c r="T17333" s="10"/>
    </row>
    <row r="17334" spans="20:20">
      <c r="T17334" s="10"/>
    </row>
    <row r="17335" spans="20:20">
      <c r="T17335" s="10"/>
    </row>
    <row r="17336" spans="20:20">
      <c r="T17336" s="10"/>
    </row>
    <row r="17337" spans="20:20">
      <c r="T17337" s="10"/>
    </row>
    <row r="17338" spans="20:20">
      <c r="T17338" s="10"/>
    </row>
    <row r="17339" spans="20:20">
      <c r="T17339" s="10"/>
    </row>
    <row r="17340" spans="20:20">
      <c r="T17340" s="10"/>
    </row>
    <row r="17341" spans="20:20">
      <c r="T17341" s="10"/>
    </row>
    <row r="17342" spans="20:20">
      <c r="T17342" s="10"/>
    </row>
    <row r="17343" spans="20:20">
      <c r="T17343" s="10"/>
    </row>
    <row r="17344" spans="20:20">
      <c r="T17344" s="10"/>
    </row>
    <row r="17345" spans="20:20">
      <c r="T17345" s="10"/>
    </row>
    <row r="17346" spans="20:20">
      <c r="T17346" s="10"/>
    </row>
    <row r="17347" spans="20:20">
      <c r="T17347" s="10"/>
    </row>
    <row r="17348" spans="20:20">
      <c r="T17348" s="10"/>
    </row>
    <row r="17349" spans="20:20">
      <c r="T17349" s="10"/>
    </row>
    <row r="17350" spans="20:20">
      <c r="T17350" s="10"/>
    </row>
    <row r="17351" spans="20:20">
      <c r="T17351" s="10"/>
    </row>
    <row r="17352" spans="20:20">
      <c r="T17352" s="10"/>
    </row>
    <row r="17353" spans="20:20">
      <c r="T17353" s="10"/>
    </row>
    <row r="17354" spans="20:20">
      <c r="T17354" s="10"/>
    </row>
    <row r="17355" spans="20:20">
      <c r="T17355" s="10"/>
    </row>
    <row r="17356" spans="20:20">
      <c r="T17356" s="10"/>
    </row>
    <row r="17357" spans="20:20">
      <c r="T17357" s="10"/>
    </row>
    <row r="17358" spans="20:20">
      <c r="T17358" s="10"/>
    </row>
    <row r="17359" spans="20:20">
      <c r="T17359" s="10"/>
    </row>
    <row r="17360" spans="20:20">
      <c r="T17360" s="10"/>
    </row>
    <row r="17361" spans="20:20">
      <c r="T17361" s="10"/>
    </row>
    <row r="17362" spans="20:20">
      <c r="T17362" s="10"/>
    </row>
    <row r="17363" spans="20:20">
      <c r="T17363" s="10"/>
    </row>
    <row r="17364" spans="20:20">
      <c r="T17364" s="10"/>
    </row>
    <row r="17365" spans="20:20">
      <c r="T17365" s="10"/>
    </row>
    <row r="17366" spans="20:20">
      <c r="T17366" s="10"/>
    </row>
    <row r="17367" spans="20:20">
      <c r="T17367" s="10"/>
    </row>
    <row r="17368" spans="20:20">
      <c r="T17368" s="10"/>
    </row>
    <row r="17369" spans="20:20">
      <c r="T17369" s="10"/>
    </row>
    <row r="17370" spans="20:20">
      <c r="T17370" s="10"/>
    </row>
    <row r="17371" spans="20:20">
      <c r="T17371" s="10"/>
    </row>
    <row r="17372" spans="20:20">
      <c r="T17372" s="10"/>
    </row>
    <row r="17373" spans="20:20">
      <c r="T17373" s="10"/>
    </row>
    <row r="17374" spans="20:20">
      <c r="T17374" s="10"/>
    </row>
    <row r="17375" spans="20:20">
      <c r="T17375" s="10"/>
    </row>
    <row r="17376" spans="20:20">
      <c r="T17376" s="10"/>
    </row>
    <row r="17377" spans="20:20">
      <c r="T17377" s="10"/>
    </row>
    <row r="17378" spans="20:20">
      <c r="T17378" s="10"/>
    </row>
    <row r="17379" spans="20:20">
      <c r="T17379" s="10"/>
    </row>
    <row r="17380" spans="20:20">
      <c r="T17380" s="10"/>
    </row>
    <row r="17381" spans="20:20">
      <c r="T17381" s="10"/>
    </row>
    <row r="17382" spans="20:20">
      <c r="T17382" s="10"/>
    </row>
    <row r="17383" spans="20:20">
      <c r="T17383" s="10"/>
    </row>
    <row r="17384" spans="20:20">
      <c r="T17384" s="10"/>
    </row>
    <row r="17385" spans="20:20">
      <c r="T17385" s="10"/>
    </row>
    <row r="17386" spans="20:20">
      <c r="T17386" s="10"/>
    </row>
    <row r="17387" spans="20:20">
      <c r="T17387" s="10"/>
    </row>
    <row r="17388" spans="20:20">
      <c r="T17388" s="10"/>
    </row>
    <row r="17389" spans="20:20">
      <c r="T17389" s="10"/>
    </row>
    <row r="17390" spans="20:20">
      <c r="T17390" s="10"/>
    </row>
    <row r="17391" spans="20:20">
      <c r="T17391" s="10"/>
    </row>
    <row r="17392" spans="20:20">
      <c r="T17392" s="10"/>
    </row>
    <row r="17393" spans="20:20">
      <c r="T17393" s="10"/>
    </row>
    <row r="17394" spans="20:20">
      <c r="T17394" s="10"/>
    </row>
    <row r="17395" spans="20:20">
      <c r="T17395" s="10"/>
    </row>
    <row r="17396" spans="20:20">
      <c r="T17396" s="10"/>
    </row>
    <row r="17397" spans="20:20">
      <c r="T17397" s="10"/>
    </row>
    <row r="17398" spans="20:20">
      <c r="T17398" s="10"/>
    </row>
    <row r="17399" spans="20:20">
      <c r="T17399" s="10"/>
    </row>
    <row r="17400" spans="20:20">
      <c r="T17400" s="10"/>
    </row>
    <row r="17401" spans="20:20">
      <c r="T17401" s="10"/>
    </row>
    <row r="17402" spans="20:20">
      <c r="T17402" s="10"/>
    </row>
    <row r="17403" spans="20:20">
      <c r="T17403" s="10"/>
    </row>
    <row r="17404" spans="20:20">
      <c r="T17404" s="10"/>
    </row>
    <row r="17405" spans="20:20">
      <c r="T17405" s="10"/>
    </row>
    <row r="17406" spans="20:20">
      <c r="T17406" s="10"/>
    </row>
    <row r="17407" spans="20:20">
      <c r="T17407" s="10"/>
    </row>
    <row r="17408" spans="20:20">
      <c r="T17408" s="10"/>
    </row>
    <row r="17409" spans="20:20">
      <c r="T17409" s="10"/>
    </row>
    <row r="17410" spans="20:20">
      <c r="T17410" s="10"/>
    </row>
    <row r="17411" spans="20:20">
      <c r="T17411" s="10"/>
    </row>
    <row r="17412" spans="20:20">
      <c r="T17412" s="10"/>
    </row>
    <row r="17413" spans="20:20">
      <c r="T17413" s="10"/>
    </row>
    <row r="17414" spans="20:20">
      <c r="T17414" s="10"/>
    </row>
    <row r="17415" spans="20:20">
      <c r="T17415" s="10"/>
    </row>
    <row r="17416" spans="20:20">
      <c r="T17416" s="10"/>
    </row>
    <row r="17417" spans="20:20">
      <c r="T17417" s="10"/>
    </row>
    <row r="17418" spans="20:20">
      <c r="T17418" s="10"/>
    </row>
    <row r="17419" spans="20:20">
      <c r="T17419" s="10"/>
    </row>
    <row r="17420" spans="20:20">
      <c r="T17420" s="10"/>
    </row>
    <row r="17421" spans="20:20">
      <c r="T17421" s="10"/>
    </row>
    <row r="17422" spans="20:20">
      <c r="T17422" s="10"/>
    </row>
    <row r="17423" spans="20:20">
      <c r="T17423" s="10"/>
    </row>
    <row r="17424" spans="20:20">
      <c r="T17424" s="10"/>
    </row>
    <row r="17425" spans="20:20">
      <c r="T17425" s="10"/>
    </row>
    <row r="17426" spans="20:20">
      <c r="T17426" s="10"/>
    </row>
    <row r="17427" spans="20:20">
      <c r="T17427" s="10"/>
    </row>
    <row r="17428" spans="20:20">
      <c r="T17428" s="10"/>
    </row>
    <row r="17429" spans="20:20">
      <c r="T17429" s="10"/>
    </row>
    <row r="17430" spans="20:20">
      <c r="T17430" s="10"/>
    </row>
    <row r="17431" spans="20:20">
      <c r="T17431" s="10"/>
    </row>
    <row r="17432" spans="20:20">
      <c r="T17432" s="10"/>
    </row>
    <row r="17433" spans="20:20">
      <c r="T17433" s="10"/>
    </row>
    <row r="17434" spans="20:20">
      <c r="T17434" s="10"/>
    </row>
    <row r="17435" spans="20:20">
      <c r="T17435" s="10"/>
    </row>
    <row r="17436" spans="20:20">
      <c r="T17436" s="10"/>
    </row>
    <row r="17437" spans="20:20">
      <c r="T17437" s="10"/>
    </row>
    <row r="17438" spans="20:20">
      <c r="T17438" s="10"/>
    </row>
    <row r="17439" spans="20:20">
      <c r="T17439" s="10"/>
    </row>
    <row r="17440" spans="20:20">
      <c r="T17440" s="10"/>
    </row>
    <row r="17441" spans="20:20">
      <c r="T17441" s="10"/>
    </row>
    <row r="17442" spans="20:20">
      <c r="T17442" s="10"/>
    </row>
    <row r="17443" spans="20:20">
      <c r="T17443" s="10"/>
    </row>
    <row r="17444" spans="20:20">
      <c r="T17444" s="10"/>
    </row>
    <row r="17445" spans="20:20">
      <c r="T17445" s="10"/>
    </row>
    <row r="17446" spans="20:20">
      <c r="T17446" s="10"/>
    </row>
    <row r="17447" spans="20:20">
      <c r="T17447" s="10"/>
    </row>
    <row r="17448" spans="20:20">
      <c r="T17448" s="10"/>
    </row>
    <row r="17449" spans="20:20">
      <c r="T17449" s="10"/>
    </row>
    <row r="17450" spans="20:20">
      <c r="T17450" s="10"/>
    </row>
    <row r="17451" spans="20:20">
      <c r="T17451" s="10"/>
    </row>
    <row r="17452" spans="20:20">
      <c r="T17452" s="10"/>
    </row>
    <row r="17453" spans="20:20">
      <c r="T17453" s="10"/>
    </row>
    <row r="17454" spans="20:20">
      <c r="T17454" s="10"/>
    </row>
    <row r="17455" spans="20:20">
      <c r="T17455" s="10"/>
    </row>
    <row r="17456" spans="20:20">
      <c r="T17456" s="10"/>
    </row>
    <row r="17457" spans="20:20">
      <c r="T17457" s="10"/>
    </row>
    <row r="17458" spans="20:20">
      <c r="T17458" s="10"/>
    </row>
    <row r="17459" spans="20:20">
      <c r="T17459" s="10"/>
    </row>
    <row r="17460" spans="20:20">
      <c r="T17460" s="10"/>
    </row>
    <row r="17461" spans="20:20">
      <c r="T17461" s="10"/>
    </row>
    <row r="17462" spans="20:20">
      <c r="T17462" s="10"/>
    </row>
    <row r="17463" spans="20:20">
      <c r="T17463" s="10"/>
    </row>
    <row r="17464" spans="20:20">
      <c r="T17464" s="10"/>
    </row>
    <row r="17465" spans="20:20">
      <c r="T17465" s="10"/>
    </row>
    <row r="17466" spans="20:20">
      <c r="T17466" s="10"/>
    </row>
    <row r="17467" spans="20:20">
      <c r="T17467" s="10"/>
    </row>
    <row r="17468" spans="20:20">
      <c r="T17468" s="10"/>
    </row>
    <row r="17469" spans="20:20">
      <c r="T17469" s="10"/>
    </row>
    <row r="17470" spans="20:20">
      <c r="T17470" s="10"/>
    </row>
    <row r="17471" spans="20:20">
      <c r="T17471" s="10"/>
    </row>
    <row r="17472" spans="20:20">
      <c r="T17472" s="10"/>
    </row>
    <row r="17473" spans="20:20">
      <c r="T17473" s="10"/>
    </row>
    <row r="17474" spans="20:20">
      <c r="T17474" s="10"/>
    </row>
    <row r="17475" spans="20:20">
      <c r="T17475" s="10"/>
    </row>
    <row r="17476" spans="20:20">
      <c r="T17476" s="10"/>
    </row>
    <row r="17477" spans="20:20">
      <c r="T17477" s="10"/>
    </row>
    <row r="17478" spans="20:20">
      <c r="T17478" s="10"/>
    </row>
    <row r="17479" spans="20:20">
      <c r="T17479" s="10"/>
    </row>
    <row r="17480" spans="20:20">
      <c r="T17480" s="10"/>
    </row>
    <row r="17481" spans="20:20">
      <c r="T17481" s="10"/>
    </row>
    <row r="17482" spans="20:20">
      <c r="T17482" s="10"/>
    </row>
    <row r="17483" spans="20:20">
      <c r="T17483" s="10"/>
    </row>
    <row r="17484" spans="20:20">
      <c r="T17484" s="10"/>
    </row>
    <row r="17485" spans="20:20">
      <c r="T17485" s="10"/>
    </row>
    <row r="17486" spans="20:20">
      <c r="T17486" s="10"/>
    </row>
    <row r="17487" spans="20:20">
      <c r="T17487" s="10"/>
    </row>
    <row r="17488" spans="20:20">
      <c r="T17488" s="10"/>
    </row>
    <row r="17489" spans="20:20">
      <c r="T17489" s="10"/>
    </row>
    <row r="17490" spans="20:20">
      <c r="T17490" s="10"/>
    </row>
    <row r="17491" spans="20:20">
      <c r="T17491" s="10"/>
    </row>
    <row r="17492" spans="20:20">
      <c r="T17492" s="10"/>
    </row>
    <row r="17493" spans="20:20">
      <c r="T17493" s="10"/>
    </row>
    <row r="17494" spans="20:20">
      <c r="T17494" s="10"/>
    </row>
    <row r="17495" spans="20:20">
      <c r="T17495" s="10"/>
    </row>
    <row r="17496" spans="20:20">
      <c r="T17496" s="10"/>
    </row>
    <row r="17497" spans="20:20">
      <c r="T17497" s="10"/>
    </row>
    <row r="17498" spans="20:20">
      <c r="T17498" s="10"/>
    </row>
    <row r="17499" spans="20:20">
      <c r="T17499" s="10"/>
    </row>
    <row r="17500" spans="20:20">
      <c r="T17500" s="10"/>
    </row>
    <row r="17501" spans="20:20">
      <c r="T17501" s="10"/>
    </row>
    <row r="17502" spans="20:20">
      <c r="T17502" s="10"/>
    </row>
    <row r="17503" spans="20:20">
      <c r="T17503" s="10"/>
    </row>
    <row r="17504" spans="20:20">
      <c r="T17504" s="10"/>
    </row>
    <row r="17505" spans="20:20">
      <c r="T17505" s="10"/>
    </row>
    <row r="17506" spans="20:20">
      <c r="T17506" s="10"/>
    </row>
    <row r="17507" spans="20:20">
      <c r="T17507" s="10"/>
    </row>
    <row r="17508" spans="20:20">
      <c r="T17508" s="10"/>
    </row>
    <row r="17509" spans="20:20">
      <c r="T17509" s="10"/>
    </row>
    <row r="17510" spans="20:20">
      <c r="T17510" s="10"/>
    </row>
    <row r="17511" spans="20:20">
      <c r="T17511" s="10"/>
    </row>
    <row r="17512" spans="20:20">
      <c r="T17512" s="10"/>
    </row>
    <row r="17513" spans="20:20">
      <c r="T17513" s="10"/>
    </row>
    <row r="17514" spans="20:20">
      <c r="T17514" s="10"/>
    </row>
    <row r="17515" spans="20:20">
      <c r="T17515" s="10"/>
    </row>
    <row r="17516" spans="20:20">
      <c r="T17516" s="10"/>
    </row>
    <row r="17517" spans="20:20">
      <c r="T17517" s="10"/>
    </row>
    <row r="17518" spans="20:20">
      <c r="T17518" s="10"/>
    </row>
    <row r="17519" spans="20:20">
      <c r="T17519" s="10"/>
    </row>
    <row r="17520" spans="20:20">
      <c r="T17520" s="10"/>
    </row>
    <row r="17521" spans="20:20">
      <c r="T17521" s="10"/>
    </row>
    <row r="17522" spans="20:20">
      <c r="T17522" s="10"/>
    </row>
    <row r="17523" spans="20:20">
      <c r="T17523" s="10"/>
    </row>
    <row r="17524" spans="20:20">
      <c r="T17524" s="10"/>
    </row>
    <row r="17525" spans="20:20">
      <c r="T17525" s="10"/>
    </row>
    <row r="17526" spans="20:20">
      <c r="T17526" s="10"/>
    </row>
    <row r="17527" spans="20:20">
      <c r="T17527" s="10"/>
    </row>
    <row r="17528" spans="20:20">
      <c r="T17528" s="10"/>
    </row>
    <row r="17529" spans="20:20">
      <c r="T17529" s="10"/>
    </row>
    <row r="17530" spans="20:20">
      <c r="T17530" s="10"/>
    </row>
    <row r="17531" spans="20:20">
      <c r="T17531" s="10"/>
    </row>
    <row r="17532" spans="20:20">
      <c r="T17532" s="10"/>
    </row>
    <row r="17533" spans="20:20">
      <c r="T17533" s="10"/>
    </row>
    <row r="17534" spans="20:20">
      <c r="T17534" s="10"/>
    </row>
    <row r="17535" spans="20:20">
      <c r="T17535" s="10"/>
    </row>
    <row r="17536" spans="20:20">
      <c r="T17536" s="10"/>
    </row>
    <row r="17537" spans="20:20">
      <c r="T17537" s="10"/>
    </row>
    <row r="17538" spans="20:20">
      <c r="T17538" s="10"/>
    </row>
    <row r="17539" spans="20:20">
      <c r="T17539" s="10"/>
    </row>
    <row r="17540" spans="20:20">
      <c r="T17540" s="10"/>
    </row>
    <row r="17541" spans="20:20">
      <c r="T17541" s="10"/>
    </row>
    <row r="17542" spans="20:20">
      <c r="T17542" s="10"/>
    </row>
    <row r="17543" spans="20:20">
      <c r="T17543" s="10"/>
    </row>
    <row r="17544" spans="20:20">
      <c r="T17544" s="10"/>
    </row>
    <row r="17545" spans="20:20">
      <c r="T17545" s="10"/>
    </row>
    <row r="17546" spans="20:20">
      <c r="T17546" s="10"/>
    </row>
    <row r="17547" spans="20:20">
      <c r="T17547" s="10"/>
    </row>
    <row r="17548" spans="20:20">
      <c r="T17548" s="10"/>
    </row>
    <row r="17549" spans="20:20">
      <c r="T17549" s="10"/>
    </row>
    <row r="17550" spans="20:20">
      <c r="T17550" s="10"/>
    </row>
    <row r="17551" spans="20:20">
      <c r="T17551" s="10"/>
    </row>
    <row r="17552" spans="20:20">
      <c r="T17552" s="10"/>
    </row>
    <row r="17553" spans="20:20">
      <c r="T17553" s="10"/>
    </row>
    <row r="17554" spans="20:20">
      <c r="T17554" s="10"/>
    </row>
    <row r="17555" spans="20:20">
      <c r="T17555" s="10"/>
    </row>
    <row r="17556" spans="20:20">
      <c r="T17556" s="10"/>
    </row>
    <row r="17557" spans="20:20">
      <c r="T17557" s="10"/>
    </row>
    <row r="17558" spans="20:20">
      <c r="T17558" s="10"/>
    </row>
    <row r="17559" spans="20:20">
      <c r="T17559" s="10"/>
    </row>
    <row r="17560" spans="20:20">
      <c r="T17560" s="10"/>
    </row>
    <row r="17561" spans="20:20">
      <c r="T17561" s="10"/>
    </row>
    <row r="17562" spans="20:20">
      <c r="T17562" s="10"/>
    </row>
    <row r="17563" spans="20:20">
      <c r="T17563" s="10"/>
    </row>
    <row r="17564" spans="20:20">
      <c r="T17564" s="10"/>
    </row>
    <row r="17565" spans="20:20">
      <c r="T17565" s="10"/>
    </row>
    <row r="17566" spans="20:20">
      <c r="T17566" s="10"/>
    </row>
    <row r="17567" spans="20:20">
      <c r="T17567" s="10"/>
    </row>
    <row r="17568" spans="20:20">
      <c r="T17568" s="10"/>
    </row>
    <row r="17569" spans="20:20">
      <c r="T17569" s="10"/>
    </row>
    <row r="17570" spans="20:20">
      <c r="T17570" s="10"/>
    </row>
    <row r="17571" spans="20:20">
      <c r="T17571" s="10"/>
    </row>
    <row r="17572" spans="20:20">
      <c r="T17572" s="10"/>
    </row>
    <row r="17573" spans="20:20">
      <c r="T17573" s="10"/>
    </row>
    <row r="17574" spans="20:20">
      <c r="T17574" s="10"/>
    </row>
    <row r="17575" spans="20:20">
      <c r="T17575" s="10"/>
    </row>
    <row r="17576" spans="20:20">
      <c r="T17576" s="10"/>
    </row>
    <row r="17577" spans="20:20">
      <c r="T17577" s="10"/>
    </row>
    <row r="17578" spans="20:20">
      <c r="T17578" s="10"/>
    </row>
    <row r="17579" spans="20:20">
      <c r="T17579" s="10"/>
    </row>
    <row r="17580" spans="20:20">
      <c r="T17580" s="10"/>
    </row>
    <row r="17581" spans="20:20">
      <c r="T17581" s="10"/>
    </row>
    <row r="17582" spans="20:20">
      <c r="T17582" s="10"/>
    </row>
    <row r="17583" spans="20:20">
      <c r="T17583" s="10"/>
    </row>
    <row r="17584" spans="20:20">
      <c r="T17584" s="10"/>
    </row>
    <row r="17585" spans="20:20">
      <c r="T17585" s="10"/>
    </row>
    <row r="17586" spans="20:20">
      <c r="T17586" s="10"/>
    </row>
    <row r="17587" spans="20:20">
      <c r="T17587" s="10"/>
    </row>
    <row r="17588" spans="20:20">
      <c r="T17588" s="10"/>
    </row>
    <row r="17589" spans="20:20">
      <c r="T17589" s="10"/>
    </row>
    <row r="17590" spans="20:20">
      <c r="T17590" s="10"/>
    </row>
    <row r="17591" spans="20:20">
      <c r="T17591" s="10"/>
    </row>
    <row r="17592" spans="20:20">
      <c r="T17592" s="10"/>
    </row>
    <row r="17593" spans="20:20">
      <c r="T17593" s="10"/>
    </row>
    <row r="17594" spans="20:20">
      <c r="T17594" s="10"/>
    </row>
    <row r="17595" spans="20:20">
      <c r="T17595" s="10"/>
    </row>
    <row r="17596" spans="20:20">
      <c r="T17596" s="10"/>
    </row>
    <row r="17597" spans="20:20">
      <c r="T17597" s="10"/>
    </row>
    <row r="17598" spans="20:20">
      <c r="T17598" s="10"/>
    </row>
    <row r="17599" spans="20:20">
      <c r="T17599" s="10"/>
    </row>
    <row r="17600" spans="20:20">
      <c r="T17600" s="10"/>
    </row>
    <row r="17601" spans="20:20">
      <c r="T17601" s="10"/>
    </row>
    <row r="17602" spans="20:20">
      <c r="T17602" s="10"/>
    </row>
    <row r="17603" spans="20:20">
      <c r="T17603" s="10"/>
    </row>
    <row r="17604" spans="20:20">
      <c r="T17604" s="10"/>
    </row>
    <row r="17605" spans="20:20">
      <c r="T17605" s="10"/>
    </row>
    <row r="17606" spans="20:20">
      <c r="T17606" s="10"/>
    </row>
    <row r="17607" spans="20:20">
      <c r="T17607" s="10"/>
    </row>
    <row r="17608" spans="20:20">
      <c r="T17608" s="10"/>
    </row>
    <row r="17609" spans="20:20">
      <c r="T17609" s="10"/>
    </row>
    <row r="17610" spans="20:20">
      <c r="T17610" s="10"/>
    </row>
    <row r="17611" spans="20:20">
      <c r="T17611" s="10"/>
    </row>
    <row r="17612" spans="20:20">
      <c r="T17612" s="10"/>
    </row>
    <row r="17613" spans="20:20">
      <c r="T17613" s="10"/>
    </row>
    <row r="17614" spans="20:20">
      <c r="T17614" s="10"/>
    </row>
    <row r="17615" spans="20:20">
      <c r="T17615" s="10"/>
    </row>
    <row r="17616" spans="20:20">
      <c r="T17616" s="10"/>
    </row>
    <row r="17617" spans="20:20">
      <c r="T17617" s="10"/>
    </row>
    <row r="17618" spans="20:20">
      <c r="T17618" s="10"/>
    </row>
    <row r="17619" spans="20:20">
      <c r="T17619" s="10"/>
    </row>
    <row r="17620" spans="20:20">
      <c r="T17620" s="10"/>
    </row>
    <row r="17621" spans="20:20">
      <c r="T17621" s="10"/>
    </row>
    <row r="17622" spans="20:20">
      <c r="T17622" s="10"/>
    </row>
    <row r="17623" spans="20:20">
      <c r="T17623" s="10"/>
    </row>
    <row r="17624" spans="20:20">
      <c r="T17624" s="10"/>
    </row>
    <row r="17625" spans="20:20">
      <c r="T17625" s="10"/>
    </row>
    <row r="17626" spans="20:20">
      <c r="T17626" s="10"/>
    </row>
    <row r="17627" spans="20:20">
      <c r="T17627" s="10"/>
    </row>
    <row r="17628" spans="20:20">
      <c r="T17628" s="10"/>
    </row>
    <row r="17629" spans="20:20">
      <c r="T17629" s="10"/>
    </row>
    <row r="17630" spans="20:20">
      <c r="T17630" s="10"/>
    </row>
    <row r="17631" spans="20:20">
      <c r="T17631" s="10"/>
    </row>
    <row r="17632" spans="20:20">
      <c r="T17632" s="10"/>
    </row>
    <row r="17633" spans="20:20">
      <c r="T17633" s="10"/>
    </row>
    <row r="17634" spans="20:20">
      <c r="T17634" s="10"/>
    </row>
    <row r="17635" spans="20:20">
      <c r="T17635" s="10"/>
    </row>
    <row r="17636" spans="20:20">
      <c r="T17636" s="10"/>
    </row>
    <row r="17637" spans="20:20">
      <c r="T17637" s="10"/>
    </row>
    <row r="17638" spans="20:20">
      <c r="T17638" s="10"/>
    </row>
    <row r="17639" spans="20:20">
      <c r="T17639" s="10"/>
    </row>
    <row r="17640" spans="20:20">
      <c r="T17640" s="10"/>
    </row>
    <row r="17641" spans="20:20">
      <c r="T17641" s="10"/>
    </row>
    <row r="17642" spans="20:20">
      <c r="T17642" s="10"/>
    </row>
    <row r="17643" spans="20:20">
      <c r="T17643" s="10"/>
    </row>
    <row r="17644" spans="20:20">
      <c r="T17644" s="10"/>
    </row>
    <row r="17645" spans="20:20">
      <c r="T17645" s="10"/>
    </row>
    <row r="17646" spans="20:20">
      <c r="T17646" s="10"/>
    </row>
    <row r="17647" spans="20:20">
      <c r="T17647" s="10"/>
    </row>
    <row r="17648" spans="20:20">
      <c r="T17648" s="10"/>
    </row>
    <row r="17649" spans="20:20">
      <c r="T17649" s="10"/>
    </row>
    <row r="17650" spans="20:20">
      <c r="T17650" s="10"/>
    </row>
    <row r="17651" spans="20:20">
      <c r="T17651" s="10"/>
    </row>
    <row r="17652" spans="20:20">
      <c r="T17652" s="10"/>
    </row>
    <row r="17653" spans="20:20">
      <c r="T17653" s="10"/>
    </row>
    <row r="17654" spans="20:20">
      <c r="T17654" s="10"/>
    </row>
    <row r="17655" spans="20:20">
      <c r="T17655" s="10"/>
    </row>
    <row r="17656" spans="20:20">
      <c r="T17656" s="10"/>
    </row>
    <row r="17657" spans="20:20">
      <c r="T17657" s="10"/>
    </row>
    <row r="17658" spans="20:20">
      <c r="T17658" s="10"/>
    </row>
    <row r="17659" spans="20:20">
      <c r="T17659" s="10"/>
    </row>
    <row r="17660" spans="20:20">
      <c r="T17660" s="10"/>
    </row>
    <row r="17661" spans="20:20">
      <c r="T17661" s="10"/>
    </row>
    <row r="17662" spans="20:20">
      <c r="T17662" s="10"/>
    </row>
    <row r="17663" spans="20:20">
      <c r="T17663" s="10"/>
    </row>
    <row r="17664" spans="20:20">
      <c r="T17664" s="10"/>
    </row>
    <row r="17665" spans="20:20">
      <c r="T17665" s="10"/>
    </row>
    <row r="17666" spans="20:20">
      <c r="T17666" s="10"/>
    </row>
    <row r="17667" spans="20:20">
      <c r="T17667" s="10"/>
    </row>
    <row r="17668" spans="20:20">
      <c r="T17668" s="10"/>
    </row>
    <row r="17669" spans="20:20">
      <c r="T17669" s="10"/>
    </row>
    <row r="17670" spans="20:20">
      <c r="T17670" s="10"/>
    </row>
    <row r="17671" spans="20:20">
      <c r="T17671" s="10"/>
    </row>
    <row r="17672" spans="20:20">
      <c r="T17672" s="10"/>
    </row>
    <row r="17673" spans="20:20">
      <c r="T17673" s="10"/>
    </row>
    <row r="17674" spans="20:20">
      <c r="T17674" s="10"/>
    </row>
    <row r="17675" spans="20:20">
      <c r="T17675" s="10"/>
    </row>
    <row r="17676" spans="20:20">
      <c r="T17676" s="10"/>
    </row>
    <row r="17677" spans="20:20">
      <c r="T17677" s="10"/>
    </row>
    <row r="17678" spans="20:20">
      <c r="T17678" s="10"/>
    </row>
    <row r="17679" spans="20:20">
      <c r="T17679" s="10"/>
    </row>
    <row r="17680" spans="20:20">
      <c r="T17680" s="10"/>
    </row>
    <row r="17681" spans="20:20">
      <c r="T17681" s="10"/>
    </row>
    <row r="17682" spans="20:20">
      <c r="T17682" s="10"/>
    </row>
    <row r="17683" spans="20:20">
      <c r="T17683" s="10"/>
    </row>
    <row r="17684" spans="20:20">
      <c r="T17684" s="10"/>
    </row>
    <row r="17685" spans="20:20">
      <c r="T17685" s="10"/>
    </row>
    <row r="17686" spans="20:20">
      <c r="T17686" s="10"/>
    </row>
    <row r="17687" spans="20:20">
      <c r="T17687" s="10"/>
    </row>
    <row r="17688" spans="20:20">
      <c r="T17688" s="10"/>
    </row>
    <row r="17689" spans="20:20">
      <c r="T17689" s="10"/>
    </row>
    <row r="17690" spans="20:20">
      <c r="T17690" s="10"/>
    </row>
    <row r="17691" spans="20:20">
      <c r="T17691" s="10"/>
    </row>
    <row r="17692" spans="20:20">
      <c r="T17692" s="10"/>
    </row>
    <row r="17693" spans="20:20">
      <c r="T17693" s="10"/>
    </row>
    <row r="17694" spans="20:20">
      <c r="T17694" s="10"/>
    </row>
    <row r="17695" spans="20:20">
      <c r="T17695" s="10"/>
    </row>
    <row r="17696" spans="20:20">
      <c r="T17696" s="10"/>
    </row>
    <row r="17697" spans="20:20">
      <c r="T17697" s="10"/>
    </row>
    <row r="17698" spans="20:20">
      <c r="T17698" s="10"/>
    </row>
    <row r="17699" spans="20:20">
      <c r="T17699" s="10"/>
    </row>
    <row r="17700" spans="20:20">
      <c r="T17700" s="10"/>
    </row>
    <row r="17701" spans="20:20">
      <c r="T17701" s="10"/>
    </row>
    <row r="17702" spans="20:20">
      <c r="T17702" s="10"/>
    </row>
    <row r="17703" spans="20:20">
      <c r="T17703" s="10"/>
    </row>
    <row r="17704" spans="20:20">
      <c r="T17704" s="10"/>
    </row>
    <row r="17705" spans="20:20">
      <c r="T17705" s="10"/>
    </row>
    <row r="17706" spans="20:20">
      <c r="T17706" s="10"/>
    </row>
    <row r="17707" spans="20:20">
      <c r="T17707" s="10"/>
    </row>
    <row r="17708" spans="20:20">
      <c r="T17708" s="10"/>
    </row>
    <row r="17709" spans="20:20">
      <c r="T17709" s="10"/>
    </row>
    <row r="17710" spans="20:20">
      <c r="T17710" s="10"/>
    </row>
    <row r="17711" spans="20:20">
      <c r="T17711" s="10"/>
    </row>
    <row r="17712" spans="20:20">
      <c r="T17712" s="10"/>
    </row>
    <row r="17713" spans="20:20">
      <c r="T17713" s="10"/>
    </row>
    <row r="17714" spans="20:20">
      <c r="T17714" s="10"/>
    </row>
    <row r="17715" spans="20:20">
      <c r="T17715" s="10"/>
    </row>
    <row r="17716" spans="20:20">
      <c r="T17716" s="10"/>
    </row>
    <row r="17717" spans="20:20">
      <c r="T17717" s="10"/>
    </row>
    <row r="17718" spans="20:20">
      <c r="T17718" s="10"/>
    </row>
    <row r="17719" spans="20:20">
      <c r="T17719" s="10"/>
    </row>
    <row r="17720" spans="20:20">
      <c r="T17720" s="10"/>
    </row>
    <row r="17721" spans="20:20">
      <c r="T17721" s="10"/>
    </row>
    <row r="17722" spans="20:20">
      <c r="T17722" s="10"/>
    </row>
    <row r="17723" spans="20:20">
      <c r="T17723" s="10"/>
    </row>
    <row r="17724" spans="20:20">
      <c r="T17724" s="10"/>
    </row>
    <row r="17725" spans="20:20">
      <c r="T17725" s="10"/>
    </row>
    <row r="17726" spans="20:20">
      <c r="T17726" s="10"/>
    </row>
    <row r="17727" spans="20:20">
      <c r="T17727" s="10"/>
    </row>
    <row r="17728" spans="20:20">
      <c r="T17728" s="10"/>
    </row>
    <row r="17729" spans="20:20">
      <c r="T17729" s="10"/>
    </row>
    <row r="17730" spans="20:20">
      <c r="T17730" s="10"/>
    </row>
    <row r="17731" spans="20:20">
      <c r="T17731" s="10"/>
    </row>
    <row r="17732" spans="20:20">
      <c r="T17732" s="10"/>
    </row>
    <row r="17733" spans="20:20">
      <c r="T17733" s="10"/>
    </row>
    <row r="17734" spans="20:20">
      <c r="T17734" s="10"/>
    </row>
    <row r="17735" spans="20:20">
      <c r="T17735" s="10"/>
    </row>
    <row r="17736" spans="20:20">
      <c r="T17736" s="10"/>
    </row>
    <row r="17737" spans="20:20">
      <c r="T17737" s="10"/>
    </row>
    <row r="17738" spans="20:20">
      <c r="T17738" s="10"/>
    </row>
    <row r="17739" spans="20:20">
      <c r="T17739" s="10"/>
    </row>
    <row r="17740" spans="20:20">
      <c r="T17740" s="10"/>
    </row>
    <row r="17741" spans="20:20">
      <c r="T17741" s="10"/>
    </row>
    <row r="17742" spans="20:20">
      <c r="T17742" s="10"/>
    </row>
    <row r="17743" spans="20:20">
      <c r="T17743" s="10"/>
    </row>
    <row r="17744" spans="20:20">
      <c r="T17744" s="10"/>
    </row>
    <row r="17745" spans="20:20">
      <c r="T17745" s="10"/>
    </row>
    <row r="17746" spans="20:20">
      <c r="T17746" s="10"/>
    </row>
    <row r="17747" spans="20:20">
      <c r="T17747" s="10"/>
    </row>
    <row r="17748" spans="20:20">
      <c r="T17748" s="10"/>
    </row>
    <row r="17749" spans="20:20">
      <c r="T17749" s="10"/>
    </row>
    <row r="17750" spans="20:20">
      <c r="T17750" s="10"/>
    </row>
    <row r="17751" spans="20:20">
      <c r="T17751" s="10"/>
    </row>
    <row r="17752" spans="20:20">
      <c r="T17752" s="10"/>
    </row>
    <row r="17753" spans="20:20">
      <c r="T17753" s="10"/>
    </row>
    <row r="17754" spans="20:20">
      <c r="T17754" s="10"/>
    </row>
    <row r="17755" spans="20:20">
      <c r="T17755" s="10"/>
    </row>
    <row r="17756" spans="20:20">
      <c r="T17756" s="10"/>
    </row>
    <row r="17757" spans="20:20">
      <c r="T17757" s="10"/>
    </row>
    <row r="17758" spans="20:20">
      <c r="T17758" s="10"/>
    </row>
    <row r="17759" spans="20:20">
      <c r="T17759" s="10"/>
    </row>
    <row r="17760" spans="20:20">
      <c r="T17760" s="10"/>
    </row>
    <row r="17761" spans="20:20">
      <c r="T17761" s="10"/>
    </row>
    <row r="17762" spans="20:20">
      <c r="T17762" s="10"/>
    </row>
    <row r="17763" spans="20:20">
      <c r="T17763" s="10"/>
    </row>
    <row r="17764" spans="20:20">
      <c r="T17764" s="10"/>
    </row>
    <row r="17765" spans="20:20">
      <c r="T17765" s="10"/>
    </row>
    <row r="17766" spans="20:20">
      <c r="T17766" s="10"/>
    </row>
    <row r="17767" spans="20:20">
      <c r="T17767" s="10"/>
    </row>
    <row r="17768" spans="20:20">
      <c r="T17768" s="10"/>
    </row>
    <row r="17769" spans="20:20">
      <c r="T17769" s="10"/>
    </row>
    <row r="17770" spans="20:20">
      <c r="T17770" s="10"/>
    </row>
    <row r="17771" spans="20:20">
      <c r="T17771" s="10"/>
    </row>
    <row r="17772" spans="20:20">
      <c r="T17772" s="10"/>
    </row>
    <row r="17773" spans="20:20">
      <c r="T17773" s="10"/>
    </row>
    <row r="17774" spans="20:20">
      <c r="T17774" s="10"/>
    </row>
    <row r="17775" spans="20:20">
      <c r="T17775" s="10"/>
    </row>
    <row r="17776" spans="20:20">
      <c r="T17776" s="10"/>
    </row>
    <row r="17777" spans="20:20">
      <c r="T17777" s="10"/>
    </row>
    <row r="17778" spans="20:20">
      <c r="T17778" s="10"/>
    </row>
    <row r="17779" spans="20:20">
      <c r="T17779" s="10"/>
    </row>
    <row r="17780" spans="20:20">
      <c r="T17780" s="10"/>
    </row>
    <row r="17781" spans="20:20">
      <c r="T17781" s="10"/>
    </row>
    <row r="17782" spans="20:20">
      <c r="T17782" s="10"/>
    </row>
    <row r="17783" spans="20:20">
      <c r="T17783" s="10"/>
    </row>
    <row r="17784" spans="20:20">
      <c r="T17784" s="10"/>
    </row>
    <row r="17785" spans="20:20">
      <c r="T17785" s="10"/>
    </row>
    <row r="17786" spans="20:20">
      <c r="T17786" s="10"/>
    </row>
    <row r="17787" spans="20:20">
      <c r="T17787" s="10"/>
    </row>
    <row r="17788" spans="20:20">
      <c r="T17788" s="10"/>
    </row>
    <row r="17789" spans="20:20">
      <c r="T17789" s="10"/>
    </row>
    <row r="17790" spans="20:20">
      <c r="T17790" s="10"/>
    </row>
    <row r="17791" spans="20:20">
      <c r="T17791" s="10"/>
    </row>
    <row r="17792" spans="20:20">
      <c r="T17792" s="10"/>
    </row>
    <row r="17793" spans="20:20">
      <c r="T17793" s="10"/>
    </row>
    <row r="17794" spans="20:20">
      <c r="T17794" s="10"/>
    </row>
    <row r="17795" spans="20:20">
      <c r="T17795" s="10"/>
    </row>
    <row r="17796" spans="20:20">
      <c r="T17796" s="10"/>
    </row>
    <row r="17797" spans="20:20">
      <c r="T17797" s="10"/>
    </row>
    <row r="17798" spans="20:20">
      <c r="T17798" s="10"/>
    </row>
    <row r="17799" spans="20:20">
      <c r="T17799" s="10"/>
    </row>
    <row r="17800" spans="20:20">
      <c r="T17800" s="10"/>
    </row>
    <row r="17801" spans="20:20">
      <c r="T17801" s="10"/>
    </row>
    <row r="17802" spans="20:20">
      <c r="T17802" s="10"/>
    </row>
    <row r="17803" spans="20:20">
      <c r="T17803" s="10"/>
    </row>
    <row r="17804" spans="20:20">
      <c r="T17804" s="10"/>
    </row>
    <row r="17805" spans="20:20">
      <c r="T17805" s="10"/>
    </row>
    <row r="17806" spans="20:20">
      <c r="T17806" s="10"/>
    </row>
    <row r="17807" spans="20:20">
      <c r="T17807" s="10"/>
    </row>
    <row r="17808" spans="20:20">
      <c r="T17808" s="10"/>
    </row>
    <row r="17809" spans="20:20">
      <c r="T17809" s="10"/>
    </row>
    <row r="17810" spans="20:20">
      <c r="T17810" s="10"/>
    </row>
    <row r="17811" spans="20:20">
      <c r="T17811" s="10"/>
    </row>
    <row r="17812" spans="20:20">
      <c r="T17812" s="10"/>
    </row>
    <row r="17813" spans="20:20">
      <c r="T17813" s="10"/>
    </row>
    <row r="17814" spans="20:20">
      <c r="T17814" s="10"/>
    </row>
    <row r="17815" spans="20:20">
      <c r="T17815" s="10"/>
    </row>
    <row r="17816" spans="20:20">
      <c r="T17816" s="10"/>
    </row>
    <row r="17817" spans="20:20">
      <c r="T17817" s="10"/>
    </row>
    <row r="17818" spans="20:20">
      <c r="T17818" s="10"/>
    </row>
    <row r="17819" spans="20:20">
      <c r="T17819" s="10"/>
    </row>
    <row r="17820" spans="20:20">
      <c r="T17820" s="10"/>
    </row>
    <row r="17821" spans="20:20">
      <c r="T17821" s="10"/>
    </row>
    <row r="17822" spans="20:20">
      <c r="T17822" s="10"/>
    </row>
    <row r="17823" spans="20:20">
      <c r="T17823" s="10"/>
    </row>
    <row r="17824" spans="20:20">
      <c r="T17824" s="10"/>
    </row>
    <row r="17825" spans="20:20">
      <c r="T17825" s="10"/>
    </row>
    <row r="17826" spans="20:20">
      <c r="T17826" s="10"/>
    </row>
    <row r="17827" spans="20:20">
      <c r="T17827" s="10"/>
    </row>
    <row r="17828" spans="20:20">
      <c r="T17828" s="10"/>
    </row>
    <row r="17829" spans="20:20">
      <c r="T17829" s="10"/>
    </row>
    <row r="17830" spans="20:20">
      <c r="T17830" s="10"/>
    </row>
    <row r="17831" spans="20:20">
      <c r="T17831" s="10"/>
    </row>
    <row r="17832" spans="20:20">
      <c r="T17832" s="10"/>
    </row>
    <row r="17833" spans="20:20">
      <c r="T17833" s="10"/>
    </row>
    <row r="17834" spans="20:20">
      <c r="T17834" s="10"/>
    </row>
    <row r="17835" spans="20:20">
      <c r="T17835" s="10"/>
    </row>
    <row r="17836" spans="20:20">
      <c r="T17836" s="10"/>
    </row>
    <row r="17837" spans="20:20">
      <c r="T17837" s="10"/>
    </row>
    <row r="17838" spans="20:20">
      <c r="T17838" s="10"/>
    </row>
    <row r="17839" spans="20:20">
      <c r="T17839" s="10"/>
    </row>
    <row r="17840" spans="20:20">
      <c r="T17840" s="10"/>
    </row>
    <row r="17841" spans="20:20">
      <c r="T17841" s="10"/>
    </row>
    <row r="17842" spans="20:20">
      <c r="T17842" s="10"/>
    </row>
    <row r="17843" spans="20:20">
      <c r="T17843" s="10"/>
    </row>
    <row r="17844" spans="20:20">
      <c r="T17844" s="10"/>
    </row>
    <row r="17845" spans="20:20">
      <c r="T17845" s="10"/>
    </row>
    <row r="17846" spans="20:20">
      <c r="T17846" s="10"/>
    </row>
    <row r="17847" spans="20:20">
      <c r="T17847" s="10"/>
    </row>
    <row r="17848" spans="20:20">
      <c r="T17848" s="10"/>
    </row>
    <row r="17849" spans="20:20">
      <c r="T17849" s="10"/>
    </row>
    <row r="17850" spans="20:20">
      <c r="T17850" s="10"/>
    </row>
    <row r="17851" spans="20:20">
      <c r="T17851" s="10"/>
    </row>
    <row r="17852" spans="20:20">
      <c r="T17852" s="10"/>
    </row>
    <row r="17853" spans="20:20">
      <c r="T17853" s="10"/>
    </row>
    <row r="17854" spans="20:20">
      <c r="T17854" s="10"/>
    </row>
    <row r="17855" spans="20:20">
      <c r="T17855" s="10"/>
    </row>
    <row r="17856" spans="20:20">
      <c r="T17856" s="10"/>
    </row>
    <row r="17857" spans="20:20">
      <c r="T17857" s="10"/>
    </row>
    <row r="17858" spans="20:20">
      <c r="T17858" s="10"/>
    </row>
    <row r="17859" spans="20:20">
      <c r="T17859" s="10"/>
    </row>
    <row r="17860" spans="20:20">
      <c r="T17860" s="10"/>
    </row>
    <row r="17861" spans="20:20">
      <c r="T17861" s="10"/>
    </row>
    <row r="17862" spans="20:20">
      <c r="T17862" s="10"/>
    </row>
    <row r="17863" spans="20:20">
      <c r="T17863" s="10"/>
    </row>
    <row r="17864" spans="20:20">
      <c r="T17864" s="10"/>
    </row>
    <row r="17865" spans="20:20">
      <c r="T17865" s="10"/>
    </row>
    <row r="17866" spans="20:20">
      <c r="T17866" s="10"/>
    </row>
    <row r="17867" spans="20:20">
      <c r="T17867" s="10"/>
    </row>
    <row r="17868" spans="20:20">
      <c r="T17868" s="10"/>
    </row>
    <row r="17869" spans="20:20">
      <c r="T17869" s="10"/>
    </row>
    <row r="17870" spans="20:20">
      <c r="T17870" s="10"/>
    </row>
    <row r="17871" spans="20:20">
      <c r="T17871" s="10"/>
    </row>
    <row r="17872" spans="20:20">
      <c r="T17872" s="10"/>
    </row>
    <row r="17873" spans="20:20">
      <c r="T17873" s="10"/>
    </row>
    <row r="17874" spans="20:20">
      <c r="T17874" s="10"/>
    </row>
    <row r="17875" spans="20:20">
      <c r="T17875" s="10"/>
    </row>
    <row r="17876" spans="20:20">
      <c r="T17876" s="10"/>
    </row>
    <row r="17877" spans="20:20">
      <c r="T17877" s="10"/>
    </row>
    <row r="17878" spans="20:20">
      <c r="T17878" s="10"/>
    </row>
    <row r="17879" spans="20:20">
      <c r="T17879" s="10"/>
    </row>
    <row r="17880" spans="20:20">
      <c r="T17880" s="10"/>
    </row>
    <row r="17881" spans="20:20">
      <c r="T17881" s="10"/>
    </row>
    <row r="17882" spans="20:20">
      <c r="T17882" s="10"/>
    </row>
    <row r="17883" spans="20:20">
      <c r="T17883" s="10"/>
    </row>
    <row r="17884" spans="20:20">
      <c r="T17884" s="10"/>
    </row>
    <row r="17885" spans="20:20">
      <c r="T17885" s="10"/>
    </row>
    <row r="17886" spans="20:20">
      <c r="T17886" s="10"/>
    </row>
    <row r="17887" spans="20:20">
      <c r="T17887" s="10"/>
    </row>
    <row r="17888" spans="20:20">
      <c r="T17888" s="10"/>
    </row>
    <row r="17889" spans="20:20">
      <c r="T17889" s="10"/>
    </row>
    <row r="17890" spans="20:20">
      <c r="T17890" s="10"/>
    </row>
    <row r="17891" spans="20:20">
      <c r="T17891" s="10"/>
    </row>
    <row r="17892" spans="20:20">
      <c r="T17892" s="10"/>
    </row>
    <row r="17893" spans="20:20">
      <c r="T17893" s="10"/>
    </row>
    <row r="17894" spans="20:20">
      <c r="T17894" s="10"/>
    </row>
    <row r="17895" spans="20:20">
      <c r="T17895" s="10"/>
    </row>
    <row r="17896" spans="20:20">
      <c r="T17896" s="10"/>
    </row>
    <row r="17897" spans="20:20">
      <c r="T17897" s="10"/>
    </row>
    <row r="17898" spans="20:20">
      <c r="T17898" s="10"/>
    </row>
    <row r="17899" spans="20:20">
      <c r="T17899" s="10"/>
    </row>
    <row r="17900" spans="20:20">
      <c r="T17900" s="10"/>
    </row>
    <row r="17901" spans="20:20">
      <c r="T17901" s="10"/>
    </row>
    <row r="17902" spans="20:20">
      <c r="T17902" s="10"/>
    </row>
    <row r="17903" spans="20:20">
      <c r="T17903" s="10"/>
    </row>
    <row r="17904" spans="20:20">
      <c r="T17904" s="10"/>
    </row>
    <row r="17905" spans="20:20">
      <c r="T17905" s="10"/>
    </row>
    <row r="17906" spans="20:20">
      <c r="T17906" s="10"/>
    </row>
    <row r="17907" spans="20:20">
      <c r="T17907" s="10"/>
    </row>
    <row r="17908" spans="20:20">
      <c r="T17908" s="10"/>
    </row>
    <row r="17909" spans="20:20">
      <c r="T17909" s="10"/>
    </row>
    <row r="17910" spans="20:20">
      <c r="T17910" s="10"/>
    </row>
    <row r="17911" spans="20:20">
      <c r="T17911" s="10"/>
    </row>
    <row r="17912" spans="20:20">
      <c r="T17912" s="10"/>
    </row>
    <row r="17913" spans="20:20">
      <c r="T17913" s="10"/>
    </row>
    <row r="17914" spans="20:20">
      <c r="T17914" s="10"/>
    </row>
    <row r="17915" spans="20:20">
      <c r="T17915" s="10"/>
    </row>
    <row r="17916" spans="20:20">
      <c r="T17916" s="10"/>
    </row>
    <row r="17917" spans="20:20">
      <c r="T17917" s="10"/>
    </row>
    <row r="17918" spans="20:20">
      <c r="T17918" s="10"/>
    </row>
    <row r="17919" spans="20:20">
      <c r="T17919" s="10"/>
    </row>
    <row r="17920" spans="20:20">
      <c r="T17920" s="10"/>
    </row>
    <row r="17921" spans="20:20">
      <c r="T17921" s="10"/>
    </row>
    <row r="17922" spans="20:20">
      <c r="T17922" s="10"/>
    </row>
    <row r="17923" spans="20:20">
      <c r="T17923" s="10"/>
    </row>
    <row r="17924" spans="20:20">
      <c r="T17924" s="10"/>
    </row>
    <row r="17925" spans="20:20">
      <c r="T17925" s="10"/>
    </row>
    <row r="17926" spans="20:20">
      <c r="T17926" s="10"/>
    </row>
    <row r="17927" spans="20:20">
      <c r="T17927" s="10"/>
    </row>
    <row r="17928" spans="20:20">
      <c r="T17928" s="10"/>
    </row>
    <row r="17929" spans="20:20">
      <c r="T17929" s="10"/>
    </row>
    <row r="17930" spans="20:20">
      <c r="T17930" s="10"/>
    </row>
    <row r="17931" spans="20:20">
      <c r="T17931" s="10"/>
    </row>
    <row r="17932" spans="20:20">
      <c r="T17932" s="10"/>
    </row>
    <row r="17933" spans="20:20">
      <c r="T17933" s="10"/>
    </row>
    <row r="17934" spans="20:20">
      <c r="T17934" s="10"/>
    </row>
    <row r="17935" spans="20:20">
      <c r="T17935" s="10"/>
    </row>
    <row r="17936" spans="20:20">
      <c r="T17936" s="10"/>
    </row>
    <row r="17937" spans="20:20">
      <c r="T17937" s="10"/>
    </row>
    <row r="17938" spans="20:20">
      <c r="T17938" s="10"/>
    </row>
    <row r="17939" spans="20:20">
      <c r="T17939" s="10"/>
    </row>
    <row r="17940" spans="20:20">
      <c r="T17940" s="10"/>
    </row>
    <row r="17941" spans="20:20">
      <c r="T17941" s="10"/>
    </row>
    <row r="17942" spans="20:20">
      <c r="T17942" s="10"/>
    </row>
    <row r="17943" spans="20:20">
      <c r="T17943" s="10"/>
    </row>
    <row r="17944" spans="20:20">
      <c r="T17944" s="10"/>
    </row>
    <row r="17945" spans="20:20">
      <c r="T17945" s="10"/>
    </row>
    <row r="17946" spans="20:20">
      <c r="T17946" s="10"/>
    </row>
    <row r="17947" spans="20:20">
      <c r="T17947" s="10"/>
    </row>
    <row r="17948" spans="20:20">
      <c r="T17948" s="10"/>
    </row>
    <row r="17949" spans="20:20">
      <c r="T17949" s="10"/>
    </row>
    <row r="17950" spans="20:20">
      <c r="T17950" s="10"/>
    </row>
    <row r="17951" spans="20:20">
      <c r="T17951" s="10"/>
    </row>
    <row r="17952" spans="20:20">
      <c r="T17952" s="10"/>
    </row>
    <row r="17953" spans="20:20">
      <c r="T17953" s="10"/>
    </row>
    <row r="17954" spans="20:20">
      <c r="T17954" s="10"/>
    </row>
    <row r="17955" spans="20:20">
      <c r="T17955" s="10"/>
    </row>
    <row r="17956" spans="20:20">
      <c r="T17956" s="10"/>
    </row>
    <row r="17957" spans="20:20">
      <c r="T17957" s="10"/>
    </row>
    <row r="17958" spans="20:20">
      <c r="T17958" s="10"/>
    </row>
    <row r="17959" spans="20:20">
      <c r="T17959" s="10"/>
    </row>
    <row r="17960" spans="20:20">
      <c r="T17960" s="10"/>
    </row>
    <row r="17961" spans="20:20">
      <c r="T17961" s="10"/>
    </row>
    <row r="17962" spans="20:20">
      <c r="T17962" s="10"/>
    </row>
    <row r="17963" spans="20:20">
      <c r="T17963" s="10"/>
    </row>
    <row r="17964" spans="20:20">
      <c r="T17964" s="10"/>
    </row>
    <row r="17965" spans="20:20">
      <c r="T17965" s="10"/>
    </row>
    <row r="17966" spans="20:20">
      <c r="T17966" s="10"/>
    </row>
    <row r="17967" spans="20:20">
      <c r="T17967" s="10"/>
    </row>
    <row r="17968" spans="20:20">
      <c r="T17968" s="10"/>
    </row>
    <row r="17969" spans="20:20">
      <c r="T17969" s="10"/>
    </row>
    <row r="17970" spans="20:20">
      <c r="T17970" s="10"/>
    </row>
    <row r="17971" spans="20:20">
      <c r="T17971" s="10"/>
    </row>
    <row r="17972" spans="20:20">
      <c r="T17972" s="10"/>
    </row>
    <row r="17973" spans="20:20">
      <c r="T17973" s="10"/>
    </row>
    <row r="17974" spans="20:20">
      <c r="T17974" s="10"/>
    </row>
    <row r="17975" spans="20:20">
      <c r="T17975" s="10"/>
    </row>
    <row r="17976" spans="20:20">
      <c r="T17976" s="10"/>
    </row>
    <row r="17977" spans="20:20">
      <c r="T17977" s="10"/>
    </row>
    <row r="17978" spans="20:20">
      <c r="T17978" s="10"/>
    </row>
    <row r="17979" spans="20:20">
      <c r="T17979" s="10"/>
    </row>
    <row r="17980" spans="20:20">
      <c r="T17980" s="10"/>
    </row>
    <row r="17981" spans="20:20">
      <c r="T17981" s="10"/>
    </row>
    <row r="17982" spans="20:20">
      <c r="T17982" s="10"/>
    </row>
    <row r="17983" spans="20:20">
      <c r="T17983" s="10"/>
    </row>
    <row r="17984" spans="20:20">
      <c r="T17984" s="10"/>
    </row>
    <row r="17985" spans="20:20">
      <c r="T17985" s="10"/>
    </row>
    <row r="17986" spans="20:20">
      <c r="T17986" s="10"/>
    </row>
    <row r="17987" spans="20:20">
      <c r="T17987" s="10"/>
    </row>
    <row r="17988" spans="20:20">
      <c r="T17988" s="10"/>
    </row>
    <row r="17989" spans="20:20">
      <c r="T17989" s="10"/>
    </row>
    <row r="17990" spans="20:20">
      <c r="T17990" s="10"/>
    </row>
    <row r="17991" spans="20:20">
      <c r="T17991" s="10"/>
    </row>
    <row r="17992" spans="20:20">
      <c r="T17992" s="10"/>
    </row>
    <row r="17993" spans="20:20">
      <c r="T17993" s="10"/>
    </row>
    <row r="17994" spans="20:20">
      <c r="T17994" s="10"/>
    </row>
    <row r="17995" spans="20:20">
      <c r="T17995" s="10"/>
    </row>
    <row r="17996" spans="20:20">
      <c r="T17996" s="10"/>
    </row>
    <row r="17997" spans="20:20">
      <c r="T17997" s="10"/>
    </row>
    <row r="17998" spans="20:20">
      <c r="T17998" s="10"/>
    </row>
    <row r="17999" spans="20:20">
      <c r="T17999" s="10"/>
    </row>
    <row r="18000" spans="20:20">
      <c r="T18000" s="10"/>
    </row>
    <row r="18001" spans="20:20">
      <c r="T18001" s="10"/>
    </row>
    <row r="18002" spans="20:20">
      <c r="T18002" s="10"/>
    </row>
    <row r="18003" spans="20:20">
      <c r="T18003" s="10"/>
    </row>
    <row r="18004" spans="20:20">
      <c r="T18004" s="10"/>
    </row>
    <row r="18005" spans="20:20">
      <c r="T18005" s="10"/>
    </row>
    <row r="18006" spans="20:20">
      <c r="T18006" s="10"/>
    </row>
    <row r="18007" spans="20:20">
      <c r="T18007" s="10"/>
    </row>
    <row r="18008" spans="20:20">
      <c r="T18008" s="10"/>
    </row>
    <row r="18009" spans="20:20">
      <c r="T18009" s="10"/>
    </row>
    <row r="18010" spans="20:20">
      <c r="T18010" s="10"/>
    </row>
    <row r="18011" spans="20:20">
      <c r="T18011" s="10"/>
    </row>
    <row r="18012" spans="20:20">
      <c r="T18012" s="10"/>
    </row>
    <row r="18013" spans="20:20">
      <c r="T18013" s="10"/>
    </row>
    <row r="18014" spans="20:20">
      <c r="T18014" s="10"/>
    </row>
    <row r="18015" spans="20:20">
      <c r="T18015" s="10"/>
    </row>
    <row r="18016" spans="20:20">
      <c r="T18016" s="10"/>
    </row>
    <row r="18017" spans="20:20">
      <c r="T18017" s="10"/>
    </row>
    <row r="18018" spans="20:20">
      <c r="T18018" s="10"/>
    </row>
    <row r="18019" spans="20:20">
      <c r="T18019" s="10"/>
    </row>
    <row r="18020" spans="20:20">
      <c r="T18020" s="10"/>
    </row>
    <row r="18021" spans="20:20">
      <c r="T18021" s="10"/>
    </row>
    <row r="18022" spans="20:20">
      <c r="T18022" s="10"/>
    </row>
    <row r="18023" spans="20:20">
      <c r="T18023" s="10"/>
    </row>
    <row r="18024" spans="20:20">
      <c r="T18024" s="10"/>
    </row>
    <row r="18025" spans="20:20">
      <c r="T18025" s="10"/>
    </row>
    <row r="18026" spans="20:20">
      <c r="T18026" s="10"/>
    </row>
    <row r="18027" spans="20:20">
      <c r="T18027" s="10"/>
    </row>
    <row r="18028" spans="20:20">
      <c r="T18028" s="10"/>
    </row>
    <row r="18029" spans="20:20">
      <c r="T18029" s="10"/>
    </row>
    <row r="18030" spans="20:20">
      <c r="T18030" s="10"/>
    </row>
    <row r="18031" spans="20:20">
      <c r="T18031" s="10"/>
    </row>
    <row r="18032" spans="20:20">
      <c r="T18032" s="10"/>
    </row>
    <row r="18033" spans="20:20">
      <c r="T18033" s="10"/>
    </row>
    <row r="18034" spans="20:20">
      <c r="T18034" s="10"/>
    </row>
    <row r="18035" spans="20:20">
      <c r="T18035" s="10"/>
    </row>
    <row r="18036" spans="20:20">
      <c r="T18036" s="10"/>
    </row>
    <row r="18037" spans="20:20">
      <c r="T18037" s="10"/>
    </row>
    <row r="18038" spans="20:20">
      <c r="T18038" s="10"/>
    </row>
    <row r="18039" spans="20:20">
      <c r="T18039" s="10"/>
    </row>
    <row r="18040" spans="20:20">
      <c r="T18040" s="10"/>
    </row>
    <row r="18041" spans="20:20">
      <c r="T18041" s="10"/>
    </row>
    <row r="18042" spans="20:20">
      <c r="T18042" s="10"/>
    </row>
    <row r="18043" spans="20:20">
      <c r="T18043" s="10"/>
    </row>
    <row r="18044" spans="20:20">
      <c r="T18044" s="10"/>
    </row>
    <row r="18045" spans="20:20">
      <c r="T18045" s="10"/>
    </row>
    <row r="18046" spans="20:20">
      <c r="T18046" s="10"/>
    </row>
    <row r="18047" spans="20:20">
      <c r="T18047" s="10"/>
    </row>
    <row r="18048" spans="20:20">
      <c r="T18048" s="10"/>
    </row>
    <row r="18049" spans="20:20">
      <c r="T18049" s="10"/>
    </row>
    <row r="18050" spans="20:20">
      <c r="T18050" s="10"/>
    </row>
    <row r="18051" spans="20:20">
      <c r="T18051" s="10"/>
    </row>
    <row r="18052" spans="20:20">
      <c r="T18052" s="10"/>
    </row>
    <row r="18053" spans="20:20">
      <c r="T18053" s="10"/>
    </row>
    <row r="18054" spans="20:20">
      <c r="T18054" s="10"/>
    </row>
    <row r="18055" spans="20:20">
      <c r="T18055" s="10"/>
    </row>
    <row r="18056" spans="20:20">
      <c r="T18056" s="10"/>
    </row>
    <row r="18057" spans="20:20">
      <c r="T18057" s="10"/>
    </row>
    <row r="18058" spans="20:20">
      <c r="T18058" s="10"/>
    </row>
    <row r="18059" spans="20:20">
      <c r="T18059" s="10"/>
    </row>
    <row r="18060" spans="20:20">
      <c r="T18060" s="10"/>
    </row>
    <row r="18061" spans="20:20">
      <c r="T18061" s="10"/>
    </row>
    <row r="18062" spans="20:20">
      <c r="T18062" s="10"/>
    </row>
    <row r="18063" spans="20:20">
      <c r="T18063" s="10"/>
    </row>
    <row r="18064" spans="20:20">
      <c r="T18064" s="10"/>
    </row>
    <row r="18065" spans="20:20">
      <c r="T18065" s="10"/>
    </row>
    <row r="18066" spans="20:20">
      <c r="T18066" s="10"/>
    </row>
    <row r="18067" spans="20:20">
      <c r="T18067" s="10"/>
    </row>
    <row r="18068" spans="20:20">
      <c r="T18068" s="10"/>
    </row>
    <row r="18069" spans="20:20">
      <c r="T18069" s="10"/>
    </row>
    <row r="18070" spans="20:20">
      <c r="T18070" s="10"/>
    </row>
    <row r="18071" spans="20:20">
      <c r="T18071" s="10"/>
    </row>
    <row r="18072" spans="20:20">
      <c r="T18072" s="10"/>
    </row>
    <row r="18073" spans="20:20">
      <c r="T18073" s="10"/>
    </row>
    <row r="18074" spans="20:20">
      <c r="T18074" s="10"/>
    </row>
    <row r="18075" spans="20:20">
      <c r="T18075" s="10"/>
    </row>
    <row r="18076" spans="20:20">
      <c r="T18076" s="10"/>
    </row>
    <row r="18077" spans="20:20">
      <c r="T18077" s="10"/>
    </row>
    <row r="18078" spans="20:20">
      <c r="T18078" s="10"/>
    </row>
    <row r="18079" spans="20:20">
      <c r="T18079" s="10"/>
    </row>
    <row r="18080" spans="20:20">
      <c r="T18080" s="10"/>
    </row>
    <row r="18081" spans="20:20">
      <c r="T18081" s="10"/>
    </row>
    <row r="18082" spans="20:20">
      <c r="T18082" s="10"/>
    </row>
    <row r="18083" spans="20:20">
      <c r="T18083" s="10"/>
    </row>
    <row r="18084" spans="20:20">
      <c r="T18084" s="10"/>
    </row>
    <row r="18085" spans="20:20">
      <c r="T18085" s="10"/>
    </row>
    <row r="18086" spans="20:20">
      <c r="T18086" s="10"/>
    </row>
    <row r="18087" spans="20:20">
      <c r="T18087" s="10"/>
    </row>
    <row r="18088" spans="20:20">
      <c r="T18088" s="10"/>
    </row>
    <row r="18089" spans="20:20">
      <c r="T18089" s="10"/>
    </row>
    <row r="18090" spans="20:20">
      <c r="T18090" s="10"/>
    </row>
    <row r="18091" spans="20:20">
      <c r="T18091" s="10"/>
    </row>
    <row r="18092" spans="20:20">
      <c r="T18092" s="10"/>
    </row>
    <row r="18093" spans="20:20">
      <c r="T18093" s="10"/>
    </row>
    <row r="18094" spans="20:20">
      <c r="T18094" s="10"/>
    </row>
    <row r="18095" spans="20:20">
      <c r="T18095" s="10"/>
    </row>
    <row r="18096" spans="20:20">
      <c r="T18096" s="10"/>
    </row>
    <row r="18097" spans="20:20">
      <c r="T18097" s="10"/>
    </row>
    <row r="18098" spans="20:20">
      <c r="T18098" s="10"/>
    </row>
    <row r="18099" spans="20:20">
      <c r="T18099" s="10"/>
    </row>
    <row r="18100" spans="20:20">
      <c r="T18100" s="10"/>
    </row>
    <row r="18101" spans="20:20">
      <c r="T18101" s="10"/>
    </row>
    <row r="18102" spans="20:20">
      <c r="T18102" s="10"/>
    </row>
    <row r="18103" spans="20:20">
      <c r="T18103" s="10"/>
    </row>
    <row r="18104" spans="20:20">
      <c r="T18104" s="10"/>
    </row>
    <row r="18105" spans="20:20">
      <c r="T18105" s="10"/>
    </row>
    <row r="18106" spans="20:20">
      <c r="T18106" s="10"/>
    </row>
    <row r="18107" spans="20:20">
      <c r="T18107" s="10"/>
    </row>
    <row r="18108" spans="20:20">
      <c r="T18108" s="10"/>
    </row>
    <row r="18109" spans="20:20">
      <c r="T18109" s="10"/>
    </row>
    <row r="18110" spans="20:20">
      <c r="T18110" s="10"/>
    </row>
    <row r="18111" spans="20:20">
      <c r="T18111" s="10"/>
    </row>
    <row r="18112" spans="20:20">
      <c r="T18112" s="10"/>
    </row>
    <row r="18113" spans="20:20">
      <c r="T18113" s="10"/>
    </row>
    <row r="18114" spans="20:20">
      <c r="T18114" s="10"/>
    </row>
    <row r="18115" spans="20:20">
      <c r="T18115" s="10"/>
    </row>
    <row r="18116" spans="20:20">
      <c r="T18116" s="10"/>
    </row>
    <row r="18117" spans="20:20">
      <c r="T18117" s="10"/>
    </row>
    <row r="18118" spans="20:20">
      <c r="T18118" s="10"/>
    </row>
    <row r="18119" spans="20:20">
      <c r="T18119" s="10"/>
    </row>
    <row r="18120" spans="20:20">
      <c r="T18120" s="10"/>
    </row>
    <row r="18121" spans="20:20">
      <c r="T18121" s="10"/>
    </row>
    <row r="18122" spans="20:20">
      <c r="T18122" s="10"/>
    </row>
    <row r="18123" spans="20:20">
      <c r="T18123" s="10"/>
    </row>
    <row r="18124" spans="20:20">
      <c r="T18124" s="10"/>
    </row>
    <row r="18125" spans="20:20">
      <c r="T18125" s="10"/>
    </row>
    <row r="18126" spans="20:20">
      <c r="T18126" s="10"/>
    </row>
    <row r="18127" spans="20:20">
      <c r="T18127" s="10"/>
    </row>
    <row r="18128" spans="20:20">
      <c r="T18128" s="10"/>
    </row>
    <row r="18129" spans="20:20">
      <c r="T18129" s="10"/>
    </row>
    <row r="18130" spans="20:20">
      <c r="T18130" s="10"/>
    </row>
    <row r="18131" spans="20:20">
      <c r="T18131" s="10"/>
    </row>
    <row r="18132" spans="20:20">
      <c r="T18132" s="10"/>
    </row>
    <row r="18133" spans="20:20">
      <c r="T18133" s="10"/>
    </row>
    <row r="18134" spans="20:20">
      <c r="T18134" s="10"/>
    </row>
    <row r="18135" spans="20:20">
      <c r="T18135" s="10"/>
    </row>
    <row r="18136" spans="20:20">
      <c r="T18136" s="10"/>
    </row>
    <row r="18137" spans="20:20">
      <c r="T18137" s="10"/>
    </row>
    <row r="18138" spans="20:20">
      <c r="T18138" s="10"/>
    </row>
    <row r="18139" spans="20:20">
      <c r="T18139" s="10"/>
    </row>
    <row r="18140" spans="20:20">
      <c r="T18140" s="10"/>
    </row>
    <row r="18141" spans="20:20">
      <c r="T18141" s="10"/>
    </row>
    <row r="18142" spans="20:20">
      <c r="T18142" s="10"/>
    </row>
    <row r="18143" spans="20:20">
      <c r="T18143" s="10"/>
    </row>
    <row r="18144" spans="20:20">
      <c r="T18144" s="10"/>
    </row>
    <row r="18145" spans="20:20">
      <c r="T18145" s="10"/>
    </row>
    <row r="18146" spans="20:20">
      <c r="T18146" s="10"/>
    </row>
    <row r="18147" spans="20:20">
      <c r="T18147" s="10"/>
    </row>
    <row r="18148" spans="20:20">
      <c r="T18148" s="10"/>
    </row>
    <row r="18149" spans="20:20">
      <c r="T18149" s="10"/>
    </row>
    <row r="18150" spans="20:20">
      <c r="T18150" s="10"/>
    </row>
    <row r="18151" spans="20:20">
      <c r="T18151" s="10"/>
    </row>
    <row r="18152" spans="20:20">
      <c r="T18152" s="10"/>
    </row>
    <row r="18153" spans="20:20">
      <c r="T18153" s="10"/>
    </row>
    <row r="18154" spans="20:20">
      <c r="T18154" s="10"/>
    </row>
    <row r="18155" spans="20:20">
      <c r="T18155" s="10"/>
    </row>
    <row r="18156" spans="20:20">
      <c r="T18156" s="10"/>
    </row>
    <row r="18157" spans="20:20">
      <c r="T18157" s="10"/>
    </row>
    <row r="18158" spans="20:20">
      <c r="T18158" s="10"/>
    </row>
    <row r="18159" spans="20:20">
      <c r="T18159" s="10"/>
    </row>
    <row r="18160" spans="20:20">
      <c r="T18160" s="10"/>
    </row>
    <row r="18161" spans="20:20">
      <c r="T18161" s="10"/>
    </row>
    <row r="18162" spans="20:20">
      <c r="T18162" s="10"/>
    </row>
    <row r="18163" spans="20:20">
      <c r="T18163" s="10"/>
    </row>
    <row r="18164" spans="20:20">
      <c r="T18164" s="10"/>
    </row>
    <row r="18165" spans="20:20">
      <c r="T18165" s="10"/>
    </row>
    <row r="18166" spans="20:20">
      <c r="T18166" s="10"/>
    </row>
    <row r="18167" spans="20:20">
      <c r="T18167" s="10"/>
    </row>
    <row r="18168" spans="20:20">
      <c r="T18168" s="10"/>
    </row>
    <row r="18169" spans="20:20">
      <c r="T18169" s="10"/>
    </row>
    <row r="18170" spans="20:20">
      <c r="T18170" s="10"/>
    </row>
    <row r="18171" spans="20:20">
      <c r="T18171" s="10"/>
    </row>
    <row r="18172" spans="20:20">
      <c r="T18172" s="10"/>
    </row>
    <row r="18173" spans="20:20">
      <c r="T18173" s="10"/>
    </row>
    <row r="18174" spans="20:20">
      <c r="T18174" s="10"/>
    </row>
    <row r="18175" spans="20:20">
      <c r="T18175" s="10"/>
    </row>
    <row r="18176" spans="20:20">
      <c r="T18176" s="10"/>
    </row>
    <row r="18177" spans="20:20">
      <c r="T18177" s="10"/>
    </row>
    <row r="18178" spans="20:20">
      <c r="T18178" s="10"/>
    </row>
    <row r="18179" spans="20:20">
      <c r="T18179" s="10"/>
    </row>
    <row r="18180" spans="20:20">
      <c r="T18180" s="10"/>
    </row>
    <row r="18181" spans="20:20">
      <c r="T18181" s="10"/>
    </row>
    <row r="18182" spans="20:20">
      <c r="T18182" s="10"/>
    </row>
    <row r="18183" spans="20:20">
      <c r="T18183" s="10"/>
    </row>
    <row r="18184" spans="20:20">
      <c r="T18184" s="10"/>
    </row>
    <row r="18185" spans="20:20">
      <c r="T18185" s="10"/>
    </row>
    <row r="18186" spans="20:20">
      <c r="T18186" s="10"/>
    </row>
    <row r="18187" spans="20:20">
      <c r="T18187" s="10"/>
    </row>
    <row r="18188" spans="20:20">
      <c r="T18188" s="10"/>
    </row>
    <row r="18189" spans="20:20">
      <c r="T18189" s="10"/>
    </row>
    <row r="18190" spans="20:20">
      <c r="T18190" s="10"/>
    </row>
    <row r="18191" spans="20:20">
      <c r="T18191" s="10"/>
    </row>
    <row r="18192" spans="20:20">
      <c r="T18192" s="10"/>
    </row>
    <row r="18193" spans="20:20">
      <c r="T18193" s="10"/>
    </row>
    <row r="18194" spans="20:20">
      <c r="T18194" s="10"/>
    </row>
    <row r="18195" spans="20:20">
      <c r="T18195" s="10"/>
    </row>
    <row r="18196" spans="20:20">
      <c r="T18196" s="10"/>
    </row>
    <row r="18197" spans="20:20">
      <c r="T18197" s="10"/>
    </row>
    <row r="18198" spans="20:20">
      <c r="T18198" s="10"/>
    </row>
    <row r="18199" spans="20:20">
      <c r="T18199" s="10"/>
    </row>
    <row r="18200" spans="20:20">
      <c r="T18200" s="10"/>
    </row>
    <row r="18201" spans="20:20">
      <c r="T18201" s="10"/>
    </row>
    <row r="18202" spans="20:20">
      <c r="T18202" s="10"/>
    </row>
    <row r="18203" spans="20:20">
      <c r="T18203" s="10"/>
    </row>
    <row r="18204" spans="20:20">
      <c r="T18204" s="10"/>
    </row>
    <row r="18205" spans="20:20">
      <c r="T18205" s="10"/>
    </row>
    <row r="18206" spans="20:20">
      <c r="T18206" s="10"/>
    </row>
    <row r="18207" spans="20:20">
      <c r="T18207" s="10"/>
    </row>
    <row r="18208" spans="20:20">
      <c r="T18208" s="10"/>
    </row>
    <row r="18209" spans="20:20">
      <c r="T18209" s="10"/>
    </row>
    <row r="18210" spans="20:20">
      <c r="T18210" s="10"/>
    </row>
    <row r="18211" spans="20:20">
      <c r="T18211" s="10"/>
    </row>
    <row r="18212" spans="20:20">
      <c r="T18212" s="10"/>
    </row>
    <row r="18213" spans="20:20">
      <c r="T18213" s="10"/>
    </row>
    <row r="18214" spans="20:20">
      <c r="T18214" s="10"/>
    </row>
    <row r="18215" spans="20:20">
      <c r="T18215" s="10"/>
    </row>
    <row r="18216" spans="20:20">
      <c r="T18216" s="10"/>
    </row>
    <row r="18217" spans="20:20">
      <c r="T18217" s="10"/>
    </row>
    <row r="18218" spans="20:20">
      <c r="T18218" s="10"/>
    </row>
    <row r="18219" spans="20:20">
      <c r="T18219" s="10"/>
    </row>
    <row r="18220" spans="20:20">
      <c r="T18220" s="10"/>
    </row>
    <row r="18221" spans="20:20">
      <c r="T18221" s="10"/>
    </row>
    <row r="18222" spans="20:20">
      <c r="T18222" s="10"/>
    </row>
    <row r="18223" spans="20:20">
      <c r="T18223" s="10"/>
    </row>
    <row r="18224" spans="20:20">
      <c r="T18224" s="10"/>
    </row>
    <row r="18225" spans="20:20">
      <c r="T18225" s="10"/>
    </row>
    <row r="18226" spans="20:20">
      <c r="T18226" s="10"/>
    </row>
    <row r="18227" spans="20:20">
      <c r="T18227" s="10"/>
    </row>
    <row r="18228" spans="20:20">
      <c r="T18228" s="10"/>
    </row>
    <row r="18229" spans="20:20">
      <c r="T18229" s="10"/>
    </row>
    <row r="18230" spans="20:20">
      <c r="T18230" s="10"/>
    </row>
    <row r="18231" spans="20:20">
      <c r="T18231" s="10"/>
    </row>
    <row r="18232" spans="20:20">
      <c r="T18232" s="10"/>
    </row>
    <row r="18233" spans="20:20">
      <c r="T18233" s="10"/>
    </row>
    <row r="18234" spans="20:20">
      <c r="T18234" s="10"/>
    </row>
    <row r="18235" spans="20:20">
      <c r="T18235" s="10"/>
    </row>
    <row r="18236" spans="20:20">
      <c r="T18236" s="10"/>
    </row>
    <row r="18237" spans="20:20">
      <c r="T18237" s="10"/>
    </row>
    <row r="18238" spans="20:20">
      <c r="T18238" s="10"/>
    </row>
    <row r="18239" spans="20:20">
      <c r="T18239" s="10"/>
    </row>
    <row r="18240" spans="20:20">
      <c r="T18240" s="10"/>
    </row>
    <row r="18241" spans="20:20">
      <c r="T18241" s="10"/>
    </row>
    <row r="18242" spans="20:20">
      <c r="T18242" s="10"/>
    </row>
    <row r="18243" spans="20:20">
      <c r="T18243" s="10"/>
    </row>
    <row r="18244" spans="20:20">
      <c r="T18244" s="10"/>
    </row>
    <row r="18245" spans="20:20">
      <c r="T18245" s="10"/>
    </row>
    <row r="18246" spans="20:20">
      <c r="T18246" s="10"/>
    </row>
    <row r="18247" spans="20:20">
      <c r="T18247" s="10"/>
    </row>
    <row r="18248" spans="20:20">
      <c r="T18248" s="10"/>
    </row>
    <row r="18249" spans="20:20">
      <c r="T18249" s="10"/>
    </row>
    <row r="18250" spans="20:20">
      <c r="T18250" s="10"/>
    </row>
    <row r="18251" spans="20:20">
      <c r="T18251" s="10"/>
    </row>
    <row r="18252" spans="20:20">
      <c r="T18252" s="10"/>
    </row>
    <row r="18253" spans="20:20">
      <c r="T18253" s="10"/>
    </row>
    <row r="18254" spans="20:20">
      <c r="T18254" s="10"/>
    </row>
    <row r="18255" spans="20:20">
      <c r="T18255" s="10"/>
    </row>
    <row r="18256" spans="20:20">
      <c r="T18256" s="10"/>
    </row>
    <row r="18257" spans="20:20">
      <c r="T18257" s="10"/>
    </row>
    <row r="18258" spans="20:20">
      <c r="T18258" s="10"/>
    </row>
    <row r="18259" spans="20:20">
      <c r="T18259" s="10"/>
    </row>
    <row r="18260" spans="20:20">
      <c r="T18260" s="10"/>
    </row>
    <row r="18261" spans="20:20">
      <c r="T18261" s="10"/>
    </row>
    <row r="18262" spans="20:20">
      <c r="T18262" s="10"/>
    </row>
    <row r="18263" spans="20:20">
      <c r="T18263" s="10"/>
    </row>
    <row r="18264" spans="20:20">
      <c r="T18264" s="10"/>
    </row>
    <row r="18265" spans="20:20">
      <c r="T18265" s="10"/>
    </row>
    <row r="18266" spans="20:20">
      <c r="T18266" s="10"/>
    </row>
    <row r="18267" spans="20:20">
      <c r="T18267" s="10"/>
    </row>
    <row r="18268" spans="20:20">
      <c r="T18268" s="10"/>
    </row>
    <row r="18269" spans="20:20">
      <c r="T18269" s="10"/>
    </row>
    <row r="18270" spans="20:20">
      <c r="T18270" s="10"/>
    </row>
    <row r="18271" spans="20:20">
      <c r="T18271" s="10"/>
    </row>
    <row r="18272" spans="20:20">
      <c r="T18272" s="10"/>
    </row>
    <row r="18273" spans="20:20">
      <c r="T18273" s="10"/>
    </row>
    <row r="18274" spans="20:20">
      <c r="T18274" s="10"/>
    </row>
    <row r="18275" spans="20:20">
      <c r="T18275" s="10"/>
    </row>
    <row r="18276" spans="20:20">
      <c r="T18276" s="10"/>
    </row>
    <row r="18277" spans="20:20">
      <c r="T18277" s="10"/>
    </row>
    <row r="18278" spans="20:20">
      <c r="T18278" s="10"/>
    </row>
    <row r="18279" spans="20:20">
      <c r="T18279" s="10"/>
    </row>
    <row r="18280" spans="20:20">
      <c r="T18280" s="10"/>
    </row>
    <row r="18281" spans="20:20">
      <c r="T18281" s="10"/>
    </row>
    <row r="18282" spans="20:20">
      <c r="T18282" s="10"/>
    </row>
    <row r="18283" spans="20:20">
      <c r="T18283" s="10"/>
    </row>
    <row r="18284" spans="20:20">
      <c r="T18284" s="10"/>
    </row>
    <row r="18285" spans="20:20">
      <c r="T18285" s="10"/>
    </row>
    <row r="18286" spans="20:20">
      <c r="T18286" s="10"/>
    </row>
    <row r="18287" spans="20:20">
      <c r="T18287" s="10"/>
    </row>
    <row r="18288" spans="20:20">
      <c r="T18288" s="10"/>
    </row>
    <row r="18289" spans="20:20">
      <c r="T18289" s="10"/>
    </row>
    <row r="18290" spans="20:20">
      <c r="T18290" s="10"/>
    </row>
    <row r="18291" spans="20:20">
      <c r="T18291" s="10"/>
    </row>
    <row r="18292" spans="20:20">
      <c r="T18292" s="10"/>
    </row>
    <row r="18293" spans="20:20">
      <c r="T18293" s="10"/>
    </row>
    <row r="18294" spans="20:20">
      <c r="T18294" s="10"/>
    </row>
    <row r="18295" spans="20:20">
      <c r="T18295" s="10"/>
    </row>
    <row r="18296" spans="20:20">
      <c r="T18296" s="10"/>
    </row>
    <row r="18297" spans="20:20">
      <c r="T18297" s="10"/>
    </row>
    <row r="18298" spans="20:20">
      <c r="T18298" s="10"/>
    </row>
    <row r="18299" spans="20:20">
      <c r="T18299" s="10"/>
    </row>
    <row r="18300" spans="20:20">
      <c r="T18300" s="10"/>
    </row>
    <row r="18301" spans="20:20">
      <c r="T18301" s="10"/>
    </row>
    <row r="18302" spans="20:20">
      <c r="T18302" s="10"/>
    </row>
    <row r="18303" spans="20:20">
      <c r="T18303" s="10"/>
    </row>
    <row r="18304" spans="20:20">
      <c r="T18304" s="10"/>
    </row>
    <row r="18305" spans="20:20">
      <c r="T18305" s="10"/>
    </row>
    <row r="18306" spans="20:20">
      <c r="T18306" s="10"/>
    </row>
    <row r="18307" spans="20:20">
      <c r="T18307" s="10"/>
    </row>
    <row r="18308" spans="20:20">
      <c r="T18308" s="10"/>
    </row>
    <row r="18309" spans="20:20">
      <c r="T18309" s="10"/>
    </row>
    <row r="18310" spans="20:20">
      <c r="T18310" s="10"/>
    </row>
    <row r="18311" spans="20:20">
      <c r="T18311" s="10"/>
    </row>
    <row r="18312" spans="20:20">
      <c r="T18312" s="10"/>
    </row>
    <row r="18313" spans="20:20">
      <c r="T18313" s="10"/>
    </row>
    <row r="18314" spans="20:20">
      <c r="T18314" s="10"/>
    </row>
    <row r="18315" spans="20:20">
      <c r="T18315" s="10"/>
    </row>
    <row r="18316" spans="20:20">
      <c r="T18316" s="10"/>
    </row>
    <row r="18317" spans="20:20">
      <c r="T18317" s="10"/>
    </row>
    <row r="18318" spans="20:20">
      <c r="T18318" s="10"/>
    </row>
    <row r="18319" spans="20:20">
      <c r="T18319" s="10"/>
    </row>
    <row r="18320" spans="20:20">
      <c r="T18320" s="10"/>
    </row>
    <row r="18321" spans="20:20">
      <c r="T18321" s="10"/>
    </row>
    <row r="18322" spans="20:20">
      <c r="T18322" s="10"/>
    </row>
    <row r="18323" spans="20:20">
      <c r="T18323" s="10"/>
    </row>
    <row r="18324" spans="20:20">
      <c r="T18324" s="10"/>
    </row>
    <row r="18325" spans="20:20">
      <c r="T18325" s="10"/>
    </row>
    <row r="18326" spans="20:20">
      <c r="T18326" s="10"/>
    </row>
    <row r="18327" spans="20:20">
      <c r="T18327" s="10"/>
    </row>
    <row r="18328" spans="20:20">
      <c r="T18328" s="10"/>
    </row>
    <row r="18329" spans="20:20">
      <c r="T18329" s="10"/>
    </row>
    <row r="18330" spans="20:20">
      <c r="T18330" s="10"/>
    </row>
    <row r="18331" spans="20:20">
      <c r="T18331" s="10"/>
    </row>
    <row r="18332" spans="20:20">
      <c r="T18332" s="10"/>
    </row>
    <row r="18333" spans="20:20">
      <c r="T18333" s="10"/>
    </row>
    <row r="18334" spans="20:20">
      <c r="T18334" s="10"/>
    </row>
    <row r="18335" spans="20:20">
      <c r="T18335" s="10"/>
    </row>
    <row r="18336" spans="20:20">
      <c r="T18336" s="10"/>
    </row>
    <row r="18337" spans="20:20">
      <c r="T18337" s="10"/>
    </row>
    <row r="18338" spans="20:20">
      <c r="T18338" s="10"/>
    </row>
    <row r="18339" spans="20:20">
      <c r="T18339" s="10"/>
    </row>
    <row r="18340" spans="20:20">
      <c r="T18340" s="10"/>
    </row>
    <row r="18341" spans="20:20">
      <c r="T18341" s="10"/>
    </row>
    <row r="18342" spans="20:20">
      <c r="T18342" s="10"/>
    </row>
    <row r="18343" spans="20:20">
      <c r="T18343" s="10"/>
    </row>
    <row r="18344" spans="20:20">
      <c r="T18344" s="10"/>
    </row>
    <row r="18345" spans="20:20">
      <c r="T18345" s="10"/>
    </row>
    <row r="18346" spans="20:20">
      <c r="T18346" s="10"/>
    </row>
    <row r="18347" spans="20:20">
      <c r="T18347" s="10"/>
    </row>
    <row r="18348" spans="20:20">
      <c r="T18348" s="10"/>
    </row>
    <row r="18349" spans="20:20">
      <c r="T18349" s="10"/>
    </row>
    <row r="18350" spans="20:20">
      <c r="T18350" s="10"/>
    </row>
    <row r="18351" spans="20:20">
      <c r="T18351" s="10"/>
    </row>
    <row r="18352" spans="20:20">
      <c r="T18352" s="10"/>
    </row>
    <row r="18353" spans="20:20">
      <c r="T18353" s="10"/>
    </row>
    <row r="18354" spans="20:20">
      <c r="T18354" s="10"/>
    </row>
    <row r="18355" spans="20:20">
      <c r="T18355" s="10"/>
    </row>
    <row r="18356" spans="20:20">
      <c r="T18356" s="10"/>
    </row>
    <row r="18357" spans="20:20">
      <c r="T18357" s="10"/>
    </row>
    <row r="18358" spans="20:20">
      <c r="T18358" s="10"/>
    </row>
    <row r="18359" spans="20:20">
      <c r="T18359" s="10"/>
    </row>
    <row r="18360" spans="20:20">
      <c r="T18360" s="10"/>
    </row>
    <row r="18361" spans="20:20">
      <c r="T18361" s="10"/>
    </row>
    <row r="18362" spans="20:20">
      <c r="T18362" s="10"/>
    </row>
    <row r="18363" spans="20:20">
      <c r="T18363" s="10"/>
    </row>
    <row r="18364" spans="20:20">
      <c r="T18364" s="10"/>
    </row>
    <row r="18365" spans="20:20">
      <c r="T18365" s="10"/>
    </row>
    <row r="18366" spans="20:20">
      <c r="T18366" s="10"/>
    </row>
    <row r="18367" spans="20:20">
      <c r="T18367" s="10"/>
    </row>
    <row r="18368" spans="20:20">
      <c r="T18368" s="10"/>
    </row>
    <row r="18369" spans="20:20">
      <c r="T18369" s="10"/>
    </row>
    <row r="18370" spans="20:20">
      <c r="T18370" s="10"/>
    </row>
    <row r="18371" spans="20:20">
      <c r="T18371" s="10"/>
    </row>
    <row r="18372" spans="20:20">
      <c r="T18372" s="10"/>
    </row>
    <row r="18373" spans="20:20">
      <c r="T18373" s="10"/>
    </row>
    <row r="18374" spans="20:20">
      <c r="T18374" s="10"/>
    </row>
    <row r="18375" spans="20:20">
      <c r="T18375" s="10"/>
    </row>
    <row r="18376" spans="20:20">
      <c r="T18376" s="10"/>
    </row>
    <row r="18377" spans="20:20">
      <c r="T18377" s="10"/>
    </row>
    <row r="18378" spans="20:20">
      <c r="T18378" s="10"/>
    </row>
    <row r="18379" spans="20:20">
      <c r="T18379" s="10"/>
    </row>
    <row r="18380" spans="20:20">
      <c r="T18380" s="10"/>
    </row>
    <row r="18381" spans="20:20">
      <c r="T18381" s="10"/>
    </row>
    <row r="18382" spans="20:20">
      <c r="T18382" s="10"/>
    </row>
    <row r="18383" spans="20:20">
      <c r="T18383" s="10"/>
    </row>
    <row r="18384" spans="20:20">
      <c r="T18384" s="10"/>
    </row>
    <row r="18385" spans="20:20">
      <c r="T18385" s="10"/>
    </row>
    <row r="18386" spans="20:20">
      <c r="T18386" s="10"/>
    </row>
    <row r="18387" spans="20:20">
      <c r="T18387" s="10"/>
    </row>
    <row r="18388" spans="20:20">
      <c r="T18388" s="10"/>
    </row>
    <row r="18389" spans="20:20">
      <c r="T18389" s="10"/>
    </row>
    <row r="18390" spans="20:20">
      <c r="T18390" s="10"/>
    </row>
    <row r="18391" spans="20:20">
      <c r="T18391" s="10"/>
    </row>
    <row r="18392" spans="20:20">
      <c r="T18392" s="10"/>
    </row>
    <row r="18393" spans="20:20">
      <c r="T18393" s="10"/>
    </row>
    <row r="18394" spans="20:20">
      <c r="T18394" s="10"/>
    </row>
    <row r="18395" spans="20:20">
      <c r="T18395" s="10"/>
    </row>
    <row r="18396" spans="20:20">
      <c r="T18396" s="10"/>
    </row>
    <row r="18397" spans="20:20">
      <c r="T18397" s="10"/>
    </row>
    <row r="18398" spans="20:20">
      <c r="T18398" s="10"/>
    </row>
    <row r="18399" spans="20:20">
      <c r="T18399" s="10"/>
    </row>
    <row r="18400" spans="20:20">
      <c r="T18400" s="10"/>
    </row>
    <row r="18401" spans="20:20">
      <c r="T18401" s="10"/>
    </row>
    <row r="18402" spans="20:20">
      <c r="T18402" s="10"/>
    </row>
    <row r="18403" spans="20:20">
      <c r="T18403" s="10"/>
    </row>
    <row r="18404" spans="20:20">
      <c r="T18404" s="10"/>
    </row>
    <row r="18405" spans="20:20">
      <c r="T18405" s="10"/>
    </row>
    <row r="18406" spans="20:20">
      <c r="T18406" s="10"/>
    </row>
    <row r="18407" spans="20:20">
      <c r="T18407" s="10"/>
    </row>
    <row r="18408" spans="20:20">
      <c r="T18408" s="10"/>
    </row>
    <row r="18409" spans="20:20">
      <c r="T18409" s="10"/>
    </row>
    <row r="18410" spans="20:20">
      <c r="T18410" s="10"/>
    </row>
    <row r="18411" spans="20:20">
      <c r="T18411" s="10"/>
    </row>
    <row r="18412" spans="20:20">
      <c r="T18412" s="10"/>
    </row>
    <row r="18413" spans="20:20">
      <c r="T18413" s="10"/>
    </row>
    <row r="18414" spans="20:20">
      <c r="T18414" s="10"/>
    </row>
    <row r="18415" spans="20:20">
      <c r="T18415" s="10"/>
    </row>
    <row r="18416" spans="20:20">
      <c r="T18416" s="10"/>
    </row>
    <row r="18417" spans="20:20">
      <c r="T18417" s="10"/>
    </row>
    <row r="18418" spans="20:20">
      <c r="T18418" s="10"/>
    </row>
    <row r="18419" spans="20:20">
      <c r="T18419" s="10"/>
    </row>
    <row r="18420" spans="20:20">
      <c r="T18420" s="10"/>
    </row>
    <row r="18421" spans="20:20">
      <c r="T18421" s="10"/>
    </row>
    <row r="18422" spans="20:20">
      <c r="T18422" s="10"/>
    </row>
    <row r="18423" spans="20:20">
      <c r="T18423" s="10"/>
    </row>
    <row r="18424" spans="20:20">
      <c r="T18424" s="10"/>
    </row>
    <row r="18425" spans="20:20">
      <c r="T18425" s="10"/>
    </row>
    <row r="18426" spans="20:20">
      <c r="T18426" s="10"/>
    </row>
    <row r="18427" spans="20:20">
      <c r="T18427" s="10"/>
    </row>
    <row r="18428" spans="20:20">
      <c r="T18428" s="10"/>
    </row>
    <row r="18429" spans="20:20">
      <c r="T18429" s="10"/>
    </row>
    <row r="18430" spans="20:20">
      <c r="T18430" s="10"/>
    </row>
    <row r="18431" spans="20:20">
      <c r="T18431" s="10"/>
    </row>
    <row r="18432" spans="20:20">
      <c r="T18432" s="10"/>
    </row>
    <row r="18433" spans="20:20">
      <c r="T18433" s="10"/>
    </row>
    <row r="18434" spans="20:20">
      <c r="T18434" s="10"/>
    </row>
    <row r="18435" spans="20:20">
      <c r="T18435" s="10"/>
    </row>
    <row r="18436" spans="20:20">
      <c r="T18436" s="10"/>
    </row>
    <row r="18437" spans="20:20">
      <c r="T18437" s="10"/>
    </row>
    <row r="18438" spans="20:20">
      <c r="T18438" s="10"/>
    </row>
    <row r="18439" spans="20:20">
      <c r="T18439" s="10"/>
    </row>
    <row r="18440" spans="20:20">
      <c r="T18440" s="10"/>
    </row>
    <row r="18441" spans="20:20">
      <c r="T18441" s="10"/>
    </row>
    <row r="18442" spans="20:20">
      <c r="T18442" s="10"/>
    </row>
    <row r="18443" spans="20:20">
      <c r="T18443" s="10"/>
    </row>
    <row r="18444" spans="20:20">
      <c r="T18444" s="10"/>
    </row>
    <row r="18445" spans="20:20">
      <c r="T18445" s="10"/>
    </row>
    <row r="18446" spans="20:20">
      <c r="T18446" s="10"/>
    </row>
    <row r="18447" spans="20:20">
      <c r="T18447" s="10"/>
    </row>
    <row r="18448" spans="20:20">
      <c r="T18448" s="10"/>
    </row>
    <row r="18449" spans="20:20">
      <c r="T18449" s="10"/>
    </row>
    <row r="18450" spans="20:20">
      <c r="T18450" s="10"/>
    </row>
    <row r="18451" spans="20:20">
      <c r="T18451" s="10"/>
    </row>
    <row r="18452" spans="20:20">
      <c r="T18452" s="10"/>
    </row>
    <row r="18453" spans="20:20">
      <c r="T18453" s="10"/>
    </row>
    <row r="18454" spans="20:20">
      <c r="T18454" s="10"/>
    </row>
    <row r="18455" spans="20:20">
      <c r="T18455" s="10"/>
    </row>
    <row r="18456" spans="20:20">
      <c r="T18456" s="10"/>
    </row>
    <row r="18457" spans="20:20">
      <c r="T18457" s="10"/>
    </row>
    <row r="18458" spans="20:20">
      <c r="T18458" s="10"/>
    </row>
    <row r="18459" spans="20:20">
      <c r="T18459" s="10"/>
    </row>
    <row r="18460" spans="20:20">
      <c r="T18460" s="10"/>
    </row>
    <row r="18461" spans="20:20">
      <c r="T18461" s="10"/>
    </row>
    <row r="18462" spans="20:20">
      <c r="T18462" s="10"/>
    </row>
    <row r="18463" spans="20:20">
      <c r="T18463" s="10"/>
    </row>
    <row r="18464" spans="20:20">
      <c r="T18464" s="10"/>
    </row>
    <row r="18465" spans="20:20">
      <c r="T18465" s="10"/>
    </row>
    <row r="18466" spans="20:20">
      <c r="T18466" s="10"/>
    </row>
    <row r="18467" spans="20:20">
      <c r="T18467" s="10"/>
    </row>
    <row r="18468" spans="20:20">
      <c r="T18468" s="10"/>
    </row>
    <row r="18469" spans="20:20">
      <c r="T18469" s="10"/>
    </row>
    <row r="18470" spans="20:20">
      <c r="T18470" s="10"/>
    </row>
    <row r="18471" spans="20:20">
      <c r="T18471" s="10"/>
    </row>
    <row r="18472" spans="20:20">
      <c r="T18472" s="10"/>
    </row>
    <row r="18473" spans="20:20">
      <c r="T18473" s="10"/>
    </row>
    <row r="18474" spans="20:20">
      <c r="T18474" s="10"/>
    </row>
    <row r="18475" spans="20:20">
      <c r="T18475" s="10"/>
    </row>
    <row r="18476" spans="20:20">
      <c r="T18476" s="10"/>
    </row>
    <row r="18477" spans="20:20">
      <c r="T18477" s="10"/>
    </row>
    <row r="18478" spans="20:20">
      <c r="T18478" s="10"/>
    </row>
    <row r="18479" spans="20:20">
      <c r="T18479" s="10"/>
    </row>
    <row r="18480" spans="20:20">
      <c r="T18480" s="10"/>
    </row>
    <row r="18481" spans="20:20">
      <c r="T18481" s="10"/>
    </row>
    <row r="18482" spans="20:20">
      <c r="T18482" s="10"/>
    </row>
    <row r="18483" spans="20:20">
      <c r="T18483" s="10"/>
    </row>
    <row r="18484" spans="20:20">
      <c r="T18484" s="10"/>
    </row>
    <row r="18485" spans="20:20">
      <c r="T18485" s="10"/>
    </row>
    <row r="18486" spans="20:20">
      <c r="T18486" s="10"/>
    </row>
    <row r="18487" spans="20:20">
      <c r="T18487" s="10"/>
    </row>
    <row r="18488" spans="20:20">
      <c r="T18488" s="10"/>
    </row>
    <row r="18489" spans="20:20">
      <c r="T18489" s="10"/>
    </row>
    <row r="18490" spans="20:20">
      <c r="T18490" s="10"/>
    </row>
    <row r="18491" spans="20:20">
      <c r="T18491" s="10"/>
    </row>
    <row r="18492" spans="20:20">
      <c r="T18492" s="10"/>
    </row>
    <row r="18493" spans="20:20">
      <c r="T18493" s="10"/>
    </row>
    <row r="18494" spans="20:20">
      <c r="T18494" s="10"/>
    </row>
    <row r="18495" spans="20:20">
      <c r="T18495" s="10"/>
    </row>
    <row r="18496" spans="20:20">
      <c r="T18496" s="10"/>
    </row>
    <row r="18497" spans="20:20">
      <c r="T18497" s="10"/>
    </row>
    <row r="18498" spans="20:20">
      <c r="T18498" s="10"/>
    </row>
    <row r="18499" spans="20:20">
      <c r="T18499" s="10"/>
    </row>
    <row r="18500" spans="20:20">
      <c r="T18500" s="10"/>
    </row>
    <row r="18501" spans="20:20">
      <c r="T18501" s="10"/>
    </row>
    <row r="18502" spans="20:20">
      <c r="T18502" s="10"/>
    </row>
    <row r="18503" spans="20:20">
      <c r="T18503" s="10"/>
    </row>
    <row r="18504" spans="20:20">
      <c r="T18504" s="10"/>
    </row>
    <row r="18505" spans="20:20">
      <c r="T18505" s="10"/>
    </row>
    <row r="18506" spans="20:20">
      <c r="T18506" s="10"/>
    </row>
    <row r="18507" spans="20:20">
      <c r="T18507" s="10"/>
    </row>
    <row r="18508" spans="20:20">
      <c r="T18508" s="10"/>
    </row>
    <row r="18509" spans="20:20">
      <c r="T18509" s="10"/>
    </row>
    <row r="18510" spans="20:20">
      <c r="T18510" s="10"/>
    </row>
    <row r="18511" spans="20:20">
      <c r="T18511" s="10"/>
    </row>
    <row r="18512" spans="20:20">
      <c r="T18512" s="10"/>
    </row>
    <row r="18513" spans="20:20">
      <c r="T18513" s="10"/>
    </row>
    <row r="18514" spans="20:20">
      <c r="T18514" s="10"/>
    </row>
    <row r="18515" spans="20:20">
      <c r="T18515" s="10"/>
    </row>
    <row r="18516" spans="20:20">
      <c r="T18516" s="10"/>
    </row>
    <row r="18517" spans="20:20">
      <c r="T18517" s="10"/>
    </row>
    <row r="18518" spans="20:20">
      <c r="T18518" s="10"/>
    </row>
    <row r="18519" spans="20:20">
      <c r="T18519" s="10"/>
    </row>
    <row r="18520" spans="20:20">
      <c r="T18520" s="10"/>
    </row>
    <row r="18521" spans="20:20">
      <c r="T18521" s="10"/>
    </row>
    <row r="18522" spans="20:20">
      <c r="T18522" s="10"/>
    </row>
    <row r="18523" spans="20:20">
      <c r="T18523" s="10"/>
    </row>
    <row r="18524" spans="20:20">
      <c r="T18524" s="10"/>
    </row>
    <row r="18525" spans="20:20">
      <c r="T18525" s="10"/>
    </row>
    <row r="18526" spans="20:20">
      <c r="T18526" s="10"/>
    </row>
    <row r="18527" spans="20:20">
      <c r="T18527" s="10"/>
    </row>
    <row r="18528" spans="20:20">
      <c r="T18528" s="10"/>
    </row>
    <row r="18529" spans="20:20">
      <c r="T18529" s="10"/>
    </row>
    <row r="18530" spans="20:20">
      <c r="T18530" s="10"/>
    </row>
    <row r="18531" spans="20:20">
      <c r="T18531" s="10"/>
    </row>
    <row r="18532" spans="20:20">
      <c r="T18532" s="10"/>
    </row>
    <row r="18533" spans="20:20">
      <c r="T18533" s="10"/>
    </row>
    <row r="18534" spans="20:20">
      <c r="T18534" s="10"/>
    </row>
    <row r="18535" spans="20:20">
      <c r="T18535" s="10"/>
    </row>
    <row r="18536" spans="20:20">
      <c r="T18536" s="10"/>
    </row>
    <row r="18537" spans="20:20">
      <c r="T18537" s="10"/>
    </row>
    <row r="18538" spans="20:20">
      <c r="T18538" s="10"/>
    </row>
    <row r="18539" spans="20:20">
      <c r="T18539" s="10"/>
    </row>
    <row r="18540" spans="20:20">
      <c r="T18540" s="10"/>
    </row>
    <row r="18541" spans="20:20">
      <c r="T18541" s="10"/>
    </row>
    <row r="18542" spans="20:20">
      <c r="T18542" s="10"/>
    </row>
    <row r="18543" spans="20:20">
      <c r="T18543" s="10"/>
    </row>
    <row r="18544" spans="20:20">
      <c r="T18544" s="10"/>
    </row>
    <row r="18545" spans="20:20">
      <c r="T18545" s="10"/>
    </row>
    <row r="18546" spans="20:20">
      <c r="T18546" s="10"/>
    </row>
    <row r="18547" spans="20:20">
      <c r="T18547" s="10"/>
    </row>
    <row r="18548" spans="20:20">
      <c r="T18548" s="10"/>
    </row>
    <row r="18549" spans="20:20">
      <c r="T18549" s="10"/>
    </row>
    <row r="18550" spans="20:20">
      <c r="T18550" s="10"/>
    </row>
    <row r="18551" spans="20:20">
      <c r="T18551" s="10"/>
    </row>
    <row r="18552" spans="20:20">
      <c r="T18552" s="10"/>
    </row>
    <row r="18553" spans="20:20">
      <c r="T18553" s="10"/>
    </row>
    <row r="18554" spans="20:20">
      <c r="T18554" s="10"/>
    </row>
    <row r="18555" spans="20:20">
      <c r="T18555" s="10"/>
    </row>
    <row r="18556" spans="20:20">
      <c r="T18556" s="10"/>
    </row>
    <row r="18557" spans="20:20">
      <c r="T18557" s="10"/>
    </row>
    <row r="18558" spans="20:20">
      <c r="T18558" s="10"/>
    </row>
    <row r="18559" spans="20:20">
      <c r="T18559" s="10"/>
    </row>
    <row r="18560" spans="20:20">
      <c r="T18560" s="10"/>
    </row>
    <row r="18561" spans="20:20">
      <c r="T18561" s="10"/>
    </row>
    <row r="18562" spans="20:20">
      <c r="T18562" s="10"/>
    </row>
    <row r="18563" spans="20:20">
      <c r="T18563" s="10"/>
    </row>
    <row r="18564" spans="20:20">
      <c r="T18564" s="10"/>
    </row>
    <row r="18565" spans="20:20">
      <c r="T18565" s="10"/>
    </row>
    <row r="18566" spans="20:20">
      <c r="T18566" s="10"/>
    </row>
    <row r="18567" spans="20:20">
      <c r="T18567" s="10"/>
    </row>
    <row r="18568" spans="20:20">
      <c r="T18568" s="10"/>
    </row>
    <row r="18569" spans="20:20">
      <c r="T18569" s="10"/>
    </row>
    <row r="18570" spans="20:20">
      <c r="T18570" s="10"/>
    </row>
    <row r="18571" spans="20:20">
      <c r="T18571" s="10"/>
    </row>
    <row r="18572" spans="20:20">
      <c r="T18572" s="10"/>
    </row>
    <row r="18573" spans="20:20">
      <c r="T18573" s="10"/>
    </row>
    <row r="18574" spans="20:20">
      <c r="T18574" s="10"/>
    </row>
    <row r="18575" spans="20:20">
      <c r="T18575" s="10"/>
    </row>
    <row r="18576" spans="20:20">
      <c r="T18576" s="10"/>
    </row>
    <row r="18577" spans="20:20">
      <c r="T18577" s="10"/>
    </row>
    <row r="18578" spans="20:20">
      <c r="T18578" s="10"/>
    </row>
    <row r="18579" spans="20:20">
      <c r="T18579" s="10"/>
    </row>
    <row r="18580" spans="20:20">
      <c r="T18580" s="10"/>
    </row>
    <row r="18581" spans="20:20">
      <c r="T18581" s="10"/>
    </row>
    <row r="18582" spans="20:20">
      <c r="T18582" s="10"/>
    </row>
    <row r="18583" spans="20:20">
      <c r="T18583" s="10"/>
    </row>
    <row r="18584" spans="20:20">
      <c r="T18584" s="10"/>
    </row>
    <row r="18585" spans="20:20">
      <c r="T18585" s="10"/>
    </row>
    <row r="18586" spans="20:20">
      <c r="T18586" s="10"/>
    </row>
    <row r="18587" spans="20:20">
      <c r="T18587" s="10"/>
    </row>
    <row r="18588" spans="20:20">
      <c r="T18588" s="10"/>
    </row>
    <row r="18589" spans="20:20">
      <c r="T18589" s="10"/>
    </row>
    <row r="18590" spans="20:20">
      <c r="T18590" s="10"/>
    </row>
    <row r="18591" spans="20:20">
      <c r="T18591" s="10"/>
    </row>
    <row r="18592" spans="20:20">
      <c r="T18592" s="10"/>
    </row>
    <row r="18593" spans="20:20">
      <c r="T18593" s="10"/>
    </row>
    <row r="18594" spans="20:20">
      <c r="T18594" s="10"/>
    </row>
    <row r="18595" spans="20:20">
      <c r="T18595" s="10"/>
    </row>
    <row r="18596" spans="20:20">
      <c r="T18596" s="10"/>
    </row>
    <row r="18597" spans="20:20">
      <c r="T18597" s="10"/>
    </row>
    <row r="18598" spans="20:20">
      <c r="T18598" s="10"/>
    </row>
    <row r="18599" spans="20:20">
      <c r="T18599" s="10"/>
    </row>
    <row r="18600" spans="20:20">
      <c r="T18600" s="10"/>
    </row>
    <row r="18601" spans="20:20">
      <c r="T18601" s="10"/>
    </row>
    <row r="18602" spans="20:20">
      <c r="T18602" s="10"/>
    </row>
    <row r="18603" spans="20:20">
      <c r="T18603" s="10"/>
    </row>
    <row r="18604" spans="20:20">
      <c r="T18604" s="10"/>
    </row>
    <row r="18605" spans="20:20">
      <c r="T18605" s="10"/>
    </row>
    <row r="18606" spans="20:20">
      <c r="T18606" s="10"/>
    </row>
    <row r="18607" spans="20:20">
      <c r="T18607" s="10"/>
    </row>
    <row r="18608" spans="20:20">
      <c r="T18608" s="10"/>
    </row>
    <row r="18609" spans="20:20">
      <c r="T18609" s="10"/>
    </row>
    <row r="18610" spans="20:20">
      <c r="T18610" s="10"/>
    </row>
    <row r="18611" spans="20:20">
      <c r="T18611" s="10"/>
    </row>
    <row r="18612" spans="20:20">
      <c r="T18612" s="10"/>
    </row>
    <row r="18613" spans="20:20">
      <c r="T18613" s="10"/>
    </row>
    <row r="18614" spans="20:20">
      <c r="T18614" s="10"/>
    </row>
    <row r="18615" spans="20:20">
      <c r="T18615" s="10"/>
    </row>
    <row r="18616" spans="20:20">
      <c r="T18616" s="10"/>
    </row>
    <row r="18617" spans="20:20">
      <c r="T18617" s="10"/>
    </row>
    <row r="18618" spans="20:20">
      <c r="T18618" s="10"/>
    </row>
    <row r="18619" spans="20:20">
      <c r="T18619" s="10"/>
    </row>
    <row r="18620" spans="20:20">
      <c r="T18620" s="10"/>
    </row>
    <row r="18621" spans="20:20">
      <c r="T18621" s="10"/>
    </row>
    <row r="18622" spans="20:20">
      <c r="T18622" s="10"/>
    </row>
    <row r="18623" spans="20:20">
      <c r="T18623" s="10"/>
    </row>
    <row r="18624" spans="20:20">
      <c r="T18624" s="10"/>
    </row>
    <row r="18625" spans="20:20">
      <c r="T18625" s="10"/>
    </row>
    <row r="18626" spans="20:20">
      <c r="T18626" s="10"/>
    </row>
    <row r="18627" spans="20:20">
      <c r="T18627" s="10"/>
    </row>
    <row r="18628" spans="20:20">
      <c r="T18628" s="10"/>
    </row>
    <row r="18629" spans="20:20">
      <c r="T18629" s="10"/>
    </row>
    <row r="18630" spans="20:20">
      <c r="T18630" s="10"/>
    </row>
    <row r="18631" spans="20:20">
      <c r="T18631" s="10"/>
    </row>
    <row r="18632" spans="20:20">
      <c r="T18632" s="10"/>
    </row>
    <row r="18633" spans="20:20">
      <c r="T18633" s="10"/>
    </row>
    <row r="18634" spans="20:20">
      <c r="T18634" s="10"/>
    </row>
    <row r="18635" spans="20:20">
      <c r="T18635" s="10"/>
    </row>
    <row r="18636" spans="20:20">
      <c r="T18636" s="10"/>
    </row>
    <row r="18637" spans="20:20">
      <c r="T18637" s="10"/>
    </row>
    <row r="18638" spans="20:20">
      <c r="T18638" s="10"/>
    </row>
    <row r="18639" spans="20:20">
      <c r="T18639" s="10"/>
    </row>
    <row r="18640" spans="20:20">
      <c r="T18640" s="10"/>
    </row>
    <row r="18641" spans="20:20">
      <c r="T18641" s="10"/>
    </row>
    <row r="18642" spans="20:20">
      <c r="T18642" s="10"/>
    </row>
    <row r="18643" spans="20:20">
      <c r="T18643" s="10"/>
    </row>
    <row r="18644" spans="20:20">
      <c r="T18644" s="10"/>
    </row>
    <row r="18645" spans="20:20">
      <c r="T18645" s="10"/>
    </row>
    <row r="18646" spans="20:20">
      <c r="T18646" s="10"/>
    </row>
    <row r="18647" spans="20:20">
      <c r="T18647" s="10"/>
    </row>
    <row r="18648" spans="20:20">
      <c r="T18648" s="10"/>
    </row>
    <row r="18649" spans="20:20">
      <c r="T18649" s="10"/>
    </row>
    <row r="18650" spans="20:20">
      <c r="T18650" s="10"/>
    </row>
    <row r="18651" spans="20:20">
      <c r="T18651" s="10"/>
    </row>
    <row r="18652" spans="20:20">
      <c r="T18652" s="10"/>
    </row>
    <row r="18653" spans="20:20">
      <c r="T18653" s="10"/>
    </row>
    <row r="18654" spans="20:20">
      <c r="T18654" s="10"/>
    </row>
    <row r="18655" spans="20:20">
      <c r="T18655" s="10"/>
    </row>
    <row r="18656" spans="20:20">
      <c r="T18656" s="10"/>
    </row>
    <row r="18657" spans="20:20">
      <c r="T18657" s="10"/>
    </row>
    <row r="18658" spans="20:20">
      <c r="T18658" s="10"/>
    </row>
    <row r="18659" spans="20:20">
      <c r="T18659" s="10"/>
    </row>
    <row r="18660" spans="20:20">
      <c r="T18660" s="10"/>
    </row>
    <row r="18661" spans="20:20">
      <c r="T18661" s="10"/>
    </row>
    <row r="18662" spans="20:20">
      <c r="T18662" s="10"/>
    </row>
    <row r="18663" spans="20:20">
      <c r="T18663" s="10"/>
    </row>
    <row r="18664" spans="20:20">
      <c r="T18664" s="10"/>
    </row>
    <row r="18665" spans="20:20">
      <c r="T18665" s="10"/>
    </row>
    <row r="18666" spans="20:20">
      <c r="T18666" s="10"/>
    </row>
    <row r="18667" spans="20:20">
      <c r="T18667" s="10"/>
    </row>
    <row r="18668" spans="20:20">
      <c r="T18668" s="10"/>
    </row>
    <row r="18669" spans="20:20">
      <c r="T18669" s="10"/>
    </row>
    <row r="18670" spans="20:20">
      <c r="T18670" s="10"/>
    </row>
    <row r="18671" spans="20:20">
      <c r="T18671" s="10"/>
    </row>
    <row r="18672" spans="20:20">
      <c r="T18672" s="10"/>
    </row>
    <row r="18673" spans="20:20">
      <c r="T18673" s="10"/>
    </row>
    <row r="18674" spans="20:20">
      <c r="T18674" s="10"/>
    </row>
    <row r="18675" spans="20:20">
      <c r="T18675" s="10"/>
    </row>
    <row r="18676" spans="20:20">
      <c r="T18676" s="10"/>
    </row>
    <row r="18677" spans="20:20">
      <c r="T18677" s="10"/>
    </row>
    <row r="18678" spans="20:20">
      <c r="T18678" s="10"/>
    </row>
    <row r="18679" spans="20:20">
      <c r="T18679" s="10"/>
    </row>
    <row r="18680" spans="20:20">
      <c r="T18680" s="10"/>
    </row>
    <row r="18681" spans="20:20">
      <c r="T18681" s="10"/>
    </row>
    <row r="18682" spans="20:20">
      <c r="T18682" s="10"/>
    </row>
    <row r="18683" spans="20:20">
      <c r="T18683" s="10"/>
    </row>
    <row r="18684" spans="20:20">
      <c r="T18684" s="10"/>
    </row>
    <row r="18685" spans="20:20">
      <c r="T18685" s="10"/>
    </row>
    <row r="18686" spans="20:20">
      <c r="T18686" s="10"/>
    </row>
    <row r="18687" spans="20:20">
      <c r="T18687" s="10"/>
    </row>
    <row r="18688" spans="20:20">
      <c r="T18688" s="10"/>
    </row>
    <row r="18689" spans="20:20">
      <c r="T18689" s="10"/>
    </row>
    <row r="18690" spans="20:20">
      <c r="T18690" s="10"/>
    </row>
    <row r="18691" spans="20:20">
      <c r="T18691" s="10"/>
    </row>
    <row r="18692" spans="20:20">
      <c r="T18692" s="10"/>
    </row>
    <row r="18693" spans="20:20">
      <c r="T18693" s="10"/>
    </row>
    <row r="18694" spans="20:20">
      <c r="T18694" s="10"/>
    </row>
    <row r="18695" spans="20:20">
      <c r="T18695" s="10"/>
    </row>
    <row r="18696" spans="20:20">
      <c r="T18696" s="10"/>
    </row>
    <row r="18697" spans="20:20">
      <c r="T18697" s="10"/>
    </row>
    <row r="18698" spans="20:20">
      <c r="T18698" s="10"/>
    </row>
    <row r="18699" spans="20:20">
      <c r="T18699" s="10"/>
    </row>
    <row r="18700" spans="20:20">
      <c r="T18700" s="10"/>
    </row>
    <row r="18701" spans="20:20">
      <c r="T18701" s="10"/>
    </row>
    <row r="18702" spans="20:20">
      <c r="T18702" s="10"/>
    </row>
    <row r="18703" spans="20:20">
      <c r="T18703" s="10"/>
    </row>
    <row r="18704" spans="20:20">
      <c r="T18704" s="10"/>
    </row>
    <row r="18705" spans="20:20">
      <c r="T18705" s="10"/>
    </row>
    <row r="18706" spans="20:20">
      <c r="T18706" s="10"/>
    </row>
    <row r="18707" spans="20:20">
      <c r="T18707" s="10"/>
    </row>
    <row r="18708" spans="20:20">
      <c r="T18708" s="10"/>
    </row>
    <row r="18709" spans="20:20">
      <c r="T18709" s="10"/>
    </row>
    <row r="18710" spans="20:20">
      <c r="T18710" s="10"/>
    </row>
    <row r="18711" spans="20:20">
      <c r="T18711" s="10"/>
    </row>
    <row r="18712" spans="20:20">
      <c r="T18712" s="10"/>
    </row>
    <row r="18713" spans="20:20">
      <c r="T18713" s="10"/>
    </row>
    <row r="18714" spans="20:20">
      <c r="T18714" s="10"/>
    </row>
    <row r="18715" spans="20:20">
      <c r="T18715" s="10"/>
    </row>
    <row r="18716" spans="20:20">
      <c r="T18716" s="10"/>
    </row>
    <row r="18717" spans="20:20">
      <c r="T18717" s="10"/>
    </row>
    <row r="18718" spans="20:20">
      <c r="T18718" s="10"/>
    </row>
    <row r="18719" spans="20:20">
      <c r="T18719" s="10"/>
    </row>
    <row r="18720" spans="20:20">
      <c r="T18720" s="10"/>
    </row>
    <row r="18721" spans="20:20">
      <c r="T18721" s="10"/>
    </row>
    <row r="18722" spans="20:20">
      <c r="T18722" s="10"/>
    </row>
    <row r="18723" spans="20:20">
      <c r="T18723" s="10"/>
    </row>
    <row r="18724" spans="20:20">
      <c r="T18724" s="10"/>
    </row>
    <row r="18725" spans="20:20">
      <c r="T18725" s="10"/>
    </row>
    <row r="18726" spans="20:20">
      <c r="T18726" s="10"/>
    </row>
    <row r="18727" spans="20:20">
      <c r="T18727" s="10"/>
    </row>
    <row r="18728" spans="20:20">
      <c r="T18728" s="10"/>
    </row>
    <row r="18729" spans="20:20">
      <c r="T18729" s="10"/>
    </row>
    <row r="18730" spans="20:20">
      <c r="T18730" s="10"/>
    </row>
    <row r="18731" spans="20:20">
      <c r="T18731" s="10"/>
    </row>
    <row r="18732" spans="20:20">
      <c r="T18732" s="10"/>
    </row>
    <row r="18733" spans="20:20">
      <c r="T18733" s="10"/>
    </row>
    <row r="18734" spans="20:20">
      <c r="T18734" s="10"/>
    </row>
    <row r="18735" spans="20:20">
      <c r="T18735" s="10"/>
    </row>
    <row r="18736" spans="20:20">
      <c r="T18736" s="10"/>
    </row>
    <row r="18737" spans="20:20">
      <c r="T18737" s="10"/>
    </row>
    <row r="18738" spans="20:20">
      <c r="T18738" s="10"/>
    </row>
    <row r="18739" spans="20:20">
      <c r="T18739" s="10"/>
    </row>
    <row r="18740" spans="20:20">
      <c r="T18740" s="10"/>
    </row>
    <row r="18741" spans="20:20">
      <c r="T18741" s="10"/>
    </row>
    <row r="18742" spans="20:20">
      <c r="T18742" s="10"/>
    </row>
    <row r="18743" spans="20:20">
      <c r="T18743" s="10"/>
    </row>
    <row r="18744" spans="20:20">
      <c r="T18744" s="10"/>
    </row>
    <row r="18745" spans="20:20">
      <c r="T18745" s="10"/>
    </row>
    <row r="18746" spans="20:20">
      <c r="T18746" s="10"/>
    </row>
    <row r="18747" spans="20:20">
      <c r="T18747" s="10"/>
    </row>
    <row r="18748" spans="20:20">
      <c r="T18748" s="10"/>
    </row>
    <row r="18749" spans="20:20">
      <c r="T18749" s="10"/>
    </row>
    <row r="18750" spans="20:20">
      <c r="T18750" s="10"/>
    </row>
    <row r="18751" spans="20:20">
      <c r="T18751" s="10"/>
    </row>
    <row r="18752" spans="20:20">
      <c r="T18752" s="10"/>
    </row>
    <row r="18753" spans="20:20">
      <c r="T18753" s="10"/>
    </row>
    <row r="18754" spans="20:20">
      <c r="T18754" s="10"/>
    </row>
    <row r="18755" spans="20:20">
      <c r="T18755" s="10"/>
    </row>
    <row r="18756" spans="20:20">
      <c r="T18756" s="10"/>
    </row>
    <row r="18757" spans="20:20">
      <c r="T18757" s="10"/>
    </row>
    <row r="18758" spans="20:20">
      <c r="T18758" s="10"/>
    </row>
    <row r="18759" spans="20:20">
      <c r="T18759" s="10"/>
    </row>
    <row r="18760" spans="20:20">
      <c r="T18760" s="10"/>
    </row>
    <row r="18761" spans="20:20">
      <c r="T18761" s="10"/>
    </row>
    <row r="18762" spans="20:20">
      <c r="T18762" s="10"/>
    </row>
    <row r="18763" spans="20:20">
      <c r="T18763" s="10"/>
    </row>
    <row r="18764" spans="20:20">
      <c r="T18764" s="10"/>
    </row>
    <row r="18765" spans="20:20">
      <c r="T18765" s="10"/>
    </row>
    <row r="18766" spans="20:20">
      <c r="T18766" s="10"/>
    </row>
    <row r="18767" spans="20:20">
      <c r="T18767" s="10"/>
    </row>
    <row r="18768" spans="20:20">
      <c r="T18768" s="10"/>
    </row>
    <row r="18769" spans="20:20">
      <c r="T18769" s="10"/>
    </row>
    <row r="18770" spans="20:20">
      <c r="T18770" s="10"/>
    </row>
    <row r="18771" spans="20:20">
      <c r="T18771" s="10"/>
    </row>
    <row r="18772" spans="20:20">
      <c r="T18772" s="10"/>
    </row>
    <row r="18773" spans="20:20">
      <c r="T18773" s="10"/>
    </row>
    <row r="18774" spans="20:20">
      <c r="T18774" s="10"/>
    </row>
    <row r="18775" spans="20:20">
      <c r="T18775" s="10"/>
    </row>
    <row r="18776" spans="20:20">
      <c r="T18776" s="10"/>
    </row>
    <row r="18777" spans="20:20">
      <c r="T18777" s="10"/>
    </row>
    <row r="18778" spans="20:20">
      <c r="T18778" s="10"/>
    </row>
    <row r="18779" spans="20:20">
      <c r="T18779" s="10"/>
    </row>
    <row r="18780" spans="20:20">
      <c r="T18780" s="10"/>
    </row>
    <row r="18781" spans="20:20">
      <c r="T18781" s="10"/>
    </row>
    <row r="18782" spans="20:20">
      <c r="T18782" s="10"/>
    </row>
    <row r="18783" spans="20:20">
      <c r="T18783" s="10"/>
    </row>
    <row r="18784" spans="20:20">
      <c r="T18784" s="10"/>
    </row>
    <row r="18785" spans="20:20">
      <c r="T18785" s="10"/>
    </row>
    <row r="18786" spans="20:20">
      <c r="T18786" s="10"/>
    </row>
    <row r="18787" spans="20:20">
      <c r="T18787" s="10"/>
    </row>
    <row r="18788" spans="20:20">
      <c r="T18788" s="10"/>
    </row>
    <row r="18789" spans="20:20">
      <c r="T18789" s="10"/>
    </row>
    <row r="18790" spans="20:20">
      <c r="T18790" s="10"/>
    </row>
    <row r="18791" spans="20:20">
      <c r="T18791" s="10"/>
    </row>
    <row r="18792" spans="20:20">
      <c r="T18792" s="10"/>
    </row>
    <row r="18793" spans="20:20">
      <c r="T18793" s="10"/>
    </row>
    <row r="18794" spans="20:20">
      <c r="T18794" s="10"/>
    </row>
    <row r="18795" spans="20:20">
      <c r="T18795" s="10"/>
    </row>
    <row r="18796" spans="20:20">
      <c r="T18796" s="10"/>
    </row>
    <row r="18797" spans="20:20">
      <c r="T18797" s="10"/>
    </row>
    <row r="18798" spans="20:20">
      <c r="T18798" s="10"/>
    </row>
    <row r="18799" spans="20:20">
      <c r="T18799" s="10"/>
    </row>
    <row r="18800" spans="20:20">
      <c r="T18800" s="10"/>
    </row>
    <row r="18801" spans="20:20">
      <c r="T18801" s="10"/>
    </row>
    <row r="18802" spans="20:20">
      <c r="T18802" s="10"/>
    </row>
    <row r="18803" spans="20:20">
      <c r="T18803" s="10"/>
    </row>
    <row r="18804" spans="20:20">
      <c r="T18804" s="10"/>
    </row>
    <row r="18805" spans="20:20">
      <c r="T18805" s="10"/>
    </row>
    <row r="18806" spans="20:20">
      <c r="T18806" s="10"/>
    </row>
    <row r="18807" spans="20:20">
      <c r="T18807" s="10"/>
    </row>
    <row r="18808" spans="20:20">
      <c r="T18808" s="10"/>
    </row>
    <row r="18809" spans="20:20">
      <c r="T18809" s="10"/>
    </row>
    <row r="18810" spans="20:20">
      <c r="T18810" s="10"/>
    </row>
    <row r="18811" spans="20:20">
      <c r="T18811" s="10"/>
    </row>
    <row r="18812" spans="20:20">
      <c r="T18812" s="10"/>
    </row>
    <row r="18813" spans="20:20">
      <c r="T18813" s="10"/>
    </row>
    <row r="18814" spans="20:20">
      <c r="T18814" s="10"/>
    </row>
    <row r="18815" spans="20:20">
      <c r="T18815" s="10"/>
    </row>
    <row r="18816" spans="20:20">
      <c r="T18816" s="10"/>
    </row>
    <row r="18817" spans="20:20">
      <c r="T18817" s="10"/>
    </row>
    <row r="18818" spans="20:20">
      <c r="T18818" s="10"/>
    </row>
    <row r="18819" spans="20:20">
      <c r="T18819" s="10"/>
    </row>
    <row r="18820" spans="20:20">
      <c r="T18820" s="10"/>
    </row>
    <row r="18821" spans="20:20">
      <c r="T18821" s="10"/>
    </row>
    <row r="18822" spans="20:20">
      <c r="T18822" s="10"/>
    </row>
    <row r="18823" spans="20:20">
      <c r="T18823" s="10"/>
    </row>
    <row r="18824" spans="20:20">
      <c r="T18824" s="10"/>
    </row>
    <row r="18825" spans="20:20">
      <c r="T18825" s="10"/>
    </row>
    <row r="18826" spans="20:20">
      <c r="T18826" s="10"/>
    </row>
    <row r="18827" spans="20:20">
      <c r="T18827" s="10"/>
    </row>
    <row r="18828" spans="20:20">
      <c r="T18828" s="10"/>
    </row>
    <row r="18829" spans="20:20">
      <c r="T18829" s="10"/>
    </row>
    <row r="18830" spans="20:20">
      <c r="T18830" s="10"/>
    </row>
    <row r="18831" spans="20:20">
      <c r="T18831" s="10"/>
    </row>
    <row r="18832" spans="20:20">
      <c r="T18832" s="10"/>
    </row>
    <row r="18833" spans="20:20">
      <c r="T18833" s="10"/>
    </row>
    <row r="18834" spans="20:20">
      <c r="T18834" s="10"/>
    </row>
    <row r="18835" spans="20:20">
      <c r="T18835" s="10"/>
    </row>
    <row r="18836" spans="20:20">
      <c r="T18836" s="10"/>
    </row>
    <row r="18837" spans="20:20">
      <c r="T18837" s="10"/>
    </row>
    <row r="18838" spans="20:20">
      <c r="T18838" s="10"/>
    </row>
    <row r="18839" spans="20:20">
      <c r="T18839" s="10"/>
    </row>
    <row r="18840" spans="20:20">
      <c r="T18840" s="10"/>
    </row>
    <row r="18841" spans="20:20">
      <c r="T18841" s="10"/>
    </row>
    <row r="18842" spans="20:20">
      <c r="T18842" s="10"/>
    </row>
    <row r="18843" spans="20:20">
      <c r="T18843" s="10"/>
    </row>
    <row r="18844" spans="20:20">
      <c r="T18844" s="10"/>
    </row>
    <row r="18845" spans="20:20">
      <c r="T18845" s="10"/>
    </row>
    <row r="18846" spans="20:20">
      <c r="T18846" s="10"/>
    </row>
    <row r="18847" spans="20:20">
      <c r="T18847" s="10"/>
    </row>
    <row r="18848" spans="20:20">
      <c r="T18848" s="10"/>
    </row>
    <row r="18849" spans="20:20">
      <c r="T18849" s="10"/>
    </row>
    <row r="18850" spans="20:20">
      <c r="T18850" s="10"/>
    </row>
    <row r="18851" spans="20:20">
      <c r="T18851" s="10"/>
    </row>
    <row r="18852" spans="20:20">
      <c r="T18852" s="10"/>
    </row>
    <row r="18853" spans="20:20">
      <c r="T18853" s="10"/>
    </row>
    <row r="18854" spans="20:20">
      <c r="T18854" s="10"/>
    </row>
    <row r="18855" spans="20:20">
      <c r="T18855" s="10"/>
    </row>
    <row r="18856" spans="20:20">
      <c r="T18856" s="10"/>
    </row>
    <row r="18857" spans="20:20">
      <c r="T18857" s="10"/>
    </row>
    <row r="18858" spans="20:20">
      <c r="T18858" s="10"/>
    </row>
    <row r="18859" spans="20:20">
      <c r="T18859" s="10"/>
    </row>
    <row r="18860" spans="20:20">
      <c r="T18860" s="10"/>
    </row>
    <row r="18861" spans="20:20">
      <c r="T18861" s="10"/>
    </row>
    <row r="18862" spans="20:20">
      <c r="T18862" s="10"/>
    </row>
    <row r="18863" spans="20:20">
      <c r="T18863" s="10"/>
    </row>
    <row r="18864" spans="20:20">
      <c r="T18864" s="10"/>
    </row>
    <row r="18865" spans="20:20">
      <c r="T18865" s="10"/>
    </row>
    <row r="18866" spans="20:20">
      <c r="T18866" s="10"/>
    </row>
    <row r="18867" spans="20:20">
      <c r="T18867" s="10"/>
    </row>
    <row r="18868" spans="20:20">
      <c r="T18868" s="10"/>
    </row>
    <row r="18869" spans="20:20">
      <c r="T18869" s="10"/>
    </row>
    <row r="18870" spans="20:20">
      <c r="T18870" s="10"/>
    </row>
    <row r="18871" spans="20:20">
      <c r="T18871" s="10"/>
    </row>
    <row r="18872" spans="20:20">
      <c r="T18872" s="10"/>
    </row>
    <row r="18873" spans="20:20">
      <c r="T18873" s="10"/>
    </row>
    <row r="18874" spans="20:20">
      <c r="T18874" s="10"/>
    </row>
    <row r="18875" spans="20:20">
      <c r="T18875" s="10"/>
    </row>
    <row r="18876" spans="20:20">
      <c r="T18876" s="10"/>
    </row>
    <row r="18877" spans="20:20">
      <c r="T18877" s="10"/>
    </row>
    <row r="18878" spans="20:20">
      <c r="T18878" s="10"/>
    </row>
    <row r="18879" spans="20:20">
      <c r="T18879" s="10"/>
    </row>
    <row r="18880" spans="20:20">
      <c r="T18880" s="10"/>
    </row>
    <row r="18881" spans="20:20">
      <c r="T18881" s="10"/>
    </row>
    <row r="18882" spans="20:20">
      <c r="T18882" s="10"/>
    </row>
    <row r="18883" spans="20:20">
      <c r="T18883" s="10"/>
    </row>
    <row r="18884" spans="20:20">
      <c r="T18884" s="10"/>
    </row>
    <row r="18885" spans="20:20">
      <c r="T18885" s="10"/>
    </row>
    <row r="18886" spans="20:20">
      <c r="T18886" s="10"/>
    </row>
    <row r="18887" spans="20:20">
      <c r="T18887" s="10"/>
    </row>
    <row r="18888" spans="20:20">
      <c r="T18888" s="10"/>
    </row>
    <row r="18889" spans="20:20">
      <c r="T18889" s="10"/>
    </row>
    <row r="18890" spans="20:20">
      <c r="T18890" s="10"/>
    </row>
    <row r="18891" spans="20:20">
      <c r="T18891" s="10"/>
    </row>
    <row r="18892" spans="20:20">
      <c r="T18892" s="10"/>
    </row>
    <row r="18893" spans="20:20">
      <c r="T18893" s="10"/>
    </row>
    <row r="18894" spans="20:20">
      <c r="T18894" s="10"/>
    </row>
    <row r="18895" spans="20:20">
      <c r="T18895" s="10"/>
    </row>
    <row r="18896" spans="20:20">
      <c r="T18896" s="10"/>
    </row>
    <row r="18897" spans="20:20">
      <c r="T18897" s="10"/>
    </row>
    <row r="18898" spans="20:20">
      <c r="T18898" s="10"/>
    </row>
    <row r="18899" spans="20:20">
      <c r="T18899" s="10"/>
    </row>
    <row r="18900" spans="20:20">
      <c r="T18900" s="10"/>
    </row>
    <row r="18901" spans="20:20">
      <c r="T18901" s="10"/>
    </row>
    <row r="18902" spans="20:20">
      <c r="T18902" s="10"/>
    </row>
    <row r="18903" spans="20:20">
      <c r="T18903" s="10"/>
    </row>
    <row r="18904" spans="20:20">
      <c r="T18904" s="10"/>
    </row>
    <row r="18905" spans="20:20">
      <c r="T18905" s="10"/>
    </row>
    <row r="18906" spans="20:20">
      <c r="T18906" s="10"/>
    </row>
    <row r="18907" spans="20:20">
      <c r="T18907" s="10"/>
    </row>
    <row r="18908" spans="20:20">
      <c r="T18908" s="10"/>
    </row>
    <row r="18909" spans="20:20">
      <c r="T18909" s="10"/>
    </row>
    <row r="18910" spans="20:20">
      <c r="T18910" s="10"/>
    </row>
    <row r="18911" spans="20:20">
      <c r="T18911" s="10"/>
    </row>
    <row r="18912" spans="20:20">
      <c r="T18912" s="10"/>
    </row>
    <row r="18913" spans="20:20">
      <c r="T18913" s="10"/>
    </row>
    <row r="18914" spans="20:20">
      <c r="T18914" s="10"/>
    </row>
    <row r="18915" spans="20:20">
      <c r="T18915" s="10"/>
    </row>
    <row r="18916" spans="20:20">
      <c r="T18916" s="10"/>
    </row>
    <row r="18917" spans="20:20">
      <c r="T18917" s="10"/>
    </row>
    <row r="18918" spans="20:20">
      <c r="T18918" s="10"/>
    </row>
    <row r="18919" spans="20:20">
      <c r="T18919" s="10"/>
    </row>
    <row r="18920" spans="20:20">
      <c r="T18920" s="10"/>
    </row>
    <row r="18921" spans="20:20">
      <c r="T18921" s="10"/>
    </row>
    <row r="18922" spans="20:20">
      <c r="T18922" s="10"/>
    </row>
    <row r="18923" spans="20:20">
      <c r="T18923" s="10"/>
    </row>
    <row r="18924" spans="20:20">
      <c r="T18924" s="10"/>
    </row>
    <row r="18925" spans="20:20">
      <c r="T18925" s="10"/>
    </row>
    <row r="18926" spans="20:20">
      <c r="T18926" s="10"/>
    </row>
    <row r="18927" spans="20:20">
      <c r="T18927" s="10"/>
    </row>
    <row r="18928" spans="20:20">
      <c r="T18928" s="10"/>
    </row>
    <row r="18929" spans="20:20">
      <c r="T18929" s="10"/>
    </row>
    <row r="18930" spans="20:20">
      <c r="T18930" s="10"/>
    </row>
    <row r="18931" spans="20:20">
      <c r="T18931" s="10"/>
    </row>
    <row r="18932" spans="20:20">
      <c r="T18932" s="10"/>
    </row>
    <row r="18933" spans="20:20">
      <c r="T18933" s="10"/>
    </row>
    <row r="18934" spans="20:20">
      <c r="T18934" s="10"/>
    </row>
    <row r="18935" spans="20:20">
      <c r="T18935" s="10"/>
    </row>
    <row r="18936" spans="20:20">
      <c r="T18936" s="10"/>
    </row>
    <row r="18937" spans="20:20">
      <c r="T18937" s="10"/>
    </row>
    <row r="18938" spans="20:20">
      <c r="T18938" s="10"/>
    </row>
    <row r="18939" spans="20:20">
      <c r="T18939" s="10"/>
    </row>
    <row r="18940" spans="20:20">
      <c r="T18940" s="10"/>
    </row>
    <row r="18941" spans="20:20">
      <c r="T18941" s="10"/>
    </row>
    <row r="18942" spans="20:20">
      <c r="T18942" s="10"/>
    </row>
    <row r="18943" spans="20:20">
      <c r="T18943" s="10"/>
    </row>
    <row r="18944" spans="20:20">
      <c r="T18944" s="10"/>
    </row>
    <row r="18945" spans="20:20">
      <c r="T18945" s="10"/>
    </row>
    <row r="18946" spans="20:20">
      <c r="T18946" s="10"/>
    </row>
    <row r="18947" spans="20:20">
      <c r="T18947" s="10"/>
    </row>
    <row r="18948" spans="20:20">
      <c r="T18948" s="10"/>
    </row>
    <row r="18949" spans="20:20">
      <c r="T18949" s="10"/>
    </row>
    <row r="18950" spans="20:20">
      <c r="T18950" s="10"/>
    </row>
    <row r="18951" spans="20:20">
      <c r="T18951" s="10"/>
    </row>
    <row r="18952" spans="20:20">
      <c r="T18952" s="10"/>
    </row>
    <row r="18953" spans="20:20">
      <c r="T18953" s="10"/>
    </row>
    <row r="18954" spans="20:20">
      <c r="T18954" s="10"/>
    </row>
    <row r="18955" spans="20:20">
      <c r="T18955" s="10"/>
    </row>
    <row r="18956" spans="20:20">
      <c r="T18956" s="10"/>
    </row>
    <row r="18957" spans="20:20">
      <c r="T18957" s="10"/>
    </row>
    <row r="18958" spans="20:20">
      <c r="T18958" s="10"/>
    </row>
    <row r="18959" spans="20:20">
      <c r="T18959" s="10"/>
    </row>
    <row r="18960" spans="20:20">
      <c r="T18960" s="10"/>
    </row>
    <row r="18961" spans="20:20">
      <c r="T18961" s="10"/>
    </row>
    <row r="18962" spans="20:20">
      <c r="T18962" s="10"/>
    </row>
    <row r="18963" spans="20:20">
      <c r="T18963" s="10"/>
    </row>
    <row r="18964" spans="20:20">
      <c r="T18964" s="10"/>
    </row>
    <row r="18965" spans="20:20">
      <c r="T18965" s="10"/>
    </row>
    <row r="18966" spans="20:20">
      <c r="T18966" s="10"/>
    </row>
    <row r="18967" spans="20:20">
      <c r="T18967" s="10"/>
    </row>
    <row r="18968" spans="20:20">
      <c r="T18968" s="10"/>
    </row>
    <row r="18969" spans="20:20">
      <c r="T18969" s="10"/>
    </row>
    <row r="18970" spans="20:20">
      <c r="T18970" s="10"/>
    </row>
    <row r="18971" spans="20:20">
      <c r="T18971" s="10"/>
    </row>
    <row r="18972" spans="20:20">
      <c r="T18972" s="10"/>
    </row>
    <row r="18973" spans="20:20">
      <c r="T18973" s="10"/>
    </row>
    <row r="18974" spans="20:20">
      <c r="T18974" s="10"/>
    </row>
    <row r="18975" spans="20:20">
      <c r="T18975" s="10"/>
    </row>
    <row r="18976" spans="20:20">
      <c r="T18976" s="10"/>
    </row>
    <row r="18977" spans="20:20">
      <c r="T18977" s="10"/>
    </row>
    <row r="18978" spans="20:20">
      <c r="T18978" s="10"/>
    </row>
    <row r="18979" spans="20:20">
      <c r="T18979" s="10"/>
    </row>
    <row r="18980" spans="20:20">
      <c r="T18980" s="10"/>
    </row>
    <row r="18981" spans="20:20">
      <c r="T18981" s="10"/>
    </row>
    <row r="18982" spans="20:20">
      <c r="T18982" s="10"/>
    </row>
    <row r="18983" spans="20:20">
      <c r="T18983" s="10"/>
    </row>
    <row r="18984" spans="20:20">
      <c r="T18984" s="10"/>
    </row>
    <row r="18985" spans="20:20">
      <c r="T18985" s="10"/>
    </row>
    <row r="18986" spans="20:20">
      <c r="T18986" s="10"/>
    </row>
    <row r="18987" spans="20:20">
      <c r="T18987" s="10"/>
    </row>
    <row r="18988" spans="20:20">
      <c r="T18988" s="10"/>
    </row>
    <row r="18989" spans="20:20">
      <c r="T18989" s="10"/>
    </row>
    <row r="18990" spans="20:20">
      <c r="T18990" s="10"/>
    </row>
    <row r="18991" spans="20:20">
      <c r="T18991" s="10"/>
    </row>
    <row r="18992" spans="20:20">
      <c r="T18992" s="10"/>
    </row>
    <row r="18993" spans="20:20">
      <c r="T18993" s="10"/>
    </row>
    <row r="18994" spans="20:20">
      <c r="T18994" s="10"/>
    </row>
    <row r="18995" spans="20:20">
      <c r="T18995" s="10"/>
    </row>
    <row r="18996" spans="20:20">
      <c r="T18996" s="10"/>
    </row>
    <row r="18997" spans="20:20">
      <c r="T18997" s="10"/>
    </row>
    <row r="18998" spans="20:20">
      <c r="T18998" s="10"/>
    </row>
    <row r="18999" spans="20:20">
      <c r="T18999" s="10"/>
    </row>
    <row r="19000" spans="20:20">
      <c r="T19000" s="10"/>
    </row>
    <row r="19001" spans="20:20">
      <c r="T19001" s="10"/>
    </row>
    <row r="19002" spans="20:20">
      <c r="T19002" s="10"/>
    </row>
    <row r="19003" spans="20:20">
      <c r="T19003" s="10"/>
    </row>
    <row r="19004" spans="20:20">
      <c r="T19004" s="10"/>
    </row>
    <row r="19005" spans="20:20">
      <c r="T19005" s="10"/>
    </row>
    <row r="19006" spans="20:20">
      <c r="T19006" s="10"/>
    </row>
    <row r="19007" spans="20:20">
      <c r="T19007" s="10"/>
    </row>
    <row r="19008" spans="20:20">
      <c r="T19008" s="10"/>
    </row>
    <row r="19009" spans="20:20">
      <c r="T19009" s="10"/>
    </row>
    <row r="19010" spans="20:20">
      <c r="T19010" s="10"/>
    </row>
    <row r="19011" spans="20:20">
      <c r="T19011" s="10"/>
    </row>
    <row r="19012" spans="20:20">
      <c r="T19012" s="10"/>
    </row>
    <row r="19013" spans="20:20">
      <c r="T19013" s="10"/>
    </row>
    <row r="19014" spans="20:20">
      <c r="T19014" s="10"/>
    </row>
    <row r="19015" spans="20:20">
      <c r="T19015" s="10"/>
    </row>
    <row r="19016" spans="20:20">
      <c r="T19016" s="10"/>
    </row>
    <row r="19017" spans="20:20">
      <c r="T19017" s="10"/>
    </row>
    <row r="19018" spans="20:20">
      <c r="T19018" s="10"/>
    </row>
    <row r="19019" spans="20:20">
      <c r="T19019" s="10"/>
    </row>
    <row r="19020" spans="20:20">
      <c r="T19020" s="10"/>
    </row>
    <row r="19021" spans="20:20">
      <c r="T19021" s="10"/>
    </row>
    <row r="19022" spans="20:20">
      <c r="T19022" s="10"/>
    </row>
    <row r="19023" spans="20:20">
      <c r="T19023" s="10"/>
    </row>
    <row r="19024" spans="20:20">
      <c r="T19024" s="10"/>
    </row>
    <row r="19025" spans="20:20">
      <c r="T19025" s="10"/>
    </row>
    <row r="19026" spans="20:20">
      <c r="T19026" s="10"/>
    </row>
    <row r="19027" spans="20:20">
      <c r="T19027" s="10"/>
    </row>
    <row r="19028" spans="20:20">
      <c r="T19028" s="10"/>
    </row>
    <row r="19029" spans="20:20">
      <c r="T19029" s="10"/>
    </row>
    <row r="19030" spans="20:20">
      <c r="T19030" s="10"/>
    </row>
    <row r="19031" spans="20:20">
      <c r="T19031" s="10"/>
    </row>
    <row r="19032" spans="20:20">
      <c r="T19032" s="10"/>
    </row>
    <row r="19033" spans="20:20">
      <c r="T19033" s="10"/>
    </row>
    <row r="19034" spans="20:20">
      <c r="T19034" s="10"/>
    </row>
    <row r="19035" spans="20:20">
      <c r="T19035" s="10"/>
    </row>
    <row r="19036" spans="20:20">
      <c r="T19036" s="10"/>
    </row>
    <row r="19037" spans="20:20">
      <c r="T19037" s="10"/>
    </row>
    <row r="19038" spans="20:20">
      <c r="T19038" s="10"/>
    </row>
    <row r="19039" spans="20:20">
      <c r="T19039" s="10"/>
    </row>
    <row r="19040" spans="20:20">
      <c r="T19040" s="10"/>
    </row>
    <row r="19041" spans="20:20">
      <c r="T19041" s="10"/>
    </row>
    <row r="19042" spans="20:20">
      <c r="T19042" s="10"/>
    </row>
    <row r="19043" spans="20:20">
      <c r="T19043" s="10"/>
    </row>
    <row r="19044" spans="20:20">
      <c r="T19044" s="10"/>
    </row>
    <row r="19045" spans="20:20">
      <c r="T19045" s="10"/>
    </row>
    <row r="19046" spans="20:20">
      <c r="T19046" s="10"/>
    </row>
    <row r="19047" spans="20:20">
      <c r="T19047" s="10"/>
    </row>
    <row r="19048" spans="20:20">
      <c r="T19048" s="10"/>
    </row>
    <row r="19049" spans="20:20">
      <c r="T19049" s="10"/>
    </row>
    <row r="19050" spans="20:20">
      <c r="T19050" s="10"/>
    </row>
    <row r="19051" spans="20:20">
      <c r="T19051" s="10"/>
    </row>
    <row r="19052" spans="20:20">
      <c r="T19052" s="10"/>
    </row>
    <row r="19053" spans="20:20">
      <c r="T19053" s="10"/>
    </row>
    <row r="19054" spans="20:20">
      <c r="T19054" s="10"/>
    </row>
    <row r="19055" spans="20:20">
      <c r="T19055" s="10"/>
    </row>
    <row r="19056" spans="20:20">
      <c r="T19056" s="10"/>
    </row>
    <row r="19057" spans="20:20">
      <c r="T19057" s="10"/>
    </row>
    <row r="19058" spans="20:20">
      <c r="T19058" s="10"/>
    </row>
    <row r="19059" spans="20:20">
      <c r="T19059" s="10"/>
    </row>
    <row r="19060" spans="20:20">
      <c r="T19060" s="10"/>
    </row>
    <row r="19061" spans="20:20">
      <c r="T19061" s="10"/>
    </row>
    <row r="19062" spans="20:20">
      <c r="T19062" s="10"/>
    </row>
    <row r="19063" spans="20:20">
      <c r="T19063" s="10"/>
    </row>
    <row r="19064" spans="20:20">
      <c r="T19064" s="10"/>
    </row>
    <row r="19065" spans="20:20">
      <c r="T19065" s="10"/>
    </row>
    <row r="19066" spans="20:20">
      <c r="T19066" s="10"/>
    </row>
    <row r="19067" spans="20:20">
      <c r="T19067" s="10"/>
    </row>
    <row r="19068" spans="20:20">
      <c r="T19068" s="10"/>
    </row>
    <row r="19069" spans="20:20">
      <c r="T19069" s="10"/>
    </row>
    <row r="19070" spans="20:20">
      <c r="T19070" s="10"/>
    </row>
    <row r="19071" spans="20:20">
      <c r="T19071" s="10"/>
    </row>
    <row r="19072" spans="20:20">
      <c r="T19072" s="10"/>
    </row>
    <row r="19073" spans="20:20">
      <c r="T19073" s="10"/>
    </row>
    <row r="19074" spans="20:20">
      <c r="T19074" s="10"/>
    </row>
    <row r="19075" spans="20:20">
      <c r="T19075" s="10"/>
    </row>
    <row r="19076" spans="20:20">
      <c r="T19076" s="10"/>
    </row>
    <row r="19077" spans="20:20">
      <c r="T19077" s="10"/>
    </row>
    <row r="19078" spans="20:20">
      <c r="T19078" s="10"/>
    </row>
    <row r="19079" spans="20:20">
      <c r="T19079" s="10"/>
    </row>
    <row r="19080" spans="20:20">
      <c r="T19080" s="10"/>
    </row>
    <row r="19081" spans="20:20">
      <c r="T19081" s="10"/>
    </row>
    <row r="19082" spans="20:20">
      <c r="T19082" s="10"/>
    </row>
    <row r="19083" spans="20:20">
      <c r="T19083" s="10"/>
    </row>
    <row r="19084" spans="20:20">
      <c r="T19084" s="10"/>
    </row>
    <row r="19085" spans="20:20">
      <c r="T19085" s="10"/>
    </row>
    <row r="19086" spans="20:20">
      <c r="T19086" s="10"/>
    </row>
    <row r="19087" spans="20:20">
      <c r="T19087" s="10"/>
    </row>
    <row r="19088" spans="20:20">
      <c r="T19088" s="10"/>
    </row>
    <row r="19089" spans="20:20">
      <c r="T19089" s="10"/>
    </row>
    <row r="19090" spans="20:20">
      <c r="T19090" s="10"/>
    </row>
    <row r="19091" spans="20:20">
      <c r="T19091" s="10"/>
    </row>
    <row r="19092" spans="20:20">
      <c r="T19092" s="10"/>
    </row>
    <row r="19093" spans="20:20">
      <c r="T19093" s="10"/>
    </row>
    <row r="19094" spans="20:20">
      <c r="T19094" s="10"/>
    </row>
    <row r="19095" spans="20:20">
      <c r="T19095" s="10"/>
    </row>
    <row r="19096" spans="20:20">
      <c r="T19096" s="10"/>
    </row>
    <row r="19097" spans="20:20">
      <c r="T19097" s="10"/>
    </row>
    <row r="19098" spans="20:20">
      <c r="T19098" s="10"/>
    </row>
    <row r="19099" spans="20:20">
      <c r="T19099" s="10"/>
    </row>
    <row r="19100" spans="20:20">
      <c r="T19100" s="10"/>
    </row>
    <row r="19101" spans="20:20">
      <c r="T19101" s="10"/>
    </row>
    <row r="19102" spans="20:20">
      <c r="T19102" s="10"/>
    </row>
    <row r="19103" spans="20:20">
      <c r="T19103" s="10"/>
    </row>
    <row r="19104" spans="20:20">
      <c r="T19104" s="10"/>
    </row>
    <row r="19105" spans="20:20">
      <c r="T19105" s="10"/>
    </row>
    <row r="19106" spans="20:20">
      <c r="T19106" s="10"/>
    </row>
    <row r="19107" spans="20:20">
      <c r="T19107" s="10"/>
    </row>
    <row r="19108" spans="20:20">
      <c r="T19108" s="10"/>
    </row>
    <row r="19109" spans="20:20">
      <c r="T19109" s="10"/>
    </row>
    <row r="19110" spans="20:20">
      <c r="T19110" s="10"/>
    </row>
    <row r="19111" spans="20:20">
      <c r="T19111" s="10"/>
    </row>
    <row r="19112" spans="20:20">
      <c r="T19112" s="10"/>
    </row>
    <row r="19113" spans="20:20">
      <c r="T19113" s="10"/>
    </row>
    <row r="19114" spans="20:20">
      <c r="T19114" s="10"/>
    </row>
    <row r="19115" spans="20:20">
      <c r="T19115" s="10"/>
    </row>
    <row r="19116" spans="20:20">
      <c r="T19116" s="10"/>
    </row>
    <row r="19117" spans="20:20">
      <c r="T19117" s="10"/>
    </row>
    <row r="19118" spans="20:20">
      <c r="T19118" s="10"/>
    </row>
    <row r="19119" spans="20:20">
      <c r="T19119" s="10"/>
    </row>
    <row r="19120" spans="20:20">
      <c r="T19120" s="10"/>
    </row>
    <row r="19121" spans="20:20">
      <c r="T19121" s="10"/>
    </row>
    <row r="19122" spans="20:20">
      <c r="T19122" s="10"/>
    </row>
    <row r="19123" spans="20:20">
      <c r="T19123" s="10"/>
    </row>
    <row r="19124" spans="20:20">
      <c r="T19124" s="10"/>
    </row>
    <row r="19125" spans="20:20">
      <c r="T19125" s="10"/>
    </row>
    <row r="19126" spans="20:20">
      <c r="T19126" s="10"/>
    </row>
    <row r="19127" spans="20:20">
      <c r="T19127" s="10"/>
    </row>
    <row r="19128" spans="20:20">
      <c r="T19128" s="10"/>
    </row>
    <row r="19129" spans="20:20">
      <c r="T19129" s="10"/>
    </row>
    <row r="19130" spans="20:20">
      <c r="T19130" s="10"/>
    </row>
    <row r="19131" spans="20:20">
      <c r="T19131" s="10"/>
    </row>
    <row r="19132" spans="20:20">
      <c r="T19132" s="10"/>
    </row>
    <row r="19133" spans="20:20">
      <c r="T19133" s="10"/>
    </row>
    <row r="19134" spans="20:20">
      <c r="T19134" s="10"/>
    </row>
    <row r="19135" spans="20:20">
      <c r="T19135" s="10"/>
    </row>
    <row r="19136" spans="20:20">
      <c r="T19136" s="10"/>
    </row>
    <row r="19137" spans="20:20">
      <c r="T19137" s="10"/>
    </row>
    <row r="19138" spans="20:20">
      <c r="T19138" s="10"/>
    </row>
    <row r="19139" spans="20:20">
      <c r="T19139" s="10"/>
    </row>
    <row r="19140" spans="20:20">
      <c r="T19140" s="10"/>
    </row>
    <row r="19141" spans="20:20">
      <c r="T19141" s="10"/>
    </row>
    <row r="19142" spans="20:20">
      <c r="T19142" s="10"/>
    </row>
    <row r="19143" spans="20:20">
      <c r="T19143" s="10"/>
    </row>
    <row r="19144" spans="20:20">
      <c r="T19144" s="10"/>
    </row>
    <row r="19145" spans="20:20">
      <c r="T19145" s="10"/>
    </row>
    <row r="19146" spans="20:20">
      <c r="T19146" s="10"/>
    </row>
    <row r="19147" spans="20:20">
      <c r="T19147" s="10"/>
    </row>
    <row r="19148" spans="20:20">
      <c r="T19148" s="10"/>
    </row>
    <row r="19149" spans="20:20">
      <c r="T19149" s="10"/>
    </row>
    <row r="19150" spans="20:20">
      <c r="T19150" s="10"/>
    </row>
    <row r="19151" spans="20:20">
      <c r="T19151" s="10"/>
    </row>
    <row r="19152" spans="20:20">
      <c r="T19152" s="10"/>
    </row>
    <row r="19153" spans="20:20">
      <c r="T19153" s="10"/>
    </row>
    <row r="19154" spans="20:20">
      <c r="T19154" s="10"/>
    </row>
    <row r="19155" spans="20:20">
      <c r="T19155" s="10"/>
    </row>
    <row r="19156" spans="20:20">
      <c r="T19156" s="10"/>
    </row>
    <row r="19157" spans="20:20">
      <c r="T19157" s="10"/>
    </row>
    <row r="19158" spans="20:20">
      <c r="T19158" s="10"/>
    </row>
    <row r="19159" spans="20:20">
      <c r="T19159" s="10"/>
    </row>
    <row r="19160" spans="20:20">
      <c r="T19160" s="10"/>
    </row>
    <row r="19161" spans="20:20">
      <c r="T19161" s="10"/>
    </row>
    <row r="19162" spans="20:20">
      <c r="T19162" s="10"/>
    </row>
    <row r="19163" spans="20:20">
      <c r="T19163" s="10"/>
    </row>
    <row r="19164" spans="20:20">
      <c r="T19164" s="10"/>
    </row>
    <row r="19165" spans="20:20">
      <c r="T19165" s="10"/>
    </row>
    <row r="19166" spans="20:20">
      <c r="T19166" s="10"/>
    </row>
    <row r="19167" spans="20:20">
      <c r="T19167" s="10"/>
    </row>
    <row r="19168" spans="20:20">
      <c r="T19168" s="10"/>
    </row>
    <row r="19169" spans="20:20">
      <c r="T19169" s="10"/>
    </row>
    <row r="19170" spans="20:20">
      <c r="T19170" s="10"/>
    </row>
    <row r="19171" spans="20:20">
      <c r="T19171" s="10"/>
    </row>
    <row r="19172" spans="20:20">
      <c r="T19172" s="10"/>
    </row>
    <row r="19173" spans="20:20">
      <c r="T19173" s="10"/>
    </row>
    <row r="19174" spans="20:20">
      <c r="T19174" s="10"/>
    </row>
    <row r="19175" spans="20:20">
      <c r="T19175" s="10"/>
    </row>
    <row r="19176" spans="20:20">
      <c r="T19176" s="10"/>
    </row>
    <row r="19177" spans="20:20">
      <c r="T19177" s="10"/>
    </row>
    <row r="19178" spans="20:20">
      <c r="T19178" s="10"/>
    </row>
    <row r="19179" spans="20:20">
      <c r="T19179" s="10"/>
    </row>
    <row r="19180" spans="20:20">
      <c r="T19180" s="10"/>
    </row>
    <row r="19181" spans="20:20">
      <c r="T19181" s="10"/>
    </row>
    <row r="19182" spans="20:20">
      <c r="T19182" s="10"/>
    </row>
    <row r="19183" spans="20:20">
      <c r="T19183" s="10"/>
    </row>
    <row r="19184" spans="20:20">
      <c r="T19184" s="10"/>
    </row>
    <row r="19185" spans="20:20">
      <c r="T19185" s="10"/>
    </row>
    <row r="19186" spans="20:20">
      <c r="T19186" s="10"/>
    </row>
    <row r="19187" spans="20:20">
      <c r="T19187" s="10"/>
    </row>
    <row r="19188" spans="20:20">
      <c r="T19188" s="10"/>
    </row>
    <row r="19189" spans="20:20">
      <c r="T19189" s="10"/>
    </row>
    <row r="19190" spans="20:20">
      <c r="T19190" s="10"/>
    </row>
    <row r="19191" spans="20:20">
      <c r="T19191" s="10"/>
    </row>
    <row r="19192" spans="20:20">
      <c r="T19192" s="10"/>
    </row>
    <row r="19193" spans="20:20">
      <c r="T19193" s="10"/>
    </row>
    <row r="19194" spans="20:20">
      <c r="T19194" s="10"/>
    </row>
    <row r="19195" spans="20:20">
      <c r="T19195" s="10"/>
    </row>
    <row r="19196" spans="20:20">
      <c r="T19196" s="10"/>
    </row>
    <row r="19197" spans="20:20">
      <c r="T19197" s="10"/>
    </row>
    <row r="19198" spans="20:20">
      <c r="T19198" s="10"/>
    </row>
    <row r="19199" spans="20:20">
      <c r="T19199" s="10"/>
    </row>
    <row r="19200" spans="20:20">
      <c r="T19200" s="10"/>
    </row>
    <row r="19201" spans="20:20">
      <c r="T19201" s="10"/>
    </row>
    <row r="19202" spans="20:20">
      <c r="T19202" s="10"/>
    </row>
    <row r="19203" spans="20:20">
      <c r="T19203" s="10"/>
    </row>
    <row r="19204" spans="20:20">
      <c r="T19204" s="10"/>
    </row>
    <row r="19205" spans="20:20">
      <c r="T19205" s="10"/>
    </row>
    <row r="19206" spans="20:20">
      <c r="T19206" s="10"/>
    </row>
    <row r="19207" spans="20:20">
      <c r="T19207" s="10"/>
    </row>
    <row r="19208" spans="20:20">
      <c r="T19208" s="10"/>
    </row>
    <row r="19209" spans="20:20">
      <c r="T19209" s="10"/>
    </row>
    <row r="19210" spans="20:20">
      <c r="T19210" s="10"/>
    </row>
    <row r="19211" spans="20:20">
      <c r="T19211" s="10"/>
    </row>
    <row r="19212" spans="20:20">
      <c r="T19212" s="10"/>
    </row>
    <row r="19213" spans="20:20">
      <c r="T19213" s="10"/>
    </row>
    <row r="19214" spans="20:20">
      <c r="T19214" s="10"/>
    </row>
    <row r="19215" spans="20:20">
      <c r="T19215" s="10"/>
    </row>
    <row r="19216" spans="20:20">
      <c r="T19216" s="10"/>
    </row>
    <row r="19217" spans="20:20">
      <c r="T19217" s="10"/>
    </row>
    <row r="19218" spans="20:20">
      <c r="T19218" s="10"/>
    </row>
    <row r="19219" spans="20:20">
      <c r="T19219" s="10"/>
    </row>
    <row r="19220" spans="20:20">
      <c r="T19220" s="10"/>
    </row>
    <row r="19221" spans="20:20">
      <c r="T19221" s="10"/>
    </row>
    <row r="19222" spans="20:20">
      <c r="T19222" s="10"/>
    </row>
    <row r="19223" spans="20:20">
      <c r="T19223" s="10"/>
    </row>
    <row r="19224" spans="20:20">
      <c r="T19224" s="10"/>
    </row>
    <row r="19225" spans="20:20">
      <c r="T19225" s="10"/>
    </row>
    <row r="19226" spans="20:20">
      <c r="T19226" s="10"/>
    </row>
    <row r="19227" spans="20:20">
      <c r="T19227" s="10"/>
    </row>
    <row r="19228" spans="20:20">
      <c r="T19228" s="10"/>
    </row>
    <row r="19229" spans="20:20">
      <c r="T19229" s="10"/>
    </row>
    <row r="19230" spans="20:20">
      <c r="T19230" s="10"/>
    </row>
    <row r="19231" spans="20:20">
      <c r="T19231" s="10"/>
    </row>
    <row r="19232" spans="20:20">
      <c r="T19232" s="10"/>
    </row>
    <row r="19233" spans="20:20">
      <c r="T19233" s="10"/>
    </row>
    <row r="19234" spans="20:20">
      <c r="T19234" s="10"/>
    </row>
    <row r="19235" spans="20:20">
      <c r="T19235" s="10"/>
    </row>
    <row r="19236" spans="20:20">
      <c r="T19236" s="10"/>
    </row>
    <row r="19237" spans="20:20">
      <c r="T19237" s="10"/>
    </row>
    <row r="19238" spans="20:20">
      <c r="T19238" s="10"/>
    </row>
    <row r="19239" spans="20:20">
      <c r="T19239" s="10"/>
    </row>
    <row r="19240" spans="20:20">
      <c r="T19240" s="10"/>
    </row>
    <row r="19241" spans="20:20">
      <c r="T19241" s="10"/>
    </row>
    <row r="19242" spans="20:20">
      <c r="T19242" s="10"/>
    </row>
    <row r="19243" spans="20:20">
      <c r="T19243" s="10"/>
    </row>
    <row r="19244" spans="20:20">
      <c r="T19244" s="10"/>
    </row>
    <row r="19245" spans="20:20">
      <c r="T19245" s="10"/>
    </row>
    <row r="19246" spans="20:20">
      <c r="T19246" s="10"/>
    </row>
    <row r="19247" spans="20:20">
      <c r="T19247" s="10"/>
    </row>
    <row r="19248" spans="20:20">
      <c r="T19248" s="10"/>
    </row>
    <row r="19249" spans="20:20">
      <c r="T19249" s="10"/>
    </row>
    <row r="19250" spans="20:20">
      <c r="T19250" s="10"/>
    </row>
    <row r="19251" spans="20:20">
      <c r="T19251" s="10"/>
    </row>
    <row r="19252" spans="20:20">
      <c r="T19252" s="10"/>
    </row>
    <row r="19253" spans="20:20">
      <c r="T19253" s="10"/>
    </row>
    <row r="19254" spans="20:20">
      <c r="T19254" s="10"/>
    </row>
    <row r="19255" spans="20:20">
      <c r="T19255" s="10"/>
    </row>
    <row r="19256" spans="20:20">
      <c r="T19256" s="10"/>
    </row>
    <row r="19257" spans="20:20">
      <c r="T19257" s="10"/>
    </row>
    <row r="19258" spans="20:20">
      <c r="T19258" s="10"/>
    </row>
    <row r="19259" spans="20:20">
      <c r="T19259" s="10"/>
    </row>
    <row r="19260" spans="20:20">
      <c r="T19260" s="10"/>
    </row>
    <row r="19261" spans="20:20">
      <c r="T19261" s="10"/>
    </row>
    <row r="19262" spans="20:20">
      <c r="T19262" s="10"/>
    </row>
    <row r="19263" spans="20:20">
      <c r="T19263" s="10"/>
    </row>
    <row r="19264" spans="20:20">
      <c r="T19264" s="10"/>
    </row>
    <row r="19265" spans="20:20">
      <c r="T19265" s="10"/>
    </row>
    <row r="19266" spans="20:20">
      <c r="T19266" s="10"/>
    </row>
    <row r="19267" spans="20:20">
      <c r="T19267" s="10"/>
    </row>
    <row r="19268" spans="20:20">
      <c r="T19268" s="10"/>
    </row>
    <row r="19269" spans="20:20">
      <c r="T19269" s="10"/>
    </row>
    <row r="19270" spans="20:20">
      <c r="T19270" s="10"/>
    </row>
    <row r="19271" spans="20:20">
      <c r="T19271" s="10"/>
    </row>
    <row r="19272" spans="20:20">
      <c r="T19272" s="10"/>
    </row>
    <row r="19273" spans="20:20">
      <c r="T19273" s="10"/>
    </row>
    <row r="19274" spans="20:20">
      <c r="T19274" s="10"/>
    </row>
    <row r="19275" spans="20:20">
      <c r="T19275" s="10"/>
    </row>
    <row r="19276" spans="20:20">
      <c r="T19276" s="10"/>
    </row>
    <row r="19277" spans="20:20">
      <c r="T19277" s="10"/>
    </row>
    <row r="19278" spans="20:20">
      <c r="T19278" s="10"/>
    </row>
    <row r="19279" spans="20:20">
      <c r="T19279" s="10"/>
    </row>
    <row r="19280" spans="20:20">
      <c r="T19280" s="10"/>
    </row>
    <row r="19281" spans="20:20">
      <c r="T19281" s="10"/>
    </row>
    <row r="19282" spans="20:20">
      <c r="T19282" s="10"/>
    </row>
    <row r="19283" spans="20:20">
      <c r="T19283" s="10"/>
    </row>
    <row r="19284" spans="20:20">
      <c r="T19284" s="10"/>
    </row>
    <row r="19285" spans="20:20">
      <c r="T19285" s="10"/>
    </row>
    <row r="19286" spans="20:20">
      <c r="T19286" s="10"/>
    </row>
    <row r="19287" spans="20:20">
      <c r="T19287" s="10"/>
    </row>
    <row r="19288" spans="20:20">
      <c r="T19288" s="10"/>
    </row>
    <row r="19289" spans="20:20">
      <c r="T19289" s="10"/>
    </row>
    <row r="19290" spans="20:20">
      <c r="T19290" s="10"/>
    </row>
    <row r="19291" spans="20:20">
      <c r="T19291" s="10"/>
    </row>
    <row r="19292" spans="20:20">
      <c r="T19292" s="10"/>
    </row>
    <row r="19293" spans="20:20">
      <c r="T19293" s="10"/>
    </row>
    <row r="19294" spans="20:20">
      <c r="T19294" s="10"/>
    </row>
    <row r="19295" spans="20:20">
      <c r="T19295" s="10"/>
    </row>
    <row r="19296" spans="20:20">
      <c r="T19296" s="10"/>
    </row>
    <row r="19297" spans="20:20">
      <c r="T19297" s="10"/>
    </row>
    <row r="19298" spans="20:20">
      <c r="T19298" s="10"/>
    </row>
    <row r="19299" spans="20:20">
      <c r="T19299" s="10"/>
    </row>
    <row r="19300" spans="20:20">
      <c r="T19300" s="10"/>
    </row>
    <row r="19301" spans="20:20">
      <c r="T19301" s="10"/>
    </row>
    <row r="19302" spans="20:20">
      <c r="T19302" s="10"/>
    </row>
    <row r="19303" spans="20:20">
      <c r="T19303" s="10"/>
    </row>
    <row r="19304" spans="20:20">
      <c r="T19304" s="10"/>
    </row>
    <row r="19305" spans="20:20">
      <c r="T19305" s="10"/>
    </row>
    <row r="19306" spans="20:20">
      <c r="T19306" s="10"/>
    </row>
    <row r="19307" spans="20:20">
      <c r="T19307" s="10"/>
    </row>
    <row r="19308" spans="20:20">
      <c r="T19308" s="10"/>
    </row>
    <row r="19309" spans="20:20">
      <c r="T19309" s="10"/>
    </row>
    <row r="19310" spans="20:20">
      <c r="T19310" s="10"/>
    </row>
    <row r="19311" spans="20:20">
      <c r="T19311" s="10"/>
    </row>
    <row r="19312" spans="20:20">
      <c r="T19312" s="10"/>
    </row>
    <row r="19313" spans="20:20">
      <c r="T19313" s="10"/>
    </row>
    <row r="19314" spans="20:20">
      <c r="T19314" s="10"/>
    </row>
    <row r="19315" spans="20:20">
      <c r="T19315" s="10"/>
    </row>
    <row r="19316" spans="20:20">
      <c r="T19316" s="10"/>
    </row>
    <row r="19317" spans="20:20">
      <c r="T19317" s="10"/>
    </row>
    <row r="19318" spans="20:20">
      <c r="T19318" s="10"/>
    </row>
    <row r="19319" spans="20:20">
      <c r="T19319" s="10"/>
    </row>
    <row r="19320" spans="20:20">
      <c r="T19320" s="10"/>
    </row>
    <row r="19321" spans="20:20">
      <c r="T19321" s="10"/>
    </row>
    <row r="19322" spans="20:20">
      <c r="T19322" s="10"/>
    </row>
    <row r="19323" spans="20:20">
      <c r="T19323" s="10"/>
    </row>
    <row r="19324" spans="20:20">
      <c r="T19324" s="10"/>
    </row>
    <row r="19325" spans="20:20">
      <c r="T19325" s="10"/>
    </row>
    <row r="19326" spans="20:20">
      <c r="T19326" s="10"/>
    </row>
    <row r="19327" spans="20:20">
      <c r="T19327" s="10"/>
    </row>
    <row r="19328" spans="20:20">
      <c r="T19328" s="10"/>
    </row>
    <row r="19329" spans="20:20">
      <c r="T19329" s="10"/>
    </row>
    <row r="19330" spans="20:20">
      <c r="T19330" s="10"/>
    </row>
    <row r="19331" spans="20:20">
      <c r="T19331" s="10"/>
    </row>
    <row r="19332" spans="20:20">
      <c r="T19332" s="10"/>
    </row>
    <row r="19333" spans="20:20">
      <c r="T19333" s="10"/>
    </row>
    <row r="19334" spans="20:20">
      <c r="T19334" s="10"/>
    </row>
    <row r="19335" spans="20:20">
      <c r="T19335" s="10"/>
    </row>
    <row r="19336" spans="20:20">
      <c r="T19336" s="10"/>
    </row>
    <row r="19337" spans="20:20">
      <c r="T19337" s="10"/>
    </row>
    <row r="19338" spans="20:20">
      <c r="T19338" s="10"/>
    </row>
    <row r="19339" spans="20:20">
      <c r="T19339" s="10"/>
    </row>
    <row r="19340" spans="20:20">
      <c r="T19340" s="10"/>
    </row>
    <row r="19341" spans="20:20">
      <c r="T19341" s="10"/>
    </row>
    <row r="19342" spans="20:20">
      <c r="T19342" s="10"/>
    </row>
    <row r="19343" spans="20:20">
      <c r="T19343" s="10"/>
    </row>
    <row r="19344" spans="20:20">
      <c r="T19344" s="10"/>
    </row>
    <row r="19345" spans="20:20">
      <c r="T19345" s="10"/>
    </row>
    <row r="19346" spans="20:20">
      <c r="T19346" s="10"/>
    </row>
    <row r="19347" spans="20:20">
      <c r="T19347" s="10"/>
    </row>
    <row r="19348" spans="20:20">
      <c r="T19348" s="10"/>
    </row>
    <row r="19349" spans="20:20">
      <c r="T19349" s="10"/>
    </row>
    <row r="19350" spans="20:20">
      <c r="T19350" s="10"/>
    </row>
    <row r="19351" spans="20:20">
      <c r="T19351" s="10"/>
    </row>
    <row r="19352" spans="20:20">
      <c r="T19352" s="10"/>
    </row>
    <row r="19353" spans="20:20">
      <c r="T19353" s="10"/>
    </row>
    <row r="19354" spans="20:20">
      <c r="T19354" s="10"/>
    </row>
    <row r="19355" spans="20:20">
      <c r="T19355" s="10"/>
    </row>
    <row r="19356" spans="20:20">
      <c r="T19356" s="10"/>
    </row>
    <row r="19357" spans="20:20">
      <c r="T19357" s="10"/>
    </row>
    <row r="19358" spans="20:20">
      <c r="T19358" s="10"/>
    </row>
    <row r="19359" spans="20:20">
      <c r="T19359" s="10"/>
    </row>
    <row r="19360" spans="20:20">
      <c r="T19360" s="10"/>
    </row>
    <row r="19361" spans="20:20">
      <c r="T19361" s="10"/>
    </row>
    <row r="19362" spans="20:20">
      <c r="T19362" s="10"/>
    </row>
    <row r="19363" spans="20:20">
      <c r="T19363" s="10"/>
    </row>
    <row r="19364" spans="20:20">
      <c r="T19364" s="10"/>
    </row>
    <row r="19365" spans="20:20">
      <c r="T19365" s="10"/>
    </row>
    <row r="19366" spans="20:20">
      <c r="T19366" s="10"/>
    </row>
    <row r="19367" spans="20:20">
      <c r="T19367" s="10"/>
    </row>
    <row r="19368" spans="20:20">
      <c r="T19368" s="10"/>
    </row>
    <row r="19369" spans="20:20">
      <c r="T19369" s="10"/>
    </row>
    <row r="19370" spans="20:20">
      <c r="T19370" s="10"/>
    </row>
    <row r="19371" spans="20:20">
      <c r="T19371" s="10"/>
    </row>
    <row r="19372" spans="20:20">
      <c r="T19372" s="10"/>
    </row>
    <row r="19373" spans="20:20">
      <c r="T19373" s="10"/>
    </row>
    <row r="19374" spans="20:20">
      <c r="T19374" s="10"/>
    </row>
    <row r="19375" spans="20:20">
      <c r="T19375" s="10"/>
    </row>
    <row r="19376" spans="20:20">
      <c r="T19376" s="10"/>
    </row>
    <row r="19377" spans="20:20">
      <c r="T19377" s="10"/>
    </row>
    <row r="19378" spans="20:20">
      <c r="T19378" s="10"/>
    </row>
    <row r="19379" spans="20:20">
      <c r="T19379" s="10"/>
    </row>
    <row r="19380" spans="20:20">
      <c r="T19380" s="10"/>
    </row>
    <row r="19381" spans="20:20">
      <c r="T19381" s="10"/>
    </row>
    <row r="19382" spans="20:20">
      <c r="T19382" s="10"/>
    </row>
    <row r="19383" spans="20:20">
      <c r="T19383" s="10"/>
    </row>
    <row r="19384" spans="20:20">
      <c r="T19384" s="10"/>
    </row>
    <row r="19385" spans="20:20">
      <c r="T19385" s="10"/>
    </row>
    <row r="19386" spans="20:20">
      <c r="T19386" s="10"/>
    </row>
    <row r="19387" spans="20:20">
      <c r="T19387" s="10"/>
    </row>
    <row r="19388" spans="20:20">
      <c r="T19388" s="10"/>
    </row>
    <row r="19389" spans="20:20">
      <c r="T19389" s="10"/>
    </row>
    <row r="19390" spans="20:20">
      <c r="T19390" s="10"/>
    </row>
    <row r="19391" spans="20:20">
      <c r="T19391" s="10"/>
    </row>
    <row r="19392" spans="20:20">
      <c r="T19392" s="10"/>
    </row>
    <row r="19393" spans="20:20">
      <c r="T19393" s="10"/>
    </row>
    <row r="19394" spans="20:20">
      <c r="T19394" s="10"/>
    </row>
    <row r="19395" spans="20:20">
      <c r="T19395" s="10"/>
    </row>
    <row r="19396" spans="20:20">
      <c r="T19396" s="10"/>
    </row>
    <row r="19397" spans="20:20">
      <c r="T19397" s="10"/>
    </row>
    <row r="19398" spans="20:20">
      <c r="T19398" s="10"/>
    </row>
    <row r="19399" spans="20:20">
      <c r="T19399" s="10"/>
    </row>
    <row r="19400" spans="20:20">
      <c r="T19400" s="10"/>
    </row>
    <row r="19401" spans="20:20">
      <c r="T19401" s="10"/>
    </row>
    <row r="19402" spans="20:20">
      <c r="T19402" s="10"/>
    </row>
    <row r="19403" spans="20:20">
      <c r="T19403" s="10"/>
    </row>
    <row r="19404" spans="20:20">
      <c r="T19404" s="10"/>
    </row>
    <row r="19405" spans="20:20">
      <c r="T19405" s="10"/>
    </row>
    <row r="19406" spans="20:20">
      <c r="T19406" s="10"/>
    </row>
    <row r="19407" spans="20:20">
      <c r="T19407" s="10"/>
    </row>
    <row r="19408" spans="20:20">
      <c r="T19408" s="10"/>
    </row>
    <row r="19409" spans="20:20">
      <c r="T19409" s="10"/>
    </row>
    <row r="19410" spans="20:20">
      <c r="T19410" s="10"/>
    </row>
    <row r="19411" spans="20:20">
      <c r="T19411" s="10"/>
    </row>
    <row r="19412" spans="20:20">
      <c r="T19412" s="10"/>
    </row>
    <row r="19413" spans="20:20">
      <c r="T19413" s="10"/>
    </row>
    <row r="19414" spans="20:20">
      <c r="T19414" s="10"/>
    </row>
    <row r="19415" spans="20:20">
      <c r="T19415" s="10"/>
    </row>
    <row r="19416" spans="20:20">
      <c r="T19416" s="10"/>
    </row>
    <row r="19417" spans="20:20">
      <c r="T19417" s="10"/>
    </row>
    <row r="19418" spans="20:20">
      <c r="T19418" s="10"/>
    </row>
    <row r="19419" spans="20:20">
      <c r="T19419" s="10"/>
    </row>
    <row r="19420" spans="20:20">
      <c r="T19420" s="10"/>
    </row>
    <row r="19421" spans="20:20">
      <c r="T19421" s="10"/>
    </row>
    <row r="19422" spans="20:20">
      <c r="T19422" s="10"/>
    </row>
    <row r="19423" spans="20:20">
      <c r="T19423" s="10"/>
    </row>
    <row r="19424" spans="20:20">
      <c r="T19424" s="10"/>
    </row>
    <row r="19425" spans="20:20">
      <c r="T19425" s="10"/>
    </row>
    <row r="19426" spans="20:20">
      <c r="T19426" s="10"/>
    </row>
    <row r="19427" spans="20:20">
      <c r="T19427" s="10"/>
    </row>
    <row r="19428" spans="20:20">
      <c r="T19428" s="10"/>
    </row>
    <row r="19429" spans="20:20">
      <c r="T19429" s="10"/>
    </row>
    <row r="19430" spans="20:20">
      <c r="T19430" s="10"/>
    </row>
    <row r="19431" spans="20:20">
      <c r="T19431" s="10"/>
    </row>
    <row r="19432" spans="20:20">
      <c r="T19432" s="10"/>
    </row>
    <row r="19433" spans="20:20">
      <c r="T19433" s="10"/>
    </row>
    <row r="19434" spans="20:20">
      <c r="T19434" s="10"/>
    </row>
    <row r="19435" spans="20:20">
      <c r="T19435" s="10"/>
    </row>
    <row r="19436" spans="20:20">
      <c r="T19436" s="10"/>
    </row>
    <row r="19437" spans="20:20">
      <c r="T19437" s="10"/>
    </row>
    <row r="19438" spans="20:20">
      <c r="T19438" s="10"/>
    </row>
    <row r="19439" spans="20:20">
      <c r="T19439" s="10"/>
    </row>
    <row r="19440" spans="20:20">
      <c r="T19440" s="10"/>
    </row>
    <row r="19441" spans="20:20">
      <c r="T19441" s="10"/>
    </row>
    <row r="19442" spans="20:20">
      <c r="T19442" s="10"/>
    </row>
    <row r="19443" spans="20:20">
      <c r="T19443" s="10"/>
    </row>
    <row r="19444" spans="20:20">
      <c r="T19444" s="10"/>
    </row>
    <row r="19445" spans="20:20">
      <c r="T19445" s="10"/>
    </row>
    <row r="19446" spans="20:20">
      <c r="T19446" s="10"/>
    </row>
    <row r="19447" spans="20:20">
      <c r="T19447" s="10"/>
    </row>
    <row r="19448" spans="20:20">
      <c r="T19448" s="10"/>
    </row>
    <row r="19449" spans="20:20">
      <c r="T19449" s="10"/>
    </row>
    <row r="19450" spans="20:20">
      <c r="T19450" s="10"/>
    </row>
    <row r="19451" spans="20:20">
      <c r="T19451" s="10"/>
    </row>
    <row r="19452" spans="20:20">
      <c r="T19452" s="10"/>
    </row>
    <row r="19453" spans="20:20">
      <c r="T19453" s="10"/>
    </row>
    <row r="19454" spans="20:20">
      <c r="T19454" s="10"/>
    </row>
    <row r="19455" spans="20:20">
      <c r="T19455" s="10"/>
    </row>
    <row r="19456" spans="20:20">
      <c r="T19456" s="10"/>
    </row>
    <row r="19457" spans="20:20">
      <c r="T19457" s="10"/>
    </row>
    <row r="19458" spans="20:20">
      <c r="T19458" s="10"/>
    </row>
    <row r="19459" spans="20:20">
      <c r="T19459" s="10"/>
    </row>
    <row r="19460" spans="20:20">
      <c r="T19460" s="10"/>
    </row>
    <row r="19461" spans="20:20">
      <c r="T19461" s="10"/>
    </row>
    <row r="19462" spans="20:20">
      <c r="T19462" s="10"/>
    </row>
    <row r="19463" spans="20:20">
      <c r="T19463" s="10"/>
    </row>
    <row r="19464" spans="20:20">
      <c r="T19464" s="10"/>
    </row>
    <row r="19465" spans="20:20">
      <c r="T19465" s="10"/>
    </row>
    <row r="19466" spans="20:20">
      <c r="T19466" s="10"/>
    </row>
    <row r="19467" spans="20:20">
      <c r="T19467" s="10"/>
    </row>
    <row r="19468" spans="20:20">
      <c r="T19468" s="10"/>
    </row>
    <row r="19469" spans="20:20">
      <c r="T19469" s="10"/>
    </row>
    <row r="19470" spans="20:20">
      <c r="T19470" s="10"/>
    </row>
    <row r="19471" spans="20:20">
      <c r="T19471" s="10"/>
    </row>
    <row r="19472" spans="20:20">
      <c r="T19472" s="10"/>
    </row>
    <row r="19473" spans="20:20">
      <c r="T19473" s="10"/>
    </row>
    <row r="19474" spans="20:20">
      <c r="T19474" s="10"/>
    </row>
    <row r="19475" spans="20:20">
      <c r="T19475" s="10"/>
    </row>
    <row r="19476" spans="20:20">
      <c r="T19476" s="10"/>
    </row>
    <row r="19477" spans="20:20">
      <c r="T19477" s="10"/>
    </row>
    <row r="19478" spans="20:20">
      <c r="T19478" s="10"/>
    </row>
    <row r="19479" spans="20:20">
      <c r="T19479" s="10"/>
    </row>
    <row r="19480" spans="20:20">
      <c r="T19480" s="10"/>
    </row>
    <row r="19481" spans="20:20">
      <c r="T19481" s="10"/>
    </row>
    <row r="19482" spans="20:20">
      <c r="T19482" s="10"/>
    </row>
    <row r="19483" spans="20:20">
      <c r="T19483" s="10"/>
    </row>
    <row r="19484" spans="20:20">
      <c r="T19484" s="10"/>
    </row>
    <row r="19485" spans="20:20">
      <c r="T19485" s="10"/>
    </row>
    <row r="19486" spans="20:20">
      <c r="T19486" s="10"/>
    </row>
    <row r="19487" spans="20:20">
      <c r="T19487" s="10"/>
    </row>
    <row r="19488" spans="20:20">
      <c r="T19488" s="10"/>
    </row>
    <row r="19489" spans="20:20">
      <c r="T19489" s="10"/>
    </row>
    <row r="19490" spans="20:20">
      <c r="T19490" s="10"/>
    </row>
    <row r="19491" spans="20:20">
      <c r="T19491" s="10"/>
    </row>
    <row r="19492" spans="20:20">
      <c r="T19492" s="10"/>
    </row>
    <row r="19493" spans="20:20">
      <c r="T19493" s="10"/>
    </row>
    <row r="19494" spans="20:20">
      <c r="T19494" s="10"/>
    </row>
    <row r="19495" spans="20:20">
      <c r="T19495" s="10"/>
    </row>
    <row r="19496" spans="20:20">
      <c r="T19496" s="10"/>
    </row>
    <row r="19497" spans="20:20">
      <c r="T19497" s="10"/>
    </row>
    <row r="19498" spans="20:20">
      <c r="T19498" s="10"/>
    </row>
    <row r="19499" spans="20:20">
      <c r="T19499" s="10"/>
    </row>
    <row r="19500" spans="20:20">
      <c r="T19500" s="10"/>
    </row>
    <row r="19501" spans="20:20">
      <c r="T19501" s="10"/>
    </row>
    <row r="19502" spans="20:20">
      <c r="T19502" s="10"/>
    </row>
    <row r="19503" spans="20:20">
      <c r="T19503" s="10"/>
    </row>
    <row r="19504" spans="20:20">
      <c r="T19504" s="10"/>
    </row>
    <row r="19505" spans="20:20">
      <c r="T19505" s="10"/>
    </row>
    <row r="19506" spans="20:20">
      <c r="T19506" s="10"/>
    </row>
    <row r="19507" spans="20:20">
      <c r="T19507" s="10"/>
    </row>
    <row r="19508" spans="20:20">
      <c r="T19508" s="10"/>
    </row>
    <row r="19509" spans="20:20">
      <c r="T19509" s="10"/>
    </row>
    <row r="19510" spans="20:20">
      <c r="T19510" s="10"/>
    </row>
    <row r="19511" spans="20:20">
      <c r="T19511" s="10"/>
    </row>
    <row r="19512" spans="20:20">
      <c r="T19512" s="10"/>
    </row>
    <row r="19513" spans="20:20">
      <c r="T19513" s="10"/>
    </row>
    <row r="19514" spans="20:20">
      <c r="T19514" s="10"/>
    </row>
    <row r="19515" spans="20:20">
      <c r="T19515" s="10"/>
    </row>
    <row r="19516" spans="20:20">
      <c r="T19516" s="10"/>
    </row>
    <row r="19517" spans="20:20">
      <c r="T19517" s="10"/>
    </row>
    <row r="19518" spans="20:20">
      <c r="T19518" s="10"/>
    </row>
    <row r="19519" spans="20:20">
      <c r="T19519" s="10"/>
    </row>
    <row r="19520" spans="20:20">
      <c r="T19520" s="10"/>
    </row>
    <row r="19521" spans="20:20">
      <c r="T19521" s="10"/>
    </row>
    <row r="19522" spans="20:20">
      <c r="T19522" s="10"/>
    </row>
    <row r="19523" spans="20:20">
      <c r="T19523" s="10"/>
    </row>
    <row r="19524" spans="20:20">
      <c r="T19524" s="10"/>
    </row>
    <row r="19525" spans="20:20">
      <c r="T19525" s="10"/>
    </row>
    <row r="19526" spans="20:20">
      <c r="T19526" s="10"/>
    </row>
    <row r="19527" spans="20:20">
      <c r="T19527" s="10"/>
    </row>
    <row r="19528" spans="20:20">
      <c r="T19528" s="10"/>
    </row>
    <row r="19529" spans="20:20">
      <c r="T19529" s="10"/>
    </row>
    <row r="19530" spans="20:20">
      <c r="T19530" s="10"/>
    </row>
    <row r="19531" spans="20:20">
      <c r="T19531" s="10"/>
    </row>
    <row r="19532" spans="20:20">
      <c r="T19532" s="10"/>
    </row>
    <row r="19533" spans="20:20">
      <c r="T19533" s="10"/>
    </row>
    <row r="19534" spans="20:20">
      <c r="T19534" s="10"/>
    </row>
    <row r="19535" spans="20:20">
      <c r="T19535" s="10"/>
    </row>
    <row r="19536" spans="20:20">
      <c r="T19536" s="10"/>
    </row>
    <row r="19537" spans="20:20">
      <c r="T19537" s="10"/>
    </row>
    <row r="19538" spans="20:20">
      <c r="T19538" s="10"/>
    </row>
    <row r="19539" spans="20:20">
      <c r="T19539" s="10"/>
    </row>
    <row r="19540" spans="20:20">
      <c r="T19540" s="10"/>
    </row>
    <row r="19541" spans="20:20">
      <c r="T19541" s="10"/>
    </row>
    <row r="19542" spans="20:20">
      <c r="T19542" s="10"/>
    </row>
    <row r="19543" spans="20:20">
      <c r="T19543" s="10"/>
    </row>
    <row r="19544" spans="20:20">
      <c r="T19544" s="10"/>
    </row>
    <row r="19545" spans="20:20">
      <c r="T19545" s="10"/>
    </row>
    <row r="19546" spans="20:20">
      <c r="T19546" s="10"/>
    </row>
    <row r="19547" spans="20:20">
      <c r="T19547" s="10"/>
    </row>
    <row r="19548" spans="20:20">
      <c r="T19548" s="10"/>
    </row>
    <row r="19549" spans="20:20">
      <c r="T19549" s="10"/>
    </row>
    <row r="19550" spans="20:20">
      <c r="T19550" s="10"/>
    </row>
    <row r="19551" spans="20:20">
      <c r="T19551" s="10"/>
    </row>
    <row r="19552" spans="20:20">
      <c r="T19552" s="10"/>
    </row>
    <row r="19553" spans="20:20">
      <c r="T19553" s="10"/>
    </row>
    <row r="19554" spans="20:20">
      <c r="T19554" s="10"/>
    </row>
    <row r="19555" spans="20:20">
      <c r="T19555" s="10"/>
    </row>
    <row r="19556" spans="20:20">
      <c r="T19556" s="10"/>
    </row>
    <row r="19557" spans="20:20">
      <c r="T19557" s="10"/>
    </row>
    <row r="19558" spans="20:20">
      <c r="T19558" s="10"/>
    </row>
    <row r="19559" spans="20:20">
      <c r="T19559" s="10"/>
    </row>
    <row r="19560" spans="20:20">
      <c r="T19560" s="10"/>
    </row>
    <row r="19561" spans="20:20">
      <c r="T19561" s="10"/>
    </row>
    <row r="19562" spans="20:20">
      <c r="T19562" s="10"/>
    </row>
    <row r="19563" spans="20:20">
      <c r="T19563" s="10"/>
    </row>
    <row r="19564" spans="20:20">
      <c r="T19564" s="10"/>
    </row>
    <row r="19565" spans="20:20">
      <c r="T19565" s="10"/>
    </row>
    <row r="19566" spans="20:20">
      <c r="T19566" s="10"/>
    </row>
    <row r="19567" spans="20:20">
      <c r="T19567" s="10"/>
    </row>
    <row r="19568" spans="20:20">
      <c r="T19568" s="10"/>
    </row>
    <row r="19569" spans="20:20">
      <c r="T19569" s="10"/>
    </row>
    <row r="19570" spans="20:20">
      <c r="T19570" s="10"/>
    </row>
    <row r="19571" spans="20:20">
      <c r="T19571" s="10"/>
    </row>
    <row r="19572" spans="20:20">
      <c r="T19572" s="10"/>
    </row>
    <row r="19573" spans="20:20">
      <c r="T19573" s="10"/>
    </row>
    <row r="19574" spans="20:20">
      <c r="T19574" s="10"/>
    </row>
    <row r="19575" spans="20:20">
      <c r="T19575" s="10"/>
    </row>
    <row r="19576" spans="20:20">
      <c r="T19576" s="10"/>
    </row>
    <row r="19577" spans="20:20">
      <c r="T19577" s="10"/>
    </row>
    <row r="19578" spans="20:20">
      <c r="T19578" s="10"/>
    </row>
    <row r="19579" spans="20:20">
      <c r="T19579" s="10"/>
    </row>
    <row r="19580" spans="20:20">
      <c r="T19580" s="10"/>
    </row>
    <row r="19581" spans="20:20">
      <c r="T19581" s="10"/>
    </row>
    <row r="19582" spans="20:20">
      <c r="T19582" s="10"/>
    </row>
    <row r="19583" spans="20:20">
      <c r="T19583" s="10"/>
    </row>
    <row r="19584" spans="20:20">
      <c r="T19584" s="10"/>
    </row>
    <row r="19585" spans="20:20">
      <c r="T19585" s="10"/>
    </row>
    <row r="19586" spans="20:20">
      <c r="T19586" s="10"/>
    </row>
    <row r="19587" spans="20:20">
      <c r="T19587" s="10"/>
    </row>
    <row r="19588" spans="20:20">
      <c r="T19588" s="10"/>
    </row>
    <row r="19589" spans="20:20">
      <c r="T19589" s="10"/>
    </row>
    <row r="19590" spans="20:20">
      <c r="T19590" s="10"/>
    </row>
    <row r="19591" spans="20:20">
      <c r="T19591" s="10"/>
    </row>
    <row r="19592" spans="20:20">
      <c r="T19592" s="10"/>
    </row>
    <row r="19593" spans="20:20">
      <c r="T19593" s="10"/>
    </row>
    <row r="19594" spans="20:20">
      <c r="T19594" s="10"/>
    </row>
    <row r="19595" spans="20:20">
      <c r="T19595" s="10"/>
    </row>
    <row r="19596" spans="20:20">
      <c r="T19596" s="10"/>
    </row>
    <row r="19597" spans="20:20">
      <c r="T19597" s="10"/>
    </row>
    <row r="19598" spans="20:20">
      <c r="T19598" s="10"/>
    </row>
    <row r="19599" spans="20:20">
      <c r="T19599" s="10"/>
    </row>
    <row r="19600" spans="20:20">
      <c r="T19600" s="10"/>
    </row>
    <row r="19601" spans="20:20">
      <c r="T19601" s="10"/>
    </row>
    <row r="19602" spans="20:20">
      <c r="T19602" s="10"/>
    </row>
    <row r="19603" spans="20:20">
      <c r="T19603" s="10"/>
    </row>
    <row r="19604" spans="20:20">
      <c r="T19604" s="10"/>
    </row>
    <row r="19605" spans="20:20">
      <c r="T19605" s="10"/>
    </row>
    <row r="19606" spans="20:20">
      <c r="T19606" s="10"/>
    </row>
    <row r="19607" spans="20:20">
      <c r="T19607" s="10"/>
    </row>
    <row r="19608" spans="20:20">
      <c r="T19608" s="10"/>
    </row>
    <row r="19609" spans="20:20">
      <c r="T19609" s="10"/>
    </row>
    <row r="19610" spans="20:20">
      <c r="T19610" s="10"/>
    </row>
    <row r="19611" spans="20:20">
      <c r="T19611" s="10"/>
    </row>
    <row r="19612" spans="20:20">
      <c r="T19612" s="10"/>
    </row>
    <row r="19613" spans="20:20">
      <c r="T19613" s="10"/>
    </row>
    <row r="19614" spans="20:20">
      <c r="T19614" s="10"/>
    </row>
    <row r="19615" spans="20:20">
      <c r="T19615" s="10"/>
    </row>
    <row r="19616" spans="20:20">
      <c r="T19616" s="10"/>
    </row>
    <row r="19617" spans="20:20">
      <c r="T19617" s="10"/>
    </row>
    <row r="19618" spans="20:20">
      <c r="T19618" s="10"/>
    </row>
    <row r="19619" spans="20:20">
      <c r="T19619" s="10"/>
    </row>
    <row r="19620" spans="20:20">
      <c r="T19620" s="10"/>
    </row>
    <row r="19621" spans="20:20">
      <c r="T19621" s="10"/>
    </row>
    <row r="19622" spans="20:20">
      <c r="T19622" s="10"/>
    </row>
    <row r="19623" spans="20:20">
      <c r="T19623" s="10"/>
    </row>
    <row r="19624" spans="20:20">
      <c r="T19624" s="10"/>
    </row>
    <row r="19625" spans="20:20">
      <c r="T19625" s="10"/>
    </row>
    <row r="19626" spans="20:20">
      <c r="T19626" s="10"/>
    </row>
    <row r="19627" spans="20:20">
      <c r="T19627" s="10"/>
    </row>
    <row r="19628" spans="20:20">
      <c r="T19628" s="10"/>
    </row>
    <row r="19629" spans="20:20">
      <c r="T19629" s="10"/>
    </row>
    <row r="19630" spans="20:20">
      <c r="T19630" s="10"/>
    </row>
    <row r="19631" spans="20:20">
      <c r="T19631" s="10"/>
    </row>
    <row r="19632" spans="20:20">
      <c r="T19632" s="10"/>
    </row>
    <row r="19633" spans="20:20">
      <c r="T19633" s="10"/>
    </row>
    <row r="19634" spans="20:20">
      <c r="T19634" s="10"/>
    </row>
    <row r="19635" spans="20:20">
      <c r="T19635" s="10"/>
    </row>
    <row r="19636" spans="20:20">
      <c r="T19636" s="10"/>
    </row>
    <row r="19637" spans="20:20">
      <c r="T19637" s="10"/>
    </row>
    <row r="19638" spans="20:20">
      <c r="T19638" s="10"/>
    </row>
    <row r="19639" spans="20:20">
      <c r="T19639" s="10"/>
    </row>
    <row r="19640" spans="20:20">
      <c r="T19640" s="10"/>
    </row>
    <row r="19641" spans="20:20">
      <c r="T19641" s="10"/>
    </row>
    <row r="19642" spans="20:20">
      <c r="T19642" s="10"/>
    </row>
    <row r="19643" spans="20:20">
      <c r="T19643" s="10"/>
    </row>
    <row r="19644" spans="20:20">
      <c r="T19644" s="10"/>
    </row>
    <row r="19645" spans="20:20">
      <c r="T19645" s="10"/>
    </row>
    <row r="19646" spans="20:20">
      <c r="T19646" s="10"/>
    </row>
    <row r="19647" spans="20:20">
      <c r="T19647" s="10"/>
    </row>
    <row r="19648" spans="20:20">
      <c r="T19648" s="10"/>
    </row>
    <row r="19649" spans="20:20">
      <c r="T19649" s="10"/>
    </row>
    <row r="19650" spans="20:20">
      <c r="T19650" s="10"/>
    </row>
    <row r="19651" spans="20:20">
      <c r="T19651" s="10"/>
    </row>
    <row r="19652" spans="20:20">
      <c r="T19652" s="10"/>
    </row>
    <row r="19653" spans="20:20">
      <c r="T19653" s="10"/>
    </row>
    <row r="19654" spans="20:20">
      <c r="T19654" s="10"/>
    </row>
    <row r="19655" spans="20:20">
      <c r="T19655" s="10"/>
    </row>
    <row r="19656" spans="20:20">
      <c r="T19656" s="10"/>
    </row>
    <row r="19657" spans="20:20">
      <c r="T19657" s="10"/>
    </row>
    <row r="19658" spans="20:20">
      <c r="T19658" s="10"/>
    </row>
    <row r="19659" spans="20:20">
      <c r="T19659" s="10"/>
    </row>
    <row r="19660" spans="20:20">
      <c r="T19660" s="10"/>
    </row>
    <row r="19661" spans="20:20">
      <c r="T19661" s="10"/>
    </row>
    <row r="19662" spans="20:20">
      <c r="T19662" s="10"/>
    </row>
    <row r="19663" spans="20:20">
      <c r="T19663" s="10"/>
    </row>
    <row r="19664" spans="20:20">
      <c r="T19664" s="10"/>
    </row>
    <row r="19665" spans="20:20">
      <c r="T19665" s="10"/>
    </row>
    <row r="19666" spans="20:20">
      <c r="T19666" s="10"/>
    </row>
    <row r="19667" spans="20:20">
      <c r="T19667" s="10"/>
    </row>
    <row r="19668" spans="20:20">
      <c r="T19668" s="10"/>
    </row>
    <row r="19669" spans="20:20">
      <c r="T19669" s="10"/>
    </row>
    <row r="19670" spans="20:20">
      <c r="T19670" s="10"/>
    </row>
    <row r="19671" spans="20:20">
      <c r="T19671" s="10"/>
    </row>
    <row r="19672" spans="20:20">
      <c r="T19672" s="10"/>
    </row>
    <row r="19673" spans="20:20">
      <c r="T19673" s="10"/>
    </row>
    <row r="19674" spans="20:20">
      <c r="T19674" s="10"/>
    </row>
    <row r="19675" spans="20:20">
      <c r="T19675" s="10"/>
    </row>
    <row r="19676" spans="20:20">
      <c r="T19676" s="10"/>
    </row>
    <row r="19677" spans="20:20">
      <c r="T19677" s="10"/>
    </row>
    <row r="19678" spans="20:20">
      <c r="T19678" s="10"/>
    </row>
    <row r="19679" spans="20:20">
      <c r="T19679" s="10"/>
    </row>
    <row r="19680" spans="20:20">
      <c r="T19680" s="10"/>
    </row>
    <row r="19681" spans="20:20">
      <c r="T19681" s="10"/>
    </row>
    <row r="19682" spans="20:20">
      <c r="T19682" s="10"/>
    </row>
    <row r="19683" spans="20:20">
      <c r="T19683" s="10"/>
    </row>
    <row r="19684" spans="20:20">
      <c r="T19684" s="10"/>
    </row>
    <row r="19685" spans="20:20">
      <c r="T19685" s="10"/>
    </row>
    <row r="19686" spans="20:20">
      <c r="T19686" s="10"/>
    </row>
    <row r="19687" spans="20:20">
      <c r="T19687" s="10"/>
    </row>
    <row r="19688" spans="20:20">
      <c r="T19688" s="10"/>
    </row>
    <row r="19689" spans="20:20">
      <c r="T19689" s="10"/>
    </row>
    <row r="19690" spans="20:20">
      <c r="T19690" s="10"/>
    </row>
    <row r="19691" spans="20:20">
      <c r="T19691" s="10"/>
    </row>
    <row r="19692" spans="20:20">
      <c r="T19692" s="10"/>
    </row>
    <row r="19693" spans="20:20">
      <c r="T19693" s="10"/>
    </row>
    <row r="19694" spans="20:20">
      <c r="T19694" s="10"/>
    </row>
    <row r="19695" spans="20:20">
      <c r="T19695" s="10"/>
    </row>
    <row r="19696" spans="20:20">
      <c r="T19696" s="10"/>
    </row>
    <row r="19697" spans="20:20">
      <c r="T19697" s="10"/>
    </row>
    <row r="19698" spans="20:20">
      <c r="T19698" s="10"/>
    </row>
    <row r="19699" spans="20:20">
      <c r="T19699" s="10"/>
    </row>
    <row r="19700" spans="20:20">
      <c r="T19700" s="10"/>
    </row>
    <row r="19701" spans="20:20">
      <c r="T19701" s="10"/>
    </row>
    <row r="19702" spans="20:20">
      <c r="T19702" s="10"/>
    </row>
    <row r="19703" spans="20:20">
      <c r="T19703" s="10"/>
    </row>
    <row r="19704" spans="20:20">
      <c r="T19704" s="10"/>
    </row>
    <row r="19705" spans="20:20">
      <c r="T19705" s="10"/>
    </row>
    <row r="19706" spans="20:20">
      <c r="T19706" s="10"/>
    </row>
    <row r="19707" spans="20:20">
      <c r="T19707" s="10"/>
    </row>
    <row r="19708" spans="20:20">
      <c r="T19708" s="10"/>
    </row>
    <row r="19709" spans="20:20">
      <c r="T19709" s="10"/>
    </row>
    <row r="19710" spans="20:20">
      <c r="T19710" s="10"/>
    </row>
    <row r="19711" spans="20:20">
      <c r="T19711" s="10"/>
    </row>
    <row r="19712" spans="20:20">
      <c r="T19712" s="10"/>
    </row>
    <row r="19713" spans="20:20">
      <c r="T19713" s="10"/>
    </row>
    <row r="19714" spans="20:20">
      <c r="T19714" s="10"/>
    </row>
    <row r="19715" spans="20:20">
      <c r="T19715" s="10"/>
    </row>
    <row r="19716" spans="20:20">
      <c r="T19716" s="10"/>
    </row>
    <row r="19717" spans="20:20">
      <c r="T19717" s="10"/>
    </row>
    <row r="19718" spans="20:20">
      <c r="T19718" s="10"/>
    </row>
    <row r="19719" spans="20:20">
      <c r="T19719" s="10"/>
    </row>
    <row r="19720" spans="20:20">
      <c r="T19720" s="10"/>
    </row>
    <row r="19721" spans="20:20">
      <c r="T19721" s="10"/>
    </row>
    <row r="19722" spans="20:20">
      <c r="T19722" s="10"/>
    </row>
    <row r="19723" spans="20:20">
      <c r="T19723" s="10"/>
    </row>
    <row r="19724" spans="20:20">
      <c r="T19724" s="10"/>
    </row>
    <row r="19725" spans="20:20">
      <c r="T19725" s="10"/>
    </row>
    <row r="19726" spans="20:20">
      <c r="T19726" s="10"/>
    </row>
    <row r="19727" spans="20:20">
      <c r="T19727" s="10"/>
    </row>
    <row r="19728" spans="20:20">
      <c r="T19728" s="10"/>
    </row>
    <row r="19729" spans="20:20">
      <c r="T19729" s="10"/>
    </row>
    <row r="19730" spans="20:20">
      <c r="T19730" s="10"/>
    </row>
    <row r="19731" spans="20:20">
      <c r="T19731" s="10"/>
    </row>
    <row r="19732" spans="20:20">
      <c r="T19732" s="10"/>
    </row>
    <row r="19733" spans="20:20">
      <c r="T19733" s="10"/>
    </row>
    <row r="19734" spans="20:20">
      <c r="T19734" s="10"/>
    </row>
    <row r="19735" spans="20:20">
      <c r="T19735" s="10"/>
    </row>
    <row r="19736" spans="20:20">
      <c r="T19736" s="10"/>
    </row>
    <row r="19737" spans="20:20">
      <c r="T19737" s="10"/>
    </row>
    <row r="19738" spans="20:20">
      <c r="T19738" s="10"/>
    </row>
    <row r="19739" spans="20:20">
      <c r="T19739" s="10"/>
    </row>
    <row r="19740" spans="20:20">
      <c r="T19740" s="10"/>
    </row>
    <row r="19741" spans="20:20">
      <c r="T19741" s="10"/>
    </row>
    <row r="19742" spans="20:20">
      <c r="T19742" s="10"/>
    </row>
    <row r="19743" spans="20:20">
      <c r="T19743" s="10"/>
    </row>
    <row r="19744" spans="20:20">
      <c r="T19744" s="10"/>
    </row>
    <row r="19745" spans="20:20">
      <c r="T19745" s="10"/>
    </row>
    <row r="19746" spans="20:20">
      <c r="T19746" s="10"/>
    </row>
    <row r="19747" spans="20:20">
      <c r="T19747" s="10"/>
    </row>
    <row r="19748" spans="20:20">
      <c r="T19748" s="10"/>
    </row>
    <row r="19749" spans="20:20">
      <c r="T19749" s="10"/>
    </row>
    <row r="19750" spans="20:20">
      <c r="T19750" s="10"/>
    </row>
    <row r="19751" spans="20:20">
      <c r="T19751" s="10"/>
    </row>
    <row r="19752" spans="20:20">
      <c r="T19752" s="10"/>
    </row>
    <row r="19753" spans="20:20">
      <c r="T19753" s="10"/>
    </row>
    <row r="19754" spans="20:20">
      <c r="T19754" s="10"/>
    </row>
    <row r="19755" spans="20:20">
      <c r="T19755" s="10"/>
    </row>
    <row r="19756" spans="20:20">
      <c r="T19756" s="10"/>
    </row>
    <row r="19757" spans="20:20">
      <c r="T19757" s="10"/>
    </row>
    <row r="19758" spans="20:20">
      <c r="T19758" s="10"/>
    </row>
    <row r="19759" spans="20:20">
      <c r="T19759" s="10"/>
    </row>
    <row r="19760" spans="20:20">
      <c r="T19760" s="10"/>
    </row>
    <row r="19761" spans="20:20">
      <c r="T19761" s="10"/>
    </row>
    <row r="19762" spans="20:20">
      <c r="T19762" s="10"/>
    </row>
    <row r="19763" spans="20:20">
      <c r="T19763" s="10"/>
    </row>
    <row r="19764" spans="20:20">
      <c r="T19764" s="10"/>
    </row>
    <row r="19765" spans="20:20">
      <c r="T19765" s="10"/>
    </row>
    <row r="19766" spans="20:20">
      <c r="T19766" s="10"/>
    </row>
    <row r="19767" spans="20:20">
      <c r="T19767" s="10"/>
    </row>
    <row r="19768" spans="20:20">
      <c r="T19768" s="10"/>
    </row>
    <row r="19769" spans="20:20">
      <c r="T19769" s="10"/>
    </row>
    <row r="19770" spans="20:20">
      <c r="T19770" s="10"/>
    </row>
    <row r="19771" spans="20:20">
      <c r="T19771" s="10"/>
    </row>
    <row r="19772" spans="20:20">
      <c r="T19772" s="10"/>
    </row>
    <row r="19773" spans="20:20">
      <c r="T19773" s="10"/>
    </row>
    <row r="19774" spans="20:20">
      <c r="T19774" s="10"/>
    </row>
    <row r="19775" spans="20:20">
      <c r="T19775" s="10"/>
    </row>
    <row r="19776" spans="20:20">
      <c r="T19776" s="10"/>
    </row>
    <row r="19777" spans="20:20">
      <c r="T19777" s="10"/>
    </row>
    <row r="19778" spans="20:20">
      <c r="T19778" s="10"/>
    </row>
    <row r="19779" spans="20:20">
      <c r="T19779" s="10"/>
    </row>
    <row r="19780" spans="20:20">
      <c r="T19780" s="10"/>
    </row>
    <row r="19781" spans="20:20">
      <c r="T19781" s="10"/>
    </row>
    <row r="19782" spans="20:20">
      <c r="T19782" s="10"/>
    </row>
    <row r="19783" spans="20:20">
      <c r="T19783" s="10"/>
    </row>
    <row r="19784" spans="20:20">
      <c r="T19784" s="10"/>
    </row>
    <row r="19785" spans="20:20">
      <c r="T19785" s="10"/>
    </row>
    <row r="19786" spans="20:20">
      <c r="T19786" s="10"/>
    </row>
    <row r="19787" spans="20:20">
      <c r="T19787" s="10"/>
    </row>
    <row r="19788" spans="20:20">
      <c r="T19788" s="10"/>
    </row>
    <row r="19789" spans="20:20">
      <c r="T19789" s="10"/>
    </row>
    <row r="19790" spans="20:20">
      <c r="T19790" s="10"/>
    </row>
    <row r="19791" spans="20:20">
      <c r="T19791" s="10"/>
    </row>
    <row r="19792" spans="20:20">
      <c r="T19792" s="10"/>
    </row>
    <row r="19793" spans="20:20">
      <c r="T19793" s="10"/>
    </row>
    <row r="19794" spans="20:20">
      <c r="T19794" s="10"/>
    </row>
    <row r="19795" spans="20:20">
      <c r="T19795" s="10"/>
    </row>
    <row r="19796" spans="20:20">
      <c r="T19796" s="10"/>
    </row>
    <row r="19797" spans="20:20">
      <c r="T19797" s="10"/>
    </row>
    <row r="19798" spans="20:20">
      <c r="T19798" s="10"/>
    </row>
    <row r="19799" spans="20:20">
      <c r="T19799" s="10"/>
    </row>
    <row r="19800" spans="20:20">
      <c r="T19800" s="10"/>
    </row>
    <row r="19801" spans="20:20">
      <c r="T19801" s="10"/>
    </row>
    <row r="19802" spans="20:20">
      <c r="T19802" s="10"/>
    </row>
    <row r="19803" spans="20:20">
      <c r="T19803" s="10"/>
    </row>
    <row r="19804" spans="20:20">
      <c r="T19804" s="10"/>
    </row>
    <row r="19805" spans="20:20">
      <c r="T19805" s="10"/>
    </row>
    <row r="19806" spans="20:20">
      <c r="T19806" s="10"/>
    </row>
    <row r="19807" spans="20:20">
      <c r="T19807" s="10"/>
    </row>
    <row r="19808" spans="20:20">
      <c r="T19808" s="10"/>
    </row>
    <row r="19809" spans="20:20">
      <c r="T19809" s="10"/>
    </row>
    <row r="19810" spans="20:20">
      <c r="T19810" s="10"/>
    </row>
    <row r="19811" spans="20:20">
      <c r="T19811" s="10"/>
    </row>
    <row r="19812" spans="20:20">
      <c r="T19812" s="10"/>
    </row>
    <row r="19813" spans="20:20">
      <c r="T19813" s="10"/>
    </row>
    <row r="19814" spans="20:20">
      <c r="T19814" s="10"/>
    </row>
    <row r="19815" spans="20:20">
      <c r="T19815" s="10"/>
    </row>
    <row r="19816" spans="20:20">
      <c r="T19816" s="10"/>
    </row>
    <row r="19817" spans="20:20">
      <c r="T19817" s="10"/>
    </row>
    <row r="19818" spans="20:20">
      <c r="T19818" s="10"/>
    </row>
    <row r="19819" spans="20:20">
      <c r="T19819" s="10"/>
    </row>
    <row r="19820" spans="20:20">
      <c r="T19820" s="10"/>
    </row>
    <row r="19821" spans="20:20">
      <c r="T19821" s="10"/>
    </row>
    <row r="19822" spans="20:20">
      <c r="T19822" s="10"/>
    </row>
    <row r="19823" spans="20:20">
      <c r="T19823" s="10"/>
    </row>
    <row r="19824" spans="20:20">
      <c r="T19824" s="10"/>
    </row>
    <row r="19825" spans="20:20">
      <c r="T19825" s="10"/>
    </row>
    <row r="19826" spans="20:20">
      <c r="T19826" s="10"/>
    </row>
    <row r="19827" spans="20:20">
      <c r="T19827" s="10"/>
    </row>
    <row r="19828" spans="20:20">
      <c r="T19828" s="10"/>
    </row>
    <row r="19829" spans="20:20">
      <c r="T19829" s="10"/>
    </row>
    <row r="19830" spans="20:20">
      <c r="T19830" s="10"/>
    </row>
    <row r="19831" spans="20:20">
      <c r="T19831" s="10"/>
    </row>
    <row r="19832" spans="20:20">
      <c r="T19832" s="10"/>
    </row>
    <row r="19833" spans="20:20">
      <c r="T19833" s="10"/>
    </row>
    <row r="19834" spans="20:20">
      <c r="T19834" s="10"/>
    </row>
    <row r="19835" spans="20:20">
      <c r="T19835" s="10"/>
    </row>
    <row r="19836" spans="20:20">
      <c r="T19836" s="10"/>
    </row>
    <row r="19837" spans="20:20">
      <c r="T19837" s="10"/>
    </row>
    <row r="19838" spans="20:20">
      <c r="T19838" s="10"/>
    </row>
    <row r="19839" spans="20:20">
      <c r="T19839" s="10"/>
    </row>
    <row r="19840" spans="20:20">
      <c r="T19840" s="10"/>
    </row>
    <row r="19841" spans="20:20">
      <c r="T19841" s="10"/>
    </row>
    <row r="19842" spans="20:20">
      <c r="T19842" s="10"/>
    </row>
    <row r="19843" spans="20:20">
      <c r="T19843" s="10"/>
    </row>
    <row r="19844" spans="20:20">
      <c r="T19844" s="10"/>
    </row>
    <row r="19845" spans="20:20">
      <c r="T19845" s="10"/>
    </row>
    <row r="19846" spans="20:20">
      <c r="T19846" s="10"/>
    </row>
    <row r="19847" spans="20:20">
      <c r="T19847" s="10"/>
    </row>
    <row r="19848" spans="20:20">
      <c r="T19848" s="10"/>
    </row>
    <row r="19849" spans="20:20">
      <c r="T19849" s="10"/>
    </row>
    <row r="19850" spans="20:20">
      <c r="T19850" s="10"/>
    </row>
    <row r="19851" spans="20:20">
      <c r="T19851" s="10"/>
    </row>
    <row r="19852" spans="20:20">
      <c r="T19852" s="10"/>
    </row>
    <row r="19853" spans="20:20">
      <c r="T19853" s="10"/>
    </row>
    <row r="19854" spans="20:20">
      <c r="T19854" s="10"/>
    </row>
    <row r="19855" spans="20:20">
      <c r="T19855" s="10"/>
    </row>
    <row r="19856" spans="20:20">
      <c r="T19856" s="10"/>
    </row>
    <row r="19857" spans="20:20">
      <c r="T19857" s="10"/>
    </row>
    <row r="19858" spans="20:20">
      <c r="T19858" s="10"/>
    </row>
    <row r="19859" spans="20:20">
      <c r="T19859" s="10"/>
    </row>
    <row r="19860" spans="20:20">
      <c r="T19860" s="10"/>
    </row>
    <row r="19861" spans="20:20">
      <c r="T19861" s="10"/>
    </row>
    <row r="19862" spans="20:20">
      <c r="T19862" s="10"/>
    </row>
    <row r="19863" spans="20:20">
      <c r="T19863" s="10"/>
    </row>
    <row r="19864" spans="20:20">
      <c r="T19864" s="10"/>
    </row>
    <row r="19865" spans="20:20">
      <c r="T19865" s="10"/>
    </row>
    <row r="19866" spans="20:20">
      <c r="T19866" s="10"/>
    </row>
    <row r="19867" spans="20:20">
      <c r="T19867" s="10"/>
    </row>
    <row r="19868" spans="20:20">
      <c r="T19868" s="10"/>
    </row>
    <row r="19869" spans="20:20">
      <c r="T19869" s="10"/>
    </row>
    <row r="19870" spans="20:20">
      <c r="T19870" s="10"/>
    </row>
    <row r="19871" spans="20:20">
      <c r="T19871" s="10"/>
    </row>
    <row r="19872" spans="20:20">
      <c r="T19872" s="10"/>
    </row>
    <row r="19873" spans="20:20">
      <c r="T19873" s="10"/>
    </row>
    <row r="19874" spans="20:20">
      <c r="T19874" s="10"/>
    </row>
    <row r="19875" spans="20:20">
      <c r="T19875" s="10"/>
    </row>
    <row r="19876" spans="20:20">
      <c r="T19876" s="10"/>
    </row>
    <row r="19877" spans="20:20">
      <c r="T19877" s="10"/>
    </row>
    <row r="19878" spans="20:20">
      <c r="T19878" s="10"/>
    </row>
    <row r="19879" spans="20:20">
      <c r="T19879" s="10"/>
    </row>
    <row r="19880" spans="20:20">
      <c r="T19880" s="10"/>
    </row>
    <row r="19881" spans="20:20">
      <c r="T19881" s="10"/>
    </row>
    <row r="19882" spans="20:20">
      <c r="T19882" s="10"/>
    </row>
    <row r="19883" spans="20:20">
      <c r="T19883" s="10"/>
    </row>
    <row r="19884" spans="20:20">
      <c r="T19884" s="10"/>
    </row>
    <row r="19885" spans="20:20">
      <c r="T19885" s="10"/>
    </row>
    <row r="19886" spans="20:20">
      <c r="T19886" s="10"/>
    </row>
    <row r="19887" spans="20:20">
      <c r="T19887" s="10"/>
    </row>
    <row r="19888" spans="20:20">
      <c r="T19888" s="10"/>
    </row>
    <row r="19889" spans="20:20">
      <c r="T19889" s="10"/>
    </row>
    <row r="19890" spans="20:20">
      <c r="T19890" s="10"/>
    </row>
    <row r="19891" spans="20:20">
      <c r="T19891" s="10"/>
    </row>
    <row r="19892" spans="20:20">
      <c r="T19892" s="10"/>
    </row>
    <row r="19893" spans="20:20">
      <c r="T19893" s="10"/>
    </row>
    <row r="19894" spans="20:20">
      <c r="T19894" s="10"/>
    </row>
    <row r="19895" spans="20:20">
      <c r="T19895" s="10"/>
    </row>
    <row r="19896" spans="20:20">
      <c r="T19896" s="10"/>
    </row>
    <row r="19897" spans="20:20">
      <c r="T19897" s="10"/>
    </row>
    <row r="19898" spans="20:20">
      <c r="T19898" s="10"/>
    </row>
    <row r="19899" spans="20:20">
      <c r="T19899" s="10"/>
    </row>
    <row r="19900" spans="20:20">
      <c r="T19900" s="10"/>
    </row>
    <row r="19901" spans="20:20">
      <c r="T19901" s="10"/>
    </row>
    <row r="19902" spans="20:20">
      <c r="T19902" s="10"/>
    </row>
    <row r="19903" spans="20:20">
      <c r="T19903" s="10"/>
    </row>
    <row r="19904" spans="20:20">
      <c r="T19904" s="10"/>
    </row>
    <row r="19905" spans="20:20">
      <c r="T19905" s="10"/>
    </row>
    <row r="19906" spans="20:20">
      <c r="T19906" s="10"/>
    </row>
    <row r="19907" spans="20:20">
      <c r="T19907" s="10"/>
    </row>
    <row r="19908" spans="20:20">
      <c r="T19908" s="10"/>
    </row>
    <row r="19909" spans="20:20">
      <c r="T19909" s="10"/>
    </row>
    <row r="19910" spans="20:20">
      <c r="T19910" s="10"/>
    </row>
    <row r="19911" spans="20:20">
      <c r="T19911" s="10"/>
    </row>
    <row r="19912" spans="20:20">
      <c r="T19912" s="10"/>
    </row>
    <row r="19913" spans="20:20">
      <c r="T19913" s="10"/>
    </row>
    <row r="19914" spans="20:20">
      <c r="T19914" s="10"/>
    </row>
    <row r="19915" spans="20:20">
      <c r="T19915" s="10"/>
    </row>
    <row r="19916" spans="20:20">
      <c r="T19916" s="10"/>
    </row>
    <row r="19917" spans="20:20">
      <c r="T19917" s="10"/>
    </row>
    <row r="19918" spans="20:20">
      <c r="T19918" s="10"/>
    </row>
    <row r="19919" spans="20:20">
      <c r="T19919" s="10"/>
    </row>
    <row r="19920" spans="20:20">
      <c r="T19920" s="10"/>
    </row>
    <row r="19921" spans="20:20">
      <c r="T19921" s="10"/>
    </row>
    <row r="19922" spans="20:20">
      <c r="T19922" s="10"/>
    </row>
    <row r="19923" spans="20:20">
      <c r="T19923" s="10"/>
    </row>
    <row r="19924" spans="20:20">
      <c r="T19924" s="10"/>
    </row>
    <row r="19925" spans="20:20">
      <c r="T19925" s="10"/>
    </row>
    <row r="19926" spans="20:20">
      <c r="T19926" s="10"/>
    </row>
    <row r="19927" spans="20:20">
      <c r="T19927" s="10"/>
    </row>
    <row r="19928" spans="20:20">
      <c r="T19928" s="10"/>
    </row>
    <row r="19929" spans="20:20">
      <c r="T19929" s="10"/>
    </row>
    <row r="19930" spans="20:20">
      <c r="T19930" s="10"/>
    </row>
    <row r="19931" spans="20:20">
      <c r="T19931" s="10"/>
    </row>
    <row r="19932" spans="20:20">
      <c r="T19932" s="10"/>
    </row>
    <row r="19933" spans="20:20">
      <c r="T19933" s="10"/>
    </row>
    <row r="19934" spans="20:20">
      <c r="T19934" s="10"/>
    </row>
    <row r="19935" spans="20:20">
      <c r="T19935" s="10"/>
    </row>
    <row r="19936" spans="20:20">
      <c r="T19936" s="10"/>
    </row>
    <row r="19937" spans="20:20">
      <c r="T19937" s="10"/>
    </row>
    <row r="19938" spans="20:20">
      <c r="T19938" s="10"/>
    </row>
    <row r="19939" spans="20:20">
      <c r="T19939" s="10"/>
    </row>
    <row r="19940" spans="20:20">
      <c r="T19940" s="10"/>
    </row>
    <row r="19941" spans="20:20">
      <c r="T19941" s="10"/>
    </row>
    <row r="19942" spans="20:20">
      <c r="T19942" s="10"/>
    </row>
    <row r="19943" spans="20:20">
      <c r="T19943" s="10"/>
    </row>
    <row r="19944" spans="20:20">
      <c r="T19944" s="10"/>
    </row>
    <row r="19945" spans="20:20">
      <c r="T19945" s="10"/>
    </row>
    <row r="19946" spans="20:20">
      <c r="T19946" s="10"/>
    </row>
    <row r="19947" spans="20:20">
      <c r="T19947" s="10"/>
    </row>
    <row r="19948" spans="20:20">
      <c r="T19948" s="10"/>
    </row>
    <row r="19949" spans="20:20">
      <c r="T19949" s="10"/>
    </row>
    <row r="19950" spans="20:20">
      <c r="T19950" s="10"/>
    </row>
    <row r="19951" spans="20:20">
      <c r="T19951" s="10"/>
    </row>
    <row r="19952" spans="20:20">
      <c r="T19952" s="10"/>
    </row>
    <row r="19953" spans="20:20">
      <c r="T19953" s="10"/>
    </row>
    <row r="19954" spans="20:20">
      <c r="T19954" s="10"/>
    </row>
    <row r="19955" spans="20:20">
      <c r="T19955" s="10"/>
    </row>
    <row r="19956" spans="20:20">
      <c r="T19956" s="10"/>
    </row>
    <row r="19957" spans="20:20">
      <c r="T19957" s="10"/>
    </row>
    <row r="19958" spans="20:20">
      <c r="T19958" s="10"/>
    </row>
    <row r="19959" spans="20:20">
      <c r="T19959" s="10"/>
    </row>
    <row r="19960" spans="20:20">
      <c r="T19960" s="10"/>
    </row>
    <row r="19961" spans="20:20">
      <c r="T19961" s="10"/>
    </row>
    <row r="19962" spans="20:20">
      <c r="T19962" s="10"/>
    </row>
    <row r="19963" spans="20:20">
      <c r="T19963" s="10"/>
    </row>
    <row r="19964" spans="20:20">
      <c r="T19964" s="10"/>
    </row>
    <row r="19965" spans="20:20">
      <c r="T19965" s="10"/>
    </row>
    <row r="19966" spans="20:20">
      <c r="T19966" s="10"/>
    </row>
    <row r="19967" spans="20:20">
      <c r="T19967" s="10"/>
    </row>
    <row r="19968" spans="20:20">
      <c r="T19968" s="10"/>
    </row>
    <row r="19969" spans="20:20">
      <c r="T19969" s="10"/>
    </row>
    <row r="19970" spans="20:20">
      <c r="T19970" s="10"/>
    </row>
    <row r="19971" spans="20:20">
      <c r="T19971" s="10"/>
    </row>
    <row r="19972" spans="20:20">
      <c r="T19972" s="10"/>
    </row>
    <row r="19973" spans="20:20">
      <c r="T19973" s="10"/>
    </row>
    <row r="19974" spans="20:20">
      <c r="T19974" s="10"/>
    </row>
    <row r="19975" spans="20:20">
      <c r="T19975" s="10"/>
    </row>
    <row r="19976" spans="20:20">
      <c r="T19976" s="10"/>
    </row>
    <row r="19977" spans="20:20">
      <c r="T19977" s="10"/>
    </row>
    <row r="19978" spans="20:20">
      <c r="T19978" s="10"/>
    </row>
    <row r="19979" spans="20:20">
      <c r="T19979" s="10"/>
    </row>
    <row r="19980" spans="20:20">
      <c r="T19980" s="10"/>
    </row>
    <row r="19981" spans="20:20">
      <c r="T19981" s="10"/>
    </row>
    <row r="19982" spans="20:20">
      <c r="T19982" s="10"/>
    </row>
    <row r="19983" spans="20:20">
      <c r="T19983" s="10"/>
    </row>
    <row r="19984" spans="20:20">
      <c r="T19984" s="10"/>
    </row>
    <row r="19985" spans="20:20">
      <c r="T19985" s="10"/>
    </row>
    <row r="19986" spans="20:20">
      <c r="T19986" s="10"/>
    </row>
    <row r="19987" spans="20:20">
      <c r="T19987" s="10"/>
    </row>
    <row r="19988" spans="20:20">
      <c r="T19988" s="10"/>
    </row>
    <row r="19989" spans="20:20">
      <c r="T19989" s="10"/>
    </row>
    <row r="19990" spans="20:20">
      <c r="T19990" s="10"/>
    </row>
    <row r="19991" spans="20:20">
      <c r="T19991" s="10"/>
    </row>
    <row r="19992" spans="20:20">
      <c r="T19992" s="10"/>
    </row>
    <row r="19993" spans="20:20">
      <c r="T19993" s="10"/>
    </row>
    <row r="19994" spans="20:20">
      <c r="T19994" s="10"/>
    </row>
    <row r="19995" spans="20:20">
      <c r="T19995" s="10"/>
    </row>
    <row r="19996" spans="20:20">
      <c r="T19996" s="10"/>
    </row>
    <row r="19997" spans="20:20">
      <c r="T19997" s="10"/>
    </row>
    <row r="19998" spans="20:20">
      <c r="T19998" s="10"/>
    </row>
    <row r="19999" spans="20:20">
      <c r="T19999" s="10"/>
    </row>
    <row r="20000" spans="20:20">
      <c r="T20000" s="10"/>
    </row>
    <row r="20001" spans="20:20">
      <c r="T20001" s="10"/>
    </row>
    <row r="20002" spans="20:20">
      <c r="T20002" s="10"/>
    </row>
    <row r="20003" spans="20:20">
      <c r="T20003" s="10"/>
    </row>
    <row r="20004" spans="20:20">
      <c r="T20004" s="10"/>
    </row>
    <row r="20005" spans="20:20">
      <c r="T20005" s="10"/>
    </row>
    <row r="20006" spans="20:20">
      <c r="T20006" s="10"/>
    </row>
    <row r="20007" spans="20:20">
      <c r="T20007" s="10"/>
    </row>
    <row r="20008" spans="20:20">
      <c r="T20008" s="10"/>
    </row>
    <row r="20009" spans="20:20">
      <c r="T20009" s="10"/>
    </row>
    <row r="20010" spans="20:20">
      <c r="T20010" s="10"/>
    </row>
    <row r="20011" spans="20:20">
      <c r="T20011" s="10"/>
    </row>
    <row r="20012" spans="20:20">
      <c r="T20012" s="10"/>
    </row>
    <row r="20013" spans="20:20">
      <c r="T20013" s="10"/>
    </row>
    <row r="20014" spans="20:20">
      <c r="T20014" s="10"/>
    </row>
    <row r="20015" spans="20:20">
      <c r="T20015" s="10"/>
    </row>
    <row r="20016" spans="20:20">
      <c r="T20016" s="10"/>
    </row>
    <row r="20017" spans="20:20">
      <c r="T20017" s="10"/>
    </row>
    <row r="20018" spans="20:20">
      <c r="T20018" s="10"/>
    </row>
    <row r="20019" spans="20:20">
      <c r="T20019" s="10"/>
    </row>
    <row r="20020" spans="20:20">
      <c r="T20020" s="10"/>
    </row>
    <row r="20021" spans="20:20">
      <c r="T20021" s="10"/>
    </row>
    <row r="20022" spans="20:20">
      <c r="T20022" s="10"/>
    </row>
    <row r="20023" spans="20:20">
      <c r="T20023" s="10"/>
    </row>
    <row r="20024" spans="20:20">
      <c r="T20024" s="10"/>
    </row>
    <row r="20025" spans="20:20">
      <c r="T20025" s="10"/>
    </row>
    <row r="20026" spans="20:20">
      <c r="T20026" s="10"/>
    </row>
    <row r="20027" spans="20:20">
      <c r="T20027" s="10"/>
    </row>
    <row r="20028" spans="20:20">
      <c r="T20028" s="10"/>
    </row>
    <row r="20029" spans="20:20">
      <c r="T20029" s="10"/>
    </row>
    <row r="20030" spans="20:20">
      <c r="T20030" s="10"/>
    </row>
    <row r="20031" spans="20:20">
      <c r="T20031" s="10"/>
    </row>
    <row r="20032" spans="20:20">
      <c r="T20032" s="10"/>
    </row>
    <row r="20033" spans="20:20">
      <c r="T20033" s="10"/>
    </row>
    <row r="20034" spans="20:20">
      <c r="T20034" s="10"/>
    </row>
    <row r="20035" spans="20:20">
      <c r="T20035" s="10"/>
    </row>
    <row r="20036" spans="20:20">
      <c r="T20036" s="10"/>
    </row>
    <row r="20037" spans="20:20">
      <c r="T20037" s="10"/>
    </row>
    <row r="20038" spans="20:20">
      <c r="T20038" s="10"/>
    </row>
    <row r="20039" spans="20:20">
      <c r="T20039" s="10"/>
    </row>
    <row r="20040" spans="20:20">
      <c r="T20040" s="10"/>
    </row>
    <row r="20041" spans="20:20">
      <c r="T20041" s="10"/>
    </row>
    <row r="20042" spans="20:20">
      <c r="T20042" s="10"/>
    </row>
    <row r="20043" spans="20:20">
      <c r="T20043" s="10"/>
    </row>
    <row r="20044" spans="20:20">
      <c r="T20044" s="10"/>
    </row>
    <row r="20045" spans="20:20">
      <c r="T20045" s="10"/>
    </row>
    <row r="20046" spans="20:20">
      <c r="T20046" s="10"/>
    </row>
    <row r="20047" spans="20:20">
      <c r="T20047" s="10"/>
    </row>
    <row r="20048" spans="20:20">
      <c r="T20048" s="10"/>
    </row>
    <row r="20049" spans="20:20">
      <c r="T20049" s="10"/>
    </row>
    <row r="20050" spans="20:20">
      <c r="T20050" s="10"/>
    </row>
    <row r="20051" spans="20:20">
      <c r="T20051" s="10"/>
    </row>
    <row r="20052" spans="20:20">
      <c r="T20052" s="10"/>
    </row>
    <row r="20053" spans="20:20">
      <c r="T20053" s="10"/>
    </row>
    <row r="20054" spans="20:20">
      <c r="T20054" s="10"/>
    </row>
    <row r="20055" spans="20:20">
      <c r="T20055" s="10"/>
    </row>
    <row r="20056" spans="20:20">
      <c r="T20056" s="10"/>
    </row>
    <row r="20057" spans="20:20">
      <c r="T20057" s="10"/>
    </row>
    <row r="20058" spans="20:20">
      <c r="T20058" s="10"/>
    </row>
    <row r="20059" spans="20:20">
      <c r="T20059" s="10"/>
    </row>
    <row r="20060" spans="20:20">
      <c r="T20060" s="10"/>
    </row>
    <row r="20061" spans="20:20">
      <c r="T20061" s="10"/>
    </row>
    <row r="20062" spans="20:20">
      <c r="T20062" s="10"/>
    </row>
    <row r="20063" spans="20:20">
      <c r="T20063" s="10"/>
    </row>
    <row r="20064" spans="20:20">
      <c r="T20064" s="10"/>
    </row>
    <row r="20065" spans="20:20">
      <c r="T20065" s="10"/>
    </row>
    <row r="20066" spans="20:20">
      <c r="T20066" s="10"/>
    </row>
    <row r="20067" spans="20:20">
      <c r="T20067" s="10"/>
    </row>
    <row r="20068" spans="20:20">
      <c r="T20068" s="10"/>
    </row>
    <row r="20069" spans="20:20">
      <c r="T20069" s="10"/>
    </row>
    <row r="20070" spans="20:20">
      <c r="T20070" s="10"/>
    </row>
    <row r="20071" spans="20:20">
      <c r="T20071" s="10"/>
    </row>
    <row r="20072" spans="20:20">
      <c r="T20072" s="10"/>
    </row>
    <row r="20073" spans="20:20">
      <c r="T20073" s="10"/>
    </row>
    <row r="20074" spans="20:20">
      <c r="T20074" s="10"/>
    </row>
    <row r="20075" spans="20:20">
      <c r="T20075" s="10"/>
    </row>
    <row r="20076" spans="20:20">
      <c r="T20076" s="10"/>
    </row>
    <row r="20077" spans="20:20">
      <c r="T20077" s="10"/>
    </row>
    <row r="20078" spans="20:20">
      <c r="T20078" s="10"/>
    </row>
    <row r="20079" spans="20:20">
      <c r="T20079" s="10"/>
    </row>
    <row r="20080" spans="20:20">
      <c r="T20080" s="10"/>
    </row>
    <row r="20081" spans="20:20">
      <c r="T20081" s="10"/>
    </row>
    <row r="20082" spans="20:20">
      <c r="T20082" s="10"/>
    </row>
    <row r="20083" spans="20:20">
      <c r="T20083" s="10"/>
    </row>
    <row r="20084" spans="20:20">
      <c r="T20084" s="10"/>
    </row>
    <row r="20085" spans="20:20">
      <c r="T20085" s="10"/>
    </row>
    <row r="20086" spans="20:20">
      <c r="T20086" s="10"/>
    </row>
    <row r="20087" spans="20:20">
      <c r="T20087" s="10"/>
    </row>
    <row r="20088" spans="20:20">
      <c r="T20088" s="10"/>
    </row>
    <row r="20089" spans="20:20">
      <c r="T20089" s="10"/>
    </row>
    <row r="20090" spans="20:20">
      <c r="T20090" s="10"/>
    </row>
    <row r="20091" spans="20:20">
      <c r="T20091" s="10"/>
    </row>
    <row r="20092" spans="20:20">
      <c r="T20092" s="10"/>
    </row>
    <row r="20093" spans="20:20">
      <c r="T20093" s="10"/>
    </row>
    <row r="20094" spans="20:20">
      <c r="T20094" s="10"/>
    </row>
    <row r="20095" spans="20:20">
      <c r="T20095" s="10"/>
    </row>
    <row r="20096" spans="20:20">
      <c r="T20096" s="10"/>
    </row>
    <row r="20097" spans="20:20">
      <c r="T20097" s="10"/>
    </row>
    <row r="20098" spans="20:20">
      <c r="T20098" s="10"/>
    </row>
    <row r="20099" spans="20:20">
      <c r="T20099" s="10"/>
    </row>
    <row r="20100" spans="20:20">
      <c r="T20100" s="10"/>
    </row>
    <row r="20101" spans="20:20">
      <c r="T20101" s="10"/>
    </row>
    <row r="20102" spans="20:20">
      <c r="T20102" s="10"/>
    </row>
    <row r="20103" spans="20:20">
      <c r="T20103" s="10"/>
    </row>
    <row r="20104" spans="20:20">
      <c r="T20104" s="10"/>
    </row>
    <row r="20105" spans="20:20">
      <c r="T20105" s="10"/>
    </row>
    <row r="20106" spans="20:20">
      <c r="T20106" s="10"/>
    </row>
    <row r="20107" spans="20:20">
      <c r="T20107" s="10"/>
    </row>
    <row r="20108" spans="20:20">
      <c r="T20108" s="10"/>
    </row>
    <row r="20109" spans="20:20">
      <c r="T20109" s="10"/>
    </row>
    <row r="20110" spans="20:20">
      <c r="T20110" s="10"/>
    </row>
    <row r="20111" spans="20:20">
      <c r="T20111" s="10"/>
    </row>
    <row r="20112" spans="20:20">
      <c r="T20112" s="10"/>
    </row>
    <row r="20113" spans="20:20">
      <c r="T20113" s="10"/>
    </row>
    <row r="20114" spans="20:20">
      <c r="T20114" s="10"/>
    </row>
    <row r="20115" spans="20:20">
      <c r="T20115" s="10"/>
    </row>
    <row r="20116" spans="20:20">
      <c r="T20116" s="10"/>
    </row>
    <row r="20117" spans="20:20">
      <c r="T20117" s="10"/>
    </row>
    <row r="20118" spans="20:20">
      <c r="T20118" s="10"/>
    </row>
    <row r="20119" spans="20:20">
      <c r="T20119" s="10"/>
    </row>
    <row r="20120" spans="20:20">
      <c r="T20120" s="10"/>
    </row>
    <row r="20121" spans="20:20">
      <c r="T20121" s="10"/>
    </row>
    <row r="20122" spans="20:20">
      <c r="T20122" s="10"/>
    </row>
    <row r="20123" spans="20:20">
      <c r="T20123" s="10"/>
    </row>
    <row r="20124" spans="20:20">
      <c r="T20124" s="10"/>
    </row>
    <row r="20125" spans="20:20">
      <c r="T20125" s="10"/>
    </row>
    <row r="20126" spans="20:20">
      <c r="T20126" s="10"/>
    </row>
    <row r="20127" spans="20:20">
      <c r="T20127" s="10"/>
    </row>
    <row r="20128" spans="20:20">
      <c r="T20128" s="10"/>
    </row>
    <row r="20129" spans="20:20">
      <c r="T20129" s="10"/>
    </row>
    <row r="20130" spans="20:20">
      <c r="T20130" s="10"/>
    </row>
    <row r="20131" spans="20:20">
      <c r="T20131" s="10"/>
    </row>
    <row r="20132" spans="20:20">
      <c r="T20132" s="10"/>
    </row>
    <row r="20133" spans="20:20">
      <c r="T20133" s="10"/>
    </row>
    <row r="20134" spans="20:20">
      <c r="T20134" s="10"/>
    </row>
    <row r="20135" spans="20:20">
      <c r="T20135" s="10"/>
    </row>
    <row r="20136" spans="20:20">
      <c r="T20136" s="10"/>
    </row>
    <row r="20137" spans="20:20">
      <c r="T20137" s="10"/>
    </row>
    <row r="20138" spans="20:20">
      <c r="T20138" s="10"/>
    </row>
    <row r="20139" spans="20:20">
      <c r="T20139" s="10"/>
    </row>
    <row r="20140" spans="20:20">
      <c r="T20140" s="10"/>
    </row>
    <row r="20141" spans="20:20">
      <c r="T20141" s="10"/>
    </row>
    <row r="20142" spans="20:20">
      <c r="T20142" s="10"/>
    </row>
    <row r="20143" spans="20:20">
      <c r="T20143" s="10"/>
    </row>
    <row r="20144" spans="20:20">
      <c r="T20144" s="10"/>
    </row>
    <row r="20145" spans="20:20">
      <c r="T20145" s="10"/>
    </row>
    <row r="20146" spans="20:20">
      <c r="T20146" s="10"/>
    </row>
    <row r="20147" spans="20:20">
      <c r="T20147" s="10"/>
    </row>
    <row r="20148" spans="20:20">
      <c r="T20148" s="10"/>
    </row>
    <row r="20149" spans="20:20">
      <c r="T20149" s="10"/>
    </row>
    <row r="20150" spans="20:20">
      <c r="T20150" s="10"/>
    </row>
    <row r="20151" spans="20:20">
      <c r="T20151" s="10"/>
    </row>
    <row r="20152" spans="20:20">
      <c r="T20152" s="10"/>
    </row>
    <row r="20153" spans="20:20">
      <c r="T20153" s="10"/>
    </row>
    <row r="20154" spans="20:20">
      <c r="T20154" s="10"/>
    </row>
    <row r="20155" spans="20:20">
      <c r="T20155" s="10"/>
    </row>
    <row r="20156" spans="20:20">
      <c r="T20156" s="10"/>
    </row>
    <row r="20157" spans="20:20">
      <c r="T20157" s="10"/>
    </row>
    <row r="20158" spans="20:20">
      <c r="T20158" s="10"/>
    </row>
    <row r="20159" spans="20:20">
      <c r="T20159" s="10"/>
    </row>
    <row r="20160" spans="20:20">
      <c r="T20160" s="10"/>
    </row>
    <row r="20161" spans="20:20">
      <c r="T20161" s="10"/>
    </row>
    <row r="20162" spans="20:20">
      <c r="T20162" s="10"/>
    </row>
    <row r="20163" spans="20:20">
      <c r="T20163" s="10"/>
    </row>
    <row r="20164" spans="20:20">
      <c r="T20164" s="10"/>
    </row>
    <row r="20165" spans="20:20">
      <c r="T20165" s="10"/>
    </row>
    <row r="20166" spans="20:20">
      <c r="T20166" s="10"/>
    </row>
    <row r="20167" spans="20:20">
      <c r="T20167" s="10"/>
    </row>
    <row r="20168" spans="20:20">
      <c r="T20168" s="10"/>
    </row>
    <row r="20169" spans="20:20">
      <c r="T20169" s="10"/>
    </row>
    <row r="20170" spans="20:20">
      <c r="T20170" s="10"/>
    </row>
    <row r="20171" spans="20:20">
      <c r="T20171" s="10"/>
    </row>
    <row r="20172" spans="20:20">
      <c r="T20172" s="10"/>
    </row>
    <row r="20173" spans="20:20">
      <c r="T20173" s="10"/>
    </row>
    <row r="20174" spans="20:20">
      <c r="T20174" s="10"/>
    </row>
    <row r="20175" spans="20:20">
      <c r="T20175" s="10"/>
    </row>
    <row r="20176" spans="20:20">
      <c r="T20176" s="10"/>
    </row>
    <row r="20177" spans="20:20">
      <c r="T20177" s="10"/>
    </row>
    <row r="20178" spans="20:20">
      <c r="T20178" s="10"/>
    </row>
    <row r="20179" spans="20:20">
      <c r="T20179" s="10"/>
    </row>
    <row r="20180" spans="20:20">
      <c r="T20180" s="10"/>
    </row>
    <row r="20181" spans="20:20">
      <c r="T20181" s="10"/>
    </row>
    <row r="20182" spans="20:20">
      <c r="T20182" s="10"/>
    </row>
    <row r="20183" spans="20:20">
      <c r="T20183" s="10"/>
    </row>
    <row r="20184" spans="20:20">
      <c r="T20184" s="10"/>
    </row>
    <row r="20185" spans="20:20">
      <c r="T20185" s="10"/>
    </row>
    <row r="20186" spans="20:20">
      <c r="T20186" s="10"/>
    </row>
    <row r="20187" spans="20:20">
      <c r="T20187" s="10"/>
    </row>
    <row r="20188" spans="20:20">
      <c r="T20188" s="10"/>
    </row>
    <row r="20189" spans="20:20">
      <c r="T20189" s="10"/>
    </row>
    <row r="20190" spans="20:20">
      <c r="T20190" s="10"/>
    </row>
    <row r="20191" spans="20:20">
      <c r="T20191" s="10"/>
    </row>
    <row r="20192" spans="20:20">
      <c r="T20192" s="10"/>
    </row>
    <row r="20193" spans="20:20">
      <c r="T20193" s="10"/>
    </row>
    <row r="20194" spans="20:20">
      <c r="T20194" s="10"/>
    </row>
    <row r="20195" spans="20:20">
      <c r="T20195" s="10"/>
    </row>
    <row r="20196" spans="20:20">
      <c r="T20196" s="10"/>
    </row>
    <row r="20197" spans="20:20">
      <c r="T20197" s="10"/>
    </row>
    <row r="20198" spans="20:20">
      <c r="T20198" s="10"/>
    </row>
    <row r="20199" spans="20:20">
      <c r="T20199" s="10"/>
    </row>
    <row r="20200" spans="20:20">
      <c r="T20200" s="10"/>
    </row>
    <row r="20201" spans="20:20">
      <c r="T20201" s="10"/>
    </row>
    <row r="20202" spans="20:20">
      <c r="T20202" s="10"/>
    </row>
    <row r="20203" spans="20:20">
      <c r="T20203" s="10"/>
    </row>
    <row r="20204" spans="20:20">
      <c r="T20204" s="10"/>
    </row>
    <row r="20205" spans="20:20">
      <c r="T20205" s="10"/>
    </row>
    <row r="20206" spans="20:20">
      <c r="T20206" s="10"/>
    </row>
    <row r="20207" spans="20:20">
      <c r="T20207" s="10"/>
    </row>
    <row r="20208" spans="20:20">
      <c r="T20208" s="10"/>
    </row>
    <row r="20209" spans="20:20">
      <c r="T20209" s="10"/>
    </row>
    <row r="20210" spans="20:20">
      <c r="T20210" s="10"/>
    </row>
    <row r="20211" spans="20:20">
      <c r="T20211" s="10"/>
    </row>
    <row r="20212" spans="20:20">
      <c r="T20212" s="10"/>
    </row>
    <row r="20213" spans="20:20">
      <c r="T20213" s="10"/>
    </row>
    <row r="20214" spans="20:20">
      <c r="T20214" s="10"/>
    </row>
    <row r="20215" spans="20:20">
      <c r="T20215" s="10"/>
    </row>
    <row r="20216" spans="20:20">
      <c r="T20216" s="10"/>
    </row>
    <row r="20217" spans="20:20">
      <c r="T20217" s="10"/>
    </row>
    <row r="20218" spans="20:20">
      <c r="T20218" s="10"/>
    </row>
    <row r="20219" spans="20:20">
      <c r="T20219" s="10"/>
    </row>
    <row r="20220" spans="20:20">
      <c r="T20220" s="10"/>
    </row>
    <row r="20221" spans="20:20">
      <c r="T20221" s="10"/>
    </row>
    <row r="20222" spans="20:20">
      <c r="T20222" s="10"/>
    </row>
    <row r="20223" spans="20:20">
      <c r="T20223" s="10"/>
    </row>
    <row r="20224" spans="20:20">
      <c r="T20224" s="10"/>
    </row>
    <row r="20225" spans="20:20">
      <c r="T20225" s="10"/>
    </row>
    <row r="20226" spans="20:20">
      <c r="T20226" s="10"/>
    </row>
    <row r="20227" spans="20:20">
      <c r="T20227" s="10"/>
    </row>
    <row r="20228" spans="20:20">
      <c r="T20228" s="10"/>
    </row>
    <row r="20229" spans="20:20">
      <c r="T20229" s="10"/>
    </row>
    <row r="20230" spans="20:20">
      <c r="T20230" s="10"/>
    </row>
    <row r="20231" spans="20:20">
      <c r="T20231" s="10"/>
    </row>
    <row r="20232" spans="20:20">
      <c r="T20232" s="10"/>
    </row>
    <row r="20233" spans="20:20">
      <c r="T20233" s="10"/>
    </row>
    <row r="20234" spans="20:20">
      <c r="T20234" s="10"/>
    </row>
    <row r="20235" spans="20:20">
      <c r="T20235" s="10"/>
    </row>
    <row r="20236" spans="20:20">
      <c r="T20236" s="10"/>
    </row>
    <row r="20237" spans="20:20">
      <c r="T20237" s="10"/>
    </row>
    <row r="20238" spans="20:20">
      <c r="T20238" s="10"/>
    </row>
    <row r="20239" spans="20:20">
      <c r="T20239" s="10"/>
    </row>
    <row r="20240" spans="20:20">
      <c r="T20240" s="10"/>
    </row>
    <row r="20241" spans="20:20">
      <c r="T20241" s="10"/>
    </row>
    <row r="20242" spans="20:20">
      <c r="T20242" s="10"/>
    </row>
    <row r="20243" spans="20:20">
      <c r="T20243" s="10"/>
    </row>
    <row r="20244" spans="20:20">
      <c r="T20244" s="10"/>
    </row>
    <row r="20245" spans="20:20">
      <c r="T20245" s="10"/>
    </row>
    <row r="20246" spans="20:20">
      <c r="T20246" s="10"/>
    </row>
    <row r="20247" spans="20:20">
      <c r="T20247" s="10"/>
    </row>
    <row r="20248" spans="20:20">
      <c r="T20248" s="10"/>
    </row>
    <row r="20249" spans="20:20">
      <c r="T20249" s="10"/>
    </row>
    <row r="20250" spans="20:20">
      <c r="T20250" s="10"/>
    </row>
    <row r="20251" spans="20:20">
      <c r="T20251" s="10"/>
    </row>
    <row r="20252" spans="20:20">
      <c r="T20252" s="10"/>
    </row>
    <row r="20253" spans="20:20">
      <c r="T20253" s="10"/>
    </row>
    <row r="20254" spans="20:20">
      <c r="T20254" s="10"/>
    </row>
    <row r="20255" spans="20:20">
      <c r="T20255" s="10"/>
    </row>
    <row r="20256" spans="20:20">
      <c r="T20256" s="10"/>
    </row>
    <row r="20257" spans="20:20">
      <c r="T20257" s="10"/>
    </row>
    <row r="20258" spans="20:20">
      <c r="T20258" s="10"/>
    </row>
    <row r="20259" spans="20:20">
      <c r="T20259" s="10"/>
    </row>
    <row r="20260" spans="20:20">
      <c r="T20260" s="10"/>
    </row>
    <row r="20261" spans="20:20">
      <c r="T20261" s="10"/>
    </row>
    <row r="20262" spans="20:20">
      <c r="T20262" s="10"/>
    </row>
    <row r="20263" spans="20:20">
      <c r="T20263" s="10"/>
    </row>
    <row r="20264" spans="20:20">
      <c r="T20264" s="10"/>
    </row>
    <row r="20265" spans="20:20">
      <c r="T20265" s="10"/>
    </row>
    <row r="20266" spans="20:20">
      <c r="T20266" s="10"/>
    </row>
    <row r="20267" spans="20:20">
      <c r="T20267" s="10"/>
    </row>
    <row r="20268" spans="20:20">
      <c r="T20268" s="10"/>
    </row>
    <row r="20269" spans="20:20">
      <c r="T20269" s="10"/>
    </row>
    <row r="20270" spans="20:20">
      <c r="T20270" s="10"/>
    </row>
    <row r="20271" spans="20:20">
      <c r="T20271" s="10"/>
    </row>
    <row r="20272" spans="20:20">
      <c r="T20272" s="10"/>
    </row>
    <row r="20273" spans="20:20">
      <c r="T20273" s="10"/>
    </row>
    <row r="20274" spans="20:20">
      <c r="T20274" s="10"/>
    </row>
    <row r="20275" spans="20:20">
      <c r="T20275" s="10"/>
    </row>
    <row r="20276" spans="20:20">
      <c r="T20276" s="10"/>
    </row>
    <row r="20277" spans="20:20">
      <c r="T20277" s="10"/>
    </row>
    <row r="20278" spans="20:20">
      <c r="T20278" s="10"/>
    </row>
    <row r="20279" spans="20:20">
      <c r="T20279" s="10"/>
    </row>
    <row r="20280" spans="20:20">
      <c r="T20280" s="10"/>
    </row>
    <row r="20281" spans="20:20">
      <c r="T20281" s="10"/>
    </row>
    <row r="20282" spans="20:20">
      <c r="T20282" s="10"/>
    </row>
    <row r="20283" spans="20:20">
      <c r="T20283" s="10"/>
    </row>
    <row r="20284" spans="20:20">
      <c r="T20284" s="10"/>
    </row>
    <row r="20285" spans="20:20">
      <c r="T20285" s="10"/>
    </row>
    <row r="20286" spans="20:20">
      <c r="T20286" s="10"/>
    </row>
    <row r="20287" spans="20:20">
      <c r="T20287" s="10"/>
    </row>
    <row r="20288" spans="20:20">
      <c r="T20288" s="10"/>
    </row>
    <row r="20289" spans="20:20">
      <c r="T20289" s="10"/>
    </row>
    <row r="20290" spans="20:20">
      <c r="T20290" s="10"/>
    </row>
    <row r="20291" spans="20:20">
      <c r="T20291" s="10"/>
    </row>
    <row r="20292" spans="20:20">
      <c r="T20292" s="10"/>
    </row>
    <row r="20293" spans="20:20">
      <c r="T20293" s="10"/>
    </row>
    <row r="20294" spans="20:20">
      <c r="T20294" s="10"/>
    </row>
    <row r="20295" spans="20:20">
      <c r="T20295" s="10"/>
    </row>
    <row r="20296" spans="20:20">
      <c r="T20296" s="10"/>
    </row>
    <row r="20297" spans="20:20">
      <c r="T20297" s="10"/>
    </row>
    <row r="20298" spans="20:20">
      <c r="T20298" s="10"/>
    </row>
    <row r="20299" spans="20:20">
      <c r="T20299" s="10"/>
    </row>
    <row r="20300" spans="20:20">
      <c r="T20300" s="10"/>
    </row>
    <row r="20301" spans="20:20">
      <c r="T20301" s="10"/>
    </row>
    <row r="20302" spans="20:20">
      <c r="T20302" s="10"/>
    </row>
    <row r="20303" spans="20:20">
      <c r="T20303" s="10"/>
    </row>
    <row r="20304" spans="20:20">
      <c r="T20304" s="10"/>
    </row>
    <row r="20305" spans="20:20">
      <c r="T20305" s="10"/>
    </row>
    <row r="20306" spans="20:20">
      <c r="T20306" s="10"/>
    </row>
    <row r="20307" spans="20:20">
      <c r="T20307" s="10"/>
    </row>
    <row r="20308" spans="20:20">
      <c r="T20308" s="10"/>
    </row>
    <row r="20309" spans="20:20">
      <c r="T20309" s="10"/>
    </row>
    <row r="20310" spans="20:20">
      <c r="T20310" s="10"/>
    </row>
    <row r="20311" spans="20:20">
      <c r="T20311" s="10"/>
    </row>
    <row r="20312" spans="20:20">
      <c r="T20312" s="10"/>
    </row>
    <row r="20313" spans="20:20">
      <c r="T20313" s="10"/>
    </row>
    <row r="20314" spans="20:20">
      <c r="T20314" s="10"/>
    </row>
    <row r="20315" spans="20:20">
      <c r="T20315" s="10"/>
    </row>
    <row r="20316" spans="20:20">
      <c r="T20316" s="10"/>
    </row>
    <row r="20317" spans="20:20">
      <c r="T20317" s="10"/>
    </row>
    <row r="20318" spans="20:20">
      <c r="T20318" s="10"/>
    </row>
    <row r="20319" spans="20:20">
      <c r="T20319" s="10"/>
    </row>
    <row r="20320" spans="20:20">
      <c r="T20320" s="10"/>
    </row>
    <row r="20321" spans="20:20">
      <c r="T20321" s="10"/>
    </row>
    <row r="20322" spans="20:20">
      <c r="T20322" s="10"/>
    </row>
    <row r="20323" spans="20:20">
      <c r="T20323" s="10"/>
    </row>
    <row r="20324" spans="20:20">
      <c r="T20324" s="10"/>
    </row>
    <row r="20325" spans="20:20">
      <c r="T20325" s="10"/>
    </row>
    <row r="20326" spans="20:20">
      <c r="T20326" s="10"/>
    </row>
    <row r="20327" spans="20:20">
      <c r="T20327" s="10"/>
    </row>
    <row r="20328" spans="20:20">
      <c r="T20328" s="10"/>
    </row>
    <row r="20329" spans="20:20">
      <c r="T20329" s="10"/>
    </row>
    <row r="20330" spans="20:20">
      <c r="T20330" s="10"/>
    </row>
    <row r="20331" spans="20:20">
      <c r="T20331" s="10"/>
    </row>
    <row r="20332" spans="20:20">
      <c r="T20332" s="10"/>
    </row>
    <row r="20333" spans="20:20">
      <c r="T20333" s="10"/>
    </row>
    <row r="20334" spans="20:20">
      <c r="T20334" s="10"/>
    </row>
    <row r="20335" spans="20:20">
      <c r="T20335" s="10"/>
    </row>
    <row r="20336" spans="20:20">
      <c r="T20336" s="10"/>
    </row>
    <row r="20337" spans="20:20">
      <c r="T20337" s="10"/>
    </row>
    <row r="20338" spans="20:20">
      <c r="T20338" s="10"/>
    </row>
    <row r="20339" spans="20:20">
      <c r="T20339" s="10"/>
    </row>
    <row r="20340" spans="20:20">
      <c r="T20340" s="10"/>
    </row>
    <row r="20341" spans="20:20">
      <c r="T20341" s="10"/>
    </row>
    <row r="20342" spans="20:20">
      <c r="T20342" s="10"/>
    </row>
    <row r="20343" spans="20:20">
      <c r="T20343" s="10"/>
    </row>
    <row r="20344" spans="20:20">
      <c r="T20344" s="10"/>
    </row>
    <row r="20345" spans="20:20">
      <c r="T20345" s="10"/>
    </row>
    <row r="20346" spans="20:20">
      <c r="T20346" s="10"/>
    </row>
    <row r="20347" spans="20:20">
      <c r="T20347" s="10"/>
    </row>
    <row r="20348" spans="20:20">
      <c r="T20348" s="10"/>
    </row>
    <row r="20349" spans="20:20">
      <c r="T20349" s="10"/>
    </row>
    <row r="20350" spans="20:20">
      <c r="T20350" s="10"/>
    </row>
    <row r="20351" spans="20:20">
      <c r="T20351" s="10"/>
    </row>
    <row r="20352" spans="20:20">
      <c r="T20352" s="10"/>
    </row>
    <row r="20353" spans="20:20">
      <c r="T20353" s="10"/>
    </row>
    <row r="20354" spans="20:20">
      <c r="T20354" s="10"/>
    </row>
    <row r="20355" spans="20:20">
      <c r="T20355" s="10"/>
    </row>
    <row r="20356" spans="20:20">
      <c r="T20356" s="10"/>
    </row>
    <row r="20357" spans="20:20">
      <c r="T20357" s="10"/>
    </row>
    <row r="20358" spans="20:20">
      <c r="T20358" s="10"/>
    </row>
    <row r="20359" spans="20:20">
      <c r="T20359" s="10"/>
    </row>
    <row r="20360" spans="20:20">
      <c r="T20360" s="10"/>
    </row>
    <row r="20361" spans="20:20">
      <c r="T20361" s="10"/>
    </row>
    <row r="20362" spans="20:20">
      <c r="T20362" s="10"/>
    </row>
    <row r="20363" spans="20:20">
      <c r="T20363" s="10"/>
    </row>
    <row r="20364" spans="20:20">
      <c r="T20364" s="10"/>
    </row>
    <row r="20365" spans="20:20">
      <c r="T20365" s="10"/>
    </row>
    <row r="20366" spans="20:20">
      <c r="T20366" s="10"/>
    </row>
    <row r="20367" spans="20:20">
      <c r="T20367" s="10"/>
    </row>
    <row r="20368" spans="20:20">
      <c r="T20368" s="10"/>
    </row>
    <row r="20369" spans="20:20">
      <c r="T20369" s="10"/>
    </row>
    <row r="20370" spans="20:20">
      <c r="T20370" s="10"/>
    </row>
    <row r="20371" spans="20:20">
      <c r="T20371" s="10"/>
    </row>
    <row r="20372" spans="20:20">
      <c r="T20372" s="10"/>
    </row>
    <row r="20373" spans="20:20">
      <c r="T20373" s="10"/>
    </row>
    <row r="20374" spans="20:20">
      <c r="T20374" s="10"/>
    </row>
    <row r="20375" spans="20:20">
      <c r="T20375" s="10"/>
    </row>
    <row r="20376" spans="20:20">
      <c r="T20376" s="10"/>
    </row>
    <row r="20377" spans="20:20">
      <c r="T20377" s="10"/>
    </row>
    <row r="20378" spans="20:20">
      <c r="T20378" s="10"/>
    </row>
    <row r="20379" spans="20:20">
      <c r="T20379" s="10"/>
    </row>
    <row r="20380" spans="20:20">
      <c r="T20380" s="10"/>
    </row>
    <row r="20381" spans="20:20">
      <c r="T20381" s="10"/>
    </row>
    <row r="20382" spans="20:20">
      <c r="T20382" s="10"/>
    </row>
    <row r="20383" spans="20:20">
      <c r="T20383" s="10"/>
    </row>
    <row r="20384" spans="20:20">
      <c r="T20384" s="10"/>
    </row>
    <row r="20385" spans="20:20">
      <c r="T20385" s="10"/>
    </row>
    <row r="20386" spans="20:20">
      <c r="T20386" s="10"/>
    </row>
    <row r="20387" spans="20:20">
      <c r="T20387" s="10"/>
    </row>
    <row r="20388" spans="20:20">
      <c r="T20388" s="10"/>
    </row>
    <row r="20389" spans="20:20">
      <c r="T20389" s="10"/>
    </row>
    <row r="20390" spans="20:20">
      <c r="T20390" s="10"/>
    </row>
    <row r="20391" spans="20:20">
      <c r="T20391" s="10"/>
    </row>
    <row r="20392" spans="20:20">
      <c r="T20392" s="10"/>
    </row>
    <row r="20393" spans="20:20">
      <c r="T20393" s="10"/>
    </row>
    <row r="20394" spans="20:20">
      <c r="T20394" s="10"/>
    </row>
    <row r="20395" spans="20:20">
      <c r="T20395" s="10"/>
    </row>
    <row r="20396" spans="20:20">
      <c r="T20396" s="10"/>
    </row>
    <row r="20397" spans="20:20">
      <c r="T20397" s="10"/>
    </row>
    <row r="20398" spans="20:20">
      <c r="T20398" s="10"/>
    </row>
    <row r="20399" spans="20:20">
      <c r="T20399" s="10"/>
    </row>
    <row r="20400" spans="20:20">
      <c r="T20400" s="10"/>
    </row>
    <row r="20401" spans="20:20">
      <c r="T20401" s="10"/>
    </row>
    <row r="20402" spans="20:20">
      <c r="T20402" s="10"/>
    </row>
    <row r="20403" spans="20:20">
      <c r="T20403" s="10"/>
    </row>
    <row r="20404" spans="20:20">
      <c r="T20404" s="10"/>
    </row>
    <row r="20405" spans="20:20">
      <c r="T20405" s="10"/>
    </row>
    <row r="20406" spans="20:20">
      <c r="T20406" s="10"/>
    </row>
    <row r="20407" spans="20:20">
      <c r="T20407" s="10"/>
    </row>
    <row r="20408" spans="20:20">
      <c r="T20408" s="10"/>
    </row>
    <row r="20409" spans="20:20">
      <c r="T20409" s="10"/>
    </row>
    <row r="20410" spans="20:20">
      <c r="T20410" s="10"/>
    </row>
    <row r="20411" spans="20:20">
      <c r="T20411" s="10"/>
    </row>
    <row r="20412" spans="20:20">
      <c r="T20412" s="10"/>
    </row>
    <row r="20413" spans="20:20">
      <c r="T20413" s="10"/>
    </row>
    <row r="20414" spans="20:20">
      <c r="T20414" s="10"/>
    </row>
    <row r="20415" spans="20:20">
      <c r="T20415" s="10"/>
    </row>
    <row r="20416" spans="20:20">
      <c r="T20416" s="10"/>
    </row>
    <row r="20417" spans="20:20">
      <c r="T20417" s="10"/>
    </row>
    <row r="20418" spans="20:20">
      <c r="T20418" s="10"/>
    </row>
    <row r="20419" spans="20:20">
      <c r="T20419" s="10"/>
    </row>
    <row r="20420" spans="20:20">
      <c r="T20420" s="10"/>
    </row>
    <row r="20421" spans="20:20">
      <c r="T20421" s="10"/>
    </row>
    <row r="20422" spans="20:20">
      <c r="T20422" s="10"/>
    </row>
    <row r="20423" spans="20:20">
      <c r="T20423" s="10"/>
    </row>
    <row r="20424" spans="20:20">
      <c r="T20424" s="10"/>
    </row>
    <row r="20425" spans="20:20">
      <c r="T20425" s="10"/>
    </row>
    <row r="20426" spans="20:20">
      <c r="T20426" s="10"/>
    </row>
    <row r="20427" spans="20:20">
      <c r="T20427" s="10"/>
    </row>
    <row r="20428" spans="20:20">
      <c r="T20428" s="10"/>
    </row>
    <row r="20429" spans="20:20">
      <c r="T20429" s="10"/>
    </row>
    <row r="20430" spans="20:20">
      <c r="T20430" s="10"/>
    </row>
    <row r="20431" spans="20:20">
      <c r="T20431" s="10"/>
    </row>
    <row r="20432" spans="20:20">
      <c r="T20432" s="10"/>
    </row>
    <row r="20433" spans="20:20">
      <c r="T20433" s="10"/>
    </row>
    <row r="20434" spans="20:20">
      <c r="T20434" s="10"/>
    </row>
    <row r="20435" spans="20:20">
      <c r="T20435" s="10"/>
    </row>
    <row r="20436" spans="20:20">
      <c r="T20436" s="10"/>
    </row>
    <row r="20437" spans="20:20">
      <c r="T20437" s="10"/>
    </row>
    <row r="20438" spans="20:20">
      <c r="T20438" s="10"/>
    </row>
    <row r="20439" spans="20:20">
      <c r="T20439" s="10"/>
    </row>
    <row r="20440" spans="20:20">
      <c r="T20440" s="10"/>
    </row>
    <row r="20441" spans="20:20">
      <c r="T20441" s="10"/>
    </row>
    <row r="20442" spans="20:20">
      <c r="T20442" s="10"/>
    </row>
    <row r="20443" spans="20:20">
      <c r="T20443" s="10"/>
    </row>
    <row r="20444" spans="20:20">
      <c r="T20444" s="10"/>
    </row>
    <row r="20445" spans="20:20">
      <c r="T20445" s="10"/>
    </row>
    <row r="20446" spans="20:20">
      <c r="T20446" s="10"/>
    </row>
    <row r="20447" spans="20:20">
      <c r="T20447" s="10"/>
    </row>
    <row r="20448" spans="20:20">
      <c r="T20448" s="10"/>
    </row>
    <row r="20449" spans="20:20">
      <c r="T20449" s="10"/>
    </row>
    <row r="20450" spans="20:20">
      <c r="T20450" s="10"/>
    </row>
    <row r="20451" spans="20:20">
      <c r="T20451" s="10"/>
    </row>
    <row r="20452" spans="20:20">
      <c r="T20452" s="10"/>
    </row>
    <row r="20453" spans="20:20">
      <c r="T20453" s="10"/>
    </row>
    <row r="20454" spans="20:20">
      <c r="T20454" s="10"/>
    </row>
    <row r="20455" spans="20:20">
      <c r="T20455" s="10"/>
    </row>
    <row r="20456" spans="20:20">
      <c r="T20456" s="10"/>
    </row>
    <row r="20457" spans="20:20">
      <c r="T20457" s="10"/>
    </row>
    <row r="20458" spans="20:20">
      <c r="T20458" s="10"/>
    </row>
    <row r="20459" spans="20:20">
      <c r="T20459" s="10"/>
    </row>
    <row r="20460" spans="20:20">
      <c r="T20460" s="10"/>
    </row>
    <row r="20461" spans="20:20">
      <c r="T20461" s="10"/>
    </row>
    <row r="20462" spans="20:20">
      <c r="T20462" s="10"/>
    </row>
    <row r="20463" spans="20:20">
      <c r="T20463" s="10"/>
    </row>
    <row r="20464" spans="20:20">
      <c r="T20464" s="10"/>
    </row>
    <row r="20465" spans="20:20">
      <c r="T20465" s="10"/>
    </row>
    <row r="20466" spans="20:20">
      <c r="T20466" s="10"/>
    </row>
    <row r="20467" spans="20:20">
      <c r="T20467" s="10"/>
    </row>
    <row r="20468" spans="20:20">
      <c r="T20468" s="10"/>
    </row>
    <row r="20469" spans="20:20">
      <c r="T20469" s="10"/>
    </row>
    <row r="20470" spans="20:20">
      <c r="T20470" s="10"/>
    </row>
    <row r="20471" spans="20:20">
      <c r="T20471" s="10"/>
    </row>
    <row r="20472" spans="20:20">
      <c r="T20472" s="10"/>
    </row>
    <row r="20473" spans="20:20">
      <c r="T20473" s="10"/>
    </row>
    <row r="20474" spans="20:20">
      <c r="T20474" s="10"/>
    </row>
    <row r="20475" spans="20:20">
      <c r="T20475" s="10"/>
    </row>
    <row r="20476" spans="20:20">
      <c r="T20476" s="10"/>
    </row>
    <row r="20477" spans="20:20">
      <c r="T20477" s="10"/>
    </row>
    <row r="20478" spans="20:20">
      <c r="T20478" s="10"/>
    </row>
    <row r="20479" spans="20:20">
      <c r="T20479" s="10"/>
    </row>
    <row r="20480" spans="20:20">
      <c r="T20480" s="10"/>
    </row>
    <row r="20481" spans="20:20">
      <c r="T20481" s="10"/>
    </row>
    <row r="20482" spans="20:20">
      <c r="T20482" s="10"/>
    </row>
    <row r="20483" spans="20:20">
      <c r="T20483" s="10"/>
    </row>
    <row r="20484" spans="20:20">
      <c r="T20484" s="10"/>
    </row>
    <row r="20485" spans="20:20">
      <c r="T20485" s="10"/>
    </row>
    <row r="20486" spans="20:20">
      <c r="T20486" s="10"/>
    </row>
    <row r="20487" spans="20:20">
      <c r="T20487" s="10"/>
    </row>
    <row r="20488" spans="20:20">
      <c r="T20488" s="10"/>
    </row>
    <row r="20489" spans="20:20">
      <c r="T20489" s="10"/>
    </row>
    <row r="20490" spans="20:20">
      <c r="T20490" s="10"/>
    </row>
    <row r="20491" spans="20:20">
      <c r="T20491" s="10"/>
    </row>
    <row r="20492" spans="20:20">
      <c r="T20492" s="10"/>
    </row>
    <row r="20493" spans="20:20">
      <c r="T20493" s="10"/>
    </row>
    <row r="20494" spans="20:20">
      <c r="T20494" s="10"/>
    </row>
    <row r="20495" spans="20:20">
      <c r="T20495" s="10"/>
    </row>
    <row r="20496" spans="20:20">
      <c r="T20496" s="10"/>
    </row>
    <row r="20497" spans="20:20">
      <c r="T20497" s="10"/>
    </row>
    <row r="20498" spans="20:20">
      <c r="T20498" s="10"/>
    </row>
    <row r="20499" spans="20:20">
      <c r="T20499" s="10"/>
    </row>
    <row r="20500" spans="20:20">
      <c r="T20500" s="10"/>
    </row>
    <row r="20501" spans="20:20">
      <c r="T20501" s="10"/>
    </row>
    <row r="20502" spans="20:20">
      <c r="T20502" s="10"/>
    </row>
    <row r="20503" spans="20:20">
      <c r="T20503" s="10"/>
    </row>
    <row r="20504" spans="20:20">
      <c r="T20504" s="10"/>
    </row>
    <row r="20505" spans="20:20">
      <c r="T20505" s="10"/>
    </row>
    <row r="20506" spans="20:20">
      <c r="T20506" s="10"/>
    </row>
    <row r="20507" spans="20:20">
      <c r="T20507" s="10"/>
    </row>
    <row r="20508" spans="20:20">
      <c r="T20508" s="10"/>
    </row>
    <row r="20509" spans="20:20">
      <c r="T20509" s="10"/>
    </row>
    <row r="20510" spans="20:20">
      <c r="T20510" s="10"/>
    </row>
    <row r="20511" spans="20:20">
      <c r="T20511" s="10"/>
    </row>
    <row r="20512" spans="20:20">
      <c r="T20512" s="10"/>
    </row>
    <row r="20513" spans="20:20">
      <c r="T20513" s="10"/>
    </row>
    <row r="20514" spans="20:20">
      <c r="T20514" s="10"/>
    </row>
    <row r="20515" spans="20:20">
      <c r="T20515" s="10"/>
    </row>
    <row r="20516" spans="20:20">
      <c r="T20516" s="10"/>
    </row>
    <row r="20517" spans="20:20">
      <c r="T20517" s="10"/>
    </row>
    <row r="20518" spans="20:20">
      <c r="T20518" s="10"/>
    </row>
    <row r="20519" spans="20:20">
      <c r="T20519" s="10"/>
    </row>
    <row r="20520" spans="20:20">
      <c r="T20520" s="10"/>
    </row>
    <row r="20521" spans="20:20">
      <c r="T20521" s="10"/>
    </row>
    <row r="20522" spans="20:20">
      <c r="T20522" s="10"/>
    </row>
    <row r="20523" spans="20:20">
      <c r="T20523" s="10"/>
    </row>
    <row r="20524" spans="20:20">
      <c r="T20524" s="10"/>
    </row>
    <row r="20525" spans="20:20">
      <c r="T20525" s="10"/>
    </row>
    <row r="20526" spans="20:20">
      <c r="T20526" s="10"/>
    </row>
    <row r="20527" spans="20:20">
      <c r="T20527" s="10"/>
    </row>
    <row r="20528" spans="20:20">
      <c r="T20528" s="10"/>
    </row>
    <row r="20529" spans="20:20">
      <c r="T20529" s="10"/>
    </row>
    <row r="20530" spans="20:20">
      <c r="T20530" s="10"/>
    </row>
    <row r="20531" spans="20:20">
      <c r="T20531" s="10"/>
    </row>
    <row r="20532" spans="20:20">
      <c r="T20532" s="10"/>
    </row>
    <row r="20533" spans="20:20">
      <c r="T20533" s="10"/>
    </row>
    <row r="20534" spans="20:20">
      <c r="T20534" s="10"/>
    </row>
    <row r="20535" spans="20:20">
      <c r="T20535" s="10"/>
    </row>
    <row r="20536" spans="20:20">
      <c r="T20536" s="10"/>
    </row>
    <row r="20537" spans="20:20">
      <c r="T20537" s="10"/>
    </row>
    <row r="20538" spans="20:20">
      <c r="T20538" s="10"/>
    </row>
    <row r="20539" spans="20:20">
      <c r="T20539" s="10"/>
    </row>
    <row r="20540" spans="20:20">
      <c r="T20540" s="10"/>
    </row>
    <row r="20541" spans="20:20">
      <c r="T20541" s="10"/>
    </row>
    <row r="20542" spans="20:20">
      <c r="T20542" s="10"/>
    </row>
    <row r="20543" spans="20:20">
      <c r="T20543" s="10"/>
    </row>
    <row r="20544" spans="20:20">
      <c r="T20544" s="10"/>
    </row>
    <row r="20545" spans="20:20">
      <c r="T20545" s="10"/>
    </row>
    <row r="20546" spans="20:20">
      <c r="T20546" s="10"/>
    </row>
    <row r="20547" spans="20:20">
      <c r="T20547" s="10"/>
    </row>
    <row r="20548" spans="20:20">
      <c r="T20548" s="10"/>
    </row>
    <row r="20549" spans="20:20">
      <c r="T20549" s="10"/>
    </row>
    <row r="20550" spans="20:20">
      <c r="T20550" s="10"/>
    </row>
    <row r="20551" spans="20:20">
      <c r="T20551" s="10"/>
    </row>
    <row r="20552" spans="20:20">
      <c r="T20552" s="10"/>
    </row>
    <row r="20553" spans="20:20">
      <c r="T20553" s="10"/>
    </row>
    <row r="20554" spans="20:20">
      <c r="T20554" s="10"/>
    </row>
    <row r="20555" spans="20:20">
      <c r="T20555" s="10"/>
    </row>
    <row r="20556" spans="20:20">
      <c r="T20556" s="10"/>
    </row>
    <row r="20557" spans="20:20">
      <c r="T20557" s="10"/>
    </row>
    <row r="20558" spans="20:20">
      <c r="T20558" s="10"/>
    </row>
    <row r="20559" spans="20:20">
      <c r="T20559" s="10"/>
    </row>
    <row r="20560" spans="20:20">
      <c r="T20560" s="10"/>
    </row>
    <row r="20561" spans="20:20">
      <c r="T20561" s="10"/>
    </row>
    <row r="20562" spans="20:20">
      <c r="T20562" s="10"/>
    </row>
    <row r="20563" spans="20:20">
      <c r="T20563" s="10"/>
    </row>
    <row r="20564" spans="20:20">
      <c r="T20564" s="10"/>
    </row>
    <row r="20565" spans="20:20">
      <c r="T20565" s="10"/>
    </row>
    <row r="20566" spans="20:20">
      <c r="T20566" s="10"/>
    </row>
    <row r="20567" spans="20:20">
      <c r="T20567" s="10"/>
    </row>
    <row r="20568" spans="20:20">
      <c r="T20568" s="10"/>
    </row>
    <row r="20569" spans="20:20">
      <c r="T20569" s="10"/>
    </row>
    <row r="20570" spans="20:20">
      <c r="T20570" s="10"/>
    </row>
    <row r="20571" spans="20:20">
      <c r="T20571" s="10"/>
    </row>
    <row r="20572" spans="20:20">
      <c r="T20572" s="10"/>
    </row>
    <row r="20573" spans="20:20">
      <c r="T20573" s="10"/>
    </row>
    <row r="20574" spans="20:20">
      <c r="T20574" s="10"/>
    </row>
    <row r="20575" spans="20:20">
      <c r="T20575" s="10"/>
    </row>
    <row r="20576" spans="20:20">
      <c r="T20576" s="10"/>
    </row>
    <row r="20577" spans="20:20">
      <c r="T20577" s="10"/>
    </row>
    <row r="20578" spans="20:20">
      <c r="T20578" s="10"/>
    </row>
    <row r="20579" spans="20:20">
      <c r="T20579" s="10"/>
    </row>
    <row r="20580" spans="20:20">
      <c r="T20580" s="10"/>
    </row>
    <row r="20581" spans="20:20">
      <c r="T20581" s="10"/>
    </row>
    <row r="20582" spans="20:20">
      <c r="T20582" s="10"/>
    </row>
    <row r="20583" spans="20:20">
      <c r="T20583" s="10"/>
    </row>
    <row r="20584" spans="20:20">
      <c r="T20584" s="10"/>
    </row>
    <row r="20585" spans="20:20">
      <c r="T20585" s="10"/>
    </row>
    <row r="20586" spans="20:20">
      <c r="T20586" s="10"/>
    </row>
    <row r="20587" spans="20:20">
      <c r="T20587" s="10"/>
    </row>
    <row r="20588" spans="20:20">
      <c r="T20588" s="10"/>
    </row>
    <row r="20589" spans="20:20">
      <c r="T20589" s="10"/>
    </row>
    <row r="20590" spans="20:20">
      <c r="T20590" s="10"/>
    </row>
    <row r="20591" spans="20:20">
      <c r="T20591" s="10"/>
    </row>
    <row r="20592" spans="20:20">
      <c r="T20592" s="10"/>
    </row>
    <row r="20593" spans="20:20">
      <c r="T20593" s="10"/>
    </row>
    <row r="20594" spans="20:20">
      <c r="T20594" s="10"/>
    </row>
    <row r="20595" spans="20:20">
      <c r="T20595" s="10"/>
    </row>
    <row r="20596" spans="20:20">
      <c r="T20596" s="10"/>
    </row>
    <row r="20597" spans="20:20">
      <c r="T20597" s="10"/>
    </row>
    <row r="20598" spans="20:20">
      <c r="T20598" s="10"/>
    </row>
    <row r="20599" spans="20:20">
      <c r="T20599" s="10"/>
    </row>
    <row r="20600" spans="20:20">
      <c r="T20600" s="10"/>
    </row>
    <row r="20601" spans="20:20">
      <c r="T20601" s="10"/>
    </row>
    <row r="20602" spans="20:20">
      <c r="T20602" s="10"/>
    </row>
    <row r="20603" spans="20:20">
      <c r="T20603" s="10"/>
    </row>
    <row r="20604" spans="20:20">
      <c r="T20604" s="10"/>
    </row>
    <row r="20605" spans="20:20">
      <c r="T20605" s="10"/>
    </row>
    <row r="20606" spans="20:20">
      <c r="T20606" s="10"/>
    </row>
    <row r="20607" spans="20:20">
      <c r="T20607" s="10"/>
    </row>
    <row r="20608" spans="20:20">
      <c r="T20608" s="10"/>
    </row>
    <row r="20609" spans="20:20">
      <c r="T20609" s="10"/>
    </row>
    <row r="20610" spans="20:20">
      <c r="T20610" s="10"/>
    </row>
    <row r="20611" spans="20:20">
      <c r="T20611" s="10"/>
    </row>
    <row r="20612" spans="20:20">
      <c r="T20612" s="10"/>
    </row>
    <row r="20613" spans="20:20">
      <c r="T20613" s="10"/>
    </row>
    <row r="20614" spans="20:20">
      <c r="T20614" s="10"/>
    </row>
    <row r="20615" spans="20:20">
      <c r="T20615" s="10"/>
    </row>
    <row r="20616" spans="20:20">
      <c r="T20616" s="10"/>
    </row>
    <row r="20617" spans="20:20">
      <c r="T20617" s="10"/>
    </row>
    <row r="20618" spans="20:20">
      <c r="T20618" s="10"/>
    </row>
    <row r="20619" spans="20:20">
      <c r="T20619" s="10"/>
    </row>
    <row r="20620" spans="20:20">
      <c r="T20620" s="10"/>
    </row>
    <row r="20621" spans="20:20">
      <c r="T20621" s="10"/>
    </row>
    <row r="20622" spans="20:20">
      <c r="T20622" s="10"/>
    </row>
    <row r="20623" spans="20:20">
      <c r="T20623" s="10"/>
    </row>
    <row r="20624" spans="20:20">
      <c r="T20624" s="10"/>
    </row>
    <row r="20625" spans="20:20">
      <c r="T20625" s="10"/>
    </row>
    <row r="20626" spans="20:20">
      <c r="T20626" s="10"/>
    </row>
    <row r="20627" spans="20:20">
      <c r="T20627" s="10"/>
    </row>
    <row r="20628" spans="20:20">
      <c r="T20628" s="10"/>
    </row>
    <row r="20629" spans="20:20">
      <c r="T20629" s="10"/>
    </row>
    <row r="20630" spans="20:20">
      <c r="T20630" s="10"/>
    </row>
    <row r="20631" spans="20:20">
      <c r="T20631" s="10"/>
    </row>
    <row r="20632" spans="20:20">
      <c r="T20632" s="10"/>
    </row>
    <row r="20633" spans="20:20">
      <c r="T20633" s="10"/>
    </row>
    <row r="20634" spans="20:20">
      <c r="T20634" s="10"/>
    </row>
    <row r="20635" spans="20:20">
      <c r="T20635" s="10"/>
    </row>
    <row r="20636" spans="20:20">
      <c r="T20636" s="10"/>
    </row>
    <row r="20637" spans="20:20">
      <c r="T20637" s="10"/>
    </row>
    <row r="20638" spans="20:20">
      <c r="T20638" s="10"/>
    </row>
    <row r="20639" spans="20:20">
      <c r="T20639" s="10"/>
    </row>
    <row r="20640" spans="20:20">
      <c r="T20640" s="10"/>
    </row>
    <row r="20641" spans="20:20">
      <c r="T20641" s="10"/>
    </row>
    <row r="20642" spans="20:20">
      <c r="T20642" s="10"/>
    </row>
    <row r="20643" spans="20:20">
      <c r="T20643" s="10"/>
    </row>
    <row r="20644" spans="20:20">
      <c r="T20644" s="10"/>
    </row>
    <row r="20645" spans="20:20">
      <c r="T20645" s="10"/>
    </row>
    <row r="20646" spans="20:20">
      <c r="T20646" s="10"/>
    </row>
    <row r="20647" spans="20:20">
      <c r="T20647" s="10"/>
    </row>
    <row r="20648" spans="20:20">
      <c r="T20648" s="10"/>
    </row>
    <row r="20649" spans="20:20">
      <c r="T20649" s="10"/>
    </row>
    <row r="20650" spans="20:20">
      <c r="T20650" s="10"/>
    </row>
    <row r="20651" spans="20:20">
      <c r="T20651" s="10"/>
    </row>
    <row r="20652" spans="20:20">
      <c r="T20652" s="10"/>
    </row>
    <row r="20653" spans="20:20">
      <c r="T20653" s="10"/>
    </row>
    <row r="20654" spans="20:20">
      <c r="T20654" s="10"/>
    </row>
    <row r="20655" spans="20:20">
      <c r="T20655" s="10"/>
    </row>
    <row r="20656" spans="20:20">
      <c r="T20656" s="10"/>
    </row>
    <row r="20657" spans="20:20">
      <c r="T20657" s="10"/>
    </row>
    <row r="20658" spans="20:20">
      <c r="T20658" s="10"/>
    </row>
    <row r="20659" spans="20:20">
      <c r="T20659" s="10"/>
    </row>
    <row r="20660" spans="20:20">
      <c r="T20660" s="10"/>
    </row>
    <row r="20661" spans="20:20">
      <c r="T20661" s="10"/>
    </row>
    <row r="20662" spans="20:20">
      <c r="T20662" s="10"/>
    </row>
    <row r="20663" spans="20:20">
      <c r="T20663" s="10"/>
    </row>
    <row r="20664" spans="20:20">
      <c r="T20664" s="10"/>
    </row>
    <row r="20665" spans="20:20">
      <c r="T20665" s="10"/>
    </row>
    <row r="20666" spans="20:20">
      <c r="T20666" s="10"/>
    </row>
    <row r="20667" spans="20:20">
      <c r="T20667" s="10"/>
    </row>
    <row r="20668" spans="20:20">
      <c r="T20668" s="10"/>
    </row>
    <row r="20669" spans="20:20">
      <c r="T20669" s="10"/>
    </row>
    <row r="20670" spans="20:20">
      <c r="T20670" s="10"/>
    </row>
    <row r="20671" spans="20:20">
      <c r="T20671" s="10"/>
    </row>
    <row r="20672" spans="20:20">
      <c r="T20672" s="10"/>
    </row>
    <row r="20673" spans="20:20">
      <c r="T20673" s="10"/>
    </row>
    <row r="20674" spans="20:20">
      <c r="T20674" s="10"/>
    </row>
    <row r="20675" spans="20:20">
      <c r="T20675" s="10"/>
    </row>
    <row r="20676" spans="20:20">
      <c r="T20676" s="10"/>
    </row>
    <row r="20677" spans="20:20">
      <c r="T20677" s="10"/>
    </row>
    <row r="20678" spans="20:20">
      <c r="T20678" s="10"/>
    </row>
    <row r="20679" spans="20:20">
      <c r="T20679" s="10"/>
    </row>
    <row r="20680" spans="20:20">
      <c r="T20680" s="10"/>
    </row>
    <row r="20681" spans="20:20">
      <c r="T20681" s="10"/>
    </row>
    <row r="20682" spans="20:20">
      <c r="T20682" s="10"/>
    </row>
    <row r="20683" spans="20:20">
      <c r="T20683" s="10"/>
    </row>
    <row r="20684" spans="20:20">
      <c r="T20684" s="10"/>
    </row>
    <row r="20685" spans="20:20">
      <c r="T20685" s="10"/>
    </row>
    <row r="20686" spans="20:20">
      <c r="T20686" s="10"/>
    </row>
    <row r="20687" spans="20:20">
      <c r="T20687" s="10"/>
    </row>
    <row r="20688" spans="20:20">
      <c r="T20688" s="10"/>
    </row>
    <row r="20689" spans="20:20">
      <c r="T20689" s="10"/>
    </row>
    <row r="20690" spans="20:20">
      <c r="T20690" s="10"/>
    </row>
    <row r="20691" spans="20:20">
      <c r="T20691" s="10"/>
    </row>
    <row r="20692" spans="20:20">
      <c r="T20692" s="10"/>
    </row>
    <row r="20693" spans="20:20">
      <c r="T20693" s="10"/>
    </row>
    <row r="20694" spans="20:20">
      <c r="T20694" s="10"/>
    </row>
    <row r="20695" spans="20:20">
      <c r="T20695" s="10"/>
    </row>
    <row r="20696" spans="20:20">
      <c r="T20696" s="10"/>
    </row>
    <row r="20697" spans="20:20">
      <c r="T20697" s="10"/>
    </row>
    <row r="20698" spans="20:20">
      <c r="T20698" s="10"/>
    </row>
    <row r="20699" spans="20:20">
      <c r="T20699" s="10"/>
    </row>
    <row r="20700" spans="20:20">
      <c r="T20700" s="10"/>
    </row>
    <row r="20701" spans="20:20">
      <c r="T20701" s="10"/>
    </row>
    <row r="20702" spans="20:20">
      <c r="T20702" s="10"/>
    </row>
    <row r="20703" spans="20:20">
      <c r="T20703" s="10"/>
    </row>
    <row r="20704" spans="20:20">
      <c r="T20704" s="10"/>
    </row>
    <row r="20705" spans="20:20">
      <c r="T20705" s="10"/>
    </row>
    <row r="20706" spans="20:20">
      <c r="T20706" s="10"/>
    </row>
    <row r="20707" spans="20:20">
      <c r="T20707" s="10"/>
    </row>
    <row r="20708" spans="20:20">
      <c r="T20708" s="10"/>
    </row>
    <row r="20709" spans="20:20">
      <c r="T20709" s="10"/>
    </row>
    <row r="20710" spans="20:20">
      <c r="T20710" s="10"/>
    </row>
    <row r="20711" spans="20:20">
      <c r="T20711" s="10"/>
    </row>
    <row r="20712" spans="20:20">
      <c r="T20712" s="10"/>
    </row>
    <row r="20713" spans="20:20">
      <c r="T20713" s="10"/>
    </row>
    <row r="20714" spans="20:20">
      <c r="T20714" s="10"/>
    </row>
    <row r="20715" spans="20:20">
      <c r="T20715" s="10"/>
    </row>
    <row r="20716" spans="20:20">
      <c r="T20716" s="10"/>
    </row>
    <row r="20717" spans="20:20">
      <c r="T20717" s="10"/>
    </row>
    <row r="20718" spans="20:20">
      <c r="T20718" s="10"/>
    </row>
    <row r="20719" spans="20:20">
      <c r="T20719" s="10"/>
    </row>
    <row r="20720" spans="20:20">
      <c r="T20720" s="10"/>
    </row>
    <row r="20721" spans="20:20">
      <c r="T20721" s="10"/>
    </row>
    <row r="20722" spans="20:20">
      <c r="T20722" s="10"/>
    </row>
    <row r="20723" spans="20:20">
      <c r="T20723" s="10"/>
    </row>
    <row r="20724" spans="20:20">
      <c r="T20724" s="10"/>
    </row>
    <row r="20725" spans="20:20">
      <c r="T20725" s="10"/>
    </row>
    <row r="20726" spans="20:20">
      <c r="T20726" s="10"/>
    </row>
    <row r="20727" spans="20:20">
      <c r="T20727" s="10"/>
    </row>
    <row r="20728" spans="20:20">
      <c r="T20728" s="10"/>
    </row>
    <row r="20729" spans="20:20">
      <c r="T20729" s="10"/>
    </row>
    <row r="20730" spans="20:20">
      <c r="T20730" s="10"/>
    </row>
    <row r="20731" spans="20:20">
      <c r="T20731" s="10"/>
    </row>
    <row r="20732" spans="20:20">
      <c r="T20732" s="10"/>
    </row>
    <row r="20733" spans="20:20">
      <c r="T20733" s="10"/>
    </row>
    <row r="20734" spans="20:20">
      <c r="T20734" s="10"/>
    </row>
    <row r="20735" spans="20:20">
      <c r="T20735" s="10"/>
    </row>
    <row r="20736" spans="20:20">
      <c r="T20736" s="10"/>
    </row>
    <row r="20737" spans="20:20">
      <c r="T20737" s="10"/>
    </row>
    <row r="20738" spans="20:20">
      <c r="T20738" s="10"/>
    </row>
    <row r="20739" spans="20:20">
      <c r="T20739" s="10"/>
    </row>
    <row r="20740" spans="20:20">
      <c r="T20740" s="10"/>
    </row>
    <row r="20741" spans="20:20">
      <c r="T20741" s="10"/>
    </row>
    <row r="20742" spans="20:20">
      <c r="T20742" s="10"/>
    </row>
    <row r="20743" spans="20:20">
      <c r="T20743" s="10"/>
    </row>
    <row r="20744" spans="20:20">
      <c r="T20744" s="10"/>
    </row>
    <row r="20745" spans="20:20">
      <c r="T20745" s="10"/>
    </row>
    <row r="20746" spans="20:20">
      <c r="T20746" s="10"/>
    </row>
    <row r="20747" spans="20:20">
      <c r="T20747" s="10"/>
    </row>
    <row r="20748" spans="20:20">
      <c r="T20748" s="10"/>
    </row>
    <row r="20749" spans="20:20">
      <c r="T20749" s="10"/>
    </row>
    <row r="20750" spans="20:20">
      <c r="T20750" s="10"/>
    </row>
    <row r="20751" spans="20:20">
      <c r="T20751" s="10"/>
    </row>
    <row r="20752" spans="20:20">
      <c r="T20752" s="10"/>
    </row>
    <row r="20753" spans="20:20">
      <c r="T20753" s="10"/>
    </row>
    <row r="20754" spans="20:20">
      <c r="T20754" s="10"/>
    </row>
    <row r="20755" spans="20:20">
      <c r="T20755" s="10"/>
    </row>
    <row r="20756" spans="20:20">
      <c r="T20756" s="10"/>
    </row>
    <row r="20757" spans="20:20">
      <c r="T20757" s="10"/>
    </row>
    <row r="20758" spans="20:20">
      <c r="T20758" s="10"/>
    </row>
    <row r="20759" spans="20:20">
      <c r="T20759" s="10"/>
    </row>
    <row r="20760" spans="20:20">
      <c r="T20760" s="10"/>
    </row>
    <row r="20761" spans="20:20">
      <c r="T20761" s="10"/>
    </row>
    <row r="20762" spans="20:20">
      <c r="T20762" s="10"/>
    </row>
    <row r="20763" spans="20:20">
      <c r="T20763" s="10"/>
    </row>
    <row r="20764" spans="20:20">
      <c r="T20764" s="10"/>
    </row>
    <row r="20765" spans="20:20">
      <c r="T20765" s="10"/>
    </row>
    <row r="20766" spans="20:20">
      <c r="T20766" s="10"/>
    </row>
    <row r="20767" spans="20:20">
      <c r="T20767" s="10"/>
    </row>
    <row r="20768" spans="20:20">
      <c r="T20768" s="10"/>
    </row>
    <row r="20769" spans="20:20">
      <c r="T20769" s="10"/>
    </row>
    <row r="20770" spans="20:20">
      <c r="T20770" s="10"/>
    </row>
    <row r="20771" spans="20:20">
      <c r="T20771" s="10"/>
    </row>
    <row r="20772" spans="20:20">
      <c r="T20772" s="10"/>
    </row>
    <row r="20773" spans="20:20">
      <c r="T20773" s="10"/>
    </row>
    <row r="20774" spans="20:20">
      <c r="T20774" s="10"/>
    </row>
    <row r="20775" spans="20:20">
      <c r="T20775" s="10"/>
    </row>
    <row r="20776" spans="20:20">
      <c r="T20776" s="10"/>
    </row>
    <row r="20777" spans="20:20">
      <c r="T20777" s="10"/>
    </row>
    <row r="20778" spans="20:20">
      <c r="T20778" s="10"/>
    </row>
    <row r="20779" spans="20:20">
      <c r="T20779" s="10"/>
    </row>
    <row r="20780" spans="20:20">
      <c r="T20780" s="10"/>
    </row>
    <row r="20781" spans="20:20">
      <c r="T20781" s="10"/>
    </row>
    <row r="20782" spans="20:20">
      <c r="T20782" s="10"/>
    </row>
    <row r="20783" spans="20:20">
      <c r="T20783" s="10"/>
    </row>
    <row r="20784" spans="20:20">
      <c r="T20784" s="10"/>
    </row>
    <row r="20785" spans="20:20">
      <c r="T20785" s="10"/>
    </row>
    <row r="20786" spans="20:20">
      <c r="T20786" s="10"/>
    </row>
    <row r="20787" spans="20:20">
      <c r="T20787" s="10"/>
    </row>
    <row r="20788" spans="20:20">
      <c r="T20788" s="10"/>
    </row>
    <row r="20789" spans="20:20">
      <c r="T20789" s="10"/>
    </row>
    <row r="20790" spans="20:20">
      <c r="T20790" s="10"/>
    </row>
    <row r="20791" spans="20:20">
      <c r="T20791" s="10"/>
    </row>
    <row r="20792" spans="20:20">
      <c r="T20792" s="10"/>
    </row>
    <row r="20793" spans="20:20">
      <c r="T20793" s="10"/>
    </row>
    <row r="20794" spans="20:20">
      <c r="T20794" s="10"/>
    </row>
    <row r="20795" spans="20:20">
      <c r="T20795" s="10"/>
    </row>
    <row r="20796" spans="20:20">
      <c r="T20796" s="10"/>
    </row>
    <row r="20797" spans="20:20">
      <c r="T20797" s="10"/>
    </row>
    <row r="20798" spans="20:20">
      <c r="T20798" s="10"/>
    </row>
    <row r="20799" spans="20:20">
      <c r="T20799" s="10"/>
    </row>
    <row r="20800" spans="20:20">
      <c r="T20800" s="10"/>
    </row>
    <row r="20801" spans="20:20">
      <c r="T20801" s="10"/>
    </row>
    <row r="20802" spans="20:20">
      <c r="T20802" s="10"/>
    </row>
    <row r="20803" spans="20:20">
      <c r="T20803" s="10"/>
    </row>
    <row r="20804" spans="20:20">
      <c r="T20804" s="10"/>
    </row>
    <row r="20805" spans="20:20">
      <c r="T20805" s="10"/>
    </row>
    <row r="20806" spans="20:20">
      <c r="T20806" s="10"/>
    </row>
    <row r="20807" spans="20:20">
      <c r="T20807" s="10"/>
    </row>
    <row r="20808" spans="20:20">
      <c r="T20808" s="10"/>
    </row>
    <row r="20809" spans="20:20">
      <c r="T20809" s="10"/>
    </row>
    <row r="20810" spans="20:20">
      <c r="T20810" s="10"/>
    </row>
    <row r="20811" spans="20:20">
      <c r="T20811" s="10"/>
    </row>
    <row r="20812" spans="20:20">
      <c r="T20812" s="10"/>
    </row>
    <row r="20813" spans="20:20">
      <c r="T20813" s="10"/>
    </row>
    <row r="20814" spans="20:20">
      <c r="T20814" s="10"/>
    </row>
    <row r="20815" spans="20:20">
      <c r="T20815" s="10"/>
    </row>
    <row r="20816" spans="20:20">
      <c r="T20816" s="10"/>
    </row>
    <row r="20817" spans="20:20">
      <c r="T20817" s="10"/>
    </row>
    <row r="20818" spans="20:20">
      <c r="T20818" s="10"/>
    </row>
    <row r="20819" spans="20:20">
      <c r="T20819" s="10"/>
    </row>
    <row r="20820" spans="20:20">
      <c r="T20820" s="10"/>
    </row>
    <row r="20821" spans="20:20">
      <c r="T20821" s="10"/>
    </row>
    <row r="20822" spans="20:20">
      <c r="T20822" s="10"/>
    </row>
    <row r="20823" spans="20:20">
      <c r="T20823" s="10"/>
    </row>
    <row r="20824" spans="20:20">
      <c r="T20824" s="10"/>
    </row>
    <row r="20825" spans="20:20">
      <c r="T20825" s="10"/>
    </row>
    <row r="20826" spans="20:20">
      <c r="T20826" s="10"/>
    </row>
    <row r="20827" spans="20:20">
      <c r="T20827" s="10"/>
    </row>
    <row r="20828" spans="20:20">
      <c r="T20828" s="10"/>
    </row>
    <row r="20829" spans="20:20">
      <c r="T20829" s="10"/>
    </row>
    <row r="20830" spans="20:20">
      <c r="T20830" s="10"/>
    </row>
    <row r="20831" spans="20:20">
      <c r="T20831" s="10"/>
    </row>
    <row r="20832" spans="20:20">
      <c r="T20832" s="10"/>
    </row>
    <row r="20833" spans="20:20">
      <c r="T20833" s="10"/>
    </row>
    <row r="20834" spans="20:20">
      <c r="T20834" s="10"/>
    </row>
    <row r="20835" spans="20:20">
      <c r="T20835" s="10"/>
    </row>
    <row r="20836" spans="20:20">
      <c r="T20836" s="10"/>
    </row>
    <row r="20837" spans="20:20">
      <c r="T20837" s="10"/>
    </row>
    <row r="20838" spans="20:20">
      <c r="T20838" s="10"/>
    </row>
    <row r="20839" spans="20:20">
      <c r="T20839" s="10"/>
    </row>
    <row r="20840" spans="20:20">
      <c r="T20840" s="10"/>
    </row>
    <row r="20841" spans="20:20">
      <c r="T20841" s="10"/>
    </row>
    <row r="20842" spans="20:20">
      <c r="T20842" s="10"/>
    </row>
    <row r="20843" spans="20:20">
      <c r="T20843" s="10"/>
    </row>
    <row r="20844" spans="20:20">
      <c r="T20844" s="10"/>
    </row>
    <row r="20845" spans="20:20">
      <c r="T20845" s="10"/>
    </row>
    <row r="20846" spans="20:20">
      <c r="T20846" s="10"/>
    </row>
    <row r="20847" spans="20:20">
      <c r="T20847" s="10"/>
    </row>
    <row r="20848" spans="20:20">
      <c r="T20848" s="10"/>
    </row>
    <row r="20849" spans="20:20">
      <c r="T20849" s="10"/>
    </row>
    <row r="20850" spans="20:20">
      <c r="T20850" s="10"/>
    </row>
    <row r="20851" spans="20:20">
      <c r="T20851" s="10"/>
    </row>
    <row r="20852" spans="20:20">
      <c r="T20852" s="10"/>
    </row>
    <row r="20853" spans="20:20">
      <c r="T20853" s="10"/>
    </row>
    <row r="20854" spans="20:20">
      <c r="T20854" s="10"/>
    </row>
    <row r="20855" spans="20:20">
      <c r="T20855" s="10"/>
    </row>
    <row r="20856" spans="20:20">
      <c r="T20856" s="10"/>
    </row>
    <row r="20857" spans="20:20">
      <c r="T20857" s="10"/>
    </row>
    <row r="20858" spans="20:20">
      <c r="T20858" s="10"/>
    </row>
    <row r="20859" spans="20:20">
      <c r="T20859" s="10"/>
    </row>
    <row r="20860" spans="20:20">
      <c r="T20860" s="10"/>
    </row>
    <row r="20861" spans="20:20">
      <c r="T20861" s="10"/>
    </row>
    <row r="20862" spans="20:20">
      <c r="T20862" s="10"/>
    </row>
    <row r="20863" spans="20:20">
      <c r="T20863" s="10"/>
    </row>
    <row r="20864" spans="20:20">
      <c r="T20864" s="10"/>
    </row>
    <row r="20865" spans="20:20">
      <c r="T20865" s="10"/>
    </row>
    <row r="20866" spans="20:20">
      <c r="T20866" s="10"/>
    </row>
    <row r="20867" spans="20:20">
      <c r="T20867" s="10"/>
    </row>
    <row r="20868" spans="20:20">
      <c r="T20868" s="10"/>
    </row>
    <row r="20869" spans="20:20">
      <c r="T20869" s="10"/>
    </row>
    <row r="20870" spans="20:20">
      <c r="T20870" s="10"/>
    </row>
    <row r="20871" spans="20:20">
      <c r="T20871" s="10"/>
    </row>
    <row r="20872" spans="20:20">
      <c r="T20872" s="10"/>
    </row>
    <row r="20873" spans="20:20">
      <c r="T20873" s="10"/>
    </row>
    <row r="20874" spans="20:20">
      <c r="T20874" s="10"/>
    </row>
    <row r="20875" spans="20:20">
      <c r="T20875" s="10"/>
    </row>
    <row r="20876" spans="20:20">
      <c r="T20876" s="10"/>
    </row>
    <row r="20877" spans="20:20">
      <c r="T20877" s="10"/>
    </row>
    <row r="20878" spans="20:20">
      <c r="T20878" s="10"/>
    </row>
    <row r="20879" spans="20:20">
      <c r="T20879" s="10"/>
    </row>
    <row r="20880" spans="20:20">
      <c r="T20880" s="10"/>
    </row>
    <row r="20881" spans="20:20">
      <c r="T20881" s="10"/>
    </row>
    <row r="20882" spans="20:20">
      <c r="T20882" s="10"/>
    </row>
    <row r="20883" spans="20:20">
      <c r="T20883" s="10"/>
    </row>
    <row r="20884" spans="20:20">
      <c r="T20884" s="10"/>
    </row>
    <row r="20885" spans="20:20">
      <c r="T20885" s="10"/>
    </row>
    <row r="20886" spans="20:20">
      <c r="T20886" s="10"/>
    </row>
    <row r="20887" spans="20:20">
      <c r="T20887" s="10"/>
    </row>
    <row r="20888" spans="20:20">
      <c r="T20888" s="10"/>
    </row>
    <row r="20889" spans="20:20">
      <c r="T20889" s="10"/>
    </row>
    <row r="20890" spans="20:20">
      <c r="T20890" s="10"/>
    </row>
    <row r="20891" spans="20:20">
      <c r="T20891" s="10"/>
    </row>
    <row r="20892" spans="20:20">
      <c r="T20892" s="10"/>
    </row>
    <row r="20893" spans="20:20">
      <c r="T20893" s="10"/>
    </row>
    <row r="20894" spans="20:20">
      <c r="T20894" s="10"/>
    </row>
    <row r="20895" spans="20:20">
      <c r="T20895" s="10"/>
    </row>
    <row r="20896" spans="20:20">
      <c r="T20896" s="10"/>
    </row>
    <row r="20897" spans="20:20">
      <c r="T20897" s="10"/>
    </row>
    <row r="20898" spans="20:20">
      <c r="T20898" s="10"/>
    </row>
    <row r="20899" spans="20:20">
      <c r="T20899" s="10"/>
    </row>
    <row r="20900" spans="20:20">
      <c r="T20900" s="10"/>
    </row>
    <row r="20901" spans="20:20">
      <c r="T20901" s="10"/>
    </row>
    <row r="20902" spans="20:20">
      <c r="T20902" s="10"/>
    </row>
    <row r="20903" spans="20:20">
      <c r="T20903" s="10"/>
    </row>
    <row r="20904" spans="20:20">
      <c r="T20904" s="10"/>
    </row>
    <row r="20905" spans="20:20">
      <c r="T20905" s="10"/>
    </row>
    <row r="20906" spans="20:20">
      <c r="T20906" s="10"/>
    </row>
    <row r="20907" spans="20:20">
      <c r="T20907" s="10"/>
    </row>
    <row r="20908" spans="20:20">
      <c r="T20908" s="10"/>
    </row>
    <row r="20909" spans="20:20">
      <c r="T20909" s="10"/>
    </row>
    <row r="20910" spans="20:20">
      <c r="T20910" s="10"/>
    </row>
    <row r="20911" spans="20:20">
      <c r="T20911" s="10"/>
    </row>
    <row r="20912" spans="20:20">
      <c r="T20912" s="10"/>
    </row>
    <row r="20913" spans="20:20">
      <c r="T20913" s="10"/>
    </row>
    <row r="20914" spans="20:20">
      <c r="T20914" s="10"/>
    </row>
    <row r="20915" spans="20:20">
      <c r="T20915" s="10"/>
    </row>
    <row r="20916" spans="20:20">
      <c r="T20916" s="10"/>
    </row>
    <row r="20917" spans="20:20">
      <c r="T20917" s="10"/>
    </row>
    <row r="20918" spans="20:20">
      <c r="T20918" s="10"/>
    </row>
    <row r="20919" spans="20:20">
      <c r="T20919" s="10"/>
    </row>
    <row r="20920" spans="20:20">
      <c r="T20920" s="10"/>
    </row>
    <row r="20921" spans="20:20">
      <c r="T20921" s="10"/>
    </row>
    <row r="20922" spans="20:20">
      <c r="T20922" s="10"/>
    </row>
    <row r="20923" spans="20:20">
      <c r="T20923" s="10"/>
    </row>
    <row r="20924" spans="20:20">
      <c r="T20924" s="10"/>
    </row>
    <row r="20925" spans="20:20">
      <c r="T20925" s="10"/>
    </row>
    <row r="20926" spans="20:20">
      <c r="T20926" s="10"/>
    </row>
    <row r="20927" spans="20:20">
      <c r="T20927" s="10"/>
    </row>
    <row r="20928" spans="20:20">
      <c r="T20928" s="10"/>
    </row>
    <row r="20929" spans="20:20">
      <c r="T20929" s="10"/>
    </row>
    <row r="20930" spans="20:20">
      <c r="T20930" s="10"/>
    </row>
    <row r="20931" spans="20:20">
      <c r="T20931" s="10"/>
    </row>
    <row r="20932" spans="20:20">
      <c r="T20932" s="10"/>
    </row>
    <row r="20933" spans="20:20">
      <c r="T20933" s="10"/>
    </row>
    <row r="20934" spans="20:20">
      <c r="T20934" s="10"/>
    </row>
    <row r="20935" spans="20:20">
      <c r="T20935" s="10"/>
    </row>
    <row r="20936" spans="20:20">
      <c r="T20936" s="10"/>
    </row>
    <row r="20937" spans="20:20">
      <c r="T20937" s="10"/>
    </row>
    <row r="20938" spans="20:20">
      <c r="T20938" s="10"/>
    </row>
    <row r="20939" spans="20:20">
      <c r="T20939" s="10"/>
    </row>
    <row r="20940" spans="20:20">
      <c r="T20940" s="10"/>
    </row>
    <row r="20941" spans="20:20">
      <c r="T20941" s="10"/>
    </row>
    <row r="20942" spans="20:20">
      <c r="T20942" s="10"/>
    </row>
    <row r="20943" spans="20:20">
      <c r="T20943" s="10"/>
    </row>
    <row r="20944" spans="20:20">
      <c r="T20944" s="10"/>
    </row>
    <row r="20945" spans="20:20">
      <c r="T20945" s="10"/>
    </row>
    <row r="20946" spans="20:20">
      <c r="T20946" s="10"/>
    </row>
    <row r="20947" spans="20:20">
      <c r="T20947" s="10"/>
    </row>
    <row r="20948" spans="20:20">
      <c r="T20948" s="10"/>
    </row>
    <row r="20949" spans="20:20">
      <c r="T20949" s="10"/>
    </row>
    <row r="20950" spans="20:20">
      <c r="T20950" s="10"/>
    </row>
    <row r="20951" spans="20:20">
      <c r="T20951" s="10"/>
    </row>
    <row r="20952" spans="20:20">
      <c r="T20952" s="10"/>
    </row>
    <row r="20953" spans="20:20">
      <c r="T20953" s="10"/>
    </row>
    <row r="20954" spans="20:20">
      <c r="T20954" s="10"/>
    </row>
    <row r="20955" spans="20:20">
      <c r="T20955" s="10"/>
    </row>
    <row r="20956" spans="20:20">
      <c r="T20956" s="10"/>
    </row>
    <row r="20957" spans="20:20">
      <c r="T20957" s="10"/>
    </row>
    <row r="20958" spans="20:20">
      <c r="T20958" s="10"/>
    </row>
    <row r="20959" spans="20:20">
      <c r="T20959" s="10"/>
    </row>
    <row r="20960" spans="20:20">
      <c r="T20960" s="10"/>
    </row>
    <row r="20961" spans="20:20">
      <c r="T20961" s="10"/>
    </row>
    <row r="20962" spans="20:20">
      <c r="T20962" s="10"/>
    </row>
    <row r="20963" spans="20:20">
      <c r="T20963" s="10"/>
    </row>
    <row r="20964" spans="20:20">
      <c r="T20964" s="10"/>
    </row>
    <row r="20965" spans="20:20">
      <c r="T20965" s="10"/>
    </row>
    <row r="20966" spans="20:20">
      <c r="T20966" s="10"/>
    </row>
    <row r="20967" spans="20:20">
      <c r="T20967" s="10"/>
    </row>
    <row r="20968" spans="20:20">
      <c r="T20968" s="10"/>
    </row>
    <row r="20969" spans="20:20">
      <c r="T20969" s="10"/>
    </row>
    <row r="20970" spans="20:20">
      <c r="T20970" s="10"/>
    </row>
    <row r="20971" spans="20:20">
      <c r="T20971" s="10"/>
    </row>
    <row r="20972" spans="20:20">
      <c r="T20972" s="10"/>
    </row>
    <row r="20973" spans="20:20">
      <c r="T20973" s="10"/>
    </row>
    <row r="20974" spans="20:20">
      <c r="T20974" s="10"/>
    </row>
    <row r="20975" spans="20:20">
      <c r="T20975" s="10"/>
    </row>
    <row r="20976" spans="20:20">
      <c r="T20976" s="10"/>
    </row>
    <row r="20977" spans="20:20">
      <c r="T20977" s="10"/>
    </row>
    <row r="20978" spans="20:20">
      <c r="T20978" s="10"/>
    </row>
    <row r="20979" spans="20:20">
      <c r="T20979" s="10"/>
    </row>
    <row r="20980" spans="20:20">
      <c r="T20980" s="10"/>
    </row>
    <row r="20981" spans="20:20">
      <c r="T20981" s="10"/>
    </row>
    <row r="20982" spans="20:20">
      <c r="T20982" s="10"/>
    </row>
    <row r="20983" spans="20:20">
      <c r="T20983" s="10"/>
    </row>
    <row r="20984" spans="20:20">
      <c r="T20984" s="10"/>
    </row>
    <row r="20985" spans="20:20">
      <c r="T20985" s="10"/>
    </row>
    <row r="20986" spans="20:20">
      <c r="T20986" s="10"/>
    </row>
    <row r="20987" spans="20:20">
      <c r="T20987" s="10"/>
    </row>
    <row r="20988" spans="20:20">
      <c r="T20988" s="10"/>
    </row>
    <row r="20989" spans="20:20">
      <c r="T20989" s="10"/>
    </row>
    <row r="20990" spans="20:20">
      <c r="T20990" s="10"/>
    </row>
    <row r="20991" spans="20:20">
      <c r="T20991" s="10"/>
    </row>
    <row r="20992" spans="20:20">
      <c r="T20992" s="10"/>
    </row>
    <row r="20993" spans="20:20">
      <c r="T20993" s="10"/>
    </row>
    <row r="20994" spans="20:20">
      <c r="T20994" s="10"/>
    </row>
    <row r="20995" spans="20:20">
      <c r="T20995" s="10"/>
    </row>
    <row r="20996" spans="20:20">
      <c r="T20996" s="10"/>
    </row>
    <row r="20997" spans="20:20">
      <c r="T20997" s="10"/>
    </row>
    <row r="20998" spans="20:20">
      <c r="T20998" s="10"/>
    </row>
    <row r="20999" spans="20:20">
      <c r="T20999" s="10"/>
    </row>
    <row r="21000" spans="20:20">
      <c r="T21000" s="10"/>
    </row>
    <row r="21001" spans="20:20">
      <c r="T21001" s="10"/>
    </row>
    <row r="21002" spans="20:20">
      <c r="T21002" s="10"/>
    </row>
    <row r="21003" spans="20:20">
      <c r="T21003" s="10"/>
    </row>
    <row r="21004" spans="20:20">
      <c r="T21004" s="10"/>
    </row>
    <row r="21005" spans="20:20">
      <c r="T21005" s="10"/>
    </row>
    <row r="21006" spans="20:20">
      <c r="T21006" s="10"/>
    </row>
    <row r="21007" spans="20:20">
      <c r="T21007" s="10"/>
    </row>
    <row r="21008" spans="20:20">
      <c r="T21008" s="10"/>
    </row>
    <row r="21009" spans="20:20">
      <c r="T21009" s="10"/>
    </row>
    <row r="21010" spans="20:20">
      <c r="T21010" s="10"/>
    </row>
    <row r="21011" spans="20:20">
      <c r="T21011" s="10"/>
    </row>
    <row r="21012" spans="20:20">
      <c r="T21012" s="10"/>
    </row>
    <row r="21013" spans="20:20">
      <c r="T21013" s="10"/>
    </row>
    <row r="21014" spans="20:20">
      <c r="T21014" s="10"/>
    </row>
    <row r="21015" spans="20:20">
      <c r="T21015" s="10"/>
    </row>
    <row r="21016" spans="20:20">
      <c r="T21016" s="10"/>
    </row>
    <row r="21017" spans="20:20">
      <c r="T21017" s="10"/>
    </row>
    <row r="21018" spans="20:20">
      <c r="T21018" s="10"/>
    </row>
    <row r="21019" spans="20:20">
      <c r="T21019" s="10"/>
    </row>
    <row r="21020" spans="20:20">
      <c r="T21020" s="10"/>
    </row>
    <row r="21021" spans="20:20">
      <c r="T21021" s="10"/>
    </row>
    <row r="21022" spans="20:20">
      <c r="T21022" s="10"/>
    </row>
    <row r="21023" spans="20:20">
      <c r="T21023" s="10"/>
    </row>
    <row r="21024" spans="20:20">
      <c r="T21024" s="10"/>
    </row>
    <row r="21025" spans="20:20">
      <c r="T21025" s="10"/>
    </row>
    <row r="21026" spans="20:20">
      <c r="T21026" s="10"/>
    </row>
    <row r="21027" spans="20:20">
      <c r="T21027" s="10"/>
    </row>
    <row r="21028" spans="20:20">
      <c r="T21028" s="10"/>
    </row>
    <row r="21029" spans="20:20">
      <c r="T21029" s="10"/>
    </row>
    <row r="21030" spans="20:20">
      <c r="T21030" s="10"/>
    </row>
    <row r="21031" spans="20:20">
      <c r="T21031" s="10"/>
    </row>
    <row r="21032" spans="20:20">
      <c r="T21032" s="10"/>
    </row>
    <row r="21033" spans="20:20">
      <c r="T21033" s="10"/>
    </row>
    <row r="21034" spans="20:20">
      <c r="T21034" s="10"/>
    </row>
    <row r="21035" spans="20:20">
      <c r="T21035" s="10"/>
    </row>
    <row r="21036" spans="20:20">
      <c r="T21036" s="10"/>
    </row>
    <row r="21037" spans="20:20">
      <c r="T21037" s="10"/>
    </row>
    <row r="21038" spans="20:20">
      <c r="T21038" s="10"/>
    </row>
    <row r="21039" spans="20:20">
      <c r="T21039" s="10"/>
    </row>
    <row r="21040" spans="20:20">
      <c r="T21040" s="10"/>
    </row>
    <row r="21041" spans="20:20">
      <c r="T21041" s="10"/>
    </row>
    <row r="21042" spans="20:20">
      <c r="T21042" s="10"/>
    </row>
    <row r="21043" spans="20:20">
      <c r="T21043" s="10"/>
    </row>
    <row r="21044" spans="20:20">
      <c r="T21044" s="10"/>
    </row>
    <row r="21045" spans="20:20">
      <c r="T21045" s="10"/>
    </row>
    <row r="21046" spans="20:20">
      <c r="T21046" s="10"/>
    </row>
    <row r="21047" spans="20:20">
      <c r="T21047" s="10"/>
    </row>
    <row r="21048" spans="20:20">
      <c r="T21048" s="10"/>
    </row>
    <row r="21049" spans="20:20">
      <c r="T21049" s="10"/>
    </row>
    <row r="21050" spans="20:20">
      <c r="T21050" s="10"/>
    </row>
    <row r="21051" spans="20:20">
      <c r="T21051" s="10"/>
    </row>
    <row r="21052" spans="20:20">
      <c r="T21052" s="10"/>
    </row>
    <row r="21053" spans="20:20">
      <c r="T21053" s="10"/>
    </row>
    <row r="21054" spans="20:20">
      <c r="T21054" s="10"/>
    </row>
    <row r="21055" spans="20:20">
      <c r="T21055" s="10"/>
    </row>
    <row r="21056" spans="20:20">
      <c r="T21056" s="10"/>
    </row>
    <row r="21057" spans="20:20">
      <c r="T21057" s="10"/>
    </row>
    <row r="21058" spans="20:20">
      <c r="T21058" s="10"/>
    </row>
    <row r="21059" spans="20:20">
      <c r="T21059" s="10"/>
    </row>
    <row r="21060" spans="20:20">
      <c r="T21060" s="10"/>
    </row>
    <row r="21061" spans="20:20">
      <c r="T21061" s="10"/>
    </row>
    <row r="21062" spans="20:20">
      <c r="T21062" s="10"/>
    </row>
    <row r="21063" spans="20:20">
      <c r="T21063" s="10"/>
    </row>
    <row r="21064" spans="20:20">
      <c r="T21064" s="10"/>
    </row>
    <row r="21065" spans="20:20">
      <c r="T21065" s="10"/>
    </row>
    <row r="21066" spans="20:20">
      <c r="T21066" s="10"/>
    </row>
    <row r="21067" spans="20:20">
      <c r="T21067" s="10"/>
    </row>
    <row r="21068" spans="20:20">
      <c r="T21068" s="10"/>
    </row>
    <row r="21069" spans="20:20">
      <c r="T21069" s="10"/>
    </row>
    <row r="21070" spans="20:20">
      <c r="T21070" s="10"/>
    </row>
    <row r="21071" spans="20:20">
      <c r="T21071" s="10"/>
    </row>
    <row r="21072" spans="20:20">
      <c r="T21072" s="10"/>
    </row>
    <row r="21073" spans="20:20">
      <c r="T21073" s="10"/>
    </row>
    <row r="21074" spans="20:20">
      <c r="T21074" s="10"/>
    </row>
    <row r="21075" spans="20:20">
      <c r="T21075" s="10"/>
    </row>
    <row r="21076" spans="20:20">
      <c r="T21076" s="10"/>
    </row>
    <row r="21077" spans="20:20">
      <c r="T21077" s="10"/>
    </row>
    <row r="21078" spans="20:20">
      <c r="T21078" s="10"/>
    </row>
    <row r="21079" spans="20:20">
      <c r="T21079" s="10"/>
    </row>
    <row r="21080" spans="20:20">
      <c r="T21080" s="10"/>
    </row>
    <row r="21081" spans="20:20">
      <c r="T21081" s="10"/>
    </row>
    <row r="21082" spans="20:20">
      <c r="T21082" s="10"/>
    </row>
    <row r="21083" spans="20:20">
      <c r="T21083" s="10"/>
    </row>
    <row r="21084" spans="20:20">
      <c r="T21084" s="10"/>
    </row>
    <row r="21085" spans="20:20">
      <c r="T21085" s="10"/>
    </row>
    <row r="21086" spans="20:20">
      <c r="T21086" s="10"/>
    </row>
    <row r="21087" spans="20:20">
      <c r="T21087" s="10"/>
    </row>
    <row r="21088" spans="20:20">
      <c r="T21088" s="10"/>
    </row>
    <row r="21089" spans="20:20">
      <c r="T21089" s="10"/>
    </row>
    <row r="21090" spans="20:20">
      <c r="T21090" s="10"/>
    </row>
    <row r="21091" spans="20:20">
      <c r="T21091" s="10"/>
    </row>
    <row r="21092" spans="20:20">
      <c r="T21092" s="10"/>
    </row>
    <row r="21093" spans="20:20">
      <c r="T21093" s="10"/>
    </row>
    <row r="21094" spans="20:20">
      <c r="T21094" s="10"/>
    </row>
    <row r="21095" spans="20:20">
      <c r="T21095" s="10"/>
    </row>
    <row r="21096" spans="20:20">
      <c r="T21096" s="10"/>
    </row>
    <row r="21097" spans="20:20">
      <c r="T21097" s="10"/>
    </row>
    <row r="21098" spans="20:20">
      <c r="T21098" s="10"/>
    </row>
    <row r="21099" spans="20:20">
      <c r="T21099" s="10"/>
    </row>
    <row r="21100" spans="20:20">
      <c r="T21100" s="10"/>
    </row>
    <row r="21101" spans="20:20">
      <c r="T21101" s="10"/>
    </row>
    <row r="21102" spans="20:20">
      <c r="T21102" s="10"/>
    </row>
    <row r="21103" spans="20:20">
      <c r="T21103" s="10"/>
    </row>
    <row r="21104" spans="20:20">
      <c r="T21104" s="10"/>
    </row>
    <row r="21105" spans="20:20">
      <c r="T21105" s="10"/>
    </row>
    <row r="21106" spans="20:20">
      <c r="T21106" s="10"/>
    </row>
    <row r="21107" spans="20:20">
      <c r="T21107" s="10"/>
    </row>
    <row r="21108" spans="20:20">
      <c r="T21108" s="10"/>
    </row>
    <row r="21109" spans="20:20">
      <c r="T21109" s="10"/>
    </row>
    <row r="21110" spans="20:20">
      <c r="T21110" s="10"/>
    </row>
    <row r="21111" spans="20:20">
      <c r="T21111" s="10"/>
    </row>
    <row r="21112" spans="20:20">
      <c r="T21112" s="10"/>
    </row>
    <row r="21113" spans="20:20">
      <c r="T21113" s="10"/>
    </row>
    <row r="21114" spans="20:20">
      <c r="T21114" s="10"/>
    </row>
    <row r="21115" spans="20:20">
      <c r="T21115" s="10"/>
    </row>
    <row r="21116" spans="20:20">
      <c r="T21116" s="10"/>
    </row>
    <row r="21117" spans="20:20">
      <c r="T21117" s="10"/>
    </row>
    <row r="21118" spans="20:20">
      <c r="T21118" s="10"/>
    </row>
    <row r="21119" spans="20:20">
      <c r="T21119" s="10"/>
    </row>
    <row r="21120" spans="20:20">
      <c r="T21120" s="10"/>
    </row>
    <row r="21121" spans="20:20">
      <c r="T21121" s="10"/>
    </row>
    <row r="21122" spans="20:20">
      <c r="T21122" s="10"/>
    </row>
    <row r="21123" spans="20:20">
      <c r="T21123" s="10"/>
    </row>
    <row r="21124" spans="20:20">
      <c r="T21124" s="10"/>
    </row>
    <row r="21125" spans="20:20">
      <c r="T21125" s="10"/>
    </row>
    <row r="21126" spans="20:20">
      <c r="T21126" s="10"/>
    </row>
    <row r="21127" spans="20:20">
      <c r="T21127" s="10"/>
    </row>
    <row r="21128" spans="20:20">
      <c r="T21128" s="10"/>
    </row>
    <row r="21129" spans="20:20">
      <c r="T21129" s="10"/>
    </row>
    <row r="21130" spans="20:20">
      <c r="T21130" s="10"/>
    </row>
    <row r="21131" spans="20:20">
      <c r="T21131" s="10"/>
    </row>
    <row r="21132" spans="20:20">
      <c r="T21132" s="10"/>
    </row>
    <row r="21133" spans="20:20">
      <c r="T21133" s="10"/>
    </row>
    <row r="21134" spans="20:20">
      <c r="T21134" s="10"/>
    </row>
    <row r="21135" spans="20:20">
      <c r="T21135" s="10"/>
    </row>
    <row r="21136" spans="20:20">
      <c r="T21136" s="10"/>
    </row>
    <row r="21137" spans="20:20">
      <c r="T21137" s="10"/>
    </row>
    <row r="21138" spans="20:20">
      <c r="T21138" s="10"/>
    </row>
    <row r="21139" spans="20:20">
      <c r="T21139" s="10"/>
    </row>
    <row r="21140" spans="20:20">
      <c r="T21140" s="10"/>
    </row>
    <row r="21141" spans="20:20">
      <c r="T21141" s="10"/>
    </row>
    <row r="21142" spans="20:20">
      <c r="T21142" s="10"/>
    </row>
    <row r="21143" spans="20:20">
      <c r="T21143" s="10"/>
    </row>
    <row r="21144" spans="20:20">
      <c r="T21144" s="10"/>
    </row>
    <row r="21145" spans="20:20">
      <c r="T21145" s="10"/>
    </row>
    <row r="21146" spans="20:20">
      <c r="T21146" s="10"/>
    </row>
    <row r="21147" spans="20:20">
      <c r="T21147" s="10"/>
    </row>
    <row r="21148" spans="20:20">
      <c r="T21148" s="10"/>
    </row>
    <row r="21149" spans="20:20">
      <c r="T21149" s="10"/>
    </row>
    <row r="21150" spans="20:20">
      <c r="T21150" s="10"/>
    </row>
    <row r="21151" spans="20:20">
      <c r="T21151" s="10"/>
    </row>
    <row r="21152" spans="20:20">
      <c r="T21152" s="10"/>
    </row>
    <row r="21153" spans="20:20">
      <c r="T21153" s="10"/>
    </row>
    <row r="21154" spans="20:20">
      <c r="T21154" s="10"/>
    </row>
    <row r="21155" spans="20:20">
      <c r="T21155" s="10"/>
    </row>
    <row r="21156" spans="20:20">
      <c r="T21156" s="10"/>
    </row>
    <row r="21157" spans="20:20">
      <c r="T21157" s="10"/>
    </row>
    <row r="21158" spans="20:20">
      <c r="T21158" s="10"/>
    </row>
    <row r="21159" spans="20:20">
      <c r="T21159" s="10"/>
    </row>
    <row r="21160" spans="20:20">
      <c r="T21160" s="10"/>
    </row>
    <row r="21161" spans="20:20">
      <c r="T21161" s="10"/>
    </row>
    <row r="21162" spans="20:20">
      <c r="T21162" s="10"/>
    </row>
    <row r="21163" spans="20:20">
      <c r="T21163" s="10"/>
    </row>
    <row r="21164" spans="20:20">
      <c r="T21164" s="10"/>
    </row>
    <row r="21165" spans="20:20">
      <c r="T21165" s="10"/>
    </row>
    <row r="21166" spans="20:20">
      <c r="T21166" s="10"/>
    </row>
    <row r="21167" spans="20:20">
      <c r="T21167" s="10"/>
    </row>
    <row r="21168" spans="20:20">
      <c r="T21168" s="10"/>
    </row>
    <row r="21169" spans="20:20">
      <c r="T21169" s="10"/>
    </row>
    <row r="21170" spans="20:20">
      <c r="T21170" s="10"/>
    </row>
    <row r="21171" spans="20:20">
      <c r="T21171" s="10"/>
    </row>
    <row r="21172" spans="20:20">
      <c r="T21172" s="10"/>
    </row>
    <row r="21173" spans="20:20">
      <c r="T21173" s="10"/>
    </row>
    <row r="21174" spans="20:20">
      <c r="T21174" s="10"/>
    </row>
    <row r="21175" spans="20:20">
      <c r="T21175" s="10"/>
    </row>
    <row r="21176" spans="20:20">
      <c r="T21176" s="10"/>
    </row>
    <row r="21177" spans="20:20">
      <c r="T21177" s="10"/>
    </row>
    <row r="21178" spans="20:20">
      <c r="T21178" s="10"/>
    </row>
    <row r="21179" spans="20:20">
      <c r="T21179" s="10"/>
    </row>
    <row r="21180" spans="20:20">
      <c r="T21180" s="10"/>
    </row>
    <row r="21181" spans="20:20">
      <c r="T21181" s="10"/>
    </row>
    <row r="21182" spans="20:20">
      <c r="T21182" s="10"/>
    </row>
    <row r="21183" spans="20:20">
      <c r="T21183" s="10"/>
    </row>
    <row r="21184" spans="20:20">
      <c r="T21184" s="10"/>
    </row>
    <row r="21185" spans="20:20">
      <c r="T21185" s="10"/>
    </row>
    <row r="21186" spans="20:20">
      <c r="T21186" s="10"/>
    </row>
    <row r="21187" spans="20:20">
      <c r="T21187" s="10"/>
    </row>
    <row r="21188" spans="20:20">
      <c r="T21188" s="10"/>
    </row>
    <row r="21189" spans="20:20">
      <c r="T21189" s="10"/>
    </row>
    <row r="21190" spans="20:20">
      <c r="T21190" s="10"/>
    </row>
    <row r="21191" spans="20:20">
      <c r="T21191" s="10"/>
    </row>
    <row r="21192" spans="20:20">
      <c r="T21192" s="10"/>
    </row>
    <row r="21193" spans="20:20">
      <c r="T21193" s="10"/>
    </row>
    <row r="21194" spans="20:20">
      <c r="T21194" s="10"/>
    </row>
    <row r="21195" spans="20:20">
      <c r="T21195" s="10"/>
    </row>
    <row r="21196" spans="20:20">
      <c r="T21196" s="10"/>
    </row>
    <row r="21197" spans="20:20">
      <c r="T21197" s="10"/>
    </row>
    <row r="21198" spans="20:20">
      <c r="T21198" s="10"/>
    </row>
    <row r="21199" spans="20:20">
      <c r="T21199" s="10"/>
    </row>
    <row r="21200" spans="20:20">
      <c r="T21200" s="10"/>
    </row>
    <row r="21201" spans="20:20">
      <c r="T21201" s="10"/>
    </row>
    <row r="21202" spans="20:20">
      <c r="T21202" s="10"/>
    </row>
    <row r="21203" spans="20:20">
      <c r="T21203" s="10"/>
    </row>
    <row r="21204" spans="20:20">
      <c r="T21204" s="10"/>
    </row>
    <row r="21205" spans="20:20">
      <c r="T21205" s="10"/>
    </row>
    <row r="21206" spans="20:20">
      <c r="T21206" s="10"/>
    </row>
    <row r="21207" spans="20:20">
      <c r="T21207" s="10"/>
    </row>
    <row r="21208" spans="20:20">
      <c r="T21208" s="10"/>
    </row>
    <row r="21209" spans="20:20">
      <c r="T21209" s="10"/>
    </row>
    <row r="21210" spans="20:20">
      <c r="T21210" s="10"/>
    </row>
    <row r="21211" spans="20:20">
      <c r="T21211" s="10"/>
    </row>
    <row r="21212" spans="20:20">
      <c r="T21212" s="10"/>
    </row>
    <row r="21213" spans="20:20">
      <c r="T21213" s="10"/>
    </row>
    <row r="21214" spans="20:20">
      <c r="T21214" s="10"/>
    </row>
    <row r="21215" spans="20:20">
      <c r="T21215" s="10"/>
    </row>
    <row r="21216" spans="20:20">
      <c r="T21216" s="10"/>
    </row>
    <row r="21217" spans="20:20">
      <c r="T21217" s="10"/>
    </row>
    <row r="21218" spans="20:20">
      <c r="T21218" s="10"/>
    </row>
    <row r="21219" spans="20:20">
      <c r="T21219" s="10"/>
    </row>
    <row r="21220" spans="20:20">
      <c r="T21220" s="10"/>
    </row>
    <row r="21221" spans="20:20">
      <c r="T21221" s="10"/>
    </row>
    <row r="21222" spans="20:20">
      <c r="T21222" s="10"/>
    </row>
    <row r="21223" spans="20:20">
      <c r="T21223" s="10"/>
    </row>
    <row r="21224" spans="20:20">
      <c r="T21224" s="10"/>
    </row>
    <row r="21225" spans="20:20">
      <c r="T21225" s="10"/>
    </row>
    <row r="21226" spans="20:20">
      <c r="T21226" s="10"/>
    </row>
    <row r="21227" spans="20:20">
      <c r="T21227" s="10"/>
    </row>
    <row r="21228" spans="20:20">
      <c r="T21228" s="10"/>
    </row>
    <row r="21229" spans="20:20">
      <c r="T21229" s="10"/>
    </row>
    <row r="21230" spans="20:20">
      <c r="T21230" s="10"/>
    </row>
    <row r="21231" spans="20:20">
      <c r="T21231" s="10"/>
    </row>
    <row r="21232" spans="20:20">
      <c r="T21232" s="10"/>
    </row>
    <row r="21233" spans="20:20">
      <c r="T21233" s="10"/>
    </row>
    <row r="21234" spans="20:20">
      <c r="T21234" s="10"/>
    </row>
    <row r="21235" spans="20:20">
      <c r="T21235" s="10"/>
    </row>
    <row r="21236" spans="20:20">
      <c r="T21236" s="10"/>
    </row>
    <row r="21237" spans="20:20">
      <c r="T21237" s="10"/>
    </row>
    <row r="21238" spans="20:20">
      <c r="T21238" s="10"/>
    </row>
    <row r="21239" spans="20:20">
      <c r="T21239" s="10"/>
    </row>
    <row r="21240" spans="20:20">
      <c r="T21240" s="10"/>
    </row>
    <row r="21241" spans="20:20">
      <c r="T21241" s="10"/>
    </row>
    <row r="21242" spans="20:20">
      <c r="T21242" s="10"/>
    </row>
    <row r="21243" spans="20:20">
      <c r="T21243" s="10"/>
    </row>
    <row r="21244" spans="20:20">
      <c r="T21244" s="10"/>
    </row>
    <row r="21245" spans="20:20">
      <c r="T21245" s="10"/>
    </row>
    <row r="21246" spans="20:20">
      <c r="T21246" s="10"/>
    </row>
    <row r="21247" spans="20:20">
      <c r="T21247" s="10"/>
    </row>
    <row r="21248" spans="20:20">
      <c r="T21248" s="10"/>
    </row>
    <row r="21249" spans="20:20">
      <c r="T21249" s="10"/>
    </row>
    <row r="21250" spans="20:20">
      <c r="T21250" s="10"/>
    </row>
    <row r="21251" spans="20:20">
      <c r="T21251" s="10"/>
    </row>
    <row r="21252" spans="20:20">
      <c r="T21252" s="10"/>
    </row>
    <row r="21253" spans="20:20">
      <c r="T21253" s="10"/>
    </row>
    <row r="21254" spans="20:20">
      <c r="T21254" s="10"/>
    </row>
    <row r="21255" spans="20:20">
      <c r="T21255" s="10"/>
    </row>
    <row r="21256" spans="20:20">
      <c r="T21256" s="10"/>
    </row>
    <row r="21257" spans="20:20">
      <c r="T21257" s="10"/>
    </row>
    <row r="21258" spans="20:20">
      <c r="T21258" s="10"/>
    </row>
    <row r="21259" spans="20:20">
      <c r="T21259" s="10"/>
    </row>
    <row r="21260" spans="20:20">
      <c r="T21260" s="10"/>
    </row>
    <row r="21261" spans="20:20">
      <c r="T21261" s="10"/>
    </row>
    <row r="21262" spans="20:20">
      <c r="T21262" s="10"/>
    </row>
    <row r="21263" spans="20:20">
      <c r="T21263" s="10"/>
    </row>
    <row r="21264" spans="20:20">
      <c r="T21264" s="10"/>
    </row>
    <row r="21265" spans="20:20">
      <c r="T21265" s="10"/>
    </row>
    <row r="21266" spans="20:20">
      <c r="T21266" s="10"/>
    </row>
    <row r="21267" spans="20:20">
      <c r="T21267" s="10"/>
    </row>
    <row r="21268" spans="20:20">
      <c r="T21268" s="10"/>
    </row>
    <row r="21269" spans="20:20">
      <c r="T21269" s="10"/>
    </row>
    <row r="21270" spans="20:20">
      <c r="T21270" s="10"/>
    </row>
    <row r="21271" spans="20:20">
      <c r="T21271" s="10"/>
    </row>
    <row r="21272" spans="20:20">
      <c r="T21272" s="10"/>
    </row>
    <row r="21273" spans="20:20">
      <c r="T21273" s="10"/>
    </row>
    <row r="21274" spans="20:20">
      <c r="T21274" s="10"/>
    </row>
    <row r="21275" spans="20:20">
      <c r="T21275" s="10"/>
    </row>
    <row r="21276" spans="20:20">
      <c r="T21276" s="10"/>
    </row>
    <row r="21277" spans="20:20">
      <c r="T21277" s="10"/>
    </row>
    <row r="21278" spans="20:20">
      <c r="T21278" s="10"/>
    </row>
    <row r="21279" spans="20:20">
      <c r="T21279" s="10"/>
    </row>
    <row r="21280" spans="20:20">
      <c r="T21280" s="10"/>
    </row>
    <row r="21281" spans="20:20">
      <c r="T21281" s="10"/>
    </row>
    <row r="21282" spans="20:20">
      <c r="T21282" s="10"/>
    </row>
    <row r="21283" spans="20:20">
      <c r="T21283" s="10"/>
    </row>
    <row r="21284" spans="20:20">
      <c r="T21284" s="10"/>
    </row>
    <row r="21285" spans="20:20">
      <c r="T21285" s="10"/>
    </row>
    <row r="21286" spans="20:20">
      <c r="T21286" s="10"/>
    </row>
    <row r="21287" spans="20:20">
      <c r="T21287" s="10"/>
    </row>
    <row r="21288" spans="20:20">
      <c r="T21288" s="10"/>
    </row>
    <row r="21289" spans="20:20">
      <c r="T21289" s="10"/>
    </row>
    <row r="21290" spans="20:20">
      <c r="T21290" s="10"/>
    </row>
    <row r="21291" spans="20:20">
      <c r="T21291" s="10"/>
    </row>
    <row r="21292" spans="20:20">
      <c r="T21292" s="10"/>
    </row>
    <row r="21293" spans="20:20">
      <c r="T21293" s="10"/>
    </row>
    <row r="21294" spans="20:20">
      <c r="T21294" s="10"/>
    </row>
    <row r="21295" spans="20:20">
      <c r="T21295" s="10"/>
    </row>
    <row r="21296" spans="20:20">
      <c r="T21296" s="10"/>
    </row>
    <row r="21297" spans="20:20">
      <c r="T21297" s="10"/>
    </row>
    <row r="21298" spans="20:20">
      <c r="T21298" s="10"/>
    </row>
    <row r="21299" spans="20:20">
      <c r="T21299" s="10"/>
    </row>
    <row r="21300" spans="20:20">
      <c r="T21300" s="10"/>
    </row>
    <row r="21301" spans="20:20">
      <c r="T21301" s="10"/>
    </row>
    <row r="21302" spans="20:20">
      <c r="T21302" s="10"/>
    </row>
    <row r="21303" spans="20:20">
      <c r="T21303" s="10"/>
    </row>
    <row r="21304" spans="20:20">
      <c r="T21304" s="10"/>
    </row>
    <row r="21305" spans="20:20">
      <c r="T21305" s="10"/>
    </row>
    <row r="21306" spans="20:20">
      <c r="T21306" s="10"/>
    </row>
    <row r="21307" spans="20:20">
      <c r="T21307" s="10"/>
    </row>
    <row r="21308" spans="20:20">
      <c r="T21308" s="10"/>
    </row>
    <row r="21309" spans="20:20">
      <c r="T21309" s="10"/>
    </row>
    <row r="21310" spans="20:20">
      <c r="T21310" s="10"/>
    </row>
    <row r="21311" spans="20:20">
      <c r="T21311" s="10"/>
    </row>
    <row r="21312" spans="20:20">
      <c r="T21312" s="10"/>
    </row>
    <row r="21313" spans="20:20">
      <c r="T21313" s="10"/>
    </row>
    <row r="21314" spans="20:20">
      <c r="T21314" s="10"/>
    </row>
    <row r="21315" spans="20:20">
      <c r="T21315" s="10"/>
    </row>
    <row r="21316" spans="20:20">
      <c r="T21316" s="10"/>
    </row>
    <row r="21317" spans="20:20">
      <c r="T21317" s="10"/>
    </row>
    <row r="21318" spans="20:20">
      <c r="T21318" s="10"/>
    </row>
    <row r="21319" spans="20:20">
      <c r="T21319" s="10"/>
    </row>
    <row r="21320" spans="20:20">
      <c r="T21320" s="10"/>
    </row>
    <row r="21321" spans="20:20">
      <c r="T21321" s="10"/>
    </row>
    <row r="21322" spans="20:20">
      <c r="T21322" s="10"/>
    </row>
    <row r="21323" spans="20:20">
      <c r="T21323" s="10"/>
    </row>
    <row r="21324" spans="20:20">
      <c r="T21324" s="10"/>
    </row>
    <row r="21325" spans="20:20">
      <c r="T21325" s="10"/>
    </row>
    <row r="21326" spans="20:20">
      <c r="T21326" s="10"/>
    </row>
    <row r="21327" spans="20:20">
      <c r="T21327" s="10"/>
    </row>
    <row r="21328" spans="20:20">
      <c r="T21328" s="10"/>
    </row>
    <row r="21329" spans="20:20">
      <c r="T21329" s="10"/>
    </row>
    <row r="21330" spans="20:20">
      <c r="T21330" s="10"/>
    </row>
    <row r="21331" spans="20:20">
      <c r="T21331" s="10"/>
    </row>
    <row r="21332" spans="20:20">
      <c r="T21332" s="10"/>
    </row>
    <row r="21333" spans="20:20">
      <c r="T21333" s="10"/>
    </row>
    <row r="21334" spans="20:20">
      <c r="T21334" s="10"/>
    </row>
    <row r="21335" spans="20:20">
      <c r="T21335" s="10"/>
    </row>
    <row r="21336" spans="20:20">
      <c r="T21336" s="10"/>
    </row>
    <row r="21337" spans="20:20">
      <c r="T21337" s="10"/>
    </row>
    <row r="21338" spans="20:20">
      <c r="T21338" s="10"/>
    </row>
    <row r="21339" spans="20:20">
      <c r="T21339" s="10"/>
    </row>
    <row r="21340" spans="20:20">
      <c r="T21340" s="10"/>
    </row>
    <row r="21341" spans="20:20">
      <c r="T21341" s="10"/>
    </row>
    <row r="21342" spans="20:20">
      <c r="T21342" s="10"/>
    </row>
    <row r="21343" spans="20:20">
      <c r="T21343" s="10"/>
    </row>
    <row r="21344" spans="20:20">
      <c r="T21344" s="10"/>
    </row>
    <row r="21345" spans="20:20">
      <c r="T21345" s="10"/>
    </row>
    <row r="21346" spans="20:20">
      <c r="T21346" s="10"/>
    </row>
    <row r="21347" spans="20:20">
      <c r="T21347" s="10"/>
    </row>
    <row r="21348" spans="20:20">
      <c r="T21348" s="10"/>
    </row>
    <row r="21349" spans="20:20">
      <c r="T21349" s="10"/>
    </row>
    <row r="21350" spans="20:20">
      <c r="T21350" s="10"/>
    </row>
    <row r="21351" spans="20:20">
      <c r="T21351" s="10"/>
    </row>
    <row r="21352" spans="20:20">
      <c r="T21352" s="10"/>
    </row>
    <row r="21353" spans="20:20">
      <c r="T21353" s="10"/>
    </row>
    <row r="21354" spans="20:20">
      <c r="T21354" s="10"/>
    </row>
    <row r="21355" spans="20:20">
      <c r="T21355" s="10"/>
    </row>
    <row r="21356" spans="20:20">
      <c r="T21356" s="10"/>
    </row>
    <row r="21357" spans="20:20">
      <c r="T21357" s="10"/>
    </row>
    <row r="21358" spans="20:20">
      <c r="T21358" s="10"/>
    </row>
    <row r="21359" spans="20:20">
      <c r="T21359" s="10"/>
    </row>
    <row r="21360" spans="20:20">
      <c r="T21360" s="10"/>
    </row>
    <row r="21361" spans="20:20">
      <c r="T21361" s="10"/>
    </row>
    <row r="21362" spans="20:20">
      <c r="T21362" s="10"/>
    </row>
    <row r="21363" spans="20:20">
      <c r="T21363" s="10"/>
    </row>
    <row r="21364" spans="20:20">
      <c r="T21364" s="10"/>
    </row>
    <row r="21365" spans="20:20">
      <c r="T21365" s="10"/>
    </row>
    <row r="21366" spans="20:20">
      <c r="T21366" s="10"/>
    </row>
    <row r="21367" spans="20:20">
      <c r="T21367" s="10"/>
    </row>
    <row r="21368" spans="20:20">
      <c r="T21368" s="10"/>
    </row>
    <row r="21369" spans="20:20">
      <c r="T21369" s="10"/>
    </row>
    <row r="21370" spans="20:20">
      <c r="T21370" s="10"/>
    </row>
    <row r="21371" spans="20:20">
      <c r="T21371" s="10"/>
    </row>
    <row r="21372" spans="20:20">
      <c r="T21372" s="10"/>
    </row>
    <row r="21373" spans="20:20">
      <c r="T21373" s="10"/>
    </row>
    <row r="21374" spans="20:20">
      <c r="T21374" s="10"/>
    </row>
    <row r="21375" spans="20:20">
      <c r="T21375" s="10"/>
    </row>
    <row r="21376" spans="20:20">
      <c r="T21376" s="10"/>
    </row>
    <row r="21377" spans="20:20">
      <c r="T21377" s="10"/>
    </row>
    <row r="21378" spans="20:20">
      <c r="T21378" s="10"/>
    </row>
    <row r="21379" spans="20:20">
      <c r="T21379" s="10"/>
    </row>
    <row r="21380" spans="20:20">
      <c r="T21380" s="10"/>
    </row>
    <row r="21381" spans="20:20">
      <c r="T21381" s="10"/>
    </row>
    <row r="21382" spans="20:20">
      <c r="T21382" s="10"/>
    </row>
    <row r="21383" spans="20:20">
      <c r="T21383" s="10"/>
    </row>
    <row r="21384" spans="20:20">
      <c r="T21384" s="10"/>
    </row>
    <row r="21385" spans="20:20">
      <c r="T21385" s="10"/>
    </row>
    <row r="21386" spans="20:20">
      <c r="T21386" s="10"/>
    </row>
    <row r="21387" spans="20:20">
      <c r="T21387" s="10"/>
    </row>
    <row r="21388" spans="20:20">
      <c r="T21388" s="10"/>
    </row>
    <row r="21389" spans="20:20">
      <c r="T21389" s="10"/>
    </row>
    <row r="21390" spans="20:20">
      <c r="T21390" s="10"/>
    </row>
    <row r="21391" spans="20:20">
      <c r="T21391" s="10"/>
    </row>
    <row r="21392" spans="20:20">
      <c r="T21392" s="10"/>
    </row>
    <row r="21393" spans="20:20">
      <c r="T21393" s="10"/>
    </row>
    <row r="21394" spans="20:20">
      <c r="T21394" s="10"/>
    </row>
    <row r="21395" spans="20:20">
      <c r="T21395" s="10"/>
    </row>
    <row r="21396" spans="20:20">
      <c r="T21396" s="10"/>
    </row>
    <row r="21397" spans="20:20">
      <c r="T21397" s="10"/>
    </row>
    <row r="21398" spans="20:20">
      <c r="T21398" s="10"/>
    </row>
    <row r="21399" spans="20:20">
      <c r="T21399" s="10"/>
    </row>
    <row r="21400" spans="20:20">
      <c r="T21400" s="10"/>
    </row>
    <row r="21401" spans="20:20">
      <c r="T21401" s="10"/>
    </row>
    <row r="21402" spans="20:20">
      <c r="T21402" s="10"/>
    </row>
    <row r="21403" spans="20:20">
      <c r="T21403" s="10"/>
    </row>
    <row r="21404" spans="20:20">
      <c r="T21404" s="10"/>
    </row>
    <row r="21405" spans="20:20">
      <c r="T21405" s="10"/>
    </row>
    <row r="21406" spans="20:20">
      <c r="T21406" s="10"/>
    </row>
    <row r="21407" spans="20:20">
      <c r="T21407" s="10"/>
    </row>
    <row r="21408" spans="20:20">
      <c r="T21408" s="10"/>
    </row>
    <row r="21409" spans="20:20">
      <c r="T21409" s="10"/>
    </row>
    <row r="21410" spans="20:20">
      <c r="T21410" s="10"/>
    </row>
    <row r="21411" spans="20:20">
      <c r="T21411" s="10"/>
    </row>
    <row r="21412" spans="20:20">
      <c r="T21412" s="10"/>
    </row>
    <row r="21413" spans="20:20">
      <c r="T21413" s="10"/>
    </row>
    <row r="21414" spans="20:20">
      <c r="T21414" s="10"/>
    </row>
    <row r="21415" spans="20:20">
      <c r="T21415" s="10"/>
    </row>
    <row r="21416" spans="20:20">
      <c r="T21416" s="10"/>
    </row>
    <row r="21417" spans="20:20">
      <c r="T21417" s="10"/>
    </row>
    <row r="21418" spans="20:20">
      <c r="T21418" s="10"/>
    </row>
    <row r="21419" spans="20:20">
      <c r="T21419" s="10"/>
    </row>
    <row r="21420" spans="20:20">
      <c r="T21420" s="10"/>
    </row>
    <row r="21421" spans="20:20">
      <c r="T21421" s="10"/>
    </row>
    <row r="21422" spans="20:20">
      <c r="T21422" s="10"/>
    </row>
    <row r="21423" spans="20:20">
      <c r="T21423" s="10"/>
    </row>
    <row r="21424" spans="20:20">
      <c r="T21424" s="10"/>
    </row>
    <row r="21425" spans="20:20">
      <c r="T21425" s="10"/>
    </row>
    <row r="21426" spans="20:20">
      <c r="T21426" s="10"/>
    </row>
    <row r="21427" spans="20:20">
      <c r="T21427" s="10"/>
    </row>
    <row r="21428" spans="20:20">
      <c r="T21428" s="10"/>
    </row>
    <row r="21429" spans="20:20">
      <c r="T21429" s="10"/>
    </row>
    <row r="21430" spans="20:20">
      <c r="T21430" s="10"/>
    </row>
    <row r="21431" spans="20:20">
      <c r="T21431" s="10"/>
    </row>
    <row r="21432" spans="20:20">
      <c r="T21432" s="10"/>
    </row>
    <row r="21433" spans="20:20">
      <c r="T21433" s="10"/>
    </row>
    <row r="21434" spans="20:20">
      <c r="T21434" s="10"/>
    </row>
    <row r="21435" spans="20:20">
      <c r="T21435" s="10"/>
    </row>
    <row r="21436" spans="20:20">
      <c r="T21436" s="10"/>
    </row>
    <row r="21437" spans="20:20">
      <c r="T21437" s="10"/>
    </row>
    <row r="21438" spans="20:20">
      <c r="T21438" s="10"/>
    </row>
    <row r="21439" spans="20:20">
      <c r="T21439" s="10"/>
    </row>
    <row r="21440" spans="20:20">
      <c r="T21440" s="10"/>
    </row>
    <row r="21441" spans="20:20">
      <c r="T21441" s="10"/>
    </row>
    <row r="21442" spans="20:20">
      <c r="T21442" s="10"/>
    </row>
    <row r="21443" spans="20:20">
      <c r="T21443" s="10"/>
    </row>
    <row r="21444" spans="20:20">
      <c r="T21444" s="10"/>
    </row>
    <row r="21445" spans="20:20">
      <c r="T21445" s="10"/>
    </row>
    <row r="21446" spans="20:20">
      <c r="T21446" s="10"/>
    </row>
    <row r="21447" spans="20:20">
      <c r="T21447" s="10"/>
    </row>
    <row r="21448" spans="20:20">
      <c r="T21448" s="10"/>
    </row>
    <row r="21449" spans="20:20">
      <c r="T21449" s="10"/>
    </row>
    <row r="21450" spans="20:20">
      <c r="T21450" s="10"/>
    </row>
    <row r="21451" spans="20:20">
      <c r="T21451" s="10"/>
    </row>
    <row r="21452" spans="20:20">
      <c r="T21452" s="10"/>
    </row>
    <row r="21453" spans="20:20">
      <c r="T21453" s="10"/>
    </row>
    <row r="21454" spans="20:20">
      <c r="T21454" s="10"/>
    </row>
    <row r="21455" spans="20:20">
      <c r="T21455" s="10"/>
    </row>
    <row r="21456" spans="20:20">
      <c r="T21456" s="10"/>
    </row>
    <row r="21457" spans="20:20">
      <c r="T21457" s="10"/>
    </row>
    <row r="21458" spans="20:20">
      <c r="T21458" s="10"/>
    </row>
    <row r="21459" spans="20:20">
      <c r="T21459" s="10"/>
    </row>
    <row r="21460" spans="20:20">
      <c r="T21460" s="10"/>
    </row>
    <row r="21461" spans="20:20">
      <c r="T21461" s="10"/>
    </row>
    <row r="21462" spans="20:20">
      <c r="T21462" s="10"/>
    </row>
    <row r="21463" spans="20:20">
      <c r="T21463" s="10"/>
    </row>
    <row r="21464" spans="20:20">
      <c r="T21464" s="10"/>
    </row>
    <row r="21465" spans="20:20">
      <c r="T21465" s="10"/>
    </row>
    <row r="21466" spans="20:20">
      <c r="T21466" s="10"/>
    </row>
    <row r="21467" spans="20:20">
      <c r="T21467" s="10"/>
    </row>
    <row r="21468" spans="20:20">
      <c r="T21468" s="10"/>
    </row>
    <row r="21469" spans="20:20">
      <c r="T21469" s="10"/>
    </row>
    <row r="21470" spans="20:20">
      <c r="T21470" s="10"/>
    </row>
    <row r="21471" spans="20:20">
      <c r="T21471" s="10"/>
    </row>
    <row r="21472" spans="20:20">
      <c r="T21472" s="10"/>
    </row>
    <row r="21473" spans="20:20">
      <c r="T21473" s="10"/>
    </row>
    <row r="21474" spans="20:20">
      <c r="T21474" s="10"/>
    </row>
    <row r="21475" spans="20:20">
      <c r="T21475" s="10"/>
    </row>
    <row r="21476" spans="20:20">
      <c r="T21476" s="10"/>
    </row>
    <row r="21477" spans="20:20">
      <c r="T21477" s="10"/>
    </row>
    <row r="21478" spans="20:20">
      <c r="T21478" s="10"/>
    </row>
    <row r="21479" spans="20:20">
      <c r="T21479" s="10"/>
    </row>
    <row r="21480" spans="20:20">
      <c r="T21480" s="10"/>
    </row>
    <row r="21481" spans="20:20">
      <c r="T21481" s="10"/>
    </row>
    <row r="21482" spans="20:20">
      <c r="T21482" s="10"/>
    </row>
    <row r="21483" spans="20:20">
      <c r="T21483" s="10"/>
    </row>
    <row r="21484" spans="20:20">
      <c r="T21484" s="10"/>
    </row>
    <row r="21485" spans="20:20">
      <c r="T21485" s="10"/>
    </row>
    <row r="21486" spans="20:20">
      <c r="T21486" s="10"/>
    </row>
    <row r="21487" spans="20:20">
      <c r="T21487" s="10"/>
    </row>
    <row r="21488" spans="20:20">
      <c r="T21488" s="10"/>
    </row>
    <row r="21489" spans="20:20">
      <c r="T21489" s="10"/>
    </row>
    <row r="21490" spans="20:20">
      <c r="T21490" s="10"/>
    </row>
    <row r="21491" spans="20:20">
      <c r="T21491" s="10"/>
    </row>
    <row r="21492" spans="20:20">
      <c r="T21492" s="10"/>
    </row>
    <row r="21493" spans="20:20">
      <c r="T21493" s="10"/>
    </row>
    <row r="21494" spans="20:20">
      <c r="T21494" s="10"/>
    </row>
    <row r="21495" spans="20:20">
      <c r="T21495" s="10"/>
    </row>
    <row r="21496" spans="20:20">
      <c r="T21496" s="10"/>
    </row>
    <row r="21497" spans="20:20">
      <c r="T21497" s="10"/>
    </row>
    <row r="21498" spans="20:20">
      <c r="T21498" s="10"/>
    </row>
    <row r="21499" spans="20:20">
      <c r="T21499" s="10"/>
    </row>
    <row r="21500" spans="20:20">
      <c r="T21500" s="10"/>
    </row>
    <row r="21501" spans="20:20">
      <c r="T21501" s="10"/>
    </row>
    <row r="21502" spans="20:20">
      <c r="T21502" s="10"/>
    </row>
    <row r="21503" spans="20:20">
      <c r="T21503" s="10"/>
    </row>
    <row r="21504" spans="20:20">
      <c r="T21504" s="10"/>
    </row>
    <row r="21505" spans="20:20">
      <c r="T21505" s="10"/>
    </row>
    <row r="21506" spans="20:20">
      <c r="T21506" s="10"/>
    </row>
    <row r="21507" spans="20:20">
      <c r="T21507" s="10"/>
    </row>
    <row r="21508" spans="20:20">
      <c r="T21508" s="10"/>
    </row>
    <row r="21509" spans="20:20">
      <c r="T21509" s="10"/>
    </row>
    <row r="21510" spans="20:20">
      <c r="T21510" s="10"/>
    </row>
    <row r="21511" spans="20:20">
      <c r="T21511" s="10"/>
    </row>
    <row r="21512" spans="20:20">
      <c r="T21512" s="10"/>
    </row>
    <row r="21513" spans="20:20">
      <c r="T21513" s="10"/>
    </row>
    <row r="21514" spans="20:20">
      <c r="T21514" s="10"/>
    </row>
    <row r="21515" spans="20:20">
      <c r="T21515" s="10"/>
    </row>
    <row r="21516" spans="20:20">
      <c r="T21516" s="10"/>
    </row>
    <row r="21517" spans="20:20">
      <c r="T21517" s="10"/>
    </row>
    <row r="21518" spans="20:20">
      <c r="T21518" s="10"/>
    </row>
    <row r="21519" spans="20:20">
      <c r="T21519" s="10"/>
    </row>
    <row r="21520" spans="20:20">
      <c r="T21520" s="10"/>
    </row>
    <row r="21521" spans="20:20">
      <c r="T21521" s="10"/>
    </row>
    <row r="21522" spans="20:20">
      <c r="T21522" s="10"/>
    </row>
    <row r="21523" spans="20:20">
      <c r="T21523" s="10"/>
    </row>
    <row r="21524" spans="20:20">
      <c r="T21524" s="10"/>
    </row>
    <row r="21525" spans="20:20">
      <c r="T21525" s="10"/>
    </row>
    <row r="21526" spans="20:20">
      <c r="T21526" s="10"/>
    </row>
    <row r="21527" spans="20:20">
      <c r="T21527" s="10"/>
    </row>
    <row r="21528" spans="20:20">
      <c r="T21528" s="10"/>
    </row>
    <row r="21529" spans="20:20">
      <c r="T21529" s="10"/>
    </row>
    <row r="21530" spans="20:20">
      <c r="T21530" s="10"/>
    </row>
    <row r="21531" spans="20:20">
      <c r="T21531" s="10"/>
    </row>
    <row r="21532" spans="20:20">
      <c r="T21532" s="10"/>
    </row>
    <row r="21533" spans="20:20">
      <c r="T21533" s="10"/>
    </row>
    <row r="21534" spans="20:20">
      <c r="T21534" s="10"/>
    </row>
    <row r="21535" spans="20:20">
      <c r="T21535" s="10"/>
    </row>
    <row r="21536" spans="20:20">
      <c r="T21536" s="10"/>
    </row>
    <row r="21537" spans="20:20">
      <c r="T21537" s="10"/>
    </row>
    <row r="21538" spans="20:20">
      <c r="T21538" s="10"/>
    </row>
    <row r="21539" spans="20:20">
      <c r="T21539" s="10"/>
    </row>
    <row r="21540" spans="20:20">
      <c r="T21540" s="10"/>
    </row>
    <row r="21541" spans="20:20">
      <c r="T21541" s="10"/>
    </row>
    <row r="21542" spans="20:20">
      <c r="T21542" s="10"/>
    </row>
    <row r="21543" spans="20:20">
      <c r="T21543" s="10"/>
    </row>
    <row r="21544" spans="20:20">
      <c r="T21544" s="10"/>
    </row>
    <row r="21545" spans="20:20">
      <c r="T21545" s="10"/>
    </row>
    <row r="21546" spans="20:20">
      <c r="T21546" s="10"/>
    </row>
    <row r="21547" spans="20:20">
      <c r="T21547" s="10"/>
    </row>
    <row r="21548" spans="20:20">
      <c r="T21548" s="10"/>
    </row>
    <row r="21549" spans="20:20">
      <c r="T21549" s="10"/>
    </row>
    <row r="21550" spans="20:20">
      <c r="T21550" s="10"/>
    </row>
    <row r="21551" spans="20:20">
      <c r="T21551" s="10"/>
    </row>
    <row r="21552" spans="20:20">
      <c r="T21552" s="10"/>
    </row>
    <row r="21553" spans="20:20">
      <c r="T21553" s="10"/>
    </row>
    <row r="21554" spans="20:20">
      <c r="T21554" s="10"/>
    </row>
    <row r="21555" spans="20:20">
      <c r="T21555" s="10"/>
    </row>
    <row r="21556" spans="20:20">
      <c r="T21556" s="10"/>
    </row>
    <row r="21557" spans="20:20">
      <c r="T21557" s="10"/>
    </row>
    <row r="21558" spans="20:20">
      <c r="T21558" s="10"/>
    </row>
    <row r="21559" spans="20:20">
      <c r="T21559" s="10"/>
    </row>
    <row r="21560" spans="20:20">
      <c r="T21560" s="10"/>
    </row>
    <row r="21561" spans="20:20">
      <c r="T21561" s="10"/>
    </row>
    <row r="21562" spans="20:20">
      <c r="T21562" s="10"/>
    </row>
    <row r="21563" spans="20:20">
      <c r="T21563" s="10"/>
    </row>
    <row r="21564" spans="20:20">
      <c r="T21564" s="10"/>
    </row>
    <row r="21565" spans="20:20">
      <c r="T21565" s="10"/>
    </row>
    <row r="21566" spans="20:20">
      <c r="T21566" s="10"/>
    </row>
    <row r="21567" spans="20:20">
      <c r="T21567" s="10"/>
    </row>
    <row r="21568" spans="20:20">
      <c r="T21568" s="10"/>
    </row>
    <row r="21569" spans="20:20">
      <c r="T21569" s="10"/>
    </row>
    <row r="21570" spans="20:20">
      <c r="T21570" s="10"/>
    </row>
    <row r="21571" spans="20:20">
      <c r="T21571" s="10"/>
    </row>
    <row r="21572" spans="20:20">
      <c r="T21572" s="10"/>
    </row>
    <row r="21573" spans="20:20">
      <c r="T21573" s="10"/>
    </row>
    <row r="21574" spans="20:20">
      <c r="T21574" s="10"/>
    </row>
    <row r="21575" spans="20:20">
      <c r="T21575" s="10"/>
    </row>
    <row r="21576" spans="20:20">
      <c r="T21576" s="10"/>
    </row>
    <row r="21577" spans="20:20">
      <c r="T21577" s="10"/>
    </row>
    <row r="21578" spans="20:20">
      <c r="T21578" s="10"/>
    </row>
    <row r="21579" spans="20:20">
      <c r="T21579" s="10"/>
    </row>
    <row r="21580" spans="20:20">
      <c r="T21580" s="10"/>
    </row>
    <row r="21581" spans="20:20">
      <c r="T21581" s="10"/>
    </row>
    <row r="21582" spans="20:20">
      <c r="T21582" s="10"/>
    </row>
    <row r="21583" spans="20:20">
      <c r="T21583" s="10"/>
    </row>
    <row r="21584" spans="20:20">
      <c r="T21584" s="10"/>
    </row>
    <row r="21585" spans="20:20">
      <c r="T21585" s="10"/>
    </row>
    <row r="21586" spans="20:20">
      <c r="T21586" s="10"/>
    </row>
    <row r="21587" spans="20:20">
      <c r="T21587" s="10"/>
    </row>
    <row r="21588" spans="20:20">
      <c r="T21588" s="10"/>
    </row>
    <row r="21589" spans="20:20">
      <c r="T21589" s="10"/>
    </row>
    <row r="21590" spans="20:20">
      <c r="T21590" s="10"/>
    </row>
    <row r="21591" spans="20:20">
      <c r="T21591" s="10"/>
    </row>
    <row r="21592" spans="20:20">
      <c r="T21592" s="10"/>
    </row>
    <row r="21593" spans="20:20">
      <c r="T21593" s="10"/>
    </row>
    <row r="21594" spans="20:20">
      <c r="T21594" s="10"/>
    </row>
    <row r="21595" spans="20:20">
      <c r="T21595" s="10"/>
    </row>
    <row r="21596" spans="20:20">
      <c r="T21596" s="10"/>
    </row>
    <row r="21597" spans="20:20">
      <c r="T21597" s="10"/>
    </row>
    <row r="21598" spans="20:20">
      <c r="T21598" s="10"/>
    </row>
    <row r="21599" spans="20:20">
      <c r="T21599" s="10"/>
    </row>
    <row r="21600" spans="20:20">
      <c r="T21600" s="10"/>
    </row>
    <row r="21601" spans="20:20">
      <c r="T21601" s="10"/>
    </row>
    <row r="21602" spans="20:20">
      <c r="T21602" s="10"/>
    </row>
    <row r="21603" spans="20:20">
      <c r="T21603" s="10"/>
    </row>
    <row r="21604" spans="20:20">
      <c r="T21604" s="10"/>
    </row>
    <row r="21605" spans="20:20">
      <c r="T21605" s="10"/>
    </row>
    <row r="21606" spans="20:20">
      <c r="T21606" s="10"/>
    </row>
    <row r="21607" spans="20:20">
      <c r="T21607" s="10"/>
    </row>
    <row r="21608" spans="20:20">
      <c r="T21608" s="10"/>
    </row>
    <row r="21609" spans="20:20">
      <c r="T21609" s="10"/>
    </row>
    <row r="21610" spans="20:20">
      <c r="T21610" s="10"/>
    </row>
    <row r="21611" spans="20:20">
      <c r="T21611" s="10"/>
    </row>
    <row r="21612" spans="20:20">
      <c r="T21612" s="10"/>
    </row>
    <row r="21613" spans="20:20">
      <c r="T21613" s="10"/>
    </row>
    <row r="21614" spans="20:20">
      <c r="T21614" s="10"/>
    </row>
    <row r="21615" spans="20:20">
      <c r="T21615" s="10"/>
    </row>
    <row r="21616" spans="20:20">
      <c r="T21616" s="10"/>
    </row>
    <row r="21617" spans="20:20">
      <c r="T21617" s="10"/>
    </row>
    <row r="21618" spans="20:20">
      <c r="T21618" s="10"/>
    </row>
    <row r="21619" spans="20:20">
      <c r="T21619" s="10"/>
    </row>
    <row r="21620" spans="20:20">
      <c r="T21620" s="10"/>
    </row>
    <row r="21621" spans="20:20">
      <c r="T21621" s="10"/>
    </row>
    <row r="21622" spans="20:20">
      <c r="T21622" s="10"/>
    </row>
    <row r="21623" spans="20:20">
      <c r="T21623" s="10"/>
    </row>
    <row r="21624" spans="20:20">
      <c r="T21624" s="10"/>
    </row>
    <row r="21625" spans="20:20">
      <c r="T21625" s="10"/>
    </row>
    <row r="21626" spans="20:20">
      <c r="T21626" s="10"/>
    </row>
    <row r="21627" spans="20:20">
      <c r="T21627" s="10"/>
    </row>
    <row r="21628" spans="20:20">
      <c r="T21628" s="10"/>
    </row>
    <row r="21629" spans="20:20">
      <c r="T21629" s="10"/>
    </row>
    <row r="21630" spans="20:20">
      <c r="T21630" s="10"/>
    </row>
    <row r="21631" spans="20:20">
      <c r="T21631" s="10"/>
    </row>
    <row r="21632" spans="20:20">
      <c r="T21632" s="10"/>
    </row>
    <row r="21633" spans="20:20">
      <c r="T21633" s="10"/>
    </row>
    <row r="21634" spans="20:20">
      <c r="T21634" s="10"/>
    </row>
    <row r="21635" spans="20:20">
      <c r="T21635" s="10"/>
    </row>
    <row r="21636" spans="20:20">
      <c r="T21636" s="10"/>
    </row>
    <row r="21637" spans="20:20">
      <c r="T21637" s="10"/>
    </row>
    <row r="21638" spans="20:20">
      <c r="T21638" s="10"/>
    </row>
    <row r="21639" spans="20:20">
      <c r="T21639" s="10"/>
    </row>
    <row r="21640" spans="20:20">
      <c r="T21640" s="10"/>
    </row>
    <row r="21641" spans="20:20">
      <c r="T21641" s="10"/>
    </row>
    <row r="21642" spans="20:20">
      <c r="T21642" s="10"/>
    </row>
    <row r="21643" spans="20:20">
      <c r="T21643" s="10"/>
    </row>
    <row r="21644" spans="20:20">
      <c r="T21644" s="10"/>
    </row>
    <row r="21645" spans="20:20">
      <c r="T21645" s="10"/>
    </row>
    <row r="21646" spans="20:20">
      <c r="T21646" s="10"/>
    </row>
    <row r="21647" spans="20:20">
      <c r="T21647" s="10"/>
    </row>
    <row r="21648" spans="20:20">
      <c r="T21648" s="10"/>
    </row>
    <row r="21649" spans="20:20">
      <c r="T21649" s="10"/>
    </row>
    <row r="21650" spans="20:20">
      <c r="T21650" s="10"/>
    </row>
    <row r="21651" spans="20:20">
      <c r="T21651" s="10"/>
    </row>
    <row r="21652" spans="20:20">
      <c r="T21652" s="10"/>
    </row>
    <row r="21653" spans="20:20">
      <c r="T21653" s="10"/>
    </row>
    <row r="21654" spans="20:20">
      <c r="T21654" s="10"/>
    </row>
    <row r="21655" spans="20:20">
      <c r="T21655" s="10"/>
    </row>
    <row r="21656" spans="20:20">
      <c r="T21656" s="10"/>
    </row>
    <row r="21657" spans="20:20">
      <c r="T21657" s="10"/>
    </row>
    <row r="21658" spans="20:20">
      <c r="T21658" s="10"/>
    </row>
    <row r="21659" spans="20:20">
      <c r="T21659" s="10"/>
    </row>
    <row r="21660" spans="20:20">
      <c r="T21660" s="10"/>
    </row>
    <row r="21661" spans="20:20">
      <c r="T21661" s="10"/>
    </row>
    <row r="21662" spans="20:20">
      <c r="T21662" s="10"/>
    </row>
    <row r="21663" spans="20:20">
      <c r="T21663" s="10"/>
    </row>
    <row r="21664" spans="20:20">
      <c r="T21664" s="10"/>
    </row>
    <row r="21665" spans="20:20">
      <c r="T21665" s="10"/>
    </row>
    <row r="21666" spans="20:20">
      <c r="T21666" s="10"/>
    </row>
    <row r="21667" spans="20:20">
      <c r="T21667" s="10"/>
    </row>
    <row r="21668" spans="20:20">
      <c r="T21668" s="10"/>
    </row>
    <row r="21669" spans="20:20">
      <c r="T21669" s="10"/>
    </row>
    <row r="21670" spans="20:20">
      <c r="T21670" s="10"/>
    </row>
    <row r="21671" spans="20:20">
      <c r="T21671" s="10"/>
    </row>
    <row r="21672" spans="20:20">
      <c r="T21672" s="10"/>
    </row>
    <row r="21673" spans="20:20">
      <c r="T21673" s="10"/>
    </row>
    <row r="21674" spans="20:20">
      <c r="T21674" s="10"/>
    </row>
    <row r="21675" spans="20:20">
      <c r="T21675" s="10"/>
    </row>
    <row r="21676" spans="20:20">
      <c r="T21676" s="10"/>
    </row>
    <row r="21677" spans="20:20">
      <c r="T21677" s="10"/>
    </row>
    <row r="21678" spans="20:20">
      <c r="T21678" s="10"/>
    </row>
    <row r="21679" spans="20:20">
      <c r="T21679" s="10"/>
    </row>
    <row r="21680" spans="20:20">
      <c r="T21680" s="10"/>
    </row>
    <row r="21681" spans="20:20">
      <c r="T21681" s="10"/>
    </row>
    <row r="21682" spans="20:20">
      <c r="T21682" s="10"/>
    </row>
    <row r="21683" spans="20:20">
      <c r="T21683" s="10"/>
    </row>
    <row r="21684" spans="20:20">
      <c r="T21684" s="10"/>
    </row>
    <row r="21685" spans="20:20">
      <c r="T21685" s="10"/>
    </row>
    <row r="21686" spans="20:20">
      <c r="T21686" s="10"/>
    </row>
    <row r="21687" spans="20:20">
      <c r="T21687" s="10"/>
    </row>
    <row r="21688" spans="20:20">
      <c r="T21688" s="10"/>
    </row>
    <row r="21689" spans="20:20">
      <c r="T21689" s="10"/>
    </row>
    <row r="21690" spans="20:20">
      <c r="T21690" s="10"/>
    </row>
    <row r="21691" spans="20:20">
      <c r="T21691" s="10"/>
    </row>
    <row r="21692" spans="20:20">
      <c r="T21692" s="10"/>
    </row>
    <row r="21693" spans="20:20">
      <c r="T21693" s="10"/>
    </row>
    <row r="21694" spans="20:20">
      <c r="T21694" s="10"/>
    </row>
    <row r="21695" spans="20:20">
      <c r="T21695" s="10"/>
    </row>
    <row r="21696" spans="20:20">
      <c r="T21696" s="10"/>
    </row>
    <row r="21697" spans="20:20">
      <c r="T21697" s="10"/>
    </row>
    <row r="21698" spans="20:20">
      <c r="T21698" s="10"/>
    </row>
    <row r="21699" spans="20:20">
      <c r="T21699" s="10"/>
    </row>
    <row r="21700" spans="20:20">
      <c r="T21700" s="10"/>
    </row>
    <row r="21701" spans="20:20">
      <c r="T21701" s="10"/>
    </row>
    <row r="21702" spans="20:20">
      <c r="T21702" s="10"/>
    </row>
    <row r="21703" spans="20:20">
      <c r="T21703" s="10"/>
    </row>
    <row r="21704" spans="20:20">
      <c r="T21704" s="10"/>
    </row>
    <row r="21705" spans="20:20">
      <c r="T21705" s="10"/>
    </row>
    <row r="21706" spans="20:20">
      <c r="T21706" s="10"/>
    </row>
    <row r="21707" spans="20:20">
      <c r="T21707" s="10"/>
    </row>
    <row r="21708" spans="20:20">
      <c r="T21708" s="10"/>
    </row>
    <row r="21709" spans="20:20">
      <c r="T21709" s="10"/>
    </row>
    <row r="21710" spans="20:20">
      <c r="T21710" s="10"/>
    </row>
    <row r="21711" spans="20:20">
      <c r="T21711" s="10"/>
    </row>
    <row r="21712" spans="20:20">
      <c r="T21712" s="10"/>
    </row>
    <row r="21713" spans="20:20">
      <c r="T21713" s="10"/>
    </row>
    <row r="21714" spans="20:20">
      <c r="T21714" s="10"/>
    </row>
    <row r="21715" spans="20:20">
      <c r="T21715" s="10"/>
    </row>
    <row r="21716" spans="20:20">
      <c r="T21716" s="10"/>
    </row>
    <row r="21717" spans="20:20">
      <c r="T21717" s="10"/>
    </row>
    <row r="21718" spans="20:20">
      <c r="T21718" s="10"/>
    </row>
    <row r="21719" spans="20:20">
      <c r="T21719" s="10"/>
    </row>
    <row r="21720" spans="20:20">
      <c r="T21720" s="10"/>
    </row>
    <row r="21721" spans="20:20">
      <c r="T21721" s="10"/>
    </row>
    <row r="21722" spans="20:20">
      <c r="T21722" s="10"/>
    </row>
    <row r="21723" spans="20:20">
      <c r="T21723" s="10"/>
    </row>
    <row r="21724" spans="20:20">
      <c r="T21724" s="10"/>
    </row>
    <row r="21725" spans="20:20">
      <c r="T21725" s="10"/>
    </row>
    <row r="21726" spans="20:20">
      <c r="T21726" s="10"/>
    </row>
    <row r="21727" spans="20:20">
      <c r="T21727" s="10"/>
    </row>
    <row r="21728" spans="20:20">
      <c r="T21728" s="10"/>
    </row>
    <row r="21729" spans="20:20">
      <c r="T21729" s="10"/>
    </row>
    <row r="21730" spans="20:20">
      <c r="T21730" s="10"/>
    </row>
    <row r="21731" spans="20:20">
      <c r="T21731" s="10"/>
    </row>
    <row r="21732" spans="20:20">
      <c r="T21732" s="10"/>
    </row>
    <row r="21733" spans="20:20">
      <c r="T21733" s="10"/>
    </row>
    <row r="21734" spans="20:20">
      <c r="T21734" s="10"/>
    </row>
    <row r="21735" spans="20:20">
      <c r="T21735" s="10"/>
    </row>
    <row r="21736" spans="20:20">
      <c r="T21736" s="10"/>
    </row>
    <row r="21737" spans="20:20">
      <c r="T21737" s="10"/>
    </row>
    <row r="21738" spans="20:20">
      <c r="T21738" s="10"/>
    </row>
    <row r="21739" spans="20:20">
      <c r="T21739" s="10"/>
    </row>
    <row r="21740" spans="20:20">
      <c r="T21740" s="10"/>
    </row>
    <row r="21741" spans="20:20">
      <c r="T21741" s="10"/>
    </row>
    <row r="21742" spans="20:20">
      <c r="T21742" s="10"/>
    </row>
    <row r="21743" spans="20:20">
      <c r="T21743" s="10"/>
    </row>
    <row r="21744" spans="20:20">
      <c r="T21744" s="10"/>
    </row>
    <row r="21745" spans="20:20">
      <c r="T21745" s="10"/>
    </row>
    <row r="21746" spans="20:20">
      <c r="T21746" s="10"/>
    </row>
    <row r="21747" spans="20:20">
      <c r="T21747" s="10"/>
    </row>
    <row r="21748" spans="20:20">
      <c r="T21748" s="10"/>
    </row>
    <row r="21749" spans="20:20">
      <c r="T21749" s="10"/>
    </row>
    <row r="21750" spans="20:20">
      <c r="T21750" s="10"/>
    </row>
    <row r="21751" spans="20:20">
      <c r="T21751" s="10"/>
    </row>
    <row r="21752" spans="20:20">
      <c r="T21752" s="10"/>
    </row>
    <row r="21753" spans="20:20">
      <c r="T21753" s="10"/>
    </row>
    <row r="21754" spans="20:20">
      <c r="T21754" s="10"/>
    </row>
    <row r="21755" spans="20:20">
      <c r="T21755" s="10"/>
    </row>
    <row r="21756" spans="20:20">
      <c r="T21756" s="10"/>
    </row>
    <row r="21757" spans="20:20">
      <c r="T21757" s="10"/>
    </row>
    <row r="21758" spans="20:20">
      <c r="T21758" s="10"/>
    </row>
    <row r="21759" spans="20:20">
      <c r="T21759" s="10"/>
    </row>
    <row r="21760" spans="20:20">
      <c r="T21760" s="10"/>
    </row>
    <row r="21761" spans="20:20">
      <c r="T21761" s="10"/>
    </row>
    <row r="21762" spans="20:20">
      <c r="T21762" s="10"/>
    </row>
    <row r="21763" spans="20:20">
      <c r="T21763" s="10"/>
    </row>
    <row r="21764" spans="20:20">
      <c r="T21764" s="10"/>
    </row>
    <row r="21765" spans="20:20">
      <c r="T21765" s="10"/>
    </row>
    <row r="21766" spans="20:20">
      <c r="T21766" s="10"/>
    </row>
    <row r="21767" spans="20:20">
      <c r="T21767" s="10"/>
    </row>
    <row r="21768" spans="20:20">
      <c r="T21768" s="10"/>
    </row>
    <row r="21769" spans="20:20">
      <c r="T21769" s="10"/>
    </row>
    <row r="21770" spans="20:20">
      <c r="T21770" s="10"/>
    </row>
    <row r="21771" spans="20:20">
      <c r="T21771" s="10"/>
    </row>
    <row r="21772" spans="20:20">
      <c r="T21772" s="10"/>
    </row>
    <row r="21773" spans="20:20">
      <c r="T21773" s="10"/>
    </row>
    <row r="21774" spans="20:20">
      <c r="T21774" s="10"/>
    </row>
    <row r="21775" spans="20:20">
      <c r="T21775" s="10"/>
    </row>
    <row r="21776" spans="20:20">
      <c r="T21776" s="10"/>
    </row>
    <row r="21777" spans="20:20">
      <c r="T21777" s="10"/>
    </row>
    <row r="21778" spans="20:20">
      <c r="T21778" s="10"/>
    </row>
    <row r="21779" spans="20:20">
      <c r="T21779" s="10"/>
    </row>
    <row r="21780" spans="20:20">
      <c r="T21780" s="10"/>
    </row>
    <row r="21781" spans="20:20">
      <c r="T21781" s="10"/>
    </row>
    <row r="21782" spans="20:20">
      <c r="T21782" s="10"/>
    </row>
    <row r="21783" spans="20:20">
      <c r="T21783" s="10"/>
    </row>
    <row r="21784" spans="20:20">
      <c r="T21784" s="10"/>
    </row>
    <row r="21785" spans="20:20">
      <c r="T21785" s="10"/>
    </row>
    <row r="21786" spans="20:20">
      <c r="T21786" s="10"/>
    </row>
    <row r="21787" spans="20:20">
      <c r="T21787" s="10"/>
    </row>
    <row r="21788" spans="20:20">
      <c r="T21788" s="10"/>
    </row>
    <row r="21789" spans="20:20">
      <c r="T21789" s="10"/>
    </row>
    <row r="21790" spans="20:20">
      <c r="T21790" s="10"/>
    </row>
    <row r="21791" spans="20:20">
      <c r="T21791" s="10"/>
    </row>
    <row r="21792" spans="20:20">
      <c r="T21792" s="10"/>
    </row>
    <row r="21793" spans="20:20">
      <c r="T21793" s="10"/>
    </row>
    <row r="21794" spans="20:20">
      <c r="T21794" s="10"/>
    </row>
    <row r="21795" spans="20:20">
      <c r="T21795" s="10"/>
    </row>
    <row r="21796" spans="20:20">
      <c r="T21796" s="10"/>
    </row>
    <row r="21797" spans="20:20">
      <c r="T21797" s="10"/>
    </row>
    <row r="21798" spans="20:20">
      <c r="T21798" s="10"/>
    </row>
    <row r="21799" spans="20:20">
      <c r="T21799" s="10"/>
    </row>
    <row r="21800" spans="20:20">
      <c r="T21800" s="10"/>
    </row>
    <row r="21801" spans="20:20">
      <c r="T21801" s="10"/>
    </row>
    <row r="21802" spans="20:20">
      <c r="T21802" s="10"/>
    </row>
    <row r="21803" spans="20:20">
      <c r="T21803" s="10"/>
    </row>
    <row r="21804" spans="20:20">
      <c r="T21804" s="10"/>
    </row>
    <row r="21805" spans="20:20">
      <c r="T21805" s="10"/>
    </row>
    <row r="21806" spans="20:20">
      <c r="T21806" s="10"/>
    </row>
    <row r="21807" spans="20:20">
      <c r="T21807" s="10"/>
    </row>
    <row r="21808" spans="20:20">
      <c r="T21808" s="10"/>
    </row>
    <row r="21809" spans="20:20">
      <c r="T21809" s="10"/>
    </row>
    <row r="21810" spans="20:20">
      <c r="T21810" s="10"/>
    </row>
    <row r="21811" spans="20:20">
      <c r="T21811" s="10"/>
    </row>
    <row r="21812" spans="20:20">
      <c r="T21812" s="10"/>
    </row>
    <row r="21813" spans="20:20">
      <c r="T21813" s="10"/>
    </row>
    <row r="21814" spans="20:20">
      <c r="T21814" s="10"/>
    </row>
    <row r="21815" spans="20:20">
      <c r="T21815" s="10"/>
    </row>
    <row r="21816" spans="20:20">
      <c r="T21816" s="10"/>
    </row>
    <row r="21817" spans="20:20">
      <c r="T21817" s="10"/>
    </row>
    <row r="21818" spans="20:20">
      <c r="T21818" s="10"/>
    </row>
    <row r="21819" spans="20:20">
      <c r="T21819" s="10"/>
    </row>
    <row r="21820" spans="20:20">
      <c r="T21820" s="10"/>
    </row>
    <row r="21821" spans="20:20">
      <c r="T21821" s="10"/>
    </row>
    <row r="21822" spans="20:20">
      <c r="T21822" s="10"/>
    </row>
    <row r="21823" spans="20:20">
      <c r="T21823" s="10"/>
    </row>
    <row r="21824" spans="20:20">
      <c r="T21824" s="10"/>
    </row>
    <row r="21825" spans="20:20">
      <c r="T21825" s="10"/>
    </row>
    <row r="21826" spans="20:20">
      <c r="T21826" s="10"/>
    </row>
    <row r="21827" spans="20:20">
      <c r="T21827" s="10"/>
    </row>
    <row r="21828" spans="20:20">
      <c r="T21828" s="10"/>
    </row>
    <row r="21829" spans="20:20">
      <c r="T21829" s="10"/>
    </row>
    <row r="21830" spans="20:20">
      <c r="T21830" s="10"/>
    </row>
    <row r="21831" spans="20:20">
      <c r="T21831" s="10"/>
    </row>
    <row r="21832" spans="20:20">
      <c r="T21832" s="10"/>
    </row>
    <row r="21833" spans="20:20">
      <c r="T21833" s="10"/>
    </row>
    <row r="21834" spans="20:20">
      <c r="T21834" s="10"/>
    </row>
    <row r="21835" spans="20:20">
      <c r="T21835" s="10"/>
    </row>
    <row r="21836" spans="20:20">
      <c r="T21836" s="10"/>
    </row>
    <row r="21837" spans="20:20">
      <c r="T21837" s="10"/>
    </row>
    <row r="21838" spans="20:20">
      <c r="T21838" s="10"/>
    </row>
    <row r="21839" spans="20:20">
      <c r="T21839" s="10"/>
    </row>
    <row r="21840" spans="20:20">
      <c r="T21840" s="10"/>
    </row>
    <row r="21841" spans="20:20">
      <c r="T21841" s="10"/>
    </row>
    <row r="21842" spans="20:20">
      <c r="T21842" s="10"/>
    </row>
    <row r="21843" spans="20:20">
      <c r="T21843" s="10"/>
    </row>
    <row r="21844" spans="20:20">
      <c r="T21844" s="10"/>
    </row>
    <row r="21845" spans="20:20">
      <c r="T21845" s="10"/>
    </row>
    <row r="21846" spans="20:20">
      <c r="T21846" s="10"/>
    </row>
    <row r="21847" spans="20:20">
      <c r="T21847" s="10"/>
    </row>
    <row r="21848" spans="20:20">
      <c r="T21848" s="10"/>
    </row>
    <row r="21849" spans="20:20">
      <c r="T21849" s="10"/>
    </row>
    <row r="21850" spans="20:20">
      <c r="T21850" s="10"/>
    </row>
    <row r="21851" spans="20:20">
      <c r="T21851" s="10"/>
    </row>
    <row r="21852" spans="20:20">
      <c r="T21852" s="10"/>
    </row>
    <row r="21853" spans="20:20">
      <c r="T21853" s="10"/>
    </row>
    <row r="21854" spans="20:20">
      <c r="T21854" s="10"/>
    </row>
    <row r="21855" spans="20:20">
      <c r="T21855" s="10"/>
    </row>
    <row r="21856" spans="20:20">
      <c r="T21856" s="10"/>
    </row>
    <row r="21857" spans="20:20">
      <c r="T21857" s="10"/>
    </row>
    <row r="21858" spans="20:20">
      <c r="T21858" s="10"/>
    </row>
    <row r="21859" spans="20:20">
      <c r="T21859" s="10"/>
    </row>
    <row r="21860" spans="20:20">
      <c r="T21860" s="10"/>
    </row>
    <row r="21861" spans="20:20">
      <c r="T21861" s="10"/>
    </row>
    <row r="21862" spans="20:20">
      <c r="T21862" s="10"/>
    </row>
    <row r="21863" spans="20:20">
      <c r="T21863" s="10"/>
    </row>
    <row r="21864" spans="20:20">
      <c r="T21864" s="10"/>
    </row>
    <row r="21865" spans="20:20">
      <c r="T21865" s="10"/>
    </row>
    <row r="21866" spans="20:20">
      <c r="T21866" s="10"/>
    </row>
    <row r="21867" spans="20:20">
      <c r="T21867" s="10"/>
    </row>
    <row r="21868" spans="20:20">
      <c r="T21868" s="10"/>
    </row>
    <row r="21869" spans="20:20">
      <c r="T21869" s="10"/>
    </row>
    <row r="21870" spans="20:20">
      <c r="T21870" s="10"/>
    </row>
    <row r="21871" spans="20:20">
      <c r="T21871" s="10"/>
    </row>
    <row r="21872" spans="20:20">
      <c r="T21872" s="10"/>
    </row>
    <row r="21873" spans="20:20">
      <c r="T21873" s="10"/>
    </row>
    <row r="21874" spans="20:20">
      <c r="T21874" s="10"/>
    </row>
    <row r="21875" spans="20:20">
      <c r="T21875" s="10"/>
    </row>
    <row r="21876" spans="20:20">
      <c r="T21876" s="10"/>
    </row>
    <row r="21877" spans="20:20">
      <c r="T21877" s="10"/>
    </row>
    <row r="21878" spans="20:20">
      <c r="T21878" s="10"/>
    </row>
    <row r="21879" spans="20:20">
      <c r="T21879" s="10"/>
    </row>
    <row r="21880" spans="20:20">
      <c r="T21880" s="10"/>
    </row>
    <row r="21881" spans="20:20">
      <c r="T21881" s="10"/>
    </row>
    <row r="21882" spans="20:20">
      <c r="T21882" s="10"/>
    </row>
    <row r="21883" spans="20:20">
      <c r="T21883" s="10"/>
    </row>
    <row r="21884" spans="20:20">
      <c r="T21884" s="10"/>
    </row>
    <row r="21885" spans="20:20">
      <c r="T21885" s="10"/>
    </row>
    <row r="21886" spans="20:20">
      <c r="T21886" s="10"/>
    </row>
    <row r="21887" spans="20:20">
      <c r="T21887" s="10"/>
    </row>
    <row r="21888" spans="20:20">
      <c r="T21888" s="10"/>
    </row>
    <row r="21889" spans="20:20">
      <c r="T21889" s="10"/>
    </row>
    <row r="21890" spans="20:20">
      <c r="T21890" s="10"/>
    </row>
    <row r="21891" spans="20:20">
      <c r="T21891" s="10"/>
    </row>
    <row r="21892" spans="20:20">
      <c r="T21892" s="10"/>
    </row>
    <row r="21893" spans="20:20">
      <c r="T21893" s="10"/>
    </row>
    <row r="21894" spans="20:20">
      <c r="T21894" s="10"/>
    </row>
    <row r="21895" spans="20:20">
      <c r="T21895" s="10"/>
    </row>
    <row r="21896" spans="20:20">
      <c r="T21896" s="10"/>
    </row>
    <row r="21897" spans="20:20">
      <c r="T21897" s="10"/>
    </row>
    <row r="21898" spans="20:20">
      <c r="T21898" s="10"/>
    </row>
    <row r="21899" spans="20:20">
      <c r="T21899" s="10"/>
    </row>
    <row r="21900" spans="20:20">
      <c r="T21900" s="10"/>
    </row>
    <row r="21901" spans="20:20">
      <c r="T21901" s="10"/>
    </row>
    <row r="21902" spans="20:20">
      <c r="T21902" s="10"/>
    </row>
    <row r="21903" spans="20:20">
      <c r="T21903" s="10"/>
    </row>
    <row r="21904" spans="20:20">
      <c r="T21904" s="10"/>
    </row>
    <row r="21905" spans="20:20">
      <c r="T21905" s="10"/>
    </row>
    <row r="21906" spans="20:20">
      <c r="T21906" s="10"/>
    </row>
    <row r="21907" spans="20:20">
      <c r="T21907" s="10"/>
    </row>
    <row r="21908" spans="20:20">
      <c r="T21908" s="10"/>
    </row>
    <row r="21909" spans="20:20">
      <c r="T21909" s="10"/>
    </row>
    <row r="21910" spans="20:20">
      <c r="T21910" s="10"/>
    </row>
    <row r="21911" spans="20:20">
      <c r="T21911" s="10"/>
    </row>
    <row r="21912" spans="20:20">
      <c r="T21912" s="10"/>
    </row>
    <row r="21913" spans="20:20">
      <c r="T21913" s="10"/>
    </row>
    <row r="21914" spans="20:20">
      <c r="T21914" s="10"/>
    </row>
    <row r="21915" spans="20:20">
      <c r="T21915" s="10"/>
    </row>
    <row r="21916" spans="20:20">
      <c r="T21916" s="10"/>
    </row>
    <row r="21917" spans="20:20">
      <c r="T21917" s="10"/>
    </row>
    <row r="21918" spans="20:20">
      <c r="T21918" s="10"/>
    </row>
    <row r="21919" spans="20:20">
      <c r="T21919" s="10"/>
    </row>
    <row r="21920" spans="20:20">
      <c r="T21920" s="10"/>
    </row>
    <row r="21921" spans="20:20">
      <c r="T21921" s="10"/>
    </row>
    <row r="21922" spans="20:20">
      <c r="T21922" s="10"/>
    </row>
    <row r="21923" spans="20:20">
      <c r="T21923" s="10"/>
    </row>
    <row r="21924" spans="20:20">
      <c r="T21924" s="10"/>
    </row>
    <row r="21925" spans="20:20">
      <c r="T21925" s="10"/>
    </row>
    <row r="21926" spans="20:20">
      <c r="T21926" s="10"/>
    </row>
    <row r="21927" spans="20:20">
      <c r="T21927" s="10"/>
    </row>
    <row r="21928" spans="20:20">
      <c r="T21928" s="10"/>
    </row>
    <row r="21929" spans="20:20">
      <c r="T21929" s="10"/>
    </row>
    <row r="21930" spans="20:20">
      <c r="T21930" s="10"/>
    </row>
    <row r="21931" spans="20:20">
      <c r="T21931" s="10"/>
    </row>
    <row r="21932" spans="20:20">
      <c r="T21932" s="10"/>
    </row>
    <row r="21933" spans="20:20">
      <c r="T21933" s="10"/>
    </row>
    <row r="21934" spans="20:20">
      <c r="T21934" s="10"/>
    </row>
    <row r="21935" spans="20:20">
      <c r="T21935" s="10"/>
    </row>
    <row r="21936" spans="20:20">
      <c r="T21936" s="10"/>
    </row>
    <row r="21937" spans="20:20">
      <c r="T21937" s="10"/>
    </row>
    <row r="21938" spans="20:20">
      <c r="T21938" s="10"/>
    </row>
    <row r="21939" spans="20:20">
      <c r="T21939" s="10"/>
    </row>
    <row r="21940" spans="20:20">
      <c r="T21940" s="10"/>
    </row>
    <row r="21941" spans="20:20">
      <c r="T21941" s="10"/>
    </row>
    <row r="21942" spans="20:20">
      <c r="T21942" s="10"/>
    </row>
    <row r="21943" spans="20:20">
      <c r="T21943" s="10"/>
    </row>
    <row r="21944" spans="20:20">
      <c r="T21944" s="10"/>
    </row>
    <row r="21945" spans="20:20">
      <c r="T21945" s="10"/>
    </row>
    <row r="21946" spans="20:20">
      <c r="T21946" s="10"/>
    </row>
    <row r="21947" spans="20:20">
      <c r="T21947" s="10"/>
    </row>
    <row r="21948" spans="20:20">
      <c r="T21948" s="10"/>
    </row>
    <row r="21949" spans="20:20">
      <c r="T21949" s="10"/>
    </row>
    <row r="21950" spans="20:20">
      <c r="T21950" s="10"/>
    </row>
    <row r="21951" spans="20:20">
      <c r="T21951" s="10"/>
    </row>
    <row r="21952" spans="20:20">
      <c r="T21952" s="10"/>
    </row>
    <row r="21953" spans="20:20">
      <c r="T21953" s="10"/>
    </row>
    <row r="21954" spans="20:20">
      <c r="T21954" s="10"/>
    </row>
    <row r="21955" spans="20:20">
      <c r="T21955" s="10"/>
    </row>
    <row r="21956" spans="20:20">
      <c r="T21956" s="10"/>
    </row>
    <row r="21957" spans="20:20">
      <c r="T21957" s="10"/>
    </row>
    <row r="21958" spans="20:20">
      <c r="T21958" s="10"/>
    </row>
    <row r="21959" spans="20:20">
      <c r="T21959" s="10"/>
    </row>
    <row r="21960" spans="20:20">
      <c r="T21960" s="10"/>
    </row>
    <row r="21961" spans="20:20">
      <c r="T21961" s="10"/>
    </row>
    <row r="21962" spans="20:20">
      <c r="T21962" s="10"/>
    </row>
    <row r="21963" spans="20:20">
      <c r="T21963" s="10"/>
    </row>
    <row r="21964" spans="20:20">
      <c r="T21964" s="10"/>
    </row>
    <row r="21965" spans="20:20">
      <c r="T21965" s="10"/>
    </row>
    <row r="21966" spans="20:20">
      <c r="T21966" s="10"/>
    </row>
    <row r="21967" spans="20:20">
      <c r="T21967" s="10"/>
    </row>
    <row r="21968" spans="20:20">
      <c r="T21968" s="10"/>
    </row>
    <row r="21969" spans="20:20">
      <c r="T21969" s="10"/>
    </row>
    <row r="21970" spans="20:20">
      <c r="T21970" s="10"/>
    </row>
    <row r="21971" spans="20:20">
      <c r="T21971" s="10"/>
    </row>
    <row r="21972" spans="20:20">
      <c r="T21972" s="10"/>
    </row>
    <row r="21973" spans="20:20">
      <c r="T21973" s="10"/>
    </row>
    <row r="21974" spans="20:20">
      <c r="T21974" s="10"/>
    </row>
    <row r="21975" spans="20:20">
      <c r="T21975" s="10"/>
    </row>
    <row r="21976" spans="20:20">
      <c r="T21976" s="10"/>
    </row>
    <row r="21977" spans="20:20">
      <c r="T21977" s="10"/>
    </row>
    <row r="21978" spans="20:20">
      <c r="T21978" s="10"/>
    </row>
    <row r="21979" spans="20:20">
      <c r="T21979" s="10"/>
    </row>
    <row r="21980" spans="20:20">
      <c r="T21980" s="10"/>
    </row>
    <row r="21981" spans="20:20">
      <c r="T21981" s="10"/>
    </row>
    <row r="21982" spans="20:20">
      <c r="T21982" s="10"/>
    </row>
    <row r="21983" spans="20:20">
      <c r="T21983" s="10"/>
    </row>
    <row r="21984" spans="20:20">
      <c r="T21984" s="10"/>
    </row>
    <row r="21985" spans="20:20">
      <c r="T21985" s="10"/>
    </row>
    <row r="21986" spans="20:20">
      <c r="T21986" s="10"/>
    </row>
    <row r="21987" spans="20:20">
      <c r="T21987" s="10"/>
    </row>
    <row r="21988" spans="20:20">
      <c r="T21988" s="10"/>
    </row>
    <row r="21989" spans="20:20">
      <c r="T21989" s="10"/>
    </row>
    <row r="21990" spans="20:20">
      <c r="T21990" s="10"/>
    </row>
    <row r="21991" spans="20:20">
      <c r="T21991" s="10"/>
    </row>
    <row r="21992" spans="20:20">
      <c r="T21992" s="10"/>
    </row>
    <row r="21993" spans="20:20">
      <c r="T21993" s="10"/>
    </row>
    <row r="21994" spans="20:20">
      <c r="T21994" s="10"/>
    </row>
    <row r="21995" spans="20:20">
      <c r="T21995" s="10"/>
    </row>
    <row r="21996" spans="20:20">
      <c r="T21996" s="10"/>
    </row>
    <row r="21997" spans="20:20">
      <c r="T21997" s="10"/>
    </row>
    <row r="21998" spans="20:20">
      <c r="T21998" s="10"/>
    </row>
    <row r="21999" spans="20:20">
      <c r="T21999" s="10"/>
    </row>
    <row r="22000" spans="20:20">
      <c r="T22000" s="10"/>
    </row>
    <row r="22001" spans="20:20">
      <c r="T22001" s="10"/>
    </row>
    <row r="22002" spans="20:20">
      <c r="T22002" s="10"/>
    </row>
    <row r="22003" spans="20:20">
      <c r="T22003" s="10"/>
    </row>
    <row r="22004" spans="20:20">
      <c r="T22004" s="10"/>
    </row>
    <row r="22005" spans="20:20">
      <c r="T22005" s="10"/>
    </row>
    <row r="22006" spans="20:20">
      <c r="T22006" s="10"/>
    </row>
    <row r="22007" spans="20:20">
      <c r="T22007" s="10"/>
    </row>
    <row r="22008" spans="20:20">
      <c r="T22008" s="10"/>
    </row>
    <row r="22009" spans="20:20">
      <c r="T22009" s="10"/>
    </row>
    <row r="22010" spans="20:20">
      <c r="T22010" s="10"/>
    </row>
    <row r="22011" spans="20:20">
      <c r="T22011" s="10"/>
    </row>
    <row r="22012" spans="20:20">
      <c r="T22012" s="10"/>
    </row>
    <row r="22013" spans="20:20">
      <c r="T22013" s="10"/>
    </row>
    <row r="22014" spans="20:20">
      <c r="T22014" s="10"/>
    </row>
    <row r="22015" spans="20:20">
      <c r="T22015" s="10"/>
    </row>
    <row r="22016" spans="20:20">
      <c r="T22016" s="10"/>
    </row>
    <row r="22017" spans="20:20">
      <c r="T22017" s="10"/>
    </row>
    <row r="22018" spans="20:20">
      <c r="T22018" s="10"/>
    </row>
    <row r="22019" spans="20:20">
      <c r="T22019" s="10"/>
    </row>
    <row r="22020" spans="20:20">
      <c r="T22020" s="10"/>
    </row>
    <row r="22021" spans="20:20">
      <c r="T22021" s="10"/>
    </row>
    <row r="22022" spans="20:20">
      <c r="T22022" s="10"/>
    </row>
    <row r="22023" spans="20:20">
      <c r="T22023" s="10"/>
    </row>
    <row r="22024" spans="20:20">
      <c r="T22024" s="10"/>
    </row>
    <row r="22025" spans="20:20">
      <c r="T22025" s="10"/>
    </row>
    <row r="22026" spans="20:20">
      <c r="T22026" s="10"/>
    </row>
    <row r="22027" spans="20:20">
      <c r="T22027" s="10"/>
    </row>
    <row r="22028" spans="20:20">
      <c r="T22028" s="10"/>
    </row>
    <row r="22029" spans="20:20">
      <c r="T22029" s="10"/>
    </row>
    <row r="22030" spans="20:20">
      <c r="T22030" s="10"/>
    </row>
    <row r="22031" spans="20:20">
      <c r="T22031" s="10"/>
    </row>
    <row r="22032" spans="20:20">
      <c r="T22032" s="10"/>
    </row>
    <row r="22033" spans="20:20">
      <c r="T22033" s="10"/>
    </row>
    <row r="22034" spans="20:20">
      <c r="T22034" s="10"/>
    </row>
    <row r="22035" spans="20:20">
      <c r="T22035" s="10"/>
    </row>
    <row r="22036" spans="20:20">
      <c r="T22036" s="10"/>
    </row>
    <row r="22037" spans="20:20">
      <c r="T22037" s="10"/>
    </row>
    <row r="22038" spans="20:20">
      <c r="T22038" s="10"/>
    </row>
    <row r="22039" spans="20:20">
      <c r="T22039" s="10"/>
    </row>
    <row r="22040" spans="20:20">
      <c r="T22040" s="10"/>
    </row>
    <row r="22041" spans="20:20">
      <c r="T22041" s="10"/>
    </row>
    <row r="22042" spans="20:20">
      <c r="T22042" s="10"/>
    </row>
    <row r="22043" spans="20:20">
      <c r="T22043" s="10"/>
    </row>
    <row r="22044" spans="20:20">
      <c r="T22044" s="10"/>
    </row>
    <row r="22045" spans="20:20">
      <c r="T22045" s="10"/>
    </row>
    <row r="22046" spans="20:20">
      <c r="T22046" s="10"/>
    </row>
    <row r="22047" spans="20:20">
      <c r="T22047" s="10"/>
    </row>
    <row r="22048" spans="20:20">
      <c r="T22048" s="10"/>
    </row>
    <row r="22049" spans="20:20">
      <c r="T22049" s="10"/>
    </row>
    <row r="22050" spans="20:20">
      <c r="T22050" s="10"/>
    </row>
    <row r="22051" spans="20:20">
      <c r="T22051" s="10"/>
    </row>
    <row r="22052" spans="20:20">
      <c r="T22052" s="10"/>
    </row>
    <row r="22053" spans="20:20">
      <c r="T22053" s="10"/>
    </row>
    <row r="22054" spans="20:20">
      <c r="T22054" s="10"/>
    </row>
    <row r="22055" spans="20:20">
      <c r="T22055" s="10"/>
    </row>
    <row r="22056" spans="20:20">
      <c r="T22056" s="10"/>
    </row>
    <row r="22057" spans="20:20">
      <c r="T22057" s="10"/>
    </row>
    <row r="22058" spans="20:20">
      <c r="T22058" s="10"/>
    </row>
    <row r="22059" spans="20:20">
      <c r="T22059" s="10"/>
    </row>
    <row r="22060" spans="20:20">
      <c r="T22060" s="10"/>
    </row>
    <row r="22061" spans="20:20">
      <c r="T22061" s="10"/>
    </row>
    <row r="22062" spans="20:20">
      <c r="T22062" s="10"/>
    </row>
    <row r="22063" spans="20:20">
      <c r="T22063" s="10"/>
    </row>
    <row r="22064" spans="20:20">
      <c r="T22064" s="10"/>
    </row>
    <row r="22065" spans="20:20">
      <c r="T22065" s="10"/>
    </row>
    <row r="22066" spans="20:20">
      <c r="T22066" s="10"/>
    </row>
    <row r="22067" spans="20:20">
      <c r="T22067" s="10"/>
    </row>
    <row r="22068" spans="20:20">
      <c r="T22068" s="10"/>
    </row>
    <row r="22069" spans="20:20">
      <c r="T22069" s="10"/>
    </row>
    <row r="22070" spans="20:20">
      <c r="T22070" s="10"/>
    </row>
    <row r="22071" spans="20:20">
      <c r="T22071" s="10"/>
    </row>
    <row r="22072" spans="20:20">
      <c r="T22072" s="10"/>
    </row>
    <row r="22073" spans="20:20">
      <c r="T22073" s="10"/>
    </row>
    <row r="22074" spans="20:20">
      <c r="T22074" s="10"/>
    </row>
    <row r="22075" spans="20:20">
      <c r="T22075" s="10"/>
    </row>
    <row r="22076" spans="20:20">
      <c r="T22076" s="10"/>
    </row>
    <row r="22077" spans="20:20">
      <c r="T22077" s="10"/>
    </row>
    <row r="22078" spans="20:20">
      <c r="T22078" s="10"/>
    </row>
    <row r="22079" spans="20:20">
      <c r="T22079" s="10"/>
    </row>
    <row r="22080" spans="20:20">
      <c r="T22080" s="10"/>
    </row>
    <row r="22081" spans="20:20">
      <c r="T22081" s="10"/>
    </row>
    <row r="22082" spans="20:20">
      <c r="T22082" s="10"/>
    </row>
    <row r="22083" spans="20:20">
      <c r="T22083" s="10"/>
    </row>
    <row r="22084" spans="20:20">
      <c r="T22084" s="10"/>
    </row>
    <row r="22085" spans="20:20">
      <c r="T22085" s="10"/>
    </row>
    <row r="22086" spans="20:20">
      <c r="T22086" s="10"/>
    </row>
    <row r="22087" spans="20:20">
      <c r="T22087" s="10"/>
    </row>
    <row r="22088" spans="20:20">
      <c r="T22088" s="10"/>
    </row>
    <row r="22089" spans="20:20">
      <c r="T22089" s="10"/>
    </row>
    <row r="22090" spans="20:20">
      <c r="T22090" s="10"/>
    </row>
    <row r="22091" spans="20:20">
      <c r="T22091" s="10"/>
    </row>
    <row r="22092" spans="20:20">
      <c r="T22092" s="10"/>
    </row>
    <row r="22093" spans="20:20">
      <c r="T22093" s="10"/>
    </row>
    <row r="22094" spans="20:20">
      <c r="T22094" s="10"/>
    </row>
    <row r="22095" spans="20:20">
      <c r="T22095" s="10"/>
    </row>
    <row r="22096" spans="20:20">
      <c r="T22096" s="10"/>
    </row>
    <row r="22097" spans="20:20">
      <c r="T22097" s="10"/>
    </row>
    <row r="22098" spans="20:20">
      <c r="T22098" s="10"/>
    </row>
    <row r="22099" spans="20:20">
      <c r="T22099" s="10"/>
    </row>
    <row r="22100" spans="20:20">
      <c r="T22100" s="10"/>
    </row>
    <row r="22101" spans="20:20">
      <c r="T22101" s="10"/>
    </row>
    <row r="22102" spans="20:20">
      <c r="T22102" s="10"/>
    </row>
    <row r="22103" spans="20:20">
      <c r="T22103" s="10"/>
    </row>
    <row r="22104" spans="20:20">
      <c r="T22104" s="10"/>
    </row>
    <row r="22105" spans="20:20">
      <c r="T22105" s="10"/>
    </row>
    <row r="22106" spans="20:20">
      <c r="T22106" s="10"/>
    </row>
    <row r="22107" spans="20:20">
      <c r="T22107" s="10"/>
    </row>
    <row r="22108" spans="20:20">
      <c r="T22108" s="10"/>
    </row>
    <row r="22109" spans="20:20">
      <c r="T22109" s="10"/>
    </row>
    <row r="22110" spans="20:20">
      <c r="T22110" s="10"/>
    </row>
    <row r="22111" spans="20:20">
      <c r="T22111" s="10"/>
    </row>
    <row r="22112" spans="20:20">
      <c r="T22112" s="10"/>
    </row>
    <row r="22113" spans="20:20">
      <c r="T22113" s="10"/>
    </row>
    <row r="22114" spans="20:20">
      <c r="T22114" s="10"/>
    </row>
    <row r="22115" spans="20:20">
      <c r="T22115" s="10"/>
    </row>
    <row r="22116" spans="20:20">
      <c r="T22116" s="10"/>
    </row>
    <row r="22117" spans="20:20">
      <c r="T22117" s="10"/>
    </row>
    <row r="22118" spans="20:20">
      <c r="T22118" s="10"/>
    </row>
    <row r="22119" spans="20:20">
      <c r="T22119" s="10"/>
    </row>
    <row r="22120" spans="20:20">
      <c r="T22120" s="10"/>
    </row>
    <row r="22121" spans="20:20">
      <c r="T22121" s="10"/>
    </row>
    <row r="22122" spans="20:20">
      <c r="T22122" s="10"/>
    </row>
    <row r="22123" spans="20:20">
      <c r="T22123" s="10"/>
    </row>
    <row r="22124" spans="20:20">
      <c r="T22124" s="10"/>
    </row>
    <row r="22125" spans="20:20">
      <c r="T22125" s="10"/>
    </row>
    <row r="22126" spans="20:20">
      <c r="T22126" s="10"/>
    </row>
    <row r="22127" spans="20:20">
      <c r="T22127" s="10"/>
    </row>
    <row r="22128" spans="20:20">
      <c r="T22128" s="10"/>
    </row>
    <row r="22129" spans="20:20">
      <c r="T22129" s="10"/>
    </row>
    <row r="22130" spans="20:20">
      <c r="T22130" s="10"/>
    </row>
    <row r="22131" spans="20:20">
      <c r="T22131" s="10"/>
    </row>
    <row r="22132" spans="20:20">
      <c r="T22132" s="10"/>
    </row>
    <row r="22133" spans="20:20">
      <c r="T22133" s="10"/>
    </row>
    <row r="22134" spans="20:20">
      <c r="T22134" s="10"/>
    </row>
    <row r="22135" spans="20:20">
      <c r="T22135" s="10"/>
    </row>
    <row r="22136" spans="20:20">
      <c r="T22136" s="10"/>
    </row>
    <row r="22137" spans="20:20">
      <c r="T22137" s="10"/>
    </row>
    <row r="22138" spans="20:20">
      <c r="T22138" s="10"/>
    </row>
    <row r="22139" spans="20:20">
      <c r="T22139" s="10"/>
    </row>
    <row r="22140" spans="20:20">
      <c r="T22140" s="10"/>
    </row>
    <row r="22141" spans="20:20">
      <c r="T22141" s="10"/>
    </row>
    <row r="22142" spans="20:20">
      <c r="T22142" s="10"/>
    </row>
    <row r="22143" spans="20:20">
      <c r="T22143" s="10"/>
    </row>
    <row r="22144" spans="20:20">
      <c r="T22144" s="10"/>
    </row>
    <row r="22145" spans="20:20">
      <c r="T22145" s="10"/>
    </row>
    <row r="22146" spans="20:20">
      <c r="T22146" s="10"/>
    </row>
    <row r="22147" spans="20:20">
      <c r="T22147" s="10"/>
    </row>
    <row r="22148" spans="20:20">
      <c r="T22148" s="10"/>
    </row>
    <row r="22149" spans="20:20">
      <c r="T22149" s="10"/>
    </row>
    <row r="22150" spans="20:20">
      <c r="T22150" s="10"/>
    </row>
    <row r="22151" spans="20:20">
      <c r="T22151" s="10"/>
    </row>
    <row r="22152" spans="20:20">
      <c r="T22152" s="10"/>
    </row>
    <row r="22153" spans="20:20">
      <c r="T22153" s="10"/>
    </row>
    <row r="22154" spans="20:20">
      <c r="T22154" s="10"/>
    </row>
    <row r="22155" spans="20:20">
      <c r="T22155" s="10"/>
    </row>
    <row r="22156" spans="20:20">
      <c r="T22156" s="10"/>
    </row>
    <row r="22157" spans="20:20">
      <c r="T22157" s="10"/>
    </row>
    <row r="22158" spans="20:20">
      <c r="T22158" s="10"/>
    </row>
    <row r="22159" spans="20:20">
      <c r="T22159" s="10"/>
    </row>
    <row r="22160" spans="20:20">
      <c r="T22160" s="10"/>
    </row>
    <row r="22161" spans="20:20">
      <c r="T22161" s="10"/>
    </row>
    <row r="22162" spans="20:20">
      <c r="T22162" s="10"/>
    </row>
    <row r="22163" spans="20:20">
      <c r="T22163" s="10"/>
    </row>
    <row r="22164" spans="20:20">
      <c r="T22164" s="10"/>
    </row>
    <row r="22165" spans="20:20">
      <c r="T22165" s="10"/>
    </row>
    <row r="22166" spans="20:20">
      <c r="T22166" s="10"/>
    </row>
    <row r="22167" spans="20:20">
      <c r="T22167" s="10"/>
    </row>
    <row r="22168" spans="20:20">
      <c r="T22168" s="10"/>
    </row>
    <row r="22169" spans="20:20">
      <c r="T22169" s="10"/>
    </row>
    <row r="22170" spans="20:20">
      <c r="T22170" s="10"/>
    </row>
    <row r="22171" spans="20:20">
      <c r="T22171" s="10"/>
    </row>
    <row r="22172" spans="20:20">
      <c r="T22172" s="10"/>
    </row>
    <row r="22173" spans="20:20">
      <c r="T22173" s="10"/>
    </row>
    <row r="22174" spans="20:20">
      <c r="T22174" s="10"/>
    </row>
    <row r="22175" spans="20:20">
      <c r="T22175" s="10"/>
    </row>
    <row r="22176" spans="20:20">
      <c r="T22176" s="10"/>
    </row>
    <row r="22177" spans="20:20">
      <c r="T22177" s="10"/>
    </row>
    <row r="22178" spans="20:20">
      <c r="T22178" s="10"/>
    </row>
    <row r="22179" spans="20:20">
      <c r="T22179" s="10"/>
    </row>
    <row r="22180" spans="20:20">
      <c r="T22180" s="10"/>
    </row>
    <row r="22181" spans="20:20">
      <c r="T22181" s="10"/>
    </row>
    <row r="22182" spans="20:20">
      <c r="T22182" s="10"/>
    </row>
    <row r="22183" spans="20:20">
      <c r="T22183" s="10"/>
    </row>
    <row r="22184" spans="20:20">
      <c r="T22184" s="10"/>
    </row>
    <row r="22185" spans="20:20">
      <c r="T22185" s="10"/>
    </row>
    <row r="22186" spans="20:20">
      <c r="T22186" s="10"/>
    </row>
    <row r="22187" spans="20:20">
      <c r="T22187" s="10"/>
    </row>
    <row r="22188" spans="20:20">
      <c r="T22188" s="10"/>
    </row>
    <row r="22189" spans="20:20">
      <c r="T22189" s="10"/>
    </row>
    <row r="22190" spans="20:20">
      <c r="T22190" s="10"/>
    </row>
    <row r="22191" spans="20:20">
      <c r="T22191" s="10"/>
    </row>
    <row r="22192" spans="20:20">
      <c r="T22192" s="10"/>
    </row>
    <row r="22193" spans="20:20">
      <c r="T22193" s="10"/>
    </row>
    <row r="22194" spans="20:20">
      <c r="T22194" s="10"/>
    </row>
    <row r="22195" spans="20:20">
      <c r="T22195" s="10"/>
    </row>
    <row r="22196" spans="20:20">
      <c r="T22196" s="10"/>
    </row>
    <row r="22197" spans="20:20">
      <c r="T22197" s="10"/>
    </row>
    <row r="22198" spans="20:20">
      <c r="T22198" s="10"/>
    </row>
    <row r="22199" spans="20:20">
      <c r="T22199" s="10"/>
    </row>
    <row r="22200" spans="20:20">
      <c r="T22200" s="10"/>
    </row>
    <row r="22201" spans="20:20">
      <c r="T22201" s="10"/>
    </row>
    <row r="22202" spans="20:20">
      <c r="T22202" s="10"/>
    </row>
    <row r="22203" spans="20:20">
      <c r="T22203" s="10"/>
    </row>
    <row r="22204" spans="20:20">
      <c r="T22204" s="10"/>
    </row>
    <row r="22205" spans="20:20">
      <c r="T22205" s="10"/>
    </row>
    <row r="22206" spans="20:20">
      <c r="T22206" s="10"/>
    </row>
    <row r="22207" spans="20:20">
      <c r="T22207" s="10"/>
    </row>
    <row r="22208" spans="20:20">
      <c r="T22208" s="10"/>
    </row>
    <row r="22209" spans="20:20">
      <c r="T22209" s="10"/>
    </row>
    <row r="22210" spans="20:20">
      <c r="T22210" s="10"/>
    </row>
    <row r="22211" spans="20:20">
      <c r="T22211" s="10"/>
    </row>
    <row r="22212" spans="20:20">
      <c r="T22212" s="10"/>
    </row>
    <row r="22213" spans="20:20">
      <c r="T22213" s="10"/>
    </row>
    <row r="22214" spans="20:20">
      <c r="T22214" s="10"/>
    </row>
    <row r="22215" spans="20:20">
      <c r="T22215" s="10"/>
    </row>
    <row r="22216" spans="20:20">
      <c r="T22216" s="10"/>
    </row>
    <row r="22217" spans="20:20">
      <c r="T22217" s="10"/>
    </row>
    <row r="22218" spans="20:20">
      <c r="T22218" s="10"/>
    </row>
    <row r="22219" spans="20:20">
      <c r="T22219" s="10"/>
    </row>
    <row r="22220" spans="20:20">
      <c r="T22220" s="10"/>
    </row>
    <row r="22221" spans="20:20">
      <c r="T22221" s="10"/>
    </row>
    <row r="22222" spans="20:20">
      <c r="T22222" s="10"/>
    </row>
    <row r="22223" spans="20:20">
      <c r="T22223" s="10"/>
    </row>
    <row r="22224" spans="20:20">
      <c r="T22224" s="10"/>
    </row>
    <row r="22225" spans="20:20">
      <c r="T22225" s="10"/>
    </row>
    <row r="22226" spans="20:20">
      <c r="T22226" s="10"/>
    </row>
    <row r="22227" spans="20:20">
      <c r="T22227" s="10"/>
    </row>
    <row r="22228" spans="20:20">
      <c r="T22228" s="10"/>
    </row>
    <row r="22229" spans="20:20">
      <c r="T22229" s="10"/>
    </row>
    <row r="22230" spans="20:20">
      <c r="T22230" s="10"/>
    </row>
    <row r="22231" spans="20:20">
      <c r="T22231" s="10"/>
    </row>
    <row r="22232" spans="20:20">
      <c r="T22232" s="10"/>
    </row>
    <row r="22233" spans="20:20">
      <c r="T22233" s="10"/>
    </row>
    <row r="22234" spans="20:20">
      <c r="T22234" s="10"/>
    </row>
    <row r="22235" spans="20:20">
      <c r="T22235" s="10"/>
    </row>
    <row r="22236" spans="20:20">
      <c r="T22236" s="10"/>
    </row>
    <row r="22237" spans="20:20">
      <c r="T22237" s="10"/>
    </row>
    <row r="22238" spans="20:20">
      <c r="T22238" s="10"/>
    </row>
    <row r="22239" spans="20:20">
      <c r="T22239" s="10"/>
    </row>
    <row r="22240" spans="20:20">
      <c r="T22240" s="10"/>
    </row>
    <row r="22241" spans="20:20">
      <c r="T22241" s="10"/>
    </row>
    <row r="22242" spans="20:20">
      <c r="T22242" s="10"/>
    </row>
    <row r="22243" spans="20:20">
      <c r="T22243" s="10"/>
    </row>
    <row r="22244" spans="20:20">
      <c r="T22244" s="10"/>
    </row>
    <row r="22245" spans="20:20">
      <c r="T22245" s="10"/>
    </row>
    <row r="22246" spans="20:20">
      <c r="T22246" s="10"/>
    </row>
    <row r="22247" spans="20:20">
      <c r="T22247" s="10"/>
    </row>
    <row r="22248" spans="20:20">
      <c r="T22248" s="10"/>
    </row>
    <row r="22249" spans="20:20">
      <c r="T22249" s="10"/>
    </row>
    <row r="22250" spans="20:20">
      <c r="T22250" s="10"/>
    </row>
    <row r="22251" spans="20:20">
      <c r="T22251" s="10"/>
    </row>
    <row r="22252" spans="20:20">
      <c r="T22252" s="10"/>
    </row>
    <row r="22253" spans="20:20">
      <c r="T22253" s="10"/>
    </row>
    <row r="22254" spans="20:20">
      <c r="T22254" s="10"/>
    </row>
    <row r="22255" spans="20:20">
      <c r="T22255" s="10"/>
    </row>
    <row r="22256" spans="20:20">
      <c r="T22256" s="10"/>
    </row>
    <row r="22257" spans="20:20">
      <c r="T22257" s="10"/>
    </row>
    <row r="22258" spans="20:20">
      <c r="T22258" s="10"/>
    </row>
    <row r="22259" spans="20:20">
      <c r="T22259" s="10"/>
    </row>
    <row r="22260" spans="20:20">
      <c r="T22260" s="10"/>
    </row>
    <row r="22261" spans="20:20">
      <c r="T22261" s="10"/>
    </row>
    <row r="22262" spans="20:20">
      <c r="T22262" s="10"/>
    </row>
    <row r="22263" spans="20:20">
      <c r="T22263" s="10"/>
    </row>
    <row r="22264" spans="20:20">
      <c r="T22264" s="10"/>
    </row>
    <row r="22265" spans="20:20">
      <c r="T22265" s="10"/>
    </row>
    <row r="22266" spans="20:20">
      <c r="T22266" s="10"/>
    </row>
    <row r="22267" spans="20:20">
      <c r="T22267" s="10"/>
    </row>
    <row r="22268" spans="20:20">
      <c r="T22268" s="10"/>
    </row>
    <row r="22269" spans="20:20">
      <c r="T22269" s="10"/>
    </row>
    <row r="22270" spans="20:20">
      <c r="T22270" s="10"/>
    </row>
    <row r="22271" spans="20:20">
      <c r="T22271" s="10"/>
    </row>
    <row r="22272" spans="20:20">
      <c r="T22272" s="10"/>
    </row>
    <row r="22273" spans="20:20">
      <c r="T22273" s="10"/>
    </row>
    <row r="22274" spans="20:20">
      <c r="T22274" s="10"/>
    </row>
    <row r="22275" spans="20:20">
      <c r="T22275" s="10"/>
    </row>
    <row r="22276" spans="20:20">
      <c r="T22276" s="10"/>
    </row>
    <row r="22277" spans="20:20">
      <c r="T22277" s="10"/>
    </row>
    <row r="22278" spans="20:20">
      <c r="T22278" s="10"/>
    </row>
    <row r="22279" spans="20:20">
      <c r="T22279" s="10"/>
    </row>
    <row r="22280" spans="20:20">
      <c r="T22280" s="10"/>
    </row>
    <row r="22281" spans="20:20">
      <c r="T22281" s="10"/>
    </row>
    <row r="22282" spans="20:20">
      <c r="T22282" s="10"/>
    </row>
    <row r="22283" spans="20:20">
      <c r="T22283" s="10"/>
    </row>
    <row r="22284" spans="20:20">
      <c r="T22284" s="10"/>
    </row>
    <row r="22285" spans="20:20">
      <c r="T22285" s="10"/>
    </row>
    <row r="22286" spans="20:20">
      <c r="T22286" s="10"/>
    </row>
    <row r="22287" spans="20:20">
      <c r="T22287" s="10"/>
    </row>
    <row r="22288" spans="20:20">
      <c r="T22288" s="10"/>
    </row>
    <row r="22289" spans="20:20">
      <c r="T22289" s="10"/>
    </row>
    <row r="22290" spans="20:20">
      <c r="T22290" s="10"/>
    </row>
    <row r="22291" spans="20:20">
      <c r="T22291" s="10"/>
    </row>
    <row r="22292" spans="20:20">
      <c r="T22292" s="10"/>
    </row>
    <row r="22293" spans="20:20">
      <c r="T22293" s="10"/>
    </row>
    <row r="22294" spans="20:20">
      <c r="T22294" s="10"/>
    </row>
    <row r="22295" spans="20:20">
      <c r="T22295" s="10"/>
    </row>
    <row r="22296" spans="20:20">
      <c r="T22296" s="10"/>
    </row>
    <row r="22297" spans="20:20">
      <c r="T22297" s="10"/>
    </row>
    <row r="22298" spans="20:20">
      <c r="T22298" s="10"/>
    </row>
    <row r="22299" spans="20:20">
      <c r="T22299" s="10"/>
    </row>
    <row r="22300" spans="20:20">
      <c r="T22300" s="10"/>
    </row>
    <row r="22301" spans="20:20">
      <c r="T22301" s="10"/>
    </row>
    <row r="22302" spans="20:20">
      <c r="T22302" s="10"/>
    </row>
    <row r="22303" spans="20:20">
      <c r="T22303" s="10"/>
    </row>
    <row r="22304" spans="20:20">
      <c r="T22304" s="10"/>
    </row>
    <row r="22305" spans="20:20">
      <c r="T22305" s="10"/>
    </row>
    <row r="22306" spans="20:20">
      <c r="T22306" s="10"/>
    </row>
    <row r="22307" spans="20:20">
      <c r="T22307" s="10"/>
    </row>
    <row r="22308" spans="20:20">
      <c r="T22308" s="10"/>
    </row>
    <row r="22309" spans="20:20">
      <c r="T22309" s="10"/>
    </row>
    <row r="22310" spans="20:20">
      <c r="T22310" s="10"/>
    </row>
    <row r="22311" spans="20:20">
      <c r="T22311" s="10"/>
    </row>
    <row r="22312" spans="20:20">
      <c r="T22312" s="10"/>
    </row>
    <row r="22313" spans="20:20">
      <c r="T22313" s="10"/>
    </row>
    <row r="22314" spans="20:20">
      <c r="T22314" s="10"/>
    </row>
    <row r="22315" spans="20:20">
      <c r="T22315" s="10"/>
    </row>
    <row r="22316" spans="20:20">
      <c r="T22316" s="10"/>
    </row>
    <row r="22317" spans="20:20">
      <c r="T22317" s="10"/>
    </row>
    <row r="22318" spans="20:20">
      <c r="T22318" s="10"/>
    </row>
    <row r="22319" spans="20:20">
      <c r="T22319" s="10"/>
    </row>
    <row r="22320" spans="20:20">
      <c r="T22320" s="10"/>
    </row>
    <row r="22321" spans="20:20">
      <c r="T22321" s="10"/>
    </row>
    <row r="22322" spans="20:20">
      <c r="T22322" s="10"/>
    </row>
    <row r="22323" spans="20:20">
      <c r="T22323" s="10"/>
    </row>
    <row r="22324" spans="20:20">
      <c r="T22324" s="10"/>
    </row>
    <row r="22325" spans="20:20">
      <c r="T22325" s="10"/>
    </row>
    <row r="22326" spans="20:20">
      <c r="T22326" s="10"/>
    </row>
    <row r="22327" spans="20:20">
      <c r="T22327" s="10"/>
    </row>
    <row r="22328" spans="20:20">
      <c r="T22328" s="10"/>
    </row>
    <row r="22329" spans="20:20">
      <c r="T22329" s="10"/>
    </row>
    <row r="22330" spans="20:20">
      <c r="T22330" s="10"/>
    </row>
    <row r="22331" spans="20:20">
      <c r="T22331" s="10"/>
    </row>
    <row r="22332" spans="20:20">
      <c r="T22332" s="10"/>
    </row>
    <row r="22333" spans="20:20">
      <c r="T22333" s="10"/>
    </row>
    <row r="22334" spans="20:20">
      <c r="T22334" s="10"/>
    </row>
    <row r="22335" spans="20:20">
      <c r="T22335" s="10"/>
    </row>
    <row r="22336" spans="20:20">
      <c r="T22336" s="10"/>
    </row>
    <row r="22337" spans="20:20">
      <c r="T22337" s="10"/>
    </row>
    <row r="22338" spans="20:20">
      <c r="T22338" s="10"/>
    </row>
    <row r="22339" spans="20:20">
      <c r="T22339" s="10"/>
    </row>
    <row r="22340" spans="20:20">
      <c r="T22340" s="10"/>
    </row>
    <row r="22341" spans="20:20">
      <c r="T22341" s="10"/>
    </row>
    <row r="22342" spans="20:20">
      <c r="T22342" s="10"/>
    </row>
    <row r="22343" spans="20:20">
      <c r="T22343" s="10"/>
    </row>
    <row r="22344" spans="20:20">
      <c r="T22344" s="10"/>
    </row>
    <row r="22345" spans="20:20">
      <c r="T22345" s="10"/>
    </row>
    <row r="22346" spans="20:20">
      <c r="T22346" s="10"/>
    </row>
    <row r="22347" spans="20:20">
      <c r="T22347" s="10"/>
    </row>
    <row r="22348" spans="20:20">
      <c r="T22348" s="10"/>
    </row>
    <row r="22349" spans="20:20">
      <c r="T22349" s="10"/>
    </row>
    <row r="22350" spans="20:20">
      <c r="T22350" s="10"/>
    </row>
    <row r="22351" spans="20:20">
      <c r="T22351" s="10"/>
    </row>
    <row r="22352" spans="20:20">
      <c r="T22352" s="10"/>
    </row>
    <row r="22353" spans="20:20">
      <c r="T22353" s="10"/>
    </row>
    <row r="22354" spans="20:20">
      <c r="T22354" s="10"/>
    </row>
    <row r="22355" spans="20:20">
      <c r="T22355" s="10"/>
    </row>
    <row r="22356" spans="20:20">
      <c r="T22356" s="10"/>
    </row>
    <row r="22357" spans="20:20">
      <c r="T22357" s="10"/>
    </row>
    <row r="22358" spans="20:20">
      <c r="T22358" s="10"/>
    </row>
    <row r="22359" spans="20:20">
      <c r="T22359" s="10"/>
    </row>
    <row r="22360" spans="20:20">
      <c r="T22360" s="10"/>
    </row>
    <row r="22361" spans="20:20">
      <c r="T22361" s="10"/>
    </row>
    <row r="22362" spans="20:20">
      <c r="T22362" s="10"/>
    </row>
    <row r="22363" spans="20:20">
      <c r="T22363" s="10"/>
    </row>
    <row r="22364" spans="20:20">
      <c r="T22364" s="10"/>
    </row>
    <row r="22365" spans="20:20">
      <c r="T22365" s="10"/>
    </row>
    <row r="22366" spans="20:20">
      <c r="T22366" s="10"/>
    </row>
    <row r="22367" spans="20:20">
      <c r="T22367" s="10"/>
    </row>
    <row r="22368" spans="20:20">
      <c r="T22368" s="10"/>
    </row>
    <row r="22369" spans="20:20">
      <c r="T22369" s="10"/>
    </row>
    <row r="22370" spans="20:20">
      <c r="T22370" s="10"/>
    </row>
    <row r="22371" spans="20:20">
      <c r="T22371" s="10"/>
    </row>
    <row r="22372" spans="20:20">
      <c r="T22372" s="10"/>
    </row>
    <row r="22373" spans="20:20">
      <c r="T22373" s="10"/>
    </row>
    <row r="22374" spans="20:20">
      <c r="T22374" s="10"/>
    </row>
    <row r="22375" spans="20:20">
      <c r="T22375" s="10"/>
    </row>
    <row r="22376" spans="20:20">
      <c r="T22376" s="10"/>
    </row>
    <row r="22377" spans="20:20">
      <c r="T22377" s="10"/>
    </row>
    <row r="22378" spans="20:20">
      <c r="T22378" s="10"/>
    </row>
    <row r="22379" spans="20:20">
      <c r="T22379" s="10"/>
    </row>
    <row r="22380" spans="20:20">
      <c r="T22380" s="10"/>
    </row>
    <row r="22381" spans="20:20">
      <c r="T22381" s="10"/>
    </row>
    <row r="22382" spans="20:20">
      <c r="T22382" s="10"/>
    </row>
    <row r="22383" spans="20:20">
      <c r="T22383" s="10"/>
    </row>
    <row r="22384" spans="20:20">
      <c r="T22384" s="10"/>
    </row>
    <row r="22385" spans="20:20">
      <c r="T22385" s="10"/>
    </row>
    <row r="22386" spans="20:20">
      <c r="T22386" s="10"/>
    </row>
    <row r="22387" spans="20:20">
      <c r="T22387" s="10"/>
    </row>
    <row r="22388" spans="20:20">
      <c r="T22388" s="10"/>
    </row>
    <row r="22389" spans="20:20">
      <c r="T22389" s="10"/>
    </row>
    <row r="22390" spans="20:20">
      <c r="T22390" s="10"/>
    </row>
    <row r="22391" spans="20:20">
      <c r="T22391" s="10"/>
    </row>
    <row r="22392" spans="20:20">
      <c r="T22392" s="10"/>
    </row>
    <row r="22393" spans="20:20">
      <c r="T22393" s="10"/>
    </row>
    <row r="22394" spans="20:20">
      <c r="T22394" s="10"/>
    </row>
    <row r="22395" spans="20:20">
      <c r="T22395" s="10"/>
    </row>
    <row r="22396" spans="20:20">
      <c r="T22396" s="10"/>
    </row>
    <row r="22397" spans="20:20">
      <c r="T22397" s="10"/>
    </row>
    <row r="22398" spans="20:20">
      <c r="T22398" s="10"/>
    </row>
    <row r="22399" spans="20:20">
      <c r="T22399" s="10"/>
    </row>
    <row r="22400" spans="20:20">
      <c r="T22400" s="10"/>
    </row>
    <row r="22401" spans="20:20">
      <c r="T22401" s="10"/>
    </row>
    <row r="22402" spans="20:20">
      <c r="T22402" s="10"/>
    </row>
    <row r="22403" spans="20:20">
      <c r="T22403" s="10"/>
    </row>
    <row r="22404" spans="20:20">
      <c r="T22404" s="10"/>
    </row>
    <row r="22405" spans="20:20">
      <c r="T22405" s="10"/>
    </row>
    <row r="22406" spans="20:20">
      <c r="T22406" s="10"/>
    </row>
    <row r="22407" spans="20:20">
      <c r="T22407" s="10"/>
    </row>
    <row r="22408" spans="20:20">
      <c r="T22408" s="10"/>
    </row>
    <row r="22409" spans="20:20">
      <c r="T22409" s="10"/>
    </row>
    <row r="22410" spans="20:20">
      <c r="T22410" s="10"/>
    </row>
    <row r="22411" spans="20:20">
      <c r="T22411" s="10"/>
    </row>
    <row r="22412" spans="20:20">
      <c r="T22412" s="10"/>
    </row>
    <row r="22413" spans="20:20">
      <c r="T22413" s="10"/>
    </row>
    <row r="22414" spans="20:20">
      <c r="T22414" s="10"/>
    </row>
    <row r="22415" spans="20:20">
      <c r="T22415" s="10"/>
    </row>
    <row r="22416" spans="20:20">
      <c r="T22416" s="10"/>
    </row>
    <row r="22417" spans="20:20">
      <c r="T22417" s="10"/>
    </row>
    <row r="22418" spans="20:20">
      <c r="T22418" s="10"/>
    </row>
    <row r="22419" spans="20:20">
      <c r="T22419" s="10"/>
    </row>
    <row r="22420" spans="20:20">
      <c r="T22420" s="10"/>
    </row>
    <row r="22421" spans="20:20">
      <c r="T22421" s="10"/>
    </row>
    <row r="22422" spans="20:20">
      <c r="T22422" s="10"/>
    </row>
    <row r="22423" spans="20:20">
      <c r="T22423" s="10"/>
    </row>
    <row r="22424" spans="20:20">
      <c r="T22424" s="10"/>
    </row>
    <row r="22425" spans="20:20">
      <c r="T22425" s="10"/>
    </row>
    <row r="22426" spans="20:20">
      <c r="T22426" s="10"/>
    </row>
    <row r="22427" spans="20:20">
      <c r="T22427" s="10"/>
    </row>
    <row r="22428" spans="20:20">
      <c r="T22428" s="10"/>
    </row>
    <row r="22429" spans="20:20">
      <c r="T22429" s="10"/>
    </row>
    <row r="22430" spans="20:20">
      <c r="T22430" s="10"/>
    </row>
    <row r="22431" spans="20:20">
      <c r="T22431" s="10"/>
    </row>
    <row r="22432" spans="20:20">
      <c r="T22432" s="10"/>
    </row>
    <row r="22433" spans="20:20">
      <c r="T22433" s="10"/>
    </row>
    <row r="22434" spans="20:20">
      <c r="T22434" s="10"/>
    </row>
    <row r="22435" spans="20:20">
      <c r="T22435" s="10"/>
    </row>
    <row r="22436" spans="20:20">
      <c r="T22436" s="10"/>
    </row>
    <row r="22437" spans="20:20">
      <c r="T22437" s="10"/>
    </row>
    <row r="22438" spans="20:20">
      <c r="T22438" s="10"/>
    </row>
    <row r="22439" spans="20:20">
      <c r="T22439" s="10"/>
    </row>
    <row r="22440" spans="20:20">
      <c r="T22440" s="10"/>
    </row>
    <row r="22441" spans="20:20">
      <c r="T22441" s="10"/>
    </row>
    <row r="22442" spans="20:20">
      <c r="T22442" s="10"/>
    </row>
    <row r="22443" spans="20:20">
      <c r="T22443" s="10"/>
    </row>
    <row r="22444" spans="20:20">
      <c r="T22444" s="10"/>
    </row>
    <row r="22445" spans="20:20">
      <c r="T22445" s="10"/>
    </row>
    <row r="22446" spans="20:20">
      <c r="T22446" s="10"/>
    </row>
    <row r="22447" spans="20:20">
      <c r="T22447" s="10"/>
    </row>
    <row r="22448" spans="20:20">
      <c r="T22448" s="10"/>
    </row>
    <row r="22449" spans="20:20">
      <c r="T22449" s="10"/>
    </row>
    <row r="22450" spans="20:20">
      <c r="T22450" s="10"/>
    </row>
    <row r="22451" spans="20:20">
      <c r="T22451" s="10"/>
    </row>
    <row r="22452" spans="20:20">
      <c r="T22452" s="10"/>
    </row>
    <row r="22453" spans="20:20">
      <c r="T22453" s="10"/>
    </row>
    <row r="22454" spans="20:20">
      <c r="T22454" s="10"/>
    </row>
    <row r="22455" spans="20:20">
      <c r="T22455" s="10"/>
    </row>
    <row r="22456" spans="20:20">
      <c r="T22456" s="10"/>
    </row>
    <row r="22457" spans="20:20">
      <c r="T22457" s="10"/>
    </row>
    <row r="22458" spans="20:20">
      <c r="T22458" s="10"/>
    </row>
    <row r="22459" spans="20:20">
      <c r="T22459" s="10"/>
    </row>
    <row r="22460" spans="20:20">
      <c r="T22460" s="10"/>
    </row>
    <row r="22461" spans="20:20">
      <c r="T22461" s="10"/>
    </row>
    <row r="22462" spans="20:20">
      <c r="T22462" s="10"/>
    </row>
    <row r="22463" spans="20:20">
      <c r="T22463" s="10"/>
    </row>
    <row r="22464" spans="20:20">
      <c r="T22464" s="10"/>
    </row>
    <row r="22465" spans="20:20">
      <c r="T22465" s="10"/>
    </row>
    <row r="22466" spans="20:20">
      <c r="T22466" s="10"/>
    </row>
    <row r="22467" spans="20:20">
      <c r="T22467" s="10"/>
    </row>
    <row r="22468" spans="20:20">
      <c r="T22468" s="10"/>
    </row>
    <row r="22469" spans="20:20">
      <c r="T22469" s="10"/>
    </row>
    <row r="22470" spans="20:20">
      <c r="T22470" s="10"/>
    </row>
    <row r="22471" spans="20:20">
      <c r="T22471" s="10"/>
    </row>
    <row r="22472" spans="20:20">
      <c r="T22472" s="10"/>
    </row>
    <row r="22473" spans="20:20">
      <c r="T22473" s="10"/>
    </row>
    <row r="22474" spans="20:20">
      <c r="T22474" s="10"/>
    </row>
    <row r="22475" spans="20:20">
      <c r="T22475" s="10"/>
    </row>
    <row r="22476" spans="20:20">
      <c r="T22476" s="10"/>
    </row>
    <row r="22477" spans="20:20">
      <c r="T22477" s="10"/>
    </row>
    <row r="22478" spans="20:20">
      <c r="T22478" s="10"/>
    </row>
    <row r="22479" spans="20:20">
      <c r="T22479" s="10"/>
    </row>
    <row r="22480" spans="20:20">
      <c r="T22480" s="10"/>
    </row>
    <row r="22481" spans="20:20">
      <c r="T22481" s="10"/>
    </row>
    <row r="22482" spans="20:20">
      <c r="T22482" s="10"/>
    </row>
    <row r="22483" spans="20:20">
      <c r="T22483" s="10"/>
    </row>
    <row r="22484" spans="20:20">
      <c r="T22484" s="10"/>
    </row>
    <row r="22485" spans="20:20">
      <c r="T22485" s="10"/>
    </row>
    <row r="22486" spans="20:20">
      <c r="T22486" s="10"/>
    </row>
    <row r="22487" spans="20:20">
      <c r="T22487" s="10"/>
    </row>
    <row r="22488" spans="20:20">
      <c r="T22488" s="10"/>
    </row>
    <row r="22489" spans="20:20">
      <c r="T22489" s="10"/>
    </row>
    <row r="22490" spans="20:20">
      <c r="T22490" s="10"/>
    </row>
    <row r="22491" spans="20:20">
      <c r="T22491" s="10"/>
    </row>
    <row r="22492" spans="20:20">
      <c r="T22492" s="10"/>
    </row>
    <row r="22493" spans="20:20">
      <c r="T22493" s="10"/>
    </row>
    <row r="22494" spans="20:20">
      <c r="T22494" s="10"/>
    </row>
    <row r="22495" spans="20:20">
      <c r="T22495" s="10"/>
    </row>
    <row r="22496" spans="20:20">
      <c r="T22496" s="10"/>
    </row>
    <row r="22497" spans="20:20">
      <c r="T22497" s="10"/>
    </row>
    <row r="22498" spans="20:20">
      <c r="T22498" s="10"/>
    </row>
    <row r="22499" spans="20:20">
      <c r="T22499" s="10"/>
    </row>
    <row r="22500" spans="20:20">
      <c r="T22500" s="10"/>
    </row>
    <row r="22501" spans="20:20">
      <c r="T22501" s="10"/>
    </row>
    <row r="22502" spans="20:20">
      <c r="T22502" s="10"/>
    </row>
    <row r="22503" spans="20:20">
      <c r="T22503" s="10"/>
    </row>
    <row r="22504" spans="20:20">
      <c r="T22504" s="10"/>
    </row>
    <row r="22505" spans="20:20">
      <c r="T22505" s="10"/>
    </row>
    <row r="22506" spans="20:20">
      <c r="T22506" s="10"/>
    </row>
    <row r="22507" spans="20:20">
      <c r="T22507" s="10"/>
    </row>
    <row r="22508" spans="20:20">
      <c r="T22508" s="10"/>
    </row>
    <row r="22509" spans="20:20">
      <c r="T22509" s="10"/>
    </row>
    <row r="22510" spans="20:20">
      <c r="T22510" s="10"/>
    </row>
    <row r="22511" spans="20:20">
      <c r="T22511" s="10"/>
    </row>
    <row r="22512" spans="20:20">
      <c r="T22512" s="10"/>
    </row>
    <row r="22513" spans="20:20">
      <c r="T22513" s="10"/>
    </row>
    <row r="22514" spans="20:20">
      <c r="T22514" s="10"/>
    </row>
    <row r="22515" spans="20:20">
      <c r="T22515" s="10"/>
    </row>
    <row r="22516" spans="20:20">
      <c r="T22516" s="10"/>
    </row>
    <row r="22517" spans="20:20">
      <c r="T22517" s="10"/>
    </row>
    <row r="22518" spans="20:20">
      <c r="T22518" s="10"/>
    </row>
    <row r="22519" spans="20:20">
      <c r="T22519" s="10"/>
    </row>
    <row r="22520" spans="20:20">
      <c r="T22520" s="10"/>
    </row>
    <row r="22521" spans="20:20">
      <c r="T22521" s="10"/>
    </row>
    <row r="22522" spans="20:20">
      <c r="T22522" s="10"/>
    </row>
    <row r="22523" spans="20:20">
      <c r="T22523" s="10"/>
    </row>
    <row r="22524" spans="20:20">
      <c r="T22524" s="10"/>
    </row>
    <row r="22525" spans="20:20">
      <c r="T22525" s="10"/>
    </row>
    <row r="22526" spans="20:20">
      <c r="T22526" s="10"/>
    </row>
    <row r="22527" spans="20:20">
      <c r="T22527" s="10"/>
    </row>
    <row r="22528" spans="20:20">
      <c r="T22528" s="10"/>
    </row>
    <row r="22529" spans="20:20">
      <c r="T22529" s="10"/>
    </row>
    <row r="22530" spans="20:20">
      <c r="T22530" s="10"/>
    </row>
    <row r="22531" spans="20:20">
      <c r="T22531" s="10"/>
    </row>
    <row r="22532" spans="20:20">
      <c r="T22532" s="10"/>
    </row>
    <row r="22533" spans="20:20">
      <c r="T22533" s="10"/>
    </row>
    <row r="22534" spans="20:20">
      <c r="T22534" s="10"/>
    </row>
    <row r="22535" spans="20:20">
      <c r="T22535" s="10"/>
    </row>
    <row r="22536" spans="20:20">
      <c r="T22536" s="10"/>
    </row>
    <row r="22537" spans="20:20">
      <c r="T22537" s="10"/>
    </row>
    <row r="22538" spans="20:20">
      <c r="T22538" s="10"/>
    </row>
    <row r="22539" spans="20:20">
      <c r="T22539" s="10"/>
    </row>
    <row r="22540" spans="20:20">
      <c r="T22540" s="10"/>
    </row>
    <row r="22541" spans="20:20">
      <c r="T22541" s="10"/>
    </row>
    <row r="22542" spans="20:20">
      <c r="T22542" s="10"/>
    </row>
    <row r="22543" spans="20:20">
      <c r="T22543" s="10"/>
    </row>
    <row r="22544" spans="20:20">
      <c r="T22544" s="10"/>
    </row>
    <row r="22545" spans="20:20">
      <c r="T22545" s="10"/>
    </row>
    <row r="22546" spans="20:20">
      <c r="T22546" s="10"/>
    </row>
    <row r="22547" spans="20:20">
      <c r="T22547" s="10"/>
    </row>
    <row r="22548" spans="20:20">
      <c r="T22548" s="10"/>
    </row>
    <row r="22549" spans="20:20">
      <c r="T22549" s="10"/>
    </row>
    <row r="22550" spans="20:20">
      <c r="T22550" s="10"/>
    </row>
    <row r="22551" spans="20:20">
      <c r="T22551" s="10"/>
    </row>
    <row r="22552" spans="20:20">
      <c r="T22552" s="10"/>
    </row>
    <row r="22553" spans="20:20">
      <c r="T22553" s="10"/>
    </row>
    <row r="22554" spans="20:20">
      <c r="T22554" s="10"/>
    </row>
    <row r="22555" spans="20:20">
      <c r="T22555" s="10"/>
    </row>
    <row r="22556" spans="20:20">
      <c r="T22556" s="10"/>
    </row>
    <row r="22557" spans="20:20">
      <c r="T22557" s="10"/>
    </row>
    <row r="22558" spans="20:20">
      <c r="T22558" s="10"/>
    </row>
    <row r="22559" spans="20:20">
      <c r="T22559" s="10"/>
    </row>
    <row r="22560" spans="20:20">
      <c r="T22560" s="10"/>
    </row>
    <row r="22561" spans="20:20">
      <c r="T22561" s="10"/>
    </row>
    <row r="22562" spans="20:20">
      <c r="T22562" s="10"/>
    </row>
    <row r="22563" spans="20:20">
      <c r="T22563" s="10"/>
    </row>
    <row r="22564" spans="20:20">
      <c r="T22564" s="10"/>
    </row>
    <row r="22565" spans="20:20">
      <c r="T22565" s="10"/>
    </row>
    <row r="22566" spans="20:20">
      <c r="T22566" s="10"/>
    </row>
    <row r="22567" spans="20:20">
      <c r="T22567" s="10"/>
    </row>
    <row r="22568" spans="20:20">
      <c r="T22568" s="10"/>
    </row>
    <row r="22569" spans="20:20">
      <c r="T22569" s="10"/>
    </row>
    <row r="22570" spans="20:20">
      <c r="T22570" s="10"/>
    </row>
    <row r="22571" spans="20:20">
      <c r="T22571" s="10"/>
    </row>
    <row r="22572" spans="20:20">
      <c r="T22572" s="10"/>
    </row>
    <row r="22573" spans="20:20">
      <c r="T22573" s="10"/>
    </row>
    <row r="22574" spans="20:20">
      <c r="T22574" s="10"/>
    </row>
    <row r="22575" spans="20:20">
      <c r="T22575" s="10"/>
    </row>
    <row r="22576" spans="20:20">
      <c r="T22576" s="10"/>
    </row>
    <row r="22577" spans="20:20">
      <c r="T22577" s="10"/>
    </row>
    <row r="22578" spans="20:20">
      <c r="T22578" s="10"/>
    </row>
    <row r="22579" spans="20:20">
      <c r="T22579" s="10"/>
    </row>
    <row r="22580" spans="20:20">
      <c r="T22580" s="10"/>
    </row>
    <row r="22581" spans="20:20">
      <c r="T22581" s="10"/>
    </row>
    <row r="22582" spans="20:20">
      <c r="T22582" s="10"/>
    </row>
    <row r="22583" spans="20:20">
      <c r="T22583" s="10"/>
    </row>
    <row r="22584" spans="20:20">
      <c r="T22584" s="10"/>
    </row>
    <row r="22585" spans="20:20">
      <c r="T22585" s="10"/>
    </row>
    <row r="22586" spans="20:20">
      <c r="T22586" s="10"/>
    </row>
    <row r="22587" spans="20:20">
      <c r="T22587" s="10"/>
    </row>
    <row r="22588" spans="20:20">
      <c r="T22588" s="10"/>
    </row>
    <row r="22589" spans="20:20">
      <c r="T22589" s="10"/>
    </row>
    <row r="22590" spans="20:20">
      <c r="T22590" s="10"/>
    </row>
    <row r="22591" spans="20:20">
      <c r="T22591" s="10"/>
    </row>
    <row r="22592" spans="20:20">
      <c r="T22592" s="10"/>
    </row>
    <row r="22593" spans="20:20">
      <c r="T22593" s="10"/>
    </row>
    <row r="22594" spans="20:20">
      <c r="T22594" s="10"/>
    </row>
    <row r="22595" spans="20:20">
      <c r="T22595" s="10"/>
    </row>
    <row r="22596" spans="20:20">
      <c r="T22596" s="10"/>
    </row>
    <row r="22597" spans="20:20">
      <c r="T22597" s="10"/>
    </row>
    <row r="22598" spans="20:20">
      <c r="T22598" s="10"/>
    </row>
    <row r="22599" spans="20:20">
      <c r="T22599" s="10"/>
    </row>
    <row r="22600" spans="20:20">
      <c r="T22600" s="10"/>
    </row>
    <row r="22601" spans="20:20">
      <c r="T22601" s="10"/>
    </row>
    <row r="22602" spans="20:20">
      <c r="T22602" s="10"/>
    </row>
    <row r="22603" spans="20:20">
      <c r="T22603" s="10"/>
    </row>
    <row r="22604" spans="20:20">
      <c r="T22604" s="10"/>
    </row>
    <row r="22605" spans="20:20">
      <c r="T22605" s="10"/>
    </row>
    <row r="22606" spans="20:20">
      <c r="T22606" s="10"/>
    </row>
    <row r="22607" spans="20:20">
      <c r="T22607" s="10"/>
    </row>
    <row r="22608" spans="20:20">
      <c r="T22608" s="10"/>
    </row>
    <row r="22609" spans="20:20">
      <c r="T22609" s="10"/>
    </row>
    <row r="22610" spans="20:20">
      <c r="T22610" s="10"/>
    </row>
    <row r="22611" spans="20:20">
      <c r="T22611" s="10"/>
    </row>
    <row r="22612" spans="20:20">
      <c r="T22612" s="10"/>
    </row>
    <row r="22613" spans="20:20">
      <c r="T22613" s="10"/>
    </row>
    <row r="22614" spans="20:20">
      <c r="T22614" s="10"/>
    </row>
    <row r="22615" spans="20:20">
      <c r="T22615" s="10"/>
    </row>
    <row r="22616" spans="20:20">
      <c r="T22616" s="10"/>
    </row>
    <row r="22617" spans="20:20">
      <c r="T22617" s="10"/>
    </row>
    <row r="22618" spans="20:20">
      <c r="T22618" s="10"/>
    </row>
    <row r="22619" spans="20:20">
      <c r="T22619" s="10"/>
    </row>
    <row r="22620" spans="20:20">
      <c r="T22620" s="10"/>
    </row>
    <row r="22621" spans="20:20">
      <c r="T22621" s="10"/>
    </row>
    <row r="22622" spans="20:20">
      <c r="T22622" s="10"/>
    </row>
    <row r="22623" spans="20:20">
      <c r="T22623" s="10"/>
    </row>
    <row r="22624" spans="20:20">
      <c r="T22624" s="10"/>
    </row>
    <row r="22625" spans="20:20">
      <c r="T22625" s="10"/>
    </row>
    <row r="22626" spans="20:20">
      <c r="T22626" s="10"/>
    </row>
    <row r="22627" spans="20:20">
      <c r="T22627" s="10"/>
    </row>
    <row r="22628" spans="20:20">
      <c r="T22628" s="10"/>
    </row>
    <row r="22629" spans="20:20">
      <c r="T22629" s="10"/>
    </row>
    <row r="22630" spans="20:20">
      <c r="T22630" s="10"/>
    </row>
    <row r="22631" spans="20:20">
      <c r="T22631" s="10"/>
    </row>
    <row r="22632" spans="20:20">
      <c r="T22632" s="10"/>
    </row>
    <row r="22633" spans="20:20">
      <c r="T22633" s="10"/>
    </row>
    <row r="22634" spans="20:20">
      <c r="T22634" s="10"/>
    </row>
    <row r="22635" spans="20:20">
      <c r="T22635" s="10"/>
    </row>
    <row r="22636" spans="20:20">
      <c r="T22636" s="10"/>
    </row>
    <row r="22637" spans="20:20">
      <c r="T22637" s="10"/>
    </row>
    <row r="22638" spans="20:20">
      <c r="T22638" s="10"/>
    </row>
    <row r="22639" spans="20:20">
      <c r="T22639" s="10"/>
    </row>
    <row r="22640" spans="20:20">
      <c r="T22640" s="10"/>
    </row>
    <row r="22641" spans="20:20">
      <c r="T22641" s="10"/>
    </row>
    <row r="22642" spans="20:20">
      <c r="T22642" s="10"/>
    </row>
    <row r="22643" spans="20:20">
      <c r="T22643" s="10"/>
    </row>
    <row r="22644" spans="20:20">
      <c r="T22644" s="10"/>
    </row>
    <row r="22645" spans="20:20">
      <c r="T22645" s="10"/>
    </row>
    <row r="22646" spans="20:20">
      <c r="T22646" s="10"/>
    </row>
    <row r="22647" spans="20:20">
      <c r="T22647" s="10"/>
    </row>
    <row r="22648" spans="20:20">
      <c r="T22648" s="10"/>
    </row>
    <row r="22649" spans="20:20">
      <c r="T22649" s="10"/>
    </row>
    <row r="22650" spans="20:20">
      <c r="T22650" s="10"/>
    </row>
    <row r="22651" spans="20:20">
      <c r="T22651" s="10"/>
    </row>
    <row r="22652" spans="20:20">
      <c r="T22652" s="10"/>
    </row>
    <row r="22653" spans="20:20">
      <c r="T22653" s="10"/>
    </row>
    <row r="22654" spans="20:20">
      <c r="T22654" s="10"/>
    </row>
    <row r="22655" spans="20:20">
      <c r="T22655" s="10"/>
    </row>
    <row r="22656" spans="20:20">
      <c r="T22656" s="10"/>
    </row>
    <row r="22657" spans="20:20">
      <c r="T22657" s="10"/>
    </row>
    <row r="22658" spans="20:20">
      <c r="T22658" s="10"/>
    </row>
    <row r="22659" spans="20:20">
      <c r="T22659" s="10"/>
    </row>
    <row r="22660" spans="20:20">
      <c r="T22660" s="10"/>
    </row>
    <row r="22661" spans="20:20">
      <c r="T22661" s="10"/>
    </row>
    <row r="22662" spans="20:20">
      <c r="T22662" s="10"/>
    </row>
    <row r="22663" spans="20:20">
      <c r="T22663" s="10"/>
    </row>
    <row r="22664" spans="20:20">
      <c r="T22664" s="10"/>
    </row>
    <row r="22665" spans="20:20">
      <c r="T22665" s="10"/>
    </row>
    <row r="22666" spans="20:20">
      <c r="T22666" s="10"/>
    </row>
    <row r="22667" spans="20:20">
      <c r="T22667" s="10"/>
    </row>
    <row r="22668" spans="20:20">
      <c r="T22668" s="10"/>
    </row>
    <row r="22669" spans="20:20">
      <c r="T22669" s="10"/>
    </row>
    <row r="22670" spans="20:20">
      <c r="T22670" s="10"/>
    </row>
    <row r="22671" spans="20:20">
      <c r="T22671" s="10"/>
    </row>
    <row r="22672" spans="20:20">
      <c r="T22672" s="10"/>
    </row>
    <row r="22673" spans="20:20">
      <c r="T22673" s="10"/>
    </row>
    <row r="22674" spans="20:20">
      <c r="T22674" s="10"/>
    </row>
    <row r="22675" spans="20:20">
      <c r="T22675" s="10"/>
    </row>
    <row r="22676" spans="20:20">
      <c r="T22676" s="10"/>
    </row>
    <row r="22677" spans="20:20">
      <c r="T22677" s="10"/>
    </row>
    <row r="22678" spans="20:20">
      <c r="T22678" s="10"/>
    </row>
    <row r="22679" spans="20:20">
      <c r="T22679" s="10"/>
    </row>
    <row r="22680" spans="20:20">
      <c r="T22680" s="10"/>
    </row>
    <row r="22681" spans="20:20">
      <c r="T22681" s="10"/>
    </row>
    <row r="22682" spans="20:20">
      <c r="T22682" s="10"/>
    </row>
    <row r="22683" spans="20:20">
      <c r="T22683" s="10"/>
    </row>
    <row r="22684" spans="20:20">
      <c r="T22684" s="10"/>
    </row>
    <row r="22685" spans="20:20">
      <c r="T22685" s="10"/>
    </row>
    <row r="22686" spans="20:20">
      <c r="T22686" s="10"/>
    </row>
    <row r="22687" spans="20:20">
      <c r="T22687" s="10"/>
    </row>
    <row r="22688" spans="20:20">
      <c r="T22688" s="10"/>
    </row>
    <row r="22689" spans="20:20">
      <c r="T22689" s="10"/>
    </row>
    <row r="22690" spans="20:20">
      <c r="T22690" s="10"/>
    </row>
    <row r="22691" spans="20:20">
      <c r="T22691" s="10"/>
    </row>
    <row r="22692" spans="20:20">
      <c r="T22692" s="10"/>
    </row>
    <row r="22693" spans="20:20">
      <c r="T22693" s="10"/>
    </row>
    <row r="22694" spans="20:20">
      <c r="T22694" s="10"/>
    </row>
    <row r="22695" spans="20:20">
      <c r="T22695" s="10"/>
    </row>
    <row r="22696" spans="20:20">
      <c r="T22696" s="10"/>
    </row>
    <row r="22697" spans="20:20">
      <c r="T22697" s="10"/>
    </row>
    <row r="22698" spans="20:20">
      <c r="T22698" s="10"/>
    </row>
    <row r="22699" spans="20:20">
      <c r="T22699" s="10"/>
    </row>
    <row r="22700" spans="20:20">
      <c r="T22700" s="10"/>
    </row>
    <row r="22701" spans="20:20">
      <c r="T22701" s="10"/>
    </row>
    <row r="22702" spans="20:20">
      <c r="T22702" s="10"/>
    </row>
    <row r="22703" spans="20:20">
      <c r="T22703" s="10"/>
    </row>
    <row r="22704" spans="20:20">
      <c r="T22704" s="10"/>
    </row>
    <row r="22705" spans="20:20">
      <c r="T22705" s="10"/>
    </row>
    <row r="22706" spans="20:20">
      <c r="T22706" s="10"/>
    </row>
    <row r="22707" spans="20:20">
      <c r="T22707" s="10"/>
    </row>
    <row r="22708" spans="20:20">
      <c r="T22708" s="10"/>
    </row>
    <row r="22709" spans="20:20">
      <c r="T22709" s="10"/>
    </row>
    <row r="22710" spans="20:20">
      <c r="T22710" s="10"/>
    </row>
    <row r="22711" spans="20:20">
      <c r="T22711" s="10"/>
    </row>
    <row r="22712" spans="20:20">
      <c r="T22712" s="10"/>
    </row>
    <row r="22713" spans="20:20">
      <c r="T22713" s="10"/>
    </row>
    <row r="22714" spans="20:20">
      <c r="T22714" s="10"/>
    </row>
    <row r="22715" spans="20:20">
      <c r="T22715" s="10"/>
    </row>
    <row r="22716" spans="20:20">
      <c r="T22716" s="10"/>
    </row>
    <row r="22717" spans="20:20">
      <c r="T22717" s="10"/>
    </row>
    <row r="22718" spans="20:20">
      <c r="T22718" s="10"/>
    </row>
    <row r="22719" spans="20:20">
      <c r="T22719" s="10"/>
    </row>
    <row r="22720" spans="20:20">
      <c r="T22720" s="10"/>
    </row>
    <row r="22721" spans="20:20">
      <c r="T22721" s="10"/>
    </row>
    <row r="22722" spans="20:20">
      <c r="T22722" s="10"/>
    </row>
    <row r="22723" spans="20:20">
      <c r="T22723" s="10"/>
    </row>
    <row r="22724" spans="20:20">
      <c r="T22724" s="10"/>
    </row>
    <row r="22725" spans="20:20">
      <c r="T22725" s="10"/>
    </row>
    <row r="22726" spans="20:20">
      <c r="T22726" s="10"/>
    </row>
    <row r="22727" spans="20:20">
      <c r="T22727" s="10"/>
    </row>
    <row r="22728" spans="20:20">
      <c r="T22728" s="10"/>
    </row>
    <row r="22729" spans="20:20">
      <c r="T22729" s="10"/>
    </row>
    <row r="22730" spans="20:20">
      <c r="T22730" s="10"/>
    </row>
    <row r="22731" spans="20:20">
      <c r="T22731" s="10"/>
    </row>
    <row r="22732" spans="20:20">
      <c r="T22732" s="10"/>
    </row>
    <row r="22733" spans="20:20">
      <c r="T22733" s="10"/>
    </row>
    <row r="22734" spans="20:20">
      <c r="T22734" s="10"/>
    </row>
    <row r="22735" spans="20:20">
      <c r="T22735" s="10"/>
    </row>
    <row r="22736" spans="20:20">
      <c r="T22736" s="10"/>
    </row>
    <row r="22737" spans="20:20">
      <c r="T22737" s="10"/>
    </row>
    <row r="22738" spans="20:20">
      <c r="T22738" s="10"/>
    </row>
    <row r="22739" spans="20:20">
      <c r="T22739" s="10"/>
    </row>
    <row r="22740" spans="20:20">
      <c r="T22740" s="10"/>
    </row>
    <row r="22741" spans="20:20">
      <c r="T22741" s="10"/>
    </row>
    <row r="22742" spans="20:20">
      <c r="T22742" s="10"/>
    </row>
    <row r="22743" spans="20:20">
      <c r="T22743" s="10"/>
    </row>
    <row r="22744" spans="20:20">
      <c r="T22744" s="10"/>
    </row>
    <row r="22745" spans="20:20">
      <c r="T22745" s="10"/>
    </row>
    <row r="22746" spans="20:20">
      <c r="T22746" s="10"/>
    </row>
    <row r="22747" spans="20:20">
      <c r="T22747" s="10"/>
    </row>
    <row r="22748" spans="20:20">
      <c r="T22748" s="10"/>
    </row>
    <row r="22749" spans="20:20">
      <c r="T22749" s="10"/>
    </row>
    <row r="22750" spans="20:20">
      <c r="T22750" s="10"/>
    </row>
    <row r="22751" spans="20:20">
      <c r="T22751" s="10"/>
    </row>
    <row r="22752" spans="20:20">
      <c r="T22752" s="10"/>
    </row>
    <row r="22753" spans="20:20">
      <c r="T22753" s="10"/>
    </row>
    <row r="22754" spans="20:20">
      <c r="T22754" s="10"/>
    </row>
    <row r="22755" spans="20:20">
      <c r="T22755" s="10"/>
    </row>
    <row r="22756" spans="20:20">
      <c r="T22756" s="10"/>
    </row>
    <row r="22757" spans="20:20">
      <c r="T22757" s="10"/>
    </row>
    <row r="22758" spans="20:20">
      <c r="T22758" s="10"/>
    </row>
    <row r="22759" spans="20:20">
      <c r="T22759" s="10"/>
    </row>
    <row r="22760" spans="20:20">
      <c r="T22760" s="10"/>
    </row>
    <row r="22761" spans="20:20">
      <c r="T22761" s="10"/>
    </row>
    <row r="22762" spans="20:20">
      <c r="T22762" s="10"/>
    </row>
    <row r="22763" spans="20:20">
      <c r="T22763" s="10"/>
    </row>
    <row r="22764" spans="20:20">
      <c r="T22764" s="10"/>
    </row>
    <row r="22765" spans="20:20">
      <c r="T22765" s="10"/>
    </row>
    <row r="22766" spans="20:20">
      <c r="T22766" s="10"/>
    </row>
    <row r="22767" spans="20:20">
      <c r="T22767" s="10"/>
    </row>
    <row r="22768" spans="20:20">
      <c r="T22768" s="10"/>
    </row>
    <row r="22769" spans="20:20">
      <c r="T22769" s="10"/>
    </row>
    <row r="22770" spans="20:20">
      <c r="T22770" s="10"/>
    </row>
    <row r="22771" spans="20:20">
      <c r="T22771" s="10"/>
    </row>
    <row r="22772" spans="20:20">
      <c r="T22772" s="10"/>
    </row>
    <row r="22773" spans="20:20">
      <c r="T22773" s="10"/>
    </row>
    <row r="22774" spans="20:20">
      <c r="T22774" s="10"/>
    </row>
    <row r="22775" spans="20:20">
      <c r="T22775" s="10"/>
    </row>
    <row r="22776" spans="20:20">
      <c r="T22776" s="10"/>
    </row>
    <row r="22777" spans="20:20">
      <c r="T22777" s="10"/>
    </row>
    <row r="22778" spans="20:20">
      <c r="T22778" s="10"/>
    </row>
    <row r="22779" spans="20:20">
      <c r="T22779" s="10"/>
    </row>
    <row r="22780" spans="20:20">
      <c r="T22780" s="10"/>
    </row>
    <row r="22781" spans="20:20">
      <c r="T22781" s="10"/>
    </row>
    <row r="22782" spans="20:20">
      <c r="T22782" s="10"/>
    </row>
    <row r="22783" spans="20:20">
      <c r="T22783" s="10"/>
    </row>
    <row r="22784" spans="20:20">
      <c r="T22784" s="10"/>
    </row>
    <row r="22785" spans="20:20">
      <c r="T22785" s="10"/>
    </row>
    <row r="22786" spans="20:20">
      <c r="T22786" s="10"/>
    </row>
    <row r="22787" spans="20:20">
      <c r="T22787" s="10"/>
    </row>
    <row r="22788" spans="20:20">
      <c r="T22788" s="10"/>
    </row>
    <row r="22789" spans="20:20">
      <c r="T22789" s="10"/>
    </row>
    <row r="22790" spans="20:20">
      <c r="T22790" s="10"/>
    </row>
    <row r="22791" spans="20:20">
      <c r="T22791" s="10"/>
    </row>
    <row r="22792" spans="20:20">
      <c r="T22792" s="10"/>
    </row>
    <row r="22793" spans="20:20">
      <c r="T22793" s="10"/>
    </row>
    <row r="22794" spans="20:20">
      <c r="T22794" s="10"/>
    </row>
    <row r="22795" spans="20:20">
      <c r="T22795" s="10"/>
    </row>
    <row r="22796" spans="20:20">
      <c r="T22796" s="10"/>
    </row>
    <row r="22797" spans="20:20">
      <c r="T22797" s="10"/>
    </row>
    <row r="22798" spans="20:20">
      <c r="T22798" s="10"/>
    </row>
    <row r="22799" spans="20:20">
      <c r="T22799" s="10"/>
    </row>
    <row r="22800" spans="20:20">
      <c r="T22800" s="10"/>
    </row>
    <row r="22801" spans="20:20">
      <c r="T22801" s="10"/>
    </row>
    <row r="22802" spans="20:20">
      <c r="T22802" s="10"/>
    </row>
    <row r="22803" spans="20:20">
      <c r="T22803" s="10"/>
    </row>
    <row r="22804" spans="20:20">
      <c r="T22804" s="10"/>
    </row>
    <row r="22805" spans="20:20">
      <c r="T22805" s="10"/>
    </row>
    <row r="22806" spans="20:20">
      <c r="T22806" s="10"/>
    </row>
    <row r="22807" spans="20:20">
      <c r="T22807" s="10"/>
    </row>
    <row r="22808" spans="20:20">
      <c r="T22808" s="10"/>
    </row>
    <row r="22809" spans="20:20">
      <c r="T22809" s="10"/>
    </row>
    <row r="22810" spans="20:20">
      <c r="T22810" s="10"/>
    </row>
    <row r="22811" spans="20:20">
      <c r="T22811" s="10"/>
    </row>
    <row r="22812" spans="20:20">
      <c r="T22812" s="10"/>
    </row>
    <row r="22813" spans="20:20">
      <c r="T22813" s="10"/>
    </row>
    <row r="22814" spans="20:20">
      <c r="T22814" s="10"/>
    </row>
    <row r="22815" spans="20:20">
      <c r="T22815" s="10"/>
    </row>
    <row r="22816" spans="20:20">
      <c r="T22816" s="10"/>
    </row>
    <row r="22817" spans="20:20">
      <c r="T22817" s="10"/>
    </row>
    <row r="22818" spans="20:20">
      <c r="T22818" s="10"/>
    </row>
    <row r="22819" spans="20:20">
      <c r="T22819" s="10"/>
    </row>
    <row r="22820" spans="20:20">
      <c r="T22820" s="10"/>
    </row>
    <row r="22821" spans="20:20">
      <c r="T22821" s="10"/>
    </row>
    <row r="22822" spans="20:20">
      <c r="T22822" s="10"/>
    </row>
    <row r="22823" spans="20:20">
      <c r="T22823" s="10"/>
    </row>
    <row r="22824" spans="20:20">
      <c r="T22824" s="10"/>
    </row>
    <row r="22825" spans="20:20">
      <c r="T22825" s="10"/>
    </row>
    <row r="22826" spans="20:20">
      <c r="T22826" s="10"/>
    </row>
    <row r="22827" spans="20:20">
      <c r="T22827" s="10"/>
    </row>
    <row r="22828" spans="20:20">
      <c r="T22828" s="10"/>
    </row>
    <row r="22829" spans="20:20">
      <c r="T22829" s="10"/>
    </row>
    <row r="22830" spans="20:20">
      <c r="T22830" s="10"/>
    </row>
    <row r="22831" spans="20:20">
      <c r="T22831" s="10"/>
    </row>
    <row r="22832" spans="20:20">
      <c r="T22832" s="10"/>
    </row>
    <row r="22833" spans="20:20">
      <c r="T22833" s="10"/>
    </row>
    <row r="22834" spans="20:20">
      <c r="T22834" s="10"/>
    </row>
    <row r="22835" spans="20:20">
      <c r="T22835" s="10"/>
    </row>
    <row r="22836" spans="20:20">
      <c r="T22836" s="10"/>
    </row>
    <row r="22837" spans="20:20">
      <c r="T22837" s="10"/>
    </row>
    <row r="22838" spans="20:20">
      <c r="T22838" s="10"/>
    </row>
    <row r="22839" spans="20:20">
      <c r="T22839" s="10"/>
    </row>
    <row r="22840" spans="20:20">
      <c r="T22840" s="10"/>
    </row>
    <row r="22841" spans="20:20">
      <c r="T22841" s="10"/>
    </row>
    <row r="22842" spans="20:20">
      <c r="T22842" s="10"/>
    </row>
    <row r="22843" spans="20:20">
      <c r="T22843" s="10"/>
    </row>
    <row r="22844" spans="20:20">
      <c r="T22844" s="10"/>
    </row>
    <row r="22845" spans="20:20">
      <c r="T22845" s="10"/>
    </row>
    <row r="22846" spans="20:20">
      <c r="T22846" s="10"/>
    </row>
    <row r="22847" spans="20:20">
      <c r="T22847" s="10"/>
    </row>
    <row r="22848" spans="20:20">
      <c r="T22848" s="10"/>
    </row>
    <row r="22849" spans="20:20">
      <c r="T22849" s="10"/>
    </row>
    <row r="22850" spans="20:20">
      <c r="T22850" s="10"/>
    </row>
    <row r="22851" spans="20:20">
      <c r="T22851" s="10"/>
    </row>
    <row r="22852" spans="20:20">
      <c r="T22852" s="10"/>
    </row>
    <row r="22853" spans="20:20">
      <c r="T22853" s="10"/>
    </row>
    <row r="22854" spans="20:20">
      <c r="T22854" s="10"/>
    </row>
    <row r="22855" spans="20:20">
      <c r="T22855" s="10"/>
    </row>
    <row r="22856" spans="20:20">
      <c r="T22856" s="10"/>
    </row>
    <row r="22857" spans="20:20">
      <c r="T22857" s="10"/>
    </row>
    <row r="22858" spans="20:20">
      <c r="T22858" s="10"/>
    </row>
    <row r="22859" spans="20:20">
      <c r="T22859" s="10"/>
    </row>
    <row r="22860" spans="20:20">
      <c r="T22860" s="10"/>
    </row>
    <row r="22861" spans="20:20">
      <c r="T22861" s="10"/>
    </row>
    <row r="22862" spans="20:20">
      <c r="T22862" s="10"/>
    </row>
    <row r="22863" spans="20:20">
      <c r="T22863" s="10"/>
    </row>
    <row r="22864" spans="20:20">
      <c r="T22864" s="10"/>
    </row>
    <row r="22865" spans="20:20">
      <c r="T22865" s="10"/>
    </row>
    <row r="22866" spans="20:20">
      <c r="T22866" s="10"/>
    </row>
    <row r="22867" spans="20:20">
      <c r="T22867" s="10"/>
    </row>
    <row r="22868" spans="20:20">
      <c r="T22868" s="10"/>
    </row>
    <row r="22869" spans="20:20">
      <c r="T22869" s="10"/>
    </row>
    <row r="22870" spans="20:20">
      <c r="T22870" s="10"/>
    </row>
    <row r="22871" spans="20:20">
      <c r="T22871" s="10"/>
    </row>
    <row r="22872" spans="20:20">
      <c r="T22872" s="10"/>
    </row>
    <row r="22873" spans="20:20">
      <c r="T22873" s="10"/>
    </row>
    <row r="22874" spans="20:20">
      <c r="T22874" s="10"/>
    </row>
    <row r="22875" spans="20:20">
      <c r="T22875" s="10"/>
    </row>
    <row r="22876" spans="20:20">
      <c r="T22876" s="10"/>
    </row>
    <row r="22877" spans="20:20">
      <c r="T22877" s="10"/>
    </row>
    <row r="22878" spans="20:20">
      <c r="T22878" s="10"/>
    </row>
    <row r="22879" spans="20:20">
      <c r="T22879" s="10"/>
    </row>
    <row r="22880" spans="20:20">
      <c r="T22880" s="10"/>
    </row>
    <row r="22881" spans="20:20">
      <c r="T22881" s="10"/>
    </row>
    <row r="22882" spans="20:20">
      <c r="T22882" s="10"/>
    </row>
    <row r="22883" spans="20:20">
      <c r="T22883" s="10"/>
    </row>
    <row r="22884" spans="20:20">
      <c r="T22884" s="10"/>
    </row>
    <row r="22885" spans="20:20">
      <c r="T22885" s="10"/>
    </row>
    <row r="22886" spans="20:20">
      <c r="T22886" s="10"/>
    </row>
    <row r="22887" spans="20:20">
      <c r="T22887" s="10"/>
    </row>
    <row r="22888" spans="20:20">
      <c r="T22888" s="10"/>
    </row>
    <row r="22889" spans="20:20">
      <c r="T22889" s="10"/>
    </row>
    <row r="22890" spans="20:20">
      <c r="T22890" s="10"/>
    </row>
    <row r="22891" spans="20:20">
      <c r="T22891" s="10"/>
    </row>
    <row r="22892" spans="20:20">
      <c r="T22892" s="10"/>
    </row>
    <row r="22893" spans="20:20">
      <c r="T22893" s="10"/>
    </row>
    <row r="22894" spans="20:20">
      <c r="T22894" s="10"/>
    </row>
    <row r="22895" spans="20:20">
      <c r="T22895" s="10"/>
    </row>
    <row r="22896" spans="20:20">
      <c r="T22896" s="10"/>
    </row>
    <row r="22897" spans="20:20">
      <c r="T22897" s="10"/>
    </row>
    <row r="22898" spans="20:20">
      <c r="T22898" s="10"/>
    </row>
    <row r="22899" spans="20:20">
      <c r="T22899" s="10"/>
    </row>
    <row r="22900" spans="20:20">
      <c r="T22900" s="10"/>
    </row>
    <row r="22901" spans="20:20">
      <c r="T22901" s="10"/>
    </row>
    <row r="22902" spans="20:20">
      <c r="T22902" s="10"/>
    </row>
    <row r="22903" spans="20:20">
      <c r="T22903" s="10"/>
    </row>
    <row r="22904" spans="20:20">
      <c r="T22904" s="10"/>
    </row>
    <row r="22905" spans="20:20">
      <c r="T22905" s="10"/>
    </row>
    <row r="22906" spans="20:20">
      <c r="T22906" s="10"/>
    </row>
    <row r="22907" spans="20:20">
      <c r="T22907" s="10"/>
    </row>
    <row r="22908" spans="20:20">
      <c r="T22908" s="10"/>
    </row>
    <row r="22909" spans="20:20">
      <c r="T22909" s="10"/>
    </row>
    <row r="22910" spans="20:20">
      <c r="T22910" s="10"/>
    </row>
    <row r="22911" spans="20:20">
      <c r="T22911" s="10"/>
    </row>
    <row r="22912" spans="20:20">
      <c r="T22912" s="10"/>
    </row>
    <row r="22913" spans="20:20">
      <c r="T22913" s="10"/>
    </row>
    <row r="22914" spans="20:20">
      <c r="T22914" s="10"/>
    </row>
    <row r="22915" spans="20:20">
      <c r="T22915" s="10"/>
    </row>
    <row r="22916" spans="20:20">
      <c r="T22916" s="10"/>
    </row>
    <row r="22917" spans="20:20">
      <c r="T22917" s="10"/>
    </row>
    <row r="22918" spans="20:20">
      <c r="T22918" s="10"/>
    </row>
    <row r="22919" spans="20:20">
      <c r="T22919" s="10"/>
    </row>
    <row r="22920" spans="20:20">
      <c r="T22920" s="10"/>
    </row>
    <row r="22921" spans="20:20">
      <c r="T22921" s="10"/>
    </row>
    <row r="22922" spans="20:20">
      <c r="T22922" s="10"/>
    </row>
    <row r="22923" spans="20:20">
      <c r="T22923" s="10"/>
    </row>
    <row r="22924" spans="20:20">
      <c r="T22924" s="10"/>
    </row>
    <row r="22925" spans="20:20">
      <c r="T22925" s="10"/>
    </row>
    <row r="22926" spans="20:20">
      <c r="T22926" s="10"/>
    </row>
    <row r="22927" spans="20:20">
      <c r="T22927" s="10"/>
    </row>
    <row r="22928" spans="20:20">
      <c r="T22928" s="10"/>
    </row>
    <row r="22929" spans="20:20">
      <c r="T22929" s="10"/>
    </row>
    <row r="22930" spans="20:20">
      <c r="T22930" s="10"/>
    </row>
    <row r="22931" spans="20:20">
      <c r="T22931" s="10"/>
    </row>
    <row r="22932" spans="20:20">
      <c r="T22932" s="10"/>
    </row>
    <row r="22933" spans="20:20">
      <c r="T22933" s="10"/>
    </row>
    <row r="22934" spans="20:20">
      <c r="T22934" s="10"/>
    </row>
    <row r="22935" spans="20:20">
      <c r="T22935" s="10"/>
    </row>
    <row r="22936" spans="20:20">
      <c r="T22936" s="10"/>
    </row>
    <row r="22937" spans="20:20">
      <c r="T22937" s="10"/>
    </row>
    <row r="22938" spans="20:20">
      <c r="T22938" s="10"/>
    </row>
    <row r="22939" spans="20:20">
      <c r="T22939" s="10"/>
    </row>
    <row r="22940" spans="20:20">
      <c r="T22940" s="10"/>
    </row>
    <row r="22941" spans="20:20">
      <c r="T22941" s="10"/>
    </row>
    <row r="22942" spans="20:20">
      <c r="T22942" s="10"/>
    </row>
    <row r="22943" spans="20:20">
      <c r="T22943" s="10"/>
    </row>
    <row r="22944" spans="20:20">
      <c r="T22944" s="10"/>
    </row>
    <row r="22945" spans="20:20">
      <c r="T22945" s="10"/>
    </row>
    <row r="22946" spans="20:20">
      <c r="T22946" s="10"/>
    </row>
    <row r="22947" spans="20:20">
      <c r="T22947" s="10"/>
    </row>
    <row r="22948" spans="20:20">
      <c r="T22948" s="10"/>
    </row>
    <row r="22949" spans="20:20">
      <c r="T22949" s="10"/>
    </row>
    <row r="22950" spans="20:20">
      <c r="T22950" s="10"/>
    </row>
    <row r="22951" spans="20:20">
      <c r="T22951" s="10"/>
    </row>
    <row r="22952" spans="20:20">
      <c r="T22952" s="10"/>
    </row>
    <row r="22953" spans="20:20">
      <c r="T22953" s="10"/>
    </row>
    <row r="22954" spans="20:20">
      <c r="T22954" s="10"/>
    </row>
    <row r="22955" spans="20:20">
      <c r="T22955" s="10"/>
    </row>
    <row r="22956" spans="20:20">
      <c r="T22956" s="10"/>
    </row>
    <row r="22957" spans="20:20">
      <c r="T22957" s="10"/>
    </row>
    <row r="22958" spans="20:20">
      <c r="T22958" s="10"/>
    </row>
    <row r="22959" spans="20:20">
      <c r="T22959" s="10"/>
    </row>
    <row r="22960" spans="20:20">
      <c r="T22960" s="10"/>
    </row>
    <row r="22961" spans="20:20">
      <c r="T22961" s="10"/>
    </row>
    <row r="22962" spans="20:20">
      <c r="T22962" s="10"/>
    </row>
    <row r="22963" spans="20:20">
      <c r="T22963" s="10"/>
    </row>
    <row r="22964" spans="20:20">
      <c r="T22964" s="10"/>
    </row>
    <row r="22965" spans="20:20">
      <c r="T22965" s="10"/>
    </row>
    <row r="22966" spans="20:20">
      <c r="T22966" s="10"/>
    </row>
    <row r="22967" spans="20:20">
      <c r="T22967" s="10"/>
    </row>
    <row r="22968" spans="20:20">
      <c r="T22968" s="10"/>
    </row>
    <row r="22969" spans="20:20">
      <c r="T22969" s="10"/>
    </row>
    <row r="22970" spans="20:20">
      <c r="T22970" s="10"/>
    </row>
    <row r="22971" spans="20:20">
      <c r="T22971" s="10"/>
    </row>
    <row r="22972" spans="20:20">
      <c r="T22972" s="10"/>
    </row>
    <row r="22973" spans="20:20">
      <c r="T22973" s="10"/>
    </row>
    <row r="22974" spans="20:20">
      <c r="T22974" s="10"/>
    </row>
    <row r="22975" spans="20:20">
      <c r="T22975" s="10"/>
    </row>
    <row r="22976" spans="20:20">
      <c r="T22976" s="10"/>
    </row>
    <row r="22977" spans="20:20">
      <c r="T22977" s="10"/>
    </row>
    <row r="22978" spans="20:20">
      <c r="T22978" s="10"/>
    </row>
    <row r="22979" spans="20:20">
      <c r="T22979" s="10"/>
    </row>
    <row r="22980" spans="20:20">
      <c r="T22980" s="10"/>
    </row>
    <row r="22981" spans="20:20">
      <c r="T22981" s="10"/>
    </row>
    <row r="22982" spans="20:20">
      <c r="T22982" s="10"/>
    </row>
    <row r="22983" spans="20:20">
      <c r="T22983" s="10"/>
    </row>
    <row r="22984" spans="20:20">
      <c r="T22984" s="10"/>
    </row>
    <row r="22985" spans="20:20">
      <c r="T22985" s="10"/>
    </row>
    <row r="22986" spans="20:20">
      <c r="T22986" s="10"/>
    </row>
    <row r="22987" spans="20:20">
      <c r="T22987" s="10"/>
    </row>
    <row r="22988" spans="20:20">
      <c r="T22988" s="10"/>
    </row>
    <row r="22989" spans="20:20">
      <c r="T22989" s="10"/>
    </row>
    <row r="22990" spans="20:20">
      <c r="T22990" s="10"/>
    </row>
    <row r="22991" spans="20:20">
      <c r="T22991" s="10"/>
    </row>
    <row r="22992" spans="20:20">
      <c r="T22992" s="10"/>
    </row>
    <row r="22993" spans="20:20">
      <c r="T22993" s="10"/>
    </row>
    <row r="22994" spans="20:20">
      <c r="T22994" s="10"/>
    </row>
    <row r="22995" spans="20:20">
      <c r="T22995" s="10"/>
    </row>
    <row r="22996" spans="20:20">
      <c r="T22996" s="10"/>
    </row>
    <row r="22997" spans="20:20">
      <c r="T22997" s="10"/>
    </row>
    <row r="22998" spans="20:20">
      <c r="T22998" s="10"/>
    </row>
    <row r="22999" spans="20:20">
      <c r="T22999" s="10"/>
    </row>
    <row r="23000" spans="20:20">
      <c r="T23000" s="10"/>
    </row>
    <row r="23001" spans="20:20">
      <c r="T23001" s="10"/>
    </row>
    <row r="23002" spans="20:20">
      <c r="T23002" s="10"/>
    </row>
    <row r="23003" spans="20:20">
      <c r="T23003" s="10"/>
    </row>
    <row r="23004" spans="20:20">
      <c r="T23004" s="10"/>
    </row>
    <row r="23005" spans="20:20">
      <c r="T23005" s="10"/>
    </row>
    <row r="23006" spans="20:20">
      <c r="T23006" s="10"/>
    </row>
    <row r="23007" spans="20:20">
      <c r="T23007" s="10"/>
    </row>
    <row r="23008" spans="20:20">
      <c r="T23008" s="10"/>
    </row>
    <row r="23009" spans="20:20">
      <c r="T23009" s="10"/>
    </row>
    <row r="23010" spans="20:20">
      <c r="T23010" s="10"/>
    </row>
    <row r="23011" spans="20:20">
      <c r="T23011" s="10"/>
    </row>
    <row r="23012" spans="20:20">
      <c r="T23012" s="10"/>
    </row>
    <row r="23013" spans="20:20">
      <c r="T23013" s="10"/>
    </row>
    <row r="23014" spans="20:20">
      <c r="T23014" s="10"/>
    </row>
    <row r="23015" spans="20:20">
      <c r="T23015" s="10"/>
    </row>
    <row r="23016" spans="20:20">
      <c r="T23016" s="10"/>
    </row>
    <row r="23017" spans="20:20">
      <c r="T23017" s="10"/>
    </row>
    <row r="23018" spans="20:20">
      <c r="T23018" s="10"/>
    </row>
    <row r="23019" spans="20:20">
      <c r="T23019" s="10"/>
    </row>
    <row r="23020" spans="20:20">
      <c r="T23020" s="10"/>
    </row>
    <row r="23021" spans="20:20">
      <c r="T23021" s="10"/>
    </row>
    <row r="23022" spans="20:20">
      <c r="T23022" s="10"/>
    </row>
    <row r="23023" spans="20:20">
      <c r="T23023" s="10"/>
    </row>
    <row r="23024" spans="20:20">
      <c r="T23024" s="10"/>
    </row>
    <row r="23025" spans="20:20">
      <c r="T23025" s="10"/>
    </row>
    <row r="23026" spans="20:20">
      <c r="T23026" s="10"/>
    </row>
    <row r="23027" spans="20:20">
      <c r="T23027" s="10"/>
    </row>
    <row r="23028" spans="20:20">
      <c r="T23028" s="10"/>
    </row>
    <row r="23029" spans="20:20">
      <c r="T23029" s="10"/>
    </row>
    <row r="23030" spans="20:20">
      <c r="T23030" s="10"/>
    </row>
    <row r="23031" spans="20:20">
      <c r="T23031" s="10"/>
    </row>
    <row r="23032" spans="20:20">
      <c r="T23032" s="10"/>
    </row>
    <row r="23033" spans="20:20">
      <c r="T23033" s="10"/>
    </row>
    <row r="23034" spans="20:20">
      <c r="T23034" s="10"/>
    </row>
    <row r="23035" spans="20:20">
      <c r="T23035" s="10"/>
    </row>
    <row r="23036" spans="20:20">
      <c r="T23036" s="10"/>
    </row>
    <row r="23037" spans="20:20">
      <c r="T23037" s="10"/>
    </row>
    <row r="23038" spans="20:20">
      <c r="T23038" s="10"/>
    </row>
    <row r="23039" spans="20:20">
      <c r="T23039" s="10"/>
    </row>
    <row r="23040" spans="20:20">
      <c r="T23040" s="10"/>
    </row>
    <row r="23041" spans="20:20">
      <c r="T23041" s="10"/>
    </row>
    <row r="23042" spans="20:20">
      <c r="T23042" s="10"/>
    </row>
    <row r="23043" spans="20:20">
      <c r="T23043" s="10"/>
    </row>
    <row r="23044" spans="20:20">
      <c r="T23044" s="10"/>
    </row>
    <row r="23045" spans="20:20">
      <c r="T23045" s="10"/>
    </row>
    <row r="23046" spans="20:20">
      <c r="T23046" s="10"/>
    </row>
    <row r="23047" spans="20:20">
      <c r="T23047" s="10"/>
    </row>
    <row r="23048" spans="20:20">
      <c r="T23048" s="10"/>
    </row>
    <row r="23049" spans="20:20">
      <c r="T23049" s="10"/>
    </row>
    <row r="23050" spans="20:20">
      <c r="T23050" s="10"/>
    </row>
    <row r="23051" spans="20:20">
      <c r="T23051" s="10"/>
    </row>
    <row r="23052" spans="20:20">
      <c r="T23052" s="10"/>
    </row>
    <row r="23053" spans="20:20">
      <c r="T23053" s="10"/>
    </row>
    <row r="23054" spans="20:20">
      <c r="T23054" s="10"/>
    </row>
    <row r="23055" spans="20:20">
      <c r="T23055" s="10"/>
    </row>
    <row r="23056" spans="20:20">
      <c r="T23056" s="10"/>
    </row>
    <row r="23057" spans="20:20">
      <c r="T23057" s="10"/>
    </row>
    <row r="23058" spans="20:20">
      <c r="T23058" s="10"/>
    </row>
    <row r="23059" spans="20:20">
      <c r="T23059" s="10"/>
    </row>
    <row r="23060" spans="20:20">
      <c r="T23060" s="10"/>
    </row>
    <row r="23061" spans="20:20">
      <c r="T23061" s="10"/>
    </row>
    <row r="23062" spans="20:20">
      <c r="T23062" s="10"/>
    </row>
    <row r="23063" spans="20:20">
      <c r="T23063" s="10"/>
    </row>
    <row r="23064" spans="20:20">
      <c r="T23064" s="10"/>
    </row>
    <row r="23065" spans="20:20">
      <c r="T23065" s="10"/>
    </row>
    <row r="23066" spans="20:20">
      <c r="T23066" s="10"/>
    </row>
    <row r="23067" spans="20:20">
      <c r="T23067" s="10"/>
    </row>
    <row r="23068" spans="20:20">
      <c r="T23068" s="10"/>
    </row>
    <row r="23069" spans="20:20">
      <c r="T23069" s="10"/>
    </row>
    <row r="23070" spans="20:20">
      <c r="T23070" s="10"/>
    </row>
    <row r="23071" spans="20:20">
      <c r="T23071" s="10"/>
    </row>
    <row r="23072" spans="20:20">
      <c r="T23072" s="10"/>
    </row>
    <row r="23073" spans="20:20">
      <c r="T23073" s="10"/>
    </row>
    <row r="23074" spans="20:20">
      <c r="T23074" s="10"/>
    </row>
    <row r="23075" spans="20:20">
      <c r="T23075" s="10"/>
    </row>
    <row r="23076" spans="20:20">
      <c r="T23076" s="10"/>
    </row>
    <row r="23077" spans="20:20">
      <c r="T23077" s="10"/>
    </row>
    <row r="23078" spans="20:20">
      <c r="T23078" s="10"/>
    </row>
    <row r="23079" spans="20:20">
      <c r="T23079" s="10"/>
    </row>
    <row r="23080" spans="20:20">
      <c r="T23080" s="10"/>
    </row>
    <row r="23081" spans="20:20">
      <c r="T23081" s="10"/>
    </row>
    <row r="23082" spans="20:20">
      <c r="T23082" s="10"/>
    </row>
    <row r="23083" spans="20:20">
      <c r="T23083" s="10"/>
    </row>
    <row r="23084" spans="20:20">
      <c r="T23084" s="10"/>
    </row>
    <row r="23085" spans="20:20">
      <c r="T23085" s="10"/>
    </row>
    <row r="23086" spans="20:20">
      <c r="T23086" s="10"/>
    </row>
    <row r="23087" spans="20:20">
      <c r="T23087" s="10"/>
    </row>
    <row r="23088" spans="20:20">
      <c r="T23088" s="10"/>
    </row>
    <row r="23089" spans="20:20">
      <c r="T23089" s="10"/>
    </row>
    <row r="23090" spans="20:20">
      <c r="T23090" s="10"/>
    </row>
    <row r="23091" spans="20:20">
      <c r="T23091" s="10"/>
    </row>
    <row r="23092" spans="20:20">
      <c r="T23092" s="10"/>
    </row>
    <row r="23093" spans="20:20">
      <c r="T23093" s="10"/>
    </row>
    <row r="23094" spans="20:20">
      <c r="T23094" s="10"/>
    </row>
    <row r="23095" spans="20:20">
      <c r="T23095" s="10"/>
    </row>
    <row r="23096" spans="20:20">
      <c r="T23096" s="10"/>
    </row>
    <row r="23097" spans="20:20">
      <c r="T23097" s="10"/>
    </row>
    <row r="23098" spans="20:20">
      <c r="T23098" s="10"/>
    </row>
    <row r="23099" spans="20:20">
      <c r="T23099" s="10"/>
    </row>
    <row r="23100" spans="20:20">
      <c r="T23100" s="10"/>
    </row>
    <row r="23101" spans="20:20">
      <c r="T23101" s="10"/>
    </row>
    <row r="23102" spans="20:20">
      <c r="T23102" s="10"/>
    </row>
    <row r="23103" spans="20:20">
      <c r="T23103" s="10"/>
    </row>
    <row r="23104" spans="20:20">
      <c r="T23104" s="10"/>
    </row>
    <row r="23105" spans="20:20">
      <c r="T23105" s="10"/>
    </row>
    <row r="23106" spans="20:20">
      <c r="T23106" s="10"/>
    </row>
    <row r="23107" spans="20:20">
      <c r="T23107" s="10"/>
    </row>
    <row r="23108" spans="20:20">
      <c r="T23108" s="10"/>
    </row>
    <row r="23109" spans="20:20">
      <c r="T23109" s="10"/>
    </row>
    <row r="23110" spans="20:20">
      <c r="T23110" s="10"/>
    </row>
    <row r="23111" spans="20:20">
      <c r="T23111" s="10"/>
    </row>
    <row r="23112" spans="20:20">
      <c r="T23112" s="10"/>
    </row>
    <row r="23113" spans="20:20">
      <c r="T23113" s="10"/>
    </row>
    <row r="23114" spans="20:20">
      <c r="T23114" s="10"/>
    </row>
    <row r="23115" spans="20:20">
      <c r="T23115" s="10"/>
    </row>
    <row r="23116" spans="20:20">
      <c r="T23116" s="10"/>
    </row>
    <row r="23117" spans="20:20">
      <c r="T23117" s="10"/>
    </row>
    <row r="23118" spans="20:20">
      <c r="T23118" s="10"/>
    </row>
    <row r="23119" spans="20:20">
      <c r="T23119" s="10"/>
    </row>
    <row r="23120" spans="20:20">
      <c r="T23120" s="10"/>
    </row>
    <row r="23121" spans="20:20">
      <c r="T23121" s="10"/>
    </row>
    <row r="23122" spans="20:20">
      <c r="T23122" s="10"/>
    </row>
    <row r="23123" spans="20:20">
      <c r="T23123" s="10"/>
    </row>
    <row r="23124" spans="20:20">
      <c r="T23124" s="10"/>
    </row>
    <row r="23125" spans="20:20">
      <c r="T23125" s="10"/>
    </row>
    <row r="23126" spans="20:20">
      <c r="T23126" s="10"/>
    </row>
    <row r="23127" spans="20:20">
      <c r="T23127" s="10"/>
    </row>
    <row r="23128" spans="20:20">
      <c r="T23128" s="10"/>
    </row>
    <row r="23129" spans="20:20">
      <c r="T23129" s="10"/>
    </row>
    <row r="23130" spans="20:20">
      <c r="T23130" s="10"/>
    </row>
    <row r="23131" spans="20:20">
      <c r="T23131" s="10"/>
    </row>
    <row r="23132" spans="20:20">
      <c r="T23132" s="10"/>
    </row>
    <row r="23133" spans="20:20">
      <c r="T23133" s="10"/>
    </row>
    <row r="23134" spans="20:20">
      <c r="T23134" s="10"/>
    </row>
    <row r="23135" spans="20:20">
      <c r="T23135" s="10"/>
    </row>
    <row r="23136" spans="20:20">
      <c r="T23136" s="10"/>
    </row>
    <row r="23137" spans="20:20">
      <c r="T23137" s="10"/>
    </row>
    <row r="23138" spans="20:20">
      <c r="T23138" s="10"/>
    </row>
    <row r="23139" spans="20:20">
      <c r="T23139" s="10"/>
    </row>
    <row r="23140" spans="20:20">
      <c r="T23140" s="10"/>
    </row>
    <row r="23141" spans="20:20">
      <c r="T23141" s="10"/>
    </row>
    <row r="23142" spans="20:20">
      <c r="T23142" s="10"/>
    </row>
    <row r="23143" spans="20:20">
      <c r="T23143" s="10"/>
    </row>
    <row r="23144" spans="20:20">
      <c r="T23144" s="10"/>
    </row>
    <row r="23145" spans="20:20">
      <c r="T23145" s="10"/>
    </row>
    <row r="23146" spans="20:20">
      <c r="T23146" s="10"/>
    </row>
    <row r="23147" spans="20:20">
      <c r="T23147" s="10"/>
    </row>
    <row r="23148" spans="20:20">
      <c r="T23148" s="10"/>
    </row>
    <row r="23149" spans="20:20">
      <c r="T23149" s="10"/>
    </row>
    <row r="23150" spans="20:20">
      <c r="T23150" s="10"/>
    </row>
    <row r="23151" spans="20:20">
      <c r="T23151" s="10"/>
    </row>
    <row r="23152" spans="20:20">
      <c r="T23152" s="10"/>
    </row>
    <row r="23153" spans="20:20">
      <c r="T23153" s="10"/>
    </row>
    <row r="23154" spans="20:20">
      <c r="T23154" s="10"/>
    </row>
    <row r="23155" spans="20:20">
      <c r="T23155" s="10"/>
    </row>
    <row r="23156" spans="20:20">
      <c r="T23156" s="10"/>
    </row>
    <row r="23157" spans="20:20">
      <c r="T23157" s="10"/>
    </row>
    <row r="23158" spans="20:20">
      <c r="T23158" s="10"/>
    </row>
    <row r="23159" spans="20:20">
      <c r="T23159" s="10"/>
    </row>
    <row r="23160" spans="20:20">
      <c r="T23160" s="10"/>
    </row>
    <row r="23161" spans="20:20">
      <c r="T23161" s="10"/>
    </row>
    <row r="23162" spans="20:20">
      <c r="T23162" s="10"/>
    </row>
    <row r="23163" spans="20:20">
      <c r="T23163" s="10"/>
    </row>
    <row r="23164" spans="20:20">
      <c r="T23164" s="10"/>
    </row>
    <row r="23165" spans="20:20">
      <c r="T23165" s="10"/>
    </row>
    <row r="23166" spans="20:20">
      <c r="T23166" s="10"/>
    </row>
    <row r="23167" spans="20:20">
      <c r="T23167" s="10"/>
    </row>
    <row r="23168" spans="20:20">
      <c r="T23168" s="10"/>
    </row>
    <row r="23169" spans="20:20">
      <c r="T23169" s="10"/>
    </row>
    <row r="23170" spans="20:20">
      <c r="T23170" s="10"/>
    </row>
    <row r="23171" spans="20:20">
      <c r="T23171" s="10"/>
    </row>
    <row r="23172" spans="20:20">
      <c r="T23172" s="10"/>
    </row>
    <row r="23173" spans="20:20">
      <c r="T23173" s="10"/>
    </row>
    <row r="23174" spans="20:20">
      <c r="T23174" s="10"/>
    </row>
    <row r="23175" spans="20:20">
      <c r="T23175" s="10"/>
    </row>
    <row r="23176" spans="20:20">
      <c r="T23176" s="10"/>
    </row>
    <row r="23177" spans="20:20">
      <c r="T23177" s="10"/>
    </row>
    <row r="23178" spans="20:20">
      <c r="T23178" s="10"/>
    </row>
    <row r="23179" spans="20:20">
      <c r="T23179" s="10"/>
    </row>
    <row r="23180" spans="20:20">
      <c r="T23180" s="10"/>
    </row>
    <row r="23181" spans="20:20">
      <c r="T23181" s="10"/>
    </row>
    <row r="23182" spans="20:20">
      <c r="T23182" s="10"/>
    </row>
    <row r="23183" spans="20:20">
      <c r="T23183" s="10"/>
    </row>
    <row r="23184" spans="20:20">
      <c r="T23184" s="10"/>
    </row>
    <row r="23185" spans="20:20">
      <c r="T23185" s="10"/>
    </row>
    <row r="23186" spans="20:20">
      <c r="T23186" s="10"/>
    </row>
    <row r="23187" spans="20:20">
      <c r="T23187" s="10"/>
    </row>
    <row r="23188" spans="20:20">
      <c r="T23188" s="10"/>
    </row>
    <row r="23189" spans="20:20">
      <c r="T23189" s="10"/>
    </row>
    <row r="23190" spans="20:20">
      <c r="T23190" s="10"/>
    </row>
    <row r="23191" spans="20:20">
      <c r="T23191" s="10"/>
    </row>
    <row r="23192" spans="20:20">
      <c r="T23192" s="10"/>
    </row>
    <row r="23193" spans="20:20">
      <c r="T23193" s="10"/>
    </row>
    <row r="23194" spans="20:20">
      <c r="T23194" s="10"/>
    </row>
    <row r="23195" spans="20:20">
      <c r="T23195" s="10"/>
    </row>
    <row r="23196" spans="20:20">
      <c r="T23196" s="10"/>
    </row>
    <row r="23197" spans="20:20">
      <c r="T23197" s="10"/>
    </row>
    <row r="23198" spans="20:20">
      <c r="T23198" s="10"/>
    </row>
    <row r="23199" spans="20:20">
      <c r="T23199" s="10"/>
    </row>
    <row r="23200" spans="20:20">
      <c r="T23200" s="10"/>
    </row>
    <row r="23201" spans="20:20">
      <c r="T23201" s="10"/>
    </row>
    <row r="23202" spans="20:20">
      <c r="T23202" s="10"/>
    </row>
    <row r="23203" spans="20:20">
      <c r="T23203" s="10"/>
    </row>
    <row r="23204" spans="20:20">
      <c r="T23204" s="10"/>
    </row>
    <row r="23205" spans="20:20">
      <c r="T23205" s="10"/>
    </row>
    <row r="23206" spans="20:20">
      <c r="T23206" s="10"/>
    </row>
    <row r="23207" spans="20:20">
      <c r="T23207" s="10"/>
    </row>
    <row r="23208" spans="20:20">
      <c r="T23208" s="10"/>
    </row>
    <row r="23209" spans="20:20">
      <c r="T23209" s="10"/>
    </row>
    <row r="23210" spans="20:20">
      <c r="T23210" s="10"/>
    </row>
    <row r="23211" spans="20:20">
      <c r="T23211" s="10"/>
    </row>
    <row r="23212" spans="20:20">
      <c r="T23212" s="10"/>
    </row>
    <row r="23213" spans="20:20">
      <c r="T23213" s="10"/>
    </row>
    <row r="23214" spans="20:20">
      <c r="T23214" s="10"/>
    </row>
    <row r="23215" spans="20:20">
      <c r="T23215" s="10"/>
    </row>
    <row r="23216" spans="20:20">
      <c r="T23216" s="10"/>
    </row>
    <row r="23217" spans="20:20">
      <c r="T23217" s="10"/>
    </row>
    <row r="23218" spans="20:20">
      <c r="T23218" s="10"/>
    </row>
    <row r="23219" spans="20:20">
      <c r="T23219" s="10"/>
    </row>
    <row r="23220" spans="20:20">
      <c r="T23220" s="10"/>
    </row>
    <row r="23221" spans="20:20">
      <c r="T23221" s="10"/>
    </row>
    <row r="23222" spans="20:20">
      <c r="T23222" s="10"/>
    </row>
    <row r="23223" spans="20:20">
      <c r="T23223" s="10"/>
    </row>
    <row r="23224" spans="20:20">
      <c r="T23224" s="10"/>
    </row>
    <row r="23225" spans="20:20">
      <c r="T23225" s="10"/>
    </row>
    <row r="23226" spans="20:20">
      <c r="T23226" s="10"/>
    </row>
    <row r="23227" spans="20:20">
      <c r="T23227" s="10"/>
    </row>
    <row r="23228" spans="20:20">
      <c r="T23228" s="10"/>
    </row>
    <row r="23229" spans="20:20">
      <c r="T23229" s="10"/>
    </row>
    <row r="23230" spans="20:20">
      <c r="T23230" s="10"/>
    </row>
    <row r="23231" spans="20:20">
      <c r="T23231" s="10"/>
    </row>
    <row r="23232" spans="20:20">
      <c r="T23232" s="10"/>
    </row>
    <row r="23233" spans="20:20">
      <c r="T23233" s="10"/>
    </row>
    <row r="23234" spans="20:20">
      <c r="T23234" s="10"/>
    </row>
    <row r="23235" spans="20:20">
      <c r="T23235" s="10"/>
    </row>
    <row r="23236" spans="20:20">
      <c r="T23236" s="10"/>
    </row>
    <row r="23237" spans="20:20">
      <c r="T23237" s="10"/>
    </row>
    <row r="23238" spans="20:20">
      <c r="T23238" s="10"/>
    </row>
    <row r="23239" spans="20:20">
      <c r="T23239" s="10"/>
    </row>
    <row r="23240" spans="20:20">
      <c r="T23240" s="10"/>
    </row>
    <row r="23241" spans="20:20">
      <c r="T23241" s="10"/>
    </row>
    <row r="23242" spans="20:20">
      <c r="T23242" s="10"/>
    </row>
    <row r="23243" spans="20:20">
      <c r="T23243" s="10"/>
    </row>
    <row r="23244" spans="20:20">
      <c r="T23244" s="10"/>
    </row>
    <row r="23245" spans="20:20">
      <c r="T23245" s="10"/>
    </row>
    <row r="23246" spans="20:20">
      <c r="T23246" s="10"/>
    </row>
    <row r="23247" spans="20:20">
      <c r="T23247" s="10"/>
    </row>
    <row r="23248" spans="20:20">
      <c r="T23248" s="10"/>
    </row>
    <row r="23249" spans="20:20">
      <c r="T23249" s="10"/>
    </row>
    <row r="23250" spans="20:20">
      <c r="T23250" s="10"/>
    </row>
    <row r="23251" spans="20:20">
      <c r="T23251" s="10"/>
    </row>
    <row r="23252" spans="20:20">
      <c r="T23252" s="10"/>
    </row>
    <row r="23253" spans="20:20">
      <c r="T23253" s="10"/>
    </row>
    <row r="23254" spans="20:20">
      <c r="T23254" s="10"/>
    </row>
    <row r="23255" spans="20:20">
      <c r="T23255" s="10"/>
    </row>
    <row r="23256" spans="20:20">
      <c r="T23256" s="10"/>
    </row>
    <row r="23257" spans="20:20">
      <c r="T23257" s="10"/>
    </row>
    <row r="23258" spans="20:20">
      <c r="T23258" s="10"/>
    </row>
    <row r="23259" spans="20:20">
      <c r="T23259" s="10"/>
    </row>
    <row r="23260" spans="20:20">
      <c r="T23260" s="10"/>
    </row>
    <row r="23261" spans="20:20">
      <c r="T23261" s="10"/>
    </row>
    <row r="23262" spans="20:20">
      <c r="T23262" s="10"/>
    </row>
    <row r="23263" spans="20:20">
      <c r="T23263" s="10"/>
    </row>
    <row r="23264" spans="20:20">
      <c r="T23264" s="10"/>
    </row>
    <row r="23265" spans="20:20">
      <c r="T23265" s="10"/>
    </row>
    <row r="23266" spans="20:20">
      <c r="T23266" s="10"/>
    </row>
    <row r="23267" spans="20:20">
      <c r="T23267" s="10"/>
    </row>
    <row r="23268" spans="20:20">
      <c r="T23268" s="10"/>
    </row>
    <row r="23269" spans="20:20">
      <c r="T23269" s="10"/>
    </row>
    <row r="23270" spans="20:20">
      <c r="T23270" s="10"/>
    </row>
    <row r="23271" spans="20:20">
      <c r="T23271" s="10"/>
    </row>
    <row r="23272" spans="20:20">
      <c r="T23272" s="10"/>
    </row>
    <row r="23273" spans="20:20">
      <c r="T23273" s="10"/>
    </row>
    <row r="23274" spans="20:20">
      <c r="T23274" s="10"/>
    </row>
    <row r="23275" spans="20:20">
      <c r="T23275" s="10"/>
    </row>
    <row r="23276" spans="20:20">
      <c r="T23276" s="10"/>
    </row>
    <row r="23277" spans="20:20">
      <c r="T23277" s="10"/>
    </row>
    <row r="23278" spans="20:20">
      <c r="T23278" s="10"/>
    </row>
    <row r="23279" spans="20:20">
      <c r="T23279" s="10"/>
    </row>
    <row r="23280" spans="20:20">
      <c r="T23280" s="10"/>
    </row>
    <row r="23281" spans="20:20">
      <c r="T23281" s="10"/>
    </row>
    <row r="23282" spans="20:20">
      <c r="T23282" s="10"/>
    </row>
    <row r="23283" spans="20:20">
      <c r="T23283" s="10"/>
    </row>
    <row r="23284" spans="20:20">
      <c r="T23284" s="10"/>
    </row>
    <row r="23285" spans="20:20">
      <c r="T23285" s="10"/>
    </row>
    <row r="23286" spans="20:20">
      <c r="T23286" s="10"/>
    </row>
    <row r="23287" spans="20:20">
      <c r="T23287" s="10"/>
    </row>
    <row r="23288" spans="20:20">
      <c r="T23288" s="10"/>
    </row>
    <row r="23289" spans="20:20">
      <c r="T23289" s="10"/>
    </row>
    <row r="23290" spans="20:20">
      <c r="T23290" s="10"/>
    </row>
    <row r="23291" spans="20:20">
      <c r="T23291" s="10"/>
    </row>
    <row r="23292" spans="20:20">
      <c r="T23292" s="10"/>
    </row>
    <row r="23293" spans="20:20">
      <c r="T23293" s="10"/>
    </row>
    <row r="23294" spans="20:20">
      <c r="T23294" s="10"/>
    </row>
    <row r="23295" spans="20:20">
      <c r="T23295" s="10"/>
    </row>
    <row r="23296" spans="20:20">
      <c r="T23296" s="10"/>
    </row>
    <row r="23297" spans="20:20">
      <c r="T23297" s="10"/>
    </row>
    <row r="23298" spans="20:20">
      <c r="T23298" s="10"/>
    </row>
    <row r="23299" spans="20:20">
      <c r="T23299" s="10"/>
    </row>
    <row r="23300" spans="20:20">
      <c r="T23300" s="10"/>
    </row>
    <row r="23301" spans="20:20">
      <c r="T23301" s="10"/>
    </row>
    <row r="23302" spans="20:20">
      <c r="T23302" s="10"/>
    </row>
    <row r="23303" spans="20:20">
      <c r="T23303" s="10"/>
    </row>
    <row r="23304" spans="20:20">
      <c r="T23304" s="10"/>
    </row>
    <row r="23305" spans="20:20">
      <c r="T23305" s="10"/>
    </row>
    <row r="23306" spans="20:20">
      <c r="T23306" s="10"/>
    </row>
    <row r="23307" spans="20:20">
      <c r="T23307" s="10"/>
    </row>
    <row r="23308" spans="20:20">
      <c r="T23308" s="10"/>
    </row>
    <row r="23309" spans="20:20">
      <c r="T23309" s="10"/>
    </row>
    <row r="23310" spans="20:20">
      <c r="T23310" s="10"/>
    </row>
    <row r="23311" spans="20:20">
      <c r="T23311" s="10"/>
    </row>
    <row r="23312" spans="20:20">
      <c r="T23312" s="10"/>
    </row>
    <row r="23313" spans="20:20">
      <c r="T23313" s="10"/>
    </row>
    <row r="23314" spans="20:20">
      <c r="T23314" s="10"/>
    </row>
    <row r="23315" spans="20:20">
      <c r="T23315" s="10"/>
    </row>
    <row r="23316" spans="20:20">
      <c r="T23316" s="10"/>
    </row>
    <row r="23317" spans="20:20">
      <c r="T23317" s="10"/>
    </row>
    <row r="23318" spans="20:20">
      <c r="T23318" s="10"/>
    </row>
    <row r="23319" spans="20:20">
      <c r="T23319" s="10"/>
    </row>
    <row r="23320" spans="20:20">
      <c r="T23320" s="10"/>
    </row>
    <row r="23321" spans="20:20">
      <c r="T23321" s="10"/>
    </row>
    <row r="23322" spans="20:20">
      <c r="T23322" s="10"/>
    </row>
    <row r="23323" spans="20:20">
      <c r="T23323" s="10"/>
    </row>
    <row r="23324" spans="20:20">
      <c r="T23324" s="10"/>
    </row>
    <row r="23325" spans="20:20">
      <c r="T23325" s="10"/>
    </row>
    <row r="23326" spans="20:20">
      <c r="T23326" s="10"/>
    </row>
    <row r="23327" spans="20:20">
      <c r="T23327" s="10"/>
    </row>
    <row r="23328" spans="20:20">
      <c r="T23328" s="10"/>
    </row>
    <row r="23329" spans="20:20">
      <c r="T23329" s="10"/>
    </row>
    <row r="23330" spans="20:20">
      <c r="T23330" s="10"/>
    </row>
    <row r="23331" spans="20:20">
      <c r="T23331" s="10"/>
    </row>
    <row r="23332" spans="20:20">
      <c r="T23332" s="10"/>
    </row>
    <row r="23333" spans="20:20">
      <c r="T23333" s="10"/>
    </row>
    <row r="23334" spans="20:20">
      <c r="T23334" s="10"/>
    </row>
    <row r="23335" spans="20:20">
      <c r="T23335" s="10"/>
    </row>
    <row r="23336" spans="20:20">
      <c r="T23336" s="10"/>
    </row>
    <row r="23337" spans="20:20">
      <c r="T23337" s="10"/>
    </row>
    <row r="23338" spans="20:20">
      <c r="T23338" s="10"/>
    </row>
    <row r="23339" spans="20:20">
      <c r="T23339" s="10"/>
    </row>
    <row r="23340" spans="20:20">
      <c r="T23340" s="10"/>
    </row>
    <row r="23341" spans="20:20">
      <c r="T23341" s="10"/>
    </row>
    <row r="23342" spans="20:20">
      <c r="T23342" s="10"/>
    </row>
    <row r="23343" spans="20:20">
      <c r="T23343" s="10"/>
    </row>
    <row r="23344" spans="20:20">
      <c r="T23344" s="10"/>
    </row>
    <row r="23345" spans="20:20">
      <c r="T23345" s="10"/>
    </row>
    <row r="23346" spans="20:20">
      <c r="T23346" s="10"/>
    </row>
    <row r="23347" spans="20:20">
      <c r="T23347" s="10"/>
    </row>
    <row r="23348" spans="20:20">
      <c r="T23348" s="10"/>
    </row>
    <row r="23349" spans="20:20">
      <c r="T23349" s="10"/>
    </row>
    <row r="23350" spans="20:20">
      <c r="T23350" s="10"/>
    </row>
    <row r="23351" spans="20:20">
      <c r="T23351" s="10"/>
    </row>
    <row r="23352" spans="20:20">
      <c r="T23352" s="10"/>
    </row>
    <row r="23353" spans="20:20">
      <c r="T23353" s="10"/>
    </row>
    <row r="23354" spans="20:20">
      <c r="T23354" s="10"/>
    </row>
    <row r="23355" spans="20:20">
      <c r="T23355" s="10"/>
    </row>
    <row r="23356" spans="20:20">
      <c r="T23356" s="10"/>
    </row>
    <row r="23357" spans="20:20">
      <c r="T23357" s="10"/>
    </row>
    <row r="23358" spans="20:20">
      <c r="T23358" s="10"/>
    </row>
    <row r="23359" spans="20:20">
      <c r="T23359" s="10"/>
    </row>
    <row r="23360" spans="20:20">
      <c r="T23360" s="10"/>
    </row>
    <row r="23361" spans="20:20">
      <c r="T23361" s="10"/>
    </row>
    <row r="23362" spans="20:20">
      <c r="T23362" s="10"/>
    </row>
    <row r="23363" spans="20:20">
      <c r="T23363" s="10"/>
    </row>
    <row r="23364" spans="20:20">
      <c r="T23364" s="10"/>
    </row>
    <row r="23365" spans="20:20">
      <c r="T23365" s="10"/>
    </row>
    <row r="23366" spans="20:20">
      <c r="T23366" s="10"/>
    </row>
    <row r="23367" spans="20:20">
      <c r="T23367" s="10"/>
    </row>
    <row r="23368" spans="20:20">
      <c r="T23368" s="10"/>
    </row>
    <row r="23369" spans="20:20">
      <c r="T23369" s="10"/>
    </row>
    <row r="23370" spans="20:20">
      <c r="T23370" s="10"/>
    </row>
    <row r="23371" spans="20:20">
      <c r="T23371" s="10"/>
    </row>
    <row r="23372" spans="20:20">
      <c r="T23372" s="10"/>
    </row>
    <row r="23373" spans="20:20">
      <c r="T23373" s="10"/>
    </row>
    <row r="23374" spans="20:20">
      <c r="T23374" s="10"/>
    </row>
    <row r="23375" spans="20:20">
      <c r="T23375" s="10"/>
    </row>
    <row r="23376" spans="20:20">
      <c r="T23376" s="10"/>
    </row>
    <row r="23377" spans="20:20">
      <c r="T23377" s="10"/>
    </row>
    <row r="23378" spans="20:20">
      <c r="T23378" s="10"/>
    </row>
    <row r="23379" spans="20:20">
      <c r="T23379" s="10"/>
    </row>
    <row r="23380" spans="20:20">
      <c r="T23380" s="10"/>
    </row>
    <row r="23381" spans="20:20">
      <c r="T23381" s="10"/>
    </row>
    <row r="23382" spans="20:20">
      <c r="T23382" s="10"/>
    </row>
    <row r="23383" spans="20:20">
      <c r="T23383" s="10"/>
    </row>
    <row r="23384" spans="20:20">
      <c r="T23384" s="10"/>
    </row>
    <row r="23385" spans="20:20">
      <c r="T23385" s="10"/>
    </row>
    <row r="23386" spans="20:20">
      <c r="T23386" s="10"/>
    </row>
    <row r="23387" spans="20:20">
      <c r="T23387" s="10"/>
    </row>
    <row r="23388" spans="20:20">
      <c r="T23388" s="10"/>
    </row>
    <row r="23389" spans="20:20">
      <c r="T23389" s="10"/>
    </row>
    <row r="23390" spans="20:20">
      <c r="T23390" s="10"/>
    </row>
    <row r="23391" spans="20:20">
      <c r="T23391" s="10"/>
    </row>
    <row r="23392" spans="20:20">
      <c r="T23392" s="10"/>
    </row>
    <row r="23393" spans="20:20">
      <c r="T23393" s="10"/>
    </row>
    <row r="23394" spans="20:20">
      <c r="T23394" s="10"/>
    </row>
    <row r="23395" spans="20:20">
      <c r="T23395" s="10"/>
    </row>
    <row r="23396" spans="20:20">
      <c r="T23396" s="10"/>
    </row>
    <row r="23397" spans="20:20">
      <c r="T23397" s="10"/>
    </row>
    <row r="23398" spans="20:20">
      <c r="T23398" s="10"/>
    </row>
    <row r="23399" spans="20:20">
      <c r="T23399" s="10"/>
    </row>
    <row r="23400" spans="20:20">
      <c r="T23400" s="10"/>
    </row>
    <row r="23401" spans="20:20">
      <c r="T23401" s="10"/>
    </row>
    <row r="23402" spans="20:20">
      <c r="T23402" s="10"/>
    </row>
    <row r="23403" spans="20:20">
      <c r="T23403" s="10"/>
    </row>
    <row r="23404" spans="20:20">
      <c r="T23404" s="10"/>
    </row>
    <row r="23405" spans="20:20">
      <c r="T23405" s="10"/>
    </row>
    <row r="23406" spans="20:20">
      <c r="T23406" s="10"/>
    </row>
    <row r="23407" spans="20:20">
      <c r="T23407" s="10"/>
    </row>
    <row r="23408" spans="20:20">
      <c r="T23408" s="10"/>
    </row>
    <row r="23409" spans="20:20">
      <c r="T23409" s="10"/>
    </row>
    <row r="23410" spans="20:20">
      <c r="T23410" s="10"/>
    </row>
    <row r="23411" spans="20:20">
      <c r="T23411" s="10"/>
    </row>
    <row r="23412" spans="20:20">
      <c r="T23412" s="10"/>
    </row>
    <row r="23413" spans="20:20">
      <c r="T23413" s="10"/>
    </row>
    <row r="23414" spans="20:20">
      <c r="T23414" s="10"/>
    </row>
    <row r="23415" spans="20:20">
      <c r="T23415" s="10"/>
    </row>
    <row r="23416" spans="20:20">
      <c r="T23416" s="10"/>
    </row>
    <row r="23417" spans="20:20">
      <c r="T23417" s="10"/>
    </row>
    <row r="23418" spans="20:20">
      <c r="T23418" s="10"/>
    </row>
    <row r="23419" spans="20:20">
      <c r="T23419" s="10"/>
    </row>
    <row r="23420" spans="20:20">
      <c r="T23420" s="10"/>
    </row>
    <row r="23421" spans="20:20">
      <c r="T23421" s="10"/>
    </row>
    <row r="23422" spans="20:20">
      <c r="T23422" s="10"/>
    </row>
    <row r="23423" spans="20:20">
      <c r="T23423" s="10"/>
    </row>
    <row r="23424" spans="20:20">
      <c r="T23424" s="10"/>
    </row>
    <row r="23425" spans="20:20">
      <c r="T23425" s="10"/>
    </row>
    <row r="23426" spans="20:20">
      <c r="T23426" s="10"/>
    </row>
    <row r="23427" spans="20:20">
      <c r="T23427" s="10"/>
    </row>
    <row r="23428" spans="20:20">
      <c r="T23428" s="10"/>
    </row>
    <row r="23429" spans="20:20">
      <c r="T23429" s="10"/>
    </row>
    <row r="23430" spans="20:20">
      <c r="T23430" s="10"/>
    </row>
    <row r="23431" spans="20:20">
      <c r="T23431" s="10"/>
    </row>
    <row r="23432" spans="20:20">
      <c r="T23432" s="10"/>
    </row>
    <row r="23433" spans="20:20">
      <c r="T23433" s="10"/>
    </row>
    <row r="23434" spans="20:20">
      <c r="T23434" s="10"/>
    </row>
    <row r="23435" spans="20:20">
      <c r="T23435" s="10"/>
    </row>
    <row r="23436" spans="20:20">
      <c r="T23436" s="10"/>
    </row>
    <row r="23437" spans="20:20">
      <c r="T23437" s="10"/>
    </row>
    <row r="23438" spans="20:20">
      <c r="T23438" s="10"/>
    </row>
    <row r="23439" spans="20:20">
      <c r="T23439" s="10"/>
    </row>
    <row r="23440" spans="20:20">
      <c r="T23440" s="10"/>
    </row>
    <row r="23441" spans="20:20">
      <c r="T23441" s="10"/>
    </row>
    <row r="23442" spans="20:20">
      <c r="T23442" s="10"/>
    </row>
    <row r="23443" spans="20:20">
      <c r="T23443" s="10"/>
    </row>
    <row r="23444" spans="20:20">
      <c r="T23444" s="10"/>
    </row>
    <row r="23445" spans="20:20">
      <c r="T23445" s="10"/>
    </row>
    <row r="23446" spans="20:20">
      <c r="T23446" s="10"/>
    </row>
    <row r="23447" spans="20:20">
      <c r="T23447" s="10"/>
    </row>
    <row r="23448" spans="20:20">
      <c r="T23448" s="10"/>
    </row>
    <row r="23449" spans="20:20">
      <c r="T23449" s="10"/>
    </row>
    <row r="23450" spans="20:20">
      <c r="T23450" s="10"/>
    </row>
    <row r="23451" spans="20:20">
      <c r="T23451" s="10"/>
    </row>
    <row r="23452" spans="20:20">
      <c r="T23452" s="10"/>
    </row>
    <row r="23453" spans="20:20">
      <c r="T23453" s="10"/>
    </row>
    <row r="23454" spans="20:20">
      <c r="T23454" s="10"/>
    </row>
    <row r="23455" spans="20:20">
      <c r="T23455" s="10"/>
    </row>
    <row r="23456" spans="20:20">
      <c r="T23456" s="10"/>
    </row>
    <row r="23457" spans="20:20">
      <c r="T23457" s="10"/>
    </row>
    <row r="23458" spans="20:20">
      <c r="T23458" s="10"/>
    </row>
    <row r="23459" spans="20:20">
      <c r="T23459" s="10"/>
    </row>
    <row r="23460" spans="20:20">
      <c r="T23460" s="10"/>
    </row>
    <row r="23461" spans="20:20">
      <c r="T23461" s="10"/>
    </row>
    <row r="23462" spans="20:20">
      <c r="T23462" s="10"/>
    </row>
    <row r="23463" spans="20:20">
      <c r="T23463" s="10"/>
    </row>
    <row r="23464" spans="20:20">
      <c r="T23464" s="10"/>
    </row>
    <row r="23465" spans="20:20">
      <c r="T23465" s="10"/>
    </row>
    <row r="23466" spans="20:20">
      <c r="T23466" s="10"/>
    </row>
    <row r="23467" spans="20:20">
      <c r="T23467" s="10"/>
    </row>
    <row r="23468" spans="20:20">
      <c r="T23468" s="10"/>
    </row>
    <row r="23469" spans="20:20">
      <c r="T23469" s="10"/>
    </row>
    <row r="23470" spans="20:20">
      <c r="T23470" s="10"/>
    </row>
    <row r="23471" spans="20:20">
      <c r="T23471" s="10"/>
    </row>
    <row r="23472" spans="20:20">
      <c r="T23472" s="10"/>
    </row>
    <row r="23473" spans="20:20">
      <c r="T23473" s="10"/>
    </row>
    <row r="23474" spans="20:20">
      <c r="T23474" s="10"/>
    </row>
    <row r="23475" spans="20:20">
      <c r="T23475" s="10"/>
    </row>
    <row r="23476" spans="20:20">
      <c r="T23476" s="10"/>
    </row>
    <row r="23477" spans="20:20">
      <c r="T23477" s="10"/>
    </row>
    <row r="23478" spans="20:20">
      <c r="T23478" s="10"/>
    </row>
    <row r="23479" spans="20:20">
      <c r="T23479" s="10"/>
    </row>
    <row r="23480" spans="20:20">
      <c r="T23480" s="10"/>
    </row>
    <row r="23481" spans="20:20">
      <c r="T23481" s="10"/>
    </row>
    <row r="23482" spans="20:20">
      <c r="T23482" s="10"/>
    </row>
    <row r="23483" spans="20:20">
      <c r="T23483" s="10"/>
    </row>
    <row r="23484" spans="20:20">
      <c r="T23484" s="10"/>
    </row>
    <row r="23485" spans="20:20">
      <c r="T23485" s="10"/>
    </row>
    <row r="23486" spans="20:20">
      <c r="T23486" s="10"/>
    </row>
    <row r="23487" spans="20:20">
      <c r="T23487" s="10"/>
    </row>
    <row r="23488" spans="20:20">
      <c r="T23488" s="10"/>
    </row>
    <row r="23489" spans="20:20">
      <c r="T23489" s="10"/>
    </row>
    <row r="23490" spans="20:20">
      <c r="T23490" s="10"/>
    </row>
    <row r="23491" spans="20:20">
      <c r="T23491" s="10"/>
    </row>
    <row r="23492" spans="20:20">
      <c r="T23492" s="10"/>
    </row>
    <row r="23493" spans="20:20">
      <c r="T23493" s="10"/>
    </row>
    <row r="23494" spans="20:20">
      <c r="T23494" s="10"/>
    </row>
    <row r="23495" spans="20:20">
      <c r="T23495" s="10"/>
    </row>
    <row r="23496" spans="20:20">
      <c r="T23496" s="10"/>
    </row>
    <row r="23497" spans="20:20">
      <c r="T23497" s="10"/>
    </row>
    <row r="23498" spans="20:20">
      <c r="T23498" s="10"/>
    </row>
    <row r="23499" spans="20:20">
      <c r="T23499" s="10"/>
    </row>
    <row r="23500" spans="20:20">
      <c r="T23500" s="10"/>
    </row>
    <row r="23501" spans="20:20">
      <c r="T23501" s="10"/>
    </row>
    <row r="23502" spans="20:20">
      <c r="T23502" s="10"/>
    </row>
    <row r="23503" spans="20:20">
      <c r="T23503" s="10"/>
    </row>
    <row r="23504" spans="20:20">
      <c r="T23504" s="10"/>
    </row>
    <row r="23505" spans="20:20">
      <c r="T23505" s="10"/>
    </row>
    <row r="23506" spans="20:20">
      <c r="T23506" s="10"/>
    </row>
    <row r="23507" spans="20:20">
      <c r="T23507" s="10"/>
    </row>
    <row r="23508" spans="20:20">
      <c r="T23508" s="10"/>
    </row>
    <row r="23509" spans="20:20">
      <c r="T23509" s="10"/>
    </row>
    <row r="23510" spans="20:20">
      <c r="T23510" s="10"/>
    </row>
    <row r="23511" spans="20:20">
      <c r="T23511" s="10"/>
    </row>
    <row r="23512" spans="20:20">
      <c r="T23512" s="10"/>
    </row>
    <row r="23513" spans="20:20">
      <c r="T23513" s="10"/>
    </row>
    <row r="23514" spans="20:20">
      <c r="T23514" s="10"/>
    </row>
    <row r="23515" spans="20:20">
      <c r="T23515" s="10"/>
    </row>
    <row r="23516" spans="20:20">
      <c r="T23516" s="10"/>
    </row>
    <row r="23517" spans="20:20">
      <c r="T23517" s="10"/>
    </row>
    <row r="23518" spans="20:20">
      <c r="T23518" s="10"/>
    </row>
    <row r="23519" spans="20:20">
      <c r="T23519" s="10"/>
    </row>
    <row r="23520" spans="20:20">
      <c r="T23520" s="10"/>
    </row>
    <row r="23521" spans="20:20">
      <c r="T23521" s="10"/>
    </row>
    <row r="23522" spans="20:20">
      <c r="T23522" s="10"/>
    </row>
    <row r="23523" spans="20:20">
      <c r="T23523" s="10"/>
    </row>
    <row r="23524" spans="20:20">
      <c r="T23524" s="10"/>
    </row>
    <row r="23525" spans="20:20">
      <c r="T23525" s="10"/>
    </row>
    <row r="23526" spans="20:20">
      <c r="T23526" s="10"/>
    </row>
    <row r="23527" spans="20:20">
      <c r="T23527" s="10"/>
    </row>
    <row r="23528" spans="20:20">
      <c r="T23528" s="10"/>
    </row>
    <row r="23529" spans="20:20">
      <c r="T23529" s="10"/>
    </row>
    <row r="23530" spans="20:20">
      <c r="T23530" s="10"/>
    </row>
    <row r="23531" spans="20:20">
      <c r="T23531" s="10"/>
    </row>
    <row r="23532" spans="20:20">
      <c r="T23532" s="10"/>
    </row>
    <row r="23533" spans="20:20">
      <c r="T23533" s="10"/>
    </row>
    <row r="23534" spans="20:20">
      <c r="T23534" s="10"/>
    </row>
    <row r="23535" spans="20:20">
      <c r="T23535" s="10"/>
    </row>
    <row r="23536" spans="20:20">
      <c r="T23536" s="10"/>
    </row>
    <row r="23537" spans="20:20">
      <c r="T23537" s="10"/>
    </row>
    <row r="23538" spans="20:20">
      <c r="T23538" s="10"/>
    </row>
    <row r="23539" spans="20:20">
      <c r="T23539" s="10"/>
    </row>
    <row r="23540" spans="20:20">
      <c r="T23540" s="10"/>
    </row>
    <row r="23541" spans="20:20">
      <c r="T23541" s="10"/>
    </row>
    <row r="23542" spans="20:20">
      <c r="T23542" s="10"/>
    </row>
    <row r="23543" spans="20:20">
      <c r="T23543" s="10"/>
    </row>
    <row r="23544" spans="20:20">
      <c r="T23544" s="10"/>
    </row>
    <row r="23545" spans="20:20">
      <c r="T23545" s="10"/>
    </row>
    <row r="23546" spans="20:20">
      <c r="T23546" s="10"/>
    </row>
    <row r="23547" spans="20:20">
      <c r="T23547" s="10"/>
    </row>
    <row r="23548" spans="20:20">
      <c r="T23548" s="10"/>
    </row>
    <row r="23549" spans="20:20">
      <c r="T23549" s="10"/>
    </row>
    <row r="23550" spans="20:20">
      <c r="T23550" s="10"/>
    </row>
    <row r="23551" spans="20:20">
      <c r="T23551" s="10"/>
    </row>
    <row r="23552" spans="20:20">
      <c r="T23552" s="10"/>
    </row>
    <row r="23553" spans="20:20">
      <c r="T23553" s="10"/>
    </row>
    <row r="23554" spans="20:20">
      <c r="T23554" s="10"/>
    </row>
    <row r="23555" spans="20:20">
      <c r="T23555" s="10"/>
    </row>
    <row r="23556" spans="20:20">
      <c r="T23556" s="10"/>
    </row>
    <row r="23557" spans="20:20">
      <c r="T23557" s="10"/>
    </row>
    <row r="23558" spans="20:20">
      <c r="T23558" s="10"/>
    </row>
    <row r="23559" spans="20:20">
      <c r="T23559" s="10"/>
    </row>
    <row r="23560" spans="20:20">
      <c r="T23560" s="10"/>
    </row>
    <row r="23561" spans="20:20">
      <c r="T23561" s="10"/>
    </row>
    <row r="23562" spans="20:20">
      <c r="T23562" s="10"/>
    </row>
    <row r="23563" spans="20:20">
      <c r="T23563" s="10"/>
    </row>
    <row r="23564" spans="20:20">
      <c r="T23564" s="10"/>
    </row>
    <row r="23565" spans="20:20">
      <c r="T23565" s="10"/>
    </row>
    <row r="23566" spans="20:20">
      <c r="T23566" s="10"/>
    </row>
    <row r="23567" spans="20:20">
      <c r="T23567" s="10"/>
    </row>
    <row r="23568" spans="20:20">
      <c r="T23568" s="10"/>
    </row>
    <row r="23569" spans="20:20">
      <c r="T23569" s="10"/>
    </row>
    <row r="23570" spans="20:20">
      <c r="T23570" s="10"/>
    </row>
    <row r="23571" spans="20:20">
      <c r="T23571" s="10"/>
    </row>
    <row r="23572" spans="20:20">
      <c r="T23572" s="10"/>
    </row>
    <row r="23573" spans="20:20">
      <c r="T23573" s="10"/>
    </row>
    <row r="23574" spans="20:20">
      <c r="T23574" s="10"/>
    </row>
    <row r="23575" spans="20:20">
      <c r="T23575" s="10"/>
    </row>
    <row r="23576" spans="20:20">
      <c r="T23576" s="10"/>
    </row>
    <row r="23577" spans="20:20">
      <c r="T23577" s="10"/>
    </row>
    <row r="23578" spans="20:20">
      <c r="T23578" s="10"/>
    </row>
    <row r="23579" spans="20:20">
      <c r="T23579" s="10"/>
    </row>
    <row r="23580" spans="20:20">
      <c r="T23580" s="10"/>
    </row>
    <row r="23581" spans="20:20">
      <c r="T23581" s="10"/>
    </row>
    <row r="23582" spans="20:20">
      <c r="T23582" s="10"/>
    </row>
    <row r="23583" spans="20:20">
      <c r="T23583" s="10"/>
    </row>
    <row r="23584" spans="20:20">
      <c r="T23584" s="10"/>
    </row>
    <row r="23585" spans="20:20">
      <c r="T23585" s="10"/>
    </row>
    <row r="23586" spans="20:20">
      <c r="T23586" s="10"/>
    </row>
    <row r="23587" spans="20:20">
      <c r="T23587" s="10"/>
    </row>
    <row r="23588" spans="20:20">
      <c r="T23588" s="10"/>
    </row>
    <row r="23589" spans="20:20">
      <c r="T23589" s="10"/>
    </row>
    <row r="23590" spans="20:20">
      <c r="T23590" s="10"/>
    </row>
    <row r="23591" spans="20:20">
      <c r="T23591" s="10"/>
    </row>
    <row r="23592" spans="20:20">
      <c r="T23592" s="10"/>
    </row>
    <row r="23593" spans="20:20">
      <c r="T23593" s="10"/>
    </row>
    <row r="23594" spans="20:20">
      <c r="T23594" s="10"/>
    </row>
    <row r="23595" spans="20:20">
      <c r="T23595" s="10"/>
    </row>
    <row r="23596" spans="20:20">
      <c r="T23596" s="10"/>
    </row>
    <row r="23597" spans="20:20">
      <c r="T23597" s="10"/>
    </row>
    <row r="23598" spans="20:20">
      <c r="T23598" s="10"/>
    </row>
    <row r="23599" spans="20:20">
      <c r="T23599" s="10"/>
    </row>
    <row r="23600" spans="20:20">
      <c r="T23600" s="10"/>
    </row>
    <row r="23601" spans="20:20">
      <c r="T23601" s="10"/>
    </row>
    <row r="23602" spans="20:20">
      <c r="T23602" s="10"/>
    </row>
    <row r="23603" spans="20:20">
      <c r="T23603" s="10"/>
    </row>
    <row r="23604" spans="20:20">
      <c r="T23604" s="10"/>
    </row>
    <row r="23605" spans="20:20">
      <c r="T23605" s="10"/>
    </row>
    <row r="23606" spans="20:20">
      <c r="T23606" s="10"/>
    </row>
    <row r="23607" spans="20:20">
      <c r="T23607" s="10"/>
    </row>
    <row r="23608" spans="20:20">
      <c r="T23608" s="10"/>
    </row>
    <row r="23609" spans="20:20">
      <c r="T23609" s="10"/>
    </row>
    <row r="23610" spans="20:20">
      <c r="T23610" s="10"/>
    </row>
    <row r="23611" spans="20:20">
      <c r="T23611" s="10"/>
    </row>
    <row r="23612" spans="20:20">
      <c r="T23612" s="10"/>
    </row>
    <row r="23613" spans="20:20">
      <c r="T23613" s="10"/>
    </row>
    <row r="23614" spans="20:20">
      <c r="T23614" s="10"/>
    </row>
    <row r="23615" spans="20:20">
      <c r="T23615" s="10"/>
    </row>
    <row r="23616" spans="20:20">
      <c r="T23616" s="10"/>
    </row>
    <row r="23617" spans="20:20">
      <c r="T23617" s="10"/>
    </row>
    <row r="23618" spans="20:20">
      <c r="T23618" s="10"/>
    </row>
    <row r="23619" spans="20:20">
      <c r="T23619" s="10"/>
    </row>
    <row r="23620" spans="20:20">
      <c r="T23620" s="10"/>
    </row>
    <row r="23621" spans="20:20">
      <c r="T23621" s="10"/>
    </row>
    <row r="23622" spans="20:20">
      <c r="T23622" s="10"/>
    </row>
    <row r="23623" spans="20:20">
      <c r="T23623" s="10"/>
    </row>
    <row r="23624" spans="20:20">
      <c r="T23624" s="10"/>
    </row>
    <row r="23625" spans="20:20">
      <c r="T23625" s="10"/>
    </row>
    <row r="23626" spans="20:20">
      <c r="T23626" s="10"/>
    </row>
    <row r="23627" spans="20:20">
      <c r="T23627" s="10"/>
    </row>
    <row r="23628" spans="20:20">
      <c r="T23628" s="10"/>
    </row>
    <row r="23629" spans="20:20">
      <c r="T23629" s="10"/>
    </row>
    <row r="23630" spans="20:20">
      <c r="T23630" s="10"/>
    </row>
    <row r="23631" spans="20:20">
      <c r="T23631" s="10"/>
    </row>
    <row r="23632" spans="20:20">
      <c r="T23632" s="10"/>
    </row>
    <row r="23633" spans="20:20">
      <c r="T23633" s="10"/>
    </row>
    <row r="23634" spans="20:20">
      <c r="T23634" s="10"/>
    </row>
    <row r="23635" spans="20:20">
      <c r="T23635" s="10"/>
    </row>
    <row r="23636" spans="20:20">
      <c r="T23636" s="10"/>
    </row>
    <row r="23637" spans="20:20">
      <c r="T23637" s="10"/>
    </row>
    <row r="23638" spans="20:20">
      <c r="T23638" s="10"/>
    </row>
    <row r="23639" spans="20:20">
      <c r="T23639" s="10"/>
    </row>
    <row r="23640" spans="20:20">
      <c r="T23640" s="10"/>
    </row>
    <row r="23641" spans="20:20">
      <c r="T23641" s="10"/>
    </row>
    <row r="23642" spans="20:20">
      <c r="T23642" s="10"/>
    </row>
    <row r="23643" spans="20:20">
      <c r="T23643" s="10"/>
    </row>
    <row r="23644" spans="20:20">
      <c r="T23644" s="10"/>
    </row>
    <row r="23645" spans="20:20">
      <c r="T23645" s="10"/>
    </row>
    <row r="23646" spans="20:20">
      <c r="T23646" s="10"/>
    </row>
    <row r="23647" spans="20:20">
      <c r="T23647" s="10"/>
    </row>
    <row r="23648" spans="20:20">
      <c r="T23648" s="10"/>
    </row>
    <row r="23649" spans="20:20">
      <c r="T23649" s="10"/>
    </row>
    <row r="23650" spans="20:20">
      <c r="T23650" s="10"/>
    </row>
    <row r="23651" spans="20:20">
      <c r="T23651" s="10"/>
    </row>
    <row r="23652" spans="20:20">
      <c r="T23652" s="10"/>
    </row>
    <row r="23653" spans="20:20">
      <c r="T23653" s="10"/>
    </row>
    <row r="23654" spans="20:20">
      <c r="T23654" s="10"/>
    </row>
    <row r="23655" spans="20:20">
      <c r="T23655" s="10"/>
    </row>
    <row r="23656" spans="20:20">
      <c r="T23656" s="10"/>
    </row>
    <row r="23657" spans="20:20">
      <c r="T23657" s="10"/>
    </row>
    <row r="23658" spans="20:20">
      <c r="T23658" s="10"/>
    </row>
    <row r="23659" spans="20:20">
      <c r="T23659" s="10"/>
    </row>
    <row r="23660" spans="20:20">
      <c r="T23660" s="10"/>
    </row>
    <row r="23661" spans="20:20">
      <c r="T23661" s="10"/>
    </row>
    <row r="23662" spans="20:20">
      <c r="T23662" s="10"/>
    </row>
    <row r="23663" spans="20:20">
      <c r="T23663" s="10"/>
    </row>
    <row r="23664" spans="20:20">
      <c r="T23664" s="10"/>
    </row>
    <row r="23665" spans="20:20">
      <c r="T23665" s="10"/>
    </row>
    <row r="23666" spans="20:20">
      <c r="T23666" s="10"/>
    </row>
    <row r="23667" spans="20:20">
      <c r="T23667" s="10"/>
    </row>
    <row r="23668" spans="20:20">
      <c r="T23668" s="10"/>
    </row>
    <row r="23669" spans="20:20">
      <c r="T23669" s="10"/>
    </row>
    <row r="23670" spans="20:20">
      <c r="T23670" s="10"/>
    </row>
    <row r="23671" spans="20:20">
      <c r="T23671" s="10"/>
    </row>
    <row r="23672" spans="20:20">
      <c r="T23672" s="10"/>
    </row>
    <row r="23673" spans="20:20">
      <c r="T23673" s="10"/>
    </row>
    <row r="23674" spans="20:20">
      <c r="T23674" s="10"/>
    </row>
    <row r="23675" spans="20:20">
      <c r="T23675" s="10"/>
    </row>
    <row r="23676" spans="20:20">
      <c r="T23676" s="10"/>
    </row>
    <row r="23677" spans="20:20">
      <c r="T23677" s="10"/>
    </row>
    <row r="23678" spans="20:20">
      <c r="T23678" s="10"/>
    </row>
    <row r="23679" spans="20:20">
      <c r="T23679" s="10"/>
    </row>
    <row r="23680" spans="20:20">
      <c r="T23680" s="10"/>
    </row>
    <row r="23681" spans="20:20">
      <c r="T23681" s="10"/>
    </row>
    <row r="23682" spans="20:20">
      <c r="T23682" s="10"/>
    </row>
    <row r="23683" spans="20:20">
      <c r="T23683" s="10"/>
    </row>
    <row r="23684" spans="20:20">
      <c r="T23684" s="10"/>
    </row>
    <row r="23685" spans="20:20">
      <c r="T23685" s="10"/>
    </row>
    <row r="23686" spans="20:20">
      <c r="T23686" s="10"/>
    </row>
    <row r="23687" spans="20:20">
      <c r="T23687" s="10"/>
    </row>
    <row r="23688" spans="20:20">
      <c r="T23688" s="10"/>
    </row>
    <row r="23689" spans="20:20">
      <c r="T23689" s="10"/>
    </row>
    <row r="23690" spans="20:20">
      <c r="T23690" s="10"/>
    </row>
    <row r="23691" spans="20:20">
      <c r="T23691" s="10"/>
    </row>
    <row r="23692" spans="20:20">
      <c r="T23692" s="10"/>
    </row>
    <row r="23693" spans="20:20">
      <c r="T23693" s="10"/>
    </row>
    <row r="23694" spans="20:20">
      <c r="T23694" s="10"/>
    </row>
    <row r="23695" spans="20:20">
      <c r="T23695" s="10"/>
    </row>
    <row r="23696" spans="20:20">
      <c r="T23696" s="10"/>
    </row>
    <row r="23697" spans="20:20">
      <c r="T23697" s="10"/>
    </row>
    <row r="23698" spans="20:20">
      <c r="T23698" s="10"/>
    </row>
    <row r="23699" spans="20:20">
      <c r="T23699" s="10"/>
    </row>
    <row r="23700" spans="20:20">
      <c r="T23700" s="10"/>
    </row>
    <row r="23701" spans="20:20">
      <c r="T23701" s="10"/>
    </row>
    <row r="23702" spans="20:20">
      <c r="T23702" s="10"/>
    </row>
    <row r="23703" spans="20:20">
      <c r="T23703" s="10"/>
    </row>
    <row r="23704" spans="20:20">
      <c r="T23704" s="10"/>
    </row>
    <row r="23705" spans="20:20">
      <c r="T23705" s="10"/>
    </row>
    <row r="23706" spans="20:20">
      <c r="T23706" s="10"/>
    </row>
    <row r="23707" spans="20:20">
      <c r="T23707" s="10"/>
    </row>
    <row r="23708" spans="20:20">
      <c r="T23708" s="10"/>
    </row>
    <row r="23709" spans="20:20">
      <c r="T23709" s="10"/>
    </row>
    <row r="23710" spans="20:20">
      <c r="T23710" s="10"/>
    </row>
    <row r="23711" spans="20:20">
      <c r="T23711" s="10"/>
    </row>
    <row r="23712" spans="20:20">
      <c r="T23712" s="10"/>
    </row>
    <row r="23713" spans="20:20">
      <c r="T23713" s="10"/>
    </row>
    <row r="23714" spans="20:20">
      <c r="T23714" s="10"/>
    </row>
    <row r="23715" spans="20:20">
      <c r="T23715" s="10"/>
    </row>
    <row r="23716" spans="20:20">
      <c r="T23716" s="10"/>
    </row>
    <row r="23717" spans="20:20">
      <c r="T23717" s="10"/>
    </row>
    <row r="23718" spans="20:20">
      <c r="T23718" s="10"/>
    </row>
    <row r="23719" spans="20:20">
      <c r="T23719" s="10"/>
    </row>
    <row r="23720" spans="20:20">
      <c r="T23720" s="10"/>
    </row>
    <row r="23721" spans="20:20">
      <c r="T23721" s="10"/>
    </row>
    <row r="23722" spans="20:20">
      <c r="T23722" s="10"/>
    </row>
    <row r="23723" spans="20:20">
      <c r="T23723" s="10"/>
    </row>
    <row r="23724" spans="20:20">
      <c r="T23724" s="10"/>
    </row>
    <row r="23725" spans="20:20">
      <c r="T23725" s="10"/>
    </row>
    <row r="23726" spans="20:20">
      <c r="T23726" s="10"/>
    </row>
    <row r="23727" spans="20:20">
      <c r="T23727" s="10"/>
    </row>
    <row r="23728" spans="20:20">
      <c r="T23728" s="10"/>
    </row>
    <row r="23729" spans="20:20">
      <c r="T23729" s="10"/>
    </row>
    <row r="23730" spans="20:20">
      <c r="T23730" s="10"/>
    </row>
    <row r="23731" spans="20:20">
      <c r="T23731" s="10"/>
    </row>
    <row r="23732" spans="20:20">
      <c r="T23732" s="10"/>
    </row>
    <row r="23733" spans="20:20">
      <c r="T23733" s="10"/>
    </row>
    <row r="23734" spans="20:20">
      <c r="T23734" s="10"/>
    </row>
    <row r="23735" spans="20:20">
      <c r="T23735" s="10"/>
    </row>
    <row r="23736" spans="20:20">
      <c r="T23736" s="10"/>
    </row>
    <row r="23737" spans="20:20">
      <c r="T23737" s="10"/>
    </row>
    <row r="23738" spans="20:20">
      <c r="T23738" s="10"/>
    </row>
    <row r="23739" spans="20:20">
      <c r="T23739" s="10"/>
    </row>
    <row r="23740" spans="20:20">
      <c r="T23740" s="10"/>
    </row>
    <row r="23741" spans="20:20">
      <c r="T23741" s="10"/>
    </row>
    <row r="23742" spans="20:20">
      <c r="T23742" s="10"/>
    </row>
    <row r="23743" spans="20:20">
      <c r="T23743" s="10"/>
    </row>
    <row r="23744" spans="20:20">
      <c r="T23744" s="10"/>
    </row>
    <row r="23745" spans="20:20">
      <c r="T23745" s="10"/>
    </row>
    <row r="23746" spans="20:20">
      <c r="T23746" s="10"/>
    </row>
    <row r="23747" spans="20:20">
      <c r="T23747" s="10"/>
    </row>
    <row r="23748" spans="20:20">
      <c r="T23748" s="10"/>
    </row>
    <row r="23749" spans="20:20">
      <c r="T23749" s="10"/>
    </row>
    <row r="23750" spans="20:20">
      <c r="T23750" s="10"/>
    </row>
    <row r="23751" spans="20:20">
      <c r="T23751" s="10"/>
    </row>
    <row r="23752" spans="20:20">
      <c r="T23752" s="10"/>
    </row>
    <row r="23753" spans="20:20">
      <c r="T23753" s="10"/>
    </row>
    <row r="23754" spans="20:20">
      <c r="T23754" s="10"/>
    </row>
    <row r="23755" spans="20:20">
      <c r="T23755" s="10"/>
    </row>
    <row r="23756" spans="20:20">
      <c r="T23756" s="10"/>
    </row>
    <row r="23757" spans="20:20">
      <c r="T23757" s="10"/>
    </row>
    <row r="23758" spans="20:20">
      <c r="T23758" s="10"/>
    </row>
    <row r="23759" spans="20:20">
      <c r="T23759" s="10"/>
    </row>
    <row r="23760" spans="20:20">
      <c r="T23760" s="10"/>
    </row>
    <row r="23761" spans="20:20">
      <c r="T23761" s="10"/>
    </row>
    <row r="23762" spans="20:20">
      <c r="T23762" s="10"/>
    </row>
    <row r="23763" spans="20:20">
      <c r="T23763" s="10"/>
    </row>
    <row r="23764" spans="20:20">
      <c r="T23764" s="10"/>
    </row>
    <row r="23765" spans="20:20">
      <c r="T23765" s="10"/>
    </row>
    <row r="23766" spans="20:20">
      <c r="T23766" s="10"/>
    </row>
    <row r="23767" spans="20:20">
      <c r="T23767" s="10"/>
    </row>
    <row r="23768" spans="20:20">
      <c r="T23768" s="10"/>
    </row>
    <row r="23769" spans="20:20">
      <c r="T23769" s="10"/>
    </row>
    <row r="23770" spans="20:20">
      <c r="T23770" s="10"/>
    </row>
    <row r="23771" spans="20:20">
      <c r="T23771" s="10"/>
    </row>
    <row r="23772" spans="20:20">
      <c r="T23772" s="10"/>
    </row>
    <row r="23773" spans="20:20">
      <c r="T23773" s="10"/>
    </row>
    <row r="23774" spans="20:20">
      <c r="T23774" s="10"/>
    </row>
    <row r="23775" spans="20:20">
      <c r="T23775" s="10"/>
    </row>
    <row r="23776" spans="20:20">
      <c r="T23776" s="10"/>
    </row>
    <row r="23777" spans="20:20">
      <c r="T23777" s="10"/>
    </row>
    <row r="23778" spans="20:20">
      <c r="T23778" s="10"/>
    </row>
    <row r="23779" spans="20:20">
      <c r="T23779" s="10"/>
    </row>
    <row r="23780" spans="20:20">
      <c r="T23780" s="10"/>
    </row>
    <row r="23781" spans="20:20">
      <c r="T23781" s="10"/>
    </row>
    <row r="23782" spans="20:20">
      <c r="T23782" s="10"/>
    </row>
    <row r="23783" spans="20:20">
      <c r="T23783" s="10"/>
    </row>
    <row r="23784" spans="20:20">
      <c r="T23784" s="10"/>
    </row>
    <row r="23785" spans="20:20">
      <c r="T23785" s="10"/>
    </row>
    <row r="23786" spans="20:20">
      <c r="T23786" s="10"/>
    </row>
    <row r="23787" spans="20:20">
      <c r="T23787" s="10"/>
    </row>
    <row r="23788" spans="20:20">
      <c r="T23788" s="10"/>
    </row>
    <row r="23789" spans="20:20">
      <c r="T23789" s="10"/>
    </row>
    <row r="23790" spans="20:20">
      <c r="T23790" s="10"/>
    </row>
    <row r="23791" spans="20:20">
      <c r="T23791" s="10"/>
    </row>
    <row r="23792" spans="20:20">
      <c r="T23792" s="10"/>
    </row>
    <row r="23793" spans="20:20">
      <c r="T23793" s="10"/>
    </row>
    <row r="23794" spans="20:20">
      <c r="T23794" s="10"/>
    </row>
    <row r="23795" spans="20:20">
      <c r="T23795" s="10"/>
    </row>
    <row r="23796" spans="20:20">
      <c r="T23796" s="10"/>
    </row>
    <row r="23797" spans="20:20">
      <c r="T23797" s="10"/>
    </row>
    <row r="23798" spans="20:20">
      <c r="T23798" s="10"/>
    </row>
    <row r="23799" spans="20:20">
      <c r="T23799" s="10"/>
    </row>
    <row r="23800" spans="20:20">
      <c r="T23800" s="10"/>
    </row>
    <row r="23801" spans="20:20">
      <c r="T23801" s="10"/>
    </row>
    <row r="23802" spans="20:20">
      <c r="T23802" s="10"/>
    </row>
    <row r="23803" spans="20:20">
      <c r="T23803" s="10"/>
    </row>
    <row r="23804" spans="20:20">
      <c r="T23804" s="10"/>
    </row>
    <row r="23805" spans="20:20">
      <c r="T23805" s="10"/>
    </row>
    <row r="23806" spans="20:20">
      <c r="T23806" s="10"/>
    </row>
    <row r="23807" spans="20:20">
      <c r="T23807" s="10"/>
    </row>
    <row r="23808" spans="20:20">
      <c r="T23808" s="10"/>
    </row>
    <row r="23809" spans="20:20">
      <c r="T23809" s="10"/>
    </row>
    <row r="23810" spans="20:20">
      <c r="T23810" s="10"/>
    </row>
    <row r="23811" spans="20:20">
      <c r="T23811" s="10"/>
    </row>
    <row r="23812" spans="20:20">
      <c r="T23812" s="10"/>
    </row>
    <row r="23813" spans="20:20">
      <c r="T23813" s="10"/>
    </row>
    <row r="23814" spans="20:20">
      <c r="T23814" s="10"/>
    </row>
    <row r="23815" spans="20:20">
      <c r="T23815" s="10"/>
    </row>
    <row r="23816" spans="20:20">
      <c r="T23816" s="10"/>
    </row>
    <row r="23817" spans="20:20">
      <c r="T23817" s="10"/>
    </row>
    <row r="23818" spans="20:20">
      <c r="T23818" s="10"/>
    </row>
    <row r="23819" spans="20:20">
      <c r="T23819" s="10"/>
    </row>
    <row r="23820" spans="20:20">
      <c r="T23820" s="10"/>
    </row>
    <row r="23821" spans="20:20">
      <c r="T23821" s="10"/>
    </row>
    <row r="23822" spans="20:20">
      <c r="T23822" s="10"/>
    </row>
    <row r="23823" spans="20:20">
      <c r="T23823" s="10"/>
    </row>
    <row r="23824" spans="20:20">
      <c r="T23824" s="10"/>
    </row>
    <row r="23825" spans="20:20">
      <c r="T23825" s="10"/>
    </row>
    <row r="23826" spans="20:20">
      <c r="T23826" s="10"/>
    </row>
    <row r="23827" spans="20:20">
      <c r="T23827" s="10"/>
    </row>
    <row r="23828" spans="20:20">
      <c r="T23828" s="10"/>
    </row>
    <row r="23829" spans="20:20">
      <c r="T23829" s="10"/>
    </row>
    <row r="23830" spans="20:20">
      <c r="T23830" s="10"/>
    </row>
    <row r="23831" spans="20:20">
      <c r="T23831" s="10"/>
    </row>
    <row r="23832" spans="20:20">
      <c r="T23832" s="10"/>
    </row>
    <row r="23833" spans="20:20">
      <c r="T23833" s="10"/>
    </row>
    <row r="23834" spans="20:20">
      <c r="T23834" s="10"/>
    </row>
    <row r="23835" spans="20:20">
      <c r="T23835" s="10"/>
    </row>
    <row r="23836" spans="20:20">
      <c r="T23836" s="10"/>
    </row>
    <row r="23837" spans="20:20">
      <c r="T23837" s="10"/>
    </row>
    <row r="23838" spans="20:20">
      <c r="T23838" s="10"/>
    </row>
    <row r="23839" spans="20:20">
      <c r="T23839" s="10"/>
    </row>
    <row r="23840" spans="20:20">
      <c r="T23840" s="10"/>
    </row>
    <row r="23841" spans="20:20">
      <c r="T23841" s="10"/>
    </row>
    <row r="23842" spans="20:20">
      <c r="T23842" s="10"/>
    </row>
    <row r="23843" spans="20:20">
      <c r="T23843" s="10"/>
    </row>
    <row r="23844" spans="20:20">
      <c r="T23844" s="10"/>
    </row>
    <row r="23845" spans="20:20">
      <c r="T23845" s="10"/>
    </row>
    <row r="23846" spans="20:20">
      <c r="T23846" s="10"/>
    </row>
    <row r="23847" spans="20:20">
      <c r="T23847" s="10"/>
    </row>
    <row r="23848" spans="20:20">
      <c r="T23848" s="10"/>
    </row>
    <row r="23849" spans="20:20">
      <c r="T23849" s="10"/>
    </row>
    <row r="23850" spans="20:20">
      <c r="T23850" s="10"/>
    </row>
    <row r="23851" spans="20:20">
      <c r="T23851" s="10"/>
    </row>
    <row r="23852" spans="20:20">
      <c r="T23852" s="10"/>
    </row>
    <row r="23853" spans="20:20">
      <c r="T23853" s="10"/>
    </row>
    <row r="23854" spans="20:20">
      <c r="T23854" s="10"/>
    </row>
    <row r="23855" spans="20:20">
      <c r="T23855" s="10"/>
    </row>
    <row r="23856" spans="20:20">
      <c r="T23856" s="10"/>
    </row>
    <row r="23857" spans="20:20">
      <c r="T23857" s="10"/>
    </row>
    <row r="23858" spans="20:20">
      <c r="T23858" s="10"/>
    </row>
    <row r="23859" spans="20:20">
      <c r="T23859" s="10"/>
    </row>
    <row r="23860" spans="20:20">
      <c r="T23860" s="10"/>
    </row>
    <row r="23861" spans="20:20">
      <c r="T23861" s="10"/>
    </row>
    <row r="23862" spans="20:20">
      <c r="T23862" s="10"/>
    </row>
    <row r="23863" spans="20:20">
      <c r="T23863" s="10"/>
    </row>
    <row r="23864" spans="20:20">
      <c r="T23864" s="10"/>
    </row>
    <row r="23865" spans="20:20">
      <c r="T23865" s="10"/>
    </row>
    <row r="23866" spans="20:20">
      <c r="T23866" s="10"/>
    </row>
    <row r="23867" spans="20:20">
      <c r="T23867" s="10"/>
    </row>
    <row r="23868" spans="20:20">
      <c r="T23868" s="10"/>
    </row>
    <row r="23869" spans="20:20">
      <c r="T23869" s="10"/>
    </row>
    <row r="23870" spans="20:20">
      <c r="T23870" s="10"/>
    </row>
    <row r="23871" spans="20:20">
      <c r="T23871" s="10"/>
    </row>
    <row r="23872" spans="20:20">
      <c r="T23872" s="10"/>
    </row>
    <row r="23873" spans="20:20">
      <c r="T23873" s="10"/>
    </row>
    <row r="23874" spans="20:20">
      <c r="T23874" s="10"/>
    </row>
    <row r="23875" spans="20:20">
      <c r="T23875" s="10"/>
    </row>
    <row r="23876" spans="20:20">
      <c r="T23876" s="10"/>
    </row>
    <row r="23877" spans="20:20">
      <c r="T23877" s="10"/>
    </row>
    <row r="23878" spans="20:20">
      <c r="T23878" s="10"/>
    </row>
    <row r="23879" spans="20:20">
      <c r="T23879" s="10"/>
    </row>
    <row r="23880" spans="20:20">
      <c r="T23880" s="10"/>
    </row>
    <row r="23881" spans="20:20">
      <c r="T23881" s="10"/>
    </row>
    <row r="23882" spans="20:20">
      <c r="T23882" s="10"/>
    </row>
    <row r="23883" spans="20:20">
      <c r="T23883" s="10"/>
    </row>
    <row r="23884" spans="20:20">
      <c r="T23884" s="10"/>
    </row>
    <row r="23885" spans="20:20">
      <c r="T23885" s="10"/>
    </row>
    <row r="23886" spans="20:20">
      <c r="T23886" s="10"/>
    </row>
    <row r="23887" spans="20:20">
      <c r="T23887" s="10"/>
    </row>
    <row r="23888" spans="20:20">
      <c r="T23888" s="10"/>
    </row>
    <row r="23889" spans="20:20">
      <c r="T23889" s="10"/>
    </row>
    <row r="23890" spans="20:20">
      <c r="T23890" s="10"/>
    </row>
    <row r="23891" spans="20:20">
      <c r="T23891" s="10"/>
    </row>
    <row r="23892" spans="20:20">
      <c r="T23892" s="10"/>
    </row>
    <row r="23893" spans="20:20">
      <c r="T23893" s="10"/>
    </row>
    <row r="23894" spans="20:20">
      <c r="T23894" s="10"/>
    </row>
    <row r="23895" spans="20:20">
      <c r="T23895" s="10"/>
    </row>
    <row r="23896" spans="20:20">
      <c r="T23896" s="10"/>
    </row>
    <row r="23897" spans="20:20">
      <c r="T23897" s="10"/>
    </row>
    <row r="23898" spans="20:20">
      <c r="T23898" s="10"/>
    </row>
    <row r="23899" spans="20:20">
      <c r="T23899" s="10"/>
    </row>
    <row r="23900" spans="20:20">
      <c r="T23900" s="10"/>
    </row>
    <row r="23901" spans="20:20">
      <c r="T23901" s="10"/>
    </row>
    <row r="23902" spans="20:20">
      <c r="T23902" s="10"/>
    </row>
    <row r="23903" spans="20:20">
      <c r="T23903" s="10"/>
    </row>
    <row r="23904" spans="20:20">
      <c r="T23904" s="10"/>
    </row>
    <row r="23905" spans="20:20">
      <c r="T23905" s="10"/>
    </row>
    <row r="23906" spans="20:20">
      <c r="T23906" s="10"/>
    </row>
    <row r="23907" spans="20:20">
      <c r="T23907" s="10"/>
    </row>
    <row r="23908" spans="20:20">
      <c r="T23908" s="10"/>
    </row>
    <row r="23909" spans="20:20">
      <c r="T23909" s="10"/>
    </row>
    <row r="23910" spans="20:20">
      <c r="T23910" s="10"/>
    </row>
    <row r="23911" spans="20:20">
      <c r="T23911" s="10"/>
    </row>
    <row r="23912" spans="20:20">
      <c r="T23912" s="10"/>
    </row>
    <row r="23913" spans="20:20">
      <c r="T23913" s="10"/>
    </row>
    <row r="23914" spans="20:20">
      <c r="T23914" s="10"/>
    </row>
    <row r="23915" spans="20:20">
      <c r="T23915" s="10"/>
    </row>
    <row r="23916" spans="20:20">
      <c r="T23916" s="10"/>
    </row>
    <row r="23917" spans="20:20">
      <c r="T23917" s="10"/>
    </row>
    <row r="23918" spans="20:20">
      <c r="T23918" s="10"/>
    </row>
    <row r="23919" spans="20:20">
      <c r="T23919" s="10"/>
    </row>
    <row r="23920" spans="20:20">
      <c r="T23920" s="10"/>
    </row>
    <row r="23921" spans="20:20">
      <c r="T23921" s="10"/>
    </row>
    <row r="23922" spans="20:20">
      <c r="T23922" s="10"/>
    </row>
    <row r="23923" spans="20:20">
      <c r="T23923" s="10"/>
    </row>
    <row r="23924" spans="20:20">
      <c r="T23924" s="10"/>
    </row>
    <row r="23925" spans="20:20">
      <c r="T23925" s="10"/>
    </row>
    <row r="23926" spans="20:20">
      <c r="T23926" s="10"/>
    </row>
    <row r="23927" spans="20:20">
      <c r="T23927" s="10"/>
    </row>
    <row r="23928" spans="20:20">
      <c r="T23928" s="10"/>
    </row>
    <row r="23929" spans="20:20">
      <c r="T23929" s="10"/>
    </row>
    <row r="23930" spans="20:20">
      <c r="T23930" s="10"/>
    </row>
    <row r="23931" spans="20:20">
      <c r="T23931" s="10"/>
    </row>
    <row r="23932" spans="20:20">
      <c r="T23932" s="10"/>
    </row>
    <row r="23933" spans="20:20">
      <c r="T23933" s="10"/>
    </row>
    <row r="23934" spans="20:20">
      <c r="T23934" s="10"/>
    </row>
    <row r="23935" spans="20:20">
      <c r="T23935" s="10"/>
    </row>
    <row r="23936" spans="20:20">
      <c r="T23936" s="10"/>
    </row>
    <row r="23937" spans="20:20">
      <c r="T23937" s="10"/>
    </row>
    <row r="23938" spans="20:20">
      <c r="T23938" s="10"/>
    </row>
    <row r="23939" spans="20:20">
      <c r="T23939" s="10"/>
    </row>
    <row r="23940" spans="20:20">
      <c r="T23940" s="10"/>
    </row>
    <row r="23941" spans="20:20">
      <c r="T23941" s="10"/>
    </row>
    <row r="23942" spans="20:20">
      <c r="T23942" s="10"/>
    </row>
    <row r="23943" spans="20:20">
      <c r="T23943" s="10"/>
    </row>
    <row r="23944" spans="20:20">
      <c r="T23944" s="10"/>
    </row>
    <row r="23945" spans="20:20">
      <c r="T23945" s="10"/>
    </row>
    <row r="23946" spans="20:20">
      <c r="T23946" s="10"/>
    </row>
    <row r="23947" spans="20:20">
      <c r="T23947" s="10"/>
    </row>
    <row r="23948" spans="20:20">
      <c r="T23948" s="10"/>
    </row>
    <row r="23949" spans="20:20">
      <c r="T23949" s="10"/>
    </row>
    <row r="23950" spans="20:20">
      <c r="T23950" s="10"/>
    </row>
    <row r="23951" spans="20:20">
      <c r="T23951" s="10"/>
    </row>
    <row r="23952" spans="20:20">
      <c r="T23952" s="10"/>
    </row>
    <row r="23953" spans="20:20">
      <c r="T23953" s="10"/>
    </row>
    <row r="23954" spans="20:20">
      <c r="T23954" s="10"/>
    </row>
    <row r="23955" spans="20:20">
      <c r="T23955" s="10"/>
    </row>
    <row r="23956" spans="20:20">
      <c r="T23956" s="10"/>
    </row>
    <row r="23957" spans="20:20">
      <c r="T23957" s="10"/>
    </row>
    <row r="23958" spans="20:20">
      <c r="T23958" s="10"/>
    </row>
    <row r="23959" spans="20:20">
      <c r="T23959" s="10"/>
    </row>
    <row r="23960" spans="20:20">
      <c r="T23960" s="10"/>
    </row>
    <row r="23961" spans="20:20">
      <c r="T23961" s="10"/>
    </row>
    <row r="23962" spans="20:20">
      <c r="T23962" s="10"/>
    </row>
    <row r="23963" spans="20:20">
      <c r="T23963" s="10"/>
    </row>
    <row r="23964" spans="20:20">
      <c r="T23964" s="10"/>
    </row>
    <row r="23965" spans="20:20">
      <c r="T23965" s="10"/>
    </row>
    <row r="23966" spans="20:20">
      <c r="T23966" s="10"/>
    </row>
    <row r="23967" spans="20:20">
      <c r="T23967" s="10"/>
    </row>
    <row r="23968" spans="20:20">
      <c r="T23968" s="10"/>
    </row>
    <row r="23969" spans="20:20">
      <c r="T23969" s="10"/>
    </row>
    <row r="23970" spans="20:20">
      <c r="T23970" s="10"/>
    </row>
    <row r="23971" spans="20:20">
      <c r="T23971" s="10"/>
    </row>
    <row r="23972" spans="20:20">
      <c r="T23972" s="10"/>
    </row>
    <row r="23973" spans="20:20">
      <c r="T23973" s="10"/>
    </row>
    <row r="23974" spans="20:20">
      <c r="T23974" s="10"/>
    </row>
    <row r="23975" spans="20:20">
      <c r="T23975" s="10"/>
    </row>
    <row r="23976" spans="20:20">
      <c r="T23976" s="10"/>
    </row>
    <row r="23977" spans="20:20">
      <c r="T23977" s="10"/>
    </row>
    <row r="23978" spans="20:20">
      <c r="T23978" s="10"/>
    </row>
    <row r="23979" spans="20:20">
      <c r="T23979" s="10"/>
    </row>
    <row r="23980" spans="20:20">
      <c r="T23980" s="10"/>
    </row>
    <row r="23981" spans="20:20">
      <c r="T23981" s="10"/>
    </row>
    <row r="23982" spans="20:20">
      <c r="T23982" s="10"/>
    </row>
    <row r="23983" spans="20:20">
      <c r="T23983" s="10"/>
    </row>
    <row r="23984" spans="20:20">
      <c r="T23984" s="10"/>
    </row>
    <row r="23985" spans="20:20">
      <c r="T23985" s="10"/>
    </row>
    <row r="23986" spans="20:20">
      <c r="T23986" s="10"/>
    </row>
    <row r="23987" spans="20:20">
      <c r="T23987" s="10"/>
    </row>
    <row r="23988" spans="20:20">
      <c r="T23988" s="10"/>
    </row>
    <row r="23989" spans="20:20">
      <c r="T23989" s="10"/>
    </row>
    <row r="23990" spans="20:20">
      <c r="T23990" s="10"/>
    </row>
    <row r="23991" spans="20:20">
      <c r="T23991" s="10"/>
    </row>
    <row r="23992" spans="20:20">
      <c r="T23992" s="10"/>
    </row>
    <row r="23993" spans="20:20">
      <c r="T23993" s="10"/>
    </row>
    <row r="23994" spans="20:20">
      <c r="T23994" s="10"/>
    </row>
    <row r="23995" spans="20:20">
      <c r="T23995" s="10"/>
    </row>
    <row r="23996" spans="20:20">
      <c r="T23996" s="10"/>
    </row>
    <row r="23997" spans="20:20">
      <c r="T23997" s="10"/>
    </row>
    <row r="23998" spans="20:20">
      <c r="T23998" s="10"/>
    </row>
    <row r="23999" spans="20:20">
      <c r="T23999" s="10"/>
    </row>
    <row r="24000" spans="20:20">
      <c r="T24000" s="10"/>
    </row>
    <row r="24001" spans="20:20">
      <c r="T24001" s="10"/>
    </row>
    <row r="24002" spans="20:20">
      <c r="T24002" s="10"/>
    </row>
    <row r="24003" spans="20:20">
      <c r="T24003" s="10"/>
    </row>
    <row r="24004" spans="20:20">
      <c r="T24004" s="10"/>
    </row>
    <row r="24005" spans="20:20">
      <c r="T24005" s="10"/>
    </row>
    <row r="24006" spans="20:20">
      <c r="T24006" s="10"/>
    </row>
    <row r="24007" spans="20:20">
      <c r="T24007" s="10"/>
    </row>
    <row r="24008" spans="20:20">
      <c r="T24008" s="10"/>
    </row>
    <row r="24009" spans="20:20">
      <c r="T24009" s="10"/>
    </row>
    <row r="24010" spans="20:20">
      <c r="T24010" s="10"/>
    </row>
    <row r="24011" spans="20:20">
      <c r="T24011" s="10"/>
    </row>
    <row r="24012" spans="20:20">
      <c r="T24012" s="10"/>
    </row>
    <row r="24013" spans="20:20">
      <c r="T24013" s="10"/>
    </row>
    <row r="24014" spans="20:20">
      <c r="T24014" s="10"/>
    </row>
    <row r="24015" spans="20:20">
      <c r="T24015" s="10"/>
    </row>
    <row r="24016" spans="20:20">
      <c r="T24016" s="10"/>
    </row>
    <row r="24017" spans="20:20">
      <c r="T24017" s="10"/>
    </row>
    <row r="24018" spans="20:20">
      <c r="T24018" s="10"/>
    </row>
    <row r="24019" spans="20:20">
      <c r="T24019" s="10"/>
    </row>
    <row r="24020" spans="20:20">
      <c r="T24020" s="10"/>
    </row>
    <row r="24021" spans="20:20">
      <c r="T24021" s="10"/>
    </row>
    <row r="24022" spans="20:20">
      <c r="T24022" s="10"/>
    </row>
    <row r="24023" spans="20:20">
      <c r="T24023" s="10"/>
    </row>
    <row r="24024" spans="20:20">
      <c r="T24024" s="10"/>
    </row>
    <row r="24025" spans="20:20">
      <c r="T24025" s="10"/>
    </row>
    <row r="24026" spans="20:20">
      <c r="T24026" s="10"/>
    </row>
    <row r="24027" spans="20:20">
      <c r="T24027" s="10"/>
    </row>
    <row r="24028" spans="20:20">
      <c r="T24028" s="10"/>
    </row>
    <row r="24029" spans="20:20">
      <c r="T24029" s="10"/>
    </row>
    <row r="24030" spans="20:20">
      <c r="T24030" s="10"/>
    </row>
    <row r="24031" spans="20:20">
      <c r="T24031" s="10"/>
    </row>
    <row r="24032" spans="20:20">
      <c r="T24032" s="10"/>
    </row>
    <row r="24033" spans="20:20">
      <c r="T24033" s="10"/>
    </row>
    <row r="24034" spans="20:20">
      <c r="T24034" s="10"/>
    </row>
    <row r="24035" spans="20:20">
      <c r="T24035" s="10"/>
    </row>
    <row r="24036" spans="20:20">
      <c r="T24036" s="10"/>
    </row>
    <row r="24037" spans="20:20">
      <c r="T24037" s="10"/>
    </row>
    <row r="24038" spans="20:20">
      <c r="T24038" s="10"/>
    </row>
    <row r="24039" spans="20:20">
      <c r="T24039" s="10"/>
    </row>
    <row r="24040" spans="20:20">
      <c r="T24040" s="10"/>
    </row>
    <row r="24041" spans="20:20">
      <c r="T24041" s="10"/>
    </row>
    <row r="24042" spans="20:20">
      <c r="T24042" s="10"/>
    </row>
    <row r="24043" spans="20:20">
      <c r="T24043" s="10"/>
    </row>
    <row r="24044" spans="20:20">
      <c r="T24044" s="10"/>
    </row>
    <row r="24045" spans="20:20">
      <c r="T24045" s="10"/>
    </row>
    <row r="24046" spans="20:20">
      <c r="T24046" s="10"/>
    </row>
    <row r="24047" spans="20:20">
      <c r="T24047" s="10"/>
    </row>
    <row r="24048" spans="20:20">
      <c r="T24048" s="10"/>
    </row>
    <row r="24049" spans="20:20">
      <c r="T24049" s="10"/>
    </row>
    <row r="24050" spans="20:20">
      <c r="T24050" s="10"/>
    </row>
    <row r="24051" spans="20:20">
      <c r="T24051" s="10"/>
    </row>
    <row r="24052" spans="20:20">
      <c r="T24052" s="10"/>
    </row>
    <row r="24053" spans="20:20">
      <c r="T24053" s="10"/>
    </row>
    <row r="24054" spans="20:20">
      <c r="T24054" s="10"/>
    </row>
    <row r="24055" spans="20:20">
      <c r="T24055" s="10"/>
    </row>
    <row r="24056" spans="20:20">
      <c r="T24056" s="10"/>
    </row>
    <row r="24057" spans="20:20">
      <c r="T24057" s="10"/>
    </row>
    <row r="24058" spans="20:20">
      <c r="T24058" s="10"/>
    </row>
    <row r="24059" spans="20:20">
      <c r="T24059" s="10"/>
    </row>
    <row r="24060" spans="20:20">
      <c r="T24060" s="10"/>
    </row>
    <row r="24061" spans="20:20">
      <c r="T24061" s="10"/>
    </row>
    <row r="24062" spans="20:20">
      <c r="T24062" s="10"/>
    </row>
    <row r="24063" spans="20:20">
      <c r="T24063" s="10"/>
    </row>
    <row r="24064" spans="20:20">
      <c r="T24064" s="10"/>
    </row>
    <row r="24065" spans="20:20">
      <c r="T24065" s="10"/>
    </row>
    <row r="24066" spans="20:20">
      <c r="T24066" s="10"/>
    </row>
    <row r="24067" spans="20:20">
      <c r="T24067" s="10"/>
    </row>
    <row r="24068" spans="20:20">
      <c r="T24068" s="10"/>
    </row>
    <row r="24069" spans="20:20">
      <c r="T24069" s="10"/>
    </row>
    <row r="24070" spans="20:20">
      <c r="T24070" s="10"/>
    </row>
    <row r="24071" spans="20:20">
      <c r="T24071" s="10"/>
    </row>
    <row r="24072" spans="20:20">
      <c r="T24072" s="10"/>
    </row>
    <row r="24073" spans="20:20">
      <c r="T24073" s="10"/>
    </row>
    <row r="24074" spans="20:20">
      <c r="T24074" s="10"/>
    </row>
    <row r="24075" spans="20:20">
      <c r="T24075" s="10"/>
    </row>
    <row r="24076" spans="20:20">
      <c r="T24076" s="10"/>
    </row>
    <row r="24077" spans="20:20">
      <c r="T24077" s="10"/>
    </row>
    <row r="24078" spans="20:20">
      <c r="T24078" s="10"/>
    </row>
    <row r="24079" spans="20:20">
      <c r="T24079" s="10"/>
    </row>
    <row r="24080" spans="20:20">
      <c r="T24080" s="10"/>
    </row>
    <row r="24081" spans="20:20">
      <c r="T24081" s="10"/>
    </row>
    <row r="24082" spans="20:20">
      <c r="T24082" s="10"/>
    </row>
    <row r="24083" spans="20:20">
      <c r="T24083" s="10"/>
    </row>
    <row r="24084" spans="20:20">
      <c r="T24084" s="10"/>
    </row>
    <row r="24085" spans="20:20">
      <c r="T24085" s="10"/>
    </row>
    <row r="24086" spans="20:20">
      <c r="T24086" s="10"/>
    </row>
    <row r="24087" spans="20:20">
      <c r="T24087" s="10"/>
    </row>
    <row r="24088" spans="20:20">
      <c r="T24088" s="10"/>
    </row>
    <row r="24089" spans="20:20">
      <c r="T24089" s="10"/>
    </row>
    <row r="24090" spans="20:20">
      <c r="T24090" s="10"/>
    </row>
    <row r="24091" spans="20:20">
      <c r="T24091" s="10"/>
    </row>
    <row r="24092" spans="20:20">
      <c r="T24092" s="10"/>
    </row>
    <row r="24093" spans="20:20">
      <c r="T24093" s="10"/>
    </row>
    <row r="24094" spans="20:20">
      <c r="T24094" s="10"/>
    </row>
    <row r="24095" spans="20:20">
      <c r="T24095" s="10"/>
    </row>
    <row r="24096" spans="20:20">
      <c r="T24096" s="10"/>
    </row>
    <row r="24097" spans="20:20">
      <c r="T24097" s="10"/>
    </row>
    <row r="24098" spans="20:20">
      <c r="T24098" s="10"/>
    </row>
    <row r="24099" spans="20:20">
      <c r="T24099" s="10"/>
    </row>
    <row r="24100" spans="20:20">
      <c r="T24100" s="10"/>
    </row>
    <row r="24101" spans="20:20">
      <c r="T24101" s="10"/>
    </row>
    <row r="24102" spans="20:20">
      <c r="T24102" s="10"/>
    </row>
    <row r="24103" spans="20:20">
      <c r="T24103" s="10"/>
    </row>
    <row r="24104" spans="20:20">
      <c r="T24104" s="10"/>
    </row>
    <row r="24105" spans="20:20">
      <c r="T24105" s="10"/>
    </row>
    <row r="24106" spans="20:20">
      <c r="T24106" s="10"/>
    </row>
    <row r="24107" spans="20:20">
      <c r="T24107" s="10"/>
    </row>
    <row r="24108" spans="20:20">
      <c r="T24108" s="10"/>
    </row>
    <row r="24109" spans="20:20">
      <c r="T24109" s="10"/>
    </row>
    <row r="24110" spans="20:20">
      <c r="T24110" s="10"/>
    </row>
    <row r="24111" spans="20:20">
      <c r="T24111" s="10"/>
    </row>
    <row r="24112" spans="20:20">
      <c r="T24112" s="10"/>
    </row>
    <row r="24113" spans="20:20">
      <c r="T24113" s="10"/>
    </row>
    <row r="24114" spans="20:20">
      <c r="T24114" s="10"/>
    </row>
    <row r="24115" spans="20:20">
      <c r="T24115" s="10"/>
    </row>
    <row r="24116" spans="20:20">
      <c r="T24116" s="10"/>
    </row>
    <row r="24117" spans="20:20">
      <c r="T24117" s="10"/>
    </row>
    <row r="24118" spans="20:20">
      <c r="T24118" s="10"/>
    </row>
    <row r="24119" spans="20:20">
      <c r="T24119" s="10"/>
    </row>
    <row r="24120" spans="20:20">
      <c r="T24120" s="10"/>
    </row>
    <row r="24121" spans="20:20">
      <c r="T24121" s="10"/>
    </row>
    <row r="24122" spans="20:20">
      <c r="T24122" s="10"/>
    </row>
    <row r="24123" spans="20:20">
      <c r="T24123" s="10"/>
    </row>
    <row r="24124" spans="20:20">
      <c r="T24124" s="10"/>
    </row>
    <row r="24125" spans="20:20">
      <c r="T24125" s="10"/>
    </row>
    <row r="24126" spans="20:20">
      <c r="T24126" s="10"/>
    </row>
    <row r="24127" spans="20:20">
      <c r="T24127" s="10"/>
    </row>
    <row r="24128" spans="20:20">
      <c r="T24128" s="10"/>
    </row>
    <row r="24129" spans="20:20">
      <c r="T24129" s="10"/>
    </row>
    <row r="24130" spans="20:20">
      <c r="T24130" s="10"/>
    </row>
    <row r="24131" spans="20:20">
      <c r="T24131" s="10"/>
    </row>
    <row r="24132" spans="20:20">
      <c r="T24132" s="10"/>
    </row>
    <row r="24133" spans="20:20">
      <c r="T24133" s="10"/>
    </row>
    <row r="24134" spans="20:20">
      <c r="T24134" s="10"/>
    </row>
    <row r="24135" spans="20:20">
      <c r="T24135" s="10"/>
    </row>
    <row r="24136" spans="20:20">
      <c r="T24136" s="10"/>
    </row>
    <row r="24137" spans="20:20">
      <c r="T24137" s="10"/>
    </row>
    <row r="24138" spans="20:20">
      <c r="T24138" s="10"/>
    </row>
    <row r="24139" spans="20:20">
      <c r="T24139" s="10"/>
    </row>
    <row r="24140" spans="20:20">
      <c r="T24140" s="10"/>
    </row>
    <row r="24141" spans="20:20">
      <c r="T24141" s="10"/>
    </row>
    <row r="24142" spans="20:20">
      <c r="T24142" s="10"/>
    </row>
    <row r="24143" spans="20:20">
      <c r="T24143" s="10"/>
    </row>
    <row r="24144" spans="20:20">
      <c r="T24144" s="10"/>
    </row>
    <row r="24145" spans="20:20">
      <c r="T24145" s="10"/>
    </row>
    <row r="24146" spans="20:20">
      <c r="T24146" s="10"/>
    </row>
    <row r="24147" spans="20:20">
      <c r="T24147" s="10"/>
    </row>
    <row r="24148" spans="20:20">
      <c r="T24148" s="10"/>
    </row>
    <row r="24149" spans="20:20">
      <c r="T24149" s="10"/>
    </row>
    <row r="24150" spans="20:20">
      <c r="T24150" s="10"/>
    </row>
    <row r="24151" spans="20:20">
      <c r="T24151" s="10"/>
    </row>
    <row r="24152" spans="20:20">
      <c r="T24152" s="10"/>
    </row>
    <row r="24153" spans="20:20">
      <c r="T24153" s="10"/>
    </row>
    <row r="24154" spans="20:20">
      <c r="T24154" s="10"/>
    </row>
    <row r="24155" spans="20:20">
      <c r="T24155" s="10"/>
    </row>
    <row r="24156" spans="20:20">
      <c r="T24156" s="10"/>
    </row>
    <row r="24157" spans="20:20">
      <c r="T24157" s="10"/>
    </row>
    <row r="24158" spans="20:20">
      <c r="T24158" s="10"/>
    </row>
    <row r="24159" spans="20:20">
      <c r="T24159" s="10"/>
    </row>
    <row r="24160" spans="20:20">
      <c r="T24160" s="10"/>
    </row>
    <row r="24161" spans="20:20">
      <c r="T24161" s="10"/>
    </row>
    <row r="24162" spans="20:20">
      <c r="T24162" s="10"/>
    </row>
    <row r="24163" spans="20:20">
      <c r="T24163" s="10"/>
    </row>
    <row r="24164" spans="20:20">
      <c r="T24164" s="10"/>
    </row>
    <row r="24165" spans="20:20">
      <c r="T24165" s="10"/>
    </row>
    <row r="24166" spans="20:20">
      <c r="T24166" s="10"/>
    </row>
    <row r="24167" spans="20:20">
      <c r="T24167" s="10"/>
    </row>
    <row r="24168" spans="20:20">
      <c r="T24168" s="10"/>
    </row>
    <row r="24169" spans="20:20">
      <c r="T24169" s="10"/>
    </row>
    <row r="24170" spans="20:20">
      <c r="T24170" s="10"/>
    </row>
    <row r="24171" spans="20:20">
      <c r="T24171" s="10"/>
    </row>
    <row r="24172" spans="20:20">
      <c r="T24172" s="10"/>
    </row>
    <row r="24173" spans="20:20">
      <c r="T24173" s="10"/>
    </row>
    <row r="24174" spans="20:20">
      <c r="T24174" s="10"/>
    </row>
    <row r="24175" spans="20:20">
      <c r="T24175" s="10"/>
    </row>
    <row r="24176" spans="20:20">
      <c r="T24176" s="10"/>
    </row>
    <row r="24177" spans="20:20">
      <c r="T24177" s="10"/>
    </row>
    <row r="24178" spans="20:20">
      <c r="T24178" s="10"/>
    </row>
    <row r="24179" spans="20:20">
      <c r="T24179" s="10"/>
    </row>
    <row r="24180" spans="20:20">
      <c r="T24180" s="10"/>
    </row>
    <row r="24181" spans="20:20">
      <c r="T24181" s="10"/>
    </row>
    <row r="24182" spans="20:20">
      <c r="T24182" s="10"/>
    </row>
    <row r="24183" spans="20:20">
      <c r="T24183" s="10"/>
    </row>
    <row r="24184" spans="20:20">
      <c r="T24184" s="10"/>
    </row>
    <row r="24185" spans="20:20">
      <c r="T24185" s="10"/>
    </row>
    <row r="24186" spans="20:20">
      <c r="T24186" s="10"/>
    </row>
    <row r="24187" spans="20:20">
      <c r="T24187" s="10"/>
    </row>
    <row r="24188" spans="20:20">
      <c r="T24188" s="10"/>
    </row>
    <row r="24189" spans="20:20">
      <c r="T24189" s="10"/>
    </row>
    <row r="24190" spans="20:20">
      <c r="T24190" s="10"/>
    </row>
    <row r="24191" spans="20:20">
      <c r="T24191" s="10"/>
    </row>
    <row r="24192" spans="20:20">
      <c r="T24192" s="10"/>
    </row>
    <row r="24193" spans="20:20">
      <c r="T24193" s="10"/>
    </row>
    <row r="24194" spans="20:20">
      <c r="T24194" s="10"/>
    </row>
    <row r="24195" spans="20:20">
      <c r="T24195" s="10"/>
    </row>
    <row r="24196" spans="20:20">
      <c r="T24196" s="10"/>
    </row>
    <row r="24197" spans="20:20">
      <c r="T24197" s="10"/>
    </row>
    <row r="24198" spans="20:20">
      <c r="T24198" s="10"/>
    </row>
    <row r="24199" spans="20:20">
      <c r="T24199" s="10"/>
    </row>
    <row r="24200" spans="20:20">
      <c r="T24200" s="10"/>
    </row>
    <row r="24201" spans="20:20">
      <c r="T24201" s="10"/>
    </row>
    <row r="24202" spans="20:20">
      <c r="T24202" s="10"/>
    </row>
    <row r="24203" spans="20:20">
      <c r="T24203" s="10"/>
    </row>
    <row r="24204" spans="20:20">
      <c r="T24204" s="10"/>
    </row>
    <row r="24205" spans="20:20">
      <c r="T24205" s="10"/>
    </row>
    <row r="24206" spans="20:20">
      <c r="T24206" s="10"/>
    </row>
    <row r="24207" spans="20:20">
      <c r="T24207" s="10"/>
    </row>
    <row r="24208" spans="20:20">
      <c r="T24208" s="10"/>
    </row>
    <row r="24209" spans="20:20">
      <c r="T24209" s="10"/>
    </row>
    <row r="24210" spans="20:20">
      <c r="T24210" s="10"/>
    </row>
    <row r="24211" spans="20:20">
      <c r="T24211" s="10"/>
    </row>
    <row r="24212" spans="20:20">
      <c r="T24212" s="10"/>
    </row>
    <row r="24213" spans="20:20">
      <c r="T24213" s="10"/>
    </row>
    <row r="24214" spans="20:20">
      <c r="T24214" s="10"/>
    </row>
    <row r="24215" spans="20:20">
      <c r="T24215" s="10"/>
    </row>
    <row r="24216" spans="20:20">
      <c r="T24216" s="10"/>
    </row>
    <row r="24217" spans="20:20">
      <c r="T24217" s="10"/>
    </row>
    <row r="24218" spans="20:20">
      <c r="T24218" s="10"/>
    </row>
    <row r="24219" spans="20:20">
      <c r="T24219" s="10"/>
    </row>
    <row r="24220" spans="20:20">
      <c r="T24220" s="10"/>
    </row>
    <row r="24221" spans="20:20">
      <c r="T24221" s="10"/>
    </row>
    <row r="24222" spans="20:20">
      <c r="T24222" s="10"/>
    </row>
    <row r="24223" spans="20:20">
      <c r="T24223" s="10"/>
    </row>
    <row r="24224" spans="20:20">
      <c r="T24224" s="10"/>
    </row>
    <row r="24225" spans="20:20">
      <c r="T24225" s="10"/>
    </row>
    <row r="24226" spans="20:20">
      <c r="T24226" s="10"/>
    </row>
    <row r="24227" spans="20:20">
      <c r="T24227" s="10"/>
    </row>
    <row r="24228" spans="20:20">
      <c r="T24228" s="10"/>
    </row>
    <row r="24229" spans="20:20">
      <c r="T24229" s="10"/>
    </row>
    <row r="24230" spans="20:20">
      <c r="T24230" s="10"/>
    </row>
    <row r="24231" spans="20:20">
      <c r="T24231" s="10"/>
    </row>
    <row r="24232" spans="20:20">
      <c r="T24232" s="10"/>
    </row>
    <row r="24233" spans="20:20">
      <c r="T24233" s="10"/>
    </row>
    <row r="24234" spans="20:20">
      <c r="T24234" s="10"/>
    </row>
    <row r="24235" spans="20:20">
      <c r="T24235" s="10"/>
    </row>
    <row r="24236" spans="20:20">
      <c r="T24236" s="10"/>
    </row>
    <row r="24237" spans="20:20">
      <c r="T24237" s="10"/>
    </row>
    <row r="24238" spans="20:20">
      <c r="T24238" s="10"/>
    </row>
    <row r="24239" spans="20:20">
      <c r="T24239" s="10"/>
    </row>
    <row r="24240" spans="20:20">
      <c r="T24240" s="10"/>
    </row>
    <row r="24241" spans="20:20">
      <c r="T24241" s="10"/>
    </row>
    <row r="24242" spans="20:20">
      <c r="T24242" s="10"/>
    </row>
    <row r="24243" spans="20:20">
      <c r="T24243" s="10"/>
    </row>
    <row r="24244" spans="20:20">
      <c r="T24244" s="10"/>
    </row>
    <row r="24245" spans="20:20">
      <c r="T24245" s="10"/>
    </row>
    <row r="24246" spans="20:20">
      <c r="T24246" s="10"/>
    </row>
    <row r="24247" spans="20:20">
      <c r="T24247" s="10"/>
    </row>
    <row r="24248" spans="20:20">
      <c r="T24248" s="10"/>
    </row>
    <row r="24249" spans="20:20">
      <c r="T24249" s="10"/>
    </row>
    <row r="24250" spans="20:20">
      <c r="T24250" s="10"/>
    </row>
    <row r="24251" spans="20:20">
      <c r="T24251" s="10"/>
    </row>
    <row r="24252" spans="20:20">
      <c r="T24252" s="10"/>
    </row>
    <row r="24253" spans="20:20">
      <c r="T24253" s="10"/>
    </row>
    <row r="24254" spans="20:20">
      <c r="T24254" s="10"/>
    </row>
    <row r="24255" spans="20:20">
      <c r="T24255" s="10"/>
    </row>
    <row r="24256" spans="20:20">
      <c r="T24256" s="10"/>
    </row>
    <row r="24257" spans="20:20">
      <c r="T24257" s="10"/>
    </row>
    <row r="24258" spans="20:20">
      <c r="T24258" s="10"/>
    </row>
    <row r="24259" spans="20:20">
      <c r="T24259" s="10"/>
    </row>
    <row r="24260" spans="20:20">
      <c r="T24260" s="10"/>
    </row>
    <row r="24261" spans="20:20">
      <c r="T24261" s="10"/>
    </row>
    <row r="24262" spans="20:20">
      <c r="T24262" s="10"/>
    </row>
    <row r="24263" spans="20:20">
      <c r="T24263" s="10"/>
    </row>
    <row r="24264" spans="20:20">
      <c r="T24264" s="10"/>
    </row>
    <row r="24265" spans="20:20">
      <c r="T24265" s="10"/>
    </row>
    <row r="24266" spans="20:20">
      <c r="T24266" s="10"/>
    </row>
    <row r="24267" spans="20:20">
      <c r="T24267" s="10"/>
    </row>
    <row r="24268" spans="20:20">
      <c r="T24268" s="10"/>
    </row>
    <row r="24269" spans="20:20">
      <c r="T24269" s="10"/>
    </row>
    <row r="24270" spans="20:20">
      <c r="T24270" s="10"/>
    </row>
    <row r="24271" spans="20:20">
      <c r="T24271" s="10"/>
    </row>
    <row r="24272" spans="20:20">
      <c r="T24272" s="10"/>
    </row>
    <row r="24273" spans="20:20">
      <c r="T24273" s="10"/>
    </row>
    <row r="24274" spans="20:20">
      <c r="T24274" s="10"/>
    </row>
    <row r="24275" spans="20:20">
      <c r="T24275" s="10"/>
    </row>
    <row r="24276" spans="20:20">
      <c r="T24276" s="10"/>
    </row>
    <row r="24277" spans="20:20">
      <c r="T24277" s="10"/>
    </row>
    <row r="24278" spans="20:20">
      <c r="T24278" s="10"/>
    </row>
    <row r="24279" spans="20:20">
      <c r="T24279" s="10"/>
    </row>
    <row r="24280" spans="20:20">
      <c r="T24280" s="10"/>
    </row>
    <row r="24281" spans="20:20">
      <c r="T24281" s="10"/>
    </row>
    <row r="24282" spans="20:20">
      <c r="T24282" s="10"/>
    </row>
    <row r="24283" spans="20:20">
      <c r="T24283" s="10"/>
    </row>
    <row r="24284" spans="20:20">
      <c r="T24284" s="10"/>
    </row>
    <row r="24285" spans="20:20">
      <c r="T24285" s="10"/>
    </row>
    <row r="24286" spans="20:20">
      <c r="T24286" s="10"/>
    </row>
    <row r="24287" spans="20:20">
      <c r="T24287" s="10"/>
    </row>
    <row r="24288" spans="20:20">
      <c r="T24288" s="10"/>
    </row>
    <row r="24289" spans="20:20">
      <c r="T24289" s="10"/>
    </row>
    <row r="24290" spans="20:20">
      <c r="T24290" s="10"/>
    </row>
    <row r="24291" spans="20:20">
      <c r="T24291" s="10"/>
    </row>
    <row r="24292" spans="20:20">
      <c r="T24292" s="10"/>
    </row>
    <row r="24293" spans="20:20">
      <c r="T24293" s="10"/>
    </row>
    <row r="24294" spans="20:20">
      <c r="T24294" s="10"/>
    </row>
    <row r="24295" spans="20:20">
      <c r="T24295" s="10"/>
    </row>
    <row r="24296" spans="20:20">
      <c r="T24296" s="10"/>
    </row>
    <row r="24297" spans="20:20">
      <c r="T24297" s="10"/>
    </row>
    <row r="24298" spans="20:20">
      <c r="T24298" s="10"/>
    </row>
    <row r="24299" spans="20:20">
      <c r="T24299" s="10"/>
    </row>
    <row r="24300" spans="20:20">
      <c r="T24300" s="10"/>
    </row>
    <row r="24301" spans="20:20">
      <c r="T24301" s="10"/>
    </row>
    <row r="24302" spans="20:20">
      <c r="T24302" s="10"/>
    </row>
    <row r="24303" spans="20:20">
      <c r="T24303" s="10"/>
    </row>
    <row r="24304" spans="20:20">
      <c r="T24304" s="10"/>
    </row>
    <row r="24305" spans="20:20">
      <c r="T24305" s="10"/>
    </row>
    <row r="24306" spans="20:20">
      <c r="T24306" s="10"/>
    </row>
    <row r="24307" spans="20:20">
      <c r="T24307" s="10"/>
    </row>
    <row r="24308" spans="20:20">
      <c r="T24308" s="10"/>
    </row>
    <row r="24309" spans="20:20">
      <c r="T24309" s="10"/>
    </row>
    <row r="24310" spans="20:20">
      <c r="T24310" s="10"/>
    </row>
    <row r="24311" spans="20:20">
      <c r="T24311" s="10"/>
    </row>
    <row r="24312" spans="20:20">
      <c r="T24312" s="10"/>
    </row>
    <row r="24313" spans="20:20">
      <c r="T24313" s="10"/>
    </row>
    <row r="24314" spans="20:20">
      <c r="T24314" s="10"/>
    </row>
    <row r="24315" spans="20:20">
      <c r="T24315" s="10"/>
    </row>
    <row r="24316" spans="20:20">
      <c r="T24316" s="10"/>
    </row>
    <row r="24317" spans="20:20">
      <c r="T24317" s="10"/>
    </row>
    <row r="24318" spans="20:20">
      <c r="T24318" s="10"/>
    </row>
    <row r="24319" spans="20:20">
      <c r="T24319" s="10"/>
    </row>
    <row r="24320" spans="20:20">
      <c r="T24320" s="10"/>
    </row>
    <row r="24321" spans="20:20">
      <c r="T24321" s="10"/>
    </row>
    <row r="24322" spans="20:20">
      <c r="T24322" s="10"/>
    </row>
    <row r="24323" spans="20:20">
      <c r="T24323" s="10"/>
    </row>
    <row r="24324" spans="20:20">
      <c r="T24324" s="10"/>
    </row>
    <row r="24325" spans="20:20">
      <c r="T24325" s="10"/>
    </row>
    <row r="24326" spans="20:20">
      <c r="T24326" s="10"/>
    </row>
    <row r="24327" spans="20:20">
      <c r="T24327" s="10"/>
    </row>
    <row r="24328" spans="20:20">
      <c r="T24328" s="10"/>
    </row>
    <row r="24329" spans="20:20">
      <c r="T24329" s="10"/>
    </row>
    <row r="24330" spans="20:20">
      <c r="T24330" s="10"/>
    </row>
    <row r="24331" spans="20:20">
      <c r="T24331" s="10"/>
    </row>
    <row r="24332" spans="20:20">
      <c r="T24332" s="10"/>
    </row>
    <row r="24333" spans="20:20">
      <c r="T24333" s="10"/>
    </row>
    <row r="24334" spans="20:20">
      <c r="T24334" s="10"/>
    </row>
    <row r="24335" spans="20:20">
      <c r="T24335" s="10"/>
    </row>
    <row r="24336" spans="20:20">
      <c r="T24336" s="10"/>
    </row>
    <row r="24337" spans="20:20">
      <c r="T24337" s="10"/>
    </row>
    <row r="24338" spans="20:20">
      <c r="T24338" s="10"/>
    </row>
    <row r="24339" spans="20:20">
      <c r="T24339" s="10"/>
    </row>
    <row r="24340" spans="20:20">
      <c r="T24340" s="10"/>
    </row>
    <row r="24341" spans="20:20">
      <c r="T24341" s="10"/>
    </row>
    <row r="24342" spans="20:20">
      <c r="T24342" s="10"/>
    </row>
    <row r="24343" spans="20:20">
      <c r="T24343" s="10"/>
    </row>
    <row r="24344" spans="20:20">
      <c r="T24344" s="10"/>
    </row>
    <row r="24345" spans="20:20">
      <c r="T24345" s="10"/>
    </row>
    <row r="24346" spans="20:20">
      <c r="T24346" s="10"/>
    </row>
    <row r="24347" spans="20:20">
      <c r="T24347" s="10"/>
    </row>
    <row r="24348" spans="20:20">
      <c r="T24348" s="10"/>
    </row>
    <row r="24349" spans="20:20">
      <c r="T24349" s="10"/>
    </row>
    <row r="24350" spans="20:20">
      <c r="T24350" s="10"/>
    </row>
    <row r="24351" spans="20:20">
      <c r="T24351" s="10"/>
    </row>
    <row r="24352" spans="20:20">
      <c r="T24352" s="10"/>
    </row>
    <row r="24353" spans="20:20">
      <c r="T24353" s="10"/>
    </row>
    <row r="24354" spans="20:20">
      <c r="T24354" s="10"/>
    </row>
    <row r="24355" spans="20:20">
      <c r="T24355" s="10"/>
    </row>
    <row r="24356" spans="20:20">
      <c r="T24356" s="10"/>
    </row>
    <row r="24357" spans="20:20">
      <c r="T24357" s="10"/>
    </row>
    <row r="24358" spans="20:20">
      <c r="T24358" s="10"/>
    </row>
    <row r="24359" spans="20:20">
      <c r="T24359" s="10"/>
    </row>
    <row r="24360" spans="20:20">
      <c r="T24360" s="10"/>
    </row>
    <row r="24361" spans="20:20">
      <c r="T24361" s="10"/>
    </row>
    <row r="24362" spans="20:20">
      <c r="T24362" s="10"/>
    </row>
    <row r="24363" spans="20:20">
      <c r="T24363" s="10"/>
    </row>
    <row r="24364" spans="20:20">
      <c r="T24364" s="10"/>
    </row>
    <row r="24365" spans="20:20">
      <c r="T24365" s="10"/>
    </row>
    <row r="24366" spans="20:20">
      <c r="T24366" s="10"/>
    </row>
    <row r="24367" spans="20:20">
      <c r="T24367" s="10"/>
    </row>
    <row r="24368" spans="20:20">
      <c r="T24368" s="10"/>
    </row>
    <row r="24369" spans="20:20">
      <c r="T24369" s="10"/>
    </row>
    <row r="24370" spans="20:20">
      <c r="T24370" s="10"/>
    </row>
    <row r="24371" spans="20:20">
      <c r="T24371" s="10"/>
    </row>
    <row r="24372" spans="20:20">
      <c r="T24372" s="10"/>
    </row>
    <row r="24373" spans="20:20">
      <c r="T24373" s="10"/>
    </row>
    <row r="24374" spans="20:20">
      <c r="T24374" s="10"/>
    </row>
    <row r="24375" spans="20:20">
      <c r="T24375" s="10"/>
    </row>
    <row r="24376" spans="20:20">
      <c r="T24376" s="10"/>
    </row>
    <row r="24377" spans="20:20">
      <c r="T24377" s="10"/>
    </row>
    <row r="24378" spans="20:20">
      <c r="T24378" s="10"/>
    </row>
    <row r="24379" spans="20:20">
      <c r="T24379" s="10"/>
    </row>
    <row r="24380" spans="20:20">
      <c r="T24380" s="10"/>
    </row>
    <row r="24381" spans="20:20">
      <c r="T24381" s="10"/>
    </row>
    <row r="24382" spans="20:20">
      <c r="T24382" s="10"/>
    </row>
    <row r="24383" spans="20:20">
      <c r="T24383" s="10"/>
    </row>
    <row r="24384" spans="20:20">
      <c r="T24384" s="10"/>
    </row>
    <row r="24385" spans="20:20">
      <c r="T24385" s="10"/>
    </row>
    <row r="24386" spans="20:20">
      <c r="T24386" s="10"/>
    </row>
    <row r="24387" spans="20:20">
      <c r="T24387" s="10"/>
    </row>
    <row r="24388" spans="20:20">
      <c r="T24388" s="10"/>
    </row>
    <row r="24389" spans="20:20">
      <c r="T24389" s="10"/>
    </row>
    <row r="24390" spans="20:20">
      <c r="T24390" s="10"/>
    </row>
    <row r="24391" spans="20:20">
      <c r="T24391" s="10"/>
    </row>
    <row r="24392" spans="20:20">
      <c r="T24392" s="10"/>
    </row>
    <row r="24393" spans="20:20">
      <c r="T24393" s="10"/>
    </row>
    <row r="24394" spans="20:20">
      <c r="T24394" s="10"/>
    </row>
    <row r="24395" spans="20:20">
      <c r="T24395" s="10"/>
    </row>
    <row r="24396" spans="20:20">
      <c r="T24396" s="10"/>
    </row>
    <row r="24397" spans="20:20">
      <c r="T24397" s="10"/>
    </row>
    <row r="24398" spans="20:20">
      <c r="T24398" s="10"/>
    </row>
    <row r="24399" spans="20:20">
      <c r="T24399" s="10"/>
    </row>
    <row r="24400" spans="20:20">
      <c r="T24400" s="10"/>
    </row>
    <row r="24401" spans="20:20">
      <c r="T24401" s="10"/>
    </row>
    <row r="24402" spans="20:20">
      <c r="T24402" s="10"/>
    </row>
    <row r="24403" spans="20:20">
      <c r="T24403" s="10"/>
    </row>
    <row r="24404" spans="20:20">
      <c r="T24404" s="10"/>
    </row>
    <row r="24405" spans="20:20">
      <c r="T24405" s="10"/>
    </row>
    <row r="24406" spans="20:20">
      <c r="T24406" s="10"/>
    </row>
    <row r="24407" spans="20:20">
      <c r="T24407" s="10"/>
    </row>
    <row r="24408" spans="20:20">
      <c r="T24408" s="10"/>
    </row>
    <row r="24409" spans="20:20">
      <c r="T24409" s="10"/>
    </row>
    <row r="24410" spans="20:20">
      <c r="T24410" s="10"/>
    </row>
    <row r="24411" spans="20:20">
      <c r="T24411" s="10"/>
    </row>
    <row r="24412" spans="20:20">
      <c r="T24412" s="10"/>
    </row>
    <row r="24413" spans="20:20">
      <c r="T24413" s="10"/>
    </row>
    <row r="24414" spans="20:20">
      <c r="T24414" s="10"/>
    </row>
    <row r="24415" spans="20:20">
      <c r="T24415" s="10"/>
    </row>
    <row r="24416" spans="20:20">
      <c r="T24416" s="10"/>
    </row>
    <row r="24417" spans="20:20">
      <c r="T24417" s="10"/>
    </row>
    <row r="24418" spans="20:20">
      <c r="T24418" s="10"/>
    </row>
    <row r="24419" spans="20:20">
      <c r="T24419" s="10"/>
    </row>
    <row r="24420" spans="20:20">
      <c r="T24420" s="10"/>
    </row>
    <row r="24421" spans="20:20">
      <c r="T24421" s="10"/>
    </row>
    <row r="24422" spans="20:20">
      <c r="T24422" s="10"/>
    </row>
    <row r="24423" spans="20:20">
      <c r="T24423" s="10"/>
    </row>
    <row r="24424" spans="20:20">
      <c r="T24424" s="10"/>
    </row>
    <row r="24425" spans="20:20">
      <c r="T24425" s="10"/>
    </row>
    <row r="24426" spans="20:20">
      <c r="T24426" s="10"/>
    </row>
    <row r="24427" spans="20:20">
      <c r="T24427" s="10"/>
    </row>
    <row r="24428" spans="20:20">
      <c r="T24428" s="10"/>
    </row>
    <row r="24429" spans="20:20">
      <c r="T24429" s="10"/>
    </row>
    <row r="24430" spans="20:20">
      <c r="T24430" s="10"/>
    </row>
    <row r="24431" spans="20:20">
      <c r="T24431" s="10"/>
    </row>
    <row r="24432" spans="20:20">
      <c r="T24432" s="10"/>
    </row>
    <row r="24433" spans="20:20">
      <c r="T24433" s="10"/>
    </row>
    <row r="24434" spans="20:20">
      <c r="T24434" s="10"/>
    </row>
    <row r="24435" spans="20:20">
      <c r="T24435" s="10"/>
    </row>
    <row r="24436" spans="20:20">
      <c r="T24436" s="10"/>
    </row>
    <row r="24437" spans="20:20">
      <c r="T24437" s="10"/>
    </row>
    <row r="24438" spans="20:20">
      <c r="T24438" s="10"/>
    </row>
    <row r="24439" spans="20:20">
      <c r="T24439" s="10"/>
    </row>
    <row r="24440" spans="20:20">
      <c r="T24440" s="10"/>
    </row>
    <row r="24441" spans="20:20">
      <c r="T24441" s="10"/>
    </row>
    <row r="24442" spans="20:20">
      <c r="T24442" s="10"/>
    </row>
    <row r="24443" spans="20:20">
      <c r="T24443" s="10"/>
    </row>
    <row r="24444" spans="20:20">
      <c r="T24444" s="10"/>
    </row>
    <row r="24445" spans="20:20">
      <c r="T24445" s="10"/>
    </row>
    <row r="24446" spans="20:20">
      <c r="T24446" s="10"/>
    </row>
    <row r="24447" spans="20:20">
      <c r="T24447" s="10"/>
    </row>
    <row r="24448" spans="20:20">
      <c r="T24448" s="10"/>
    </row>
    <row r="24449" spans="20:20">
      <c r="T24449" s="10"/>
    </row>
    <row r="24450" spans="20:20">
      <c r="T24450" s="10"/>
    </row>
    <row r="24451" spans="20:20">
      <c r="T24451" s="10"/>
    </row>
    <row r="24452" spans="20:20">
      <c r="T24452" s="10"/>
    </row>
    <row r="24453" spans="20:20">
      <c r="T24453" s="10"/>
    </row>
    <row r="24454" spans="20:20">
      <c r="T24454" s="10"/>
    </row>
    <row r="24455" spans="20:20">
      <c r="T24455" s="10"/>
    </row>
    <row r="24456" spans="20:20">
      <c r="T24456" s="10"/>
    </row>
    <row r="24457" spans="20:20">
      <c r="T24457" s="10"/>
    </row>
    <row r="24458" spans="20:20">
      <c r="T24458" s="10"/>
    </row>
    <row r="24459" spans="20:20">
      <c r="T24459" s="10"/>
    </row>
    <row r="24460" spans="20:20">
      <c r="T24460" s="10"/>
    </row>
    <row r="24461" spans="20:20">
      <c r="T24461" s="10"/>
    </row>
    <row r="24462" spans="20:20">
      <c r="T24462" s="10"/>
    </row>
    <row r="24463" spans="20:20">
      <c r="T24463" s="10"/>
    </row>
    <row r="24464" spans="20:20">
      <c r="T24464" s="10"/>
    </row>
    <row r="24465" spans="20:20">
      <c r="T24465" s="10"/>
    </row>
    <row r="24466" spans="20:20">
      <c r="T24466" s="10"/>
    </row>
    <row r="24467" spans="20:20">
      <c r="T24467" s="10"/>
    </row>
    <row r="24468" spans="20:20">
      <c r="T24468" s="10"/>
    </row>
    <row r="24469" spans="20:20">
      <c r="T24469" s="10"/>
    </row>
    <row r="24470" spans="20:20">
      <c r="T24470" s="10"/>
    </row>
    <row r="24471" spans="20:20">
      <c r="T24471" s="10"/>
    </row>
    <row r="24472" spans="20:20">
      <c r="T24472" s="10"/>
    </row>
    <row r="24473" spans="20:20">
      <c r="T24473" s="10"/>
    </row>
    <row r="24474" spans="20:20">
      <c r="T24474" s="10"/>
    </row>
    <row r="24475" spans="20:20">
      <c r="T24475" s="10"/>
    </row>
    <row r="24476" spans="20:20">
      <c r="T24476" s="10"/>
    </row>
    <row r="24477" spans="20:20">
      <c r="T24477" s="10"/>
    </row>
    <row r="24478" spans="20:20">
      <c r="T24478" s="10"/>
    </row>
    <row r="24479" spans="20:20">
      <c r="T24479" s="10"/>
    </row>
    <row r="24480" spans="20:20">
      <c r="T24480" s="10"/>
    </row>
    <row r="24481" spans="20:20">
      <c r="T24481" s="10"/>
    </row>
    <row r="24482" spans="20:20">
      <c r="T24482" s="10"/>
    </row>
    <row r="24483" spans="20:20">
      <c r="T24483" s="10"/>
    </row>
    <row r="24484" spans="20:20">
      <c r="T24484" s="10"/>
    </row>
    <row r="24485" spans="20:20">
      <c r="T24485" s="10"/>
    </row>
    <row r="24486" spans="20:20">
      <c r="T24486" s="10"/>
    </row>
    <row r="24487" spans="20:20">
      <c r="T24487" s="10"/>
    </row>
    <row r="24488" spans="20:20">
      <c r="T24488" s="10"/>
    </row>
    <row r="24489" spans="20:20">
      <c r="T24489" s="10"/>
    </row>
    <row r="24490" spans="20:20">
      <c r="T24490" s="10"/>
    </row>
    <row r="24491" spans="20:20">
      <c r="T24491" s="10"/>
    </row>
    <row r="24492" spans="20:20">
      <c r="T24492" s="10"/>
    </row>
    <row r="24493" spans="20:20">
      <c r="T24493" s="10"/>
    </row>
    <row r="24494" spans="20:20">
      <c r="T24494" s="10"/>
    </row>
    <row r="24495" spans="20:20">
      <c r="T24495" s="10"/>
    </row>
    <row r="24496" spans="20:20">
      <c r="T24496" s="10"/>
    </row>
    <row r="24497" spans="20:20">
      <c r="T24497" s="10"/>
    </row>
    <row r="24498" spans="20:20">
      <c r="T24498" s="10"/>
    </row>
    <row r="24499" spans="20:20">
      <c r="T24499" s="10"/>
    </row>
    <row r="24500" spans="20:20">
      <c r="T24500" s="10"/>
    </row>
    <row r="24501" spans="20:20">
      <c r="T24501" s="10"/>
    </row>
    <row r="24502" spans="20:20">
      <c r="T24502" s="10"/>
    </row>
    <row r="24503" spans="20:20">
      <c r="T24503" s="10"/>
    </row>
    <row r="24504" spans="20:20">
      <c r="T24504" s="10"/>
    </row>
    <row r="24505" spans="20:20">
      <c r="T24505" s="10"/>
    </row>
    <row r="24506" spans="20:20">
      <c r="T24506" s="10"/>
    </row>
    <row r="24507" spans="20:20">
      <c r="T24507" s="10"/>
    </row>
    <row r="24508" spans="20:20">
      <c r="T24508" s="10"/>
    </row>
    <row r="24509" spans="20:20">
      <c r="T24509" s="10"/>
    </row>
    <row r="24510" spans="20:20">
      <c r="T24510" s="10"/>
    </row>
    <row r="24511" spans="20:20">
      <c r="T24511" s="10"/>
    </row>
    <row r="24512" spans="20:20">
      <c r="T24512" s="10"/>
    </row>
    <row r="24513" spans="20:20">
      <c r="T24513" s="10"/>
    </row>
    <row r="24514" spans="20:20">
      <c r="T24514" s="10"/>
    </row>
    <row r="24515" spans="20:20">
      <c r="T24515" s="10"/>
    </row>
    <row r="24516" spans="20:20">
      <c r="T24516" s="10"/>
    </row>
    <row r="24517" spans="20:20">
      <c r="T24517" s="10"/>
    </row>
    <row r="24518" spans="20:20">
      <c r="T24518" s="10"/>
    </row>
    <row r="24519" spans="20:20">
      <c r="T24519" s="10"/>
    </row>
    <row r="24520" spans="20:20">
      <c r="T24520" s="10"/>
    </row>
    <row r="24521" spans="20:20">
      <c r="T24521" s="10"/>
    </row>
    <row r="24522" spans="20:20">
      <c r="T24522" s="10"/>
    </row>
    <row r="24523" spans="20:20">
      <c r="T24523" s="10"/>
    </row>
    <row r="24524" spans="20:20">
      <c r="T24524" s="10"/>
    </row>
    <row r="24525" spans="20:20">
      <c r="T24525" s="10"/>
    </row>
    <row r="24526" spans="20:20">
      <c r="T24526" s="10"/>
    </row>
    <row r="24527" spans="20:20">
      <c r="T24527" s="10"/>
    </row>
    <row r="24528" spans="20:20">
      <c r="T24528" s="10"/>
    </row>
    <row r="24529" spans="20:20">
      <c r="T24529" s="10"/>
    </row>
    <row r="24530" spans="20:20">
      <c r="T24530" s="10"/>
    </row>
    <row r="24531" spans="20:20">
      <c r="T24531" s="10"/>
    </row>
    <row r="24532" spans="20:20">
      <c r="T24532" s="10"/>
    </row>
    <row r="24533" spans="20:20">
      <c r="T24533" s="10"/>
    </row>
    <row r="24534" spans="20:20">
      <c r="T24534" s="10"/>
    </row>
    <row r="24535" spans="20:20">
      <c r="T24535" s="10"/>
    </row>
    <row r="24536" spans="20:20">
      <c r="T24536" s="10"/>
    </row>
    <row r="24537" spans="20:20">
      <c r="T24537" s="10"/>
    </row>
    <row r="24538" spans="20:20">
      <c r="T24538" s="10"/>
    </row>
    <row r="24539" spans="20:20">
      <c r="T24539" s="10"/>
    </row>
    <row r="24540" spans="20:20">
      <c r="T24540" s="10"/>
    </row>
    <row r="24541" spans="20:20">
      <c r="T24541" s="10"/>
    </row>
    <row r="24542" spans="20:20">
      <c r="T24542" s="10"/>
    </row>
    <row r="24543" spans="20:20">
      <c r="T24543" s="10"/>
    </row>
    <row r="24544" spans="20:20">
      <c r="T24544" s="10"/>
    </row>
    <row r="24545" spans="20:20">
      <c r="T24545" s="10"/>
    </row>
    <row r="24546" spans="20:20">
      <c r="T24546" s="10"/>
    </row>
    <row r="24547" spans="20:20">
      <c r="T24547" s="10"/>
    </row>
    <row r="24548" spans="20:20">
      <c r="T24548" s="10"/>
    </row>
    <row r="24549" spans="20:20">
      <c r="T24549" s="10"/>
    </row>
    <row r="24550" spans="20:20">
      <c r="T24550" s="10"/>
    </row>
    <row r="24551" spans="20:20">
      <c r="T24551" s="10"/>
    </row>
    <row r="24552" spans="20:20">
      <c r="T24552" s="10"/>
    </row>
    <row r="24553" spans="20:20">
      <c r="T24553" s="10"/>
    </row>
    <row r="24554" spans="20:20">
      <c r="T24554" s="10"/>
    </row>
    <row r="24555" spans="20:20">
      <c r="T24555" s="10"/>
    </row>
    <row r="24556" spans="20:20">
      <c r="T24556" s="10"/>
    </row>
    <row r="24557" spans="20:20">
      <c r="T24557" s="10"/>
    </row>
    <row r="24558" spans="20:20">
      <c r="T24558" s="10"/>
    </row>
    <row r="24559" spans="20:20">
      <c r="T24559" s="10"/>
    </row>
    <row r="24560" spans="20:20">
      <c r="T24560" s="10"/>
    </row>
    <row r="24561" spans="20:20">
      <c r="T24561" s="10"/>
    </row>
    <row r="24562" spans="20:20">
      <c r="T24562" s="10"/>
    </row>
    <row r="24563" spans="20:20">
      <c r="T24563" s="10"/>
    </row>
    <row r="24564" spans="20:20">
      <c r="T24564" s="10"/>
    </row>
    <row r="24565" spans="20:20">
      <c r="T24565" s="10"/>
    </row>
    <row r="24566" spans="20:20">
      <c r="T24566" s="10"/>
    </row>
    <row r="24567" spans="20:20">
      <c r="T24567" s="10"/>
    </row>
    <row r="24568" spans="20:20">
      <c r="T24568" s="10"/>
    </row>
    <row r="24569" spans="20:20">
      <c r="T24569" s="10"/>
    </row>
    <row r="24570" spans="20:20">
      <c r="T24570" s="10"/>
    </row>
    <row r="24571" spans="20:20">
      <c r="T24571" s="10"/>
    </row>
    <row r="24572" spans="20:20">
      <c r="T24572" s="10"/>
    </row>
    <row r="24573" spans="20:20">
      <c r="T24573" s="10"/>
    </row>
    <row r="24574" spans="20:20">
      <c r="T24574" s="10"/>
    </row>
    <row r="24575" spans="20:20">
      <c r="T24575" s="10"/>
    </row>
    <row r="24576" spans="20:20">
      <c r="T24576" s="10"/>
    </row>
    <row r="24577" spans="20:20">
      <c r="T24577" s="10"/>
    </row>
    <row r="24578" spans="20:20">
      <c r="T24578" s="10"/>
    </row>
    <row r="24579" spans="20:20">
      <c r="T24579" s="10"/>
    </row>
    <row r="24580" spans="20:20">
      <c r="T24580" s="10"/>
    </row>
    <row r="24581" spans="20:20">
      <c r="T24581" s="10"/>
    </row>
    <row r="24582" spans="20:20">
      <c r="T24582" s="10"/>
    </row>
    <row r="24583" spans="20:20">
      <c r="T24583" s="10"/>
    </row>
    <row r="24584" spans="20:20">
      <c r="T24584" s="10"/>
    </row>
    <row r="24585" spans="20:20">
      <c r="T24585" s="10"/>
    </row>
    <row r="24586" spans="20:20">
      <c r="T24586" s="10"/>
    </row>
    <row r="24587" spans="20:20">
      <c r="T24587" s="10"/>
    </row>
    <row r="24588" spans="20:20">
      <c r="T24588" s="10"/>
    </row>
    <row r="24589" spans="20:20">
      <c r="T24589" s="10"/>
    </row>
    <row r="24590" spans="20:20">
      <c r="T24590" s="10"/>
    </row>
    <row r="24591" spans="20:20">
      <c r="T24591" s="10"/>
    </row>
    <row r="24592" spans="20:20">
      <c r="T24592" s="10"/>
    </row>
    <row r="24593" spans="20:20">
      <c r="T24593" s="10"/>
    </row>
    <row r="24594" spans="20:20">
      <c r="T24594" s="10"/>
    </row>
    <row r="24595" spans="20:20">
      <c r="T24595" s="10"/>
    </row>
    <row r="24596" spans="20:20">
      <c r="T24596" s="10"/>
    </row>
    <row r="24597" spans="20:20">
      <c r="T24597" s="10"/>
    </row>
    <row r="24598" spans="20:20">
      <c r="T24598" s="10"/>
    </row>
    <row r="24599" spans="20:20">
      <c r="T24599" s="10"/>
    </row>
    <row r="24600" spans="20:20">
      <c r="T24600" s="10"/>
    </row>
    <row r="24601" spans="20:20">
      <c r="T24601" s="10"/>
    </row>
    <row r="24602" spans="20:20">
      <c r="T24602" s="10"/>
    </row>
    <row r="24603" spans="20:20">
      <c r="T24603" s="10"/>
    </row>
    <row r="24604" spans="20:20">
      <c r="T24604" s="10"/>
    </row>
    <row r="24605" spans="20:20">
      <c r="T24605" s="10"/>
    </row>
    <row r="24606" spans="20:20">
      <c r="T24606" s="10"/>
    </row>
    <row r="24607" spans="20:20">
      <c r="T24607" s="10"/>
    </row>
    <row r="24608" spans="20:20">
      <c r="T24608" s="10"/>
    </row>
    <row r="24609" spans="20:20">
      <c r="T24609" s="10"/>
    </row>
    <row r="24610" spans="20:20">
      <c r="T24610" s="10"/>
    </row>
    <row r="24611" spans="20:20">
      <c r="T24611" s="10"/>
    </row>
    <row r="24612" spans="20:20">
      <c r="T24612" s="10"/>
    </row>
    <row r="24613" spans="20:20">
      <c r="T24613" s="10"/>
    </row>
    <row r="24614" spans="20:20">
      <c r="T24614" s="10"/>
    </row>
    <row r="24615" spans="20:20">
      <c r="T24615" s="10"/>
    </row>
    <row r="24616" spans="20:20">
      <c r="T24616" s="10"/>
    </row>
    <row r="24617" spans="20:20">
      <c r="T24617" s="10"/>
    </row>
    <row r="24618" spans="20:20">
      <c r="T24618" s="10"/>
    </row>
    <row r="24619" spans="20:20">
      <c r="T24619" s="10"/>
    </row>
    <row r="24620" spans="20:20">
      <c r="T24620" s="10"/>
    </row>
    <row r="24621" spans="20:20">
      <c r="T24621" s="10"/>
    </row>
    <row r="24622" spans="20:20">
      <c r="T24622" s="10"/>
    </row>
    <row r="24623" spans="20:20">
      <c r="T24623" s="10"/>
    </row>
    <row r="24624" spans="20:20">
      <c r="T24624" s="10"/>
    </row>
    <row r="24625" spans="20:20">
      <c r="T24625" s="10"/>
    </row>
    <row r="24626" spans="20:20">
      <c r="T24626" s="10"/>
    </row>
    <row r="24627" spans="20:20">
      <c r="T24627" s="10"/>
    </row>
    <row r="24628" spans="20:20">
      <c r="T24628" s="10"/>
    </row>
    <row r="24629" spans="20:20">
      <c r="T24629" s="10"/>
    </row>
    <row r="24630" spans="20:20">
      <c r="T24630" s="10"/>
    </row>
    <row r="24631" spans="20:20">
      <c r="T24631" s="10"/>
    </row>
    <row r="24632" spans="20:20">
      <c r="T24632" s="10"/>
    </row>
    <row r="24633" spans="20:20">
      <c r="T24633" s="10"/>
    </row>
    <row r="24634" spans="20:20">
      <c r="T24634" s="10"/>
    </row>
    <row r="24635" spans="20:20">
      <c r="T24635" s="10"/>
    </row>
    <row r="24636" spans="20:20">
      <c r="T24636" s="10"/>
    </row>
    <row r="24637" spans="20:20">
      <c r="T24637" s="10"/>
    </row>
    <row r="24638" spans="20:20">
      <c r="T24638" s="10"/>
    </row>
    <row r="24639" spans="20:20">
      <c r="T24639" s="10"/>
    </row>
    <row r="24640" spans="20:20">
      <c r="T24640" s="10"/>
    </row>
    <row r="24641" spans="20:20">
      <c r="T24641" s="10"/>
    </row>
    <row r="24642" spans="20:20">
      <c r="T24642" s="10"/>
    </row>
    <row r="24643" spans="20:20">
      <c r="T24643" s="10"/>
    </row>
    <row r="24644" spans="20:20">
      <c r="T24644" s="10"/>
    </row>
    <row r="24645" spans="20:20">
      <c r="T24645" s="10"/>
    </row>
    <row r="24646" spans="20:20">
      <c r="T24646" s="10"/>
    </row>
    <row r="24647" spans="20:20">
      <c r="T24647" s="10"/>
    </row>
    <row r="24648" spans="20:20">
      <c r="T24648" s="10"/>
    </row>
    <row r="24649" spans="20:20">
      <c r="T24649" s="10"/>
    </row>
    <row r="24650" spans="20:20">
      <c r="T24650" s="10"/>
    </row>
    <row r="24651" spans="20:20">
      <c r="T24651" s="10"/>
    </row>
    <row r="24652" spans="20:20">
      <c r="T24652" s="10"/>
    </row>
    <row r="24653" spans="20:20">
      <c r="T24653" s="10"/>
    </row>
    <row r="24654" spans="20:20">
      <c r="T24654" s="10"/>
    </row>
    <row r="24655" spans="20:20">
      <c r="T24655" s="10"/>
    </row>
    <row r="24656" spans="20:20">
      <c r="T24656" s="10"/>
    </row>
    <row r="24657" spans="20:20">
      <c r="T24657" s="10"/>
    </row>
    <row r="24658" spans="20:20">
      <c r="T24658" s="10"/>
    </row>
    <row r="24659" spans="20:20">
      <c r="T24659" s="10"/>
    </row>
    <row r="24660" spans="20:20">
      <c r="T24660" s="10"/>
    </row>
    <row r="24661" spans="20:20">
      <c r="T24661" s="10"/>
    </row>
    <row r="24662" spans="20:20">
      <c r="T24662" s="10"/>
    </row>
    <row r="24663" spans="20:20">
      <c r="T24663" s="10"/>
    </row>
    <row r="24664" spans="20:20">
      <c r="T24664" s="10"/>
    </row>
    <row r="24665" spans="20:20">
      <c r="T24665" s="10"/>
    </row>
    <row r="24666" spans="20:20">
      <c r="T24666" s="10"/>
    </row>
    <row r="24667" spans="20:20">
      <c r="T24667" s="10"/>
    </row>
    <row r="24668" spans="20:20">
      <c r="T24668" s="10"/>
    </row>
    <row r="24669" spans="20:20">
      <c r="T24669" s="10"/>
    </row>
    <row r="24670" spans="20:20">
      <c r="T24670" s="10"/>
    </row>
    <row r="24671" spans="20:20">
      <c r="T24671" s="10"/>
    </row>
    <row r="24672" spans="20:20">
      <c r="T24672" s="10"/>
    </row>
    <row r="24673" spans="20:20">
      <c r="T24673" s="10"/>
    </row>
    <row r="24674" spans="20:20">
      <c r="T24674" s="10"/>
    </row>
    <row r="24675" spans="20:20">
      <c r="T24675" s="10"/>
    </row>
    <row r="24676" spans="20:20">
      <c r="T24676" s="10"/>
    </row>
    <row r="24677" spans="20:20">
      <c r="T24677" s="10"/>
    </row>
    <row r="24678" spans="20:20">
      <c r="T24678" s="10"/>
    </row>
    <row r="24679" spans="20:20">
      <c r="T24679" s="10"/>
    </row>
    <row r="24680" spans="20:20">
      <c r="T24680" s="10"/>
    </row>
    <row r="24681" spans="20:20">
      <c r="T24681" s="10"/>
    </row>
    <row r="24682" spans="20:20">
      <c r="T24682" s="10"/>
    </row>
    <row r="24683" spans="20:20">
      <c r="T24683" s="10"/>
    </row>
    <row r="24684" spans="20:20">
      <c r="T24684" s="10"/>
    </row>
    <row r="24685" spans="20:20">
      <c r="T24685" s="10"/>
    </row>
    <row r="24686" spans="20:20">
      <c r="T24686" s="10"/>
    </row>
    <row r="24687" spans="20:20">
      <c r="T24687" s="10"/>
    </row>
    <row r="24688" spans="20:20">
      <c r="T24688" s="10"/>
    </row>
    <row r="24689" spans="20:20">
      <c r="T24689" s="10"/>
    </row>
    <row r="24690" spans="20:20">
      <c r="T24690" s="10"/>
    </row>
    <row r="24691" spans="20:20">
      <c r="T24691" s="10"/>
    </row>
    <row r="24692" spans="20:20">
      <c r="T24692" s="10"/>
    </row>
    <row r="24693" spans="20:20">
      <c r="T24693" s="10"/>
    </row>
    <row r="24694" spans="20:20">
      <c r="T24694" s="10"/>
    </row>
    <row r="24695" spans="20:20">
      <c r="T24695" s="10"/>
    </row>
    <row r="24696" spans="20:20">
      <c r="T24696" s="10"/>
    </row>
    <row r="24697" spans="20:20">
      <c r="T24697" s="10"/>
    </row>
    <row r="24698" spans="20:20">
      <c r="T24698" s="10"/>
    </row>
    <row r="24699" spans="20:20">
      <c r="T24699" s="10"/>
    </row>
    <row r="24700" spans="20:20">
      <c r="T24700" s="10"/>
    </row>
    <row r="24701" spans="20:20">
      <c r="T24701" s="10"/>
    </row>
    <row r="24702" spans="20:20">
      <c r="T24702" s="10"/>
    </row>
    <row r="24703" spans="20:20">
      <c r="T24703" s="10"/>
    </row>
    <row r="24704" spans="20:20">
      <c r="T24704" s="10"/>
    </row>
    <row r="24705" spans="20:20">
      <c r="T24705" s="10"/>
    </row>
    <row r="24706" spans="20:20">
      <c r="T24706" s="10"/>
    </row>
    <row r="24707" spans="20:20">
      <c r="T24707" s="10"/>
    </row>
    <row r="24708" spans="20:20">
      <c r="T24708" s="10"/>
    </row>
    <row r="24709" spans="20:20">
      <c r="T24709" s="10"/>
    </row>
    <row r="24710" spans="20:20">
      <c r="T24710" s="10"/>
    </row>
    <row r="24711" spans="20:20">
      <c r="T24711" s="10"/>
    </row>
    <row r="24712" spans="20:20">
      <c r="T24712" s="10"/>
    </row>
    <row r="24713" spans="20:20">
      <c r="T24713" s="10"/>
    </row>
    <row r="24714" spans="20:20">
      <c r="T24714" s="10"/>
    </row>
    <row r="24715" spans="20:20">
      <c r="T24715" s="10"/>
    </row>
    <row r="24716" spans="20:20">
      <c r="T24716" s="10"/>
    </row>
    <row r="24717" spans="20:20">
      <c r="T24717" s="10"/>
    </row>
    <row r="24718" spans="20:20">
      <c r="T24718" s="10"/>
    </row>
    <row r="24719" spans="20:20">
      <c r="T24719" s="10"/>
    </row>
    <row r="24720" spans="20:20">
      <c r="T24720" s="10"/>
    </row>
    <row r="24721" spans="20:20">
      <c r="T24721" s="10"/>
    </row>
    <row r="24722" spans="20:20">
      <c r="T24722" s="10"/>
    </row>
    <row r="24723" spans="20:20">
      <c r="T24723" s="10"/>
    </row>
    <row r="24724" spans="20:20">
      <c r="T24724" s="10"/>
    </row>
    <row r="24725" spans="20:20">
      <c r="T24725" s="10"/>
    </row>
    <row r="24726" spans="20:20">
      <c r="T24726" s="10"/>
    </row>
    <row r="24727" spans="20:20">
      <c r="T24727" s="10"/>
    </row>
    <row r="24728" spans="20:20">
      <c r="T24728" s="10"/>
    </row>
    <row r="24729" spans="20:20">
      <c r="T24729" s="10"/>
    </row>
    <row r="24730" spans="20:20">
      <c r="T24730" s="10"/>
    </row>
    <row r="24731" spans="20:20">
      <c r="T24731" s="10"/>
    </row>
    <row r="24732" spans="20:20">
      <c r="T24732" s="10"/>
    </row>
    <row r="24733" spans="20:20">
      <c r="T24733" s="10"/>
    </row>
    <row r="24734" spans="20:20">
      <c r="T24734" s="10"/>
    </row>
    <row r="24735" spans="20:20">
      <c r="T24735" s="10"/>
    </row>
    <row r="24736" spans="20:20">
      <c r="T24736" s="10"/>
    </row>
    <row r="24737" spans="20:20">
      <c r="T24737" s="10"/>
    </row>
    <row r="24738" spans="20:20">
      <c r="T24738" s="10"/>
    </row>
    <row r="24739" spans="20:20">
      <c r="T24739" s="10"/>
    </row>
    <row r="24740" spans="20:20">
      <c r="T24740" s="10"/>
    </row>
    <row r="24741" spans="20:20">
      <c r="T24741" s="10"/>
    </row>
    <row r="24742" spans="20:20">
      <c r="T24742" s="10"/>
    </row>
    <row r="24743" spans="20:20">
      <c r="T24743" s="10"/>
    </row>
    <row r="24744" spans="20:20">
      <c r="T24744" s="10"/>
    </row>
    <row r="24745" spans="20:20">
      <c r="T24745" s="10"/>
    </row>
    <row r="24746" spans="20:20">
      <c r="T24746" s="10"/>
    </row>
    <row r="24747" spans="20:20">
      <c r="T24747" s="10"/>
    </row>
    <row r="24748" spans="20:20">
      <c r="T24748" s="10"/>
    </row>
    <row r="24749" spans="20:20">
      <c r="T24749" s="10"/>
    </row>
    <row r="24750" spans="20:20">
      <c r="T24750" s="10"/>
    </row>
    <row r="24751" spans="20:20">
      <c r="T24751" s="10"/>
    </row>
    <row r="24752" spans="20:20">
      <c r="T24752" s="10"/>
    </row>
    <row r="24753" spans="20:20">
      <c r="T24753" s="10"/>
    </row>
    <row r="24754" spans="20:20">
      <c r="T24754" s="10"/>
    </row>
    <row r="24755" spans="20:20">
      <c r="T24755" s="10"/>
    </row>
    <row r="24756" spans="20:20">
      <c r="T24756" s="10"/>
    </row>
    <row r="24757" spans="20:20">
      <c r="T24757" s="10"/>
    </row>
    <row r="24758" spans="20:20">
      <c r="T24758" s="10"/>
    </row>
    <row r="24759" spans="20:20">
      <c r="T24759" s="10"/>
    </row>
    <row r="24760" spans="20:20">
      <c r="T24760" s="10"/>
    </row>
    <row r="24761" spans="20:20">
      <c r="T24761" s="10"/>
    </row>
    <row r="24762" spans="20:20">
      <c r="T24762" s="10"/>
    </row>
    <row r="24763" spans="20:20">
      <c r="T24763" s="10"/>
    </row>
    <row r="24764" spans="20:20">
      <c r="T24764" s="10"/>
    </row>
    <row r="24765" spans="20:20">
      <c r="T24765" s="10"/>
    </row>
    <row r="24766" spans="20:20">
      <c r="T24766" s="10"/>
    </row>
    <row r="24767" spans="20:20">
      <c r="T24767" s="10"/>
    </row>
    <row r="24768" spans="20:20">
      <c r="T24768" s="10"/>
    </row>
    <row r="24769" spans="20:20">
      <c r="T24769" s="10"/>
    </row>
    <row r="24770" spans="20:20">
      <c r="T24770" s="10"/>
    </row>
    <row r="24771" spans="20:20">
      <c r="T24771" s="10"/>
    </row>
    <row r="24772" spans="20:20">
      <c r="T24772" s="10"/>
    </row>
    <row r="24773" spans="20:20">
      <c r="T24773" s="10"/>
    </row>
    <row r="24774" spans="20:20">
      <c r="T24774" s="10"/>
    </row>
    <row r="24775" spans="20:20">
      <c r="T24775" s="10"/>
    </row>
    <row r="24776" spans="20:20">
      <c r="T24776" s="10"/>
    </row>
    <row r="24777" spans="20:20">
      <c r="T24777" s="10"/>
    </row>
    <row r="24778" spans="20:20">
      <c r="T24778" s="10"/>
    </row>
    <row r="24779" spans="20:20">
      <c r="T24779" s="10"/>
    </row>
    <row r="24780" spans="20:20">
      <c r="T24780" s="10"/>
    </row>
    <row r="24781" spans="20:20">
      <c r="T24781" s="10"/>
    </row>
    <row r="24782" spans="20:20">
      <c r="T24782" s="10"/>
    </row>
    <row r="24783" spans="20:20">
      <c r="T24783" s="10"/>
    </row>
    <row r="24784" spans="20:20">
      <c r="T24784" s="10"/>
    </row>
    <row r="24785" spans="20:20">
      <c r="T24785" s="10"/>
    </row>
    <row r="24786" spans="20:20">
      <c r="T24786" s="10"/>
    </row>
    <row r="24787" spans="20:20">
      <c r="T24787" s="10"/>
    </row>
    <row r="24788" spans="20:20">
      <c r="T24788" s="10"/>
    </row>
    <row r="24789" spans="20:20">
      <c r="T24789" s="10"/>
    </row>
    <row r="24790" spans="20:20">
      <c r="T24790" s="10"/>
    </row>
    <row r="24791" spans="20:20">
      <c r="T24791" s="10"/>
    </row>
    <row r="24792" spans="20:20">
      <c r="T24792" s="10"/>
    </row>
    <row r="24793" spans="20:20">
      <c r="T24793" s="10"/>
    </row>
    <row r="24794" spans="20:20">
      <c r="T24794" s="10"/>
    </row>
    <row r="24795" spans="20:20">
      <c r="T24795" s="10"/>
    </row>
    <row r="24796" spans="20:20">
      <c r="T24796" s="10"/>
    </row>
    <row r="24797" spans="20:20">
      <c r="T24797" s="10"/>
    </row>
    <row r="24798" spans="20:20">
      <c r="T24798" s="10"/>
    </row>
    <row r="24799" spans="20:20">
      <c r="T24799" s="10"/>
    </row>
    <row r="24800" spans="20:20">
      <c r="T24800" s="10"/>
    </row>
    <row r="24801" spans="20:20">
      <c r="T24801" s="10"/>
    </row>
    <row r="24802" spans="20:20">
      <c r="T24802" s="10"/>
    </row>
    <row r="24803" spans="20:20">
      <c r="T24803" s="10"/>
    </row>
    <row r="24804" spans="20:20">
      <c r="T24804" s="10"/>
    </row>
    <row r="24805" spans="20:20">
      <c r="T24805" s="10"/>
    </row>
    <row r="24806" spans="20:20">
      <c r="T24806" s="10"/>
    </row>
    <row r="24807" spans="20:20">
      <c r="T24807" s="10"/>
    </row>
    <row r="24808" spans="20:20">
      <c r="T24808" s="10"/>
    </row>
    <row r="24809" spans="20:20">
      <c r="T24809" s="10"/>
    </row>
    <row r="24810" spans="20:20">
      <c r="T24810" s="10"/>
    </row>
    <row r="24811" spans="20:20">
      <c r="T24811" s="10"/>
    </row>
    <row r="24812" spans="20:20">
      <c r="T24812" s="10"/>
    </row>
    <row r="24813" spans="20:20">
      <c r="T24813" s="10"/>
    </row>
    <row r="24814" spans="20:20">
      <c r="T24814" s="10"/>
    </row>
    <row r="24815" spans="20:20">
      <c r="T24815" s="10"/>
    </row>
    <row r="24816" spans="20:20">
      <c r="T24816" s="10"/>
    </row>
    <row r="24817" spans="20:20">
      <c r="T24817" s="10"/>
    </row>
    <row r="24818" spans="20:20">
      <c r="T24818" s="10"/>
    </row>
    <row r="24819" spans="20:20">
      <c r="T24819" s="10"/>
    </row>
    <row r="24820" spans="20:20">
      <c r="T24820" s="10"/>
    </row>
    <row r="24821" spans="20:20">
      <c r="T24821" s="10"/>
    </row>
    <row r="24822" spans="20:20">
      <c r="T24822" s="10"/>
    </row>
    <row r="24823" spans="20:20">
      <c r="T24823" s="10"/>
    </row>
    <row r="24824" spans="20:20">
      <c r="T24824" s="10"/>
    </row>
    <row r="24825" spans="20:20">
      <c r="T24825" s="10"/>
    </row>
    <row r="24826" spans="20:20">
      <c r="T24826" s="10"/>
    </row>
    <row r="24827" spans="20:20">
      <c r="T24827" s="10"/>
    </row>
    <row r="24828" spans="20:20">
      <c r="T24828" s="10"/>
    </row>
    <row r="24829" spans="20:20">
      <c r="T24829" s="10"/>
    </row>
    <row r="24830" spans="20:20">
      <c r="T24830" s="10"/>
    </row>
    <row r="24831" spans="20:20">
      <c r="T24831" s="10"/>
    </row>
    <row r="24832" spans="20:20">
      <c r="T24832" s="10"/>
    </row>
    <row r="24833" spans="20:20">
      <c r="T24833" s="10"/>
    </row>
    <row r="24834" spans="20:20">
      <c r="T24834" s="10"/>
    </row>
    <row r="24835" spans="20:20">
      <c r="T24835" s="10"/>
    </row>
    <row r="24836" spans="20:20">
      <c r="T24836" s="10"/>
    </row>
    <row r="24837" spans="20:20">
      <c r="T24837" s="10"/>
    </row>
    <row r="24838" spans="20:20">
      <c r="T24838" s="10"/>
    </row>
    <row r="24839" spans="20:20">
      <c r="T24839" s="10"/>
    </row>
    <row r="24840" spans="20:20">
      <c r="T24840" s="10"/>
    </row>
    <row r="24841" spans="20:20">
      <c r="T24841" s="10"/>
    </row>
    <row r="24842" spans="20:20">
      <c r="T24842" s="10"/>
    </row>
    <row r="24843" spans="20:20">
      <c r="T24843" s="10"/>
    </row>
    <row r="24844" spans="20:20">
      <c r="T24844" s="10"/>
    </row>
    <row r="24845" spans="20:20">
      <c r="T24845" s="10"/>
    </row>
    <row r="24846" spans="20:20">
      <c r="T24846" s="10"/>
    </row>
    <row r="24847" spans="20:20">
      <c r="T24847" s="10"/>
    </row>
    <row r="24848" spans="20:20">
      <c r="T24848" s="10"/>
    </row>
    <row r="24849" spans="20:20">
      <c r="T24849" s="10"/>
    </row>
    <row r="24850" spans="20:20">
      <c r="T24850" s="10"/>
    </row>
    <row r="24851" spans="20:20">
      <c r="T24851" s="10"/>
    </row>
    <row r="24852" spans="20:20">
      <c r="T24852" s="10"/>
    </row>
    <row r="24853" spans="20:20">
      <c r="T24853" s="10"/>
    </row>
    <row r="24854" spans="20:20">
      <c r="T24854" s="10"/>
    </row>
    <row r="24855" spans="20:20">
      <c r="T24855" s="10"/>
    </row>
    <row r="24856" spans="20:20">
      <c r="T24856" s="10"/>
    </row>
    <row r="24857" spans="20:20">
      <c r="T24857" s="10"/>
    </row>
    <row r="24858" spans="20:20">
      <c r="T24858" s="10"/>
    </row>
    <row r="24859" spans="20:20">
      <c r="T24859" s="10"/>
    </row>
    <row r="24860" spans="20:20">
      <c r="T24860" s="10"/>
    </row>
    <row r="24861" spans="20:20">
      <c r="T24861" s="10"/>
    </row>
    <row r="24862" spans="20:20">
      <c r="T24862" s="10"/>
    </row>
    <row r="24863" spans="20:20">
      <c r="T24863" s="10"/>
    </row>
    <row r="24864" spans="20:20">
      <c r="T24864" s="10"/>
    </row>
    <row r="24865" spans="20:20">
      <c r="T24865" s="10"/>
    </row>
    <row r="24866" spans="20:20">
      <c r="T24866" s="10"/>
    </row>
    <row r="24867" spans="20:20">
      <c r="T24867" s="10"/>
    </row>
    <row r="24868" spans="20:20">
      <c r="T24868" s="10"/>
    </row>
    <row r="24869" spans="20:20">
      <c r="T24869" s="10"/>
    </row>
    <row r="24870" spans="20:20">
      <c r="T24870" s="10"/>
    </row>
    <row r="24871" spans="20:20">
      <c r="T24871" s="10"/>
    </row>
    <row r="24872" spans="20:20">
      <c r="T24872" s="10"/>
    </row>
    <row r="24873" spans="20:20">
      <c r="T24873" s="10"/>
    </row>
    <row r="24874" spans="20:20">
      <c r="T24874" s="10"/>
    </row>
    <row r="24875" spans="20:20">
      <c r="T24875" s="10"/>
    </row>
    <row r="24876" spans="20:20">
      <c r="T24876" s="10"/>
    </row>
    <row r="24877" spans="20:20">
      <c r="T24877" s="10"/>
    </row>
    <row r="24878" spans="20:20">
      <c r="T24878" s="10"/>
    </row>
    <row r="24879" spans="20:20">
      <c r="T24879" s="10"/>
    </row>
    <row r="24880" spans="20:20">
      <c r="T24880" s="10"/>
    </row>
    <row r="24881" spans="20:20">
      <c r="T24881" s="10"/>
    </row>
    <row r="24882" spans="20:20">
      <c r="T24882" s="10"/>
    </row>
    <row r="24883" spans="20:20">
      <c r="T24883" s="10"/>
    </row>
    <row r="24884" spans="20:20">
      <c r="T24884" s="10"/>
    </row>
    <row r="24885" spans="20:20">
      <c r="T24885" s="10"/>
    </row>
    <row r="24886" spans="20:20">
      <c r="T24886" s="10"/>
    </row>
    <row r="24887" spans="20:20">
      <c r="T24887" s="10"/>
    </row>
    <row r="24888" spans="20:20">
      <c r="T24888" s="10"/>
    </row>
    <row r="24889" spans="20:20">
      <c r="T24889" s="10"/>
    </row>
    <row r="24890" spans="20:20">
      <c r="T24890" s="10"/>
    </row>
    <row r="24891" spans="20:20">
      <c r="T24891" s="10"/>
    </row>
    <row r="24892" spans="20:20">
      <c r="T24892" s="10"/>
    </row>
    <row r="24893" spans="20:20">
      <c r="T24893" s="10"/>
    </row>
    <row r="24894" spans="20:20">
      <c r="T24894" s="10"/>
    </row>
    <row r="24895" spans="20:20">
      <c r="T24895" s="10"/>
    </row>
    <row r="24896" spans="20:20">
      <c r="T24896" s="10"/>
    </row>
    <row r="24897" spans="20:20">
      <c r="T24897" s="10"/>
    </row>
    <row r="24898" spans="20:20">
      <c r="T24898" s="10"/>
    </row>
    <row r="24899" spans="20:20">
      <c r="T24899" s="10"/>
    </row>
    <row r="24900" spans="20:20">
      <c r="T24900" s="10"/>
    </row>
    <row r="24901" spans="20:20">
      <c r="T24901" s="10"/>
    </row>
    <row r="24902" spans="20:20">
      <c r="T24902" s="10"/>
    </row>
    <row r="24903" spans="20:20">
      <c r="T24903" s="10"/>
    </row>
    <row r="24904" spans="20:20">
      <c r="T24904" s="10"/>
    </row>
    <row r="24905" spans="20:20">
      <c r="T24905" s="10"/>
    </row>
    <row r="24906" spans="20:20">
      <c r="T24906" s="10"/>
    </row>
    <row r="24907" spans="20:20">
      <c r="T24907" s="10"/>
    </row>
    <row r="24908" spans="20:20">
      <c r="T24908" s="10"/>
    </row>
    <row r="24909" spans="20:20">
      <c r="T24909" s="10"/>
    </row>
    <row r="24910" spans="20:20">
      <c r="T24910" s="10"/>
    </row>
    <row r="24911" spans="20:20">
      <c r="T24911" s="10"/>
    </row>
    <row r="24912" spans="20:20">
      <c r="T24912" s="10"/>
    </row>
    <row r="24913" spans="20:20">
      <c r="T24913" s="10"/>
    </row>
    <row r="24914" spans="20:20">
      <c r="T24914" s="10"/>
    </row>
    <row r="24915" spans="20:20">
      <c r="T24915" s="10"/>
    </row>
    <row r="24916" spans="20:20">
      <c r="T24916" s="10"/>
    </row>
    <row r="24917" spans="20:20">
      <c r="T24917" s="10"/>
    </row>
    <row r="24918" spans="20:20">
      <c r="T24918" s="10"/>
    </row>
    <row r="24919" spans="20:20">
      <c r="T24919" s="10"/>
    </row>
    <row r="24920" spans="20:20">
      <c r="T24920" s="10"/>
    </row>
    <row r="24921" spans="20:20">
      <c r="T24921" s="10"/>
    </row>
    <row r="24922" spans="20:20">
      <c r="T24922" s="10"/>
    </row>
    <row r="24923" spans="20:20">
      <c r="T24923" s="10"/>
    </row>
    <row r="24924" spans="20:20">
      <c r="T24924" s="10"/>
    </row>
    <row r="24925" spans="20:20">
      <c r="T24925" s="10"/>
    </row>
    <row r="24926" spans="20:20">
      <c r="T24926" s="10"/>
    </row>
    <row r="24927" spans="20:20">
      <c r="T24927" s="10"/>
    </row>
    <row r="24928" spans="20:20">
      <c r="T24928" s="10"/>
    </row>
    <row r="24929" spans="20:20">
      <c r="T24929" s="10"/>
    </row>
    <row r="24930" spans="20:20">
      <c r="T24930" s="10"/>
    </row>
    <row r="24931" spans="20:20">
      <c r="T24931" s="10"/>
    </row>
    <row r="24932" spans="20:20">
      <c r="T24932" s="10"/>
    </row>
    <row r="24933" spans="20:20">
      <c r="T24933" s="10"/>
    </row>
    <row r="24934" spans="20:20">
      <c r="T24934" s="10"/>
    </row>
    <row r="24935" spans="20:20">
      <c r="T24935" s="10"/>
    </row>
    <row r="24936" spans="20:20">
      <c r="T24936" s="10"/>
    </row>
    <row r="24937" spans="20:20">
      <c r="T24937" s="10"/>
    </row>
    <row r="24938" spans="20:20">
      <c r="T24938" s="10"/>
    </row>
    <row r="24939" spans="20:20">
      <c r="T24939" s="10"/>
    </row>
    <row r="24940" spans="20:20">
      <c r="T24940" s="10"/>
    </row>
    <row r="24941" spans="20:20">
      <c r="T24941" s="10"/>
    </row>
    <row r="24942" spans="20:20">
      <c r="T24942" s="10"/>
    </row>
    <row r="24943" spans="20:20">
      <c r="T24943" s="10"/>
    </row>
    <row r="24944" spans="20:20">
      <c r="T24944" s="10"/>
    </row>
    <row r="24945" spans="20:20">
      <c r="T24945" s="10"/>
    </row>
    <row r="24946" spans="20:20">
      <c r="T24946" s="10"/>
    </row>
    <row r="24947" spans="20:20">
      <c r="T24947" s="10"/>
    </row>
    <row r="24948" spans="20:20">
      <c r="T24948" s="10"/>
    </row>
    <row r="24949" spans="20:20">
      <c r="T24949" s="10"/>
    </row>
    <row r="24950" spans="20:20">
      <c r="T24950" s="10"/>
    </row>
    <row r="24951" spans="20:20">
      <c r="T24951" s="10"/>
    </row>
    <row r="24952" spans="20:20">
      <c r="T24952" s="10"/>
    </row>
    <row r="24953" spans="20:20">
      <c r="T24953" s="10"/>
    </row>
    <row r="24954" spans="20:20">
      <c r="T24954" s="10"/>
    </row>
    <row r="24955" spans="20:20">
      <c r="T24955" s="10"/>
    </row>
    <row r="24956" spans="20:20">
      <c r="T24956" s="10"/>
    </row>
    <row r="24957" spans="20:20">
      <c r="T24957" s="10"/>
    </row>
    <row r="24958" spans="20:20">
      <c r="T24958" s="10"/>
    </row>
    <row r="24959" spans="20:20">
      <c r="T24959" s="10"/>
    </row>
    <row r="24960" spans="20:20">
      <c r="T24960" s="10"/>
    </row>
    <row r="24961" spans="20:20">
      <c r="T24961" s="10"/>
    </row>
    <row r="24962" spans="20:20">
      <c r="T24962" s="10"/>
    </row>
    <row r="24963" spans="20:20">
      <c r="T24963" s="10"/>
    </row>
    <row r="24964" spans="20:20">
      <c r="T24964" s="10"/>
    </row>
    <row r="24965" spans="20:20">
      <c r="T24965" s="10"/>
    </row>
    <row r="24966" spans="20:20">
      <c r="T24966" s="10"/>
    </row>
    <row r="24967" spans="20:20">
      <c r="T24967" s="10"/>
    </row>
    <row r="24968" spans="20:20">
      <c r="T24968" s="10"/>
    </row>
    <row r="24969" spans="20:20">
      <c r="T24969" s="10"/>
    </row>
    <row r="24970" spans="20:20">
      <c r="T24970" s="10"/>
    </row>
    <row r="24971" spans="20:20">
      <c r="T24971" s="10"/>
    </row>
    <row r="24972" spans="20:20">
      <c r="T24972" s="10"/>
    </row>
    <row r="24973" spans="20:20">
      <c r="T24973" s="10"/>
    </row>
    <row r="24974" spans="20:20">
      <c r="T24974" s="10"/>
    </row>
    <row r="24975" spans="20:20">
      <c r="T24975" s="10"/>
    </row>
    <row r="24976" spans="20:20">
      <c r="T24976" s="10"/>
    </row>
    <row r="24977" spans="20:20">
      <c r="T24977" s="10"/>
    </row>
    <row r="24978" spans="20:20">
      <c r="T24978" s="10"/>
    </row>
    <row r="24979" spans="20:20">
      <c r="T24979" s="10"/>
    </row>
    <row r="24980" spans="20:20">
      <c r="T24980" s="10"/>
    </row>
    <row r="24981" spans="20:20">
      <c r="T24981" s="10"/>
    </row>
    <row r="24982" spans="20:20">
      <c r="T24982" s="10"/>
    </row>
    <row r="24983" spans="20:20">
      <c r="T24983" s="10"/>
    </row>
    <row r="24984" spans="20:20">
      <c r="T24984" s="10"/>
    </row>
    <row r="24985" spans="20:20">
      <c r="T24985" s="10"/>
    </row>
    <row r="24986" spans="20:20">
      <c r="T24986" s="10"/>
    </row>
    <row r="24987" spans="20:20">
      <c r="T24987" s="10"/>
    </row>
    <row r="24988" spans="20:20">
      <c r="T24988" s="10"/>
    </row>
    <row r="24989" spans="20:20">
      <c r="T24989" s="10"/>
    </row>
    <row r="24990" spans="20:20">
      <c r="T24990" s="10"/>
    </row>
    <row r="24991" spans="20:20">
      <c r="T24991" s="10"/>
    </row>
    <row r="24992" spans="20:20">
      <c r="T24992" s="10"/>
    </row>
    <row r="24993" spans="20:20">
      <c r="T24993" s="10"/>
    </row>
    <row r="24994" spans="20:20">
      <c r="T24994" s="10"/>
    </row>
    <row r="24995" spans="20:20">
      <c r="T24995" s="10"/>
    </row>
    <row r="24996" spans="20:20">
      <c r="T24996" s="10"/>
    </row>
    <row r="24997" spans="20:20">
      <c r="T24997" s="10"/>
    </row>
    <row r="24998" spans="20:20">
      <c r="T24998" s="10"/>
    </row>
    <row r="24999" spans="20:20">
      <c r="T24999" s="10"/>
    </row>
    <row r="25000" spans="20:20">
      <c r="T25000" s="10"/>
    </row>
    <row r="25001" spans="20:20">
      <c r="T25001" s="10"/>
    </row>
    <row r="25002" spans="20:20">
      <c r="T25002" s="10"/>
    </row>
    <row r="25003" spans="20:20">
      <c r="T25003" s="10"/>
    </row>
    <row r="25004" spans="20:20">
      <c r="T25004" s="10"/>
    </row>
    <row r="25005" spans="20:20">
      <c r="T25005" s="10"/>
    </row>
    <row r="25006" spans="20:20">
      <c r="T25006" s="10"/>
    </row>
    <row r="25007" spans="20:20">
      <c r="T25007" s="10"/>
    </row>
    <row r="25008" spans="20:20">
      <c r="T25008" s="10"/>
    </row>
    <row r="25009" spans="20:20">
      <c r="T25009" s="10"/>
    </row>
    <row r="25010" spans="20:20">
      <c r="T25010" s="10"/>
    </row>
    <row r="25011" spans="20:20">
      <c r="T25011" s="10"/>
    </row>
    <row r="25012" spans="20:20">
      <c r="T25012" s="10"/>
    </row>
    <row r="25013" spans="20:20">
      <c r="T25013" s="10"/>
    </row>
    <row r="25014" spans="20:20">
      <c r="T25014" s="10"/>
    </row>
    <row r="25015" spans="20:20">
      <c r="T25015" s="10"/>
    </row>
    <row r="25016" spans="20:20">
      <c r="T25016" s="10"/>
    </row>
    <row r="25017" spans="20:20">
      <c r="T25017" s="10"/>
    </row>
    <row r="25018" spans="20:20">
      <c r="T25018" s="10"/>
    </row>
    <row r="25019" spans="20:20">
      <c r="T25019" s="10"/>
    </row>
    <row r="25020" spans="20:20">
      <c r="T25020" s="10"/>
    </row>
    <row r="25021" spans="20:20">
      <c r="T25021" s="10"/>
    </row>
    <row r="25022" spans="20:20">
      <c r="T25022" s="10"/>
    </row>
    <row r="25023" spans="20:20">
      <c r="T25023" s="10"/>
    </row>
    <row r="25024" spans="20:20">
      <c r="T25024" s="10"/>
    </row>
    <row r="25025" spans="20:20">
      <c r="T25025" s="10"/>
    </row>
    <row r="25026" spans="20:20">
      <c r="T25026" s="10"/>
    </row>
    <row r="25027" spans="20:20">
      <c r="T25027" s="10"/>
    </row>
    <row r="25028" spans="20:20">
      <c r="T25028" s="10"/>
    </row>
    <row r="25029" spans="20:20">
      <c r="T25029" s="10"/>
    </row>
    <row r="25030" spans="20:20">
      <c r="T25030" s="10"/>
    </row>
    <row r="25031" spans="20:20">
      <c r="T25031" s="10"/>
    </row>
    <row r="25032" spans="20:20">
      <c r="T25032" s="10"/>
    </row>
    <row r="25033" spans="20:20">
      <c r="T25033" s="10"/>
    </row>
    <row r="25034" spans="20:20">
      <c r="T25034" s="10"/>
    </row>
    <row r="25035" spans="20:20">
      <c r="T25035" s="10"/>
    </row>
    <row r="25036" spans="20:20">
      <c r="T25036" s="10"/>
    </row>
    <row r="25037" spans="20:20">
      <c r="T25037" s="10"/>
    </row>
    <row r="25038" spans="20:20">
      <c r="T25038" s="10"/>
    </row>
    <row r="25039" spans="20:20">
      <c r="T25039" s="10"/>
    </row>
    <row r="25040" spans="20:20">
      <c r="T25040" s="10"/>
    </row>
    <row r="25041" spans="20:20">
      <c r="T25041" s="10"/>
    </row>
    <row r="25042" spans="20:20">
      <c r="T25042" s="10"/>
    </row>
    <row r="25043" spans="20:20">
      <c r="T25043" s="10"/>
    </row>
    <row r="25044" spans="20:20">
      <c r="T25044" s="10"/>
    </row>
    <row r="25045" spans="20:20">
      <c r="T25045" s="10"/>
    </row>
    <row r="25046" spans="20:20">
      <c r="T25046" s="10"/>
    </row>
    <row r="25047" spans="20:20">
      <c r="T25047" s="10"/>
    </row>
    <row r="25048" spans="20:20">
      <c r="T25048" s="10"/>
    </row>
    <row r="25049" spans="20:20">
      <c r="T25049" s="10"/>
    </row>
    <row r="25050" spans="20:20">
      <c r="T25050" s="10"/>
    </row>
    <row r="25051" spans="20:20">
      <c r="T25051" s="10"/>
    </row>
    <row r="25052" spans="20:20">
      <c r="T25052" s="10"/>
    </row>
    <row r="25053" spans="20:20">
      <c r="T25053" s="10"/>
    </row>
    <row r="25054" spans="20:20">
      <c r="T25054" s="10"/>
    </row>
    <row r="25055" spans="20:20">
      <c r="T25055" s="10"/>
    </row>
    <row r="25056" spans="20:20">
      <c r="T25056" s="10"/>
    </row>
    <row r="25057" spans="20:20">
      <c r="T25057" s="10"/>
    </row>
    <row r="25058" spans="20:20">
      <c r="T25058" s="10"/>
    </row>
    <row r="25059" spans="20:20">
      <c r="T25059" s="10"/>
    </row>
    <row r="25060" spans="20:20">
      <c r="T25060" s="10"/>
    </row>
    <row r="25061" spans="20:20">
      <c r="T25061" s="10"/>
    </row>
    <row r="25062" spans="20:20">
      <c r="T25062" s="10"/>
    </row>
    <row r="25063" spans="20:20">
      <c r="T25063" s="10"/>
    </row>
    <row r="25064" spans="20:20">
      <c r="T25064" s="10"/>
    </row>
    <row r="25065" spans="20:20">
      <c r="T25065" s="10"/>
    </row>
    <row r="25066" spans="20:20">
      <c r="T25066" s="10"/>
    </row>
    <row r="25067" spans="20:20">
      <c r="T25067" s="10"/>
    </row>
    <row r="25068" spans="20:20">
      <c r="T25068" s="10"/>
    </row>
    <row r="25069" spans="20:20">
      <c r="T25069" s="10"/>
    </row>
    <row r="25070" spans="20:20">
      <c r="T25070" s="10"/>
    </row>
    <row r="25071" spans="20:20">
      <c r="T25071" s="10"/>
    </row>
    <row r="25072" spans="20:20">
      <c r="T25072" s="10"/>
    </row>
    <row r="25073" spans="20:20">
      <c r="T25073" s="10"/>
    </row>
    <row r="25074" spans="20:20">
      <c r="T25074" s="10"/>
    </row>
    <row r="25075" spans="20:20">
      <c r="T25075" s="10"/>
    </row>
    <row r="25076" spans="20:20">
      <c r="T25076" s="10"/>
    </row>
    <row r="25077" spans="20:20">
      <c r="T25077" s="10"/>
    </row>
    <row r="25078" spans="20:20">
      <c r="T25078" s="10"/>
    </row>
    <row r="25079" spans="20:20">
      <c r="T25079" s="10"/>
    </row>
    <row r="25080" spans="20:20">
      <c r="T25080" s="10"/>
    </row>
    <row r="25081" spans="20:20">
      <c r="T25081" s="10"/>
    </row>
    <row r="25082" spans="20:20">
      <c r="T25082" s="10"/>
    </row>
    <row r="25083" spans="20:20">
      <c r="T25083" s="10"/>
    </row>
    <row r="25084" spans="20:20">
      <c r="T25084" s="10"/>
    </row>
    <row r="25085" spans="20:20">
      <c r="T25085" s="10"/>
    </row>
    <row r="25086" spans="20:20">
      <c r="T25086" s="10"/>
    </row>
    <row r="25087" spans="20:20">
      <c r="T25087" s="10"/>
    </row>
    <row r="25088" spans="20:20">
      <c r="T25088" s="10"/>
    </row>
    <row r="25089" spans="20:20">
      <c r="T25089" s="10"/>
    </row>
    <row r="25090" spans="20:20">
      <c r="T25090" s="10"/>
    </row>
    <row r="25091" spans="20:20">
      <c r="T25091" s="10"/>
    </row>
    <row r="25092" spans="20:20">
      <c r="T25092" s="10"/>
    </row>
    <row r="25093" spans="20:20">
      <c r="T25093" s="10"/>
    </row>
    <row r="25094" spans="20:20">
      <c r="T25094" s="10"/>
    </row>
    <row r="25095" spans="20:20">
      <c r="T25095" s="10"/>
    </row>
    <row r="25096" spans="20:20">
      <c r="T25096" s="10"/>
    </row>
    <row r="25097" spans="20:20">
      <c r="T25097" s="10"/>
    </row>
    <row r="25098" spans="20:20">
      <c r="T25098" s="10"/>
    </row>
    <row r="25099" spans="20:20">
      <c r="T25099" s="10"/>
    </row>
    <row r="25100" spans="20:20">
      <c r="T25100" s="10"/>
    </row>
    <row r="25101" spans="20:20">
      <c r="T25101" s="10"/>
    </row>
    <row r="25102" spans="20:20">
      <c r="T25102" s="10"/>
    </row>
    <row r="25103" spans="20:20">
      <c r="T25103" s="10"/>
    </row>
    <row r="25104" spans="20:20">
      <c r="T25104" s="10"/>
    </row>
    <row r="25105" spans="20:20">
      <c r="T25105" s="10"/>
    </row>
    <row r="25106" spans="20:20">
      <c r="T25106" s="10"/>
    </row>
    <row r="25107" spans="20:20">
      <c r="T25107" s="10"/>
    </row>
    <row r="25108" spans="20:20">
      <c r="T25108" s="10"/>
    </row>
    <row r="25109" spans="20:20">
      <c r="T25109" s="10"/>
    </row>
    <row r="25110" spans="20:20">
      <c r="T25110" s="10"/>
    </row>
    <row r="25111" spans="20:20">
      <c r="T25111" s="10"/>
    </row>
    <row r="25112" spans="20:20">
      <c r="T25112" s="10"/>
    </row>
    <row r="25113" spans="20:20">
      <c r="T25113" s="10"/>
    </row>
    <row r="25114" spans="20:20">
      <c r="T25114" s="10"/>
    </row>
    <row r="25115" spans="20:20">
      <c r="T25115" s="10"/>
    </row>
    <row r="25116" spans="20:20">
      <c r="T25116" s="10"/>
    </row>
    <row r="25117" spans="20:20">
      <c r="T25117" s="10"/>
    </row>
    <row r="25118" spans="20:20">
      <c r="T25118" s="10"/>
    </row>
    <row r="25119" spans="20:20">
      <c r="T25119" s="10"/>
    </row>
    <row r="25120" spans="20:20">
      <c r="T25120" s="10"/>
    </row>
    <row r="25121" spans="20:20">
      <c r="T25121" s="10"/>
    </row>
    <row r="25122" spans="20:20">
      <c r="T25122" s="10"/>
    </row>
    <row r="25123" spans="20:20">
      <c r="T25123" s="10"/>
    </row>
    <row r="25124" spans="20:20">
      <c r="T25124" s="10"/>
    </row>
    <row r="25125" spans="20:20">
      <c r="T25125" s="10"/>
    </row>
    <row r="25126" spans="20:20">
      <c r="T25126" s="10"/>
    </row>
    <row r="25127" spans="20:20">
      <c r="T25127" s="10"/>
    </row>
    <row r="25128" spans="20:20">
      <c r="T25128" s="10"/>
    </row>
    <row r="25129" spans="20:20">
      <c r="T25129" s="10"/>
    </row>
    <row r="25130" spans="20:20">
      <c r="T25130" s="10"/>
    </row>
    <row r="25131" spans="20:20">
      <c r="T25131" s="10"/>
    </row>
    <row r="25132" spans="20:20">
      <c r="T25132" s="10"/>
    </row>
    <row r="25133" spans="20:20">
      <c r="T25133" s="10"/>
    </row>
    <row r="25134" spans="20:20">
      <c r="T25134" s="10"/>
    </row>
    <row r="25135" spans="20:20">
      <c r="T25135" s="10"/>
    </row>
    <row r="25136" spans="20:20">
      <c r="T25136" s="10"/>
    </row>
    <row r="25137" spans="20:20">
      <c r="T25137" s="10"/>
    </row>
    <row r="25138" spans="20:20">
      <c r="T25138" s="10"/>
    </row>
    <row r="25139" spans="20:20">
      <c r="T25139" s="10"/>
    </row>
    <row r="25140" spans="20:20">
      <c r="T25140" s="10"/>
    </row>
    <row r="25141" spans="20:20">
      <c r="T25141" s="10"/>
    </row>
    <row r="25142" spans="20:20">
      <c r="T25142" s="10"/>
    </row>
    <row r="25143" spans="20:20">
      <c r="T25143" s="10"/>
    </row>
    <row r="25144" spans="20:20">
      <c r="T25144" s="10"/>
    </row>
    <row r="25145" spans="20:20">
      <c r="T25145" s="10"/>
    </row>
    <row r="25146" spans="20:20">
      <c r="T25146" s="10"/>
    </row>
    <row r="25147" spans="20:20">
      <c r="T25147" s="10"/>
    </row>
    <row r="25148" spans="20:20">
      <c r="T25148" s="10"/>
    </row>
    <row r="25149" spans="20:20">
      <c r="T25149" s="10"/>
    </row>
    <row r="25150" spans="20:20">
      <c r="T25150" s="10"/>
    </row>
    <row r="25151" spans="20:20">
      <c r="T25151" s="10"/>
    </row>
    <row r="25152" spans="20:20">
      <c r="T25152" s="10"/>
    </row>
    <row r="25153" spans="20:20">
      <c r="T25153" s="10"/>
    </row>
    <row r="25154" spans="20:20">
      <c r="T25154" s="10"/>
    </row>
    <row r="25155" spans="20:20">
      <c r="T25155" s="10"/>
    </row>
    <row r="25156" spans="20:20">
      <c r="T25156" s="10"/>
    </row>
    <row r="25157" spans="20:20">
      <c r="T25157" s="10"/>
    </row>
    <row r="25158" spans="20:20">
      <c r="T25158" s="10"/>
    </row>
    <row r="25159" spans="20:20">
      <c r="T25159" s="10"/>
    </row>
    <row r="25160" spans="20:20">
      <c r="T25160" s="10"/>
    </row>
    <row r="25161" spans="20:20">
      <c r="T25161" s="10"/>
    </row>
    <row r="25162" spans="20:20">
      <c r="T25162" s="10"/>
    </row>
    <row r="25163" spans="20:20">
      <c r="T25163" s="10"/>
    </row>
    <row r="25164" spans="20:20">
      <c r="T25164" s="10"/>
    </row>
    <row r="25165" spans="20:20">
      <c r="T25165" s="10"/>
    </row>
    <row r="25166" spans="20:20">
      <c r="T25166" s="10"/>
    </row>
    <row r="25167" spans="20:20">
      <c r="T25167" s="10"/>
    </row>
    <row r="25168" spans="20:20">
      <c r="T25168" s="10"/>
    </row>
    <row r="25169" spans="20:20">
      <c r="T25169" s="10"/>
    </row>
    <row r="25170" spans="20:20">
      <c r="T25170" s="10"/>
    </row>
    <row r="25171" spans="20:20">
      <c r="T25171" s="10"/>
    </row>
    <row r="25172" spans="20:20">
      <c r="T25172" s="10"/>
    </row>
    <row r="25173" spans="20:20">
      <c r="T25173" s="10"/>
    </row>
    <row r="25174" spans="20:20">
      <c r="T25174" s="10"/>
    </row>
    <row r="25175" spans="20:20">
      <c r="T25175" s="10"/>
    </row>
    <row r="25176" spans="20:20">
      <c r="T25176" s="10"/>
    </row>
    <row r="25177" spans="20:20">
      <c r="T25177" s="10"/>
    </row>
    <row r="25178" spans="20:20">
      <c r="T25178" s="10"/>
    </row>
    <row r="25179" spans="20:20">
      <c r="T25179" s="10"/>
    </row>
    <row r="25180" spans="20:20">
      <c r="T25180" s="10"/>
    </row>
    <row r="25181" spans="20:20">
      <c r="T25181" s="10"/>
    </row>
    <row r="25182" spans="20:20">
      <c r="T25182" s="10"/>
    </row>
    <row r="25183" spans="20:20">
      <c r="T25183" s="10"/>
    </row>
    <row r="25184" spans="20:20">
      <c r="T25184" s="10"/>
    </row>
    <row r="25185" spans="20:20">
      <c r="T25185" s="10"/>
    </row>
    <row r="25186" spans="20:20">
      <c r="T25186" s="10"/>
    </row>
    <row r="25187" spans="20:20">
      <c r="T25187" s="10"/>
    </row>
    <row r="25188" spans="20:20">
      <c r="T25188" s="10"/>
    </row>
    <row r="25189" spans="20:20">
      <c r="T25189" s="10"/>
    </row>
    <row r="25190" spans="20:20">
      <c r="T25190" s="10"/>
    </row>
    <row r="25191" spans="20:20">
      <c r="T25191" s="10"/>
    </row>
    <row r="25192" spans="20:20">
      <c r="T25192" s="10"/>
    </row>
    <row r="25193" spans="20:20">
      <c r="T25193" s="10"/>
    </row>
    <row r="25194" spans="20:20">
      <c r="T25194" s="10"/>
    </row>
    <row r="25195" spans="20:20">
      <c r="T25195" s="10"/>
    </row>
    <row r="25196" spans="20:20">
      <c r="T25196" s="10"/>
    </row>
    <row r="25197" spans="20:20">
      <c r="T25197" s="10"/>
    </row>
    <row r="25198" spans="20:20">
      <c r="T25198" s="10"/>
    </row>
    <row r="25199" spans="20:20">
      <c r="T25199" s="10"/>
    </row>
    <row r="25200" spans="20:20">
      <c r="T25200" s="10"/>
    </row>
    <row r="25201" spans="20:20">
      <c r="T25201" s="10"/>
    </row>
    <row r="25202" spans="20:20">
      <c r="T25202" s="10"/>
    </row>
    <row r="25203" spans="20:20">
      <c r="T25203" s="10"/>
    </row>
    <row r="25204" spans="20:20">
      <c r="T25204" s="10"/>
    </row>
    <row r="25205" spans="20:20">
      <c r="T25205" s="10"/>
    </row>
    <row r="25206" spans="20:20">
      <c r="T25206" s="10"/>
    </row>
    <row r="25207" spans="20:20">
      <c r="T25207" s="10"/>
    </row>
    <row r="25208" spans="20:20">
      <c r="T25208" s="10"/>
    </row>
    <row r="25209" spans="20:20">
      <c r="T25209" s="10"/>
    </row>
    <row r="25210" spans="20:20">
      <c r="T25210" s="10"/>
    </row>
    <row r="25211" spans="20:20">
      <c r="T25211" s="10"/>
    </row>
    <row r="25212" spans="20:20">
      <c r="T25212" s="10"/>
    </row>
    <row r="25213" spans="20:20">
      <c r="T25213" s="10"/>
    </row>
    <row r="25214" spans="20:20">
      <c r="T25214" s="10"/>
    </row>
    <row r="25215" spans="20:20">
      <c r="T25215" s="10"/>
    </row>
    <row r="25216" spans="20:20">
      <c r="T25216" s="10"/>
    </row>
    <row r="25217" spans="20:20">
      <c r="T25217" s="10"/>
    </row>
    <row r="25218" spans="20:20">
      <c r="T25218" s="10"/>
    </row>
    <row r="25219" spans="20:20">
      <c r="T25219" s="10"/>
    </row>
    <row r="25220" spans="20:20">
      <c r="T25220" s="10"/>
    </row>
    <row r="25221" spans="20:20">
      <c r="T25221" s="10"/>
    </row>
    <row r="25222" spans="20:20">
      <c r="T25222" s="10"/>
    </row>
    <row r="25223" spans="20:20">
      <c r="T25223" s="10"/>
    </row>
    <row r="25224" spans="20:20">
      <c r="T25224" s="10"/>
    </row>
    <row r="25225" spans="20:20">
      <c r="T25225" s="10"/>
    </row>
    <row r="25226" spans="20:20">
      <c r="T25226" s="10"/>
    </row>
    <row r="25227" spans="20:20">
      <c r="T25227" s="10"/>
    </row>
    <row r="25228" spans="20:20">
      <c r="T25228" s="10"/>
    </row>
    <row r="25229" spans="20:20">
      <c r="T25229" s="10"/>
    </row>
    <row r="25230" spans="20:20">
      <c r="T25230" s="10"/>
    </row>
    <row r="25231" spans="20:20">
      <c r="T25231" s="10"/>
    </row>
    <row r="25232" spans="20:20">
      <c r="T25232" s="10"/>
    </row>
    <row r="25233" spans="20:20">
      <c r="T25233" s="10"/>
    </row>
    <row r="25234" spans="20:20">
      <c r="T25234" s="10"/>
    </row>
    <row r="25235" spans="20:20">
      <c r="T25235" s="10"/>
    </row>
    <row r="25236" spans="20:20">
      <c r="T25236" s="10"/>
    </row>
    <row r="25237" spans="20:20">
      <c r="T25237" s="10"/>
    </row>
    <row r="25238" spans="20:20">
      <c r="T25238" s="10"/>
    </row>
    <row r="25239" spans="20:20">
      <c r="T25239" s="10"/>
    </row>
    <row r="25240" spans="20:20">
      <c r="T25240" s="10"/>
    </row>
    <row r="25241" spans="20:20">
      <c r="T25241" s="10"/>
    </row>
    <row r="25242" spans="20:20">
      <c r="T25242" s="10"/>
    </row>
    <row r="25243" spans="20:20">
      <c r="T25243" s="10"/>
    </row>
    <row r="25244" spans="20:20">
      <c r="T25244" s="10"/>
    </row>
    <row r="25245" spans="20:20">
      <c r="T25245" s="10"/>
    </row>
    <row r="25246" spans="20:20">
      <c r="T25246" s="10"/>
    </row>
    <row r="25247" spans="20:20">
      <c r="T25247" s="10"/>
    </row>
    <row r="25248" spans="20:20">
      <c r="T25248" s="10"/>
    </row>
    <row r="25249" spans="20:20">
      <c r="T25249" s="10"/>
    </row>
    <row r="25250" spans="20:20">
      <c r="T25250" s="10"/>
    </row>
    <row r="25251" spans="20:20">
      <c r="T25251" s="10"/>
    </row>
    <row r="25252" spans="20:20">
      <c r="T25252" s="10"/>
    </row>
    <row r="25253" spans="20:20">
      <c r="T25253" s="10"/>
    </row>
    <row r="25254" spans="20:20">
      <c r="T25254" s="10"/>
    </row>
    <row r="25255" spans="20:20">
      <c r="T25255" s="10"/>
    </row>
    <row r="25256" spans="20:20">
      <c r="T25256" s="10"/>
    </row>
    <row r="25257" spans="20:20">
      <c r="T25257" s="10"/>
    </row>
    <row r="25258" spans="20:20">
      <c r="T25258" s="10"/>
    </row>
    <row r="25259" spans="20:20">
      <c r="T25259" s="10"/>
    </row>
    <row r="25260" spans="20:20">
      <c r="T25260" s="10"/>
    </row>
    <row r="25261" spans="20:20">
      <c r="T25261" s="10"/>
    </row>
    <row r="25262" spans="20:20">
      <c r="T25262" s="10"/>
    </row>
    <row r="25263" spans="20:20">
      <c r="T25263" s="10"/>
    </row>
    <row r="25264" spans="20:20">
      <c r="T25264" s="10"/>
    </row>
    <row r="25265" spans="20:20">
      <c r="T25265" s="10"/>
    </row>
    <row r="25266" spans="20:20">
      <c r="T25266" s="10"/>
    </row>
    <row r="25267" spans="20:20">
      <c r="T25267" s="10"/>
    </row>
    <row r="25268" spans="20:20">
      <c r="T25268" s="10"/>
    </row>
    <row r="25269" spans="20:20">
      <c r="T25269" s="10"/>
    </row>
    <row r="25270" spans="20:20">
      <c r="T25270" s="10"/>
    </row>
    <row r="25271" spans="20:20">
      <c r="T25271" s="10"/>
    </row>
    <row r="25272" spans="20:20">
      <c r="T25272" s="10"/>
    </row>
    <row r="25273" spans="20:20">
      <c r="T25273" s="10"/>
    </row>
    <row r="25274" spans="20:20">
      <c r="T25274" s="10"/>
    </row>
    <row r="25275" spans="20:20">
      <c r="T25275" s="10"/>
    </row>
    <row r="25276" spans="20:20">
      <c r="T25276" s="10"/>
    </row>
    <row r="25277" spans="20:20">
      <c r="T25277" s="10"/>
    </row>
    <row r="25278" spans="20:20">
      <c r="T25278" s="10"/>
    </row>
    <row r="25279" spans="20:20">
      <c r="T25279" s="10"/>
    </row>
    <row r="25280" spans="20:20">
      <c r="T25280" s="10"/>
    </row>
    <row r="25281" spans="20:20">
      <c r="T25281" s="10"/>
    </row>
    <row r="25282" spans="20:20">
      <c r="T25282" s="10"/>
    </row>
    <row r="25283" spans="20:20">
      <c r="T25283" s="10"/>
    </row>
    <row r="25284" spans="20:20">
      <c r="T25284" s="10"/>
    </row>
    <row r="25285" spans="20:20">
      <c r="T25285" s="10"/>
    </row>
    <row r="25286" spans="20:20">
      <c r="T25286" s="10"/>
    </row>
    <row r="25287" spans="20:20">
      <c r="T25287" s="10"/>
    </row>
    <row r="25288" spans="20:20">
      <c r="T25288" s="10"/>
    </row>
    <row r="25289" spans="20:20">
      <c r="T25289" s="10"/>
    </row>
    <row r="25290" spans="20:20">
      <c r="T25290" s="10"/>
    </row>
    <row r="25291" spans="20:20">
      <c r="T25291" s="10"/>
    </row>
    <row r="25292" spans="20:20">
      <c r="T25292" s="10"/>
    </row>
    <row r="25293" spans="20:20">
      <c r="T25293" s="10"/>
    </row>
    <row r="25294" spans="20:20">
      <c r="T25294" s="10"/>
    </row>
    <row r="25295" spans="20:20">
      <c r="T25295" s="10"/>
    </row>
    <row r="25296" spans="20:20">
      <c r="T25296" s="10"/>
    </row>
    <row r="25297" spans="20:20">
      <c r="T25297" s="10"/>
    </row>
    <row r="25298" spans="20:20">
      <c r="T25298" s="10"/>
    </row>
    <row r="25299" spans="20:20">
      <c r="T25299" s="10"/>
    </row>
    <row r="25300" spans="20:20">
      <c r="T25300" s="10"/>
    </row>
    <row r="25301" spans="20:20">
      <c r="T25301" s="10"/>
    </row>
    <row r="25302" spans="20:20">
      <c r="T25302" s="10"/>
    </row>
    <row r="25303" spans="20:20">
      <c r="T25303" s="10"/>
    </row>
    <row r="25304" spans="20:20">
      <c r="T25304" s="10"/>
    </row>
    <row r="25305" spans="20:20">
      <c r="T25305" s="10"/>
    </row>
    <row r="25306" spans="20:20">
      <c r="T25306" s="10"/>
    </row>
    <row r="25307" spans="20:20">
      <c r="T25307" s="10"/>
    </row>
    <row r="25308" spans="20:20">
      <c r="T25308" s="10"/>
    </row>
    <row r="25309" spans="20:20">
      <c r="T25309" s="10"/>
    </row>
    <row r="25310" spans="20:20">
      <c r="T25310" s="10"/>
    </row>
    <row r="25311" spans="20:20">
      <c r="T25311" s="10"/>
    </row>
    <row r="25312" spans="20:20">
      <c r="T25312" s="10"/>
    </row>
    <row r="25313" spans="20:20">
      <c r="T25313" s="10"/>
    </row>
    <row r="25314" spans="20:20">
      <c r="T25314" s="10"/>
    </row>
    <row r="25315" spans="20:20">
      <c r="T25315" s="10"/>
    </row>
    <row r="25316" spans="20:20">
      <c r="T25316" s="10"/>
    </row>
    <row r="25317" spans="20:20">
      <c r="T25317" s="10"/>
    </row>
    <row r="25318" spans="20:20">
      <c r="T25318" s="10"/>
    </row>
    <row r="25319" spans="20:20">
      <c r="T25319" s="10"/>
    </row>
    <row r="25320" spans="20:20">
      <c r="T25320" s="10"/>
    </row>
    <row r="25321" spans="20:20">
      <c r="T25321" s="10"/>
    </row>
    <row r="25322" spans="20:20">
      <c r="T25322" s="10"/>
    </row>
    <row r="25323" spans="20:20">
      <c r="T25323" s="10"/>
    </row>
    <row r="25324" spans="20:20">
      <c r="T25324" s="10"/>
    </row>
    <row r="25325" spans="20:20">
      <c r="T25325" s="10"/>
    </row>
    <row r="25326" spans="20:20">
      <c r="T25326" s="10"/>
    </row>
    <row r="25327" spans="20:20">
      <c r="T25327" s="10"/>
    </row>
    <row r="25328" spans="20:20">
      <c r="T25328" s="10"/>
    </row>
    <row r="25329" spans="20:20">
      <c r="T25329" s="10"/>
    </row>
    <row r="25330" spans="20:20">
      <c r="T25330" s="10"/>
    </row>
    <row r="25331" spans="20:20">
      <c r="T25331" s="10"/>
    </row>
    <row r="25332" spans="20:20">
      <c r="T25332" s="10"/>
    </row>
    <row r="25333" spans="20:20">
      <c r="T25333" s="10"/>
    </row>
    <row r="25334" spans="20:20">
      <c r="T25334" s="10"/>
    </row>
    <row r="25335" spans="20:20">
      <c r="T25335" s="10"/>
    </row>
    <row r="25336" spans="20:20">
      <c r="T25336" s="10"/>
    </row>
    <row r="25337" spans="20:20">
      <c r="T25337" s="10"/>
    </row>
    <row r="25338" spans="20:20">
      <c r="T25338" s="10"/>
    </row>
    <row r="25339" spans="20:20">
      <c r="T25339" s="10"/>
    </row>
    <row r="25340" spans="20:20">
      <c r="T25340" s="10"/>
    </row>
    <row r="25341" spans="20:20">
      <c r="T25341" s="10"/>
    </row>
    <row r="25342" spans="20:20">
      <c r="T25342" s="10"/>
    </row>
    <row r="25343" spans="20:20">
      <c r="T25343" s="10"/>
    </row>
    <row r="25344" spans="20:20">
      <c r="T25344" s="10"/>
    </row>
    <row r="25345" spans="20:20">
      <c r="T25345" s="10"/>
    </row>
    <row r="25346" spans="20:20">
      <c r="T25346" s="10"/>
    </row>
    <row r="25347" spans="20:20">
      <c r="T25347" s="10"/>
    </row>
    <row r="25348" spans="20:20">
      <c r="T25348" s="10"/>
    </row>
    <row r="25349" spans="20:20">
      <c r="T25349" s="10"/>
    </row>
    <row r="25350" spans="20:20">
      <c r="T25350" s="10"/>
    </row>
    <row r="25351" spans="20:20">
      <c r="T25351" s="10"/>
    </row>
    <row r="25352" spans="20:20">
      <c r="T25352" s="10"/>
    </row>
    <row r="25353" spans="20:20">
      <c r="T25353" s="10"/>
    </row>
    <row r="25354" spans="20:20">
      <c r="T25354" s="10"/>
    </row>
    <row r="25355" spans="20:20">
      <c r="T25355" s="10"/>
    </row>
    <row r="25356" spans="20:20">
      <c r="T25356" s="10"/>
    </row>
    <row r="25357" spans="20:20">
      <c r="T25357" s="10"/>
    </row>
    <row r="25358" spans="20:20">
      <c r="T25358" s="10"/>
    </row>
    <row r="25359" spans="20:20">
      <c r="T25359" s="10"/>
    </row>
    <row r="25360" spans="20:20">
      <c r="T25360" s="10"/>
    </row>
    <row r="25361" spans="20:20">
      <c r="T25361" s="10"/>
    </row>
    <row r="25362" spans="20:20">
      <c r="T25362" s="10"/>
    </row>
    <row r="25363" spans="20:20">
      <c r="T25363" s="10"/>
    </row>
    <row r="25364" spans="20:20">
      <c r="T25364" s="10"/>
    </row>
    <row r="25365" spans="20:20">
      <c r="T25365" s="10"/>
    </row>
    <row r="25366" spans="20:20">
      <c r="T25366" s="10"/>
    </row>
    <row r="25367" spans="20:20">
      <c r="T25367" s="10"/>
    </row>
    <row r="25368" spans="20:20">
      <c r="T25368" s="10"/>
    </row>
    <row r="25369" spans="20:20">
      <c r="T25369" s="10"/>
    </row>
    <row r="25370" spans="20:20">
      <c r="T25370" s="10"/>
    </row>
    <row r="25371" spans="20:20">
      <c r="T25371" s="10"/>
    </row>
    <row r="25372" spans="20:20">
      <c r="T25372" s="10"/>
    </row>
    <row r="25373" spans="20:20">
      <c r="T25373" s="10"/>
    </row>
    <row r="25374" spans="20:20">
      <c r="T25374" s="10"/>
    </row>
    <row r="25375" spans="20:20">
      <c r="T25375" s="10"/>
    </row>
    <row r="25376" spans="20:20">
      <c r="T25376" s="10"/>
    </row>
    <row r="25377" spans="20:20">
      <c r="T25377" s="10"/>
    </row>
    <row r="25378" spans="20:20">
      <c r="T25378" s="10"/>
    </row>
    <row r="25379" spans="20:20">
      <c r="T25379" s="10"/>
    </row>
    <row r="25380" spans="20:20">
      <c r="T25380" s="10"/>
    </row>
    <row r="25381" spans="20:20">
      <c r="T25381" s="10"/>
    </row>
    <row r="25382" spans="20:20">
      <c r="T25382" s="10"/>
    </row>
    <row r="25383" spans="20:20">
      <c r="T25383" s="10"/>
    </row>
    <row r="25384" spans="20:20">
      <c r="T25384" s="10"/>
    </row>
    <row r="25385" spans="20:20">
      <c r="T25385" s="10"/>
    </row>
    <row r="25386" spans="20:20">
      <c r="T25386" s="10"/>
    </row>
    <row r="25387" spans="20:20">
      <c r="T25387" s="10"/>
    </row>
    <row r="25388" spans="20:20">
      <c r="T25388" s="10"/>
    </row>
    <row r="25389" spans="20:20">
      <c r="T25389" s="10"/>
    </row>
    <row r="25390" spans="20:20">
      <c r="T25390" s="10"/>
    </row>
    <row r="25391" spans="20:20">
      <c r="T25391" s="10"/>
    </row>
    <row r="25392" spans="20:20">
      <c r="T25392" s="10"/>
    </row>
    <row r="25393" spans="20:20">
      <c r="T25393" s="10"/>
    </row>
    <row r="25394" spans="20:20">
      <c r="T25394" s="10"/>
    </row>
    <row r="25395" spans="20:20">
      <c r="T25395" s="10"/>
    </row>
    <row r="25396" spans="20:20">
      <c r="T25396" s="10"/>
    </row>
    <row r="25397" spans="20:20">
      <c r="T25397" s="10"/>
    </row>
    <row r="25398" spans="20:20">
      <c r="T25398" s="10"/>
    </row>
    <row r="25399" spans="20:20">
      <c r="T25399" s="10"/>
    </row>
    <row r="25400" spans="20:20">
      <c r="T25400" s="10"/>
    </row>
    <row r="25401" spans="20:20">
      <c r="T25401" s="10"/>
    </row>
    <row r="25402" spans="20:20">
      <c r="T25402" s="10"/>
    </row>
    <row r="25403" spans="20:20">
      <c r="T25403" s="10"/>
    </row>
    <row r="25404" spans="20:20">
      <c r="T25404" s="10"/>
    </row>
    <row r="25405" spans="20:20">
      <c r="T25405" s="10"/>
    </row>
    <row r="25406" spans="20:20">
      <c r="T25406" s="10"/>
    </row>
    <row r="25407" spans="20:20">
      <c r="T25407" s="10"/>
    </row>
    <row r="25408" spans="20:20">
      <c r="T25408" s="10"/>
    </row>
    <row r="25409" spans="20:20">
      <c r="T25409" s="10"/>
    </row>
    <row r="25410" spans="20:20">
      <c r="T25410" s="10"/>
    </row>
    <row r="25411" spans="20:20">
      <c r="T25411" s="10"/>
    </row>
    <row r="25412" spans="20:20">
      <c r="T25412" s="10"/>
    </row>
    <row r="25413" spans="20:20">
      <c r="T25413" s="10"/>
    </row>
    <row r="25414" spans="20:20">
      <c r="T25414" s="10"/>
    </row>
    <row r="25415" spans="20:20">
      <c r="T25415" s="10"/>
    </row>
    <row r="25416" spans="20:20">
      <c r="T25416" s="10"/>
    </row>
    <row r="25417" spans="20:20">
      <c r="T25417" s="10"/>
    </row>
    <row r="25418" spans="20:20">
      <c r="T25418" s="10"/>
    </row>
    <row r="25419" spans="20:20">
      <c r="T25419" s="10"/>
    </row>
    <row r="25420" spans="20:20">
      <c r="T25420" s="10"/>
    </row>
    <row r="25421" spans="20:20">
      <c r="T25421" s="10"/>
    </row>
    <row r="25422" spans="20:20">
      <c r="T25422" s="10"/>
    </row>
    <row r="25423" spans="20:20">
      <c r="T25423" s="10"/>
    </row>
    <row r="25424" spans="20:20">
      <c r="T25424" s="10"/>
    </row>
    <row r="25425" spans="20:20">
      <c r="T25425" s="10"/>
    </row>
    <row r="25426" spans="20:20">
      <c r="T25426" s="10"/>
    </row>
    <row r="25427" spans="20:20">
      <c r="T25427" s="10"/>
    </row>
    <row r="25428" spans="20:20">
      <c r="T25428" s="10"/>
    </row>
    <row r="25429" spans="20:20">
      <c r="T25429" s="10"/>
    </row>
    <row r="25430" spans="20:20">
      <c r="T25430" s="10"/>
    </row>
    <row r="25431" spans="20:20">
      <c r="T25431" s="10"/>
    </row>
    <row r="25432" spans="20:20">
      <c r="T25432" s="10"/>
    </row>
    <row r="25433" spans="20:20">
      <c r="T25433" s="10"/>
    </row>
    <row r="25434" spans="20:20">
      <c r="T25434" s="10"/>
    </row>
    <row r="25435" spans="20:20">
      <c r="T25435" s="10"/>
    </row>
    <row r="25436" spans="20:20">
      <c r="T25436" s="10"/>
    </row>
    <row r="25437" spans="20:20">
      <c r="T25437" s="10"/>
    </row>
    <row r="25438" spans="20:20">
      <c r="T25438" s="10"/>
    </row>
    <row r="25439" spans="20:20">
      <c r="T25439" s="10"/>
    </row>
    <row r="25440" spans="20:20">
      <c r="T25440" s="10"/>
    </row>
    <row r="25441" spans="20:20">
      <c r="T25441" s="10"/>
    </row>
    <row r="25442" spans="20:20">
      <c r="T25442" s="10"/>
    </row>
    <row r="25443" spans="20:20">
      <c r="T25443" s="10"/>
    </row>
    <row r="25444" spans="20:20">
      <c r="T25444" s="10"/>
    </row>
    <row r="25445" spans="20:20">
      <c r="T25445" s="10"/>
    </row>
    <row r="25446" spans="20:20">
      <c r="T25446" s="10"/>
    </row>
    <row r="25447" spans="20:20">
      <c r="T25447" s="10"/>
    </row>
    <row r="25448" spans="20:20">
      <c r="T25448" s="10"/>
    </row>
    <row r="25449" spans="20:20">
      <c r="T25449" s="10"/>
    </row>
    <row r="25450" spans="20:20">
      <c r="T25450" s="10"/>
    </row>
    <row r="25451" spans="20:20">
      <c r="T25451" s="10"/>
    </row>
    <row r="25452" spans="20:20">
      <c r="T25452" s="10"/>
    </row>
    <row r="25453" spans="20:20">
      <c r="T25453" s="10"/>
    </row>
    <row r="25454" spans="20:20">
      <c r="T25454" s="10"/>
    </row>
    <row r="25455" spans="20:20">
      <c r="T25455" s="10"/>
    </row>
    <row r="25456" spans="20:20">
      <c r="T25456" s="10"/>
    </row>
    <row r="25457" spans="20:20">
      <c r="T25457" s="10"/>
    </row>
    <row r="25458" spans="20:20">
      <c r="T25458" s="10"/>
    </row>
    <row r="25459" spans="20:20">
      <c r="T25459" s="10"/>
    </row>
    <row r="25460" spans="20:20">
      <c r="T25460" s="10"/>
    </row>
    <row r="25461" spans="20:20">
      <c r="T25461" s="10"/>
    </row>
    <row r="25462" spans="20:20">
      <c r="T25462" s="10"/>
    </row>
    <row r="25463" spans="20:20">
      <c r="T25463" s="10"/>
    </row>
    <row r="25464" spans="20:20">
      <c r="T25464" s="10"/>
    </row>
    <row r="25465" spans="20:20">
      <c r="T25465" s="10"/>
    </row>
    <row r="25466" spans="20:20">
      <c r="T25466" s="10"/>
    </row>
    <row r="25467" spans="20:20">
      <c r="T25467" s="10"/>
    </row>
    <row r="25468" spans="20:20">
      <c r="T25468" s="10"/>
    </row>
    <row r="25469" spans="20:20">
      <c r="T25469" s="10"/>
    </row>
    <row r="25470" spans="20:20">
      <c r="T25470" s="10"/>
    </row>
    <row r="25471" spans="20:20">
      <c r="T25471" s="10"/>
    </row>
    <row r="25472" spans="20:20">
      <c r="T25472" s="10"/>
    </row>
    <row r="25473" spans="20:20">
      <c r="T25473" s="10"/>
    </row>
    <row r="25474" spans="20:20">
      <c r="T25474" s="10"/>
    </row>
    <row r="25475" spans="20:20">
      <c r="T25475" s="10"/>
    </row>
    <row r="25476" spans="20:20">
      <c r="T25476" s="10"/>
    </row>
    <row r="25477" spans="20:20">
      <c r="T25477" s="10"/>
    </row>
    <row r="25478" spans="20:20">
      <c r="T25478" s="10"/>
    </row>
    <row r="25479" spans="20:20">
      <c r="T25479" s="10"/>
    </row>
    <row r="25480" spans="20:20">
      <c r="T25480" s="10"/>
    </row>
    <row r="25481" spans="20:20">
      <c r="T25481" s="10"/>
    </row>
    <row r="25482" spans="20:20">
      <c r="T25482" s="10"/>
    </row>
    <row r="25483" spans="20:20">
      <c r="T25483" s="10"/>
    </row>
    <row r="25484" spans="20:20">
      <c r="T25484" s="10"/>
    </row>
    <row r="25485" spans="20:20">
      <c r="T25485" s="10"/>
    </row>
    <row r="25486" spans="20:20">
      <c r="T25486" s="10"/>
    </row>
    <row r="25487" spans="20:20">
      <c r="T25487" s="10"/>
    </row>
    <row r="25488" spans="20:20">
      <c r="T25488" s="10"/>
    </row>
    <row r="25489" spans="20:20">
      <c r="T25489" s="10"/>
    </row>
    <row r="25490" spans="20:20">
      <c r="T25490" s="10"/>
    </row>
    <row r="25491" spans="20:20">
      <c r="T25491" s="10"/>
    </row>
    <row r="25492" spans="20:20">
      <c r="T25492" s="10"/>
    </row>
    <row r="25493" spans="20:20">
      <c r="T25493" s="10"/>
    </row>
    <row r="25494" spans="20:20">
      <c r="T25494" s="10"/>
    </row>
    <row r="25495" spans="20:20">
      <c r="T25495" s="10"/>
    </row>
    <row r="25496" spans="20:20">
      <c r="T25496" s="10"/>
    </row>
    <row r="25497" spans="20:20">
      <c r="T25497" s="10"/>
    </row>
    <row r="25498" spans="20:20">
      <c r="T25498" s="10"/>
    </row>
    <row r="25499" spans="20:20">
      <c r="T25499" s="10"/>
    </row>
    <row r="25500" spans="20:20">
      <c r="T25500" s="10"/>
    </row>
    <row r="25501" spans="20:20">
      <c r="T25501" s="10"/>
    </row>
    <row r="25502" spans="20:20">
      <c r="T25502" s="10"/>
    </row>
    <row r="25503" spans="20:20">
      <c r="T25503" s="10"/>
    </row>
    <row r="25504" spans="20:20">
      <c r="T25504" s="10"/>
    </row>
    <row r="25505" spans="20:20">
      <c r="T25505" s="10"/>
    </row>
    <row r="25506" spans="20:20">
      <c r="T25506" s="10"/>
    </row>
    <row r="25507" spans="20:20">
      <c r="T25507" s="10"/>
    </row>
    <row r="25508" spans="20:20">
      <c r="T25508" s="10"/>
    </row>
    <row r="25509" spans="20:20">
      <c r="T25509" s="10"/>
    </row>
    <row r="25510" spans="20:20">
      <c r="T25510" s="10"/>
    </row>
    <row r="25511" spans="20:20">
      <c r="T25511" s="10"/>
    </row>
    <row r="25512" spans="20:20">
      <c r="T25512" s="10"/>
    </row>
    <row r="25513" spans="20:20">
      <c r="T25513" s="10"/>
    </row>
    <row r="25514" spans="20:20">
      <c r="T25514" s="10"/>
    </row>
    <row r="25515" spans="20:20">
      <c r="T25515" s="10"/>
    </row>
    <row r="25516" spans="20:20">
      <c r="T25516" s="10"/>
    </row>
    <row r="25517" spans="20:20">
      <c r="T25517" s="10"/>
    </row>
    <row r="25518" spans="20:20">
      <c r="T25518" s="10"/>
    </row>
    <row r="25519" spans="20:20">
      <c r="T25519" s="10"/>
    </row>
    <row r="25520" spans="20:20">
      <c r="T25520" s="10"/>
    </row>
    <row r="25521" spans="20:20">
      <c r="T25521" s="10"/>
    </row>
    <row r="25522" spans="20:20">
      <c r="T25522" s="10"/>
    </row>
    <row r="25523" spans="20:20">
      <c r="T25523" s="10"/>
    </row>
    <row r="25524" spans="20:20">
      <c r="T25524" s="10"/>
    </row>
    <row r="25525" spans="20:20">
      <c r="T25525" s="10"/>
    </row>
    <row r="25526" spans="20:20">
      <c r="T25526" s="10"/>
    </row>
    <row r="25527" spans="20:20">
      <c r="T25527" s="10"/>
    </row>
    <row r="25528" spans="20:20">
      <c r="T25528" s="10"/>
    </row>
    <row r="25529" spans="20:20">
      <c r="T25529" s="10"/>
    </row>
    <row r="25530" spans="20:20">
      <c r="T25530" s="10"/>
    </row>
    <row r="25531" spans="20:20">
      <c r="T25531" s="10"/>
    </row>
    <row r="25532" spans="20:20">
      <c r="T25532" s="10"/>
    </row>
    <row r="25533" spans="20:20">
      <c r="T25533" s="10"/>
    </row>
    <row r="25534" spans="20:20">
      <c r="T25534" s="10"/>
    </row>
    <row r="25535" spans="20:20">
      <c r="T25535" s="10"/>
    </row>
    <row r="25536" spans="20:20">
      <c r="T25536" s="10"/>
    </row>
    <row r="25537" spans="20:20">
      <c r="T25537" s="10"/>
    </row>
    <row r="25538" spans="20:20">
      <c r="T25538" s="10"/>
    </row>
    <row r="25539" spans="20:20">
      <c r="T25539" s="10"/>
    </row>
    <row r="25540" spans="20:20">
      <c r="T25540" s="10"/>
    </row>
    <row r="25541" spans="20:20">
      <c r="T25541" s="10"/>
    </row>
    <row r="25542" spans="20:20">
      <c r="T25542" s="10"/>
    </row>
    <row r="25543" spans="20:20">
      <c r="T25543" s="10"/>
    </row>
    <row r="25544" spans="20:20">
      <c r="T25544" s="10"/>
    </row>
    <row r="25545" spans="20:20">
      <c r="T25545" s="10"/>
    </row>
    <row r="25546" spans="20:20">
      <c r="T25546" s="10"/>
    </row>
    <row r="25547" spans="20:20">
      <c r="T25547" s="10"/>
    </row>
    <row r="25548" spans="20:20">
      <c r="T25548" s="10"/>
    </row>
    <row r="25549" spans="20:20">
      <c r="T25549" s="10"/>
    </row>
    <row r="25550" spans="20:20">
      <c r="T25550" s="10"/>
    </row>
    <row r="25551" spans="20:20">
      <c r="T25551" s="10"/>
    </row>
    <row r="25552" spans="20:20">
      <c r="T25552" s="10"/>
    </row>
    <row r="25553" spans="20:20">
      <c r="T25553" s="10"/>
    </row>
    <row r="25554" spans="20:20">
      <c r="T25554" s="10"/>
    </row>
    <row r="25555" spans="20:20">
      <c r="T25555" s="10"/>
    </row>
    <row r="25556" spans="20:20">
      <c r="T25556" s="10"/>
    </row>
    <row r="25557" spans="20:20">
      <c r="T25557" s="10"/>
    </row>
    <row r="25558" spans="20:20">
      <c r="T25558" s="10"/>
    </row>
    <row r="25559" spans="20:20">
      <c r="T25559" s="10"/>
    </row>
    <row r="25560" spans="20:20">
      <c r="T25560" s="10"/>
    </row>
    <row r="25561" spans="20:20">
      <c r="T25561" s="10"/>
    </row>
    <row r="25562" spans="20:20">
      <c r="T25562" s="10"/>
    </row>
    <row r="25563" spans="20:20">
      <c r="T25563" s="10"/>
    </row>
    <row r="25564" spans="20:20">
      <c r="T25564" s="10"/>
    </row>
    <row r="25565" spans="20:20">
      <c r="T25565" s="10"/>
    </row>
    <row r="25566" spans="20:20">
      <c r="T25566" s="10"/>
    </row>
    <row r="25567" spans="20:20">
      <c r="T25567" s="10"/>
    </row>
    <row r="25568" spans="20:20">
      <c r="T25568" s="10"/>
    </row>
    <row r="25569" spans="20:20">
      <c r="T25569" s="10"/>
    </row>
    <row r="25570" spans="20:20">
      <c r="T25570" s="10"/>
    </row>
    <row r="25571" spans="20:20">
      <c r="T25571" s="10"/>
    </row>
    <row r="25572" spans="20:20">
      <c r="T25572" s="10"/>
    </row>
    <row r="25573" spans="20:20">
      <c r="T25573" s="10"/>
    </row>
    <row r="25574" spans="20:20">
      <c r="T25574" s="10"/>
    </row>
    <row r="25575" spans="20:20">
      <c r="T25575" s="10"/>
    </row>
    <row r="25576" spans="20:20">
      <c r="T25576" s="10"/>
    </row>
    <row r="25577" spans="20:20">
      <c r="T25577" s="10"/>
    </row>
    <row r="25578" spans="20:20">
      <c r="T25578" s="10"/>
    </row>
    <row r="25579" spans="20:20">
      <c r="T25579" s="10"/>
    </row>
    <row r="25580" spans="20:20">
      <c r="T25580" s="10"/>
    </row>
    <row r="25581" spans="20:20">
      <c r="T25581" s="10"/>
    </row>
    <row r="25582" spans="20:20">
      <c r="T25582" s="10"/>
    </row>
    <row r="25583" spans="20:20">
      <c r="T25583" s="10"/>
    </row>
    <row r="25584" spans="20:20">
      <c r="T25584" s="10"/>
    </row>
    <row r="25585" spans="20:20">
      <c r="T25585" s="10"/>
    </row>
    <row r="25586" spans="20:20">
      <c r="T25586" s="10"/>
    </row>
    <row r="25587" spans="20:20">
      <c r="T25587" s="10"/>
    </row>
    <row r="25588" spans="20:20">
      <c r="T25588" s="10"/>
    </row>
    <row r="25589" spans="20:20">
      <c r="T25589" s="10"/>
    </row>
    <row r="25590" spans="20:20">
      <c r="T25590" s="10"/>
    </row>
    <row r="25591" spans="20:20">
      <c r="T25591" s="10"/>
    </row>
    <row r="25592" spans="20:20">
      <c r="T25592" s="10"/>
    </row>
    <row r="25593" spans="20:20">
      <c r="T25593" s="10"/>
    </row>
    <row r="25594" spans="20:20">
      <c r="T25594" s="10"/>
    </row>
    <row r="25595" spans="20:20">
      <c r="T25595" s="10"/>
    </row>
    <row r="25596" spans="20:20">
      <c r="T25596" s="10"/>
    </row>
    <row r="25597" spans="20:20">
      <c r="T25597" s="10"/>
    </row>
    <row r="25598" spans="20:20">
      <c r="T25598" s="10"/>
    </row>
    <row r="25599" spans="20:20">
      <c r="T25599" s="10"/>
    </row>
    <row r="25600" spans="20:20">
      <c r="T25600" s="10"/>
    </row>
    <row r="25601" spans="20:20">
      <c r="T25601" s="10"/>
    </row>
    <row r="25602" spans="20:20">
      <c r="T25602" s="10"/>
    </row>
    <row r="25603" spans="20:20">
      <c r="T25603" s="10"/>
    </row>
    <row r="25604" spans="20:20">
      <c r="T25604" s="10"/>
    </row>
    <row r="25605" spans="20:20">
      <c r="T25605" s="10"/>
    </row>
    <row r="25606" spans="20:20">
      <c r="T25606" s="10"/>
    </row>
    <row r="25607" spans="20:20">
      <c r="T25607" s="10"/>
    </row>
    <row r="25608" spans="20:20">
      <c r="T25608" s="10"/>
    </row>
    <row r="25609" spans="20:20">
      <c r="T25609" s="10"/>
    </row>
    <row r="25610" spans="20:20">
      <c r="T25610" s="10"/>
    </row>
    <row r="25611" spans="20:20">
      <c r="T25611" s="10"/>
    </row>
    <row r="25612" spans="20:20">
      <c r="T25612" s="10"/>
    </row>
    <row r="25613" spans="20:20">
      <c r="T25613" s="10"/>
    </row>
    <row r="25614" spans="20:20">
      <c r="T25614" s="10"/>
    </row>
    <row r="25615" spans="20:20">
      <c r="T25615" s="10"/>
    </row>
    <row r="25616" spans="20:20">
      <c r="T25616" s="10"/>
    </row>
    <row r="25617" spans="20:20">
      <c r="T25617" s="10"/>
    </row>
    <row r="25618" spans="20:20">
      <c r="T25618" s="10"/>
    </row>
    <row r="25619" spans="20:20">
      <c r="T25619" s="10"/>
    </row>
    <row r="25620" spans="20:20">
      <c r="T25620" s="10"/>
    </row>
    <row r="25621" spans="20:20">
      <c r="T25621" s="10"/>
    </row>
    <row r="25622" spans="20:20">
      <c r="T25622" s="10"/>
    </row>
    <row r="25623" spans="20:20">
      <c r="T25623" s="10"/>
    </row>
    <row r="25624" spans="20:20">
      <c r="T25624" s="10"/>
    </row>
    <row r="25625" spans="20:20">
      <c r="T25625" s="10"/>
    </row>
    <row r="25626" spans="20:20">
      <c r="T25626" s="10"/>
    </row>
    <row r="25627" spans="20:20">
      <c r="T25627" s="10"/>
    </row>
    <row r="25628" spans="20:20">
      <c r="T25628" s="10"/>
    </row>
    <row r="25629" spans="20:20">
      <c r="T25629" s="10"/>
    </row>
    <row r="25630" spans="20:20">
      <c r="T25630" s="10"/>
    </row>
    <row r="25631" spans="20:20">
      <c r="T25631" s="10"/>
    </row>
    <row r="25632" spans="20:20">
      <c r="T25632" s="10"/>
    </row>
    <row r="25633" spans="20:20">
      <c r="T25633" s="10"/>
    </row>
    <row r="25634" spans="20:20">
      <c r="T25634" s="10"/>
    </row>
    <row r="25635" spans="20:20">
      <c r="T25635" s="10"/>
    </row>
    <row r="25636" spans="20:20">
      <c r="T25636" s="10"/>
    </row>
    <row r="25637" spans="20:20">
      <c r="T25637" s="10"/>
    </row>
    <row r="25638" spans="20:20">
      <c r="T25638" s="10"/>
    </row>
    <row r="25639" spans="20:20">
      <c r="T25639" s="10"/>
    </row>
    <row r="25640" spans="20:20">
      <c r="T25640" s="10"/>
    </row>
    <row r="25641" spans="20:20">
      <c r="T25641" s="10"/>
    </row>
    <row r="25642" spans="20:20">
      <c r="T25642" s="10"/>
    </row>
    <row r="25643" spans="20:20">
      <c r="T25643" s="10"/>
    </row>
    <row r="25644" spans="20:20">
      <c r="T25644" s="10"/>
    </row>
    <row r="25645" spans="20:20">
      <c r="T25645" s="10"/>
    </row>
    <row r="25646" spans="20:20">
      <c r="T25646" s="10"/>
    </row>
    <row r="25647" spans="20:20">
      <c r="T25647" s="10"/>
    </row>
    <row r="25648" spans="20:20">
      <c r="T25648" s="10"/>
    </row>
    <row r="25649" spans="20:20">
      <c r="T25649" s="10"/>
    </row>
    <row r="25650" spans="20:20">
      <c r="T25650" s="10"/>
    </row>
    <row r="25651" spans="20:20">
      <c r="T25651" s="10"/>
    </row>
    <row r="25652" spans="20:20">
      <c r="T25652" s="10"/>
    </row>
    <row r="25653" spans="20:20">
      <c r="T25653" s="10"/>
    </row>
    <row r="25654" spans="20:20">
      <c r="T25654" s="10"/>
    </row>
    <row r="25655" spans="20:20">
      <c r="T25655" s="10"/>
    </row>
    <row r="25656" spans="20:20">
      <c r="T25656" s="10"/>
    </row>
    <row r="25657" spans="20:20">
      <c r="T25657" s="10"/>
    </row>
    <row r="25658" spans="20:20">
      <c r="T25658" s="10"/>
    </row>
    <row r="25659" spans="20:20">
      <c r="T25659" s="10"/>
    </row>
    <row r="25660" spans="20:20">
      <c r="T25660" s="10"/>
    </row>
    <row r="25661" spans="20:20">
      <c r="T25661" s="10"/>
    </row>
    <row r="25662" spans="20:20">
      <c r="T25662" s="10"/>
    </row>
    <row r="25663" spans="20:20">
      <c r="T25663" s="10"/>
    </row>
    <row r="25664" spans="20:20">
      <c r="T25664" s="10"/>
    </row>
    <row r="25665" spans="20:20">
      <c r="T25665" s="10"/>
    </row>
    <row r="25666" spans="20:20">
      <c r="T25666" s="10"/>
    </row>
    <row r="25667" spans="20:20">
      <c r="T25667" s="10"/>
    </row>
    <row r="25668" spans="20:20">
      <c r="T25668" s="10"/>
    </row>
    <row r="25669" spans="20:20">
      <c r="T25669" s="10"/>
    </row>
    <row r="25670" spans="20:20">
      <c r="T25670" s="10"/>
    </row>
    <row r="25671" spans="20:20">
      <c r="T25671" s="10"/>
    </row>
    <row r="25672" spans="20:20">
      <c r="T25672" s="10"/>
    </row>
    <row r="25673" spans="20:20">
      <c r="T25673" s="10"/>
    </row>
    <row r="25674" spans="20:20">
      <c r="T25674" s="10"/>
    </row>
    <row r="25675" spans="20:20">
      <c r="T25675" s="10"/>
    </row>
    <row r="25676" spans="20:20">
      <c r="T25676" s="10"/>
    </row>
    <row r="25677" spans="20:20">
      <c r="T25677" s="10"/>
    </row>
    <row r="25678" spans="20:20">
      <c r="T25678" s="10"/>
    </row>
    <row r="25679" spans="20:20">
      <c r="T25679" s="10"/>
    </row>
    <row r="25680" spans="20:20">
      <c r="T25680" s="10"/>
    </row>
    <row r="25681" spans="20:20">
      <c r="T25681" s="10"/>
    </row>
    <row r="25682" spans="20:20">
      <c r="T25682" s="10"/>
    </row>
    <row r="25683" spans="20:20">
      <c r="T25683" s="10"/>
    </row>
    <row r="25684" spans="20:20">
      <c r="T25684" s="10"/>
    </row>
    <row r="25685" spans="20:20">
      <c r="T25685" s="10"/>
    </row>
    <row r="25686" spans="20:20">
      <c r="T25686" s="10"/>
    </row>
    <row r="25687" spans="20:20">
      <c r="T25687" s="10"/>
    </row>
    <row r="25688" spans="20:20">
      <c r="T25688" s="10"/>
    </row>
    <row r="25689" spans="20:20">
      <c r="T25689" s="10"/>
    </row>
    <row r="25690" spans="20:20">
      <c r="T25690" s="10"/>
    </row>
    <row r="25691" spans="20:20">
      <c r="T25691" s="10"/>
    </row>
    <row r="25692" spans="20:20">
      <c r="T25692" s="10"/>
    </row>
    <row r="25693" spans="20:20">
      <c r="T25693" s="10"/>
    </row>
    <row r="25694" spans="20:20">
      <c r="T25694" s="10"/>
    </row>
    <row r="25695" spans="20:20">
      <c r="T25695" s="10"/>
    </row>
    <row r="25696" spans="20:20">
      <c r="T25696" s="10"/>
    </row>
    <row r="25697" spans="20:20">
      <c r="T25697" s="10"/>
    </row>
    <row r="25698" spans="20:20">
      <c r="T25698" s="10"/>
    </row>
    <row r="25699" spans="20:20">
      <c r="T25699" s="10"/>
    </row>
    <row r="25700" spans="20:20">
      <c r="T25700" s="10"/>
    </row>
    <row r="25701" spans="20:20">
      <c r="T25701" s="10"/>
    </row>
    <row r="25702" spans="20:20">
      <c r="T25702" s="10"/>
    </row>
    <row r="25703" spans="20:20">
      <c r="T25703" s="10"/>
    </row>
    <row r="25704" spans="20:20">
      <c r="T25704" s="10"/>
    </row>
    <row r="25705" spans="20:20">
      <c r="T25705" s="10"/>
    </row>
    <row r="25706" spans="20:20">
      <c r="T25706" s="10"/>
    </row>
    <row r="25707" spans="20:20">
      <c r="T25707" s="10"/>
    </row>
    <row r="25708" spans="20:20">
      <c r="T25708" s="10"/>
    </row>
    <row r="25709" spans="20:20">
      <c r="T25709" s="10"/>
    </row>
    <row r="25710" spans="20:20">
      <c r="T25710" s="10"/>
    </row>
    <row r="25711" spans="20:20">
      <c r="T25711" s="10"/>
    </row>
    <row r="25712" spans="20:20">
      <c r="T25712" s="10"/>
    </row>
    <row r="25713" spans="20:20">
      <c r="T25713" s="10"/>
    </row>
    <row r="25714" spans="20:20">
      <c r="T25714" s="10"/>
    </row>
    <row r="25715" spans="20:20">
      <c r="T25715" s="10"/>
    </row>
    <row r="25716" spans="20:20">
      <c r="T25716" s="10"/>
    </row>
    <row r="25717" spans="20:20">
      <c r="T25717" s="10"/>
    </row>
    <row r="25718" spans="20:20">
      <c r="T25718" s="10"/>
    </row>
    <row r="25719" spans="20:20">
      <c r="T25719" s="10"/>
    </row>
    <row r="25720" spans="20:20">
      <c r="T25720" s="10"/>
    </row>
    <row r="25721" spans="20:20">
      <c r="T25721" s="10"/>
    </row>
    <row r="25722" spans="20:20">
      <c r="T25722" s="10"/>
    </row>
    <row r="25723" spans="20:20">
      <c r="T25723" s="10"/>
    </row>
    <row r="25724" spans="20:20">
      <c r="T25724" s="10"/>
    </row>
    <row r="25725" spans="20:20">
      <c r="T25725" s="10"/>
    </row>
    <row r="25726" spans="20:20">
      <c r="T25726" s="10"/>
    </row>
    <row r="25727" spans="20:20">
      <c r="T25727" s="10"/>
    </row>
    <row r="25728" spans="20:20">
      <c r="T25728" s="10"/>
    </row>
    <row r="25729" spans="20:20">
      <c r="T25729" s="10"/>
    </row>
    <row r="25730" spans="20:20">
      <c r="T25730" s="10"/>
    </row>
    <row r="25731" spans="20:20">
      <c r="T25731" s="10"/>
    </row>
    <row r="25732" spans="20:20">
      <c r="T25732" s="10"/>
    </row>
    <row r="25733" spans="20:20">
      <c r="T25733" s="10"/>
    </row>
    <row r="25734" spans="20:20">
      <c r="T25734" s="10"/>
    </row>
    <row r="25735" spans="20:20">
      <c r="T25735" s="10"/>
    </row>
    <row r="25736" spans="20:20">
      <c r="T25736" s="10"/>
    </row>
    <row r="25737" spans="20:20">
      <c r="T25737" s="10"/>
    </row>
    <row r="25738" spans="20:20">
      <c r="T25738" s="10"/>
    </row>
    <row r="25739" spans="20:20">
      <c r="T25739" s="10"/>
    </row>
    <row r="25740" spans="20:20">
      <c r="T25740" s="10"/>
    </row>
    <row r="25741" spans="20:20">
      <c r="T25741" s="10"/>
    </row>
    <row r="25742" spans="20:20">
      <c r="T25742" s="10"/>
    </row>
    <row r="25743" spans="20:20">
      <c r="T25743" s="10"/>
    </row>
    <row r="25744" spans="20:20">
      <c r="T25744" s="10"/>
    </row>
    <row r="25745" spans="20:20">
      <c r="T25745" s="10"/>
    </row>
    <row r="25746" spans="20:20">
      <c r="T25746" s="10"/>
    </row>
    <row r="25747" spans="20:20">
      <c r="T25747" s="10"/>
    </row>
    <row r="25748" spans="20:20">
      <c r="T25748" s="10"/>
    </row>
    <row r="25749" spans="20:20">
      <c r="T25749" s="10"/>
    </row>
    <row r="25750" spans="20:20">
      <c r="T25750" s="10"/>
    </row>
    <row r="25751" spans="20:20">
      <c r="T25751" s="10"/>
    </row>
    <row r="25752" spans="20:20">
      <c r="T25752" s="10"/>
    </row>
    <row r="25753" spans="20:20">
      <c r="T25753" s="10"/>
    </row>
    <row r="25754" spans="20:20">
      <c r="T25754" s="10"/>
    </row>
    <row r="25755" spans="20:20">
      <c r="T25755" s="10"/>
    </row>
    <row r="25756" spans="20:20">
      <c r="T25756" s="10"/>
    </row>
    <row r="25757" spans="20:20">
      <c r="T25757" s="10"/>
    </row>
    <row r="25758" spans="20:20">
      <c r="T25758" s="10"/>
    </row>
    <row r="25759" spans="20:20">
      <c r="T25759" s="10"/>
    </row>
    <row r="25760" spans="20:20">
      <c r="T25760" s="10"/>
    </row>
    <row r="25761" spans="20:20">
      <c r="T25761" s="10"/>
    </row>
    <row r="25762" spans="20:20">
      <c r="T25762" s="10"/>
    </row>
    <row r="25763" spans="20:20">
      <c r="T25763" s="10"/>
    </row>
    <row r="25764" spans="20:20">
      <c r="T25764" s="10"/>
    </row>
    <row r="25765" spans="20:20">
      <c r="T25765" s="10"/>
    </row>
    <row r="25766" spans="20:20">
      <c r="T25766" s="10"/>
    </row>
    <row r="25767" spans="20:20">
      <c r="T25767" s="10"/>
    </row>
    <row r="25768" spans="20:20">
      <c r="T25768" s="10"/>
    </row>
    <row r="25769" spans="20:20">
      <c r="T25769" s="10"/>
    </row>
    <row r="25770" spans="20:20">
      <c r="T25770" s="10"/>
    </row>
    <row r="25771" spans="20:20">
      <c r="T25771" s="10"/>
    </row>
    <row r="25772" spans="20:20">
      <c r="T25772" s="10"/>
    </row>
    <row r="25773" spans="20:20">
      <c r="T25773" s="10"/>
    </row>
    <row r="25774" spans="20:20">
      <c r="T25774" s="10"/>
    </row>
    <row r="25775" spans="20:20">
      <c r="T25775" s="10"/>
    </row>
    <row r="25776" spans="20:20">
      <c r="T25776" s="10"/>
    </row>
    <row r="25777" spans="20:20">
      <c r="T25777" s="10"/>
    </row>
    <row r="25778" spans="20:20">
      <c r="T25778" s="10"/>
    </row>
    <row r="25779" spans="20:20">
      <c r="T25779" s="10"/>
    </row>
    <row r="25780" spans="20:20">
      <c r="T25780" s="10"/>
    </row>
    <row r="25781" spans="20:20">
      <c r="T25781" s="10"/>
    </row>
    <row r="25782" spans="20:20">
      <c r="T25782" s="10"/>
    </row>
    <row r="25783" spans="20:20">
      <c r="T25783" s="10"/>
    </row>
    <row r="25784" spans="20:20">
      <c r="T25784" s="10"/>
    </row>
    <row r="25785" spans="20:20">
      <c r="T25785" s="10"/>
    </row>
    <row r="25786" spans="20:20">
      <c r="T25786" s="10"/>
    </row>
    <row r="25787" spans="20:20">
      <c r="T25787" s="10"/>
    </row>
    <row r="25788" spans="20:20">
      <c r="T25788" s="10"/>
    </row>
    <row r="25789" spans="20:20">
      <c r="T25789" s="10"/>
    </row>
    <row r="25790" spans="20:20">
      <c r="T25790" s="10"/>
    </row>
    <row r="25791" spans="20:20">
      <c r="T25791" s="10"/>
    </row>
    <row r="25792" spans="20:20">
      <c r="T25792" s="10"/>
    </row>
    <row r="25793" spans="20:20">
      <c r="T25793" s="10"/>
    </row>
    <row r="25794" spans="20:20">
      <c r="T25794" s="10"/>
    </row>
    <row r="25795" spans="20:20">
      <c r="T25795" s="10"/>
    </row>
    <row r="25796" spans="20:20">
      <c r="T25796" s="10"/>
    </row>
    <row r="25797" spans="20:20">
      <c r="T25797" s="10"/>
    </row>
    <row r="25798" spans="20:20">
      <c r="T25798" s="10"/>
    </row>
    <row r="25799" spans="20:20">
      <c r="T25799" s="10"/>
    </row>
    <row r="25800" spans="20:20">
      <c r="T25800" s="10"/>
    </row>
    <row r="25801" spans="20:20">
      <c r="T25801" s="10"/>
    </row>
    <row r="25802" spans="20:20">
      <c r="T25802" s="10"/>
    </row>
    <row r="25803" spans="20:20">
      <c r="T25803" s="10"/>
    </row>
    <row r="25804" spans="20:20">
      <c r="T25804" s="10"/>
    </row>
    <row r="25805" spans="20:20">
      <c r="T25805" s="10"/>
    </row>
    <row r="25806" spans="20:20">
      <c r="T25806" s="10"/>
    </row>
    <row r="25807" spans="20:20">
      <c r="T25807" s="10"/>
    </row>
    <row r="25808" spans="20:20">
      <c r="T25808" s="10"/>
    </row>
    <row r="25809" spans="20:20">
      <c r="T25809" s="10"/>
    </row>
    <row r="25810" spans="20:20">
      <c r="T25810" s="10"/>
    </row>
    <row r="25811" spans="20:20">
      <c r="T25811" s="10"/>
    </row>
    <row r="25812" spans="20:20">
      <c r="T25812" s="10"/>
    </row>
    <row r="25813" spans="20:20">
      <c r="T25813" s="10"/>
    </row>
    <row r="25814" spans="20:20">
      <c r="T25814" s="10"/>
    </row>
    <row r="25815" spans="20:20">
      <c r="T25815" s="10"/>
    </row>
    <row r="25816" spans="20:20">
      <c r="T25816" s="10"/>
    </row>
    <row r="25817" spans="20:20">
      <c r="T25817" s="10"/>
    </row>
    <row r="25818" spans="20:20">
      <c r="T25818" s="10"/>
    </row>
    <row r="25819" spans="20:20">
      <c r="T25819" s="10"/>
    </row>
    <row r="25820" spans="20:20">
      <c r="T25820" s="10"/>
    </row>
    <row r="25821" spans="20:20">
      <c r="T25821" s="10"/>
    </row>
    <row r="25822" spans="20:20">
      <c r="T25822" s="10"/>
    </row>
    <row r="25823" spans="20:20">
      <c r="T25823" s="10"/>
    </row>
    <row r="25824" spans="20:20">
      <c r="T25824" s="10"/>
    </row>
    <row r="25825" spans="20:20">
      <c r="T25825" s="10"/>
    </row>
    <row r="25826" spans="20:20">
      <c r="T25826" s="10"/>
    </row>
    <row r="25827" spans="20:20">
      <c r="T25827" s="10"/>
    </row>
    <row r="25828" spans="20:20">
      <c r="T25828" s="10"/>
    </row>
    <row r="25829" spans="20:20">
      <c r="T25829" s="10"/>
    </row>
    <row r="25830" spans="20:20">
      <c r="T25830" s="10"/>
    </row>
    <row r="25831" spans="20:20">
      <c r="T25831" s="10"/>
    </row>
    <row r="25832" spans="20:20">
      <c r="T25832" s="10"/>
    </row>
    <row r="25833" spans="20:20">
      <c r="T25833" s="10"/>
    </row>
    <row r="25834" spans="20:20">
      <c r="T25834" s="10"/>
    </row>
    <row r="25835" spans="20:20">
      <c r="T25835" s="10"/>
    </row>
    <row r="25836" spans="20:20">
      <c r="T25836" s="10"/>
    </row>
    <row r="25837" spans="20:20">
      <c r="T25837" s="10"/>
    </row>
    <row r="25838" spans="20:20">
      <c r="T25838" s="10"/>
    </row>
    <row r="25839" spans="20:20">
      <c r="T25839" s="10"/>
    </row>
    <row r="25840" spans="20:20">
      <c r="T25840" s="10"/>
    </row>
    <row r="25841" spans="20:20">
      <c r="T25841" s="10"/>
    </row>
    <row r="25842" spans="20:20">
      <c r="T25842" s="10"/>
    </row>
    <row r="25843" spans="20:20">
      <c r="T25843" s="10"/>
    </row>
    <row r="25844" spans="20:20">
      <c r="T25844" s="10"/>
    </row>
    <row r="25845" spans="20:20">
      <c r="T25845" s="10"/>
    </row>
    <row r="25846" spans="20:20">
      <c r="T25846" s="10"/>
    </row>
    <row r="25847" spans="20:20">
      <c r="T25847" s="10"/>
    </row>
    <row r="25848" spans="20:20">
      <c r="T25848" s="10"/>
    </row>
    <row r="25849" spans="20:20">
      <c r="T25849" s="10"/>
    </row>
    <row r="25850" spans="20:20">
      <c r="T25850" s="10"/>
    </row>
    <row r="25851" spans="20:20">
      <c r="T25851" s="10"/>
    </row>
    <row r="25852" spans="20:20">
      <c r="T25852" s="10"/>
    </row>
    <row r="25853" spans="20:20">
      <c r="T25853" s="10"/>
    </row>
    <row r="25854" spans="20:20">
      <c r="T25854" s="10"/>
    </row>
    <row r="25855" spans="20:20">
      <c r="T25855" s="10"/>
    </row>
    <row r="25856" spans="20:20">
      <c r="T25856" s="10"/>
    </row>
    <row r="25857" spans="20:20">
      <c r="T25857" s="10"/>
    </row>
    <row r="25858" spans="20:20">
      <c r="T25858" s="10"/>
    </row>
    <row r="25859" spans="20:20">
      <c r="T25859" s="10"/>
    </row>
    <row r="25860" spans="20:20">
      <c r="T25860" s="10"/>
    </row>
    <row r="25861" spans="20:20">
      <c r="T25861" s="10"/>
    </row>
    <row r="25862" spans="20:20">
      <c r="T25862" s="10"/>
    </row>
    <row r="25863" spans="20:20">
      <c r="T25863" s="10"/>
    </row>
    <row r="25864" spans="20:20">
      <c r="T25864" s="10"/>
    </row>
    <row r="25865" spans="20:20">
      <c r="T25865" s="10"/>
    </row>
    <row r="25866" spans="20:20">
      <c r="T25866" s="10"/>
    </row>
    <row r="25867" spans="20:20">
      <c r="T25867" s="10"/>
    </row>
    <row r="25868" spans="20:20">
      <c r="T25868" s="10"/>
    </row>
    <row r="25869" spans="20:20">
      <c r="T25869" s="10"/>
    </row>
    <row r="25870" spans="20:20">
      <c r="T25870" s="10"/>
    </row>
    <row r="25871" spans="20:20">
      <c r="T25871" s="10"/>
    </row>
    <row r="25872" spans="20:20">
      <c r="T25872" s="10"/>
    </row>
    <row r="25873" spans="20:20">
      <c r="T25873" s="10"/>
    </row>
    <row r="25874" spans="20:20">
      <c r="T25874" s="10"/>
    </row>
    <row r="25875" spans="20:20">
      <c r="T25875" s="10"/>
    </row>
    <row r="25876" spans="20:20">
      <c r="T25876" s="10"/>
    </row>
    <row r="25877" spans="20:20">
      <c r="T25877" s="10"/>
    </row>
    <row r="25878" spans="20:20">
      <c r="T25878" s="10"/>
    </row>
    <row r="25879" spans="20:20">
      <c r="T25879" s="10"/>
    </row>
    <row r="25880" spans="20:20">
      <c r="T25880" s="10"/>
    </row>
    <row r="25881" spans="20:20">
      <c r="T25881" s="10"/>
    </row>
    <row r="25882" spans="20:20">
      <c r="T25882" s="10"/>
    </row>
    <row r="25883" spans="20:20">
      <c r="T25883" s="10"/>
    </row>
    <row r="25884" spans="20:20">
      <c r="T25884" s="10"/>
    </row>
    <row r="25885" spans="20:20">
      <c r="T25885" s="10"/>
    </row>
    <row r="25886" spans="20:20">
      <c r="T25886" s="10"/>
    </row>
    <row r="25887" spans="20:20">
      <c r="T25887" s="10"/>
    </row>
    <row r="25888" spans="20:20">
      <c r="T25888" s="10"/>
    </row>
    <row r="25889" spans="20:20">
      <c r="T25889" s="10"/>
    </row>
    <row r="25890" spans="20:20">
      <c r="T25890" s="10"/>
    </row>
    <row r="25891" spans="20:20">
      <c r="T25891" s="10"/>
    </row>
    <row r="25892" spans="20:20">
      <c r="T25892" s="10"/>
    </row>
    <row r="25893" spans="20:20">
      <c r="T25893" s="10"/>
    </row>
    <row r="25894" spans="20:20">
      <c r="T25894" s="10"/>
    </row>
    <row r="25895" spans="20:20">
      <c r="T25895" s="10"/>
    </row>
    <row r="25896" spans="20:20">
      <c r="T25896" s="10"/>
    </row>
    <row r="25897" spans="20:20">
      <c r="T25897" s="10"/>
    </row>
    <row r="25898" spans="20:20">
      <c r="T25898" s="10"/>
    </row>
    <row r="25899" spans="20:20">
      <c r="T25899" s="10"/>
    </row>
    <row r="25900" spans="20:20">
      <c r="T25900" s="10"/>
    </row>
    <row r="25901" spans="20:20">
      <c r="T25901" s="10"/>
    </row>
    <row r="25902" spans="20:20">
      <c r="T25902" s="10"/>
    </row>
    <row r="25903" spans="20:20">
      <c r="T25903" s="10"/>
    </row>
    <row r="25904" spans="20:20">
      <c r="T25904" s="10"/>
    </row>
    <row r="25905" spans="20:20">
      <c r="T25905" s="10"/>
    </row>
    <row r="25906" spans="20:20">
      <c r="T25906" s="10"/>
    </row>
    <row r="25907" spans="20:20">
      <c r="T25907" s="10"/>
    </row>
    <row r="25908" spans="20:20">
      <c r="T25908" s="10"/>
    </row>
    <row r="25909" spans="20:20">
      <c r="T25909" s="10"/>
    </row>
    <row r="25910" spans="20:20">
      <c r="T25910" s="10"/>
    </row>
    <row r="25911" spans="20:20">
      <c r="T25911" s="10"/>
    </row>
    <row r="25912" spans="20:20">
      <c r="T25912" s="10"/>
    </row>
    <row r="25913" spans="20:20">
      <c r="T25913" s="10"/>
    </row>
    <row r="25914" spans="20:20">
      <c r="T25914" s="10"/>
    </row>
    <row r="25915" spans="20:20">
      <c r="T25915" s="10"/>
    </row>
    <row r="25916" spans="20:20">
      <c r="T25916" s="10"/>
    </row>
    <row r="25917" spans="20:20">
      <c r="T25917" s="10"/>
    </row>
    <row r="25918" spans="20:20">
      <c r="T25918" s="10"/>
    </row>
    <row r="25919" spans="20:20">
      <c r="T25919" s="10"/>
    </row>
    <row r="25920" spans="20:20">
      <c r="T25920" s="10"/>
    </row>
    <row r="25921" spans="20:20">
      <c r="T25921" s="10"/>
    </row>
    <row r="25922" spans="20:20">
      <c r="T25922" s="10"/>
    </row>
    <row r="25923" spans="20:20">
      <c r="T25923" s="10"/>
    </row>
    <row r="25924" spans="20:20">
      <c r="T25924" s="10"/>
    </row>
    <row r="25925" spans="20:20">
      <c r="T25925" s="10"/>
    </row>
    <row r="25926" spans="20:20">
      <c r="T25926" s="10"/>
    </row>
    <row r="25927" spans="20:20">
      <c r="T25927" s="10"/>
    </row>
    <row r="25928" spans="20:20">
      <c r="T25928" s="10"/>
    </row>
    <row r="25929" spans="20:20">
      <c r="T25929" s="10"/>
    </row>
    <row r="25930" spans="20:20">
      <c r="T25930" s="10"/>
    </row>
    <row r="25931" spans="20:20">
      <c r="T25931" s="10"/>
    </row>
    <row r="25932" spans="20:20">
      <c r="T25932" s="10"/>
    </row>
    <row r="25933" spans="20:20">
      <c r="T25933" s="10"/>
    </row>
    <row r="25934" spans="20:20">
      <c r="T25934" s="10"/>
    </row>
    <row r="25935" spans="20:20">
      <c r="T25935" s="10"/>
    </row>
    <row r="25936" spans="20:20">
      <c r="T25936" s="10"/>
    </row>
    <row r="25937" spans="20:20">
      <c r="T25937" s="10"/>
    </row>
    <row r="25938" spans="20:20">
      <c r="T25938" s="10"/>
    </row>
    <row r="25939" spans="20:20">
      <c r="T25939" s="10"/>
    </row>
    <row r="25940" spans="20:20">
      <c r="T25940" s="10"/>
    </row>
    <row r="25941" spans="20:20">
      <c r="T25941" s="10"/>
    </row>
    <row r="25942" spans="20:20">
      <c r="T25942" s="10"/>
    </row>
    <row r="25943" spans="20:20">
      <c r="T25943" s="10"/>
    </row>
    <row r="25944" spans="20:20">
      <c r="T25944" s="10"/>
    </row>
    <row r="25945" spans="20:20">
      <c r="T25945" s="10"/>
    </row>
    <row r="25946" spans="20:20">
      <c r="T25946" s="10"/>
    </row>
    <row r="25947" spans="20:20">
      <c r="T25947" s="10"/>
    </row>
    <row r="25948" spans="20:20">
      <c r="T25948" s="10"/>
    </row>
    <row r="25949" spans="20:20">
      <c r="T25949" s="10"/>
    </row>
    <row r="25950" spans="20:20">
      <c r="T25950" s="10"/>
    </row>
    <row r="25951" spans="20:20">
      <c r="T25951" s="10"/>
    </row>
    <row r="25952" spans="20:20">
      <c r="T25952" s="10"/>
    </row>
    <row r="25953" spans="20:20">
      <c r="T25953" s="10"/>
    </row>
    <row r="25954" spans="20:20">
      <c r="T25954" s="10"/>
    </row>
    <row r="25955" spans="20:20">
      <c r="T25955" s="10"/>
    </row>
    <row r="25956" spans="20:20">
      <c r="T25956" s="10"/>
    </row>
    <row r="25957" spans="20:20">
      <c r="T25957" s="10"/>
    </row>
    <row r="25958" spans="20:20">
      <c r="T25958" s="10"/>
    </row>
    <row r="25959" spans="20:20">
      <c r="T25959" s="10"/>
    </row>
    <row r="25960" spans="20:20">
      <c r="T25960" s="10"/>
    </row>
    <row r="25961" spans="20:20">
      <c r="T25961" s="10"/>
    </row>
    <row r="25962" spans="20:20">
      <c r="T25962" s="10"/>
    </row>
    <row r="25963" spans="20:20">
      <c r="T25963" s="10"/>
    </row>
    <row r="25964" spans="20:20">
      <c r="T25964" s="10"/>
    </row>
    <row r="25965" spans="20:20">
      <c r="T25965" s="10"/>
    </row>
    <row r="25966" spans="20:20">
      <c r="T25966" s="10"/>
    </row>
    <row r="25967" spans="20:20">
      <c r="T25967" s="10"/>
    </row>
    <row r="25968" spans="20:20">
      <c r="T25968" s="10"/>
    </row>
    <row r="25969" spans="20:20">
      <c r="T25969" s="10"/>
    </row>
    <row r="25970" spans="20:20">
      <c r="T25970" s="10"/>
    </row>
    <row r="25971" spans="20:20">
      <c r="T25971" s="10"/>
    </row>
    <row r="25972" spans="20:20">
      <c r="T25972" s="10"/>
    </row>
    <row r="25973" spans="20:20">
      <c r="T25973" s="10"/>
    </row>
    <row r="25974" spans="20:20">
      <c r="T25974" s="10"/>
    </row>
    <row r="25975" spans="20:20">
      <c r="T25975" s="10"/>
    </row>
    <row r="25976" spans="20:20">
      <c r="T25976" s="10"/>
    </row>
    <row r="25977" spans="20:20">
      <c r="T25977" s="10"/>
    </row>
    <row r="25978" spans="20:20">
      <c r="T25978" s="10"/>
    </row>
    <row r="25979" spans="20:20">
      <c r="T25979" s="10"/>
    </row>
    <row r="25980" spans="20:20">
      <c r="T25980" s="10"/>
    </row>
    <row r="25981" spans="20:20">
      <c r="T25981" s="10"/>
    </row>
    <row r="25982" spans="20:20">
      <c r="T25982" s="10"/>
    </row>
    <row r="25983" spans="20:20">
      <c r="T25983" s="10"/>
    </row>
    <row r="25984" spans="20:20">
      <c r="T25984" s="10"/>
    </row>
    <row r="25985" spans="20:20">
      <c r="T25985" s="10"/>
    </row>
    <row r="25986" spans="20:20">
      <c r="T25986" s="10"/>
    </row>
    <row r="25987" spans="20:20">
      <c r="T25987" s="10"/>
    </row>
    <row r="25988" spans="20:20">
      <c r="T25988" s="10"/>
    </row>
    <row r="25989" spans="20:20">
      <c r="T25989" s="10"/>
    </row>
    <row r="25990" spans="20:20">
      <c r="T25990" s="10"/>
    </row>
    <row r="25991" spans="20:20">
      <c r="T25991" s="10"/>
    </row>
    <row r="25992" spans="20:20">
      <c r="T25992" s="10"/>
    </row>
    <row r="25993" spans="20:20">
      <c r="T25993" s="10"/>
    </row>
    <row r="25994" spans="20:20">
      <c r="T25994" s="10"/>
    </row>
    <row r="25995" spans="20:20">
      <c r="T25995" s="10"/>
    </row>
    <row r="25996" spans="20:20">
      <c r="T25996" s="10"/>
    </row>
    <row r="25997" spans="20:20">
      <c r="T25997" s="10"/>
    </row>
    <row r="25998" spans="20:20">
      <c r="T25998" s="10"/>
    </row>
    <row r="25999" spans="20:20">
      <c r="T25999" s="10"/>
    </row>
    <row r="26000" spans="20:20">
      <c r="T26000" s="10"/>
    </row>
    <row r="26001" spans="20:20">
      <c r="T26001" s="10"/>
    </row>
    <row r="26002" spans="20:20">
      <c r="T26002" s="10"/>
    </row>
    <row r="26003" spans="20:20">
      <c r="T26003" s="10"/>
    </row>
    <row r="26004" spans="20:20">
      <c r="T26004" s="10"/>
    </row>
    <row r="26005" spans="20:20">
      <c r="T26005" s="10"/>
    </row>
    <row r="26006" spans="20:20">
      <c r="T26006" s="10"/>
    </row>
    <row r="26007" spans="20:20">
      <c r="T26007" s="10"/>
    </row>
    <row r="26008" spans="20:20">
      <c r="T26008" s="10"/>
    </row>
    <row r="26009" spans="20:20">
      <c r="T26009" s="10"/>
    </row>
    <row r="26010" spans="20:20">
      <c r="T26010" s="10"/>
    </row>
    <row r="26011" spans="20:20">
      <c r="T26011" s="10"/>
    </row>
    <row r="26012" spans="20:20">
      <c r="T26012" s="10"/>
    </row>
    <row r="26013" spans="20:20">
      <c r="T26013" s="10"/>
    </row>
    <row r="26014" spans="20:20">
      <c r="T26014" s="10"/>
    </row>
    <row r="26015" spans="20:20">
      <c r="T26015" s="10"/>
    </row>
    <row r="26016" spans="20:20">
      <c r="T26016" s="10"/>
    </row>
    <row r="26017" spans="20:20">
      <c r="T26017" s="10"/>
    </row>
    <row r="26018" spans="20:20">
      <c r="T26018" s="10"/>
    </row>
    <row r="26019" spans="20:20">
      <c r="T26019" s="10"/>
    </row>
    <row r="26020" spans="20:20">
      <c r="T26020" s="10"/>
    </row>
    <row r="26021" spans="20:20">
      <c r="T26021" s="10"/>
    </row>
    <row r="26022" spans="20:20">
      <c r="T26022" s="10"/>
    </row>
    <row r="26023" spans="20:20">
      <c r="T26023" s="10"/>
    </row>
    <row r="26024" spans="20:20">
      <c r="T26024" s="10"/>
    </row>
    <row r="26025" spans="20:20">
      <c r="T26025" s="10"/>
    </row>
    <row r="26026" spans="20:20">
      <c r="T26026" s="10"/>
    </row>
    <row r="26027" spans="20:20">
      <c r="T26027" s="10"/>
    </row>
    <row r="26028" spans="20:20">
      <c r="T26028" s="10"/>
    </row>
    <row r="26029" spans="20:20">
      <c r="T26029" s="10"/>
    </row>
    <row r="26030" spans="20:20">
      <c r="T26030" s="10"/>
    </row>
    <row r="26031" spans="20:20">
      <c r="T26031" s="10"/>
    </row>
    <row r="26032" spans="20:20">
      <c r="T26032" s="10"/>
    </row>
    <row r="26033" spans="20:20">
      <c r="T26033" s="10"/>
    </row>
    <row r="26034" spans="20:20">
      <c r="T26034" s="10"/>
    </row>
    <row r="26035" spans="20:20">
      <c r="T26035" s="10"/>
    </row>
    <row r="26036" spans="20:20">
      <c r="T26036" s="10"/>
    </row>
    <row r="26037" spans="20:20">
      <c r="T26037" s="10"/>
    </row>
    <row r="26038" spans="20:20">
      <c r="T26038" s="10"/>
    </row>
    <row r="26039" spans="20:20">
      <c r="T26039" s="10"/>
    </row>
    <row r="26040" spans="20:20">
      <c r="T26040" s="10"/>
    </row>
    <row r="26041" spans="20:20">
      <c r="T26041" s="10"/>
    </row>
    <row r="26042" spans="20:20">
      <c r="T26042" s="10"/>
    </row>
    <row r="26043" spans="20:20">
      <c r="T26043" s="10"/>
    </row>
    <row r="26044" spans="20:20">
      <c r="T26044" s="10"/>
    </row>
    <row r="26045" spans="20:20">
      <c r="T26045" s="10"/>
    </row>
    <row r="26046" spans="20:20">
      <c r="T26046" s="10"/>
    </row>
    <row r="26047" spans="20:20">
      <c r="T26047" s="10"/>
    </row>
    <row r="26048" spans="20:20">
      <c r="T26048" s="10"/>
    </row>
    <row r="26049" spans="20:20">
      <c r="T26049" s="10"/>
    </row>
    <row r="26050" spans="20:20">
      <c r="T26050" s="10"/>
    </row>
    <row r="26051" spans="20:20">
      <c r="T26051" s="10"/>
    </row>
    <row r="26052" spans="20:20">
      <c r="T26052" s="10"/>
    </row>
    <row r="26053" spans="20:20">
      <c r="T26053" s="10"/>
    </row>
    <row r="26054" spans="20:20">
      <c r="T26054" s="10"/>
    </row>
    <row r="26055" spans="20:20">
      <c r="T26055" s="10"/>
    </row>
    <row r="26056" spans="20:20">
      <c r="T26056" s="10"/>
    </row>
    <row r="26057" spans="20:20">
      <c r="T26057" s="10"/>
    </row>
    <row r="26058" spans="20:20">
      <c r="T26058" s="10"/>
    </row>
    <row r="26059" spans="20:20">
      <c r="T26059" s="10"/>
    </row>
    <row r="26060" spans="20:20">
      <c r="T26060" s="10"/>
    </row>
    <row r="26061" spans="20:20">
      <c r="T26061" s="10"/>
    </row>
    <row r="26062" spans="20:20">
      <c r="T26062" s="10"/>
    </row>
    <row r="26063" spans="20:20">
      <c r="T26063" s="10"/>
    </row>
    <row r="26064" spans="20:20">
      <c r="T26064" s="10"/>
    </row>
    <row r="26065" spans="20:20">
      <c r="T26065" s="10"/>
    </row>
    <row r="26066" spans="20:20">
      <c r="T26066" s="10"/>
    </row>
    <row r="26067" spans="20:20">
      <c r="T26067" s="10"/>
    </row>
    <row r="26068" spans="20:20">
      <c r="T26068" s="10"/>
    </row>
    <row r="26069" spans="20:20">
      <c r="T26069" s="10"/>
    </row>
    <row r="26070" spans="20:20">
      <c r="T26070" s="10"/>
    </row>
    <row r="26071" spans="20:20">
      <c r="T26071" s="10"/>
    </row>
    <row r="26072" spans="20:20">
      <c r="T26072" s="10"/>
    </row>
    <row r="26073" spans="20:20">
      <c r="T26073" s="10"/>
    </row>
    <row r="26074" spans="20:20">
      <c r="T26074" s="10"/>
    </row>
    <row r="26075" spans="20:20">
      <c r="T26075" s="10"/>
    </row>
    <row r="26076" spans="20:20">
      <c r="T26076" s="10"/>
    </row>
    <row r="26077" spans="20:20">
      <c r="T26077" s="10"/>
    </row>
    <row r="26078" spans="20:20">
      <c r="T26078" s="10"/>
    </row>
    <row r="26079" spans="20:20">
      <c r="T26079" s="10"/>
    </row>
    <row r="26080" spans="20:20">
      <c r="T26080" s="10"/>
    </row>
    <row r="26081" spans="20:20">
      <c r="T26081" s="10"/>
    </row>
    <row r="26082" spans="20:20">
      <c r="T26082" s="10"/>
    </row>
    <row r="26083" spans="20:20">
      <c r="T26083" s="10"/>
    </row>
    <row r="26084" spans="20:20">
      <c r="T26084" s="10"/>
    </row>
    <row r="26085" spans="20:20">
      <c r="T26085" s="10"/>
    </row>
    <row r="26086" spans="20:20">
      <c r="T26086" s="10"/>
    </row>
    <row r="26087" spans="20:20">
      <c r="T26087" s="10"/>
    </row>
    <row r="26088" spans="20:20">
      <c r="T26088" s="10"/>
    </row>
    <row r="26089" spans="20:20">
      <c r="T26089" s="10"/>
    </row>
    <row r="26090" spans="20:20">
      <c r="T26090" s="10"/>
    </row>
    <row r="26091" spans="20:20">
      <c r="T26091" s="10"/>
    </row>
    <row r="26092" spans="20:20">
      <c r="T26092" s="10"/>
    </row>
    <row r="26093" spans="20:20">
      <c r="T26093" s="10"/>
    </row>
    <row r="26094" spans="20:20">
      <c r="T26094" s="10"/>
    </row>
    <row r="26095" spans="20:20">
      <c r="T26095" s="10"/>
    </row>
    <row r="26096" spans="20:20">
      <c r="T26096" s="10"/>
    </row>
    <row r="26097" spans="20:20">
      <c r="T26097" s="10"/>
    </row>
    <row r="26098" spans="20:20">
      <c r="T26098" s="10"/>
    </row>
    <row r="26099" spans="20:20">
      <c r="T26099" s="10"/>
    </row>
    <row r="26100" spans="20:20">
      <c r="T26100" s="10"/>
    </row>
    <row r="26101" spans="20:20">
      <c r="T26101" s="10"/>
    </row>
    <row r="26102" spans="20:20">
      <c r="T26102" s="10"/>
    </row>
    <row r="26103" spans="20:20">
      <c r="T26103" s="10"/>
    </row>
    <row r="26104" spans="20:20">
      <c r="T26104" s="10"/>
    </row>
    <row r="26105" spans="20:20">
      <c r="T26105" s="10"/>
    </row>
    <row r="26106" spans="20:20">
      <c r="T26106" s="10"/>
    </row>
    <row r="26107" spans="20:20">
      <c r="T26107" s="10"/>
    </row>
    <row r="26108" spans="20:20">
      <c r="T26108" s="10"/>
    </row>
    <row r="26109" spans="20:20">
      <c r="T26109" s="10"/>
    </row>
    <row r="26110" spans="20:20">
      <c r="T26110" s="10"/>
    </row>
    <row r="26111" spans="20:20">
      <c r="T26111" s="10"/>
    </row>
    <row r="26112" spans="20:20">
      <c r="T26112" s="10"/>
    </row>
    <row r="26113" spans="20:20">
      <c r="T26113" s="10"/>
    </row>
    <row r="26114" spans="20:20">
      <c r="T26114" s="10"/>
    </row>
    <row r="26115" spans="20:20">
      <c r="T26115" s="10"/>
    </row>
    <row r="26116" spans="20:20">
      <c r="T26116" s="10"/>
    </row>
    <row r="26117" spans="20:20">
      <c r="T26117" s="10"/>
    </row>
    <row r="26118" spans="20:20">
      <c r="T26118" s="10"/>
    </row>
    <row r="26119" spans="20:20">
      <c r="T26119" s="10"/>
    </row>
    <row r="26120" spans="20:20">
      <c r="T26120" s="10"/>
    </row>
    <row r="26121" spans="20:20">
      <c r="T26121" s="10"/>
    </row>
    <row r="26122" spans="20:20">
      <c r="T26122" s="10"/>
    </row>
    <row r="26123" spans="20:20">
      <c r="T26123" s="10"/>
    </row>
    <row r="26124" spans="20:20">
      <c r="T26124" s="10"/>
    </row>
    <row r="26125" spans="20:20">
      <c r="T26125" s="10"/>
    </row>
    <row r="26126" spans="20:20">
      <c r="T26126" s="10"/>
    </row>
    <row r="26127" spans="20:20">
      <c r="T26127" s="10"/>
    </row>
  </sheetData>
  <mergeCells count="38">
    <mergeCell ref="N1:P1"/>
    <mergeCell ref="A1:H1"/>
    <mergeCell ref="A59:D59"/>
    <mergeCell ref="H58:K58"/>
    <mergeCell ref="H59:K59"/>
    <mergeCell ref="A57:F57"/>
    <mergeCell ref="C9:D9"/>
    <mergeCell ref="C2:D2"/>
    <mergeCell ref="E2:F2"/>
    <mergeCell ref="H57:R57"/>
    <mergeCell ref="A58:D58"/>
    <mergeCell ref="I1:J1"/>
    <mergeCell ref="N89:R89"/>
    <mergeCell ref="A78:F78"/>
    <mergeCell ref="H78:M78"/>
    <mergeCell ref="A82:D82"/>
    <mergeCell ref="H82:K82"/>
    <mergeCell ref="N78:R78"/>
    <mergeCell ref="A81:D81"/>
    <mergeCell ref="A80:F80"/>
    <mergeCell ref="H80:R80"/>
    <mergeCell ref="H81:K81"/>
    <mergeCell ref="A83:F83"/>
    <mergeCell ref="A89:F89"/>
    <mergeCell ref="H89:M89"/>
    <mergeCell ref="H71:K71"/>
    <mergeCell ref="A70:D70"/>
    <mergeCell ref="A71:D71"/>
    <mergeCell ref="A72:F72"/>
    <mergeCell ref="H70:K70"/>
    <mergeCell ref="H69:R69"/>
    <mergeCell ref="A67:F67"/>
    <mergeCell ref="H67:M67"/>
    <mergeCell ref="N67:R67"/>
    <mergeCell ref="H60:K60"/>
    <mergeCell ref="A69:F69"/>
    <mergeCell ref="A60:D60"/>
    <mergeCell ref="A61:F61"/>
  </mergeCells>
  <phoneticPr fontId="167" type="noConversion"/>
  <conditionalFormatting sqref="K14">
    <cfRule type="iconSet" priority="8">
      <iconSet>
        <cfvo type="percent" val="0"/>
        <cfvo type="percent" val="1"/>
        <cfvo type="num" val="2"/>
      </iconSet>
    </cfRule>
  </conditionalFormatting>
  <conditionalFormatting sqref="A11">
    <cfRule type="iconSet" priority="5">
      <iconSet>
        <cfvo type="percent" val="0"/>
        <cfvo type="percent" val="1"/>
        <cfvo type="num" val="2"/>
      </iconSet>
    </cfRule>
  </conditionalFormatting>
  <conditionalFormatting sqref="E11">
    <cfRule type="iconSet" priority="3">
      <iconSet>
        <cfvo type="percent" val="0"/>
        <cfvo type="num" val="1"/>
        <cfvo type="num" val="2"/>
      </iconSet>
    </cfRule>
  </conditionalFormatting>
  <conditionalFormatting sqref="C11">
    <cfRule type="iconSet" priority="2">
      <iconSet>
        <cfvo type="percent" val="0"/>
        <cfvo type="num" val="1"/>
        <cfvo type="num" val="2"/>
      </iconSet>
    </cfRule>
  </conditionalFormatting>
  <conditionalFormatting sqref="G11">
    <cfRule type="iconSet" priority="1">
      <iconSet>
        <cfvo type="percent" val="0"/>
        <cfvo type="num" val="1"/>
        <cfvo type="num" val="2"/>
      </iconSet>
    </cfRule>
  </conditionalFormatting>
  <dataValidations disablePrompts="1" count="1">
    <dataValidation type="list" allowBlank="1" showInputMessage="1" showErrorMessage="1" sqref="E14 E16">
      <formula1>"1,3"</formula1>
    </dataValidation>
  </dataValidations>
  <pageMargins left="0.51" right="0.23622047244094491" top="0.59055118110236227" bottom="1.0236220472440944" header="0.17" footer="0.19685039370078741"/>
  <pageSetup paperSize="9" orientation="landscape" horizontalDpi="4294967292" r:id="rId1"/>
  <headerFooter alignWithMargins="0">
    <oddHeader xml:space="preserve">&amp;L1 July 2002&amp;C&amp;"Arial,Bold"CACS-TS INVESTMENT BUDGET 2002-2005&amp;RREVISION  DRAFT   </oddHeader>
    <oddFooter>&amp;LRef : &amp;F / &amp;A&amp;RPage &amp;P of &amp;N</oddFooter>
  </headerFooter>
  <ignoredErrors>
    <ignoredError sqref="J52 M18:M32 J17:J32" formula="1"/>
  </ignoredErrors>
  <drawing r:id="rId2"/>
  <legacyDrawing r:id="rId3"/>
  <controls>
    <mc:AlternateContent xmlns:mc="http://schemas.openxmlformats.org/markup-compatibility/2006">
      <mc:Choice Requires="x14">
        <control shapeId="1030" r:id="rId4" name="CheckBox21">
          <controlPr autoLine="0" linkedCell="Menu!F14" r:id="rId5">
            <anchor moveWithCells="1">
              <from>
                <xdr:col>5</xdr:col>
                <xdr:colOff>393700</xdr:colOff>
                <xdr:row>13</xdr:row>
                <xdr:rowOff>127000</xdr:rowOff>
              </from>
              <to>
                <xdr:col>5</xdr:col>
                <xdr:colOff>1765300</xdr:colOff>
                <xdr:row>13</xdr:row>
                <xdr:rowOff>381000</xdr:rowOff>
              </to>
            </anchor>
          </controlPr>
        </control>
      </mc:Choice>
      <mc:Fallback>
        <control shapeId="1030" r:id="rId4" name="CheckBox21"/>
      </mc:Fallback>
    </mc:AlternateContent>
  </controls>
  <extLst>
    <ext xmlns:x14="http://schemas.microsoft.com/office/spreadsheetml/2009/9/main" uri="{78C0D931-6437-407d-A8EE-F0AAD7539E65}">
      <x14:conditionalFormattings>
        <x14:conditionalFormatting xmlns:xm="http://schemas.microsoft.com/office/excel/2006/main">
          <x14:cfRule type="iconSet" priority="6" id="{C3C268EE-5257-4CC1-8527-DDA46E1899A6}">
            <x14:iconSet custom="1">
              <x14:cfvo type="percent">
                <xm:f>0</xm:f>
              </x14:cfvo>
              <x14:cfvo type="num" gte="0">
                <xm:f>0</xm:f>
              </x14:cfvo>
              <x14:cfvo type="num">
                <xm:f>0.02</xm:f>
              </x14:cfvo>
              <x14:cfIcon iconSet="3TrafficLights1" iconId="2"/>
              <x14:cfIcon iconSet="3TrafficLights1" iconId="1"/>
              <x14:cfIcon iconSet="3TrafficLights1" iconId="0"/>
            </x14:iconSet>
          </x14:cfRule>
          <xm:sqref>J29</xm:sqref>
        </x14:conditionalFormatting>
        <x14:conditionalFormatting xmlns:xm="http://schemas.microsoft.com/office/excel/2006/main">
          <x14:cfRule type="iconSet" priority="7" id="{59235A71-66B6-42D3-BAD0-C29DE2F01867}">
            <x14:iconSet custom="1">
              <x14:cfvo type="percent">
                <xm:f>0</xm:f>
              </x14:cfvo>
              <x14:cfvo type="num">
                <xm:f>0</xm:f>
              </x14:cfvo>
              <x14:cfvo type="num">
                <xm:f>1</xm:f>
              </x14:cfvo>
              <x14:cfIcon iconSet="NoIcons" iconId="0"/>
              <x14:cfIcon iconSet="3TrafficLights1" iconId="2"/>
              <x14:cfIcon iconSet="3TrafficLights1" iconId="0"/>
            </x14:iconSet>
          </x14:cfRule>
          <xm:sqref>I29</xm:sqref>
        </x14:conditionalFormatting>
        <x14:conditionalFormatting xmlns:xm="http://schemas.microsoft.com/office/excel/2006/main">
          <x14:cfRule type="iconSet" priority="1318" id="{4821DEB7-C992-4C1D-BECF-431B034EB476}">
            <x14:iconSet custom="1">
              <x14:cfvo type="percent">
                <xm:f>0</xm:f>
              </x14:cfvo>
              <x14:cfvo type="num" gte="0">
                <xm:f>0</xm:f>
              </x14:cfvo>
              <x14:cfvo type="num">
                <xm:f>0.02</xm:f>
              </x14:cfvo>
              <x14:cfIcon iconSet="3TrafficLights1" iconId="2"/>
              <x14:cfIcon iconSet="3TrafficLights1" iconId="1"/>
              <x14:cfIcon iconSet="3TrafficLights1" iconId="0"/>
            </x14:iconSet>
          </x14:cfRule>
          <xm:sqref>J17:J28 J30:J52</xm:sqref>
        </x14:conditionalFormatting>
        <x14:conditionalFormatting xmlns:xm="http://schemas.microsoft.com/office/excel/2006/main">
          <x14:cfRule type="iconSet" priority="1321" id="{ED450533-23E7-4483-8A0D-91936BFEDB93}">
            <x14:iconSet custom="1">
              <x14:cfvo type="percent">
                <xm:f>0</xm:f>
              </x14:cfvo>
              <x14:cfvo type="num">
                <xm:f>0</xm:f>
              </x14:cfvo>
              <x14:cfvo type="num">
                <xm:f>1</xm:f>
              </x14:cfvo>
              <x14:cfIcon iconSet="NoIcons" iconId="0"/>
              <x14:cfIcon iconSet="3TrafficLights1" iconId="2"/>
              <x14:cfIcon iconSet="3TrafficLights1" iconId="0"/>
            </x14:iconSet>
          </x14:cfRule>
          <xm:sqref>I17:I28 I30:I52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pageSetUpPr fitToPage="1"/>
  </sheetPr>
  <dimension ref="A1:XEV454"/>
  <sheetViews>
    <sheetView zoomScale="50" zoomScaleNormal="55" workbookViewId="0">
      <pane ySplit="1" topLeftCell="A2" activePane="bottomLeft" state="frozen"/>
      <selection pane="bottomLeft"/>
    </sheetView>
  </sheetViews>
  <sheetFormatPr baseColWidth="10" defaultColWidth="18.453125" defaultRowHeight="15.5"/>
  <cols>
    <col min="1" max="1" width="18.453125" style="104"/>
    <col min="2" max="2" width="37" style="83" customWidth="1"/>
    <col min="3" max="3" width="28.26953125" style="83" customWidth="1"/>
    <col min="4" max="4" width="19.7265625" style="83" customWidth="1"/>
    <col min="5" max="5" width="23.54296875" style="83" customWidth="1"/>
    <col min="6" max="6" width="21" style="90" customWidth="1"/>
    <col min="7" max="7" width="12.54296875" style="85" customWidth="1"/>
    <col min="8" max="8" width="15.1796875" style="85" customWidth="1"/>
    <col min="9" max="9" width="41" style="83" customWidth="1"/>
    <col min="10" max="10" width="34.453125" style="83" customWidth="1"/>
    <col min="11" max="11" width="26.1796875" style="83" customWidth="1"/>
    <col min="12" max="12" width="24.7265625" style="83" customWidth="1"/>
    <col min="13" max="13" width="23" style="84" customWidth="1"/>
    <col min="14" max="14" width="22.1796875" style="83" customWidth="1"/>
    <col min="15" max="15" width="20" style="85" customWidth="1"/>
    <col min="16" max="17" width="62.81640625" style="83" customWidth="1"/>
    <col min="18" max="18" width="43.54296875" style="83" customWidth="1"/>
    <col min="19" max="19" width="40.54296875" style="248" customWidth="1"/>
    <col min="20" max="22" width="35.1796875" style="248" customWidth="1"/>
    <col min="23" max="23" width="32.81640625" style="5" customWidth="1"/>
    <col min="24" max="24" width="73.1796875" customWidth="1"/>
    <col min="25" max="25" width="22.54296875" customWidth="1"/>
    <col min="26" max="26" width="40.26953125" style="333" customWidth="1"/>
    <col min="27" max="27" width="39.453125" customWidth="1"/>
    <col min="28" max="28" width="40.81640625" customWidth="1"/>
    <col min="29" max="29" width="46.453125" style="333" customWidth="1"/>
    <col min="30" max="30" width="47.7265625" style="333" customWidth="1"/>
    <col min="31" max="31" width="55" style="333" customWidth="1"/>
    <col min="32" max="32" width="28.7265625" style="5" customWidth="1"/>
    <col min="33" max="33" width="46.1796875" customWidth="1"/>
    <col min="34" max="34" width="35.26953125" customWidth="1"/>
    <col min="35" max="35" width="34.7265625" customWidth="1"/>
    <col min="36" max="36" width="13.81640625" customWidth="1"/>
    <col min="37" max="37" width="40" customWidth="1"/>
    <col min="38" max="38" width="43.1796875" style="83" customWidth="1"/>
    <col min="39" max="39" width="31.1796875" style="83" customWidth="1"/>
    <col min="40" max="40" width="48" style="83" customWidth="1"/>
    <col min="41" max="16384" width="18.453125" style="83"/>
  </cols>
  <sheetData>
    <row r="1" spans="1:16376" s="86" customFormat="1" ht="74.25" customHeight="1">
      <c r="A1" s="110" t="s">
        <v>38</v>
      </c>
      <c r="B1" s="110" t="s">
        <v>15</v>
      </c>
      <c r="C1" s="110" t="s">
        <v>24</v>
      </c>
      <c r="D1" s="110" t="s">
        <v>25</v>
      </c>
      <c r="E1" s="110" t="s">
        <v>16</v>
      </c>
      <c r="F1" s="110" t="s">
        <v>17</v>
      </c>
      <c r="G1" s="110" t="s">
        <v>34</v>
      </c>
      <c r="H1" s="202" t="s">
        <v>37</v>
      </c>
      <c r="I1" s="112" t="s">
        <v>18</v>
      </c>
      <c r="J1" s="113" t="s">
        <v>19</v>
      </c>
      <c r="K1" s="111" t="s">
        <v>20</v>
      </c>
      <c r="L1" s="114" t="s">
        <v>32</v>
      </c>
      <c r="M1" s="115" t="s">
        <v>21</v>
      </c>
      <c r="N1" s="115" t="s">
        <v>22</v>
      </c>
      <c r="O1" s="115" t="s">
        <v>785</v>
      </c>
      <c r="P1" s="200" t="s">
        <v>36</v>
      </c>
      <c r="Q1" s="200" t="s">
        <v>1517</v>
      </c>
      <c r="R1" s="200" t="s">
        <v>1518</v>
      </c>
      <c r="S1" s="200" t="s">
        <v>4377</v>
      </c>
      <c r="T1" s="201" t="s">
        <v>35</v>
      </c>
      <c r="U1" s="201" t="s">
        <v>1519</v>
      </c>
      <c r="V1" s="201" t="s">
        <v>1520</v>
      </c>
      <c r="W1" s="201" t="s">
        <v>1521</v>
      </c>
      <c r="X1" s="201" t="s">
        <v>3636</v>
      </c>
      <c r="Y1" s="251" t="s">
        <v>23</v>
      </c>
      <c r="Z1" s="334" t="s">
        <v>1099</v>
      </c>
      <c r="AA1" s="223" t="s">
        <v>1522</v>
      </c>
      <c r="AB1" s="223" t="s">
        <v>1523</v>
      </c>
      <c r="AC1" s="335" t="s">
        <v>4438</v>
      </c>
      <c r="AD1" s="335" t="s">
        <v>4439</v>
      </c>
      <c r="AE1" s="334" t="s">
        <v>4473</v>
      </c>
      <c r="AF1" s="223" t="s">
        <v>1524</v>
      </c>
      <c r="AG1" s="223" t="s">
        <v>1525</v>
      </c>
      <c r="AH1" s="223" t="s">
        <v>1526</v>
      </c>
      <c r="AI1" s="223" t="s">
        <v>1527</v>
      </c>
      <c r="AJ1" s="223" t="s">
        <v>1528</v>
      </c>
      <c r="AK1" s="223" t="s">
        <v>1529</v>
      </c>
      <c r="AL1" s="223" t="s">
        <v>1530</v>
      </c>
      <c r="AM1" s="223" t="s">
        <v>1531</v>
      </c>
      <c r="AN1" s="223" t="s">
        <v>1532</v>
      </c>
      <c r="AO1" s="204"/>
      <c r="AP1" s="204"/>
      <c r="AQ1" s="204"/>
      <c r="AR1" s="204"/>
      <c r="AS1" s="204"/>
      <c r="AT1" s="204"/>
      <c r="AU1" s="204"/>
      <c r="AV1" s="204"/>
      <c r="AW1" s="204"/>
      <c r="AX1" s="204"/>
      <c r="AY1" s="204"/>
      <c r="AZ1" s="204"/>
      <c r="BA1" s="204"/>
      <c r="BB1" s="204"/>
      <c r="BC1" s="204"/>
      <c r="BD1" s="204"/>
      <c r="BE1" s="204"/>
      <c r="BF1" s="205"/>
      <c r="BG1" s="204"/>
      <c r="BH1" s="204"/>
      <c r="BI1" s="204"/>
      <c r="BJ1" s="204"/>
      <c r="BK1" s="204"/>
      <c r="BL1" s="204"/>
      <c r="BM1" s="204"/>
      <c r="BN1" s="204"/>
      <c r="BO1" s="204"/>
      <c r="BP1" s="204"/>
      <c r="BQ1" s="204"/>
      <c r="BR1" s="204"/>
      <c r="BS1" s="204"/>
      <c r="BT1" s="204"/>
      <c r="BU1" s="204"/>
      <c r="BV1" s="204"/>
      <c r="BW1" s="204"/>
      <c r="BX1" s="204"/>
      <c r="BY1" s="204"/>
      <c r="BZ1" s="204"/>
      <c r="CA1" s="204"/>
      <c r="CB1" s="204"/>
      <c r="CC1" s="204"/>
      <c r="CD1" s="204"/>
      <c r="CE1" s="204"/>
      <c r="CF1" s="204"/>
      <c r="CG1" s="204"/>
      <c r="CH1" s="205"/>
      <c r="CI1" s="204"/>
      <c r="CJ1" s="204"/>
      <c r="CK1" s="204"/>
      <c r="CL1" s="204"/>
      <c r="CM1" s="204"/>
      <c r="CN1" s="204"/>
      <c r="CO1" s="204"/>
      <c r="CP1" s="204"/>
      <c r="CQ1" s="204"/>
      <c r="CR1" s="204"/>
      <c r="CS1" s="204"/>
      <c r="CT1" s="204"/>
      <c r="CU1" s="204"/>
      <c r="CV1" s="204"/>
      <c r="CW1" s="204"/>
      <c r="CX1" s="204"/>
      <c r="CY1" s="204"/>
      <c r="CZ1" s="204"/>
      <c r="DA1" s="204"/>
      <c r="DB1" s="204"/>
      <c r="DC1" s="204"/>
      <c r="DD1" s="204"/>
      <c r="DE1" s="204"/>
      <c r="DF1" s="204"/>
      <c r="DG1" s="204"/>
      <c r="DH1" s="204"/>
      <c r="DI1" s="204"/>
      <c r="DJ1" s="205"/>
      <c r="DK1" s="204"/>
      <c r="DL1" s="204"/>
      <c r="DM1" s="204"/>
      <c r="DN1" s="204"/>
      <c r="DO1" s="204"/>
      <c r="DP1" s="204"/>
      <c r="DQ1" s="204"/>
      <c r="DR1" s="204"/>
      <c r="DS1" s="204"/>
      <c r="DT1" s="204"/>
      <c r="DU1" s="204"/>
      <c r="DV1" s="204"/>
      <c r="DW1" s="204"/>
      <c r="DX1" s="204"/>
      <c r="DY1" s="204"/>
      <c r="DZ1" s="204"/>
      <c r="EA1" s="204"/>
      <c r="EB1" s="204"/>
      <c r="EC1" s="204"/>
      <c r="ED1" s="204"/>
      <c r="EE1" s="204"/>
      <c r="EF1" s="204"/>
      <c r="EG1" s="204"/>
      <c r="EH1" s="204"/>
      <c r="EI1" s="204"/>
      <c r="EJ1" s="204"/>
      <c r="EK1" s="204"/>
      <c r="EL1" s="205"/>
      <c r="EM1" s="204"/>
      <c r="EN1" s="204"/>
      <c r="EO1" s="204"/>
      <c r="EP1" s="204"/>
      <c r="EQ1" s="204"/>
      <c r="ER1" s="204"/>
      <c r="ES1" s="204"/>
      <c r="ET1" s="204"/>
      <c r="EU1" s="204"/>
      <c r="EV1" s="204"/>
      <c r="EW1" s="204"/>
      <c r="EX1" s="204"/>
      <c r="EY1" s="204"/>
      <c r="EZ1" s="204"/>
      <c r="FA1" s="204"/>
      <c r="FB1" s="204"/>
      <c r="FC1" s="204"/>
      <c r="FD1" s="204"/>
      <c r="FE1" s="204"/>
      <c r="FF1" s="204"/>
      <c r="FG1" s="204"/>
      <c r="FH1" s="204"/>
      <c r="FI1" s="204"/>
      <c r="FJ1" s="204"/>
      <c r="FK1" s="204"/>
      <c r="FL1" s="204"/>
      <c r="FM1" s="204"/>
      <c r="FN1" s="205"/>
      <c r="FO1" s="204"/>
      <c r="FP1" s="204"/>
      <c r="FQ1" s="204"/>
      <c r="FR1" s="204"/>
      <c r="FS1" s="204"/>
      <c r="FT1" s="204"/>
      <c r="FU1" s="204"/>
      <c r="FV1" s="204"/>
      <c r="FW1" s="204"/>
      <c r="FX1" s="204"/>
      <c r="FY1" s="204"/>
      <c r="FZ1" s="204"/>
      <c r="GA1" s="204"/>
      <c r="GB1" s="204"/>
      <c r="GC1" s="204"/>
      <c r="GD1" s="204"/>
      <c r="GE1" s="204"/>
      <c r="GF1" s="204"/>
      <c r="GG1" s="204"/>
      <c r="GH1" s="204"/>
      <c r="GI1" s="204"/>
      <c r="GJ1" s="204"/>
      <c r="GK1" s="204"/>
      <c r="GL1" s="204"/>
      <c r="GM1" s="204"/>
      <c r="GN1" s="204"/>
      <c r="GO1" s="204"/>
      <c r="GP1" s="205"/>
      <c r="GQ1" s="204"/>
      <c r="GR1" s="204"/>
      <c r="GS1" s="204"/>
      <c r="GT1" s="204"/>
      <c r="GU1" s="204"/>
      <c r="GV1" s="204"/>
      <c r="GW1" s="204"/>
      <c r="GX1" s="204"/>
      <c r="GY1" s="204"/>
      <c r="GZ1" s="204"/>
      <c r="HA1" s="204"/>
      <c r="HB1" s="204"/>
      <c r="HC1" s="204"/>
      <c r="HD1" s="204"/>
      <c r="HE1" s="204"/>
      <c r="HF1" s="204"/>
      <c r="HG1" s="204"/>
      <c r="HH1" s="204"/>
      <c r="HI1" s="204"/>
      <c r="HJ1" s="204"/>
      <c r="HK1" s="204"/>
      <c r="HL1" s="204"/>
      <c r="HM1" s="204"/>
      <c r="HN1" s="204"/>
      <c r="HO1" s="204"/>
      <c r="HP1" s="204"/>
      <c r="HQ1" s="204"/>
      <c r="HR1" s="205"/>
      <c r="HS1" s="204"/>
      <c r="HT1" s="204"/>
      <c r="HU1" s="204"/>
      <c r="HV1" s="204"/>
      <c r="HW1" s="204"/>
      <c r="HX1" s="204"/>
      <c r="HY1" s="204"/>
      <c r="HZ1" s="204"/>
      <c r="IA1" s="204"/>
      <c r="IB1" s="204"/>
      <c r="IC1" s="204"/>
      <c r="ID1" s="204"/>
      <c r="IE1" s="204"/>
      <c r="IF1" s="204"/>
      <c r="IG1" s="204"/>
      <c r="IH1" s="204"/>
      <c r="II1" s="204"/>
      <c r="IJ1" s="204"/>
      <c r="IK1" s="204"/>
      <c r="IL1" s="204"/>
      <c r="IM1" s="204"/>
      <c r="IN1" s="204"/>
      <c r="IO1" s="204"/>
      <c r="IP1" s="204"/>
      <c r="IQ1" s="204"/>
      <c r="IR1" s="204"/>
      <c r="IS1" s="204"/>
      <c r="IT1" s="205"/>
      <c r="IU1" s="204"/>
      <c r="IV1" s="204"/>
      <c r="IW1" s="204"/>
      <c r="IX1" s="204"/>
      <c r="IY1" s="204"/>
      <c r="IZ1" s="204"/>
      <c r="JA1" s="204"/>
      <c r="JB1" s="204"/>
      <c r="JC1" s="204"/>
      <c r="JD1" s="204"/>
      <c r="JE1" s="204"/>
      <c r="JF1" s="204"/>
      <c r="JG1" s="204"/>
      <c r="JH1" s="204"/>
      <c r="JI1" s="204"/>
      <c r="JJ1" s="204"/>
      <c r="JK1" s="204"/>
      <c r="JL1" s="204"/>
      <c r="JM1" s="204"/>
      <c r="JN1" s="204"/>
      <c r="JO1" s="204"/>
      <c r="JP1" s="204"/>
      <c r="JQ1" s="204"/>
      <c r="JR1" s="204"/>
      <c r="JS1" s="204"/>
      <c r="JT1" s="204"/>
      <c r="JU1" s="204"/>
      <c r="JV1" s="205"/>
      <c r="JW1" s="204"/>
      <c r="JX1" s="204"/>
      <c r="JY1" s="204"/>
      <c r="JZ1" s="204"/>
      <c r="KA1" s="204"/>
      <c r="KB1" s="204"/>
      <c r="KC1" s="204"/>
      <c r="KD1" s="204"/>
      <c r="KE1" s="204"/>
      <c r="KF1" s="204"/>
      <c r="KG1" s="204"/>
      <c r="KH1" s="204"/>
      <c r="KI1" s="204"/>
      <c r="KJ1" s="204"/>
      <c r="KK1" s="204"/>
      <c r="KL1" s="204"/>
      <c r="KM1" s="204"/>
      <c r="KN1" s="204"/>
      <c r="KO1" s="204"/>
      <c r="KP1" s="204"/>
      <c r="KQ1" s="204"/>
      <c r="KR1" s="204"/>
      <c r="KS1" s="204"/>
      <c r="KT1" s="204"/>
      <c r="KU1" s="204"/>
      <c r="KV1" s="204"/>
      <c r="KW1" s="204"/>
      <c r="KX1" s="205"/>
      <c r="KY1" s="204"/>
      <c r="KZ1" s="204"/>
      <c r="LA1" s="204"/>
      <c r="LB1" s="204"/>
      <c r="LC1" s="204"/>
      <c r="LD1" s="204"/>
      <c r="LE1" s="204"/>
      <c r="LF1" s="204"/>
      <c r="LG1" s="204"/>
      <c r="LH1" s="204"/>
      <c r="LI1" s="204"/>
      <c r="LJ1" s="204"/>
      <c r="LK1" s="204"/>
      <c r="LL1" s="204"/>
      <c r="LM1" s="204"/>
      <c r="LN1" s="204"/>
      <c r="LO1" s="204"/>
      <c r="LP1" s="204"/>
      <c r="LQ1" s="204"/>
      <c r="LR1" s="204"/>
      <c r="LS1" s="204"/>
      <c r="LT1" s="204"/>
      <c r="LU1" s="204"/>
      <c r="LV1" s="204"/>
      <c r="LW1" s="204"/>
      <c r="LX1" s="204"/>
      <c r="LY1" s="204"/>
      <c r="LZ1" s="205"/>
      <c r="MA1" s="204"/>
      <c r="MB1" s="204"/>
      <c r="MC1" s="204"/>
      <c r="MD1" s="204"/>
      <c r="ME1" s="204"/>
      <c r="MF1" s="204"/>
      <c r="MG1" s="204"/>
      <c r="MH1" s="204"/>
      <c r="MI1" s="204"/>
      <c r="MJ1" s="204"/>
      <c r="MK1" s="204"/>
      <c r="ML1" s="204"/>
      <c r="MM1" s="204"/>
      <c r="MN1" s="204"/>
      <c r="MO1" s="204"/>
      <c r="MP1" s="204"/>
      <c r="MQ1" s="204"/>
      <c r="MR1" s="204"/>
      <c r="MS1" s="204"/>
      <c r="MT1" s="204"/>
      <c r="MU1" s="204"/>
      <c r="MV1" s="204"/>
      <c r="MW1" s="204"/>
      <c r="MX1" s="204"/>
      <c r="MY1" s="204"/>
      <c r="MZ1" s="204"/>
      <c r="NA1" s="204"/>
      <c r="NB1" s="205"/>
      <c r="NC1" s="204"/>
      <c r="ND1" s="204"/>
      <c r="NE1" s="204"/>
      <c r="NF1" s="204"/>
      <c r="NG1" s="204"/>
      <c r="NH1" s="204"/>
      <c r="NI1" s="204"/>
      <c r="NJ1" s="204"/>
      <c r="NK1" s="204"/>
      <c r="NL1" s="204"/>
      <c r="NM1" s="204"/>
      <c r="NN1" s="204"/>
      <c r="NO1" s="204"/>
      <c r="NP1" s="204"/>
      <c r="NQ1" s="204"/>
      <c r="NR1" s="204"/>
      <c r="NS1" s="204"/>
      <c r="NT1" s="204"/>
      <c r="NU1" s="204"/>
      <c r="NV1" s="204"/>
      <c r="NW1" s="204"/>
      <c r="NX1" s="204"/>
      <c r="NY1" s="204"/>
      <c r="NZ1" s="204"/>
      <c r="OA1" s="204"/>
      <c r="OB1" s="204"/>
      <c r="OC1" s="204"/>
      <c r="OD1" s="205"/>
      <c r="OE1" s="204"/>
      <c r="OF1" s="204"/>
      <c r="OG1" s="204"/>
      <c r="OH1" s="204"/>
      <c r="OI1" s="204"/>
      <c r="OJ1" s="204"/>
      <c r="OK1" s="204"/>
      <c r="OL1" s="204"/>
      <c r="OM1" s="204"/>
      <c r="ON1" s="204"/>
      <c r="OO1" s="204"/>
      <c r="OP1" s="204"/>
      <c r="OQ1" s="204"/>
      <c r="OR1" s="204"/>
      <c r="OS1" s="204"/>
      <c r="OT1" s="204"/>
      <c r="OU1" s="204"/>
      <c r="OV1" s="204"/>
      <c r="OW1" s="204"/>
      <c r="OX1" s="204"/>
      <c r="OY1" s="204"/>
      <c r="OZ1" s="204"/>
      <c r="PA1" s="204"/>
      <c r="PB1" s="204"/>
      <c r="PC1" s="204"/>
      <c r="PD1" s="204"/>
      <c r="PE1" s="204"/>
      <c r="PF1" s="205"/>
      <c r="PG1" s="204"/>
      <c r="PH1" s="204"/>
      <c r="PI1" s="204"/>
      <c r="PJ1" s="204"/>
      <c r="PK1" s="204"/>
      <c r="PL1" s="204"/>
      <c r="PM1" s="204"/>
      <c r="PN1" s="204"/>
      <c r="PO1" s="204"/>
      <c r="PP1" s="204"/>
      <c r="PQ1" s="204"/>
      <c r="PR1" s="204"/>
      <c r="PS1" s="204"/>
      <c r="PT1" s="204"/>
      <c r="PU1" s="204"/>
      <c r="PV1" s="204"/>
      <c r="PW1" s="204"/>
      <c r="PX1" s="204"/>
      <c r="PY1" s="204"/>
      <c r="PZ1" s="204"/>
      <c r="QA1" s="204"/>
      <c r="QB1" s="204"/>
      <c r="QC1" s="204"/>
      <c r="QD1" s="204"/>
      <c r="QE1" s="204"/>
      <c r="QF1" s="204"/>
      <c r="QG1" s="204"/>
      <c r="QH1" s="205"/>
      <c r="QI1" s="204"/>
      <c r="QJ1" s="204"/>
      <c r="QK1" s="204"/>
      <c r="QL1" s="204"/>
      <c r="QM1" s="204"/>
      <c r="QN1" s="204"/>
      <c r="QO1" s="204"/>
      <c r="QP1" s="204"/>
      <c r="QQ1" s="204"/>
      <c r="QR1" s="204"/>
      <c r="QS1" s="204"/>
      <c r="QT1" s="204"/>
      <c r="QU1" s="204"/>
      <c r="QV1" s="204"/>
      <c r="QW1" s="204"/>
      <c r="QX1" s="204"/>
      <c r="QY1" s="204"/>
      <c r="QZ1" s="204"/>
      <c r="RA1" s="204"/>
      <c r="RB1" s="204"/>
      <c r="RC1" s="204"/>
      <c r="RD1" s="204"/>
      <c r="RE1" s="204"/>
      <c r="RF1" s="204"/>
      <c r="RG1" s="204"/>
      <c r="RH1" s="204"/>
      <c r="RI1" s="204"/>
      <c r="RJ1" s="205"/>
      <c r="RK1" s="204"/>
      <c r="RL1" s="204"/>
      <c r="RM1" s="204"/>
      <c r="RN1" s="204"/>
      <c r="RO1" s="204"/>
      <c r="RP1" s="204"/>
      <c r="RQ1" s="204"/>
      <c r="RR1" s="204"/>
      <c r="RS1" s="204"/>
      <c r="RT1" s="204"/>
      <c r="RU1" s="204"/>
      <c r="RV1" s="204"/>
      <c r="RW1" s="204"/>
      <c r="RX1" s="204"/>
      <c r="RY1" s="204"/>
      <c r="RZ1" s="204"/>
      <c r="SA1" s="204"/>
      <c r="SB1" s="204"/>
      <c r="SC1" s="204"/>
      <c r="SD1" s="204"/>
      <c r="SE1" s="204"/>
      <c r="SF1" s="204"/>
      <c r="SG1" s="204"/>
      <c r="SH1" s="204"/>
      <c r="SI1" s="204"/>
      <c r="SJ1" s="204"/>
      <c r="SK1" s="204"/>
      <c r="SL1" s="205"/>
      <c r="SM1" s="204"/>
      <c r="SN1" s="204"/>
      <c r="SO1" s="204"/>
      <c r="SP1" s="204"/>
      <c r="SQ1" s="204"/>
      <c r="SR1" s="204"/>
      <c r="SS1" s="204"/>
      <c r="ST1" s="204"/>
      <c r="SU1" s="204"/>
      <c r="SV1" s="204"/>
      <c r="SW1" s="204"/>
      <c r="SX1" s="204"/>
      <c r="SY1" s="204"/>
      <c r="SZ1" s="204"/>
      <c r="TA1" s="204"/>
      <c r="TB1" s="204"/>
      <c r="TC1" s="204"/>
      <c r="TD1" s="204"/>
      <c r="TE1" s="204"/>
      <c r="TF1" s="204"/>
      <c r="TG1" s="204"/>
      <c r="TH1" s="204"/>
      <c r="TI1" s="204"/>
      <c r="TJ1" s="204"/>
      <c r="TK1" s="204"/>
      <c r="TL1" s="204"/>
      <c r="TM1" s="204"/>
      <c r="TN1" s="205"/>
      <c r="TO1" s="204"/>
      <c r="TP1" s="204"/>
      <c r="TQ1" s="204"/>
      <c r="TR1" s="204"/>
      <c r="TS1" s="204"/>
      <c r="TT1" s="204"/>
      <c r="TU1" s="204"/>
      <c r="TV1" s="204"/>
      <c r="TW1" s="204"/>
      <c r="TX1" s="204"/>
      <c r="TY1" s="204"/>
      <c r="TZ1" s="204"/>
      <c r="UA1" s="204"/>
      <c r="UB1" s="204"/>
      <c r="UC1" s="204"/>
      <c r="UD1" s="204"/>
      <c r="UE1" s="204"/>
      <c r="UF1" s="204"/>
      <c r="UG1" s="204"/>
      <c r="UH1" s="204"/>
      <c r="UI1" s="204"/>
      <c r="UJ1" s="204"/>
      <c r="UK1" s="204"/>
      <c r="UL1" s="204"/>
      <c r="UM1" s="204"/>
      <c r="UN1" s="204"/>
      <c r="UO1" s="204"/>
      <c r="UP1" s="205"/>
      <c r="UQ1" s="204"/>
      <c r="UR1" s="204"/>
      <c r="US1" s="204"/>
      <c r="UT1" s="204"/>
      <c r="UU1" s="204"/>
      <c r="UV1" s="204"/>
      <c r="UW1" s="204"/>
      <c r="UX1" s="204"/>
      <c r="UY1" s="204"/>
      <c r="UZ1" s="204"/>
      <c r="VA1" s="204"/>
      <c r="VB1" s="204"/>
      <c r="VC1" s="204"/>
      <c r="VD1" s="204"/>
      <c r="VE1" s="204"/>
      <c r="VF1" s="204"/>
      <c r="VG1" s="204"/>
      <c r="VH1" s="204"/>
      <c r="VI1" s="204"/>
      <c r="VJ1" s="204"/>
      <c r="VK1" s="204"/>
      <c r="VL1" s="204"/>
      <c r="VM1" s="204"/>
      <c r="VN1" s="204"/>
      <c r="VO1" s="204"/>
      <c r="VP1" s="204"/>
      <c r="VQ1" s="204"/>
      <c r="VR1" s="205"/>
      <c r="VS1" s="204"/>
      <c r="VT1" s="204"/>
      <c r="VU1" s="204"/>
      <c r="VV1" s="204"/>
      <c r="VW1" s="204"/>
      <c r="VX1" s="204"/>
      <c r="VY1" s="204"/>
      <c r="VZ1" s="204"/>
      <c r="WA1" s="204"/>
      <c r="WB1" s="204"/>
      <c r="WC1" s="204"/>
      <c r="WD1" s="204"/>
      <c r="WE1" s="204"/>
      <c r="WF1" s="204"/>
      <c r="WG1" s="204"/>
      <c r="WH1" s="204"/>
      <c r="WI1" s="204"/>
      <c r="WJ1" s="204"/>
      <c r="WK1" s="204"/>
      <c r="WL1" s="204"/>
      <c r="WM1" s="204"/>
      <c r="WN1" s="204"/>
      <c r="WO1" s="204"/>
      <c r="WP1" s="204"/>
      <c r="WQ1" s="204"/>
      <c r="WR1" s="204"/>
      <c r="WS1" s="204"/>
      <c r="WT1" s="205"/>
      <c r="WU1" s="204"/>
      <c r="WV1" s="204"/>
      <c r="WW1" s="204"/>
      <c r="WX1" s="204"/>
      <c r="WY1" s="204"/>
      <c r="WZ1" s="204"/>
      <c r="XA1" s="204"/>
      <c r="XB1" s="204"/>
      <c r="XC1" s="204"/>
      <c r="XD1" s="204"/>
      <c r="XE1" s="204"/>
      <c r="XF1" s="204"/>
      <c r="XG1" s="204"/>
      <c r="XH1" s="204"/>
      <c r="XI1" s="204"/>
      <c r="XJ1" s="204"/>
      <c r="XK1" s="204"/>
      <c r="XL1" s="204"/>
      <c r="XM1" s="204"/>
      <c r="XN1" s="204"/>
      <c r="XO1" s="204"/>
      <c r="XP1" s="204"/>
      <c r="XQ1" s="204"/>
      <c r="XR1" s="204"/>
      <c r="XS1" s="204"/>
      <c r="XT1" s="204"/>
      <c r="XU1" s="204"/>
      <c r="XV1" s="205"/>
      <c r="XW1" s="204"/>
      <c r="XX1" s="204"/>
      <c r="XY1" s="204"/>
      <c r="XZ1" s="204"/>
      <c r="YA1" s="204"/>
      <c r="YB1" s="204"/>
      <c r="YC1" s="204"/>
      <c r="YD1" s="204"/>
      <c r="YE1" s="204"/>
      <c r="YF1" s="204"/>
      <c r="YG1" s="204"/>
      <c r="YH1" s="204"/>
      <c r="YI1" s="204"/>
      <c r="YJ1" s="204"/>
      <c r="YK1" s="204"/>
      <c r="YL1" s="204"/>
      <c r="YM1" s="204"/>
      <c r="YN1" s="204"/>
      <c r="YO1" s="204"/>
      <c r="YP1" s="204"/>
      <c r="YQ1" s="204"/>
      <c r="YR1" s="204"/>
      <c r="YS1" s="204"/>
      <c r="YT1" s="204"/>
      <c r="YU1" s="204"/>
      <c r="YV1" s="204"/>
      <c r="YW1" s="204"/>
      <c r="YX1" s="205"/>
      <c r="YY1" s="204"/>
      <c r="YZ1" s="204"/>
      <c r="ZA1" s="204"/>
      <c r="ZB1" s="204"/>
      <c r="ZC1" s="204"/>
      <c r="ZD1" s="204"/>
      <c r="ZE1" s="204"/>
      <c r="ZF1" s="204"/>
      <c r="ZG1" s="204"/>
      <c r="ZH1" s="204"/>
      <c r="ZI1" s="204"/>
      <c r="ZJ1" s="204"/>
      <c r="ZK1" s="204"/>
      <c r="ZL1" s="204"/>
      <c r="ZM1" s="204"/>
      <c r="ZN1" s="204"/>
      <c r="ZO1" s="204"/>
      <c r="ZP1" s="204"/>
      <c r="ZQ1" s="204"/>
      <c r="ZR1" s="204"/>
      <c r="ZS1" s="204"/>
      <c r="ZT1" s="204"/>
      <c r="ZU1" s="204"/>
      <c r="ZV1" s="204"/>
      <c r="ZW1" s="204"/>
      <c r="ZX1" s="204"/>
      <c r="ZY1" s="204"/>
      <c r="ZZ1" s="205"/>
      <c r="AAA1" s="204"/>
      <c r="AAB1" s="204"/>
      <c r="AAC1" s="204"/>
      <c r="AAD1" s="204"/>
      <c r="AAE1" s="204"/>
      <c r="AAF1" s="204"/>
      <c r="AAG1" s="204"/>
      <c r="AAH1" s="204"/>
      <c r="AAI1" s="204"/>
      <c r="AAJ1" s="204"/>
      <c r="AAK1" s="204"/>
      <c r="AAL1" s="204"/>
      <c r="AAM1" s="204"/>
      <c r="AAN1" s="204"/>
      <c r="AAO1" s="204"/>
      <c r="AAP1" s="204"/>
      <c r="AAQ1" s="204"/>
      <c r="AAR1" s="204"/>
      <c r="AAS1" s="204"/>
      <c r="AAT1" s="204"/>
      <c r="AAU1" s="204"/>
      <c r="AAV1" s="204"/>
      <c r="AAW1" s="204"/>
      <c r="AAX1" s="204"/>
      <c r="AAY1" s="204"/>
      <c r="AAZ1" s="204"/>
      <c r="ABA1" s="204"/>
      <c r="ABB1" s="205"/>
      <c r="ABC1" s="204"/>
      <c r="ABD1" s="204"/>
      <c r="ABE1" s="204"/>
      <c r="ABF1" s="204"/>
      <c r="ABG1" s="204"/>
      <c r="ABH1" s="204"/>
      <c r="ABI1" s="204"/>
      <c r="ABJ1" s="204"/>
      <c r="ABK1" s="204"/>
      <c r="ABL1" s="204"/>
      <c r="ABM1" s="204"/>
      <c r="ABN1" s="204"/>
      <c r="ABO1" s="204"/>
      <c r="ABP1" s="204"/>
      <c r="ABQ1" s="204"/>
      <c r="ABR1" s="204"/>
      <c r="ABS1" s="204"/>
      <c r="ABT1" s="204"/>
      <c r="ABU1" s="204"/>
      <c r="ABV1" s="204"/>
      <c r="ABW1" s="204"/>
      <c r="ABX1" s="204"/>
      <c r="ABY1" s="204"/>
      <c r="ABZ1" s="204"/>
      <c r="ACA1" s="204"/>
      <c r="ACB1" s="204"/>
      <c r="ACC1" s="204"/>
      <c r="ACD1" s="205"/>
      <c r="ACE1" s="204"/>
      <c r="ACF1" s="204"/>
      <c r="ACG1" s="204"/>
      <c r="ACH1" s="204"/>
      <c r="ACI1" s="204"/>
      <c r="ACJ1" s="204"/>
      <c r="ACK1" s="204"/>
      <c r="ACL1" s="204"/>
      <c r="ACM1" s="204"/>
      <c r="ACN1" s="204"/>
      <c r="ACO1" s="204"/>
      <c r="ACP1" s="204"/>
      <c r="ACQ1" s="204"/>
      <c r="ACR1" s="204"/>
      <c r="ACS1" s="204"/>
      <c r="ACT1" s="204"/>
      <c r="ACU1" s="204"/>
      <c r="ACV1" s="204"/>
      <c r="ACW1" s="204"/>
      <c r="ACX1" s="204"/>
      <c r="ACY1" s="204"/>
      <c r="ACZ1" s="204"/>
      <c r="ADA1" s="204"/>
      <c r="ADB1" s="204"/>
      <c r="ADC1" s="204"/>
      <c r="ADD1" s="204"/>
      <c r="ADE1" s="204"/>
      <c r="ADF1" s="205"/>
      <c r="ADG1" s="204"/>
      <c r="ADH1" s="204"/>
      <c r="ADI1" s="204"/>
      <c r="ADJ1" s="204"/>
      <c r="ADK1" s="204"/>
      <c r="ADL1" s="204"/>
      <c r="ADM1" s="204"/>
      <c r="ADN1" s="204"/>
      <c r="ADO1" s="204"/>
      <c r="ADP1" s="204"/>
      <c r="ADQ1" s="204"/>
      <c r="ADR1" s="204"/>
      <c r="ADS1" s="204"/>
      <c r="ADT1" s="204"/>
      <c r="ADU1" s="204"/>
      <c r="ADV1" s="204"/>
      <c r="ADW1" s="204"/>
      <c r="ADX1" s="204"/>
      <c r="ADY1" s="204"/>
      <c r="ADZ1" s="204"/>
      <c r="AEA1" s="204"/>
      <c r="AEB1" s="204"/>
      <c r="AEC1" s="204"/>
      <c r="AED1" s="204"/>
      <c r="AEE1" s="204"/>
      <c r="AEF1" s="204"/>
      <c r="AEG1" s="204"/>
      <c r="AEH1" s="205"/>
      <c r="AEI1" s="204"/>
      <c r="AEJ1" s="204"/>
      <c r="AEK1" s="204"/>
      <c r="AEL1" s="204"/>
      <c r="AEM1" s="204"/>
      <c r="AEN1" s="204"/>
      <c r="AEO1" s="204"/>
      <c r="AEP1" s="204"/>
      <c r="AEQ1" s="204"/>
      <c r="AER1" s="204"/>
      <c r="AES1" s="204"/>
      <c r="AET1" s="204"/>
      <c r="AEU1" s="204"/>
      <c r="AEV1" s="204"/>
      <c r="AEW1" s="204"/>
      <c r="AEX1" s="204"/>
      <c r="AEY1" s="204"/>
      <c r="AEZ1" s="204"/>
      <c r="AFA1" s="204"/>
      <c r="AFB1" s="204"/>
      <c r="AFC1" s="204"/>
      <c r="AFD1" s="204"/>
      <c r="AFE1" s="204"/>
      <c r="AFF1" s="204"/>
      <c r="AFG1" s="204"/>
      <c r="AFH1" s="204"/>
      <c r="AFI1" s="204"/>
      <c r="AFJ1" s="205"/>
      <c r="AFK1" s="204"/>
      <c r="AFL1" s="204"/>
      <c r="AFM1" s="204"/>
      <c r="AFN1" s="204"/>
      <c r="AFO1" s="204"/>
      <c r="AFP1" s="204"/>
      <c r="AFQ1" s="204"/>
      <c r="AFR1" s="204"/>
      <c r="AFS1" s="204"/>
      <c r="AFT1" s="204"/>
      <c r="AFU1" s="204"/>
      <c r="AFV1" s="204"/>
      <c r="AFW1" s="204"/>
      <c r="AFX1" s="204"/>
      <c r="AFY1" s="204"/>
      <c r="AFZ1" s="204"/>
      <c r="AGA1" s="204"/>
      <c r="AGB1" s="204"/>
      <c r="AGC1" s="204"/>
      <c r="AGD1" s="204"/>
      <c r="AGE1" s="204"/>
      <c r="AGF1" s="204"/>
      <c r="AGG1" s="204"/>
      <c r="AGH1" s="204"/>
      <c r="AGI1" s="204"/>
      <c r="AGJ1" s="204"/>
      <c r="AGK1" s="204"/>
      <c r="AGL1" s="205"/>
      <c r="AGM1" s="204"/>
      <c r="AGN1" s="204"/>
      <c r="AGO1" s="204"/>
      <c r="AGP1" s="204"/>
      <c r="AGQ1" s="204"/>
      <c r="AGR1" s="204"/>
      <c r="AGS1" s="204"/>
      <c r="AGT1" s="204"/>
      <c r="AGU1" s="204"/>
      <c r="AGV1" s="204"/>
      <c r="AGW1" s="204"/>
      <c r="AGX1" s="204"/>
      <c r="AGY1" s="204"/>
      <c r="AGZ1" s="204"/>
      <c r="AHA1" s="204"/>
      <c r="AHB1" s="204"/>
      <c r="AHC1" s="204"/>
      <c r="AHD1" s="204"/>
      <c r="AHE1" s="204"/>
      <c r="AHF1" s="204"/>
      <c r="AHG1" s="204"/>
      <c r="AHH1" s="204"/>
      <c r="AHI1" s="204"/>
      <c r="AHJ1" s="204"/>
      <c r="AHK1" s="204"/>
      <c r="AHL1" s="204"/>
      <c r="AHM1" s="204"/>
      <c r="AHN1" s="205"/>
      <c r="AHO1" s="204"/>
      <c r="AHP1" s="204"/>
      <c r="AHQ1" s="204"/>
      <c r="AHR1" s="204"/>
      <c r="AHS1" s="204"/>
      <c r="AHT1" s="204"/>
      <c r="AHU1" s="204"/>
      <c r="AHV1" s="204"/>
      <c r="AHW1" s="204"/>
      <c r="AHX1" s="204"/>
      <c r="AHY1" s="204"/>
      <c r="AHZ1" s="204"/>
      <c r="AIA1" s="204"/>
      <c r="AIB1" s="204"/>
      <c r="AIC1" s="204"/>
      <c r="AID1" s="204"/>
      <c r="AIE1" s="204"/>
      <c r="AIF1" s="204"/>
      <c r="AIG1" s="204"/>
      <c r="AIH1" s="204"/>
      <c r="AII1" s="204"/>
      <c r="AIJ1" s="204"/>
      <c r="AIK1" s="204"/>
      <c r="AIL1" s="204"/>
      <c r="AIM1" s="204"/>
      <c r="AIN1" s="204"/>
      <c r="AIO1" s="204"/>
      <c r="AIP1" s="205"/>
      <c r="AIQ1" s="204"/>
      <c r="AIR1" s="204"/>
      <c r="AIS1" s="204"/>
      <c r="AIT1" s="204"/>
      <c r="AIU1" s="204"/>
      <c r="AIV1" s="204"/>
      <c r="AIW1" s="204"/>
      <c r="AIX1" s="204"/>
      <c r="AIY1" s="204"/>
      <c r="AIZ1" s="204"/>
      <c r="AJA1" s="204"/>
      <c r="AJB1" s="204"/>
      <c r="AJC1" s="204"/>
      <c r="AJD1" s="204"/>
      <c r="AJE1" s="204"/>
      <c r="AJF1" s="204"/>
      <c r="AJG1" s="204"/>
      <c r="AJH1" s="204"/>
      <c r="AJI1" s="204"/>
      <c r="AJJ1" s="204"/>
      <c r="AJK1" s="204"/>
      <c r="AJL1" s="204"/>
      <c r="AJM1" s="204"/>
      <c r="AJN1" s="204"/>
      <c r="AJO1" s="204"/>
      <c r="AJP1" s="204"/>
      <c r="AJQ1" s="204"/>
      <c r="AJR1" s="205"/>
      <c r="AJS1" s="204"/>
      <c r="AJT1" s="204"/>
      <c r="AJU1" s="204"/>
      <c r="AJV1" s="204"/>
      <c r="AJW1" s="204"/>
      <c r="AJX1" s="204"/>
      <c r="AJY1" s="204"/>
      <c r="AJZ1" s="204"/>
      <c r="AKA1" s="204"/>
      <c r="AKB1" s="204"/>
      <c r="AKC1" s="204"/>
      <c r="AKD1" s="204"/>
      <c r="AKE1" s="204"/>
      <c r="AKF1" s="204"/>
      <c r="AKG1" s="204"/>
      <c r="AKH1" s="204"/>
      <c r="AKI1" s="204"/>
      <c r="AKJ1" s="204"/>
      <c r="AKK1" s="204"/>
      <c r="AKL1" s="204"/>
      <c r="AKM1" s="204"/>
      <c r="AKN1" s="204"/>
      <c r="AKO1" s="204"/>
      <c r="AKP1" s="204"/>
      <c r="AKQ1" s="204"/>
      <c r="AKR1" s="204"/>
      <c r="AKS1" s="204"/>
      <c r="AKT1" s="205"/>
      <c r="AKU1" s="204"/>
      <c r="AKV1" s="204"/>
      <c r="AKW1" s="204"/>
      <c r="AKX1" s="204"/>
      <c r="AKY1" s="204"/>
      <c r="AKZ1" s="204"/>
      <c r="ALA1" s="204"/>
      <c r="ALB1" s="204"/>
      <c r="ALC1" s="204"/>
      <c r="ALD1" s="204"/>
      <c r="ALE1" s="204"/>
      <c r="ALF1" s="204"/>
      <c r="ALG1" s="204"/>
      <c r="ALH1" s="204"/>
      <c r="ALI1" s="204"/>
      <c r="ALJ1" s="204"/>
      <c r="ALK1" s="204"/>
      <c r="ALL1" s="204"/>
      <c r="ALM1" s="204"/>
      <c r="ALN1" s="204"/>
      <c r="ALO1" s="204"/>
      <c r="ALP1" s="204"/>
      <c r="ALQ1" s="204"/>
      <c r="ALR1" s="204"/>
      <c r="ALS1" s="204"/>
      <c r="ALT1" s="204"/>
      <c r="ALU1" s="204"/>
      <c r="ALV1" s="205"/>
      <c r="ALW1" s="204"/>
      <c r="ALX1" s="204"/>
      <c r="ALY1" s="204"/>
      <c r="ALZ1" s="204"/>
      <c r="AMA1" s="204"/>
      <c r="AMB1" s="204"/>
      <c r="AMC1" s="204"/>
      <c r="AMD1" s="204"/>
      <c r="AME1" s="204"/>
      <c r="AMF1" s="204"/>
      <c r="AMG1" s="204"/>
      <c r="AMH1" s="204"/>
      <c r="AMI1" s="204"/>
      <c r="AMJ1" s="204"/>
      <c r="AMK1" s="204"/>
      <c r="AML1" s="204"/>
      <c r="AMM1" s="204"/>
      <c r="AMN1" s="204"/>
      <c r="AMO1" s="204"/>
      <c r="AMP1" s="204"/>
      <c r="AMQ1" s="204"/>
      <c r="AMR1" s="204"/>
      <c r="AMS1" s="204"/>
      <c r="AMT1" s="204"/>
      <c r="AMU1" s="204"/>
      <c r="AMV1" s="204"/>
      <c r="AMW1" s="204"/>
      <c r="AMX1" s="205"/>
      <c r="AMY1" s="204"/>
      <c r="AMZ1" s="204"/>
      <c r="ANA1" s="204"/>
      <c r="ANB1" s="204"/>
      <c r="ANC1" s="204"/>
      <c r="AND1" s="204"/>
      <c r="ANE1" s="204"/>
      <c r="ANF1" s="204"/>
      <c r="ANG1" s="204"/>
      <c r="ANH1" s="204"/>
      <c r="ANI1" s="204"/>
      <c r="ANJ1" s="204"/>
      <c r="ANK1" s="204"/>
      <c r="ANL1" s="204"/>
      <c r="ANM1" s="204"/>
      <c r="ANN1" s="204"/>
      <c r="ANO1" s="204"/>
      <c r="ANP1" s="204"/>
      <c r="ANQ1" s="204"/>
      <c r="ANR1" s="204"/>
      <c r="ANS1" s="204"/>
      <c r="ANT1" s="204"/>
      <c r="ANU1" s="204"/>
      <c r="ANV1" s="204"/>
      <c r="ANW1" s="204"/>
      <c r="ANX1" s="204"/>
      <c r="ANY1" s="204"/>
      <c r="ANZ1" s="205"/>
      <c r="AOA1" s="204"/>
      <c r="AOB1" s="204"/>
      <c r="AOC1" s="204"/>
      <c r="AOD1" s="204"/>
      <c r="AOE1" s="204"/>
      <c r="AOF1" s="204"/>
      <c r="AOG1" s="204"/>
      <c r="AOH1" s="204"/>
      <c r="AOI1" s="204"/>
      <c r="AOJ1" s="204"/>
      <c r="AOK1" s="204"/>
      <c r="AOL1" s="204"/>
      <c r="AOM1" s="204"/>
      <c r="AON1" s="204"/>
      <c r="AOO1" s="204"/>
      <c r="AOP1" s="204"/>
      <c r="AOQ1" s="204"/>
      <c r="AOR1" s="204"/>
      <c r="AOS1" s="204"/>
      <c r="AOT1" s="204"/>
      <c r="AOU1" s="204"/>
      <c r="AOV1" s="204"/>
      <c r="AOW1" s="204"/>
      <c r="AOX1" s="204"/>
      <c r="AOY1" s="204"/>
      <c r="AOZ1" s="204"/>
      <c r="APA1" s="204"/>
      <c r="APB1" s="205"/>
      <c r="APC1" s="204"/>
      <c r="APD1" s="204"/>
      <c r="APE1" s="204"/>
      <c r="APF1" s="204"/>
      <c r="APG1" s="204"/>
      <c r="APH1" s="204"/>
      <c r="API1" s="204"/>
      <c r="APJ1" s="204"/>
      <c r="APK1" s="204"/>
      <c r="APL1" s="204"/>
      <c r="APM1" s="204"/>
      <c r="APN1" s="204"/>
      <c r="APO1" s="204"/>
      <c r="APP1" s="204"/>
      <c r="APQ1" s="204"/>
      <c r="APR1" s="204"/>
      <c r="APS1" s="204"/>
      <c r="APT1" s="204"/>
      <c r="APU1" s="204"/>
      <c r="APV1" s="204"/>
      <c r="APW1" s="204"/>
      <c r="APX1" s="204"/>
      <c r="APY1" s="204"/>
      <c r="APZ1" s="204"/>
      <c r="AQA1" s="204"/>
      <c r="AQB1" s="204"/>
      <c r="AQC1" s="204"/>
      <c r="AQD1" s="205"/>
      <c r="AQE1" s="204"/>
      <c r="AQF1" s="204"/>
      <c r="AQG1" s="204"/>
      <c r="AQH1" s="204"/>
      <c r="AQI1" s="204"/>
      <c r="AQJ1" s="204"/>
      <c r="AQK1" s="204"/>
      <c r="AQL1" s="204"/>
      <c r="AQM1" s="204"/>
      <c r="AQN1" s="204"/>
      <c r="AQO1" s="204"/>
      <c r="AQP1" s="204"/>
      <c r="AQQ1" s="204"/>
      <c r="AQR1" s="204"/>
      <c r="AQS1" s="204"/>
      <c r="AQT1" s="204"/>
      <c r="AQU1" s="204"/>
      <c r="AQV1" s="204"/>
      <c r="AQW1" s="204"/>
      <c r="AQX1" s="204"/>
      <c r="AQY1" s="204"/>
      <c r="AQZ1" s="204"/>
      <c r="ARA1" s="204"/>
      <c r="ARB1" s="204"/>
      <c r="ARC1" s="204"/>
      <c r="ARD1" s="204"/>
      <c r="ARE1" s="204"/>
      <c r="ARF1" s="205"/>
      <c r="ARG1" s="204"/>
      <c r="ARH1" s="204"/>
      <c r="ARI1" s="204"/>
      <c r="ARJ1" s="204"/>
      <c r="ARK1" s="204"/>
      <c r="ARL1" s="204"/>
      <c r="ARM1" s="204"/>
      <c r="ARN1" s="204"/>
      <c r="ARO1" s="204"/>
      <c r="ARP1" s="204"/>
      <c r="ARQ1" s="204"/>
      <c r="ARR1" s="204"/>
      <c r="ARS1" s="204"/>
      <c r="ART1" s="204"/>
      <c r="ARU1" s="204"/>
      <c r="ARV1" s="204"/>
      <c r="ARW1" s="204"/>
      <c r="ARX1" s="204"/>
      <c r="ARY1" s="204"/>
      <c r="ARZ1" s="204"/>
      <c r="ASA1" s="204"/>
      <c r="ASB1" s="204"/>
      <c r="ASC1" s="204"/>
      <c r="ASD1" s="204"/>
      <c r="ASE1" s="204"/>
      <c r="ASF1" s="204"/>
      <c r="ASG1" s="204"/>
      <c r="ASH1" s="205"/>
      <c r="ASI1" s="204"/>
      <c r="ASJ1" s="204"/>
      <c r="ASK1" s="204"/>
      <c r="ASL1" s="204"/>
      <c r="ASM1" s="204"/>
      <c r="ASN1" s="204"/>
      <c r="ASO1" s="204"/>
      <c r="ASP1" s="204"/>
      <c r="ASQ1" s="204"/>
      <c r="ASR1" s="204"/>
      <c r="ASS1" s="204"/>
      <c r="AST1" s="204"/>
      <c r="ASU1" s="204"/>
      <c r="ASV1" s="204"/>
      <c r="ASW1" s="204"/>
      <c r="ASX1" s="204"/>
      <c r="ASY1" s="204"/>
      <c r="ASZ1" s="204"/>
      <c r="ATA1" s="204"/>
      <c r="ATB1" s="204"/>
      <c r="ATC1" s="204"/>
      <c r="ATD1" s="204"/>
      <c r="ATE1" s="204"/>
      <c r="ATF1" s="204"/>
      <c r="ATG1" s="204"/>
      <c r="ATH1" s="204"/>
      <c r="ATI1" s="204"/>
      <c r="ATJ1" s="205"/>
      <c r="ATK1" s="204"/>
      <c r="ATL1" s="204"/>
      <c r="ATM1" s="204"/>
      <c r="ATN1" s="204"/>
      <c r="ATO1" s="204"/>
      <c r="ATP1" s="204"/>
      <c r="ATQ1" s="204"/>
      <c r="ATR1" s="204"/>
      <c r="ATS1" s="204"/>
      <c r="ATT1" s="204"/>
      <c r="ATU1" s="204"/>
      <c r="ATV1" s="204"/>
      <c r="ATW1" s="204"/>
      <c r="ATX1" s="204"/>
      <c r="ATY1" s="204"/>
      <c r="ATZ1" s="204"/>
      <c r="AUA1" s="204"/>
      <c r="AUB1" s="204"/>
      <c r="AUC1" s="204"/>
      <c r="AUD1" s="204"/>
      <c r="AUE1" s="204"/>
      <c r="AUF1" s="204"/>
      <c r="AUG1" s="204"/>
      <c r="AUH1" s="204"/>
      <c r="AUI1" s="204"/>
      <c r="AUJ1" s="204"/>
      <c r="AUK1" s="204"/>
      <c r="AUL1" s="205"/>
      <c r="AUM1" s="204"/>
      <c r="AUN1" s="204"/>
      <c r="AUO1" s="204"/>
      <c r="AUP1" s="204"/>
      <c r="AUQ1" s="204"/>
      <c r="AUR1" s="204"/>
      <c r="AUS1" s="204"/>
      <c r="AUT1" s="204"/>
      <c r="AUU1" s="204"/>
      <c r="AUV1" s="204"/>
      <c r="AUW1" s="204"/>
      <c r="AUX1" s="204"/>
      <c r="AUY1" s="204"/>
      <c r="AUZ1" s="204"/>
      <c r="AVA1" s="204"/>
      <c r="AVB1" s="204"/>
      <c r="AVC1" s="204"/>
      <c r="AVD1" s="204"/>
      <c r="AVE1" s="204"/>
      <c r="AVF1" s="204"/>
      <c r="AVG1" s="204"/>
      <c r="AVH1" s="204"/>
      <c r="AVI1" s="204"/>
      <c r="AVJ1" s="204"/>
      <c r="AVK1" s="204"/>
      <c r="AVL1" s="204"/>
      <c r="AVM1" s="204"/>
      <c r="AVN1" s="205"/>
      <c r="AVO1" s="204"/>
      <c r="AVP1" s="204"/>
      <c r="AVQ1" s="204"/>
      <c r="AVR1" s="204"/>
      <c r="AVS1" s="204"/>
      <c r="AVT1" s="204"/>
      <c r="AVU1" s="204"/>
      <c r="AVV1" s="204"/>
      <c r="AVW1" s="204"/>
      <c r="AVX1" s="204"/>
      <c r="AVY1" s="204"/>
      <c r="AVZ1" s="204"/>
      <c r="AWA1" s="204"/>
      <c r="AWB1" s="204"/>
      <c r="AWC1" s="204"/>
      <c r="AWD1" s="204"/>
      <c r="AWE1" s="204"/>
      <c r="AWF1" s="204"/>
      <c r="AWG1" s="204"/>
      <c r="AWH1" s="204"/>
      <c r="AWI1" s="204"/>
      <c r="AWJ1" s="204"/>
      <c r="AWK1" s="204"/>
      <c r="AWL1" s="204"/>
      <c r="AWM1" s="204"/>
      <c r="AWN1" s="204"/>
      <c r="AWO1" s="204"/>
      <c r="AWP1" s="205"/>
      <c r="AWQ1" s="204"/>
      <c r="AWR1" s="204"/>
      <c r="AWS1" s="204"/>
      <c r="AWT1" s="204"/>
      <c r="AWU1" s="204"/>
      <c r="AWV1" s="204"/>
      <c r="AWW1" s="204"/>
      <c r="AWX1" s="204"/>
      <c r="AWY1" s="204"/>
      <c r="AWZ1" s="204"/>
      <c r="AXA1" s="204"/>
      <c r="AXB1" s="204"/>
      <c r="AXC1" s="204"/>
      <c r="AXD1" s="204"/>
      <c r="AXE1" s="204"/>
      <c r="AXF1" s="204"/>
      <c r="AXG1" s="204"/>
      <c r="AXH1" s="204"/>
      <c r="AXI1" s="204"/>
      <c r="AXJ1" s="204"/>
      <c r="AXK1" s="204"/>
      <c r="AXL1" s="204"/>
      <c r="AXM1" s="204"/>
      <c r="AXN1" s="204"/>
      <c r="AXO1" s="204"/>
      <c r="AXP1" s="204"/>
      <c r="AXQ1" s="204"/>
      <c r="AXR1" s="205"/>
      <c r="AXS1" s="204"/>
      <c r="AXT1" s="204"/>
      <c r="AXU1" s="204"/>
      <c r="AXV1" s="204"/>
      <c r="AXW1" s="204"/>
      <c r="AXX1" s="204"/>
      <c r="AXY1" s="204"/>
      <c r="AXZ1" s="204"/>
      <c r="AYA1" s="204"/>
      <c r="AYB1" s="204"/>
      <c r="AYC1" s="204"/>
      <c r="AYD1" s="204"/>
      <c r="AYE1" s="204"/>
      <c r="AYF1" s="204"/>
      <c r="AYG1" s="204"/>
      <c r="AYH1" s="204"/>
      <c r="AYI1" s="204"/>
      <c r="AYJ1" s="204"/>
      <c r="AYK1" s="204"/>
      <c r="AYL1" s="204"/>
      <c r="AYM1" s="204"/>
      <c r="AYN1" s="204"/>
      <c r="AYO1" s="204"/>
      <c r="AYP1" s="204"/>
      <c r="AYQ1" s="204"/>
      <c r="AYR1" s="204"/>
      <c r="AYS1" s="204"/>
      <c r="AYT1" s="205"/>
      <c r="AYU1" s="204"/>
      <c r="AYV1" s="204"/>
      <c r="AYW1" s="204"/>
      <c r="AYX1" s="204"/>
      <c r="AYY1" s="204"/>
      <c r="AYZ1" s="204"/>
      <c r="AZA1" s="204"/>
      <c r="AZB1" s="204"/>
      <c r="AZC1" s="204"/>
      <c r="AZD1" s="204"/>
      <c r="AZE1" s="204"/>
      <c r="AZF1" s="204"/>
      <c r="AZG1" s="204"/>
      <c r="AZH1" s="204"/>
      <c r="AZI1" s="204"/>
      <c r="AZJ1" s="204"/>
      <c r="AZK1" s="204"/>
      <c r="AZL1" s="204"/>
      <c r="AZM1" s="204"/>
      <c r="AZN1" s="204"/>
      <c r="AZO1" s="204"/>
      <c r="AZP1" s="204"/>
      <c r="AZQ1" s="204"/>
      <c r="AZR1" s="204"/>
      <c r="AZS1" s="204"/>
      <c r="AZT1" s="204"/>
      <c r="AZU1" s="204"/>
      <c r="AZV1" s="205"/>
      <c r="AZW1" s="204"/>
      <c r="AZX1" s="204"/>
      <c r="AZY1" s="204"/>
      <c r="AZZ1" s="204"/>
      <c r="BAA1" s="204"/>
      <c r="BAB1" s="204"/>
      <c r="BAC1" s="204"/>
      <c r="BAD1" s="204"/>
      <c r="BAE1" s="204"/>
      <c r="BAF1" s="204"/>
      <c r="BAG1" s="204"/>
      <c r="BAH1" s="204"/>
      <c r="BAI1" s="204"/>
      <c r="BAJ1" s="204"/>
      <c r="BAK1" s="204"/>
      <c r="BAL1" s="204"/>
      <c r="BAM1" s="204"/>
      <c r="BAN1" s="204"/>
      <c r="BAO1" s="204"/>
      <c r="BAP1" s="204"/>
      <c r="BAQ1" s="204"/>
      <c r="BAR1" s="204"/>
      <c r="BAS1" s="204"/>
      <c r="BAT1" s="204"/>
      <c r="BAU1" s="204"/>
      <c r="BAV1" s="204"/>
      <c r="BAW1" s="204"/>
      <c r="BAX1" s="205"/>
      <c r="BAY1" s="204"/>
      <c r="BAZ1" s="204"/>
      <c r="BBA1" s="204"/>
      <c r="BBB1" s="204"/>
      <c r="BBC1" s="204"/>
      <c r="BBD1" s="204"/>
      <c r="BBE1" s="204"/>
      <c r="BBF1" s="204"/>
      <c r="BBG1" s="204"/>
      <c r="BBH1" s="204"/>
      <c r="BBI1" s="204"/>
      <c r="BBJ1" s="204"/>
      <c r="BBK1" s="204"/>
      <c r="BBL1" s="204"/>
      <c r="BBM1" s="204"/>
      <c r="BBN1" s="204"/>
      <c r="BBO1" s="204"/>
      <c r="BBP1" s="204"/>
      <c r="BBQ1" s="204"/>
      <c r="BBR1" s="204"/>
      <c r="BBS1" s="204"/>
      <c r="BBT1" s="204"/>
      <c r="BBU1" s="204"/>
      <c r="BBV1" s="204"/>
      <c r="BBW1" s="204"/>
      <c r="BBX1" s="204"/>
      <c r="BBY1" s="204"/>
      <c r="BBZ1" s="205"/>
      <c r="BCA1" s="204"/>
      <c r="BCB1" s="204"/>
      <c r="BCC1" s="204"/>
      <c r="BCD1" s="204"/>
      <c r="BCE1" s="204"/>
      <c r="BCF1" s="204"/>
      <c r="BCG1" s="204"/>
      <c r="BCH1" s="204"/>
      <c r="BCI1" s="204"/>
      <c r="BCJ1" s="204"/>
      <c r="BCK1" s="204"/>
      <c r="BCL1" s="204"/>
      <c r="BCM1" s="204"/>
      <c r="BCN1" s="204"/>
      <c r="BCO1" s="204"/>
      <c r="BCP1" s="204"/>
      <c r="BCQ1" s="204"/>
      <c r="BCR1" s="204"/>
      <c r="BCS1" s="204"/>
      <c r="BCT1" s="204"/>
      <c r="BCU1" s="204"/>
      <c r="BCV1" s="204"/>
      <c r="BCW1" s="204"/>
      <c r="BCX1" s="204"/>
      <c r="BCY1" s="204"/>
      <c r="BCZ1" s="204"/>
      <c r="BDA1" s="204"/>
      <c r="BDB1" s="205"/>
      <c r="BDC1" s="204"/>
      <c r="BDD1" s="204"/>
      <c r="BDE1" s="204"/>
      <c r="BDF1" s="204"/>
      <c r="BDG1" s="204"/>
      <c r="BDH1" s="204"/>
      <c r="BDI1" s="204"/>
      <c r="BDJ1" s="204"/>
      <c r="BDK1" s="204"/>
      <c r="BDL1" s="204"/>
      <c r="BDM1" s="204"/>
      <c r="BDN1" s="204"/>
      <c r="BDO1" s="204"/>
      <c r="BDP1" s="204"/>
      <c r="BDQ1" s="204"/>
      <c r="BDR1" s="204"/>
      <c r="BDS1" s="204"/>
      <c r="BDT1" s="204"/>
      <c r="BDU1" s="204"/>
      <c r="BDV1" s="204"/>
      <c r="BDW1" s="204"/>
      <c r="BDX1" s="204"/>
      <c r="BDY1" s="204"/>
      <c r="BDZ1" s="204"/>
      <c r="BEA1" s="204"/>
      <c r="BEB1" s="204"/>
      <c r="BEC1" s="204"/>
      <c r="BED1" s="205"/>
      <c r="BEE1" s="204"/>
      <c r="BEF1" s="204"/>
      <c r="BEG1" s="204"/>
      <c r="BEH1" s="204"/>
      <c r="BEI1" s="204"/>
      <c r="BEJ1" s="204"/>
      <c r="BEK1" s="204"/>
      <c r="BEL1" s="204"/>
      <c r="BEM1" s="204"/>
      <c r="BEN1" s="204"/>
      <c r="BEO1" s="204"/>
      <c r="BEP1" s="204"/>
      <c r="BEQ1" s="204"/>
      <c r="BER1" s="204"/>
      <c r="BES1" s="204"/>
      <c r="BET1" s="204"/>
      <c r="BEU1" s="204"/>
      <c r="BEV1" s="204"/>
      <c r="BEW1" s="204"/>
      <c r="BEX1" s="204"/>
      <c r="BEY1" s="204"/>
      <c r="BEZ1" s="204"/>
      <c r="BFA1" s="204"/>
      <c r="BFB1" s="204"/>
      <c r="BFC1" s="204"/>
      <c r="BFD1" s="204"/>
      <c r="BFE1" s="204"/>
      <c r="BFF1" s="205"/>
      <c r="BFG1" s="204"/>
      <c r="BFH1" s="204"/>
      <c r="BFI1" s="204"/>
      <c r="BFJ1" s="204"/>
      <c r="BFK1" s="204"/>
      <c r="BFL1" s="204"/>
      <c r="BFM1" s="204"/>
      <c r="BFN1" s="204"/>
      <c r="BFO1" s="204"/>
      <c r="BFP1" s="204"/>
      <c r="BFQ1" s="204"/>
      <c r="BFR1" s="204"/>
      <c r="BFS1" s="204"/>
      <c r="BFT1" s="204"/>
      <c r="BFU1" s="204"/>
      <c r="BFV1" s="204"/>
      <c r="BFW1" s="204"/>
      <c r="BFX1" s="204"/>
      <c r="BFY1" s="204"/>
      <c r="BFZ1" s="204"/>
      <c r="BGA1" s="204"/>
      <c r="BGB1" s="204"/>
      <c r="BGC1" s="204"/>
      <c r="BGD1" s="204"/>
      <c r="BGE1" s="204"/>
      <c r="BGF1" s="204"/>
      <c r="BGG1" s="204"/>
      <c r="BGH1" s="205"/>
      <c r="BGI1" s="204"/>
      <c r="BGJ1" s="204"/>
      <c r="BGK1" s="204"/>
      <c r="BGL1" s="204"/>
      <c r="BGM1" s="204"/>
      <c r="BGN1" s="204"/>
      <c r="BGO1" s="204"/>
      <c r="BGP1" s="204"/>
      <c r="BGQ1" s="204"/>
      <c r="BGR1" s="204"/>
      <c r="BGS1" s="204"/>
      <c r="BGT1" s="204"/>
      <c r="BGU1" s="204"/>
      <c r="BGV1" s="204"/>
      <c r="BGW1" s="204"/>
      <c r="BGX1" s="204"/>
      <c r="BGY1" s="204"/>
      <c r="BGZ1" s="204"/>
      <c r="BHA1" s="204"/>
      <c r="BHB1" s="204"/>
      <c r="BHC1" s="204"/>
      <c r="BHD1" s="204"/>
      <c r="BHE1" s="204"/>
      <c r="BHF1" s="204"/>
      <c r="BHG1" s="204"/>
      <c r="BHH1" s="204"/>
      <c r="BHI1" s="204"/>
      <c r="BHJ1" s="205"/>
      <c r="BHK1" s="204"/>
      <c r="BHL1" s="204"/>
      <c r="BHM1" s="204"/>
      <c r="BHN1" s="204"/>
      <c r="BHO1" s="204"/>
      <c r="BHP1" s="204"/>
      <c r="BHQ1" s="204"/>
      <c r="BHR1" s="204"/>
      <c r="BHS1" s="204"/>
      <c r="BHT1" s="204"/>
      <c r="BHU1" s="204"/>
      <c r="BHV1" s="204"/>
      <c r="BHW1" s="204"/>
      <c r="BHX1" s="204"/>
      <c r="BHY1" s="204"/>
      <c r="BHZ1" s="204"/>
      <c r="BIA1" s="204"/>
      <c r="BIB1" s="204"/>
      <c r="BIC1" s="204"/>
      <c r="BID1" s="204"/>
      <c r="BIE1" s="204"/>
      <c r="BIF1" s="204"/>
      <c r="BIG1" s="204"/>
      <c r="BIH1" s="204"/>
      <c r="BII1" s="204"/>
      <c r="BIJ1" s="204"/>
      <c r="BIK1" s="204"/>
      <c r="BIL1" s="205"/>
      <c r="BIM1" s="204"/>
      <c r="BIN1" s="204"/>
      <c r="BIO1" s="204"/>
      <c r="BIP1" s="204"/>
      <c r="BIQ1" s="204"/>
      <c r="BIR1" s="204"/>
      <c r="BIS1" s="204"/>
      <c r="BIT1" s="204"/>
      <c r="BIU1" s="204"/>
      <c r="BIV1" s="204"/>
      <c r="BIW1" s="204"/>
      <c r="BIX1" s="204"/>
      <c r="BIY1" s="204"/>
      <c r="BIZ1" s="204"/>
      <c r="BJA1" s="204"/>
      <c r="BJB1" s="204"/>
      <c r="BJC1" s="204"/>
      <c r="BJD1" s="204"/>
      <c r="BJE1" s="204"/>
      <c r="BJF1" s="204"/>
      <c r="BJG1" s="204"/>
      <c r="BJH1" s="204"/>
      <c r="BJI1" s="204"/>
      <c r="BJJ1" s="204"/>
      <c r="BJK1" s="204"/>
      <c r="BJL1" s="204"/>
      <c r="BJM1" s="204"/>
      <c r="BJN1" s="205"/>
      <c r="BJO1" s="204"/>
      <c r="BJP1" s="204"/>
      <c r="BJQ1" s="204"/>
      <c r="BJR1" s="204"/>
      <c r="BJS1" s="204"/>
      <c r="BJT1" s="204"/>
      <c r="BJU1" s="204"/>
      <c r="BJV1" s="204"/>
      <c r="BJW1" s="204"/>
      <c r="BJX1" s="204"/>
      <c r="BJY1" s="204"/>
      <c r="BJZ1" s="204"/>
      <c r="BKA1" s="204"/>
      <c r="BKB1" s="204"/>
      <c r="BKC1" s="204"/>
      <c r="BKD1" s="204"/>
      <c r="BKE1" s="204"/>
      <c r="BKF1" s="204"/>
      <c r="BKG1" s="204"/>
      <c r="BKH1" s="204"/>
      <c r="BKI1" s="204"/>
      <c r="BKJ1" s="204"/>
      <c r="BKK1" s="204"/>
      <c r="BKL1" s="204"/>
      <c r="BKM1" s="204"/>
      <c r="BKN1" s="204"/>
      <c r="BKO1" s="204"/>
      <c r="BKP1" s="205"/>
      <c r="BKQ1" s="204"/>
      <c r="BKR1" s="204"/>
      <c r="BKS1" s="204"/>
      <c r="BKT1" s="204"/>
      <c r="BKU1" s="204"/>
      <c r="BKV1" s="204"/>
      <c r="BKW1" s="204"/>
      <c r="BKX1" s="204"/>
      <c r="BKY1" s="204"/>
      <c r="BKZ1" s="204"/>
      <c r="BLA1" s="204"/>
      <c r="BLB1" s="204"/>
      <c r="BLC1" s="204"/>
      <c r="BLD1" s="204"/>
      <c r="BLE1" s="204"/>
      <c r="BLF1" s="204"/>
      <c r="BLG1" s="204"/>
      <c r="BLH1" s="204"/>
      <c r="BLI1" s="204"/>
      <c r="BLJ1" s="204"/>
      <c r="BLK1" s="204"/>
      <c r="BLL1" s="204"/>
      <c r="BLM1" s="204"/>
      <c r="BLN1" s="204"/>
      <c r="BLO1" s="204"/>
      <c r="BLP1" s="204"/>
      <c r="BLQ1" s="204"/>
      <c r="BLR1" s="205"/>
      <c r="BLS1" s="204"/>
      <c r="BLT1" s="204"/>
      <c r="BLU1" s="204"/>
      <c r="BLV1" s="204"/>
      <c r="BLW1" s="204"/>
      <c r="BLX1" s="204"/>
      <c r="BLY1" s="204"/>
      <c r="BLZ1" s="204"/>
      <c r="BMA1" s="204"/>
      <c r="BMB1" s="204"/>
      <c r="BMC1" s="204"/>
      <c r="BMD1" s="204"/>
      <c r="BME1" s="204"/>
      <c r="BMF1" s="204"/>
      <c r="BMG1" s="204"/>
      <c r="BMH1" s="204"/>
      <c r="BMI1" s="204"/>
      <c r="BMJ1" s="204"/>
      <c r="BMK1" s="204"/>
      <c r="BML1" s="204"/>
      <c r="BMM1" s="204"/>
      <c r="BMN1" s="204"/>
      <c r="BMO1" s="204"/>
      <c r="BMP1" s="204"/>
      <c r="BMQ1" s="204"/>
      <c r="BMR1" s="204"/>
      <c r="BMS1" s="204"/>
      <c r="BMT1" s="205"/>
      <c r="BMU1" s="204"/>
      <c r="BMV1" s="204"/>
      <c r="BMW1" s="204"/>
      <c r="BMX1" s="204"/>
      <c r="BMY1" s="204"/>
      <c r="BMZ1" s="204"/>
      <c r="BNA1" s="204"/>
      <c r="BNB1" s="204"/>
      <c r="BNC1" s="204"/>
      <c r="BND1" s="204"/>
      <c r="BNE1" s="204"/>
      <c r="BNF1" s="204"/>
      <c r="BNG1" s="204"/>
      <c r="BNH1" s="204"/>
      <c r="BNI1" s="204"/>
      <c r="BNJ1" s="204"/>
      <c r="BNK1" s="204"/>
      <c r="BNL1" s="204"/>
      <c r="BNM1" s="204"/>
      <c r="BNN1" s="204"/>
      <c r="BNO1" s="204"/>
      <c r="BNP1" s="204"/>
      <c r="BNQ1" s="204"/>
      <c r="BNR1" s="204"/>
      <c r="BNS1" s="204"/>
      <c r="BNT1" s="204"/>
      <c r="BNU1" s="204"/>
      <c r="BNV1" s="205"/>
      <c r="BNW1" s="204"/>
      <c r="BNX1" s="204"/>
      <c r="BNY1" s="204"/>
      <c r="BNZ1" s="204"/>
      <c r="BOA1" s="204"/>
      <c r="BOB1" s="204"/>
      <c r="BOC1" s="204"/>
      <c r="BOD1" s="204"/>
      <c r="BOE1" s="204"/>
      <c r="BOF1" s="204"/>
      <c r="BOG1" s="204"/>
      <c r="BOH1" s="204"/>
      <c r="BOI1" s="204"/>
      <c r="BOJ1" s="204"/>
      <c r="BOK1" s="204"/>
      <c r="BOL1" s="204"/>
      <c r="BOM1" s="204"/>
      <c r="BON1" s="204"/>
      <c r="BOO1" s="204"/>
      <c r="BOP1" s="204"/>
      <c r="BOQ1" s="204"/>
      <c r="BOR1" s="204"/>
      <c r="BOS1" s="204"/>
      <c r="BOT1" s="204"/>
      <c r="BOU1" s="204"/>
      <c r="BOV1" s="204"/>
      <c r="BOW1" s="204"/>
      <c r="BOX1" s="205"/>
      <c r="BOY1" s="204"/>
      <c r="BOZ1" s="204"/>
      <c r="BPA1" s="204"/>
      <c r="BPB1" s="204"/>
      <c r="BPC1" s="204"/>
      <c r="BPD1" s="204"/>
      <c r="BPE1" s="204"/>
      <c r="BPF1" s="204"/>
      <c r="BPG1" s="204"/>
      <c r="BPH1" s="204"/>
      <c r="BPI1" s="204"/>
      <c r="BPJ1" s="204"/>
      <c r="BPK1" s="204"/>
      <c r="BPL1" s="204"/>
      <c r="BPM1" s="204"/>
      <c r="BPN1" s="204"/>
      <c r="BPO1" s="204"/>
      <c r="BPP1" s="204"/>
      <c r="BPQ1" s="204"/>
      <c r="BPR1" s="204"/>
      <c r="BPS1" s="204"/>
      <c r="BPT1" s="204"/>
      <c r="BPU1" s="204"/>
      <c r="BPV1" s="204"/>
      <c r="BPW1" s="204"/>
      <c r="BPX1" s="204"/>
      <c r="BPY1" s="204"/>
      <c r="BPZ1" s="205"/>
      <c r="BQA1" s="204"/>
      <c r="BQB1" s="204"/>
      <c r="BQC1" s="204"/>
      <c r="BQD1" s="204"/>
      <c r="BQE1" s="204"/>
      <c r="BQF1" s="204"/>
      <c r="BQG1" s="204"/>
      <c r="BQH1" s="204"/>
      <c r="BQI1" s="204"/>
      <c r="BQJ1" s="204"/>
      <c r="BQK1" s="204"/>
      <c r="BQL1" s="204"/>
      <c r="BQM1" s="204"/>
      <c r="BQN1" s="204"/>
      <c r="BQO1" s="204"/>
      <c r="BQP1" s="204"/>
      <c r="BQQ1" s="204"/>
      <c r="BQR1" s="204"/>
      <c r="BQS1" s="204"/>
      <c r="BQT1" s="204"/>
      <c r="BQU1" s="204"/>
      <c r="BQV1" s="204"/>
      <c r="BQW1" s="204"/>
      <c r="BQX1" s="204"/>
      <c r="BQY1" s="204"/>
      <c r="BQZ1" s="204"/>
      <c r="BRA1" s="204"/>
      <c r="BRB1" s="205"/>
      <c r="BRC1" s="204"/>
      <c r="BRD1" s="204"/>
      <c r="BRE1" s="204"/>
      <c r="BRF1" s="204"/>
      <c r="BRG1" s="204"/>
      <c r="BRH1" s="204"/>
      <c r="BRI1" s="204"/>
      <c r="BRJ1" s="204"/>
      <c r="BRK1" s="204"/>
      <c r="BRL1" s="204"/>
      <c r="BRM1" s="204"/>
      <c r="BRN1" s="204"/>
      <c r="BRO1" s="204"/>
      <c r="BRP1" s="204"/>
      <c r="BRQ1" s="204"/>
      <c r="BRR1" s="204"/>
      <c r="BRS1" s="204"/>
      <c r="BRT1" s="204"/>
      <c r="BRU1" s="204"/>
      <c r="BRV1" s="204"/>
      <c r="BRW1" s="204"/>
      <c r="BRX1" s="204"/>
      <c r="BRY1" s="204"/>
      <c r="BRZ1" s="204"/>
      <c r="BSA1" s="204"/>
      <c r="BSB1" s="204"/>
      <c r="BSC1" s="204"/>
      <c r="BSD1" s="205"/>
      <c r="BSE1" s="204"/>
      <c r="BSF1" s="204"/>
      <c r="BSG1" s="204"/>
      <c r="BSH1" s="204"/>
      <c r="BSI1" s="204"/>
      <c r="BSJ1" s="204"/>
      <c r="BSK1" s="204"/>
      <c r="BSL1" s="204"/>
      <c r="BSM1" s="204"/>
      <c r="BSN1" s="204"/>
      <c r="BSO1" s="204"/>
      <c r="BSP1" s="204"/>
      <c r="BSQ1" s="204"/>
      <c r="BSR1" s="204"/>
      <c r="BSS1" s="204"/>
      <c r="BST1" s="204"/>
      <c r="BSU1" s="204"/>
      <c r="BSV1" s="204"/>
      <c r="BSW1" s="204"/>
      <c r="BSX1" s="204"/>
      <c r="BSY1" s="204"/>
      <c r="BSZ1" s="204"/>
      <c r="BTA1" s="204"/>
      <c r="BTB1" s="204"/>
      <c r="BTC1" s="204"/>
      <c r="BTD1" s="204"/>
      <c r="BTE1" s="204"/>
      <c r="BTF1" s="205"/>
      <c r="BTG1" s="204"/>
      <c r="BTH1" s="204"/>
      <c r="BTI1" s="204"/>
      <c r="BTJ1" s="204"/>
      <c r="BTK1" s="204"/>
      <c r="BTL1" s="204"/>
      <c r="BTM1" s="204"/>
      <c r="BTN1" s="204"/>
      <c r="BTO1" s="204"/>
      <c r="BTP1" s="204"/>
      <c r="BTQ1" s="204"/>
      <c r="BTR1" s="204"/>
      <c r="BTS1" s="204"/>
      <c r="BTT1" s="204"/>
      <c r="BTU1" s="204"/>
      <c r="BTV1" s="204"/>
      <c r="BTW1" s="204"/>
      <c r="BTX1" s="204"/>
      <c r="BTY1" s="204"/>
      <c r="BTZ1" s="204"/>
      <c r="BUA1" s="204"/>
      <c r="BUB1" s="204"/>
      <c r="BUC1" s="204"/>
      <c r="BUD1" s="204"/>
      <c r="BUE1" s="204"/>
      <c r="BUF1" s="204"/>
      <c r="BUG1" s="204"/>
      <c r="BUH1" s="205"/>
      <c r="BUI1" s="204"/>
      <c r="BUJ1" s="204"/>
      <c r="BUK1" s="204"/>
      <c r="BUL1" s="204"/>
      <c r="BUM1" s="204"/>
      <c r="BUN1" s="204"/>
      <c r="BUO1" s="204"/>
      <c r="BUP1" s="204"/>
      <c r="BUQ1" s="204"/>
      <c r="BUR1" s="204"/>
      <c r="BUS1" s="204"/>
      <c r="BUT1" s="204"/>
      <c r="BUU1" s="204"/>
      <c r="BUV1" s="204"/>
      <c r="BUW1" s="204"/>
      <c r="BUX1" s="204"/>
      <c r="BUY1" s="204"/>
      <c r="BUZ1" s="204"/>
      <c r="BVA1" s="204"/>
      <c r="BVB1" s="204"/>
      <c r="BVC1" s="204"/>
      <c r="BVD1" s="204"/>
      <c r="BVE1" s="204"/>
      <c r="BVF1" s="204"/>
      <c r="BVG1" s="204"/>
      <c r="BVH1" s="204"/>
      <c r="BVI1" s="204"/>
      <c r="BVJ1" s="205"/>
      <c r="BVK1" s="204"/>
      <c r="BVL1" s="204"/>
      <c r="BVM1" s="204"/>
      <c r="BVN1" s="204"/>
      <c r="BVO1" s="204"/>
      <c r="BVP1" s="204"/>
      <c r="BVQ1" s="204"/>
      <c r="BVR1" s="204"/>
      <c r="BVS1" s="204"/>
      <c r="BVT1" s="204"/>
      <c r="BVU1" s="204"/>
      <c r="BVV1" s="204"/>
      <c r="BVW1" s="204"/>
      <c r="BVX1" s="204"/>
      <c r="BVY1" s="204"/>
      <c r="BVZ1" s="204"/>
      <c r="BWA1" s="204"/>
      <c r="BWB1" s="204"/>
      <c r="BWC1" s="204"/>
      <c r="BWD1" s="204"/>
      <c r="BWE1" s="204"/>
      <c r="BWF1" s="204"/>
      <c r="BWG1" s="204"/>
      <c r="BWH1" s="204"/>
      <c r="BWI1" s="204"/>
      <c r="BWJ1" s="204"/>
      <c r="BWK1" s="204"/>
      <c r="BWL1" s="205"/>
      <c r="BWM1" s="204"/>
      <c r="BWN1" s="204"/>
      <c r="BWO1" s="204"/>
      <c r="BWP1" s="204"/>
      <c r="BWQ1" s="204"/>
      <c r="BWR1" s="204"/>
      <c r="BWS1" s="204"/>
      <c r="BWT1" s="204"/>
      <c r="BWU1" s="204"/>
      <c r="BWV1" s="204"/>
      <c r="BWW1" s="204"/>
      <c r="BWX1" s="204"/>
      <c r="BWY1" s="204"/>
      <c r="BWZ1" s="204"/>
      <c r="BXA1" s="204"/>
      <c r="BXB1" s="204"/>
      <c r="BXC1" s="204"/>
      <c r="BXD1" s="204"/>
      <c r="BXE1" s="204"/>
      <c r="BXF1" s="204"/>
      <c r="BXG1" s="204"/>
      <c r="BXH1" s="204"/>
      <c r="BXI1" s="204"/>
      <c r="BXJ1" s="204"/>
      <c r="BXK1" s="204"/>
      <c r="BXL1" s="204"/>
      <c r="BXM1" s="204"/>
      <c r="BXN1" s="205"/>
      <c r="BXO1" s="204"/>
      <c r="BXP1" s="204"/>
      <c r="BXQ1" s="204"/>
      <c r="BXR1" s="204"/>
      <c r="BXS1" s="204"/>
      <c r="BXT1" s="204"/>
      <c r="BXU1" s="204"/>
      <c r="BXV1" s="204"/>
      <c r="BXW1" s="204"/>
      <c r="BXX1" s="204"/>
      <c r="BXY1" s="204"/>
      <c r="BXZ1" s="204"/>
      <c r="BYA1" s="204"/>
      <c r="BYB1" s="204"/>
      <c r="BYC1" s="204"/>
      <c r="BYD1" s="204"/>
      <c r="BYE1" s="204"/>
      <c r="BYF1" s="204"/>
      <c r="BYG1" s="204"/>
      <c r="BYH1" s="204"/>
      <c r="BYI1" s="204"/>
      <c r="BYJ1" s="204"/>
      <c r="BYK1" s="204"/>
      <c r="BYL1" s="204"/>
      <c r="BYM1" s="204"/>
      <c r="BYN1" s="204"/>
      <c r="BYO1" s="204"/>
      <c r="BYP1" s="205"/>
      <c r="BYQ1" s="204"/>
      <c r="BYR1" s="204"/>
      <c r="BYS1" s="204"/>
      <c r="BYT1" s="204"/>
      <c r="BYU1" s="204"/>
      <c r="BYV1" s="204"/>
      <c r="BYW1" s="204"/>
      <c r="BYX1" s="204"/>
      <c r="BYY1" s="204"/>
      <c r="BYZ1" s="204"/>
      <c r="BZA1" s="204"/>
      <c r="BZB1" s="204"/>
      <c r="BZC1" s="204"/>
      <c r="BZD1" s="204"/>
      <c r="BZE1" s="204"/>
      <c r="BZF1" s="204"/>
      <c r="BZG1" s="204"/>
      <c r="BZH1" s="204"/>
      <c r="BZI1" s="204"/>
      <c r="BZJ1" s="204"/>
      <c r="BZK1" s="204"/>
      <c r="BZL1" s="204"/>
      <c r="BZM1" s="204"/>
      <c r="BZN1" s="204"/>
      <c r="BZO1" s="204"/>
      <c r="BZP1" s="204"/>
      <c r="BZQ1" s="204"/>
      <c r="BZR1" s="205"/>
      <c r="BZS1" s="204"/>
      <c r="BZT1" s="204"/>
      <c r="BZU1" s="204"/>
      <c r="BZV1" s="204"/>
      <c r="BZW1" s="204"/>
      <c r="BZX1" s="204"/>
      <c r="BZY1" s="204"/>
      <c r="BZZ1" s="204"/>
      <c r="CAA1" s="204"/>
      <c r="CAB1" s="204"/>
      <c r="CAC1" s="204"/>
      <c r="CAD1" s="204"/>
      <c r="CAE1" s="204"/>
      <c r="CAF1" s="204"/>
      <c r="CAG1" s="204"/>
      <c r="CAH1" s="204"/>
      <c r="CAI1" s="204"/>
      <c r="CAJ1" s="204"/>
      <c r="CAK1" s="204"/>
      <c r="CAL1" s="204"/>
      <c r="CAM1" s="204"/>
      <c r="CAN1" s="204"/>
      <c r="CAO1" s="204"/>
      <c r="CAP1" s="204"/>
      <c r="CAQ1" s="204"/>
      <c r="CAR1" s="204"/>
      <c r="CAS1" s="204"/>
      <c r="CAT1" s="205"/>
      <c r="CAU1" s="204"/>
      <c r="CAV1" s="204"/>
      <c r="CAW1" s="204"/>
      <c r="CAX1" s="204"/>
      <c r="CAY1" s="204"/>
      <c r="CAZ1" s="204"/>
      <c r="CBA1" s="204"/>
      <c r="CBB1" s="204"/>
      <c r="CBC1" s="204"/>
      <c r="CBD1" s="204"/>
      <c r="CBE1" s="204"/>
      <c r="CBF1" s="204"/>
      <c r="CBG1" s="204"/>
      <c r="CBH1" s="204"/>
      <c r="CBI1" s="204"/>
      <c r="CBJ1" s="204"/>
      <c r="CBK1" s="204"/>
      <c r="CBL1" s="204"/>
      <c r="CBM1" s="204"/>
      <c r="CBN1" s="204"/>
      <c r="CBO1" s="204"/>
      <c r="CBP1" s="204"/>
      <c r="CBQ1" s="204"/>
      <c r="CBR1" s="204"/>
      <c r="CBS1" s="204"/>
      <c r="CBT1" s="204"/>
      <c r="CBU1" s="204"/>
      <c r="CBV1" s="205"/>
      <c r="CBW1" s="204"/>
      <c r="CBX1" s="204"/>
      <c r="CBY1" s="204"/>
      <c r="CBZ1" s="204"/>
      <c r="CCA1" s="204"/>
      <c r="CCB1" s="204"/>
      <c r="CCC1" s="204"/>
      <c r="CCD1" s="204"/>
      <c r="CCE1" s="204"/>
      <c r="CCF1" s="204"/>
      <c r="CCG1" s="204"/>
      <c r="CCH1" s="204"/>
      <c r="CCI1" s="204"/>
      <c r="CCJ1" s="204"/>
      <c r="CCK1" s="204"/>
      <c r="CCL1" s="204"/>
      <c r="CCM1" s="204"/>
      <c r="CCN1" s="204"/>
      <c r="CCO1" s="204"/>
      <c r="CCP1" s="204"/>
      <c r="CCQ1" s="204"/>
      <c r="CCR1" s="204"/>
      <c r="CCS1" s="204"/>
      <c r="CCT1" s="204"/>
      <c r="CCU1" s="204"/>
      <c r="CCV1" s="204"/>
      <c r="CCW1" s="204"/>
      <c r="CCX1" s="205"/>
      <c r="CCY1" s="204"/>
      <c r="CCZ1" s="204"/>
      <c r="CDA1" s="204"/>
      <c r="CDB1" s="204"/>
      <c r="CDC1" s="204"/>
      <c r="CDD1" s="204"/>
      <c r="CDE1" s="204"/>
      <c r="CDF1" s="204"/>
      <c r="CDG1" s="204"/>
      <c r="CDH1" s="204"/>
      <c r="CDI1" s="204"/>
      <c r="CDJ1" s="204"/>
      <c r="CDK1" s="204"/>
      <c r="CDL1" s="204"/>
      <c r="CDM1" s="204"/>
      <c r="CDN1" s="204"/>
      <c r="CDO1" s="204"/>
      <c r="CDP1" s="204"/>
      <c r="CDQ1" s="204"/>
      <c r="CDR1" s="204"/>
      <c r="CDS1" s="204"/>
      <c r="CDT1" s="204"/>
      <c r="CDU1" s="204"/>
      <c r="CDV1" s="204"/>
      <c r="CDW1" s="204"/>
      <c r="CDX1" s="204"/>
      <c r="CDY1" s="204"/>
      <c r="CDZ1" s="205"/>
      <c r="CEA1" s="204"/>
      <c r="CEB1" s="204"/>
      <c r="CEC1" s="204"/>
      <c r="CED1" s="204"/>
      <c r="CEE1" s="204"/>
      <c r="CEF1" s="204"/>
      <c r="CEG1" s="204"/>
      <c r="CEH1" s="204"/>
      <c r="CEI1" s="204"/>
      <c r="CEJ1" s="204"/>
      <c r="CEK1" s="204"/>
      <c r="CEL1" s="204"/>
      <c r="CEM1" s="204"/>
      <c r="CEN1" s="204"/>
      <c r="CEO1" s="204"/>
      <c r="CEP1" s="204"/>
      <c r="CEQ1" s="204"/>
      <c r="CER1" s="204"/>
      <c r="CES1" s="204"/>
      <c r="CET1" s="204"/>
      <c r="CEU1" s="204"/>
      <c r="CEV1" s="204"/>
      <c r="CEW1" s="204"/>
      <c r="CEX1" s="204"/>
      <c r="CEY1" s="204"/>
      <c r="CEZ1" s="204"/>
      <c r="CFA1" s="204"/>
      <c r="CFB1" s="205"/>
      <c r="CFC1" s="204"/>
      <c r="CFD1" s="204"/>
      <c r="CFE1" s="204"/>
      <c r="CFF1" s="204"/>
      <c r="CFG1" s="204"/>
      <c r="CFH1" s="204"/>
      <c r="CFI1" s="204"/>
      <c r="CFJ1" s="204"/>
      <c r="CFK1" s="204"/>
      <c r="CFL1" s="204"/>
      <c r="CFM1" s="204"/>
      <c r="CFN1" s="204"/>
      <c r="CFO1" s="204"/>
      <c r="CFP1" s="204"/>
      <c r="CFQ1" s="204"/>
      <c r="CFR1" s="204"/>
      <c r="CFS1" s="204"/>
      <c r="CFT1" s="204"/>
      <c r="CFU1" s="204"/>
      <c r="CFV1" s="204"/>
      <c r="CFW1" s="204"/>
      <c r="CFX1" s="204"/>
      <c r="CFY1" s="204"/>
      <c r="CFZ1" s="204"/>
      <c r="CGA1" s="204"/>
      <c r="CGB1" s="204"/>
      <c r="CGC1" s="204"/>
      <c r="CGD1" s="205"/>
      <c r="CGE1" s="204"/>
      <c r="CGF1" s="204"/>
      <c r="CGG1" s="204"/>
      <c r="CGH1" s="204"/>
      <c r="CGI1" s="204"/>
      <c r="CGJ1" s="204"/>
      <c r="CGK1" s="204"/>
      <c r="CGL1" s="204"/>
      <c r="CGM1" s="204"/>
      <c r="CGN1" s="204"/>
      <c r="CGO1" s="204"/>
      <c r="CGP1" s="204"/>
      <c r="CGQ1" s="204"/>
      <c r="CGR1" s="204"/>
      <c r="CGS1" s="204"/>
      <c r="CGT1" s="204"/>
      <c r="CGU1" s="204"/>
      <c r="CGV1" s="204"/>
      <c r="CGW1" s="204"/>
      <c r="CGX1" s="204"/>
      <c r="CGY1" s="204"/>
      <c r="CGZ1" s="204"/>
      <c r="CHA1" s="204"/>
      <c r="CHB1" s="204"/>
      <c r="CHC1" s="204"/>
      <c r="CHD1" s="204"/>
      <c r="CHE1" s="204"/>
      <c r="CHF1" s="205"/>
      <c r="CHG1" s="204"/>
      <c r="CHH1" s="204"/>
      <c r="CHI1" s="204"/>
      <c r="CHJ1" s="204"/>
      <c r="CHK1" s="204"/>
      <c r="CHL1" s="204"/>
      <c r="CHM1" s="204"/>
      <c r="CHN1" s="204"/>
      <c r="CHO1" s="204"/>
      <c r="CHP1" s="204"/>
      <c r="CHQ1" s="204"/>
      <c r="CHR1" s="204"/>
      <c r="CHS1" s="204"/>
      <c r="CHT1" s="204"/>
      <c r="CHU1" s="204"/>
      <c r="CHV1" s="204"/>
      <c r="CHW1" s="204"/>
      <c r="CHX1" s="204"/>
      <c r="CHY1" s="204"/>
      <c r="CHZ1" s="204"/>
      <c r="CIA1" s="204"/>
      <c r="CIB1" s="204"/>
      <c r="CIC1" s="204"/>
      <c r="CID1" s="204"/>
      <c r="CIE1" s="204"/>
      <c r="CIF1" s="204"/>
      <c r="CIG1" s="204"/>
      <c r="CIH1" s="205"/>
      <c r="CII1" s="204"/>
      <c r="CIJ1" s="204"/>
      <c r="CIK1" s="204"/>
      <c r="CIL1" s="204"/>
      <c r="CIM1" s="204"/>
      <c r="CIN1" s="204"/>
      <c r="CIO1" s="204"/>
      <c r="CIP1" s="204"/>
      <c r="CIQ1" s="204"/>
      <c r="CIR1" s="204"/>
      <c r="CIS1" s="204"/>
      <c r="CIT1" s="204"/>
      <c r="CIU1" s="204"/>
      <c r="CIV1" s="204"/>
      <c r="CIW1" s="204"/>
      <c r="CIX1" s="204"/>
      <c r="CIY1" s="204"/>
      <c r="CIZ1" s="204"/>
      <c r="CJA1" s="204"/>
      <c r="CJB1" s="204"/>
      <c r="CJC1" s="204"/>
      <c r="CJD1" s="204"/>
      <c r="CJE1" s="204"/>
      <c r="CJF1" s="204"/>
      <c r="CJG1" s="204"/>
      <c r="CJH1" s="204"/>
      <c r="CJI1" s="204"/>
      <c r="CJJ1" s="205"/>
      <c r="CJK1" s="204"/>
      <c r="CJL1" s="204"/>
      <c r="CJM1" s="204"/>
      <c r="CJN1" s="204"/>
      <c r="CJO1" s="204"/>
      <c r="CJP1" s="204"/>
      <c r="CJQ1" s="204"/>
      <c r="CJR1" s="204"/>
      <c r="CJS1" s="204"/>
      <c r="CJT1" s="204"/>
      <c r="CJU1" s="204"/>
      <c r="CJV1" s="204"/>
      <c r="CJW1" s="204"/>
      <c r="CJX1" s="204"/>
      <c r="CJY1" s="204"/>
      <c r="CJZ1" s="204"/>
      <c r="CKA1" s="204"/>
      <c r="CKB1" s="204"/>
      <c r="CKC1" s="204"/>
      <c r="CKD1" s="204"/>
      <c r="CKE1" s="204"/>
      <c r="CKF1" s="204"/>
      <c r="CKG1" s="204"/>
      <c r="CKH1" s="204"/>
      <c r="CKI1" s="204"/>
      <c r="CKJ1" s="204"/>
      <c r="CKK1" s="204"/>
      <c r="CKL1" s="205"/>
      <c r="CKM1" s="204"/>
      <c r="CKN1" s="204"/>
      <c r="CKO1" s="204"/>
      <c r="CKP1" s="204"/>
      <c r="CKQ1" s="204"/>
      <c r="CKR1" s="204"/>
      <c r="CKS1" s="204"/>
      <c r="CKT1" s="204"/>
      <c r="CKU1" s="204"/>
      <c r="CKV1" s="204"/>
      <c r="CKW1" s="204"/>
      <c r="CKX1" s="204"/>
      <c r="CKY1" s="204"/>
      <c r="CKZ1" s="204"/>
      <c r="CLA1" s="204"/>
      <c r="CLB1" s="204"/>
      <c r="CLC1" s="204"/>
      <c r="CLD1" s="204"/>
      <c r="CLE1" s="204"/>
      <c r="CLF1" s="204"/>
      <c r="CLG1" s="204"/>
      <c r="CLH1" s="204"/>
      <c r="CLI1" s="204"/>
      <c r="CLJ1" s="204"/>
      <c r="CLK1" s="204"/>
      <c r="CLL1" s="204"/>
      <c r="CLM1" s="204"/>
      <c r="CLN1" s="205"/>
      <c r="CLO1" s="204"/>
      <c r="CLP1" s="204"/>
      <c r="CLQ1" s="204"/>
      <c r="CLR1" s="204"/>
      <c r="CLS1" s="204"/>
      <c r="CLT1" s="204"/>
      <c r="CLU1" s="204"/>
      <c r="CLV1" s="204"/>
      <c r="CLW1" s="204"/>
      <c r="CLX1" s="204"/>
      <c r="CLY1" s="204"/>
      <c r="CLZ1" s="204"/>
      <c r="CMA1" s="204"/>
      <c r="CMB1" s="204"/>
      <c r="CMC1" s="204"/>
      <c r="CMD1" s="204"/>
      <c r="CME1" s="204"/>
      <c r="CMF1" s="204"/>
      <c r="CMG1" s="204"/>
      <c r="CMH1" s="204"/>
      <c r="CMI1" s="204"/>
      <c r="CMJ1" s="204"/>
      <c r="CMK1" s="204"/>
      <c r="CML1" s="204"/>
      <c r="CMM1" s="204"/>
      <c r="CMN1" s="204"/>
      <c r="CMO1" s="204"/>
      <c r="CMP1" s="205"/>
      <c r="CMQ1" s="204"/>
      <c r="CMR1" s="204"/>
      <c r="CMS1" s="204"/>
      <c r="CMT1" s="204"/>
      <c r="CMU1" s="204"/>
      <c r="CMV1" s="204"/>
      <c r="CMW1" s="204"/>
      <c r="CMX1" s="204"/>
      <c r="CMY1" s="204"/>
      <c r="CMZ1" s="204"/>
      <c r="CNA1" s="204"/>
      <c r="CNB1" s="204"/>
      <c r="CNC1" s="204"/>
      <c r="CND1" s="204"/>
      <c r="CNE1" s="204"/>
      <c r="CNF1" s="204"/>
      <c r="CNG1" s="204"/>
      <c r="CNH1" s="204"/>
      <c r="CNI1" s="204"/>
      <c r="CNJ1" s="204"/>
      <c r="CNK1" s="204"/>
      <c r="CNL1" s="204"/>
      <c r="CNM1" s="204"/>
      <c r="CNN1" s="204"/>
      <c r="CNO1" s="204"/>
      <c r="CNP1" s="204"/>
      <c r="CNQ1" s="204"/>
      <c r="CNR1" s="205"/>
      <c r="CNS1" s="204"/>
      <c r="CNT1" s="204"/>
      <c r="CNU1" s="204"/>
      <c r="CNV1" s="204"/>
      <c r="CNW1" s="204"/>
      <c r="CNX1" s="204"/>
      <c r="CNY1" s="204"/>
      <c r="CNZ1" s="204"/>
      <c r="COA1" s="204"/>
      <c r="COB1" s="204"/>
      <c r="COC1" s="204"/>
      <c r="COD1" s="204"/>
      <c r="COE1" s="204"/>
      <c r="COF1" s="204"/>
      <c r="COG1" s="204"/>
      <c r="COH1" s="204"/>
      <c r="COI1" s="204"/>
      <c r="COJ1" s="204"/>
      <c r="COK1" s="204"/>
      <c r="COL1" s="204"/>
      <c r="COM1" s="204"/>
      <c r="CON1" s="204"/>
      <c r="COO1" s="204"/>
      <c r="COP1" s="204"/>
      <c r="COQ1" s="204"/>
      <c r="COR1" s="204"/>
      <c r="COS1" s="204"/>
      <c r="COT1" s="205"/>
      <c r="COU1" s="204"/>
      <c r="COV1" s="204"/>
      <c r="COW1" s="204"/>
      <c r="COX1" s="204"/>
      <c r="COY1" s="204"/>
      <c r="COZ1" s="204"/>
      <c r="CPA1" s="204"/>
      <c r="CPB1" s="204"/>
      <c r="CPC1" s="204"/>
      <c r="CPD1" s="204"/>
      <c r="CPE1" s="204"/>
      <c r="CPF1" s="204"/>
      <c r="CPG1" s="204"/>
      <c r="CPH1" s="204"/>
      <c r="CPI1" s="204"/>
      <c r="CPJ1" s="204"/>
      <c r="CPK1" s="204"/>
      <c r="CPL1" s="204"/>
      <c r="CPM1" s="204"/>
      <c r="CPN1" s="204"/>
      <c r="CPO1" s="204"/>
      <c r="CPP1" s="204"/>
      <c r="CPQ1" s="204"/>
      <c r="CPR1" s="204"/>
      <c r="CPS1" s="204"/>
      <c r="CPT1" s="204"/>
      <c r="CPU1" s="204"/>
      <c r="CPV1" s="205"/>
      <c r="CPW1" s="204"/>
      <c r="CPX1" s="204"/>
      <c r="CPY1" s="204"/>
      <c r="CPZ1" s="204"/>
      <c r="CQA1" s="204"/>
      <c r="CQB1" s="204"/>
      <c r="CQC1" s="204"/>
      <c r="CQD1" s="204"/>
      <c r="CQE1" s="204"/>
      <c r="CQF1" s="204"/>
      <c r="CQG1" s="204"/>
      <c r="CQH1" s="204"/>
      <c r="CQI1" s="204"/>
      <c r="CQJ1" s="204"/>
      <c r="CQK1" s="204"/>
      <c r="CQL1" s="204"/>
      <c r="CQM1" s="204"/>
      <c r="CQN1" s="204"/>
      <c r="CQO1" s="204"/>
      <c r="CQP1" s="204"/>
      <c r="CQQ1" s="204"/>
      <c r="CQR1" s="204"/>
      <c r="CQS1" s="204"/>
      <c r="CQT1" s="204"/>
      <c r="CQU1" s="204"/>
      <c r="CQV1" s="204"/>
      <c r="CQW1" s="204"/>
      <c r="CQX1" s="205"/>
      <c r="CQY1" s="204"/>
      <c r="CQZ1" s="204"/>
      <c r="CRA1" s="204"/>
      <c r="CRB1" s="204"/>
      <c r="CRC1" s="204"/>
      <c r="CRD1" s="204"/>
      <c r="CRE1" s="204"/>
      <c r="CRF1" s="204"/>
      <c r="CRG1" s="204"/>
      <c r="CRH1" s="204"/>
      <c r="CRI1" s="204"/>
      <c r="CRJ1" s="204"/>
      <c r="CRK1" s="204"/>
      <c r="CRL1" s="204"/>
      <c r="CRM1" s="204"/>
      <c r="CRN1" s="204"/>
      <c r="CRO1" s="204"/>
      <c r="CRP1" s="204"/>
      <c r="CRQ1" s="204"/>
      <c r="CRR1" s="204"/>
      <c r="CRS1" s="204"/>
      <c r="CRT1" s="204"/>
      <c r="CRU1" s="204"/>
      <c r="CRV1" s="204"/>
      <c r="CRW1" s="204"/>
      <c r="CRX1" s="204"/>
      <c r="CRY1" s="204"/>
      <c r="CRZ1" s="205"/>
      <c r="CSA1" s="204"/>
      <c r="CSB1" s="204"/>
      <c r="CSC1" s="204"/>
      <c r="CSD1" s="204"/>
      <c r="CSE1" s="204"/>
      <c r="CSF1" s="204"/>
      <c r="CSG1" s="204"/>
      <c r="CSH1" s="204"/>
      <c r="CSI1" s="204"/>
      <c r="CSJ1" s="204"/>
      <c r="CSK1" s="204"/>
      <c r="CSL1" s="204"/>
      <c r="CSM1" s="204"/>
      <c r="CSN1" s="204"/>
      <c r="CSO1" s="204"/>
      <c r="CSP1" s="204"/>
      <c r="CSQ1" s="204"/>
      <c r="CSR1" s="204"/>
      <c r="CSS1" s="204"/>
      <c r="CST1" s="204"/>
      <c r="CSU1" s="204"/>
      <c r="CSV1" s="204"/>
      <c r="CSW1" s="204"/>
      <c r="CSX1" s="204"/>
      <c r="CSY1" s="204"/>
      <c r="CSZ1" s="204"/>
      <c r="CTA1" s="204"/>
      <c r="CTB1" s="205"/>
      <c r="CTC1" s="204"/>
      <c r="CTD1" s="204"/>
      <c r="CTE1" s="204"/>
      <c r="CTF1" s="204"/>
      <c r="CTG1" s="204"/>
      <c r="CTH1" s="204"/>
      <c r="CTI1" s="204"/>
      <c r="CTJ1" s="204"/>
      <c r="CTK1" s="204"/>
      <c r="CTL1" s="204"/>
      <c r="CTM1" s="204"/>
      <c r="CTN1" s="204"/>
      <c r="CTO1" s="204"/>
      <c r="CTP1" s="204"/>
      <c r="CTQ1" s="204"/>
      <c r="CTR1" s="204"/>
      <c r="CTS1" s="204"/>
      <c r="CTT1" s="204"/>
      <c r="CTU1" s="204"/>
      <c r="CTV1" s="204"/>
      <c r="CTW1" s="204"/>
      <c r="CTX1" s="204"/>
      <c r="CTY1" s="204"/>
      <c r="CTZ1" s="204"/>
      <c r="CUA1" s="204"/>
      <c r="CUB1" s="204"/>
      <c r="CUC1" s="204"/>
      <c r="CUD1" s="205"/>
      <c r="CUE1" s="204"/>
      <c r="CUF1" s="204"/>
      <c r="CUG1" s="204"/>
      <c r="CUH1" s="204"/>
      <c r="CUI1" s="204"/>
      <c r="CUJ1" s="204"/>
      <c r="CUK1" s="204"/>
      <c r="CUL1" s="204"/>
      <c r="CUM1" s="204"/>
      <c r="CUN1" s="204"/>
      <c r="CUO1" s="204"/>
      <c r="CUP1" s="204"/>
      <c r="CUQ1" s="204"/>
      <c r="CUR1" s="204"/>
      <c r="CUS1" s="204"/>
      <c r="CUT1" s="204"/>
      <c r="CUU1" s="204"/>
      <c r="CUV1" s="204"/>
      <c r="CUW1" s="204"/>
      <c r="CUX1" s="204"/>
      <c r="CUY1" s="204"/>
      <c r="CUZ1" s="204"/>
      <c r="CVA1" s="204"/>
      <c r="CVB1" s="204"/>
      <c r="CVC1" s="204"/>
      <c r="CVD1" s="204"/>
      <c r="CVE1" s="204"/>
      <c r="CVF1" s="205"/>
      <c r="CVG1" s="204"/>
      <c r="CVH1" s="204"/>
      <c r="CVI1" s="204"/>
      <c r="CVJ1" s="204"/>
      <c r="CVK1" s="204"/>
      <c r="CVL1" s="204"/>
      <c r="CVM1" s="204"/>
      <c r="CVN1" s="204"/>
      <c r="CVO1" s="204"/>
      <c r="CVP1" s="204"/>
      <c r="CVQ1" s="204"/>
      <c r="CVR1" s="204"/>
      <c r="CVS1" s="204"/>
      <c r="CVT1" s="204"/>
      <c r="CVU1" s="204"/>
      <c r="CVV1" s="204"/>
      <c r="CVW1" s="204"/>
      <c r="CVX1" s="204"/>
      <c r="CVY1" s="204"/>
      <c r="CVZ1" s="204"/>
      <c r="CWA1" s="204"/>
      <c r="CWB1" s="204"/>
      <c r="CWC1" s="204"/>
      <c r="CWD1" s="204"/>
      <c r="CWE1" s="204"/>
      <c r="CWF1" s="204"/>
      <c r="CWG1" s="204"/>
      <c r="CWH1" s="205"/>
      <c r="CWI1" s="204"/>
      <c r="CWJ1" s="204"/>
      <c r="CWK1" s="204"/>
      <c r="CWL1" s="204"/>
      <c r="CWM1" s="204"/>
      <c r="CWN1" s="204"/>
      <c r="CWO1" s="204"/>
      <c r="CWP1" s="204"/>
      <c r="CWQ1" s="204"/>
      <c r="CWR1" s="204"/>
      <c r="CWS1" s="204"/>
      <c r="CWT1" s="204"/>
      <c r="CWU1" s="204"/>
      <c r="CWV1" s="204"/>
      <c r="CWW1" s="204"/>
      <c r="CWX1" s="204"/>
      <c r="CWY1" s="204"/>
      <c r="CWZ1" s="204"/>
      <c r="CXA1" s="204"/>
      <c r="CXB1" s="204"/>
      <c r="CXC1" s="204"/>
      <c r="CXD1" s="204"/>
      <c r="CXE1" s="204"/>
      <c r="CXF1" s="204"/>
      <c r="CXG1" s="204"/>
      <c r="CXH1" s="204"/>
      <c r="CXI1" s="204"/>
      <c r="CXJ1" s="205"/>
      <c r="CXK1" s="204"/>
      <c r="CXL1" s="204"/>
      <c r="CXM1" s="204"/>
      <c r="CXN1" s="204"/>
      <c r="CXO1" s="204"/>
      <c r="CXP1" s="204"/>
      <c r="CXQ1" s="204"/>
      <c r="CXR1" s="204"/>
      <c r="CXS1" s="204"/>
      <c r="CXT1" s="204"/>
      <c r="CXU1" s="204"/>
      <c r="CXV1" s="204"/>
      <c r="CXW1" s="204"/>
      <c r="CXX1" s="204"/>
      <c r="CXY1" s="204"/>
      <c r="CXZ1" s="204"/>
      <c r="CYA1" s="204"/>
      <c r="CYB1" s="204"/>
      <c r="CYC1" s="204"/>
      <c r="CYD1" s="204"/>
      <c r="CYE1" s="204"/>
      <c r="CYF1" s="204"/>
      <c r="CYG1" s="204"/>
      <c r="CYH1" s="204"/>
      <c r="CYI1" s="204"/>
      <c r="CYJ1" s="204"/>
      <c r="CYK1" s="204"/>
      <c r="CYL1" s="205"/>
      <c r="CYM1" s="204"/>
      <c r="CYN1" s="204"/>
      <c r="CYO1" s="204"/>
      <c r="CYP1" s="204"/>
      <c r="CYQ1" s="204"/>
      <c r="CYR1" s="204"/>
      <c r="CYS1" s="204"/>
      <c r="CYT1" s="204"/>
      <c r="CYU1" s="204"/>
      <c r="CYV1" s="204"/>
      <c r="CYW1" s="204"/>
      <c r="CYX1" s="204"/>
      <c r="CYY1" s="204"/>
      <c r="CYZ1" s="204"/>
      <c r="CZA1" s="204"/>
      <c r="CZB1" s="204"/>
      <c r="CZC1" s="204"/>
      <c r="CZD1" s="204"/>
      <c r="CZE1" s="204"/>
      <c r="CZF1" s="204"/>
      <c r="CZG1" s="204"/>
      <c r="CZH1" s="204"/>
      <c r="CZI1" s="204"/>
      <c r="CZJ1" s="204"/>
      <c r="CZK1" s="204"/>
      <c r="CZL1" s="204"/>
      <c r="CZM1" s="204"/>
      <c r="CZN1" s="205"/>
      <c r="CZO1" s="204"/>
      <c r="CZP1" s="204"/>
      <c r="CZQ1" s="204"/>
      <c r="CZR1" s="204"/>
      <c r="CZS1" s="204"/>
      <c r="CZT1" s="204"/>
      <c r="CZU1" s="204"/>
      <c r="CZV1" s="204"/>
      <c r="CZW1" s="204"/>
      <c r="CZX1" s="204"/>
      <c r="CZY1" s="204"/>
      <c r="CZZ1" s="204"/>
      <c r="DAA1" s="204"/>
      <c r="DAB1" s="204"/>
      <c r="DAC1" s="204"/>
      <c r="DAD1" s="204"/>
      <c r="DAE1" s="204"/>
      <c r="DAF1" s="204"/>
      <c r="DAG1" s="204"/>
      <c r="DAH1" s="204"/>
      <c r="DAI1" s="204"/>
      <c r="DAJ1" s="204"/>
      <c r="DAK1" s="204"/>
      <c r="DAL1" s="204"/>
      <c r="DAM1" s="204"/>
      <c r="DAN1" s="204"/>
      <c r="DAO1" s="204"/>
      <c r="DAP1" s="205"/>
      <c r="DAQ1" s="204"/>
      <c r="DAR1" s="204"/>
      <c r="DAS1" s="204"/>
      <c r="DAT1" s="204"/>
      <c r="DAU1" s="204"/>
      <c r="DAV1" s="204"/>
      <c r="DAW1" s="204"/>
      <c r="DAX1" s="204"/>
      <c r="DAY1" s="204"/>
      <c r="DAZ1" s="204"/>
      <c r="DBA1" s="204"/>
      <c r="DBB1" s="204"/>
      <c r="DBC1" s="204"/>
      <c r="DBD1" s="204"/>
      <c r="DBE1" s="204"/>
      <c r="DBF1" s="204"/>
      <c r="DBG1" s="204"/>
      <c r="DBH1" s="204"/>
      <c r="DBI1" s="204"/>
      <c r="DBJ1" s="204"/>
      <c r="DBK1" s="204"/>
      <c r="DBL1" s="204"/>
      <c r="DBM1" s="204"/>
      <c r="DBN1" s="204"/>
      <c r="DBO1" s="204"/>
      <c r="DBP1" s="204"/>
      <c r="DBQ1" s="204"/>
      <c r="DBR1" s="205"/>
      <c r="DBS1" s="204"/>
      <c r="DBT1" s="204"/>
      <c r="DBU1" s="204"/>
      <c r="DBV1" s="204"/>
      <c r="DBW1" s="204"/>
      <c r="DBX1" s="204"/>
      <c r="DBY1" s="204"/>
      <c r="DBZ1" s="204"/>
      <c r="DCA1" s="204"/>
      <c r="DCB1" s="204"/>
      <c r="DCC1" s="204"/>
      <c r="DCD1" s="204"/>
      <c r="DCE1" s="204"/>
      <c r="DCF1" s="204"/>
      <c r="DCG1" s="204"/>
      <c r="DCH1" s="204"/>
      <c r="DCI1" s="204"/>
      <c r="DCJ1" s="204"/>
      <c r="DCK1" s="204"/>
      <c r="DCL1" s="204"/>
      <c r="DCM1" s="204"/>
      <c r="DCN1" s="204"/>
      <c r="DCO1" s="204"/>
      <c r="DCP1" s="204"/>
      <c r="DCQ1" s="204"/>
      <c r="DCR1" s="204"/>
      <c r="DCS1" s="204"/>
      <c r="DCT1" s="205"/>
      <c r="DCU1" s="204"/>
      <c r="DCV1" s="204"/>
      <c r="DCW1" s="204"/>
      <c r="DCX1" s="204"/>
      <c r="DCY1" s="204"/>
      <c r="DCZ1" s="204"/>
      <c r="DDA1" s="204"/>
      <c r="DDB1" s="204"/>
      <c r="DDC1" s="204"/>
      <c r="DDD1" s="204"/>
      <c r="DDE1" s="204"/>
      <c r="DDF1" s="204"/>
      <c r="DDG1" s="204"/>
      <c r="DDH1" s="204"/>
      <c r="DDI1" s="204"/>
      <c r="DDJ1" s="204"/>
      <c r="DDK1" s="204"/>
      <c r="DDL1" s="204"/>
      <c r="DDM1" s="204"/>
      <c r="DDN1" s="204"/>
      <c r="DDO1" s="204"/>
      <c r="DDP1" s="204"/>
      <c r="DDQ1" s="204"/>
      <c r="DDR1" s="204"/>
      <c r="DDS1" s="204"/>
      <c r="DDT1" s="204"/>
      <c r="DDU1" s="204"/>
      <c r="DDV1" s="205"/>
      <c r="DDW1" s="204"/>
      <c r="DDX1" s="204"/>
      <c r="DDY1" s="204"/>
      <c r="DDZ1" s="204"/>
      <c r="DEA1" s="204"/>
      <c r="DEB1" s="204"/>
      <c r="DEC1" s="204"/>
      <c r="DED1" s="204"/>
      <c r="DEE1" s="204"/>
      <c r="DEF1" s="204"/>
      <c r="DEG1" s="204"/>
      <c r="DEH1" s="204"/>
      <c r="DEI1" s="204"/>
      <c r="DEJ1" s="204"/>
      <c r="DEK1" s="204"/>
      <c r="DEL1" s="204"/>
      <c r="DEM1" s="204"/>
      <c r="DEN1" s="204"/>
      <c r="DEO1" s="204"/>
      <c r="DEP1" s="204"/>
      <c r="DEQ1" s="204"/>
      <c r="DER1" s="204"/>
      <c r="DES1" s="204"/>
      <c r="DET1" s="204"/>
      <c r="DEU1" s="204"/>
      <c r="DEV1" s="204"/>
      <c r="DEW1" s="204"/>
      <c r="DEX1" s="205"/>
      <c r="DEY1" s="204"/>
      <c r="DEZ1" s="204"/>
      <c r="DFA1" s="204"/>
      <c r="DFB1" s="204"/>
      <c r="DFC1" s="204"/>
      <c r="DFD1" s="204"/>
      <c r="DFE1" s="204"/>
      <c r="DFF1" s="204"/>
      <c r="DFG1" s="204"/>
      <c r="DFH1" s="204"/>
      <c r="DFI1" s="204"/>
      <c r="DFJ1" s="204"/>
      <c r="DFK1" s="204"/>
      <c r="DFL1" s="204"/>
      <c r="DFM1" s="204"/>
      <c r="DFN1" s="204"/>
      <c r="DFO1" s="204"/>
      <c r="DFP1" s="204"/>
      <c r="DFQ1" s="204"/>
      <c r="DFR1" s="204"/>
      <c r="DFS1" s="204"/>
      <c r="DFT1" s="204"/>
      <c r="DFU1" s="204"/>
      <c r="DFV1" s="204"/>
      <c r="DFW1" s="204"/>
      <c r="DFX1" s="204"/>
      <c r="DFY1" s="204"/>
      <c r="DFZ1" s="205"/>
      <c r="DGA1" s="204"/>
      <c r="DGB1" s="204"/>
      <c r="DGC1" s="204"/>
      <c r="DGD1" s="204"/>
      <c r="DGE1" s="204"/>
      <c r="DGF1" s="204"/>
      <c r="DGG1" s="204"/>
      <c r="DGH1" s="204"/>
      <c r="DGI1" s="204"/>
      <c r="DGJ1" s="204"/>
      <c r="DGK1" s="204"/>
      <c r="DGL1" s="204"/>
      <c r="DGM1" s="204"/>
      <c r="DGN1" s="204"/>
      <c r="DGO1" s="204"/>
      <c r="DGP1" s="204"/>
      <c r="DGQ1" s="204"/>
      <c r="DGR1" s="204"/>
      <c r="DGS1" s="204"/>
      <c r="DGT1" s="204"/>
      <c r="DGU1" s="204"/>
      <c r="DGV1" s="204"/>
      <c r="DGW1" s="204"/>
      <c r="DGX1" s="204"/>
      <c r="DGY1" s="204"/>
      <c r="DGZ1" s="204"/>
      <c r="DHA1" s="204"/>
      <c r="DHB1" s="205"/>
      <c r="DHC1" s="204"/>
      <c r="DHD1" s="204"/>
      <c r="DHE1" s="204"/>
      <c r="DHF1" s="204"/>
      <c r="DHG1" s="204"/>
      <c r="DHH1" s="204"/>
      <c r="DHI1" s="204"/>
      <c r="DHJ1" s="204"/>
      <c r="DHK1" s="204"/>
      <c r="DHL1" s="204"/>
      <c r="DHM1" s="204"/>
      <c r="DHN1" s="204"/>
      <c r="DHO1" s="204"/>
      <c r="DHP1" s="204"/>
      <c r="DHQ1" s="204"/>
      <c r="DHR1" s="204"/>
      <c r="DHS1" s="204"/>
      <c r="DHT1" s="204"/>
      <c r="DHU1" s="204"/>
      <c r="DHV1" s="204"/>
      <c r="DHW1" s="204"/>
      <c r="DHX1" s="204"/>
      <c r="DHY1" s="204"/>
      <c r="DHZ1" s="204"/>
      <c r="DIA1" s="204"/>
      <c r="DIB1" s="204"/>
      <c r="DIC1" s="204"/>
      <c r="DID1" s="205"/>
      <c r="DIE1" s="204"/>
      <c r="DIF1" s="204"/>
      <c r="DIG1" s="204"/>
      <c r="DIH1" s="204"/>
      <c r="DII1" s="204"/>
      <c r="DIJ1" s="204"/>
      <c r="DIK1" s="204"/>
      <c r="DIL1" s="204"/>
      <c r="DIM1" s="204"/>
      <c r="DIN1" s="204"/>
      <c r="DIO1" s="204"/>
      <c r="DIP1" s="204"/>
      <c r="DIQ1" s="204"/>
      <c r="DIR1" s="204"/>
      <c r="DIS1" s="204"/>
      <c r="DIT1" s="204"/>
      <c r="DIU1" s="204"/>
      <c r="DIV1" s="204"/>
      <c r="DIW1" s="204"/>
      <c r="DIX1" s="204"/>
      <c r="DIY1" s="204"/>
      <c r="DIZ1" s="204"/>
      <c r="DJA1" s="204"/>
      <c r="DJB1" s="204"/>
      <c r="DJC1" s="204"/>
      <c r="DJD1" s="204"/>
      <c r="DJE1" s="204"/>
      <c r="DJF1" s="205"/>
      <c r="DJG1" s="204"/>
      <c r="DJH1" s="204"/>
      <c r="DJI1" s="204"/>
      <c r="DJJ1" s="204"/>
      <c r="DJK1" s="204"/>
      <c r="DJL1" s="204"/>
      <c r="DJM1" s="204"/>
      <c r="DJN1" s="204"/>
      <c r="DJO1" s="204"/>
      <c r="DJP1" s="204"/>
      <c r="DJQ1" s="204"/>
      <c r="DJR1" s="204"/>
      <c r="DJS1" s="204"/>
      <c r="DJT1" s="204"/>
      <c r="DJU1" s="204"/>
      <c r="DJV1" s="204"/>
      <c r="DJW1" s="204"/>
      <c r="DJX1" s="204"/>
      <c r="DJY1" s="204"/>
      <c r="DJZ1" s="204"/>
      <c r="DKA1" s="204"/>
      <c r="DKB1" s="204"/>
      <c r="DKC1" s="204"/>
      <c r="DKD1" s="204"/>
      <c r="DKE1" s="204"/>
      <c r="DKF1" s="204"/>
      <c r="DKG1" s="204"/>
      <c r="DKH1" s="205"/>
      <c r="DKI1" s="204"/>
      <c r="DKJ1" s="204"/>
      <c r="DKK1" s="204"/>
      <c r="DKL1" s="204"/>
      <c r="DKM1" s="204"/>
      <c r="DKN1" s="204"/>
      <c r="DKO1" s="204"/>
      <c r="DKP1" s="204"/>
      <c r="DKQ1" s="204"/>
      <c r="DKR1" s="204"/>
      <c r="DKS1" s="204"/>
      <c r="DKT1" s="204"/>
      <c r="DKU1" s="204"/>
      <c r="DKV1" s="204"/>
      <c r="DKW1" s="204"/>
      <c r="DKX1" s="204"/>
      <c r="DKY1" s="204"/>
      <c r="DKZ1" s="204"/>
      <c r="DLA1" s="204"/>
      <c r="DLB1" s="204"/>
      <c r="DLC1" s="204"/>
      <c r="DLD1" s="204"/>
      <c r="DLE1" s="204"/>
      <c r="DLF1" s="204"/>
      <c r="DLG1" s="204"/>
      <c r="DLH1" s="204"/>
      <c r="DLI1" s="204"/>
      <c r="DLJ1" s="205"/>
      <c r="DLK1" s="204"/>
      <c r="DLL1" s="204"/>
      <c r="DLM1" s="204"/>
      <c r="DLN1" s="204"/>
      <c r="DLO1" s="204"/>
      <c r="DLP1" s="204"/>
      <c r="DLQ1" s="204"/>
      <c r="DLR1" s="204"/>
      <c r="DLS1" s="204"/>
      <c r="DLT1" s="204"/>
      <c r="DLU1" s="204"/>
      <c r="DLV1" s="204"/>
      <c r="DLW1" s="204"/>
      <c r="DLX1" s="204"/>
      <c r="DLY1" s="204"/>
      <c r="DLZ1" s="204"/>
      <c r="DMA1" s="204"/>
      <c r="DMB1" s="204"/>
      <c r="DMC1" s="204"/>
      <c r="DMD1" s="204"/>
      <c r="DME1" s="204"/>
      <c r="DMF1" s="204"/>
      <c r="DMG1" s="204"/>
      <c r="DMH1" s="204"/>
      <c r="DMI1" s="204"/>
      <c r="DMJ1" s="204"/>
      <c r="DMK1" s="204"/>
      <c r="DML1" s="205"/>
      <c r="DMM1" s="204"/>
      <c r="DMN1" s="204"/>
      <c r="DMO1" s="204"/>
      <c r="DMP1" s="204"/>
      <c r="DMQ1" s="204"/>
      <c r="DMR1" s="204"/>
      <c r="DMS1" s="204"/>
      <c r="DMT1" s="204"/>
      <c r="DMU1" s="204"/>
      <c r="DMV1" s="204"/>
      <c r="DMW1" s="204"/>
      <c r="DMX1" s="204"/>
      <c r="DMY1" s="204"/>
      <c r="DMZ1" s="204"/>
      <c r="DNA1" s="204"/>
      <c r="DNB1" s="204"/>
      <c r="DNC1" s="204"/>
      <c r="DND1" s="204"/>
      <c r="DNE1" s="204"/>
      <c r="DNF1" s="204"/>
      <c r="DNG1" s="204"/>
      <c r="DNH1" s="204"/>
      <c r="DNI1" s="204"/>
      <c r="DNJ1" s="204"/>
      <c r="DNK1" s="204"/>
      <c r="DNL1" s="204"/>
      <c r="DNM1" s="204"/>
      <c r="DNN1" s="205"/>
      <c r="DNO1" s="204"/>
      <c r="DNP1" s="204"/>
      <c r="DNQ1" s="204"/>
      <c r="DNR1" s="204"/>
      <c r="DNS1" s="204"/>
      <c r="DNT1" s="204"/>
      <c r="DNU1" s="204"/>
      <c r="DNV1" s="204"/>
      <c r="DNW1" s="204"/>
      <c r="DNX1" s="204"/>
      <c r="DNY1" s="204"/>
      <c r="DNZ1" s="204"/>
      <c r="DOA1" s="204"/>
      <c r="DOB1" s="204"/>
      <c r="DOC1" s="204"/>
      <c r="DOD1" s="204"/>
      <c r="DOE1" s="204"/>
      <c r="DOF1" s="204"/>
      <c r="DOG1" s="204"/>
      <c r="DOH1" s="204"/>
      <c r="DOI1" s="204"/>
      <c r="DOJ1" s="204"/>
      <c r="DOK1" s="204"/>
      <c r="DOL1" s="204"/>
      <c r="DOM1" s="204"/>
      <c r="DON1" s="204"/>
      <c r="DOO1" s="204"/>
      <c r="DOP1" s="205"/>
      <c r="DOQ1" s="204"/>
      <c r="DOR1" s="204"/>
      <c r="DOS1" s="204"/>
      <c r="DOT1" s="204"/>
      <c r="DOU1" s="204"/>
      <c r="DOV1" s="204"/>
      <c r="DOW1" s="204"/>
      <c r="DOX1" s="204"/>
      <c r="DOY1" s="204"/>
      <c r="DOZ1" s="204"/>
      <c r="DPA1" s="204"/>
      <c r="DPB1" s="204"/>
      <c r="DPC1" s="204"/>
      <c r="DPD1" s="204"/>
      <c r="DPE1" s="204"/>
      <c r="DPF1" s="204"/>
      <c r="DPG1" s="204"/>
      <c r="DPH1" s="204"/>
      <c r="DPI1" s="204"/>
      <c r="DPJ1" s="204"/>
      <c r="DPK1" s="204"/>
      <c r="DPL1" s="204"/>
      <c r="DPM1" s="204"/>
      <c r="DPN1" s="204"/>
      <c r="DPO1" s="204"/>
      <c r="DPP1" s="204"/>
      <c r="DPQ1" s="204"/>
      <c r="DPR1" s="205"/>
      <c r="DPS1" s="204"/>
      <c r="DPT1" s="204"/>
      <c r="DPU1" s="204"/>
      <c r="DPV1" s="204"/>
      <c r="DPW1" s="204"/>
      <c r="DPX1" s="204"/>
      <c r="DPY1" s="204"/>
      <c r="DPZ1" s="204"/>
      <c r="DQA1" s="204"/>
      <c r="DQB1" s="204"/>
      <c r="DQC1" s="204"/>
      <c r="DQD1" s="204"/>
      <c r="DQE1" s="204"/>
      <c r="DQF1" s="204"/>
      <c r="DQG1" s="204"/>
      <c r="DQH1" s="204"/>
      <c r="DQI1" s="204"/>
      <c r="DQJ1" s="204"/>
      <c r="DQK1" s="204"/>
      <c r="DQL1" s="204"/>
      <c r="DQM1" s="204"/>
      <c r="DQN1" s="204"/>
      <c r="DQO1" s="204"/>
      <c r="DQP1" s="204"/>
      <c r="DQQ1" s="204"/>
      <c r="DQR1" s="204"/>
      <c r="DQS1" s="204"/>
      <c r="DQT1" s="205"/>
      <c r="DQU1" s="204"/>
      <c r="DQV1" s="204"/>
      <c r="DQW1" s="204"/>
      <c r="DQX1" s="204"/>
      <c r="DQY1" s="204"/>
      <c r="DQZ1" s="204"/>
      <c r="DRA1" s="204"/>
      <c r="DRB1" s="204"/>
      <c r="DRC1" s="204"/>
      <c r="DRD1" s="204"/>
      <c r="DRE1" s="204"/>
      <c r="DRF1" s="204"/>
      <c r="DRG1" s="204"/>
      <c r="DRH1" s="204"/>
      <c r="DRI1" s="204"/>
      <c r="DRJ1" s="204"/>
      <c r="DRK1" s="204"/>
      <c r="DRL1" s="204"/>
      <c r="DRM1" s="204"/>
      <c r="DRN1" s="204"/>
      <c r="DRO1" s="204"/>
      <c r="DRP1" s="204"/>
      <c r="DRQ1" s="204"/>
      <c r="DRR1" s="204"/>
      <c r="DRS1" s="204"/>
      <c r="DRT1" s="204"/>
      <c r="DRU1" s="204"/>
      <c r="DRV1" s="205"/>
      <c r="DRW1" s="204"/>
      <c r="DRX1" s="204"/>
      <c r="DRY1" s="204"/>
      <c r="DRZ1" s="204"/>
      <c r="DSA1" s="204"/>
      <c r="DSB1" s="204"/>
      <c r="DSC1" s="204"/>
      <c r="DSD1" s="204"/>
      <c r="DSE1" s="204"/>
      <c r="DSF1" s="204"/>
      <c r="DSG1" s="204"/>
      <c r="DSH1" s="204"/>
      <c r="DSI1" s="204"/>
      <c r="DSJ1" s="204"/>
      <c r="DSK1" s="204"/>
      <c r="DSL1" s="204"/>
      <c r="DSM1" s="204"/>
      <c r="DSN1" s="204"/>
      <c r="DSO1" s="204"/>
      <c r="DSP1" s="204"/>
      <c r="DSQ1" s="204"/>
      <c r="DSR1" s="204"/>
      <c r="DSS1" s="204"/>
      <c r="DST1" s="204"/>
      <c r="DSU1" s="204"/>
      <c r="DSV1" s="204"/>
      <c r="DSW1" s="204"/>
      <c r="DSX1" s="205"/>
      <c r="DSY1" s="204"/>
      <c r="DSZ1" s="204"/>
      <c r="DTA1" s="204"/>
      <c r="DTB1" s="204"/>
      <c r="DTC1" s="204"/>
      <c r="DTD1" s="204"/>
      <c r="DTE1" s="204"/>
      <c r="DTF1" s="204"/>
      <c r="DTG1" s="204"/>
      <c r="DTH1" s="204"/>
      <c r="DTI1" s="204"/>
      <c r="DTJ1" s="204"/>
      <c r="DTK1" s="204"/>
      <c r="DTL1" s="204"/>
      <c r="DTM1" s="204"/>
      <c r="DTN1" s="204"/>
      <c r="DTO1" s="204"/>
      <c r="DTP1" s="204"/>
      <c r="DTQ1" s="204"/>
      <c r="DTR1" s="204"/>
      <c r="DTS1" s="204"/>
      <c r="DTT1" s="204"/>
      <c r="DTU1" s="204"/>
      <c r="DTV1" s="204"/>
      <c r="DTW1" s="204"/>
      <c r="DTX1" s="204"/>
      <c r="DTY1" s="204"/>
      <c r="DTZ1" s="205"/>
      <c r="DUA1" s="204"/>
      <c r="DUB1" s="204"/>
      <c r="DUC1" s="204"/>
      <c r="DUD1" s="204"/>
      <c r="DUE1" s="204"/>
      <c r="DUF1" s="204"/>
      <c r="DUG1" s="204"/>
      <c r="DUH1" s="204"/>
      <c r="DUI1" s="204"/>
      <c r="DUJ1" s="204"/>
      <c r="DUK1" s="204"/>
      <c r="DUL1" s="204"/>
      <c r="DUM1" s="204"/>
      <c r="DUN1" s="204"/>
      <c r="DUO1" s="204"/>
      <c r="DUP1" s="204"/>
      <c r="DUQ1" s="204"/>
      <c r="DUR1" s="204"/>
      <c r="DUS1" s="204"/>
      <c r="DUT1" s="204"/>
      <c r="DUU1" s="204"/>
      <c r="DUV1" s="204"/>
      <c r="DUW1" s="204"/>
      <c r="DUX1" s="204"/>
      <c r="DUY1" s="204"/>
      <c r="DUZ1" s="204"/>
      <c r="DVA1" s="204"/>
      <c r="DVB1" s="205"/>
      <c r="DVC1" s="204"/>
      <c r="DVD1" s="204"/>
      <c r="DVE1" s="204"/>
      <c r="DVF1" s="204"/>
      <c r="DVG1" s="204"/>
      <c r="DVH1" s="204"/>
      <c r="DVI1" s="204"/>
      <c r="DVJ1" s="204"/>
      <c r="DVK1" s="204"/>
      <c r="DVL1" s="204"/>
      <c r="DVM1" s="204"/>
      <c r="DVN1" s="204"/>
      <c r="DVO1" s="204"/>
      <c r="DVP1" s="204"/>
      <c r="DVQ1" s="204"/>
      <c r="DVR1" s="204"/>
      <c r="DVS1" s="204"/>
      <c r="DVT1" s="204"/>
      <c r="DVU1" s="204"/>
      <c r="DVV1" s="204"/>
      <c r="DVW1" s="204"/>
      <c r="DVX1" s="204"/>
      <c r="DVY1" s="204"/>
      <c r="DVZ1" s="204"/>
      <c r="DWA1" s="204"/>
      <c r="DWB1" s="204"/>
      <c r="DWC1" s="204"/>
      <c r="DWD1" s="205"/>
      <c r="DWE1" s="204"/>
      <c r="DWF1" s="204"/>
      <c r="DWG1" s="204"/>
      <c r="DWH1" s="204"/>
      <c r="DWI1" s="204"/>
      <c r="DWJ1" s="204"/>
      <c r="DWK1" s="204"/>
      <c r="DWL1" s="204"/>
      <c r="DWM1" s="204"/>
      <c r="DWN1" s="204"/>
      <c r="DWO1" s="204"/>
      <c r="DWP1" s="204"/>
      <c r="DWQ1" s="204"/>
      <c r="DWR1" s="204"/>
      <c r="DWS1" s="204"/>
      <c r="DWT1" s="204"/>
      <c r="DWU1" s="204"/>
      <c r="DWV1" s="204"/>
      <c r="DWW1" s="204"/>
      <c r="DWX1" s="204"/>
      <c r="DWY1" s="204"/>
      <c r="DWZ1" s="204"/>
      <c r="DXA1" s="204"/>
      <c r="DXB1" s="204"/>
      <c r="DXC1" s="204"/>
      <c r="DXD1" s="204"/>
      <c r="DXE1" s="204"/>
      <c r="DXF1" s="205"/>
      <c r="DXG1" s="204"/>
      <c r="DXH1" s="204"/>
      <c r="DXI1" s="204"/>
      <c r="DXJ1" s="204"/>
      <c r="DXK1" s="204"/>
      <c r="DXL1" s="204"/>
      <c r="DXM1" s="204"/>
      <c r="DXN1" s="204"/>
      <c r="DXO1" s="204"/>
      <c r="DXP1" s="204"/>
      <c r="DXQ1" s="204"/>
      <c r="DXR1" s="204"/>
      <c r="DXS1" s="204"/>
      <c r="DXT1" s="204"/>
      <c r="DXU1" s="204"/>
      <c r="DXV1" s="204"/>
      <c r="DXW1" s="204"/>
      <c r="DXX1" s="204"/>
      <c r="DXY1" s="204"/>
      <c r="DXZ1" s="204"/>
      <c r="DYA1" s="204"/>
      <c r="DYB1" s="204"/>
      <c r="DYC1" s="204"/>
      <c r="DYD1" s="204"/>
      <c r="DYE1" s="204"/>
      <c r="DYF1" s="204"/>
      <c r="DYG1" s="204"/>
      <c r="DYH1" s="205"/>
      <c r="DYI1" s="204"/>
      <c r="DYJ1" s="204"/>
      <c r="DYK1" s="204"/>
      <c r="DYL1" s="204"/>
      <c r="DYM1" s="204"/>
      <c r="DYN1" s="204"/>
      <c r="DYO1" s="204"/>
      <c r="DYP1" s="204"/>
      <c r="DYQ1" s="204"/>
      <c r="DYR1" s="204"/>
      <c r="DYS1" s="204"/>
      <c r="DYT1" s="204"/>
      <c r="DYU1" s="204"/>
      <c r="DYV1" s="204"/>
      <c r="DYW1" s="204"/>
      <c r="DYX1" s="204"/>
      <c r="DYY1" s="204"/>
      <c r="DYZ1" s="204"/>
      <c r="DZA1" s="204"/>
      <c r="DZB1" s="204"/>
      <c r="DZC1" s="204"/>
      <c r="DZD1" s="204"/>
      <c r="DZE1" s="204"/>
      <c r="DZF1" s="204"/>
      <c r="DZG1" s="204"/>
      <c r="DZH1" s="204"/>
      <c r="DZI1" s="204"/>
      <c r="DZJ1" s="205"/>
      <c r="DZK1" s="204"/>
      <c r="DZL1" s="204"/>
      <c r="DZM1" s="204"/>
      <c r="DZN1" s="204"/>
      <c r="DZO1" s="204"/>
      <c r="DZP1" s="204"/>
      <c r="DZQ1" s="204"/>
      <c r="DZR1" s="204"/>
      <c r="DZS1" s="204"/>
      <c r="DZT1" s="204"/>
      <c r="DZU1" s="204"/>
      <c r="DZV1" s="204"/>
      <c r="DZW1" s="204"/>
      <c r="DZX1" s="204"/>
      <c r="DZY1" s="204"/>
      <c r="DZZ1" s="204"/>
      <c r="EAA1" s="204"/>
      <c r="EAB1" s="204"/>
      <c r="EAC1" s="204"/>
      <c r="EAD1" s="204"/>
      <c r="EAE1" s="204"/>
      <c r="EAF1" s="204"/>
      <c r="EAG1" s="204"/>
      <c r="EAH1" s="204"/>
      <c r="EAI1" s="204"/>
      <c r="EAJ1" s="204"/>
      <c r="EAK1" s="204"/>
      <c r="EAL1" s="205"/>
      <c r="EAM1" s="204"/>
      <c r="EAN1" s="204"/>
      <c r="EAO1" s="204"/>
      <c r="EAP1" s="204"/>
      <c r="EAQ1" s="204"/>
      <c r="EAR1" s="204"/>
      <c r="EAS1" s="204"/>
      <c r="EAT1" s="204"/>
      <c r="EAU1" s="204"/>
      <c r="EAV1" s="204"/>
      <c r="EAW1" s="204"/>
      <c r="EAX1" s="204"/>
      <c r="EAY1" s="204"/>
      <c r="EAZ1" s="204"/>
      <c r="EBA1" s="204"/>
      <c r="EBB1" s="204"/>
      <c r="EBC1" s="204"/>
      <c r="EBD1" s="204"/>
      <c r="EBE1" s="204"/>
      <c r="EBF1" s="204"/>
      <c r="EBG1" s="204"/>
      <c r="EBH1" s="204"/>
      <c r="EBI1" s="204"/>
      <c r="EBJ1" s="204"/>
      <c r="EBK1" s="204"/>
      <c r="EBL1" s="204"/>
      <c r="EBM1" s="204"/>
      <c r="EBN1" s="205"/>
      <c r="EBO1" s="204"/>
      <c r="EBP1" s="204"/>
      <c r="EBQ1" s="204"/>
      <c r="EBR1" s="204"/>
      <c r="EBS1" s="204"/>
      <c r="EBT1" s="204"/>
      <c r="EBU1" s="204"/>
      <c r="EBV1" s="204"/>
      <c r="EBW1" s="204"/>
      <c r="EBX1" s="204"/>
      <c r="EBY1" s="204"/>
      <c r="EBZ1" s="204"/>
      <c r="ECA1" s="204"/>
      <c r="ECB1" s="204"/>
      <c r="ECC1" s="204"/>
      <c r="ECD1" s="204"/>
      <c r="ECE1" s="204"/>
      <c r="ECF1" s="204"/>
      <c r="ECG1" s="204"/>
      <c r="ECH1" s="204"/>
      <c r="ECI1" s="204"/>
      <c r="ECJ1" s="204"/>
      <c r="ECK1" s="204"/>
      <c r="ECL1" s="204"/>
      <c r="ECM1" s="204"/>
      <c r="ECN1" s="204"/>
      <c r="ECO1" s="204"/>
      <c r="ECP1" s="205"/>
      <c r="ECQ1" s="204"/>
      <c r="ECR1" s="204"/>
      <c r="ECS1" s="204"/>
      <c r="ECT1" s="204"/>
      <c r="ECU1" s="204"/>
      <c r="ECV1" s="204"/>
      <c r="ECW1" s="204"/>
      <c r="ECX1" s="204"/>
      <c r="ECY1" s="204"/>
      <c r="ECZ1" s="204"/>
      <c r="EDA1" s="204"/>
      <c r="EDB1" s="204"/>
      <c r="EDC1" s="204"/>
      <c r="EDD1" s="204"/>
      <c r="EDE1" s="204"/>
      <c r="EDF1" s="204"/>
      <c r="EDG1" s="204"/>
      <c r="EDH1" s="204"/>
      <c r="EDI1" s="204"/>
      <c r="EDJ1" s="204"/>
      <c r="EDK1" s="204"/>
      <c r="EDL1" s="204"/>
      <c r="EDM1" s="204"/>
      <c r="EDN1" s="204"/>
      <c r="EDO1" s="204"/>
      <c r="EDP1" s="204"/>
      <c r="EDQ1" s="204"/>
      <c r="EDR1" s="205"/>
      <c r="EDS1" s="204"/>
      <c r="EDT1" s="204"/>
      <c r="EDU1" s="204"/>
      <c r="EDV1" s="204"/>
      <c r="EDW1" s="204"/>
      <c r="EDX1" s="204"/>
      <c r="EDY1" s="204"/>
      <c r="EDZ1" s="204"/>
      <c r="EEA1" s="204"/>
      <c r="EEB1" s="204"/>
      <c r="EEC1" s="204"/>
      <c r="EED1" s="204"/>
      <c r="EEE1" s="204"/>
      <c r="EEF1" s="204"/>
      <c r="EEG1" s="204"/>
      <c r="EEH1" s="204"/>
      <c r="EEI1" s="204"/>
      <c r="EEJ1" s="204"/>
      <c r="EEK1" s="204"/>
      <c r="EEL1" s="204"/>
      <c r="EEM1" s="204"/>
      <c r="EEN1" s="204"/>
      <c r="EEO1" s="204"/>
      <c r="EEP1" s="204"/>
      <c r="EEQ1" s="204"/>
      <c r="EER1" s="204"/>
      <c r="EES1" s="204"/>
      <c r="EET1" s="205"/>
      <c r="EEU1" s="204"/>
      <c r="EEV1" s="204"/>
      <c r="EEW1" s="204"/>
      <c r="EEX1" s="204"/>
      <c r="EEY1" s="204"/>
      <c r="EEZ1" s="204"/>
      <c r="EFA1" s="204"/>
      <c r="EFB1" s="204"/>
      <c r="EFC1" s="204"/>
      <c r="EFD1" s="204"/>
      <c r="EFE1" s="204"/>
      <c r="EFF1" s="204"/>
      <c r="EFG1" s="204"/>
      <c r="EFH1" s="204"/>
      <c r="EFI1" s="204"/>
      <c r="EFJ1" s="204"/>
      <c r="EFK1" s="204"/>
      <c r="EFL1" s="204"/>
      <c r="EFM1" s="204"/>
      <c r="EFN1" s="204"/>
      <c r="EFO1" s="204"/>
      <c r="EFP1" s="204"/>
      <c r="EFQ1" s="204"/>
      <c r="EFR1" s="204"/>
      <c r="EFS1" s="204"/>
      <c r="EFT1" s="204"/>
      <c r="EFU1" s="204"/>
      <c r="EFV1" s="205"/>
      <c r="EFW1" s="204"/>
      <c r="EFX1" s="204"/>
      <c r="EFY1" s="204"/>
      <c r="EFZ1" s="204"/>
      <c r="EGA1" s="204"/>
      <c r="EGB1" s="204"/>
      <c r="EGC1" s="204"/>
      <c r="EGD1" s="204"/>
      <c r="EGE1" s="204"/>
      <c r="EGF1" s="204"/>
      <c r="EGG1" s="204"/>
      <c r="EGH1" s="204"/>
      <c r="EGI1" s="204"/>
      <c r="EGJ1" s="204"/>
      <c r="EGK1" s="204"/>
      <c r="EGL1" s="204"/>
      <c r="EGM1" s="204"/>
      <c r="EGN1" s="204"/>
      <c r="EGO1" s="204"/>
      <c r="EGP1" s="204"/>
      <c r="EGQ1" s="204"/>
      <c r="EGR1" s="204"/>
      <c r="EGS1" s="204"/>
      <c r="EGT1" s="204"/>
      <c r="EGU1" s="204"/>
      <c r="EGV1" s="204"/>
      <c r="EGW1" s="204"/>
      <c r="EGX1" s="205"/>
      <c r="EGY1" s="204"/>
      <c r="EGZ1" s="204"/>
      <c r="EHA1" s="204"/>
      <c r="EHB1" s="204"/>
      <c r="EHC1" s="204"/>
      <c r="EHD1" s="204"/>
      <c r="EHE1" s="204"/>
      <c r="EHF1" s="204"/>
      <c r="EHG1" s="204"/>
      <c r="EHH1" s="204"/>
      <c r="EHI1" s="204"/>
      <c r="EHJ1" s="204"/>
      <c r="EHK1" s="204"/>
      <c r="EHL1" s="204"/>
      <c r="EHM1" s="204"/>
      <c r="EHN1" s="204"/>
      <c r="EHO1" s="204"/>
      <c r="EHP1" s="204"/>
      <c r="EHQ1" s="204"/>
      <c r="EHR1" s="204"/>
      <c r="EHS1" s="204"/>
      <c r="EHT1" s="204"/>
      <c r="EHU1" s="204"/>
      <c r="EHV1" s="204"/>
      <c r="EHW1" s="204"/>
      <c r="EHX1" s="204"/>
      <c r="EHY1" s="204"/>
      <c r="EHZ1" s="205"/>
      <c r="EIA1" s="204"/>
      <c r="EIB1" s="204"/>
      <c r="EIC1" s="204"/>
      <c r="EID1" s="204"/>
      <c r="EIE1" s="204"/>
      <c r="EIF1" s="204"/>
      <c r="EIG1" s="204"/>
      <c r="EIH1" s="204"/>
      <c r="EII1" s="204"/>
      <c r="EIJ1" s="204"/>
      <c r="EIK1" s="204"/>
      <c r="EIL1" s="204"/>
      <c r="EIM1" s="204"/>
      <c r="EIN1" s="204"/>
      <c r="EIO1" s="204"/>
      <c r="EIP1" s="204"/>
      <c r="EIQ1" s="204"/>
      <c r="EIR1" s="204"/>
      <c r="EIS1" s="204"/>
      <c r="EIT1" s="204"/>
      <c r="EIU1" s="204"/>
      <c r="EIV1" s="204"/>
      <c r="EIW1" s="204"/>
      <c r="EIX1" s="204"/>
      <c r="EIY1" s="204"/>
      <c r="EIZ1" s="204"/>
      <c r="EJA1" s="204"/>
      <c r="EJB1" s="205"/>
      <c r="EJC1" s="204"/>
      <c r="EJD1" s="204"/>
      <c r="EJE1" s="204"/>
      <c r="EJF1" s="204"/>
      <c r="EJG1" s="204"/>
      <c r="EJH1" s="204"/>
      <c r="EJI1" s="204"/>
      <c r="EJJ1" s="204"/>
      <c r="EJK1" s="204"/>
      <c r="EJL1" s="204"/>
      <c r="EJM1" s="204"/>
      <c r="EJN1" s="204"/>
      <c r="EJO1" s="204"/>
      <c r="EJP1" s="204"/>
      <c r="EJQ1" s="204"/>
      <c r="EJR1" s="204"/>
      <c r="EJS1" s="204"/>
      <c r="EJT1" s="204"/>
      <c r="EJU1" s="204"/>
      <c r="EJV1" s="204"/>
      <c r="EJW1" s="204"/>
      <c r="EJX1" s="204"/>
      <c r="EJY1" s="204"/>
      <c r="EJZ1" s="204"/>
      <c r="EKA1" s="204"/>
      <c r="EKB1" s="204"/>
      <c r="EKC1" s="204"/>
      <c r="EKD1" s="205"/>
      <c r="EKE1" s="204"/>
      <c r="EKF1" s="204"/>
      <c r="EKG1" s="204"/>
      <c r="EKH1" s="204"/>
      <c r="EKI1" s="204"/>
      <c r="EKJ1" s="204"/>
      <c r="EKK1" s="204"/>
      <c r="EKL1" s="204"/>
      <c r="EKM1" s="204"/>
      <c r="EKN1" s="204"/>
      <c r="EKO1" s="204"/>
      <c r="EKP1" s="204"/>
      <c r="EKQ1" s="204"/>
      <c r="EKR1" s="204"/>
      <c r="EKS1" s="204"/>
      <c r="EKT1" s="204"/>
      <c r="EKU1" s="204"/>
      <c r="EKV1" s="204"/>
      <c r="EKW1" s="204"/>
      <c r="EKX1" s="204"/>
      <c r="EKY1" s="204"/>
      <c r="EKZ1" s="204"/>
      <c r="ELA1" s="204"/>
      <c r="ELB1" s="204"/>
      <c r="ELC1" s="204"/>
      <c r="ELD1" s="204"/>
      <c r="ELE1" s="204"/>
      <c r="ELF1" s="205"/>
      <c r="ELG1" s="204"/>
      <c r="ELH1" s="204"/>
      <c r="ELI1" s="204"/>
      <c r="ELJ1" s="204"/>
      <c r="ELK1" s="204"/>
      <c r="ELL1" s="204"/>
      <c r="ELM1" s="204"/>
      <c r="ELN1" s="204"/>
      <c r="ELO1" s="204"/>
      <c r="ELP1" s="204"/>
      <c r="ELQ1" s="204"/>
      <c r="ELR1" s="204"/>
      <c r="ELS1" s="204"/>
      <c r="ELT1" s="204"/>
      <c r="ELU1" s="204"/>
      <c r="ELV1" s="204"/>
      <c r="ELW1" s="204"/>
      <c r="ELX1" s="204"/>
      <c r="ELY1" s="204"/>
      <c r="ELZ1" s="204"/>
      <c r="EMA1" s="204"/>
      <c r="EMB1" s="204"/>
      <c r="EMC1" s="204"/>
      <c r="EMD1" s="204"/>
      <c r="EME1" s="204"/>
      <c r="EMF1" s="204"/>
      <c r="EMG1" s="204"/>
      <c r="EMH1" s="205"/>
      <c r="EMI1" s="204"/>
      <c r="EMJ1" s="204"/>
      <c r="EMK1" s="204"/>
      <c r="EML1" s="204"/>
      <c r="EMM1" s="204"/>
      <c r="EMN1" s="204"/>
      <c r="EMO1" s="204"/>
      <c r="EMP1" s="204"/>
      <c r="EMQ1" s="204"/>
      <c r="EMR1" s="204"/>
      <c r="EMS1" s="204"/>
      <c r="EMT1" s="204"/>
      <c r="EMU1" s="204"/>
      <c r="EMV1" s="204"/>
      <c r="EMW1" s="204"/>
      <c r="EMX1" s="204"/>
      <c r="EMY1" s="204"/>
      <c r="EMZ1" s="204"/>
      <c r="ENA1" s="204"/>
      <c r="ENB1" s="204"/>
      <c r="ENC1" s="204"/>
      <c r="END1" s="204"/>
      <c r="ENE1" s="204"/>
      <c r="ENF1" s="204"/>
      <c r="ENG1" s="204"/>
      <c r="ENH1" s="204"/>
      <c r="ENI1" s="204"/>
      <c r="ENJ1" s="205"/>
      <c r="ENK1" s="204"/>
      <c r="ENL1" s="204"/>
      <c r="ENM1" s="204"/>
      <c r="ENN1" s="204"/>
      <c r="ENO1" s="204"/>
      <c r="ENP1" s="204"/>
      <c r="ENQ1" s="204"/>
      <c r="ENR1" s="204"/>
      <c r="ENS1" s="204"/>
      <c r="ENT1" s="204"/>
      <c r="ENU1" s="204"/>
      <c r="ENV1" s="204"/>
      <c r="ENW1" s="204"/>
      <c r="ENX1" s="204"/>
      <c r="ENY1" s="204"/>
      <c r="ENZ1" s="204"/>
      <c r="EOA1" s="204"/>
      <c r="EOB1" s="204"/>
      <c r="EOC1" s="204"/>
      <c r="EOD1" s="204"/>
      <c r="EOE1" s="204"/>
      <c r="EOF1" s="204"/>
      <c r="EOG1" s="204"/>
      <c r="EOH1" s="204"/>
      <c r="EOI1" s="204"/>
      <c r="EOJ1" s="204"/>
      <c r="EOK1" s="204"/>
      <c r="EOL1" s="205"/>
      <c r="EOM1" s="204"/>
      <c r="EON1" s="204"/>
      <c r="EOO1" s="204"/>
      <c r="EOP1" s="204"/>
      <c r="EOQ1" s="204"/>
      <c r="EOR1" s="204"/>
      <c r="EOS1" s="204"/>
      <c r="EOT1" s="204"/>
      <c r="EOU1" s="204"/>
      <c r="EOV1" s="204"/>
      <c r="EOW1" s="204"/>
      <c r="EOX1" s="204"/>
      <c r="EOY1" s="204"/>
      <c r="EOZ1" s="204"/>
      <c r="EPA1" s="204"/>
      <c r="EPB1" s="204"/>
      <c r="EPC1" s="204"/>
      <c r="EPD1" s="204"/>
      <c r="EPE1" s="204"/>
      <c r="EPF1" s="204"/>
      <c r="EPG1" s="204"/>
      <c r="EPH1" s="204"/>
      <c r="EPI1" s="204"/>
      <c r="EPJ1" s="204"/>
      <c r="EPK1" s="204"/>
      <c r="EPL1" s="204"/>
      <c r="EPM1" s="204"/>
      <c r="EPN1" s="205"/>
      <c r="EPO1" s="204"/>
      <c r="EPP1" s="204"/>
      <c r="EPQ1" s="204"/>
      <c r="EPR1" s="204"/>
      <c r="EPS1" s="204"/>
      <c r="EPT1" s="204"/>
      <c r="EPU1" s="204"/>
      <c r="EPV1" s="204"/>
      <c r="EPW1" s="204"/>
      <c r="EPX1" s="204"/>
      <c r="EPY1" s="204"/>
      <c r="EPZ1" s="204"/>
      <c r="EQA1" s="204"/>
      <c r="EQB1" s="204"/>
      <c r="EQC1" s="204"/>
      <c r="EQD1" s="204"/>
      <c r="EQE1" s="204"/>
      <c r="EQF1" s="204"/>
      <c r="EQG1" s="204"/>
      <c r="EQH1" s="204"/>
      <c r="EQI1" s="204"/>
      <c r="EQJ1" s="204"/>
      <c r="EQK1" s="204"/>
      <c r="EQL1" s="204"/>
      <c r="EQM1" s="204"/>
      <c r="EQN1" s="204"/>
      <c r="EQO1" s="204"/>
      <c r="EQP1" s="205"/>
      <c r="EQQ1" s="204"/>
      <c r="EQR1" s="204"/>
      <c r="EQS1" s="204"/>
      <c r="EQT1" s="204"/>
      <c r="EQU1" s="204"/>
      <c r="EQV1" s="204"/>
      <c r="EQW1" s="204"/>
      <c r="EQX1" s="204"/>
      <c r="EQY1" s="204"/>
      <c r="EQZ1" s="204"/>
      <c r="ERA1" s="204"/>
      <c r="ERB1" s="204"/>
      <c r="ERC1" s="204"/>
      <c r="ERD1" s="204"/>
      <c r="ERE1" s="204"/>
      <c r="ERF1" s="204"/>
      <c r="ERG1" s="204"/>
      <c r="ERH1" s="204"/>
      <c r="ERI1" s="204"/>
      <c r="ERJ1" s="204"/>
      <c r="ERK1" s="204"/>
      <c r="ERL1" s="204"/>
      <c r="ERM1" s="204"/>
      <c r="ERN1" s="204"/>
      <c r="ERO1" s="204"/>
      <c r="ERP1" s="204"/>
      <c r="ERQ1" s="204"/>
      <c r="ERR1" s="205"/>
      <c r="ERS1" s="204"/>
      <c r="ERT1" s="204"/>
      <c r="ERU1" s="204"/>
      <c r="ERV1" s="204"/>
      <c r="ERW1" s="204"/>
      <c r="ERX1" s="204"/>
      <c r="ERY1" s="204"/>
      <c r="ERZ1" s="204"/>
      <c r="ESA1" s="204"/>
      <c r="ESB1" s="204"/>
      <c r="ESC1" s="204"/>
      <c r="ESD1" s="204"/>
      <c r="ESE1" s="204"/>
      <c r="ESF1" s="204"/>
      <c r="ESG1" s="204"/>
      <c r="ESH1" s="204"/>
      <c r="ESI1" s="204"/>
      <c r="ESJ1" s="204"/>
      <c r="ESK1" s="204"/>
      <c r="ESL1" s="204"/>
      <c r="ESM1" s="204"/>
      <c r="ESN1" s="204"/>
      <c r="ESO1" s="204"/>
      <c r="ESP1" s="204"/>
      <c r="ESQ1" s="204"/>
      <c r="ESR1" s="204"/>
      <c r="ESS1" s="204"/>
      <c r="EST1" s="205"/>
      <c r="ESU1" s="204"/>
      <c r="ESV1" s="204"/>
      <c r="ESW1" s="204"/>
      <c r="ESX1" s="204"/>
      <c r="ESY1" s="204"/>
      <c r="ESZ1" s="204"/>
      <c r="ETA1" s="204"/>
      <c r="ETB1" s="204"/>
      <c r="ETC1" s="204"/>
      <c r="ETD1" s="204"/>
      <c r="ETE1" s="204"/>
      <c r="ETF1" s="204"/>
      <c r="ETG1" s="204"/>
      <c r="ETH1" s="204"/>
      <c r="ETI1" s="204"/>
      <c r="ETJ1" s="204"/>
      <c r="ETK1" s="204"/>
      <c r="ETL1" s="204"/>
      <c r="ETM1" s="204"/>
      <c r="ETN1" s="204"/>
      <c r="ETO1" s="204"/>
      <c r="ETP1" s="204"/>
      <c r="ETQ1" s="204"/>
      <c r="ETR1" s="204"/>
      <c r="ETS1" s="204"/>
      <c r="ETT1" s="204"/>
      <c r="ETU1" s="204"/>
      <c r="ETV1" s="205"/>
      <c r="ETW1" s="204"/>
      <c r="ETX1" s="204"/>
      <c r="ETY1" s="204"/>
      <c r="ETZ1" s="204"/>
      <c r="EUA1" s="204"/>
      <c r="EUB1" s="204"/>
      <c r="EUC1" s="204"/>
      <c r="EUD1" s="204"/>
      <c r="EUE1" s="204"/>
      <c r="EUF1" s="204"/>
      <c r="EUG1" s="204"/>
      <c r="EUH1" s="204"/>
      <c r="EUI1" s="204"/>
      <c r="EUJ1" s="204"/>
      <c r="EUK1" s="204"/>
      <c r="EUL1" s="204"/>
      <c r="EUM1" s="204"/>
      <c r="EUN1" s="204"/>
      <c r="EUO1" s="204"/>
      <c r="EUP1" s="204"/>
      <c r="EUQ1" s="204"/>
      <c r="EUR1" s="204"/>
      <c r="EUS1" s="204"/>
      <c r="EUT1" s="204"/>
      <c r="EUU1" s="204"/>
      <c r="EUV1" s="204"/>
      <c r="EUW1" s="204"/>
      <c r="EUX1" s="205"/>
      <c r="EUY1" s="204"/>
      <c r="EUZ1" s="204"/>
      <c r="EVA1" s="204"/>
      <c r="EVB1" s="204"/>
      <c r="EVC1" s="204"/>
      <c r="EVD1" s="204"/>
      <c r="EVE1" s="204"/>
      <c r="EVF1" s="204"/>
      <c r="EVG1" s="204"/>
      <c r="EVH1" s="204"/>
      <c r="EVI1" s="204"/>
      <c r="EVJ1" s="204"/>
      <c r="EVK1" s="204"/>
      <c r="EVL1" s="204"/>
      <c r="EVM1" s="204"/>
      <c r="EVN1" s="204"/>
      <c r="EVO1" s="204"/>
      <c r="EVP1" s="204"/>
      <c r="EVQ1" s="204"/>
      <c r="EVR1" s="204"/>
      <c r="EVS1" s="204"/>
      <c r="EVT1" s="204"/>
      <c r="EVU1" s="204"/>
      <c r="EVV1" s="204"/>
      <c r="EVW1" s="204"/>
      <c r="EVX1" s="204"/>
      <c r="EVY1" s="204"/>
      <c r="EVZ1" s="205"/>
      <c r="EWA1" s="204"/>
      <c r="EWB1" s="204"/>
      <c r="EWC1" s="204"/>
      <c r="EWD1" s="204"/>
      <c r="EWE1" s="204"/>
      <c r="EWF1" s="204"/>
      <c r="EWG1" s="204"/>
      <c r="EWH1" s="204"/>
      <c r="EWI1" s="204"/>
      <c r="EWJ1" s="204"/>
      <c r="EWK1" s="204"/>
      <c r="EWL1" s="204"/>
      <c r="EWM1" s="204"/>
      <c r="EWN1" s="204"/>
      <c r="EWO1" s="204"/>
      <c r="EWP1" s="204"/>
      <c r="EWQ1" s="204"/>
      <c r="EWR1" s="204"/>
      <c r="EWS1" s="204"/>
      <c r="EWT1" s="204"/>
      <c r="EWU1" s="204"/>
      <c r="EWV1" s="204"/>
      <c r="EWW1" s="204"/>
      <c r="EWX1" s="204"/>
      <c r="EWY1" s="204"/>
      <c r="EWZ1" s="204"/>
      <c r="EXA1" s="204"/>
      <c r="EXB1" s="205"/>
      <c r="EXC1" s="204"/>
      <c r="EXD1" s="204"/>
      <c r="EXE1" s="204"/>
      <c r="EXF1" s="204"/>
      <c r="EXG1" s="204"/>
      <c r="EXH1" s="204"/>
      <c r="EXI1" s="204"/>
      <c r="EXJ1" s="204"/>
      <c r="EXK1" s="204"/>
      <c r="EXL1" s="204"/>
      <c r="EXM1" s="204"/>
      <c r="EXN1" s="204"/>
      <c r="EXO1" s="204"/>
      <c r="EXP1" s="204"/>
      <c r="EXQ1" s="204"/>
      <c r="EXR1" s="204"/>
      <c r="EXS1" s="204"/>
      <c r="EXT1" s="204"/>
      <c r="EXU1" s="204"/>
      <c r="EXV1" s="204"/>
      <c r="EXW1" s="204"/>
      <c r="EXX1" s="204"/>
      <c r="EXY1" s="204"/>
      <c r="EXZ1" s="204"/>
      <c r="EYA1" s="204"/>
      <c r="EYB1" s="204"/>
      <c r="EYC1" s="204"/>
      <c r="EYD1" s="205"/>
      <c r="EYE1" s="204"/>
      <c r="EYF1" s="204"/>
      <c r="EYG1" s="204"/>
      <c r="EYH1" s="204"/>
      <c r="EYI1" s="204"/>
      <c r="EYJ1" s="204"/>
      <c r="EYK1" s="204"/>
      <c r="EYL1" s="204"/>
      <c r="EYM1" s="204"/>
      <c r="EYN1" s="204"/>
      <c r="EYO1" s="204"/>
      <c r="EYP1" s="204"/>
      <c r="EYQ1" s="204"/>
      <c r="EYR1" s="204"/>
      <c r="EYS1" s="204"/>
      <c r="EYT1" s="204"/>
      <c r="EYU1" s="204"/>
      <c r="EYV1" s="204"/>
      <c r="EYW1" s="204"/>
      <c r="EYX1" s="204"/>
      <c r="EYY1" s="204"/>
      <c r="EYZ1" s="204"/>
      <c r="EZA1" s="204"/>
      <c r="EZB1" s="204"/>
      <c r="EZC1" s="204"/>
      <c r="EZD1" s="204"/>
      <c r="EZE1" s="204"/>
      <c r="EZF1" s="205"/>
      <c r="EZG1" s="204"/>
      <c r="EZH1" s="204"/>
      <c r="EZI1" s="204"/>
      <c r="EZJ1" s="204"/>
      <c r="EZK1" s="204"/>
      <c r="EZL1" s="204"/>
      <c r="EZM1" s="204"/>
      <c r="EZN1" s="204"/>
      <c r="EZO1" s="204"/>
      <c r="EZP1" s="204"/>
      <c r="EZQ1" s="204"/>
      <c r="EZR1" s="204"/>
      <c r="EZS1" s="204"/>
      <c r="EZT1" s="204"/>
      <c r="EZU1" s="204"/>
      <c r="EZV1" s="204"/>
      <c r="EZW1" s="204"/>
      <c r="EZX1" s="204"/>
      <c r="EZY1" s="204"/>
      <c r="EZZ1" s="204"/>
      <c r="FAA1" s="204"/>
      <c r="FAB1" s="204"/>
      <c r="FAC1" s="204"/>
      <c r="FAD1" s="204"/>
      <c r="FAE1" s="204"/>
      <c r="FAF1" s="204"/>
      <c r="FAG1" s="204"/>
      <c r="FAH1" s="205"/>
      <c r="FAI1" s="204"/>
      <c r="FAJ1" s="204"/>
      <c r="FAK1" s="204"/>
      <c r="FAL1" s="204"/>
      <c r="FAM1" s="204"/>
      <c r="FAN1" s="204"/>
      <c r="FAO1" s="204"/>
      <c r="FAP1" s="204"/>
      <c r="FAQ1" s="204"/>
      <c r="FAR1" s="204"/>
      <c r="FAS1" s="204"/>
      <c r="FAT1" s="204"/>
      <c r="FAU1" s="204"/>
      <c r="FAV1" s="204"/>
      <c r="FAW1" s="204"/>
      <c r="FAX1" s="204"/>
      <c r="FAY1" s="204"/>
      <c r="FAZ1" s="204"/>
      <c r="FBA1" s="204"/>
      <c r="FBB1" s="204"/>
      <c r="FBC1" s="204"/>
      <c r="FBD1" s="204"/>
      <c r="FBE1" s="204"/>
      <c r="FBF1" s="204"/>
      <c r="FBG1" s="204"/>
      <c r="FBH1" s="204"/>
      <c r="FBI1" s="204"/>
      <c r="FBJ1" s="205"/>
      <c r="FBK1" s="204"/>
      <c r="FBL1" s="204"/>
      <c r="FBM1" s="204"/>
      <c r="FBN1" s="204"/>
      <c r="FBO1" s="204"/>
      <c r="FBP1" s="204"/>
      <c r="FBQ1" s="204"/>
      <c r="FBR1" s="204"/>
      <c r="FBS1" s="204"/>
      <c r="FBT1" s="204"/>
      <c r="FBU1" s="204"/>
      <c r="FBV1" s="204"/>
      <c r="FBW1" s="204"/>
      <c r="FBX1" s="204"/>
      <c r="FBY1" s="204"/>
      <c r="FBZ1" s="204"/>
      <c r="FCA1" s="204"/>
      <c r="FCB1" s="204"/>
      <c r="FCC1" s="204"/>
      <c r="FCD1" s="204"/>
      <c r="FCE1" s="204"/>
      <c r="FCF1" s="204"/>
      <c r="FCG1" s="204"/>
      <c r="FCH1" s="204"/>
      <c r="FCI1" s="204"/>
      <c r="FCJ1" s="204"/>
      <c r="FCK1" s="204"/>
      <c r="FCL1" s="205"/>
      <c r="FCM1" s="204"/>
      <c r="FCN1" s="204"/>
      <c r="FCO1" s="204"/>
      <c r="FCP1" s="204"/>
      <c r="FCQ1" s="204"/>
      <c r="FCR1" s="204"/>
      <c r="FCS1" s="204"/>
      <c r="FCT1" s="204"/>
      <c r="FCU1" s="204"/>
      <c r="FCV1" s="204"/>
      <c r="FCW1" s="204"/>
      <c r="FCX1" s="204"/>
      <c r="FCY1" s="204"/>
      <c r="FCZ1" s="204"/>
      <c r="FDA1" s="204"/>
      <c r="FDB1" s="204"/>
      <c r="FDC1" s="204"/>
      <c r="FDD1" s="204"/>
      <c r="FDE1" s="204"/>
      <c r="FDF1" s="204"/>
      <c r="FDG1" s="204"/>
      <c r="FDH1" s="204"/>
      <c r="FDI1" s="204"/>
      <c r="FDJ1" s="204"/>
      <c r="FDK1" s="204"/>
      <c r="FDL1" s="204"/>
      <c r="FDM1" s="204"/>
      <c r="FDN1" s="205"/>
      <c r="FDO1" s="204"/>
      <c r="FDP1" s="204"/>
      <c r="FDQ1" s="204"/>
      <c r="FDR1" s="204"/>
      <c r="FDS1" s="204"/>
      <c r="FDT1" s="204"/>
      <c r="FDU1" s="204"/>
      <c r="FDV1" s="204"/>
      <c r="FDW1" s="204"/>
      <c r="FDX1" s="204"/>
      <c r="FDY1" s="204"/>
      <c r="FDZ1" s="204"/>
      <c r="FEA1" s="204"/>
      <c r="FEB1" s="204"/>
      <c r="FEC1" s="204"/>
      <c r="FED1" s="204"/>
      <c r="FEE1" s="204"/>
      <c r="FEF1" s="204"/>
      <c r="FEG1" s="204"/>
      <c r="FEH1" s="204"/>
      <c r="FEI1" s="204"/>
      <c r="FEJ1" s="204"/>
      <c r="FEK1" s="204"/>
      <c r="FEL1" s="204"/>
      <c r="FEM1" s="204"/>
      <c r="FEN1" s="204"/>
      <c r="FEO1" s="204"/>
      <c r="FEP1" s="205"/>
      <c r="FEQ1" s="204"/>
      <c r="FER1" s="204"/>
      <c r="FES1" s="204"/>
      <c r="FET1" s="204"/>
      <c r="FEU1" s="204"/>
      <c r="FEV1" s="204"/>
      <c r="FEW1" s="204"/>
      <c r="FEX1" s="204"/>
      <c r="FEY1" s="204"/>
      <c r="FEZ1" s="204"/>
      <c r="FFA1" s="204"/>
      <c r="FFB1" s="204"/>
      <c r="FFC1" s="204"/>
      <c r="FFD1" s="204"/>
      <c r="FFE1" s="204"/>
      <c r="FFF1" s="204"/>
      <c r="FFG1" s="204"/>
      <c r="FFH1" s="204"/>
      <c r="FFI1" s="204"/>
      <c r="FFJ1" s="204"/>
      <c r="FFK1" s="204"/>
      <c r="FFL1" s="204"/>
      <c r="FFM1" s="204"/>
      <c r="FFN1" s="204"/>
      <c r="FFO1" s="204"/>
      <c r="FFP1" s="204"/>
      <c r="FFQ1" s="204"/>
      <c r="FFR1" s="205"/>
      <c r="FFS1" s="204"/>
      <c r="FFT1" s="204"/>
      <c r="FFU1" s="204"/>
      <c r="FFV1" s="204"/>
      <c r="FFW1" s="204"/>
      <c r="FFX1" s="204"/>
      <c r="FFY1" s="204"/>
      <c r="FFZ1" s="204"/>
      <c r="FGA1" s="204"/>
      <c r="FGB1" s="204"/>
      <c r="FGC1" s="204"/>
      <c r="FGD1" s="204"/>
      <c r="FGE1" s="204"/>
      <c r="FGF1" s="204"/>
      <c r="FGG1" s="204"/>
      <c r="FGH1" s="204"/>
      <c r="FGI1" s="204"/>
      <c r="FGJ1" s="204"/>
      <c r="FGK1" s="204"/>
      <c r="FGL1" s="204"/>
      <c r="FGM1" s="204"/>
      <c r="FGN1" s="204"/>
      <c r="FGO1" s="204"/>
      <c r="FGP1" s="204"/>
      <c r="FGQ1" s="204"/>
      <c r="FGR1" s="204"/>
      <c r="FGS1" s="204"/>
      <c r="FGT1" s="205"/>
      <c r="FGU1" s="204"/>
      <c r="FGV1" s="204"/>
      <c r="FGW1" s="204"/>
      <c r="FGX1" s="204"/>
      <c r="FGY1" s="204"/>
      <c r="FGZ1" s="204"/>
      <c r="FHA1" s="204"/>
      <c r="FHB1" s="204"/>
      <c r="FHC1" s="204"/>
      <c r="FHD1" s="204"/>
      <c r="FHE1" s="204"/>
      <c r="FHF1" s="204"/>
      <c r="FHG1" s="204"/>
      <c r="FHH1" s="204"/>
      <c r="FHI1" s="204"/>
      <c r="FHJ1" s="204"/>
      <c r="FHK1" s="204"/>
      <c r="FHL1" s="204"/>
      <c r="FHM1" s="204"/>
      <c r="FHN1" s="204"/>
      <c r="FHO1" s="204"/>
      <c r="FHP1" s="204"/>
      <c r="FHQ1" s="204"/>
      <c r="FHR1" s="204"/>
      <c r="FHS1" s="204"/>
      <c r="FHT1" s="204"/>
      <c r="FHU1" s="204"/>
      <c r="FHV1" s="205"/>
      <c r="FHW1" s="204"/>
      <c r="FHX1" s="204"/>
      <c r="FHY1" s="204"/>
      <c r="FHZ1" s="204"/>
      <c r="FIA1" s="204"/>
      <c r="FIB1" s="204"/>
      <c r="FIC1" s="204"/>
      <c r="FID1" s="204"/>
      <c r="FIE1" s="204"/>
      <c r="FIF1" s="204"/>
      <c r="FIG1" s="204"/>
      <c r="FIH1" s="204"/>
      <c r="FII1" s="204"/>
      <c r="FIJ1" s="204"/>
      <c r="FIK1" s="204"/>
      <c r="FIL1" s="204"/>
      <c r="FIM1" s="204"/>
      <c r="FIN1" s="204"/>
      <c r="FIO1" s="204"/>
      <c r="FIP1" s="204"/>
      <c r="FIQ1" s="204"/>
      <c r="FIR1" s="204"/>
      <c r="FIS1" s="204"/>
      <c r="FIT1" s="204"/>
      <c r="FIU1" s="204"/>
      <c r="FIV1" s="204"/>
      <c r="FIW1" s="204"/>
      <c r="FIX1" s="205"/>
      <c r="FIY1" s="204"/>
      <c r="FIZ1" s="204"/>
      <c r="FJA1" s="204"/>
      <c r="FJB1" s="204"/>
      <c r="FJC1" s="204"/>
      <c r="FJD1" s="204"/>
      <c r="FJE1" s="204"/>
      <c r="FJF1" s="204"/>
      <c r="FJG1" s="204"/>
      <c r="FJH1" s="204"/>
      <c r="FJI1" s="204"/>
      <c r="FJJ1" s="204"/>
      <c r="FJK1" s="204"/>
      <c r="FJL1" s="204"/>
      <c r="FJM1" s="204"/>
      <c r="FJN1" s="204"/>
      <c r="FJO1" s="204"/>
      <c r="FJP1" s="204"/>
      <c r="FJQ1" s="204"/>
      <c r="FJR1" s="204"/>
      <c r="FJS1" s="204"/>
      <c r="FJT1" s="204"/>
      <c r="FJU1" s="204"/>
      <c r="FJV1" s="204"/>
      <c r="FJW1" s="204"/>
      <c r="FJX1" s="204"/>
      <c r="FJY1" s="204"/>
      <c r="FJZ1" s="205"/>
      <c r="FKA1" s="204"/>
      <c r="FKB1" s="204"/>
      <c r="FKC1" s="204"/>
      <c r="FKD1" s="204"/>
      <c r="FKE1" s="204"/>
      <c r="FKF1" s="204"/>
      <c r="FKG1" s="204"/>
      <c r="FKH1" s="204"/>
      <c r="FKI1" s="204"/>
      <c r="FKJ1" s="204"/>
      <c r="FKK1" s="204"/>
      <c r="FKL1" s="204"/>
      <c r="FKM1" s="204"/>
      <c r="FKN1" s="204"/>
      <c r="FKO1" s="204"/>
      <c r="FKP1" s="204"/>
      <c r="FKQ1" s="204"/>
      <c r="FKR1" s="204"/>
      <c r="FKS1" s="204"/>
      <c r="FKT1" s="204"/>
      <c r="FKU1" s="204"/>
      <c r="FKV1" s="204"/>
      <c r="FKW1" s="204"/>
      <c r="FKX1" s="204"/>
      <c r="FKY1" s="204"/>
      <c r="FKZ1" s="204"/>
      <c r="FLA1" s="204"/>
      <c r="FLB1" s="205"/>
      <c r="FLC1" s="204"/>
      <c r="FLD1" s="204"/>
      <c r="FLE1" s="204"/>
      <c r="FLF1" s="204"/>
      <c r="FLG1" s="204"/>
      <c r="FLH1" s="204"/>
      <c r="FLI1" s="204"/>
      <c r="FLJ1" s="204"/>
      <c r="FLK1" s="204"/>
      <c r="FLL1" s="204"/>
      <c r="FLM1" s="204"/>
      <c r="FLN1" s="204"/>
      <c r="FLO1" s="204"/>
      <c r="FLP1" s="204"/>
      <c r="FLQ1" s="204"/>
      <c r="FLR1" s="204"/>
      <c r="FLS1" s="204"/>
      <c r="FLT1" s="204"/>
      <c r="FLU1" s="204"/>
      <c r="FLV1" s="204"/>
      <c r="FLW1" s="204"/>
      <c r="FLX1" s="204"/>
      <c r="FLY1" s="204"/>
      <c r="FLZ1" s="204"/>
      <c r="FMA1" s="204"/>
      <c r="FMB1" s="204"/>
      <c r="FMC1" s="204"/>
      <c r="FMD1" s="205"/>
      <c r="FME1" s="204"/>
      <c r="FMF1" s="204"/>
      <c r="FMG1" s="204"/>
      <c r="FMH1" s="204"/>
      <c r="FMI1" s="204"/>
      <c r="FMJ1" s="204"/>
      <c r="FMK1" s="204"/>
      <c r="FML1" s="204"/>
      <c r="FMM1" s="204"/>
      <c r="FMN1" s="204"/>
      <c r="FMO1" s="204"/>
      <c r="FMP1" s="204"/>
      <c r="FMQ1" s="204"/>
      <c r="FMR1" s="204"/>
      <c r="FMS1" s="204"/>
      <c r="FMT1" s="204"/>
      <c r="FMU1" s="204"/>
      <c r="FMV1" s="204"/>
      <c r="FMW1" s="204"/>
      <c r="FMX1" s="204"/>
      <c r="FMY1" s="204"/>
      <c r="FMZ1" s="204"/>
      <c r="FNA1" s="204"/>
      <c r="FNB1" s="204"/>
      <c r="FNC1" s="204"/>
      <c r="FND1" s="204"/>
      <c r="FNE1" s="204"/>
      <c r="FNF1" s="205"/>
      <c r="FNG1" s="204"/>
      <c r="FNH1" s="204"/>
      <c r="FNI1" s="204"/>
      <c r="FNJ1" s="204"/>
      <c r="FNK1" s="204"/>
      <c r="FNL1" s="204"/>
      <c r="FNM1" s="204"/>
      <c r="FNN1" s="204"/>
      <c r="FNO1" s="204"/>
      <c r="FNP1" s="204"/>
      <c r="FNQ1" s="204"/>
      <c r="FNR1" s="204"/>
      <c r="FNS1" s="204"/>
      <c r="FNT1" s="204"/>
      <c r="FNU1" s="204"/>
      <c r="FNV1" s="204"/>
      <c r="FNW1" s="204"/>
      <c r="FNX1" s="204"/>
      <c r="FNY1" s="204"/>
      <c r="FNZ1" s="204"/>
      <c r="FOA1" s="204"/>
      <c r="FOB1" s="204"/>
      <c r="FOC1" s="204"/>
      <c r="FOD1" s="204"/>
      <c r="FOE1" s="204"/>
      <c r="FOF1" s="204"/>
      <c r="FOG1" s="204"/>
      <c r="FOH1" s="205"/>
      <c r="FOI1" s="204"/>
      <c r="FOJ1" s="204"/>
      <c r="FOK1" s="204"/>
      <c r="FOL1" s="204"/>
      <c r="FOM1" s="204"/>
      <c r="FON1" s="204"/>
      <c r="FOO1" s="204"/>
      <c r="FOP1" s="204"/>
      <c r="FOQ1" s="204"/>
      <c r="FOR1" s="204"/>
      <c r="FOS1" s="204"/>
      <c r="FOT1" s="204"/>
      <c r="FOU1" s="204"/>
      <c r="FOV1" s="204"/>
      <c r="FOW1" s="204"/>
      <c r="FOX1" s="204"/>
      <c r="FOY1" s="204"/>
      <c r="FOZ1" s="204"/>
      <c r="FPA1" s="204"/>
      <c r="FPB1" s="204"/>
      <c r="FPC1" s="204"/>
      <c r="FPD1" s="204"/>
      <c r="FPE1" s="204"/>
      <c r="FPF1" s="204"/>
      <c r="FPG1" s="204"/>
      <c r="FPH1" s="204"/>
      <c r="FPI1" s="204"/>
      <c r="FPJ1" s="205"/>
      <c r="FPK1" s="204"/>
      <c r="FPL1" s="204"/>
      <c r="FPM1" s="204"/>
      <c r="FPN1" s="204"/>
      <c r="FPO1" s="204"/>
      <c r="FPP1" s="204"/>
      <c r="FPQ1" s="204"/>
      <c r="FPR1" s="204"/>
      <c r="FPS1" s="204"/>
      <c r="FPT1" s="204"/>
      <c r="FPU1" s="204"/>
      <c r="FPV1" s="204"/>
      <c r="FPW1" s="204"/>
      <c r="FPX1" s="204"/>
      <c r="FPY1" s="204"/>
      <c r="FPZ1" s="204"/>
      <c r="FQA1" s="204"/>
      <c r="FQB1" s="204"/>
      <c r="FQC1" s="204"/>
      <c r="FQD1" s="204"/>
      <c r="FQE1" s="204"/>
      <c r="FQF1" s="204"/>
      <c r="FQG1" s="204"/>
      <c r="FQH1" s="204"/>
      <c r="FQI1" s="204"/>
      <c r="FQJ1" s="204"/>
      <c r="FQK1" s="204"/>
      <c r="FQL1" s="205"/>
      <c r="FQM1" s="204"/>
      <c r="FQN1" s="204"/>
      <c r="FQO1" s="204"/>
      <c r="FQP1" s="204"/>
      <c r="FQQ1" s="204"/>
      <c r="FQR1" s="204"/>
      <c r="FQS1" s="204"/>
      <c r="FQT1" s="204"/>
      <c r="FQU1" s="204"/>
      <c r="FQV1" s="204"/>
      <c r="FQW1" s="204"/>
      <c r="FQX1" s="204"/>
      <c r="FQY1" s="204"/>
      <c r="FQZ1" s="204"/>
      <c r="FRA1" s="204"/>
      <c r="FRB1" s="204"/>
      <c r="FRC1" s="204"/>
      <c r="FRD1" s="204"/>
      <c r="FRE1" s="204"/>
      <c r="FRF1" s="204"/>
      <c r="FRG1" s="204"/>
      <c r="FRH1" s="204"/>
      <c r="FRI1" s="204"/>
      <c r="FRJ1" s="204"/>
      <c r="FRK1" s="204"/>
      <c r="FRL1" s="204"/>
      <c r="FRM1" s="204"/>
      <c r="FRN1" s="205"/>
      <c r="FRO1" s="204"/>
      <c r="FRP1" s="204"/>
      <c r="FRQ1" s="204"/>
      <c r="FRR1" s="204"/>
      <c r="FRS1" s="204"/>
      <c r="FRT1" s="204"/>
      <c r="FRU1" s="204"/>
      <c r="FRV1" s="204"/>
      <c r="FRW1" s="204"/>
      <c r="FRX1" s="204"/>
      <c r="FRY1" s="204"/>
      <c r="FRZ1" s="204"/>
      <c r="FSA1" s="204"/>
      <c r="FSB1" s="204"/>
      <c r="FSC1" s="204"/>
      <c r="FSD1" s="204"/>
      <c r="FSE1" s="204"/>
      <c r="FSF1" s="204"/>
      <c r="FSG1" s="204"/>
      <c r="FSH1" s="204"/>
      <c r="FSI1" s="204"/>
      <c r="FSJ1" s="204"/>
      <c r="FSK1" s="204"/>
      <c r="FSL1" s="204"/>
      <c r="FSM1" s="204"/>
      <c r="FSN1" s="204"/>
      <c r="FSO1" s="204"/>
      <c r="FSP1" s="205"/>
      <c r="FSQ1" s="204"/>
      <c r="FSR1" s="204"/>
      <c r="FSS1" s="204"/>
      <c r="FST1" s="204"/>
      <c r="FSU1" s="204"/>
      <c r="FSV1" s="204"/>
      <c r="FSW1" s="204"/>
      <c r="FSX1" s="204"/>
      <c r="FSY1" s="204"/>
      <c r="FSZ1" s="204"/>
      <c r="FTA1" s="204"/>
      <c r="FTB1" s="204"/>
      <c r="FTC1" s="204"/>
      <c r="FTD1" s="204"/>
      <c r="FTE1" s="204"/>
      <c r="FTF1" s="204"/>
      <c r="FTG1" s="204"/>
      <c r="FTH1" s="204"/>
      <c r="FTI1" s="204"/>
      <c r="FTJ1" s="204"/>
      <c r="FTK1" s="204"/>
      <c r="FTL1" s="204"/>
      <c r="FTM1" s="204"/>
      <c r="FTN1" s="204"/>
      <c r="FTO1" s="204"/>
      <c r="FTP1" s="204"/>
      <c r="FTQ1" s="204"/>
      <c r="FTR1" s="205"/>
      <c r="FTS1" s="204"/>
      <c r="FTT1" s="204"/>
      <c r="FTU1" s="204"/>
      <c r="FTV1" s="204"/>
      <c r="FTW1" s="204"/>
      <c r="FTX1" s="204"/>
      <c r="FTY1" s="204"/>
      <c r="FTZ1" s="204"/>
      <c r="FUA1" s="204"/>
      <c r="FUB1" s="204"/>
      <c r="FUC1" s="204"/>
      <c r="FUD1" s="204"/>
      <c r="FUE1" s="204"/>
      <c r="FUF1" s="204"/>
      <c r="FUG1" s="204"/>
      <c r="FUH1" s="204"/>
      <c r="FUI1" s="204"/>
      <c r="FUJ1" s="204"/>
      <c r="FUK1" s="204"/>
      <c r="FUL1" s="204"/>
      <c r="FUM1" s="204"/>
      <c r="FUN1" s="204"/>
      <c r="FUO1" s="204"/>
      <c r="FUP1" s="204"/>
      <c r="FUQ1" s="204"/>
      <c r="FUR1" s="204"/>
      <c r="FUS1" s="204"/>
      <c r="FUT1" s="205"/>
      <c r="FUU1" s="204"/>
      <c r="FUV1" s="204"/>
      <c r="FUW1" s="204"/>
      <c r="FUX1" s="204"/>
      <c r="FUY1" s="204"/>
      <c r="FUZ1" s="204"/>
      <c r="FVA1" s="204"/>
      <c r="FVB1" s="204"/>
      <c r="FVC1" s="204"/>
      <c r="FVD1" s="204"/>
      <c r="FVE1" s="204"/>
      <c r="FVF1" s="204"/>
      <c r="FVG1" s="204"/>
      <c r="FVH1" s="204"/>
      <c r="FVI1" s="204"/>
      <c r="FVJ1" s="204"/>
      <c r="FVK1" s="204"/>
      <c r="FVL1" s="204"/>
      <c r="FVM1" s="204"/>
      <c r="FVN1" s="204"/>
      <c r="FVO1" s="204"/>
      <c r="FVP1" s="204"/>
      <c r="FVQ1" s="204"/>
      <c r="FVR1" s="204"/>
      <c r="FVS1" s="204"/>
      <c r="FVT1" s="204"/>
      <c r="FVU1" s="204"/>
      <c r="FVV1" s="205"/>
      <c r="FVW1" s="204"/>
      <c r="FVX1" s="204"/>
      <c r="FVY1" s="204"/>
      <c r="FVZ1" s="204"/>
      <c r="FWA1" s="204"/>
      <c r="FWB1" s="204"/>
      <c r="FWC1" s="204"/>
      <c r="FWD1" s="204"/>
      <c r="FWE1" s="204"/>
      <c r="FWF1" s="204"/>
      <c r="FWG1" s="204"/>
      <c r="FWH1" s="204"/>
      <c r="FWI1" s="204"/>
      <c r="FWJ1" s="204"/>
      <c r="FWK1" s="204"/>
      <c r="FWL1" s="204"/>
      <c r="FWM1" s="204"/>
      <c r="FWN1" s="204"/>
      <c r="FWO1" s="204"/>
      <c r="FWP1" s="204"/>
      <c r="FWQ1" s="204"/>
      <c r="FWR1" s="204"/>
      <c r="FWS1" s="204"/>
      <c r="FWT1" s="204"/>
      <c r="FWU1" s="204"/>
      <c r="FWV1" s="204"/>
      <c r="FWW1" s="204"/>
      <c r="FWX1" s="205"/>
      <c r="FWY1" s="204"/>
      <c r="FWZ1" s="204"/>
      <c r="FXA1" s="204"/>
      <c r="FXB1" s="204"/>
      <c r="FXC1" s="204"/>
      <c r="FXD1" s="204"/>
      <c r="FXE1" s="204"/>
      <c r="FXF1" s="204"/>
      <c r="FXG1" s="204"/>
      <c r="FXH1" s="204"/>
      <c r="FXI1" s="204"/>
      <c r="FXJ1" s="204"/>
      <c r="FXK1" s="204"/>
      <c r="FXL1" s="204"/>
      <c r="FXM1" s="204"/>
      <c r="FXN1" s="204"/>
      <c r="FXO1" s="204"/>
      <c r="FXP1" s="204"/>
      <c r="FXQ1" s="204"/>
      <c r="FXR1" s="204"/>
      <c r="FXS1" s="204"/>
      <c r="FXT1" s="204"/>
      <c r="FXU1" s="204"/>
      <c r="FXV1" s="204"/>
      <c r="FXW1" s="204"/>
      <c r="FXX1" s="204"/>
      <c r="FXY1" s="204"/>
      <c r="FXZ1" s="205"/>
      <c r="FYA1" s="204"/>
      <c r="FYB1" s="204"/>
      <c r="FYC1" s="204"/>
      <c r="FYD1" s="204"/>
      <c r="FYE1" s="204"/>
      <c r="FYF1" s="204"/>
      <c r="FYG1" s="204"/>
      <c r="FYH1" s="204"/>
      <c r="FYI1" s="204"/>
      <c r="FYJ1" s="204"/>
      <c r="FYK1" s="204"/>
      <c r="FYL1" s="204"/>
      <c r="FYM1" s="204"/>
      <c r="FYN1" s="204"/>
      <c r="FYO1" s="204"/>
      <c r="FYP1" s="204"/>
      <c r="FYQ1" s="204"/>
      <c r="FYR1" s="204"/>
      <c r="FYS1" s="204"/>
      <c r="FYT1" s="204"/>
      <c r="FYU1" s="204"/>
      <c r="FYV1" s="204"/>
      <c r="FYW1" s="204"/>
      <c r="FYX1" s="204"/>
      <c r="FYY1" s="204"/>
      <c r="FYZ1" s="204"/>
      <c r="FZA1" s="204"/>
      <c r="FZB1" s="205"/>
      <c r="FZC1" s="204"/>
      <c r="FZD1" s="204"/>
      <c r="FZE1" s="204"/>
      <c r="FZF1" s="204"/>
      <c r="FZG1" s="204"/>
      <c r="FZH1" s="204"/>
      <c r="FZI1" s="204"/>
      <c r="FZJ1" s="204"/>
      <c r="FZK1" s="204"/>
      <c r="FZL1" s="204"/>
      <c r="FZM1" s="204"/>
      <c r="FZN1" s="204"/>
      <c r="FZO1" s="204"/>
      <c r="FZP1" s="204"/>
      <c r="FZQ1" s="204"/>
      <c r="FZR1" s="204"/>
      <c r="FZS1" s="204"/>
      <c r="FZT1" s="204"/>
      <c r="FZU1" s="204"/>
      <c r="FZV1" s="204"/>
      <c r="FZW1" s="204"/>
      <c r="FZX1" s="204"/>
      <c r="FZY1" s="204"/>
      <c r="FZZ1" s="204"/>
      <c r="GAA1" s="204"/>
      <c r="GAB1" s="204"/>
      <c r="GAC1" s="204"/>
      <c r="GAD1" s="205"/>
      <c r="GAE1" s="204"/>
      <c r="GAF1" s="204"/>
      <c r="GAG1" s="204"/>
      <c r="GAH1" s="204"/>
      <c r="GAI1" s="204"/>
      <c r="GAJ1" s="204"/>
      <c r="GAK1" s="204"/>
      <c r="GAL1" s="204"/>
      <c r="GAM1" s="204"/>
      <c r="GAN1" s="204"/>
      <c r="GAO1" s="204"/>
      <c r="GAP1" s="204"/>
      <c r="GAQ1" s="204"/>
      <c r="GAR1" s="204"/>
      <c r="GAS1" s="204"/>
      <c r="GAT1" s="204"/>
      <c r="GAU1" s="204"/>
      <c r="GAV1" s="204"/>
      <c r="GAW1" s="204"/>
      <c r="GAX1" s="204"/>
      <c r="GAY1" s="204"/>
      <c r="GAZ1" s="204"/>
      <c r="GBA1" s="204"/>
      <c r="GBB1" s="204"/>
      <c r="GBC1" s="204"/>
      <c r="GBD1" s="204"/>
      <c r="GBE1" s="204"/>
      <c r="GBF1" s="205"/>
      <c r="GBG1" s="204"/>
      <c r="GBH1" s="204"/>
      <c r="GBI1" s="204"/>
      <c r="GBJ1" s="204"/>
      <c r="GBK1" s="204"/>
      <c r="GBL1" s="204"/>
      <c r="GBM1" s="204"/>
      <c r="GBN1" s="204"/>
      <c r="GBO1" s="204"/>
      <c r="GBP1" s="204"/>
      <c r="GBQ1" s="204"/>
      <c r="GBR1" s="204"/>
      <c r="GBS1" s="204"/>
      <c r="GBT1" s="204"/>
      <c r="GBU1" s="204"/>
      <c r="GBV1" s="204"/>
      <c r="GBW1" s="204"/>
      <c r="GBX1" s="204"/>
      <c r="GBY1" s="204"/>
      <c r="GBZ1" s="204"/>
      <c r="GCA1" s="204"/>
      <c r="GCB1" s="204"/>
      <c r="GCC1" s="204"/>
      <c r="GCD1" s="204"/>
      <c r="GCE1" s="204"/>
      <c r="GCF1" s="204"/>
      <c r="GCG1" s="204"/>
      <c r="GCH1" s="205"/>
      <c r="GCI1" s="204"/>
      <c r="GCJ1" s="204"/>
      <c r="GCK1" s="204"/>
      <c r="GCL1" s="204"/>
      <c r="GCM1" s="204"/>
      <c r="GCN1" s="204"/>
      <c r="GCO1" s="204"/>
      <c r="GCP1" s="204"/>
      <c r="GCQ1" s="204"/>
      <c r="GCR1" s="204"/>
      <c r="GCS1" s="204"/>
      <c r="GCT1" s="204"/>
      <c r="GCU1" s="204"/>
      <c r="GCV1" s="204"/>
      <c r="GCW1" s="204"/>
      <c r="GCX1" s="204"/>
      <c r="GCY1" s="204"/>
      <c r="GCZ1" s="204"/>
      <c r="GDA1" s="204"/>
      <c r="GDB1" s="204"/>
      <c r="GDC1" s="204"/>
      <c r="GDD1" s="204"/>
      <c r="GDE1" s="204"/>
      <c r="GDF1" s="204"/>
      <c r="GDG1" s="204"/>
      <c r="GDH1" s="204"/>
      <c r="GDI1" s="204"/>
      <c r="GDJ1" s="205"/>
      <c r="GDK1" s="204"/>
      <c r="GDL1" s="204"/>
      <c r="GDM1" s="204"/>
      <c r="GDN1" s="204"/>
      <c r="GDO1" s="204"/>
      <c r="GDP1" s="204"/>
      <c r="GDQ1" s="204"/>
      <c r="GDR1" s="204"/>
      <c r="GDS1" s="204"/>
      <c r="GDT1" s="204"/>
      <c r="GDU1" s="204"/>
      <c r="GDV1" s="204"/>
      <c r="GDW1" s="204"/>
      <c r="GDX1" s="204"/>
      <c r="GDY1" s="204"/>
      <c r="GDZ1" s="204"/>
      <c r="GEA1" s="204"/>
      <c r="GEB1" s="204"/>
      <c r="GEC1" s="204"/>
      <c r="GED1" s="204"/>
      <c r="GEE1" s="204"/>
      <c r="GEF1" s="204"/>
      <c r="GEG1" s="204"/>
      <c r="GEH1" s="204"/>
      <c r="GEI1" s="204"/>
      <c r="GEJ1" s="204"/>
      <c r="GEK1" s="204"/>
      <c r="GEL1" s="205"/>
      <c r="GEM1" s="204"/>
      <c r="GEN1" s="204"/>
      <c r="GEO1" s="204"/>
      <c r="GEP1" s="204"/>
      <c r="GEQ1" s="204"/>
      <c r="GER1" s="204"/>
      <c r="GES1" s="204"/>
      <c r="GET1" s="204"/>
      <c r="GEU1" s="204"/>
      <c r="GEV1" s="204"/>
      <c r="GEW1" s="204"/>
      <c r="GEX1" s="204"/>
      <c r="GEY1" s="204"/>
      <c r="GEZ1" s="204"/>
      <c r="GFA1" s="204"/>
      <c r="GFB1" s="204"/>
      <c r="GFC1" s="204"/>
      <c r="GFD1" s="204"/>
      <c r="GFE1" s="204"/>
      <c r="GFF1" s="204"/>
      <c r="GFG1" s="204"/>
      <c r="GFH1" s="204"/>
      <c r="GFI1" s="204"/>
      <c r="GFJ1" s="204"/>
      <c r="GFK1" s="204"/>
      <c r="GFL1" s="204"/>
      <c r="GFM1" s="204"/>
      <c r="GFN1" s="205"/>
      <c r="GFO1" s="204"/>
      <c r="GFP1" s="204"/>
      <c r="GFQ1" s="204"/>
      <c r="GFR1" s="204"/>
      <c r="GFS1" s="204"/>
      <c r="GFT1" s="204"/>
      <c r="GFU1" s="204"/>
      <c r="GFV1" s="204"/>
      <c r="GFW1" s="204"/>
      <c r="GFX1" s="204"/>
      <c r="GFY1" s="204"/>
      <c r="GFZ1" s="204"/>
      <c r="GGA1" s="204"/>
      <c r="GGB1" s="204"/>
      <c r="GGC1" s="204"/>
      <c r="GGD1" s="204"/>
      <c r="GGE1" s="204"/>
      <c r="GGF1" s="204"/>
      <c r="GGG1" s="204"/>
      <c r="GGH1" s="204"/>
      <c r="GGI1" s="204"/>
      <c r="GGJ1" s="204"/>
      <c r="GGK1" s="204"/>
      <c r="GGL1" s="204"/>
      <c r="GGM1" s="204"/>
      <c r="GGN1" s="204"/>
      <c r="GGO1" s="204"/>
      <c r="GGP1" s="205"/>
      <c r="GGQ1" s="204"/>
      <c r="GGR1" s="204"/>
      <c r="GGS1" s="204"/>
      <c r="GGT1" s="204"/>
      <c r="GGU1" s="204"/>
      <c r="GGV1" s="204"/>
      <c r="GGW1" s="204"/>
      <c r="GGX1" s="204"/>
      <c r="GGY1" s="204"/>
      <c r="GGZ1" s="204"/>
      <c r="GHA1" s="204"/>
      <c r="GHB1" s="204"/>
      <c r="GHC1" s="204"/>
      <c r="GHD1" s="204"/>
      <c r="GHE1" s="204"/>
      <c r="GHF1" s="204"/>
      <c r="GHG1" s="204"/>
      <c r="GHH1" s="204"/>
      <c r="GHI1" s="204"/>
      <c r="GHJ1" s="204"/>
      <c r="GHK1" s="204"/>
      <c r="GHL1" s="204"/>
      <c r="GHM1" s="204"/>
      <c r="GHN1" s="204"/>
      <c r="GHO1" s="204"/>
      <c r="GHP1" s="204"/>
      <c r="GHQ1" s="204"/>
      <c r="GHR1" s="205"/>
      <c r="GHS1" s="204"/>
      <c r="GHT1" s="204"/>
      <c r="GHU1" s="204"/>
      <c r="GHV1" s="204"/>
      <c r="GHW1" s="204"/>
      <c r="GHX1" s="204"/>
      <c r="GHY1" s="204"/>
      <c r="GHZ1" s="204"/>
      <c r="GIA1" s="204"/>
      <c r="GIB1" s="204"/>
      <c r="GIC1" s="204"/>
      <c r="GID1" s="204"/>
      <c r="GIE1" s="204"/>
      <c r="GIF1" s="204"/>
      <c r="GIG1" s="204"/>
      <c r="GIH1" s="204"/>
      <c r="GII1" s="204"/>
      <c r="GIJ1" s="204"/>
      <c r="GIK1" s="204"/>
      <c r="GIL1" s="204"/>
      <c r="GIM1" s="204"/>
      <c r="GIN1" s="204"/>
      <c r="GIO1" s="204"/>
      <c r="GIP1" s="204"/>
      <c r="GIQ1" s="204"/>
      <c r="GIR1" s="204"/>
      <c r="GIS1" s="204"/>
      <c r="GIT1" s="205"/>
      <c r="GIU1" s="204"/>
      <c r="GIV1" s="204"/>
      <c r="GIW1" s="204"/>
      <c r="GIX1" s="204"/>
      <c r="GIY1" s="204"/>
      <c r="GIZ1" s="204"/>
      <c r="GJA1" s="204"/>
      <c r="GJB1" s="204"/>
      <c r="GJC1" s="204"/>
      <c r="GJD1" s="204"/>
      <c r="GJE1" s="204"/>
      <c r="GJF1" s="204"/>
      <c r="GJG1" s="204"/>
      <c r="GJH1" s="204"/>
      <c r="GJI1" s="204"/>
      <c r="GJJ1" s="204"/>
      <c r="GJK1" s="204"/>
      <c r="GJL1" s="204"/>
      <c r="GJM1" s="204"/>
      <c r="GJN1" s="204"/>
      <c r="GJO1" s="204"/>
      <c r="GJP1" s="204"/>
      <c r="GJQ1" s="204"/>
      <c r="GJR1" s="204"/>
      <c r="GJS1" s="204"/>
      <c r="GJT1" s="204"/>
      <c r="GJU1" s="204"/>
      <c r="GJV1" s="205"/>
      <c r="GJW1" s="204"/>
      <c r="GJX1" s="204"/>
      <c r="GJY1" s="204"/>
      <c r="GJZ1" s="204"/>
      <c r="GKA1" s="204"/>
      <c r="GKB1" s="204"/>
      <c r="GKC1" s="204"/>
      <c r="GKD1" s="204"/>
      <c r="GKE1" s="204"/>
      <c r="GKF1" s="204"/>
      <c r="GKG1" s="204"/>
      <c r="GKH1" s="204"/>
      <c r="GKI1" s="204"/>
      <c r="GKJ1" s="204"/>
      <c r="GKK1" s="204"/>
      <c r="GKL1" s="204"/>
      <c r="GKM1" s="204"/>
      <c r="GKN1" s="204"/>
      <c r="GKO1" s="204"/>
      <c r="GKP1" s="204"/>
      <c r="GKQ1" s="204"/>
      <c r="GKR1" s="204"/>
      <c r="GKS1" s="204"/>
      <c r="GKT1" s="204"/>
      <c r="GKU1" s="204"/>
      <c r="GKV1" s="204"/>
      <c r="GKW1" s="204"/>
      <c r="GKX1" s="205"/>
      <c r="GKY1" s="204"/>
      <c r="GKZ1" s="204"/>
      <c r="GLA1" s="204"/>
      <c r="GLB1" s="204"/>
      <c r="GLC1" s="204"/>
      <c r="GLD1" s="204"/>
      <c r="GLE1" s="204"/>
      <c r="GLF1" s="204"/>
      <c r="GLG1" s="204"/>
      <c r="GLH1" s="204"/>
      <c r="GLI1" s="204"/>
      <c r="GLJ1" s="204"/>
      <c r="GLK1" s="204"/>
      <c r="GLL1" s="204"/>
      <c r="GLM1" s="204"/>
      <c r="GLN1" s="204"/>
      <c r="GLO1" s="204"/>
      <c r="GLP1" s="204"/>
      <c r="GLQ1" s="204"/>
      <c r="GLR1" s="204"/>
      <c r="GLS1" s="204"/>
      <c r="GLT1" s="204"/>
      <c r="GLU1" s="204"/>
      <c r="GLV1" s="204"/>
      <c r="GLW1" s="204"/>
      <c r="GLX1" s="204"/>
      <c r="GLY1" s="204"/>
      <c r="GLZ1" s="205"/>
      <c r="GMA1" s="204"/>
      <c r="GMB1" s="204"/>
      <c r="GMC1" s="204"/>
      <c r="GMD1" s="204"/>
      <c r="GME1" s="204"/>
      <c r="GMF1" s="204"/>
      <c r="GMG1" s="204"/>
      <c r="GMH1" s="204"/>
      <c r="GMI1" s="204"/>
      <c r="GMJ1" s="204"/>
      <c r="GMK1" s="204"/>
      <c r="GML1" s="204"/>
      <c r="GMM1" s="204"/>
      <c r="GMN1" s="204"/>
      <c r="GMO1" s="204"/>
      <c r="GMP1" s="204"/>
      <c r="GMQ1" s="204"/>
      <c r="GMR1" s="204"/>
      <c r="GMS1" s="204"/>
      <c r="GMT1" s="204"/>
      <c r="GMU1" s="204"/>
      <c r="GMV1" s="204"/>
      <c r="GMW1" s="204"/>
      <c r="GMX1" s="204"/>
      <c r="GMY1" s="204"/>
      <c r="GMZ1" s="204"/>
      <c r="GNA1" s="204"/>
      <c r="GNB1" s="205"/>
      <c r="GNC1" s="204"/>
      <c r="GND1" s="204"/>
      <c r="GNE1" s="204"/>
      <c r="GNF1" s="204"/>
      <c r="GNG1" s="204"/>
      <c r="GNH1" s="204"/>
      <c r="GNI1" s="204"/>
      <c r="GNJ1" s="204"/>
      <c r="GNK1" s="204"/>
      <c r="GNL1" s="204"/>
      <c r="GNM1" s="204"/>
      <c r="GNN1" s="204"/>
      <c r="GNO1" s="204"/>
      <c r="GNP1" s="204"/>
      <c r="GNQ1" s="204"/>
      <c r="GNR1" s="204"/>
      <c r="GNS1" s="204"/>
      <c r="GNT1" s="204"/>
      <c r="GNU1" s="204"/>
      <c r="GNV1" s="204"/>
      <c r="GNW1" s="204"/>
      <c r="GNX1" s="204"/>
      <c r="GNY1" s="204"/>
      <c r="GNZ1" s="204"/>
      <c r="GOA1" s="204"/>
      <c r="GOB1" s="204"/>
      <c r="GOC1" s="204"/>
      <c r="GOD1" s="205"/>
      <c r="GOE1" s="204"/>
      <c r="GOF1" s="204"/>
      <c r="GOG1" s="204"/>
      <c r="GOH1" s="204"/>
      <c r="GOI1" s="204"/>
      <c r="GOJ1" s="204"/>
      <c r="GOK1" s="204"/>
      <c r="GOL1" s="204"/>
      <c r="GOM1" s="204"/>
      <c r="GON1" s="204"/>
      <c r="GOO1" s="204"/>
      <c r="GOP1" s="204"/>
      <c r="GOQ1" s="204"/>
      <c r="GOR1" s="204"/>
      <c r="GOS1" s="204"/>
      <c r="GOT1" s="204"/>
      <c r="GOU1" s="204"/>
      <c r="GOV1" s="204"/>
      <c r="GOW1" s="204"/>
      <c r="GOX1" s="204"/>
      <c r="GOY1" s="204"/>
      <c r="GOZ1" s="204"/>
      <c r="GPA1" s="204"/>
      <c r="GPB1" s="204"/>
      <c r="GPC1" s="204"/>
      <c r="GPD1" s="204"/>
      <c r="GPE1" s="204"/>
      <c r="GPF1" s="205"/>
      <c r="GPG1" s="204"/>
      <c r="GPH1" s="204"/>
      <c r="GPI1" s="204"/>
      <c r="GPJ1" s="204"/>
      <c r="GPK1" s="204"/>
      <c r="GPL1" s="204"/>
      <c r="GPM1" s="204"/>
      <c r="GPN1" s="204"/>
      <c r="GPO1" s="204"/>
      <c r="GPP1" s="204"/>
      <c r="GPQ1" s="204"/>
      <c r="GPR1" s="204"/>
      <c r="GPS1" s="204"/>
      <c r="GPT1" s="204"/>
      <c r="GPU1" s="204"/>
      <c r="GPV1" s="204"/>
      <c r="GPW1" s="204"/>
      <c r="GPX1" s="204"/>
      <c r="GPY1" s="204"/>
      <c r="GPZ1" s="204"/>
      <c r="GQA1" s="204"/>
      <c r="GQB1" s="204"/>
      <c r="GQC1" s="204"/>
      <c r="GQD1" s="204"/>
      <c r="GQE1" s="204"/>
      <c r="GQF1" s="204"/>
      <c r="GQG1" s="204"/>
      <c r="GQH1" s="205"/>
      <c r="GQI1" s="204"/>
      <c r="GQJ1" s="204"/>
      <c r="GQK1" s="204"/>
      <c r="GQL1" s="204"/>
      <c r="GQM1" s="204"/>
      <c r="GQN1" s="204"/>
      <c r="GQO1" s="204"/>
      <c r="GQP1" s="204"/>
      <c r="GQQ1" s="204"/>
      <c r="GQR1" s="204"/>
      <c r="GQS1" s="204"/>
      <c r="GQT1" s="204"/>
      <c r="GQU1" s="204"/>
      <c r="GQV1" s="204"/>
      <c r="GQW1" s="204"/>
      <c r="GQX1" s="204"/>
      <c r="GQY1" s="204"/>
      <c r="GQZ1" s="204"/>
      <c r="GRA1" s="204"/>
      <c r="GRB1" s="204"/>
      <c r="GRC1" s="204"/>
      <c r="GRD1" s="204"/>
      <c r="GRE1" s="204"/>
      <c r="GRF1" s="204"/>
      <c r="GRG1" s="204"/>
      <c r="GRH1" s="204"/>
      <c r="GRI1" s="204"/>
      <c r="GRJ1" s="205"/>
      <c r="GRK1" s="204"/>
      <c r="GRL1" s="204"/>
      <c r="GRM1" s="204"/>
      <c r="GRN1" s="204"/>
      <c r="GRO1" s="204"/>
      <c r="GRP1" s="204"/>
      <c r="GRQ1" s="204"/>
      <c r="GRR1" s="204"/>
      <c r="GRS1" s="204"/>
      <c r="GRT1" s="204"/>
      <c r="GRU1" s="204"/>
      <c r="GRV1" s="204"/>
      <c r="GRW1" s="204"/>
      <c r="GRX1" s="204"/>
      <c r="GRY1" s="204"/>
      <c r="GRZ1" s="204"/>
      <c r="GSA1" s="204"/>
      <c r="GSB1" s="204"/>
      <c r="GSC1" s="204"/>
      <c r="GSD1" s="204"/>
      <c r="GSE1" s="204"/>
      <c r="GSF1" s="204"/>
      <c r="GSG1" s="204"/>
      <c r="GSH1" s="204"/>
      <c r="GSI1" s="204"/>
      <c r="GSJ1" s="204"/>
      <c r="GSK1" s="204"/>
      <c r="GSL1" s="205"/>
      <c r="GSM1" s="204"/>
      <c r="GSN1" s="204"/>
      <c r="GSO1" s="204"/>
      <c r="GSP1" s="204"/>
      <c r="GSQ1" s="204"/>
      <c r="GSR1" s="204"/>
      <c r="GSS1" s="204"/>
      <c r="GST1" s="204"/>
      <c r="GSU1" s="204"/>
      <c r="GSV1" s="204"/>
      <c r="GSW1" s="204"/>
      <c r="GSX1" s="204"/>
      <c r="GSY1" s="204"/>
      <c r="GSZ1" s="204"/>
      <c r="GTA1" s="204"/>
      <c r="GTB1" s="204"/>
      <c r="GTC1" s="204"/>
      <c r="GTD1" s="204"/>
      <c r="GTE1" s="204"/>
      <c r="GTF1" s="204"/>
      <c r="GTG1" s="204"/>
      <c r="GTH1" s="204"/>
      <c r="GTI1" s="204"/>
      <c r="GTJ1" s="204"/>
      <c r="GTK1" s="204"/>
      <c r="GTL1" s="204"/>
      <c r="GTM1" s="204"/>
      <c r="GTN1" s="205"/>
      <c r="GTO1" s="204"/>
      <c r="GTP1" s="204"/>
      <c r="GTQ1" s="204"/>
      <c r="GTR1" s="204"/>
      <c r="GTS1" s="204"/>
      <c r="GTT1" s="204"/>
      <c r="GTU1" s="204"/>
      <c r="GTV1" s="204"/>
      <c r="GTW1" s="204"/>
      <c r="GTX1" s="204"/>
      <c r="GTY1" s="204"/>
      <c r="GTZ1" s="204"/>
      <c r="GUA1" s="204"/>
      <c r="GUB1" s="204"/>
      <c r="GUC1" s="204"/>
      <c r="GUD1" s="204"/>
      <c r="GUE1" s="204"/>
      <c r="GUF1" s="204"/>
      <c r="GUG1" s="204"/>
      <c r="GUH1" s="204"/>
      <c r="GUI1" s="204"/>
      <c r="GUJ1" s="204"/>
      <c r="GUK1" s="204"/>
      <c r="GUL1" s="204"/>
      <c r="GUM1" s="204"/>
      <c r="GUN1" s="204"/>
      <c r="GUO1" s="204"/>
      <c r="GUP1" s="205"/>
      <c r="GUQ1" s="204"/>
      <c r="GUR1" s="204"/>
      <c r="GUS1" s="204"/>
      <c r="GUT1" s="204"/>
      <c r="GUU1" s="204"/>
      <c r="GUV1" s="204"/>
      <c r="GUW1" s="204"/>
      <c r="GUX1" s="204"/>
      <c r="GUY1" s="204"/>
      <c r="GUZ1" s="204"/>
      <c r="GVA1" s="204"/>
      <c r="GVB1" s="204"/>
      <c r="GVC1" s="204"/>
      <c r="GVD1" s="204"/>
      <c r="GVE1" s="204"/>
      <c r="GVF1" s="204"/>
      <c r="GVG1" s="204"/>
      <c r="GVH1" s="204"/>
      <c r="GVI1" s="204"/>
      <c r="GVJ1" s="204"/>
      <c r="GVK1" s="204"/>
      <c r="GVL1" s="204"/>
      <c r="GVM1" s="204"/>
      <c r="GVN1" s="204"/>
      <c r="GVO1" s="204"/>
      <c r="GVP1" s="204"/>
      <c r="GVQ1" s="204"/>
      <c r="GVR1" s="205"/>
      <c r="GVS1" s="204"/>
      <c r="GVT1" s="204"/>
      <c r="GVU1" s="204"/>
      <c r="GVV1" s="204"/>
      <c r="GVW1" s="204"/>
      <c r="GVX1" s="204"/>
      <c r="GVY1" s="204"/>
      <c r="GVZ1" s="204"/>
      <c r="GWA1" s="204"/>
      <c r="GWB1" s="204"/>
      <c r="GWC1" s="204"/>
      <c r="GWD1" s="204"/>
      <c r="GWE1" s="204"/>
      <c r="GWF1" s="204"/>
      <c r="GWG1" s="204"/>
      <c r="GWH1" s="204"/>
      <c r="GWI1" s="204"/>
      <c r="GWJ1" s="204"/>
      <c r="GWK1" s="204"/>
      <c r="GWL1" s="204"/>
      <c r="GWM1" s="204"/>
      <c r="GWN1" s="204"/>
      <c r="GWO1" s="204"/>
      <c r="GWP1" s="204"/>
      <c r="GWQ1" s="204"/>
      <c r="GWR1" s="204"/>
      <c r="GWS1" s="204"/>
      <c r="GWT1" s="205"/>
      <c r="GWU1" s="204"/>
      <c r="GWV1" s="204"/>
      <c r="GWW1" s="204"/>
      <c r="GWX1" s="204"/>
      <c r="GWY1" s="204"/>
      <c r="GWZ1" s="204"/>
      <c r="GXA1" s="204"/>
      <c r="GXB1" s="204"/>
      <c r="GXC1" s="204"/>
      <c r="GXD1" s="204"/>
      <c r="GXE1" s="204"/>
      <c r="GXF1" s="204"/>
      <c r="GXG1" s="204"/>
      <c r="GXH1" s="204"/>
      <c r="GXI1" s="204"/>
      <c r="GXJ1" s="204"/>
      <c r="GXK1" s="204"/>
      <c r="GXL1" s="204"/>
      <c r="GXM1" s="204"/>
      <c r="GXN1" s="204"/>
      <c r="GXO1" s="204"/>
      <c r="GXP1" s="204"/>
      <c r="GXQ1" s="204"/>
      <c r="GXR1" s="204"/>
      <c r="GXS1" s="204"/>
      <c r="GXT1" s="204"/>
      <c r="GXU1" s="204"/>
      <c r="GXV1" s="205"/>
      <c r="GXW1" s="204"/>
      <c r="GXX1" s="204"/>
      <c r="GXY1" s="204"/>
      <c r="GXZ1" s="204"/>
      <c r="GYA1" s="204"/>
      <c r="GYB1" s="204"/>
      <c r="GYC1" s="204"/>
      <c r="GYD1" s="204"/>
      <c r="GYE1" s="204"/>
      <c r="GYF1" s="204"/>
      <c r="GYG1" s="204"/>
      <c r="GYH1" s="204"/>
      <c r="GYI1" s="204"/>
      <c r="GYJ1" s="204"/>
      <c r="GYK1" s="204"/>
      <c r="GYL1" s="204"/>
      <c r="GYM1" s="204"/>
      <c r="GYN1" s="204"/>
      <c r="GYO1" s="204"/>
      <c r="GYP1" s="204"/>
      <c r="GYQ1" s="204"/>
      <c r="GYR1" s="204"/>
      <c r="GYS1" s="204"/>
      <c r="GYT1" s="204"/>
      <c r="GYU1" s="204"/>
      <c r="GYV1" s="204"/>
      <c r="GYW1" s="204"/>
      <c r="GYX1" s="205"/>
      <c r="GYY1" s="204"/>
      <c r="GYZ1" s="204"/>
      <c r="GZA1" s="204"/>
      <c r="GZB1" s="204"/>
      <c r="GZC1" s="204"/>
      <c r="GZD1" s="204"/>
      <c r="GZE1" s="204"/>
      <c r="GZF1" s="204"/>
      <c r="GZG1" s="204"/>
      <c r="GZH1" s="204"/>
      <c r="GZI1" s="204"/>
      <c r="GZJ1" s="204"/>
      <c r="GZK1" s="204"/>
      <c r="GZL1" s="204"/>
      <c r="GZM1" s="204"/>
      <c r="GZN1" s="204"/>
      <c r="GZO1" s="204"/>
      <c r="GZP1" s="204"/>
      <c r="GZQ1" s="204"/>
      <c r="GZR1" s="204"/>
      <c r="GZS1" s="204"/>
      <c r="GZT1" s="204"/>
      <c r="GZU1" s="204"/>
      <c r="GZV1" s="204"/>
      <c r="GZW1" s="204"/>
      <c r="GZX1" s="204"/>
      <c r="GZY1" s="204"/>
      <c r="GZZ1" s="205"/>
      <c r="HAA1" s="204"/>
      <c r="HAB1" s="204"/>
      <c r="HAC1" s="204"/>
      <c r="HAD1" s="204"/>
      <c r="HAE1" s="204"/>
      <c r="HAF1" s="204"/>
      <c r="HAG1" s="204"/>
      <c r="HAH1" s="204"/>
      <c r="HAI1" s="204"/>
      <c r="HAJ1" s="204"/>
      <c r="HAK1" s="204"/>
      <c r="HAL1" s="204"/>
      <c r="HAM1" s="204"/>
      <c r="HAN1" s="204"/>
      <c r="HAO1" s="204"/>
      <c r="HAP1" s="204"/>
      <c r="HAQ1" s="204"/>
      <c r="HAR1" s="204"/>
      <c r="HAS1" s="204"/>
      <c r="HAT1" s="204"/>
      <c r="HAU1" s="204"/>
      <c r="HAV1" s="204"/>
      <c r="HAW1" s="204"/>
      <c r="HAX1" s="204"/>
      <c r="HAY1" s="204"/>
      <c r="HAZ1" s="204"/>
      <c r="HBA1" s="204"/>
      <c r="HBB1" s="205"/>
      <c r="HBC1" s="204"/>
      <c r="HBD1" s="204"/>
      <c r="HBE1" s="204"/>
      <c r="HBF1" s="204"/>
      <c r="HBG1" s="204"/>
      <c r="HBH1" s="204"/>
      <c r="HBI1" s="204"/>
      <c r="HBJ1" s="204"/>
      <c r="HBK1" s="204"/>
      <c r="HBL1" s="204"/>
      <c r="HBM1" s="204"/>
      <c r="HBN1" s="204"/>
      <c r="HBO1" s="204"/>
      <c r="HBP1" s="204"/>
      <c r="HBQ1" s="204"/>
      <c r="HBR1" s="204"/>
      <c r="HBS1" s="204"/>
      <c r="HBT1" s="204"/>
      <c r="HBU1" s="204"/>
      <c r="HBV1" s="204"/>
      <c r="HBW1" s="204"/>
      <c r="HBX1" s="204"/>
      <c r="HBY1" s="204"/>
      <c r="HBZ1" s="204"/>
      <c r="HCA1" s="204"/>
      <c r="HCB1" s="204"/>
      <c r="HCC1" s="204"/>
      <c r="HCD1" s="205"/>
      <c r="HCE1" s="204"/>
      <c r="HCF1" s="204"/>
      <c r="HCG1" s="204"/>
      <c r="HCH1" s="204"/>
      <c r="HCI1" s="204"/>
      <c r="HCJ1" s="204"/>
      <c r="HCK1" s="204"/>
      <c r="HCL1" s="204"/>
      <c r="HCM1" s="204"/>
      <c r="HCN1" s="204"/>
      <c r="HCO1" s="204"/>
      <c r="HCP1" s="204"/>
      <c r="HCQ1" s="204"/>
      <c r="HCR1" s="204"/>
      <c r="HCS1" s="204"/>
      <c r="HCT1" s="204"/>
      <c r="HCU1" s="204"/>
      <c r="HCV1" s="204"/>
      <c r="HCW1" s="204"/>
      <c r="HCX1" s="204"/>
      <c r="HCY1" s="204"/>
      <c r="HCZ1" s="204"/>
      <c r="HDA1" s="204"/>
      <c r="HDB1" s="204"/>
      <c r="HDC1" s="204"/>
      <c r="HDD1" s="204"/>
      <c r="HDE1" s="204"/>
      <c r="HDF1" s="205"/>
      <c r="HDG1" s="204"/>
      <c r="HDH1" s="204"/>
      <c r="HDI1" s="204"/>
      <c r="HDJ1" s="204"/>
      <c r="HDK1" s="204"/>
      <c r="HDL1" s="204"/>
      <c r="HDM1" s="204"/>
      <c r="HDN1" s="204"/>
      <c r="HDO1" s="204"/>
      <c r="HDP1" s="204"/>
      <c r="HDQ1" s="204"/>
      <c r="HDR1" s="204"/>
      <c r="HDS1" s="204"/>
      <c r="HDT1" s="204"/>
      <c r="HDU1" s="204"/>
      <c r="HDV1" s="204"/>
      <c r="HDW1" s="204"/>
      <c r="HDX1" s="204"/>
      <c r="HDY1" s="204"/>
      <c r="HDZ1" s="204"/>
      <c r="HEA1" s="204"/>
      <c r="HEB1" s="204"/>
      <c r="HEC1" s="204"/>
      <c r="HED1" s="204"/>
      <c r="HEE1" s="204"/>
      <c r="HEF1" s="204"/>
      <c r="HEG1" s="204"/>
      <c r="HEH1" s="205"/>
      <c r="HEI1" s="204"/>
      <c r="HEJ1" s="204"/>
      <c r="HEK1" s="204"/>
      <c r="HEL1" s="204"/>
      <c r="HEM1" s="204"/>
      <c r="HEN1" s="204"/>
      <c r="HEO1" s="204"/>
      <c r="HEP1" s="204"/>
      <c r="HEQ1" s="204"/>
      <c r="HER1" s="204"/>
      <c r="HES1" s="204"/>
      <c r="HET1" s="204"/>
      <c r="HEU1" s="204"/>
      <c r="HEV1" s="204"/>
      <c r="HEW1" s="204"/>
      <c r="HEX1" s="204"/>
      <c r="HEY1" s="204"/>
      <c r="HEZ1" s="204"/>
      <c r="HFA1" s="204"/>
      <c r="HFB1" s="204"/>
      <c r="HFC1" s="204"/>
      <c r="HFD1" s="204"/>
      <c r="HFE1" s="204"/>
      <c r="HFF1" s="204"/>
      <c r="HFG1" s="204"/>
      <c r="HFH1" s="204"/>
      <c r="HFI1" s="204"/>
      <c r="HFJ1" s="205"/>
      <c r="HFK1" s="204"/>
      <c r="HFL1" s="204"/>
      <c r="HFM1" s="204"/>
      <c r="HFN1" s="204"/>
      <c r="HFO1" s="204"/>
      <c r="HFP1" s="204"/>
      <c r="HFQ1" s="204"/>
      <c r="HFR1" s="204"/>
      <c r="HFS1" s="204"/>
      <c r="HFT1" s="204"/>
      <c r="HFU1" s="204"/>
      <c r="HFV1" s="204"/>
      <c r="HFW1" s="204"/>
      <c r="HFX1" s="204"/>
      <c r="HFY1" s="204"/>
      <c r="HFZ1" s="204"/>
      <c r="HGA1" s="204"/>
      <c r="HGB1" s="204"/>
      <c r="HGC1" s="204"/>
      <c r="HGD1" s="204"/>
      <c r="HGE1" s="204"/>
      <c r="HGF1" s="204"/>
      <c r="HGG1" s="204"/>
      <c r="HGH1" s="204"/>
      <c r="HGI1" s="204"/>
      <c r="HGJ1" s="204"/>
      <c r="HGK1" s="204"/>
      <c r="HGL1" s="205"/>
      <c r="HGM1" s="204"/>
      <c r="HGN1" s="204"/>
      <c r="HGO1" s="204"/>
      <c r="HGP1" s="204"/>
      <c r="HGQ1" s="204"/>
      <c r="HGR1" s="204"/>
      <c r="HGS1" s="204"/>
      <c r="HGT1" s="204"/>
      <c r="HGU1" s="204"/>
      <c r="HGV1" s="204"/>
      <c r="HGW1" s="204"/>
      <c r="HGX1" s="204"/>
      <c r="HGY1" s="204"/>
      <c r="HGZ1" s="204"/>
      <c r="HHA1" s="204"/>
      <c r="HHB1" s="204"/>
      <c r="HHC1" s="204"/>
      <c r="HHD1" s="204"/>
      <c r="HHE1" s="204"/>
      <c r="HHF1" s="204"/>
      <c r="HHG1" s="204"/>
      <c r="HHH1" s="204"/>
      <c r="HHI1" s="204"/>
      <c r="HHJ1" s="204"/>
      <c r="HHK1" s="204"/>
      <c r="HHL1" s="204"/>
      <c r="HHM1" s="204"/>
      <c r="HHN1" s="205"/>
      <c r="HHO1" s="204"/>
      <c r="HHP1" s="204"/>
      <c r="HHQ1" s="204"/>
      <c r="HHR1" s="204"/>
      <c r="HHS1" s="204"/>
      <c r="HHT1" s="204"/>
      <c r="HHU1" s="204"/>
      <c r="HHV1" s="204"/>
      <c r="HHW1" s="204"/>
      <c r="HHX1" s="204"/>
      <c r="HHY1" s="204"/>
      <c r="HHZ1" s="204"/>
      <c r="HIA1" s="204"/>
      <c r="HIB1" s="204"/>
      <c r="HIC1" s="204"/>
      <c r="HID1" s="204"/>
      <c r="HIE1" s="204"/>
      <c r="HIF1" s="204"/>
      <c r="HIG1" s="204"/>
      <c r="HIH1" s="204"/>
      <c r="HII1" s="204"/>
      <c r="HIJ1" s="204"/>
      <c r="HIK1" s="204"/>
      <c r="HIL1" s="204"/>
      <c r="HIM1" s="204"/>
      <c r="HIN1" s="204"/>
      <c r="HIO1" s="204"/>
      <c r="HIP1" s="205"/>
      <c r="HIQ1" s="204"/>
      <c r="HIR1" s="204"/>
      <c r="HIS1" s="204"/>
      <c r="HIT1" s="204"/>
      <c r="HIU1" s="204"/>
      <c r="HIV1" s="204"/>
      <c r="HIW1" s="204"/>
      <c r="HIX1" s="204"/>
      <c r="HIY1" s="204"/>
      <c r="HIZ1" s="204"/>
      <c r="HJA1" s="204"/>
      <c r="HJB1" s="204"/>
      <c r="HJC1" s="204"/>
      <c r="HJD1" s="204"/>
      <c r="HJE1" s="204"/>
      <c r="HJF1" s="204"/>
      <c r="HJG1" s="204"/>
      <c r="HJH1" s="204"/>
      <c r="HJI1" s="204"/>
      <c r="HJJ1" s="204"/>
      <c r="HJK1" s="204"/>
      <c r="HJL1" s="204"/>
      <c r="HJM1" s="204"/>
      <c r="HJN1" s="204"/>
      <c r="HJO1" s="204"/>
      <c r="HJP1" s="204"/>
      <c r="HJQ1" s="204"/>
      <c r="HJR1" s="205"/>
      <c r="HJS1" s="204"/>
      <c r="HJT1" s="204"/>
      <c r="HJU1" s="204"/>
      <c r="HJV1" s="204"/>
      <c r="HJW1" s="204"/>
      <c r="HJX1" s="204"/>
      <c r="HJY1" s="204"/>
      <c r="HJZ1" s="204"/>
      <c r="HKA1" s="204"/>
      <c r="HKB1" s="204"/>
      <c r="HKC1" s="204"/>
      <c r="HKD1" s="204"/>
      <c r="HKE1" s="204"/>
      <c r="HKF1" s="204"/>
      <c r="HKG1" s="204"/>
      <c r="HKH1" s="204"/>
      <c r="HKI1" s="204"/>
      <c r="HKJ1" s="204"/>
      <c r="HKK1" s="204"/>
      <c r="HKL1" s="204"/>
      <c r="HKM1" s="204"/>
      <c r="HKN1" s="204"/>
      <c r="HKO1" s="204"/>
      <c r="HKP1" s="204"/>
      <c r="HKQ1" s="204"/>
      <c r="HKR1" s="204"/>
      <c r="HKS1" s="204"/>
      <c r="HKT1" s="205"/>
      <c r="HKU1" s="204"/>
      <c r="HKV1" s="204"/>
      <c r="HKW1" s="204"/>
      <c r="HKX1" s="204"/>
      <c r="HKY1" s="204"/>
      <c r="HKZ1" s="204"/>
      <c r="HLA1" s="204"/>
      <c r="HLB1" s="204"/>
      <c r="HLC1" s="204"/>
      <c r="HLD1" s="204"/>
      <c r="HLE1" s="204"/>
      <c r="HLF1" s="204"/>
      <c r="HLG1" s="204"/>
      <c r="HLH1" s="204"/>
      <c r="HLI1" s="204"/>
      <c r="HLJ1" s="204"/>
      <c r="HLK1" s="204"/>
      <c r="HLL1" s="204"/>
      <c r="HLM1" s="204"/>
      <c r="HLN1" s="204"/>
      <c r="HLO1" s="204"/>
      <c r="HLP1" s="204"/>
      <c r="HLQ1" s="204"/>
      <c r="HLR1" s="204"/>
      <c r="HLS1" s="204"/>
      <c r="HLT1" s="204"/>
      <c r="HLU1" s="204"/>
      <c r="HLV1" s="205"/>
      <c r="HLW1" s="204"/>
      <c r="HLX1" s="204"/>
      <c r="HLY1" s="204"/>
      <c r="HLZ1" s="204"/>
      <c r="HMA1" s="204"/>
      <c r="HMB1" s="204"/>
      <c r="HMC1" s="204"/>
      <c r="HMD1" s="204"/>
      <c r="HME1" s="204"/>
      <c r="HMF1" s="204"/>
      <c r="HMG1" s="204"/>
      <c r="HMH1" s="204"/>
      <c r="HMI1" s="204"/>
      <c r="HMJ1" s="204"/>
      <c r="HMK1" s="204"/>
      <c r="HML1" s="204"/>
      <c r="HMM1" s="204"/>
      <c r="HMN1" s="204"/>
      <c r="HMO1" s="204"/>
      <c r="HMP1" s="204"/>
      <c r="HMQ1" s="204"/>
      <c r="HMR1" s="204"/>
      <c r="HMS1" s="204"/>
      <c r="HMT1" s="204"/>
      <c r="HMU1" s="204"/>
      <c r="HMV1" s="204"/>
      <c r="HMW1" s="204"/>
      <c r="HMX1" s="205"/>
      <c r="HMY1" s="204"/>
      <c r="HMZ1" s="204"/>
      <c r="HNA1" s="204"/>
      <c r="HNB1" s="204"/>
      <c r="HNC1" s="204"/>
      <c r="HND1" s="204"/>
      <c r="HNE1" s="204"/>
      <c r="HNF1" s="204"/>
      <c r="HNG1" s="204"/>
      <c r="HNH1" s="204"/>
      <c r="HNI1" s="204"/>
      <c r="HNJ1" s="204"/>
      <c r="HNK1" s="204"/>
      <c r="HNL1" s="204"/>
      <c r="HNM1" s="204"/>
      <c r="HNN1" s="204"/>
      <c r="HNO1" s="204"/>
      <c r="HNP1" s="204"/>
      <c r="HNQ1" s="204"/>
      <c r="HNR1" s="204"/>
      <c r="HNS1" s="204"/>
      <c r="HNT1" s="204"/>
      <c r="HNU1" s="204"/>
      <c r="HNV1" s="204"/>
      <c r="HNW1" s="204"/>
      <c r="HNX1" s="204"/>
      <c r="HNY1" s="204"/>
      <c r="HNZ1" s="205"/>
      <c r="HOA1" s="204"/>
      <c r="HOB1" s="204"/>
      <c r="HOC1" s="204"/>
      <c r="HOD1" s="204"/>
      <c r="HOE1" s="204"/>
      <c r="HOF1" s="204"/>
      <c r="HOG1" s="204"/>
      <c r="HOH1" s="204"/>
      <c r="HOI1" s="204"/>
      <c r="HOJ1" s="204"/>
      <c r="HOK1" s="204"/>
      <c r="HOL1" s="204"/>
      <c r="HOM1" s="204"/>
      <c r="HON1" s="204"/>
      <c r="HOO1" s="204"/>
      <c r="HOP1" s="204"/>
      <c r="HOQ1" s="204"/>
      <c r="HOR1" s="204"/>
      <c r="HOS1" s="204"/>
      <c r="HOT1" s="204"/>
      <c r="HOU1" s="204"/>
      <c r="HOV1" s="204"/>
      <c r="HOW1" s="204"/>
      <c r="HOX1" s="204"/>
      <c r="HOY1" s="204"/>
      <c r="HOZ1" s="204"/>
      <c r="HPA1" s="204"/>
      <c r="HPB1" s="205"/>
      <c r="HPC1" s="204"/>
      <c r="HPD1" s="204"/>
      <c r="HPE1" s="204"/>
      <c r="HPF1" s="204"/>
      <c r="HPG1" s="204"/>
      <c r="HPH1" s="204"/>
      <c r="HPI1" s="204"/>
      <c r="HPJ1" s="204"/>
      <c r="HPK1" s="204"/>
      <c r="HPL1" s="204"/>
      <c r="HPM1" s="204"/>
      <c r="HPN1" s="204"/>
      <c r="HPO1" s="204"/>
      <c r="HPP1" s="204"/>
      <c r="HPQ1" s="204"/>
      <c r="HPR1" s="204"/>
      <c r="HPS1" s="204"/>
      <c r="HPT1" s="204"/>
      <c r="HPU1" s="204"/>
      <c r="HPV1" s="204"/>
      <c r="HPW1" s="204"/>
      <c r="HPX1" s="204"/>
      <c r="HPY1" s="204"/>
      <c r="HPZ1" s="204"/>
      <c r="HQA1" s="204"/>
      <c r="HQB1" s="204"/>
      <c r="HQC1" s="204"/>
      <c r="HQD1" s="205"/>
      <c r="HQE1" s="204"/>
      <c r="HQF1" s="204"/>
      <c r="HQG1" s="204"/>
      <c r="HQH1" s="204"/>
      <c r="HQI1" s="204"/>
      <c r="HQJ1" s="204"/>
      <c r="HQK1" s="204"/>
      <c r="HQL1" s="204"/>
      <c r="HQM1" s="204"/>
      <c r="HQN1" s="204"/>
      <c r="HQO1" s="204"/>
      <c r="HQP1" s="204"/>
      <c r="HQQ1" s="204"/>
      <c r="HQR1" s="204"/>
      <c r="HQS1" s="204"/>
      <c r="HQT1" s="204"/>
      <c r="HQU1" s="204"/>
      <c r="HQV1" s="204"/>
      <c r="HQW1" s="204"/>
      <c r="HQX1" s="204"/>
      <c r="HQY1" s="204"/>
      <c r="HQZ1" s="204"/>
      <c r="HRA1" s="204"/>
      <c r="HRB1" s="204"/>
      <c r="HRC1" s="204"/>
      <c r="HRD1" s="204"/>
      <c r="HRE1" s="204"/>
      <c r="HRF1" s="205"/>
      <c r="HRG1" s="204"/>
      <c r="HRH1" s="204"/>
      <c r="HRI1" s="204"/>
      <c r="HRJ1" s="204"/>
      <c r="HRK1" s="204"/>
      <c r="HRL1" s="204"/>
      <c r="HRM1" s="204"/>
      <c r="HRN1" s="204"/>
      <c r="HRO1" s="204"/>
      <c r="HRP1" s="204"/>
      <c r="HRQ1" s="204"/>
      <c r="HRR1" s="204"/>
      <c r="HRS1" s="204"/>
      <c r="HRT1" s="204"/>
      <c r="HRU1" s="204"/>
      <c r="HRV1" s="204"/>
      <c r="HRW1" s="204"/>
      <c r="HRX1" s="204"/>
      <c r="HRY1" s="204"/>
      <c r="HRZ1" s="204"/>
      <c r="HSA1" s="204"/>
      <c r="HSB1" s="204"/>
      <c r="HSC1" s="204"/>
      <c r="HSD1" s="204"/>
      <c r="HSE1" s="204"/>
      <c r="HSF1" s="204"/>
      <c r="HSG1" s="204"/>
      <c r="HSH1" s="205"/>
      <c r="HSI1" s="204"/>
      <c r="HSJ1" s="204"/>
      <c r="HSK1" s="204"/>
      <c r="HSL1" s="204"/>
      <c r="HSM1" s="204"/>
      <c r="HSN1" s="204"/>
      <c r="HSO1" s="204"/>
      <c r="HSP1" s="204"/>
      <c r="HSQ1" s="204"/>
      <c r="HSR1" s="204"/>
      <c r="HSS1" s="204"/>
      <c r="HST1" s="204"/>
      <c r="HSU1" s="204"/>
      <c r="HSV1" s="204"/>
      <c r="HSW1" s="204"/>
      <c r="HSX1" s="204"/>
      <c r="HSY1" s="204"/>
      <c r="HSZ1" s="204"/>
      <c r="HTA1" s="204"/>
      <c r="HTB1" s="204"/>
      <c r="HTC1" s="204"/>
      <c r="HTD1" s="204"/>
      <c r="HTE1" s="204"/>
      <c r="HTF1" s="204"/>
      <c r="HTG1" s="204"/>
      <c r="HTH1" s="204"/>
      <c r="HTI1" s="204"/>
      <c r="HTJ1" s="205"/>
      <c r="HTK1" s="204"/>
      <c r="HTL1" s="204"/>
      <c r="HTM1" s="204"/>
      <c r="HTN1" s="204"/>
      <c r="HTO1" s="204"/>
      <c r="HTP1" s="204"/>
      <c r="HTQ1" s="204"/>
      <c r="HTR1" s="204"/>
      <c r="HTS1" s="204"/>
      <c r="HTT1" s="204"/>
      <c r="HTU1" s="204"/>
      <c r="HTV1" s="204"/>
      <c r="HTW1" s="204"/>
      <c r="HTX1" s="204"/>
      <c r="HTY1" s="204"/>
      <c r="HTZ1" s="204"/>
      <c r="HUA1" s="204"/>
      <c r="HUB1" s="204"/>
      <c r="HUC1" s="204"/>
      <c r="HUD1" s="204"/>
      <c r="HUE1" s="204"/>
      <c r="HUF1" s="204"/>
      <c r="HUG1" s="204"/>
      <c r="HUH1" s="204"/>
      <c r="HUI1" s="204"/>
      <c r="HUJ1" s="204"/>
      <c r="HUK1" s="204"/>
      <c r="HUL1" s="205"/>
      <c r="HUM1" s="204"/>
      <c r="HUN1" s="204"/>
      <c r="HUO1" s="204"/>
      <c r="HUP1" s="204"/>
      <c r="HUQ1" s="204"/>
      <c r="HUR1" s="204"/>
      <c r="HUS1" s="204"/>
      <c r="HUT1" s="204"/>
      <c r="HUU1" s="204"/>
      <c r="HUV1" s="204"/>
      <c r="HUW1" s="204"/>
      <c r="HUX1" s="204"/>
      <c r="HUY1" s="204"/>
      <c r="HUZ1" s="204"/>
      <c r="HVA1" s="204"/>
      <c r="HVB1" s="204"/>
      <c r="HVC1" s="204"/>
      <c r="HVD1" s="204"/>
      <c r="HVE1" s="204"/>
      <c r="HVF1" s="204"/>
      <c r="HVG1" s="204"/>
      <c r="HVH1" s="204"/>
      <c r="HVI1" s="204"/>
      <c r="HVJ1" s="204"/>
      <c r="HVK1" s="204"/>
      <c r="HVL1" s="204"/>
      <c r="HVM1" s="204"/>
      <c r="HVN1" s="205"/>
      <c r="HVO1" s="204"/>
      <c r="HVP1" s="204"/>
      <c r="HVQ1" s="204"/>
      <c r="HVR1" s="204"/>
      <c r="HVS1" s="204"/>
      <c r="HVT1" s="204"/>
      <c r="HVU1" s="204"/>
      <c r="HVV1" s="204"/>
      <c r="HVW1" s="204"/>
      <c r="HVX1" s="204"/>
      <c r="HVY1" s="204"/>
      <c r="HVZ1" s="204"/>
      <c r="HWA1" s="204"/>
      <c r="HWB1" s="204"/>
      <c r="HWC1" s="204"/>
      <c r="HWD1" s="204"/>
      <c r="HWE1" s="204"/>
      <c r="HWF1" s="204"/>
      <c r="HWG1" s="204"/>
      <c r="HWH1" s="204"/>
      <c r="HWI1" s="204"/>
      <c r="HWJ1" s="204"/>
      <c r="HWK1" s="204"/>
      <c r="HWL1" s="204"/>
      <c r="HWM1" s="204"/>
      <c r="HWN1" s="204"/>
      <c r="HWO1" s="204"/>
      <c r="HWP1" s="205"/>
      <c r="HWQ1" s="204"/>
      <c r="HWR1" s="204"/>
      <c r="HWS1" s="204"/>
      <c r="HWT1" s="204"/>
      <c r="HWU1" s="204"/>
      <c r="HWV1" s="204"/>
      <c r="HWW1" s="204"/>
      <c r="HWX1" s="204"/>
      <c r="HWY1" s="204"/>
      <c r="HWZ1" s="204"/>
      <c r="HXA1" s="204"/>
      <c r="HXB1" s="204"/>
      <c r="HXC1" s="204"/>
      <c r="HXD1" s="204"/>
      <c r="HXE1" s="204"/>
      <c r="HXF1" s="204"/>
      <c r="HXG1" s="204"/>
      <c r="HXH1" s="204"/>
      <c r="HXI1" s="204"/>
      <c r="HXJ1" s="204"/>
      <c r="HXK1" s="204"/>
      <c r="HXL1" s="204"/>
      <c r="HXM1" s="204"/>
      <c r="HXN1" s="204"/>
      <c r="HXO1" s="204"/>
      <c r="HXP1" s="204"/>
      <c r="HXQ1" s="204"/>
      <c r="HXR1" s="205"/>
      <c r="HXS1" s="204"/>
      <c r="HXT1" s="204"/>
      <c r="HXU1" s="204"/>
      <c r="HXV1" s="204"/>
      <c r="HXW1" s="204"/>
      <c r="HXX1" s="204"/>
      <c r="HXY1" s="204"/>
      <c r="HXZ1" s="204"/>
      <c r="HYA1" s="204"/>
      <c r="HYB1" s="204"/>
      <c r="HYC1" s="204"/>
      <c r="HYD1" s="204"/>
      <c r="HYE1" s="204"/>
      <c r="HYF1" s="204"/>
      <c r="HYG1" s="204"/>
      <c r="HYH1" s="204"/>
      <c r="HYI1" s="204"/>
      <c r="HYJ1" s="204"/>
      <c r="HYK1" s="204"/>
      <c r="HYL1" s="204"/>
      <c r="HYM1" s="204"/>
      <c r="HYN1" s="204"/>
      <c r="HYO1" s="204"/>
      <c r="HYP1" s="204"/>
      <c r="HYQ1" s="204"/>
      <c r="HYR1" s="204"/>
      <c r="HYS1" s="204"/>
      <c r="HYT1" s="205"/>
      <c r="HYU1" s="204"/>
      <c r="HYV1" s="204"/>
      <c r="HYW1" s="204"/>
      <c r="HYX1" s="204"/>
      <c r="HYY1" s="204"/>
      <c r="HYZ1" s="204"/>
      <c r="HZA1" s="204"/>
      <c r="HZB1" s="204"/>
      <c r="HZC1" s="204"/>
      <c r="HZD1" s="204"/>
      <c r="HZE1" s="204"/>
      <c r="HZF1" s="204"/>
      <c r="HZG1" s="204"/>
      <c r="HZH1" s="204"/>
      <c r="HZI1" s="204"/>
      <c r="HZJ1" s="204"/>
      <c r="HZK1" s="204"/>
      <c r="HZL1" s="204"/>
      <c r="HZM1" s="204"/>
      <c r="HZN1" s="204"/>
      <c r="HZO1" s="204"/>
      <c r="HZP1" s="204"/>
      <c r="HZQ1" s="204"/>
      <c r="HZR1" s="204"/>
      <c r="HZS1" s="204"/>
      <c r="HZT1" s="204"/>
      <c r="HZU1" s="204"/>
      <c r="HZV1" s="205"/>
      <c r="HZW1" s="204"/>
      <c r="HZX1" s="204"/>
      <c r="HZY1" s="204"/>
      <c r="HZZ1" s="204"/>
      <c r="IAA1" s="204"/>
      <c r="IAB1" s="204"/>
      <c r="IAC1" s="204"/>
      <c r="IAD1" s="204"/>
      <c r="IAE1" s="204"/>
      <c r="IAF1" s="204"/>
      <c r="IAG1" s="204"/>
      <c r="IAH1" s="204"/>
      <c r="IAI1" s="204"/>
      <c r="IAJ1" s="204"/>
      <c r="IAK1" s="204"/>
      <c r="IAL1" s="204"/>
      <c r="IAM1" s="204"/>
      <c r="IAN1" s="204"/>
      <c r="IAO1" s="204"/>
      <c r="IAP1" s="204"/>
      <c r="IAQ1" s="204"/>
      <c r="IAR1" s="204"/>
      <c r="IAS1" s="204"/>
      <c r="IAT1" s="204"/>
      <c r="IAU1" s="204"/>
      <c r="IAV1" s="204"/>
      <c r="IAW1" s="204"/>
      <c r="IAX1" s="205"/>
      <c r="IAY1" s="204"/>
      <c r="IAZ1" s="204"/>
      <c r="IBA1" s="204"/>
      <c r="IBB1" s="204"/>
      <c r="IBC1" s="204"/>
      <c r="IBD1" s="204"/>
      <c r="IBE1" s="204"/>
      <c r="IBF1" s="204"/>
      <c r="IBG1" s="204"/>
      <c r="IBH1" s="204"/>
      <c r="IBI1" s="204"/>
      <c r="IBJ1" s="204"/>
      <c r="IBK1" s="204"/>
      <c r="IBL1" s="204"/>
      <c r="IBM1" s="204"/>
      <c r="IBN1" s="204"/>
      <c r="IBO1" s="204"/>
      <c r="IBP1" s="204"/>
      <c r="IBQ1" s="204"/>
      <c r="IBR1" s="204"/>
      <c r="IBS1" s="204"/>
      <c r="IBT1" s="204"/>
      <c r="IBU1" s="204"/>
      <c r="IBV1" s="204"/>
      <c r="IBW1" s="204"/>
      <c r="IBX1" s="204"/>
      <c r="IBY1" s="204"/>
      <c r="IBZ1" s="205"/>
      <c r="ICA1" s="204"/>
      <c r="ICB1" s="204"/>
      <c r="ICC1" s="204"/>
      <c r="ICD1" s="204"/>
      <c r="ICE1" s="204"/>
      <c r="ICF1" s="204"/>
      <c r="ICG1" s="204"/>
      <c r="ICH1" s="204"/>
      <c r="ICI1" s="204"/>
      <c r="ICJ1" s="204"/>
      <c r="ICK1" s="204"/>
      <c r="ICL1" s="204"/>
      <c r="ICM1" s="204"/>
      <c r="ICN1" s="204"/>
      <c r="ICO1" s="204"/>
      <c r="ICP1" s="204"/>
      <c r="ICQ1" s="204"/>
      <c r="ICR1" s="204"/>
      <c r="ICS1" s="204"/>
      <c r="ICT1" s="204"/>
      <c r="ICU1" s="204"/>
      <c r="ICV1" s="204"/>
      <c r="ICW1" s="204"/>
      <c r="ICX1" s="204"/>
      <c r="ICY1" s="204"/>
      <c r="ICZ1" s="204"/>
      <c r="IDA1" s="204"/>
      <c r="IDB1" s="205"/>
      <c r="IDC1" s="204"/>
      <c r="IDD1" s="204"/>
      <c r="IDE1" s="204"/>
      <c r="IDF1" s="204"/>
      <c r="IDG1" s="204"/>
      <c r="IDH1" s="204"/>
      <c r="IDI1" s="204"/>
      <c r="IDJ1" s="204"/>
      <c r="IDK1" s="204"/>
      <c r="IDL1" s="204"/>
      <c r="IDM1" s="204"/>
      <c r="IDN1" s="204"/>
      <c r="IDO1" s="204"/>
      <c r="IDP1" s="204"/>
      <c r="IDQ1" s="204"/>
      <c r="IDR1" s="204"/>
      <c r="IDS1" s="204"/>
      <c r="IDT1" s="204"/>
      <c r="IDU1" s="204"/>
      <c r="IDV1" s="204"/>
      <c r="IDW1" s="204"/>
      <c r="IDX1" s="204"/>
      <c r="IDY1" s="204"/>
      <c r="IDZ1" s="204"/>
      <c r="IEA1" s="204"/>
      <c r="IEB1" s="204"/>
      <c r="IEC1" s="204"/>
      <c r="IED1" s="205"/>
      <c r="IEE1" s="204"/>
      <c r="IEF1" s="204"/>
      <c r="IEG1" s="204"/>
      <c r="IEH1" s="204"/>
      <c r="IEI1" s="204"/>
      <c r="IEJ1" s="204"/>
      <c r="IEK1" s="204"/>
      <c r="IEL1" s="204"/>
      <c r="IEM1" s="204"/>
      <c r="IEN1" s="204"/>
      <c r="IEO1" s="204"/>
      <c r="IEP1" s="204"/>
      <c r="IEQ1" s="204"/>
      <c r="IER1" s="204"/>
      <c r="IES1" s="204"/>
      <c r="IET1" s="204"/>
      <c r="IEU1" s="204"/>
      <c r="IEV1" s="204"/>
      <c r="IEW1" s="204"/>
      <c r="IEX1" s="204"/>
      <c r="IEY1" s="204"/>
      <c r="IEZ1" s="204"/>
      <c r="IFA1" s="204"/>
      <c r="IFB1" s="204"/>
      <c r="IFC1" s="204"/>
      <c r="IFD1" s="204"/>
      <c r="IFE1" s="204"/>
      <c r="IFF1" s="205"/>
      <c r="IFG1" s="204"/>
      <c r="IFH1" s="204"/>
      <c r="IFI1" s="204"/>
      <c r="IFJ1" s="204"/>
      <c r="IFK1" s="204"/>
      <c r="IFL1" s="204"/>
      <c r="IFM1" s="204"/>
      <c r="IFN1" s="204"/>
      <c r="IFO1" s="204"/>
      <c r="IFP1" s="204"/>
      <c r="IFQ1" s="204"/>
      <c r="IFR1" s="204"/>
      <c r="IFS1" s="204"/>
      <c r="IFT1" s="204"/>
      <c r="IFU1" s="204"/>
      <c r="IFV1" s="204"/>
      <c r="IFW1" s="204"/>
      <c r="IFX1" s="204"/>
      <c r="IFY1" s="204"/>
      <c r="IFZ1" s="204"/>
      <c r="IGA1" s="204"/>
      <c r="IGB1" s="204"/>
      <c r="IGC1" s="204"/>
      <c r="IGD1" s="204"/>
      <c r="IGE1" s="204"/>
      <c r="IGF1" s="204"/>
      <c r="IGG1" s="204"/>
      <c r="IGH1" s="205"/>
      <c r="IGI1" s="204"/>
      <c r="IGJ1" s="204"/>
      <c r="IGK1" s="204"/>
      <c r="IGL1" s="204"/>
      <c r="IGM1" s="204"/>
      <c r="IGN1" s="204"/>
      <c r="IGO1" s="204"/>
      <c r="IGP1" s="204"/>
      <c r="IGQ1" s="204"/>
      <c r="IGR1" s="204"/>
      <c r="IGS1" s="204"/>
      <c r="IGT1" s="204"/>
      <c r="IGU1" s="204"/>
      <c r="IGV1" s="204"/>
      <c r="IGW1" s="204"/>
      <c r="IGX1" s="204"/>
      <c r="IGY1" s="204"/>
      <c r="IGZ1" s="204"/>
      <c r="IHA1" s="204"/>
      <c r="IHB1" s="204"/>
      <c r="IHC1" s="204"/>
      <c r="IHD1" s="204"/>
      <c r="IHE1" s="204"/>
      <c r="IHF1" s="204"/>
      <c r="IHG1" s="204"/>
      <c r="IHH1" s="204"/>
      <c r="IHI1" s="204"/>
      <c r="IHJ1" s="205"/>
      <c r="IHK1" s="204"/>
      <c r="IHL1" s="204"/>
      <c r="IHM1" s="204"/>
      <c r="IHN1" s="204"/>
      <c r="IHO1" s="204"/>
      <c r="IHP1" s="204"/>
      <c r="IHQ1" s="204"/>
      <c r="IHR1" s="204"/>
      <c r="IHS1" s="204"/>
      <c r="IHT1" s="204"/>
      <c r="IHU1" s="204"/>
      <c r="IHV1" s="204"/>
      <c r="IHW1" s="204"/>
      <c r="IHX1" s="204"/>
      <c r="IHY1" s="204"/>
      <c r="IHZ1" s="204"/>
      <c r="IIA1" s="204"/>
      <c r="IIB1" s="204"/>
      <c r="IIC1" s="204"/>
      <c r="IID1" s="204"/>
      <c r="IIE1" s="204"/>
      <c r="IIF1" s="204"/>
      <c r="IIG1" s="204"/>
      <c r="IIH1" s="204"/>
      <c r="III1" s="204"/>
      <c r="IIJ1" s="204"/>
      <c r="IIK1" s="204"/>
      <c r="IIL1" s="205"/>
      <c r="IIM1" s="204"/>
      <c r="IIN1" s="204"/>
      <c r="IIO1" s="204"/>
      <c r="IIP1" s="204"/>
      <c r="IIQ1" s="204"/>
      <c r="IIR1" s="204"/>
      <c r="IIS1" s="204"/>
      <c r="IIT1" s="204"/>
      <c r="IIU1" s="204"/>
      <c r="IIV1" s="204"/>
      <c r="IIW1" s="204"/>
      <c r="IIX1" s="204"/>
      <c r="IIY1" s="204"/>
      <c r="IIZ1" s="204"/>
      <c r="IJA1" s="204"/>
      <c r="IJB1" s="204"/>
      <c r="IJC1" s="204"/>
      <c r="IJD1" s="204"/>
      <c r="IJE1" s="204"/>
      <c r="IJF1" s="204"/>
      <c r="IJG1" s="204"/>
      <c r="IJH1" s="204"/>
      <c r="IJI1" s="204"/>
      <c r="IJJ1" s="204"/>
      <c r="IJK1" s="204"/>
      <c r="IJL1" s="204"/>
      <c r="IJM1" s="204"/>
      <c r="IJN1" s="205"/>
      <c r="IJO1" s="204"/>
      <c r="IJP1" s="204"/>
      <c r="IJQ1" s="204"/>
      <c r="IJR1" s="204"/>
      <c r="IJS1" s="204"/>
      <c r="IJT1" s="204"/>
      <c r="IJU1" s="204"/>
      <c r="IJV1" s="204"/>
      <c r="IJW1" s="204"/>
      <c r="IJX1" s="204"/>
      <c r="IJY1" s="204"/>
      <c r="IJZ1" s="204"/>
      <c r="IKA1" s="204"/>
      <c r="IKB1" s="204"/>
      <c r="IKC1" s="204"/>
      <c r="IKD1" s="204"/>
      <c r="IKE1" s="204"/>
      <c r="IKF1" s="204"/>
      <c r="IKG1" s="204"/>
      <c r="IKH1" s="204"/>
      <c r="IKI1" s="204"/>
      <c r="IKJ1" s="204"/>
      <c r="IKK1" s="204"/>
      <c r="IKL1" s="204"/>
      <c r="IKM1" s="204"/>
      <c r="IKN1" s="204"/>
      <c r="IKO1" s="204"/>
      <c r="IKP1" s="205"/>
      <c r="IKQ1" s="204"/>
      <c r="IKR1" s="204"/>
      <c r="IKS1" s="204"/>
      <c r="IKT1" s="204"/>
      <c r="IKU1" s="204"/>
      <c r="IKV1" s="204"/>
      <c r="IKW1" s="204"/>
      <c r="IKX1" s="204"/>
      <c r="IKY1" s="204"/>
      <c r="IKZ1" s="204"/>
      <c r="ILA1" s="204"/>
      <c r="ILB1" s="204"/>
      <c r="ILC1" s="204"/>
      <c r="ILD1" s="204"/>
      <c r="ILE1" s="204"/>
      <c r="ILF1" s="204"/>
      <c r="ILG1" s="204"/>
      <c r="ILH1" s="204"/>
      <c r="ILI1" s="204"/>
      <c r="ILJ1" s="204"/>
      <c r="ILK1" s="204"/>
      <c r="ILL1" s="204"/>
      <c r="ILM1" s="204"/>
      <c r="ILN1" s="204"/>
      <c r="ILO1" s="204"/>
      <c r="ILP1" s="204"/>
      <c r="ILQ1" s="204"/>
      <c r="ILR1" s="205"/>
      <c r="ILS1" s="204"/>
      <c r="ILT1" s="204"/>
      <c r="ILU1" s="204"/>
      <c r="ILV1" s="204"/>
      <c r="ILW1" s="204"/>
      <c r="ILX1" s="204"/>
      <c r="ILY1" s="204"/>
      <c r="ILZ1" s="204"/>
      <c r="IMA1" s="204"/>
      <c r="IMB1" s="204"/>
      <c r="IMC1" s="204"/>
      <c r="IMD1" s="204"/>
      <c r="IME1" s="204"/>
      <c r="IMF1" s="204"/>
      <c r="IMG1" s="204"/>
      <c r="IMH1" s="204"/>
      <c r="IMI1" s="204"/>
      <c r="IMJ1" s="204"/>
      <c r="IMK1" s="204"/>
      <c r="IML1" s="204"/>
      <c r="IMM1" s="204"/>
      <c r="IMN1" s="204"/>
      <c r="IMO1" s="204"/>
      <c r="IMP1" s="204"/>
      <c r="IMQ1" s="204"/>
      <c r="IMR1" s="204"/>
      <c r="IMS1" s="204"/>
      <c r="IMT1" s="205"/>
      <c r="IMU1" s="204"/>
      <c r="IMV1" s="204"/>
      <c r="IMW1" s="204"/>
      <c r="IMX1" s="204"/>
      <c r="IMY1" s="204"/>
      <c r="IMZ1" s="204"/>
      <c r="INA1" s="204"/>
      <c r="INB1" s="204"/>
      <c r="INC1" s="204"/>
      <c r="IND1" s="204"/>
      <c r="INE1" s="204"/>
      <c r="INF1" s="204"/>
      <c r="ING1" s="204"/>
      <c r="INH1" s="204"/>
      <c r="INI1" s="204"/>
      <c r="INJ1" s="204"/>
      <c r="INK1" s="204"/>
      <c r="INL1" s="204"/>
      <c r="INM1" s="204"/>
      <c r="INN1" s="204"/>
      <c r="INO1" s="204"/>
      <c r="INP1" s="204"/>
      <c r="INQ1" s="204"/>
      <c r="INR1" s="204"/>
      <c r="INS1" s="204"/>
      <c r="INT1" s="204"/>
      <c r="INU1" s="204"/>
      <c r="INV1" s="205"/>
      <c r="INW1" s="204"/>
      <c r="INX1" s="204"/>
      <c r="INY1" s="204"/>
      <c r="INZ1" s="204"/>
      <c r="IOA1" s="204"/>
      <c r="IOB1" s="204"/>
      <c r="IOC1" s="204"/>
      <c r="IOD1" s="204"/>
      <c r="IOE1" s="204"/>
      <c r="IOF1" s="204"/>
      <c r="IOG1" s="204"/>
      <c r="IOH1" s="204"/>
      <c r="IOI1" s="204"/>
      <c r="IOJ1" s="204"/>
      <c r="IOK1" s="204"/>
      <c r="IOL1" s="204"/>
      <c r="IOM1" s="204"/>
      <c r="ION1" s="204"/>
      <c r="IOO1" s="204"/>
      <c r="IOP1" s="204"/>
      <c r="IOQ1" s="204"/>
      <c r="IOR1" s="204"/>
      <c r="IOS1" s="204"/>
      <c r="IOT1" s="204"/>
      <c r="IOU1" s="204"/>
      <c r="IOV1" s="204"/>
      <c r="IOW1" s="204"/>
      <c r="IOX1" s="205"/>
      <c r="IOY1" s="204"/>
      <c r="IOZ1" s="204"/>
      <c r="IPA1" s="204"/>
      <c r="IPB1" s="204"/>
      <c r="IPC1" s="204"/>
      <c r="IPD1" s="204"/>
      <c r="IPE1" s="204"/>
      <c r="IPF1" s="204"/>
      <c r="IPG1" s="204"/>
      <c r="IPH1" s="204"/>
      <c r="IPI1" s="204"/>
      <c r="IPJ1" s="204"/>
      <c r="IPK1" s="204"/>
      <c r="IPL1" s="204"/>
      <c r="IPM1" s="204"/>
      <c r="IPN1" s="204"/>
      <c r="IPO1" s="204"/>
      <c r="IPP1" s="204"/>
      <c r="IPQ1" s="204"/>
      <c r="IPR1" s="204"/>
      <c r="IPS1" s="204"/>
      <c r="IPT1" s="204"/>
      <c r="IPU1" s="204"/>
      <c r="IPV1" s="204"/>
      <c r="IPW1" s="204"/>
      <c r="IPX1" s="204"/>
      <c r="IPY1" s="204"/>
      <c r="IPZ1" s="205"/>
      <c r="IQA1" s="204"/>
      <c r="IQB1" s="204"/>
      <c r="IQC1" s="204"/>
      <c r="IQD1" s="204"/>
      <c r="IQE1" s="204"/>
      <c r="IQF1" s="204"/>
      <c r="IQG1" s="204"/>
      <c r="IQH1" s="204"/>
      <c r="IQI1" s="204"/>
      <c r="IQJ1" s="204"/>
      <c r="IQK1" s="204"/>
      <c r="IQL1" s="204"/>
      <c r="IQM1" s="204"/>
      <c r="IQN1" s="204"/>
      <c r="IQO1" s="204"/>
      <c r="IQP1" s="204"/>
      <c r="IQQ1" s="204"/>
      <c r="IQR1" s="204"/>
      <c r="IQS1" s="204"/>
      <c r="IQT1" s="204"/>
      <c r="IQU1" s="204"/>
      <c r="IQV1" s="204"/>
      <c r="IQW1" s="204"/>
      <c r="IQX1" s="204"/>
      <c r="IQY1" s="204"/>
      <c r="IQZ1" s="204"/>
      <c r="IRA1" s="204"/>
      <c r="IRB1" s="205"/>
      <c r="IRC1" s="204"/>
      <c r="IRD1" s="204"/>
      <c r="IRE1" s="204"/>
      <c r="IRF1" s="204"/>
      <c r="IRG1" s="204"/>
      <c r="IRH1" s="204"/>
      <c r="IRI1" s="204"/>
      <c r="IRJ1" s="204"/>
      <c r="IRK1" s="204"/>
      <c r="IRL1" s="204"/>
      <c r="IRM1" s="204"/>
      <c r="IRN1" s="204"/>
      <c r="IRO1" s="204"/>
      <c r="IRP1" s="204"/>
      <c r="IRQ1" s="204"/>
      <c r="IRR1" s="204"/>
      <c r="IRS1" s="204"/>
      <c r="IRT1" s="204"/>
      <c r="IRU1" s="204"/>
      <c r="IRV1" s="204"/>
      <c r="IRW1" s="204"/>
      <c r="IRX1" s="204"/>
      <c r="IRY1" s="204"/>
      <c r="IRZ1" s="204"/>
      <c r="ISA1" s="204"/>
      <c r="ISB1" s="204"/>
      <c r="ISC1" s="204"/>
      <c r="ISD1" s="205"/>
      <c r="ISE1" s="204"/>
      <c r="ISF1" s="204"/>
      <c r="ISG1" s="204"/>
      <c r="ISH1" s="204"/>
      <c r="ISI1" s="204"/>
      <c r="ISJ1" s="204"/>
      <c r="ISK1" s="204"/>
      <c r="ISL1" s="204"/>
      <c r="ISM1" s="204"/>
      <c r="ISN1" s="204"/>
      <c r="ISO1" s="204"/>
      <c r="ISP1" s="204"/>
      <c r="ISQ1" s="204"/>
      <c r="ISR1" s="204"/>
      <c r="ISS1" s="204"/>
      <c r="IST1" s="204"/>
      <c r="ISU1" s="204"/>
      <c r="ISV1" s="204"/>
      <c r="ISW1" s="204"/>
      <c r="ISX1" s="204"/>
      <c r="ISY1" s="204"/>
      <c r="ISZ1" s="204"/>
      <c r="ITA1" s="204"/>
      <c r="ITB1" s="204"/>
      <c r="ITC1" s="204"/>
      <c r="ITD1" s="204"/>
      <c r="ITE1" s="204"/>
      <c r="ITF1" s="205"/>
      <c r="ITG1" s="204"/>
      <c r="ITH1" s="204"/>
      <c r="ITI1" s="204"/>
      <c r="ITJ1" s="204"/>
      <c r="ITK1" s="204"/>
      <c r="ITL1" s="204"/>
      <c r="ITM1" s="204"/>
      <c r="ITN1" s="204"/>
      <c r="ITO1" s="204"/>
      <c r="ITP1" s="204"/>
      <c r="ITQ1" s="204"/>
      <c r="ITR1" s="204"/>
      <c r="ITS1" s="204"/>
      <c r="ITT1" s="204"/>
      <c r="ITU1" s="204"/>
      <c r="ITV1" s="204"/>
      <c r="ITW1" s="204"/>
      <c r="ITX1" s="204"/>
      <c r="ITY1" s="204"/>
      <c r="ITZ1" s="204"/>
      <c r="IUA1" s="204"/>
      <c r="IUB1" s="204"/>
      <c r="IUC1" s="204"/>
      <c r="IUD1" s="204"/>
      <c r="IUE1" s="204"/>
      <c r="IUF1" s="204"/>
      <c r="IUG1" s="204"/>
      <c r="IUH1" s="205"/>
      <c r="IUI1" s="204"/>
      <c r="IUJ1" s="204"/>
      <c r="IUK1" s="204"/>
      <c r="IUL1" s="204"/>
      <c r="IUM1" s="204"/>
      <c r="IUN1" s="204"/>
      <c r="IUO1" s="204"/>
      <c r="IUP1" s="204"/>
      <c r="IUQ1" s="204"/>
      <c r="IUR1" s="204"/>
      <c r="IUS1" s="204"/>
      <c r="IUT1" s="204"/>
      <c r="IUU1" s="204"/>
      <c r="IUV1" s="204"/>
      <c r="IUW1" s="204"/>
      <c r="IUX1" s="204"/>
      <c r="IUY1" s="204"/>
      <c r="IUZ1" s="204"/>
      <c r="IVA1" s="204"/>
      <c r="IVB1" s="204"/>
      <c r="IVC1" s="204"/>
      <c r="IVD1" s="204"/>
      <c r="IVE1" s="204"/>
      <c r="IVF1" s="204"/>
      <c r="IVG1" s="204"/>
      <c r="IVH1" s="204"/>
      <c r="IVI1" s="204"/>
      <c r="IVJ1" s="205"/>
      <c r="IVK1" s="204"/>
      <c r="IVL1" s="204"/>
      <c r="IVM1" s="204"/>
      <c r="IVN1" s="204"/>
      <c r="IVO1" s="204"/>
      <c r="IVP1" s="204"/>
      <c r="IVQ1" s="204"/>
      <c r="IVR1" s="204"/>
      <c r="IVS1" s="204"/>
      <c r="IVT1" s="204"/>
      <c r="IVU1" s="204"/>
      <c r="IVV1" s="204"/>
      <c r="IVW1" s="204"/>
      <c r="IVX1" s="204"/>
      <c r="IVY1" s="204"/>
      <c r="IVZ1" s="204"/>
      <c r="IWA1" s="204"/>
      <c r="IWB1" s="204"/>
      <c r="IWC1" s="204"/>
      <c r="IWD1" s="204"/>
      <c r="IWE1" s="204"/>
      <c r="IWF1" s="204"/>
      <c r="IWG1" s="204"/>
      <c r="IWH1" s="204"/>
      <c r="IWI1" s="204"/>
      <c r="IWJ1" s="204"/>
      <c r="IWK1" s="204"/>
      <c r="IWL1" s="205"/>
      <c r="IWM1" s="204"/>
      <c r="IWN1" s="204"/>
      <c r="IWO1" s="204"/>
      <c r="IWP1" s="204"/>
      <c r="IWQ1" s="204"/>
      <c r="IWR1" s="204"/>
      <c r="IWS1" s="204"/>
      <c r="IWT1" s="204"/>
      <c r="IWU1" s="204"/>
      <c r="IWV1" s="204"/>
      <c r="IWW1" s="204"/>
      <c r="IWX1" s="204"/>
      <c r="IWY1" s="204"/>
      <c r="IWZ1" s="204"/>
      <c r="IXA1" s="204"/>
      <c r="IXB1" s="204"/>
      <c r="IXC1" s="204"/>
      <c r="IXD1" s="204"/>
      <c r="IXE1" s="204"/>
      <c r="IXF1" s="204"/>
      <c r="IXG1" s="204"/>
      <c r="IXH1" s="204"/>
      <c r="IXI1" s="204"/>
      <c r="IXJ1" s="204"/>
      <c r="IXK1" s="204"/>
      <c r="IXL1" s="204"/>
      <c r="IXM1" s="204"/>
      <c r="IXN1" s="205"/>
      <c r="IXO1" s="204"/>
      <c r="IXP1" s="204"/>
      <c r="IXQ1" s="204"/>
      <c r="IXR1" s="204"/>
      <c r="IXS1" s="204"/>
      <c r="IXT1" s="204"/>
      <c r="IXU1" s="204"/>
      <c r="IXV1" s="204"/>
      <c r="IXW1" s="204"/>
      <c r="IXX1" s="204"/>
      <c r="IXY1" s="204"/>
      <c r="IXZ1" s="204"/>
      <c r="IYA1" s="204"/>
      <c r="IYB1" s="204"/>
      <c r="IYC1" s="204"/>
      <c r="IYD1" s="204"/>
      <c r="IYE1" s="204"/>
      <c r="IYF1" s="204"/>
      <c r="IYG1" s="204"/>
      <c r="IYH1" s="204"/>
      <c r="IYI1" s="204"/>
      <c r="IYJ1" s="204"/>
      <c r="IYK1" s="204"/>
      <c r="IYL1" s="204"/>
      <c r="IYM1" s="204"/>
      <c r="IYN1" s="204"/>
      <c r="IYO1" s="204"/>
      <c r="IYP1" s="205"/>
      <c r="IYQ1" s="204"/>
      <c r="IYR1" s="204"/>
      <c r="IYS1" s="204"/>
      <c r="IYT1" s="204"/>
      <c r="IYU1" s="204"/>
      <c r="IYV1" s="204"/>
      <c r="IYW1" s="204"/>
      <c r="IYX1" s="204"/>
      <c r="IYY1" s="204"/>
      <c r="IYZ1" s="204"/>
      <c r="IZA1" s="204"/>
      <c r="IZB1" s="204"/>
      <c r="IZC1" s="204"/>
      <c r="IZD1" s="204"/>
      <c r="IZE1" s="204"/>
      <c r="IZF1" s="204"/>
      <c r="IZG1" s="204"/>
      <c r="IZH1" s="204"/>
      <c r="IZI1" s="204"/>
      <c r="IZJ1" s="204"/>
      <c r="IZK1" s="204"/>
      <c r="IZL1" s="204"/>
      <c r="IZM1" s="204"/>
      <c r="IZN1" s="204"/>
      <c r="IZO1" s="204"/>
      <c r="IZP1" s="204"/>
      <c r="IZQ1" s="204"/>
      <c r="IZR1" s="205"/>
      <c r="IZS1" s="204"/>
      <c r="IZT1" s="204"/>
      <c r="IZU1" s="204"/>
      <c r="IZV1" s="204"/>
      <c r="IZW1" s="204"/>
      <c r="IZX1" s="204"/>
      <c r="IZY1" s="204"/>
      <c r="IZZ1" s="204"/>
      <c r="JAA1" s="204"/>
      <c r="JAB1" s="204"/>
      <c r="JAC1" s="204"/>
      <c r="JAD1" s="204"/>
      <c r="JAE1" s="204"/>
      <c r="JAF1" s="204"/>
      <c r="JAG1" s="204"/>
      <c r="JAH1" s="204"/>
      <c r="JAI1" s="204"/>
      <c r="JAJ1" s="204"/>
      <c r="JAK1" s="204"/>
      <c r="JAL1" s="204"/>
      <c r="JAM1" s="204"/>
      <c r="JAN1" s="204"/>
      <c r="JAO1" s="204"/>
      <c r="JAP1" s="204"/>
      <c r="JAQ1" s="204"/>
      <c r="JAR1" s="204"/>
      <c r="JAS1" s="204"/>
      <c r="JAT1" s="205"/>
      <c r="JAU1" s="204"/>
      <c r="JAV1" s="204"/>
      <c r="JAW1" s="204"/>
      <c r="JAX1" s="204"/>
      <c r="JAY1" s="204"/>
      <c r="JAZ1" s="204"/>
      <c r="JBA1" s="204"/>
      <c r="JBB1" s="204"/>
      <c r="JBC1" s="204"/>
      <c r="JBD1" s="204"/>
      <c r="JBE1" s="204"/>
      <c r="JBF1" s="204"/>
      <c r="JBG1" s="204"/>
      <c r="JBH1" s="204"/>
      <c r="JBI1" s="204"/>
      <c r="JBJ1" s="204"/>
      <c r="JBK1" s="204"/>
      <c r="JBL1" s="204"/>
      <c r="JBM1" s="204"/>
      <c r="JBN1" s="204"/>
      <c r="JBO1" s="204"/>
      <c r="JBP1" s="204"/>
      <c r="JBQ1" s="204"/>
      <c r="JBR1" s="204"/>
      <c r="JBS1" s="204"/>
      <c r="JBT1" s="204"/>
      <c r="JBU1" s="204"/>
      <c r="JBV1" s="205"/>
      <c r="JBW1" s="204"/>
      <c r="JBX1" s="204"/>
      <c r="JBY1" s="204"/>
      <c r="JBZ1" s="204"/>
      <c r="JCA1" s="204"/>
      <c r="JCB1" s="204"/>
      <c r="JCC1" s="204"/>
      <c r="JCD1" s="204"/>
      <c r="JCE1" s="204"/>
      <c r="JCF1" s="204"/>
      <c r="JCG1" s="204"/>
      <c r="JCH1" s="204"/>
      <c r="JCI1" s="204"/>
      <c r="JCJ1" s="204"/>
      <c r="JCK1" s="204"/>
      <c r="JCL1" s="204"/>
      <c r="JCM1" s="204"/>
      <c r="JCN1" s="204"/>
      <c r="JCO1" s="204"/>
      <c r="JCP1" s="204"/>
      <c r="JCQ1" s="204"/>
      <c r="JCR1" s="204"/>
      <c r="JCS1" s="204"/>
      <c r="JCT1" s="204"/>
      <c r="JCU1" s="204"/>
      <c r="JCV1" s="204"/>
      <c r="JCW1" s="204"/>
      <c r="JCX1" s="205"/>
      <c r="JCY1" s="204"/>
      <c r="JCZ1" s="204"/>
      <c r="JDA1" s="204"/>
      <c r="JDB1" s="204"/>
      <c r="JDC1" s="204"/>
      <c r="JDD1" s="204"/>
      <c r="JDE1" s="204"/>
      <c r="JDF1" s="204"/>
      <c r="JDG1" s="204"/>
      <c r="JDH1" s="204"/>
      <c r="JDI1" s="204"/>
      <c r="JDJ1" s="204"/>
      <c r="JDK1" s="204"/>
      <c r="JDL1" s="204"/>
      <c r="JDM1" s="204"/>
      <c r="JDN1" s="204"/>
      <c r="JDO1" s="204"/>
      <c r="JDP1" s="204"/>
      <c r="JDQ1" s="204"/>
      <c r="JDR1" s="204"/>
      <c r="JDS1" s="204"/>
      <c r="JDT1" s="204"/>
      <c r="JDU1" s="204"/>
      <c r="JDV1" s="204"/>
      <c r="JDW1" s="204"/>
      <c r="JDX1" s="204"/>
      <c r="JDY1" s="204"/>
      <c r="JDZ1" s="205"/>
      <c r="JEA1" s="204"/>
      <c r="JEB1" s="204"/>
      <c r="JEC1" s="204"/>
      <c r="JED1" s="204"/>
      <c r="JEE1" s="204"/>
      <c r="JEF1" s="204"/>
      <c r="JEG1" s="204"/>
      <c r="JEH1" s="204"/>
      <c r="JEI1" s="204"/>
      <c r="JEJ1" s="204"/>
      <c r="JEK1" s="204"/>
      <c r="JEL1" s="204"/>
      <c r="JEM1" s="204"/>
      <c r="JEN1" s="204"/>
      <c r="JEO1" s="204"/>
      <c r="JEP1" s="204"/>
      <c r="JEQ1" s="204"/>
      <c r="JER1" s="204"/>
      <c r="JES1" s="204"/>
      <c r="JET1" s="204"/>
      <c r="JEU1" s="204"/>
      <c r="JEV1" s="204"/>
      <c r="JEW1" s="204"/>
      <c r="JEX1" s="204"/>
      <c r="JEY1" s="204"/>
      <c r="JEZ1" s="204"/>
      <c r="JFA1" s="204"/>
      <c r="JFB1" s="205"/>
      <c r="JFC1" s="204"/>
      <c r="JFD1" s="204"/>
      <c r="JFE1" s="204"/>
      <c r="JFF1" s="204"/>
      <c r="JFG1" s="204"/>
      <c r="JFH1" s="204"/>
      <c r="JFI1" s="204"/>
      <c r="JFJ1" s="204"/>
      <c r="JFK1" s="204"/>
      <c r="JFL1" s="204"/>
      <c r="JFM1" s="204"/>
      <c r="JFN1" s="204"/>
      <c r="JFO1" s="204"/>
      <c r="JFP1" s="204"/>
      <c r="JFQ1" s="204"/>
      <c r="JFR1" s="204"/>
      <c r="JFS1" s="204"/>
      <c r="JFT1" s="204"/>
      <c r="JFU1" s="204"/>
      <c r="JFV1" s="204"/>
      <c r="JFW1" s="204"/>
      <c r="JFX1" s="204"/>
      <c r="JFY1" s="204"/>
      <c r="JFZ1" s="204"/>
      <c r="JGA1" s="204"/>
      <c r="JGB1" s="204"/>
      <c r="JGC1" s="204"/>
      <c r="JGD1" s="205"/>
      <c r="JGE1" s="204"/>
      <c r="JGF1" s="204"/>
      <c r="JGG1" s="204"/>
      <c r="JGH1" s="204"/>
      <c r="JGI1" s="204"/>
      <c r="JGJ1" s="204"/>
      <c r="JGK1" s="204"/>
      <c r="JGL1" s="204"/>
      <c r="JGM1" s="204"/>
      <c r="JGN1" s="204"/>
      <c r="JGO1" s="204"/>
      <c r="JGP1" s="204"/>
      <c r="JGQ1" s="204"/>
      <c r="JGR1" s="204"/>
      <c r="JGS1" s="204"/>
      <c r="JGT1" s="204"/>
      <c r="JGU1" s="204"/>
      <c r="JGV1" s="204"/>
      <c r="JGW1" s="204"/>
      <c r="JGX1" s="204"/>
      <c r="JGY1" s="204"/>
      <c r="JGZ1" s="204"/>
      <c r="JHA1" s="204"/>
      <c r="JHB1" s="204"/>
      <c r="JHC1" s="204"/>
      <c r="JHD1" s="204"/>
      <c r="JHE1" s="204"/>
      <c r="JHF1" s="205"/>
      <c r="JHG1" s="204"/>
      <c r="JHH1" s="204"/>
      <c r="JHI1" s="204"/>
      <c r="JHJ1" s="204"/>
      <c r="JHK1" s="204"/>
      <c r="JHL1" s="204"/>
      <c r="JHM1" s="204"/>
      <c r="JHN1" s="204"/>
      <c r="JHO1" s="204"/>
      <c r="JHP1" s="204"/>
      <c r="JHQ1" s="204"/>
      <c r="JHR1" s="204"/>
      <c r="JHS1" s="204"/>
      <c r="JHT1" s="204"/>
      <c r="JHU1" s="204"/>
      <c r="JHV1" s="204"/>
      <c r="JHW1" s="204"/>
      <c r="JHX1" s="204"/>
      <c r="JHY1" s="204"/>
      <c r="JHZ1" s="204"/>
      <c r="JIA1" s="204"/>
      <c r="JIB1" s="204"/>
      <c r="JIC1" s="204"/>
      <c r="JID1" s="204"/>
      <c r="JIE1" s="204"/>
      <c r="JIF1" s="204"/>
      <c r="JIG1" s="204"/>
      <c r="JIH1" s="205"/>
      <c r="JII1" s="204"/>
      <c r="JIJ1" s="204"/>
      <c r="JIK1" s="204"/>
      <c r="JIL1" s="204"/>
      <c r="JIM1" s="204"/>
      <c r="JIN1" s="204"/>
      <c r="JIO1" s="204"/>
      <c r="JIP1" s="204"/>
      <c r="JIQ1" s="204"/>
      <c r="JIR1" s="204"/>
      <c r="JIS1" s="204"/>
      <c r="JIT1" s="204"/>
      <c r="JIU1" s="204"/>
      <c r="JIV1" s="204"/>
      <c r="JIW1" s="204"/>
      <c r="JIX1" s="204"/>
      <c r="JIY1" s="204"/>
      <c r="JIZ1" s="204"/>
      <c r="JJA1" s="204"/>
      <c r="JJB1" s="204"/>
      <c r="JJC1" s="204"/>
      <c r="JJD1" s="204"/>
      <c r="JJE1" s="204"/>
      <c r="JJF1" s="204"/>
      <c r="JJG1" s="204"/>
      <c r="JJH1" s="204"/>
      <c r="JJI1" s="204"/>
      <c r="JJJ1" s="205"/>
      <c r="JJK1" s="204"/>
      <c r="JJL1" s="204"/>
      <c r="JJM1" s="204"/>
      <c r="JJN1" s="204"/>
      <c r="JJO1" s="204"/>
      <c r="JJP1" s="204"/>
      <c r="JJQ1" s="204"/>
      <c r="JJR1" s="204"/>
      <c r="JJS1" s="204"/>
      <c r="JJT1" s="204"/>
      <c r="JJU1" s="204"/>
      <c r="JJV1" s="204"/>
      <c r="JJW1" s="204"/>
      <c r="JJX1" s="204"/>
      <c r="JJY1" s="204"/>
      <c r="JJZ1" s="204"/>
      <c r="JKA1" s="204"/>
      <c r="JKB1" s="204"/>
      <c r="JKC1" s="204"/>
      <c r="JKD1" s="204"/>
      <c r="JKE1" s="204"/>
      <c r="JKF1" s="204"/>
      <c r="JKG1" s="204"/>
      <c r="JKH1" s="204"/>
      <c r="JKI1" s="204"/>
      <c r="JKJ1" s="204"/>
      <c r="JKK1" s="204"/>
      <c r="JKL1" s="205"/>
      <c r="JKM1" s="204"/>
      <c r="JKN1" s="204"/>
      <c r="JKO1" s="204"/>
      <c r="JKP1" s="204"/>
      <c r="JKQ1" s="204"/>
      <c r="JKR1" s="204"/>
      <c r="JKS1" s="204"/>
      <c r="JKT1" s="204"/>
      <c r="JKU1" s="204"/>
      <c r="JKV1" s="204"/>
      <c r="JKW1" s="204"/>
      <c r="JKX1" s="204"/>
      <c r="JKY1" s="204"/>
      <c r="JKZ1" s="204"/>
      <c r="JLA1" s="204"/>
      <c r="JLB1" s="204"/>
      <c r="JLC1" s="204"/>
      <c r="JLD1" s="204"/>
      <c r="JLE1" s="204"/>
      <c r="JLF1" s="204"/>
      <c r="JLG1" s="204"/>
      <c r="JLH1" s="204"/>
      <c r="JLI1" s="204"/>
      <c r="JLJ1" s="204"/>
      <c r="JLK1" s="204"/>
      <c r="JLL1" s="204"/>
      <c r="JLM1" s="204"/>
      <c r="JLN1" s="205"/>
      <c r="JLO1" s="204"/>
      <c r="JLP1" s="204"/>
      <c r="JLQ1" s="204"/>
      <c r="JLR1" s="204"/>
      <c r="JLS1" s="204"/>
      <c r="JLT1" s="204"/>
      <c r="JLU1" s="204"/>
      <c r="JLV1" s="204"/>
      <c r="JLW1" s="204"/>
      <c r="JLX1" s="204"/>
      <c r="JLY1" s="204"/>
      <c r="JLZ1" s="204"/>
      <c r="JMA1" s="204"/>
      <c r="JMB1" s="204"/>
      <c r="JMC1" s="204"/>
      <c r="JMD1" s="204"/>
      <c r="JME1" s="204"/>
      <c r="JMF1" s="204"/>
      <c r="JMG1" s="204"/>
      <c r="JMH1" s="204"/>
      <c r="JMI1" s="204"/>
      <c r="JMJ1" s="204"/>
      <c r="JMK1" s="204"/>
      <c r="JML1" s="204"/>
      <c r="JMM1" s="204"/>
      <c r="JMN1" s="204"/>
      <c r="JMO1" s="204"/>
      <c r="JMP1" s="205"/>
      <c r="JMQ1" s="204"/>
      <c r="JMR1" s="204"/>
      <c r="JMS1" s="204"/>
      <c r="JMT1" s="204"/>
      <c r="JMU1" s="204"/>
      <c r="JMV1" s="204"/>
      <c r="JMW1" s="204"/>
      <c r="JMX1" s="204"/>
      <c r="JMY1" s="204"/>
      <c r="JMZ1" s="204"/>
      <c r="JNA1" s="204"/>
      <c r="JNB1" s="204"/>
      <c r="JNC1" s="204"/>
      <c r="JND1" s="204"/>
      <c r="JNE1" s="204"/>
      <c r="JNF1" s="204"/>
      <c r="JNG1" s="204"/>
      <c r="JNH1" s="204"/>
      <c r="JNI1" s="204"/>
      <c r="JNJ1" s="204"/>
      <c r="JNK1" s="204"/>
      <c r="JNL1" s="204"/>
      <c r="JNM1" s="204"/>
      <c r="JNN1" s="204"/>
      <c r="JNO1" s="204"/>
      <c r="JNP1" s="204"/>
      <c r="JNQ1" s="204"/>
      <c r="JNR1" s="205"/>
      <c r="JNS1" s="204"/>
      <c r="JNT1" s="204"/>
      <c r="JNU1" s="204"/>
      <c r="JNV1" s="204"/>
      <c r="JNW1" s="204"/>
      <c r="JNX1" s="204"/>
      <c r="JNY1" s="204"/>
      <c r="JNZ1" s="204"/>
      <c r="JOA1" s="204"/>
      <c r="JOB1" s="204"/>
      <c r="JOC1" s="204"/>
      <c r="JOD1" s="204"/>
      <c r="JOE1" s="204"/>
      <c r="JOF1" s="204"/>
      <c r="JOG1" s="204"/>
      <c r="JOH1" s="204"/>
      <c r="JOI1" s="204"/>
      <c r="JOJ1" s="204"/>
      <c r="JOK1" s="204"/>
      <c r="JOL1" s="204"/>
      <c r="JOM1" s="204"/>
      <c r="JON1" s="204"/>
      <c r="JOO1" s="204"/>
      <c r="JOP1" s="204"/>
      <c r="JOQ1" s="204"/>
      <c r="JOR1" s="204"/>
      <c r="JOS1" s="204"/>
      <c r="JOT1" s="205"/>
      <c r="JOU1" s="204"/>
      <c r="JOV1" s="204"/>
      <c r="JOW1" s="204"/>
      <c r="JOX1" s="204"/>
      <c r="JOY1" s="204"/>
      <c r="JOZ1" s="204"/>
      <c r="JPA1" s="204"/>
      <c r="JPB1" s="204"/>
      <c r="JPC1" s="204"/>
      <c r="JPD1" s="204"/>
      <c r="JPE1" s="204"/>
      <c r="JPF1" s="204"/>
      <c r="JPG1" s="204"/>
      <c r="JPH1" s="204"/>
      <c r="JPI1" s="204"/>
      <c r="JPJ1" s="204"/>
      <c r="JPK1" s="204"/>
      <c r="JPL1" s="204"/>
      <c r="JPM1" s="204"/>
      <c r="JPN1" s="204"/>
      <c r="JPO1" s="204"/>
      <c r="JPP1" s="204"/>
      <c r="JPQ1" s="204"/>
      <c r="JPR1" s="204"/>
      <c r="JPS1" s="204"/>
      <c r="JPT1" s="204"/>
      <c r="JPU1" s="204"/>
      <c r="JPV1" s="205"/>
      <c r="JPW1" s="204"/>
      <c r="JPX1" s="204"/>
      <c r="JPY1" s="204"/>
      <c r="JPZ1" s="204"/>
      <c r="JQA1" s="204"/>
      <c r="JQB1" s="204"/>
      <c r="JQC1" s="204"/>
      <c r="JQD1" s="204"/>
      <c r="JQE1" s="204"/>
      <c r="JQF1" s="204"/>
      <c r="JQG1" s="204"/>
      <c r="JQH1" s="204"/>
      <c r="JQI1" s="204"/>
      <c r="JQJ1" s="204"/>
      <c r="JQK1" s="204"/>
      <c r="JQL1" s="204"/>
      <c r="JQM1" s="204"/>
      <c r="JQN1" s="204"/>
      <c r="JQO1" s="204"/>
      <c r="JQP1" s="204"/>
      <c r="JQQ1" s="204"/>
      <c r="JQR1" s="204"/>
      <c r="JQS1" s="204"/>
      <c r="JQT1" s="204"/>
      <c r="JQU1" s="204"/>
      <c r="JQV1" s="204"/>
      <c r="JQW1" s="204"/>
      <c r="JQX1" s="205"/>
      <c r="JQY1" s="204"/>
      <c r="JQZ1" s="204"/>
      <c r="JRA1" s="204"/>
      <c r="JRB1" s="204"/>
      <c r="JRC1" s="204"/>
      <c r="JRD1" s="204"/>
      <c r="JRE1" s="204"/>
      <c r="JRF1" s="204"/>
      <c r="JRG1" s="204"/>
      <c r="JRH1" s="204"/>
      <c r="JRI1" s="204"/>
      <c r="JRJ1" s="204"/>
      <c r="JRK1" s="204"/>
      <c r="JRL1" s="204"/>
      <c r="JRM1" s="204"/>
      <c r="JRN1" s="204"/>
      <c r="JRO1" s="204"/>
      <c r="JRP1" s="204"/>
      <c r="JRQ1" s="204"/>
      <c r="JRR1" s="204"/>
      <c r="JRS1" s="204"/>
      <c r="JRT1" s="204"/>
      <c r="JRU1" s="204"/>
      <c r="JRV1" s="204"/>
      <c r="JRW1" s="204"/>
      <c r="JRX1" s="204"/>
      <c r="JRY1" s="204"/>
      <c r="JRZ1" s="205"/>
      <c r="JSA1" s="204"/>
      <c r="JSB1" s="204"/>
      <c r="JSC1" s="204"/>
      <c r="JSD1" s="204"/>
      <c r="JSE1" s="204"/>
      <c r="JSF1" s="204"/>
      <c r="JSG1" s="204"/>
      <c r="JSH1" s="204"/>
      <c r="JSI1" s="204"/>
      <c r="JSJ1" s="204"/>
      <c r="JSK1" s="204"/>
      <c r="JSL1" s="204"/>
      <c r="JSM1" s="204"/>
      <c r="JSN1" s="204"/>
      <c r="JSO1" s="204"/>
      <c r="JSP1" s="204"/>
      <c r="JSQ1" s="204"/>
      <c r="JSR1" s="204"/>
      <c r="JSS1" s="204"/>
      <c r="JST1" s="204"/>
      <c r="JSU1" s="204"/>
      <c r="JSV1" s="204"/>
      <c r="JSW1" s="204"/>
      <c r="JSX1" s="204"/>
      <c r="JSY1" s="204"/>
      <c r="JSZ1" s="204"/>
      <c r="JTA1" s="204"/>
      <c r="JTB1" s="205"/>
      <c r="JTC1" s="204"/>
      <c r="JTD1" s="204"/>
      <c r="JTE1" s="204"/>
      <c r="JTF1" s="204"/>
      <c r="JTG1" s="204"/>
      <c r="JTH1" s="204"/>
      <c r="JTI1" s="204"/>
      <c r="JTJ1" s="204"/>
      <c r="JTK1" s="204"/>
      <c r="JTL1" s="204"/>
      <c r="JTM1" s="204"/>
      <c r="JTN1" s="204"/>
      <c r="JTO1" s="204"/>
      <c r="JTP1" s="204"/>
      <c r="JTQ1" s="204"/>
      <c r="JTR1" s="204"/>
      <c r="JTS1" s="204"/>
      <c r="JTT1" s="204"/>
      <c r="JTU1" s="204"/>
      <c r="JTV1" s="204"/>
      <c r="JTW1" s="204"/>
      <c r="JTX1" s="204"/>
      <c r="JTY1" s="204"/>
      <c r="JTZ1" s="204"/>
      <c r="JUA1" s="204"/>
      <c r="JUB1" s="204"/>
      <c r="JUC1" s="204"/>
      <c r="JUD1" s="205"/>
      <c r="JUE1" s="204"/>
      <c r="JUF1" s="204"/>
      <c r="JUG1" s="204"/>
      <c r="JUH1" s="204"/>
      <c r="JUI1" s="204"/>
      <c r="JUJ1" s="204"/>
      <c r="JUK1" s="204"/>
      <c r="JUL1" s="204"/>
      <c r="JUM1" s="204"/>
      <c r="JUN1" s="204"/>
      <c r="JUO1" s="204"/>
      <c r="JUP1" s="204"/>
      <c r="JUQ1" s="204"/>
      <c r="JUR1" s="204"/>
      <c r="JUS1" s="204"/>
      <c r="JUT1" s="204"/>
      <c r="JUU1" s="204"/>
      <c r="JUV1" s="204"/>
      <c r="JUW1" s="204"/>
      <c r="JUX1" s="204"/>
      <c r="JUY1" s="204"/>
      <c r="JUZ1" s="204"/>
      <c r="JVA1" s="204"/>
      <c r="JVB1" s="204"/>
      <c r="JVC1" s="204"/>
      <c r="JVD1" s="204"/>
      <c r="JVE1" s="204"/>
      <c r="JVF1" s="205"/>
      <c r="JVG1" s="204"/>
      <c r="JVH1" s="204"/>
      <c r="JVI1" s="204"/>
      <c r="JVJ1" s="204"/>
      <c r="JVK1" s="204"/>
      <c r="JVL1" s="204"/>
      <c r="JVM1" s="204"/>
      <c r="JVN1" s="204"/>
      <c r="JVO1" s="204"/>
      <c r="JVP1" s="204"/>
      <c r="JVQ1" s="204"/>
      <c r="JVR1" s="204"/>
      <c r="JVS1" s="204"/>
      <c r="JVT1" s="204"/>
      <c r="JVU1" s="204"/>
      <c r="JVV1" s="204"/>
      <c r="JVW1" s="204"/>
      <c r="JVX1" s="204"/>
      <c r="JVY1" s="204"/>
      <c r="JVZ1" s="204"/>
      <c r="JWA1" s="204"/>
      <c r="JWB1" s="204"/>
      <c r="JWC1" s="204"/>
      <c r="JWD1" s="204"/>
      <c r="JWE1" s="204"/>
      <c r="JWF1" s="204"/>
      <c r="JWG1" s="204"/>
      <c r="JWH1" s="205"/>
      <c r="JWI1" s="204"/>
      <c r="JWJ1" s="204"/>
      <c r="JWK1" s="204"/>
      <c r="JWL1" s="204"/>
      <c r="JWM1" s="204"/>
      <c r="JWN1" s="204"/>
      <c r="JWO1" s="204"/>
      <c r="JWP1" s="204"/>
      <c r="JWQ1" s="204"/>
      <c r="JWR1" s="204"/>
      <c r="JWS1" s="204"/>
      <c r="JWT1" s="204"/>
      <c r="JWU1" s="204"/>
      <c r="JWV1" s="204"/>
      <c r="JWW1" s="204"/>
      <c r="JWX1" s="204"/>
      <c r="JWY1" s="204"/>
      <c r="JWZ1" s="204"/>
      <c r="JXA1" s="204"/>
      <c r="JXB1" s="204"/>
      <c r="JXC1" s="204"/>
      <c r="JXD1" s="204"/>
      <c r="JXE1" s="204"/>
      <c r="JXF1" s="204"/>
      <c r="JXG1" s="204"/>
      <c r="JXH1" s="204"/>
      <c r="JXI1" s="204"/>
      <c r="JXJ1" s="205"/>
      <c r="JXK1" s="204"/>
      <c r="JXL1" s="204"/>
      <c r="JXM1" s="204"/>
      <c r="JXN1" s="204"/>
      <c r="JXO1" s="204"/>
      <c r="JXP1" s="204"/>
      <c r="JXQ1" s="204"/>
      <c r="JXR1" s="204"/>
      <c r="JXS1" s="204"/>
      <c r="JXT1" s="204"/>
      <c r="JXU1" s="204"/>
      <c r="JXV1" s="204"/>
      <c r="JXW1" s="204"/>
      <c r="JXX1" s="204"/>
      <c r="JXY1" s="204"/>
      <c r="JXZ1" s="204"/>
      <c r="JYA1" s="204"/>
      <c r="JYB1" s="204"/>
      <c r="JYC1" s="204"/>
      <c r="JYD1" s="204"/>
      <c r="JYE1" s="204"/>
      <c r="JYF1" s="204"/>
      <c r="JYG1" s="204"/>
      <c r="JYH1" s="204"/>
      <c r="JYI1" s="204"/>
      <c r="JYJ1" s="204"/>
      <c r="JYK1" s="204"/>
      <c r="JYL1" s="205"/>
      <c r="JYM1" s="204"/>
      <c r="JYN1" s="204"/>
      <c r="JYO1" s="204"/>
      <c r="JYP1" s="204"/>
      <c r="JYQ1" s="204"/>
      <c r="JYR1" s="204"/>
      <c r="JYS1" s="204"/>
      <c r="JYT1" s="204"/>
      <c r="JYU1" s="204"/>
      <c r="JYV1" s="204"/>
      <c r="JYW1" s="204"/>
      <c r="JYX1" s="204"/>
      <c r="JYY1" s="204"/>
      <c r="JYZ1" s="204"/>
      <c r="JZA1" s="204"/>
      <c r="JZB1" s="204"/>
      <c r="JZC1" s="204"/>
      <c r="JZD1" s="204"/>
      <c r="JZE1" s="204"/>
      <c r="JZF1" s="204"/>
      <c r="JZG1" s="204"/>
      <c r="JZH1" s="204"/>
      <c r="JZI1" s="204"/>
      <c r="JZJ1" s="204"/>
      <c r="JZK1" s="204"/>
      <c r="JZL1" s="204"/>
      <c r="JZM1" s="204"/>
      <c r="JZN1" s="205"/>
      <c r="JZO1" s="204"/>
      <c r="JZP1" s="204"/>
      <c r="JZQ1" s="204"/>
      <c r="JZR1" s="204"/>
      <c r="JZS1" s="204"/>
      <c r="JZT1" s="204"/>
      <c r="JZU1" s="204"/>
      <c r="JZV1" s="204"/>
      <c r="JZW1" s="204"/>
      <c r="JZX1" s="204"/>
      <c r="JZY1" s="204"/>
      <c r="JZZ1" s="204"/>
      <c r="KAA1" s="204"/>
      <c r="KAB1" s="204"/>
      <c r="KAC1" s="204"/>
      <c r="KAD1" s="204"/>
      <c r="KAE1" s="204"/>
      <c r="KAF1" s="204"/>
      <c r="KAG1" s="204"/>
      <c r="KAH1" s="204"/>
      <c r="KAI1" s="204"/>
      <c r="KAJ1" s="204"/>
      <c r="KAK1" s="204"/>
      <c r="KAL1" s="204"/>
      <c r="KAM1" s="204"/>
      <c r="KAN1" s="204"/>
      <c r="KAO1" s="204"/>
      <c r="KAP1" s="205"/>
      <c r="KAQ1" s="204"/>
      <c r="KAR1" s="204"/>
      <c r="KAS1" s="204"/>
      <c r="KAT1" s="204"/>
      <c r="KAU1" s="204"/>
      <c r="KAV1" s="204"/>
      <c r="KAW1" s="204"/>
      <c r="KAX1" s="204"/>
      <c r="KAY1" s="204"/>
      <c r="KAZ1" s="204"/>
      <c r="KBA1" s="204"/>
      <c r="KBB1" s="204"/>
      <c r="KBC1" s="204"/>
      <c r="KBD1" s="204"/>
      <c r="KBE1" s="204"/>
      <c r="KBF1" s="204"/>
      <c r="KBG1" s="204"/>
      <c r="KBH1" s="204"/>
      <c r="KBI1" s="204"/>
      <c r="KBJ1" s="204"/>
      <c r="KBK1" s="204"/>
      <c r="KBL1" s="204"/>
      <c r="KBM1" s="204"/>
      <c r="KBN1" s="204"/>
      <c r="KBO1" s="204"/>
      <c r="KBP1" s="204"/>
      <c r="KBQ1" s="204"/>
      <c r="KBR1" s="205"/>
      <c r="KBS1" s="204"/>
      <c r="KBT1" s="204"/>
      <c r="KBU1" s="204"/>
      <c r="KBV1" s="204"/>
      <c r="KBW1" s="204"/>
      <c r="KBX1" s="204"/>
      <c r="KBY1" s="204"/>
      <c r="KBZ1" s="204"/>
      <c r="KCA1" s="204"/>
      <c r="KCB1" s="204"/>
      <c r="KCC1" s="204"/>
      <c r="KCD1" s="204"/>
      <c r="KCE1" s="204"/>
      <c r="KCF1" s="204"/>
      <c r="KCG1" s="204"/>
      <c r="KCH1" s="204"/>
      <c r="KCI1" s="204"/>
      <c r="KCJ1" s="204"/>
      <c r="KCK1" s="204"/>
      <c r="KCL1" s="204"/>
      <c r="KCM1" s="204"/>
      <c r="KCN1" s="204"/>
      <c r="KCO1" s="204"/>
      <c r="KCP1" s="204"/>
      <c r="KCQ1" s="204"/>
      <c r="KCR1" s="204"/>
      <c r="KCS1" s="204"/>
      <c r="KCT1" s="205"/>
      <c r="KCU1" s="204"/>
      <c r="KCV1" s="204"/>
      <c r="KCW1" s="204"/>
      <c r="KCX1" s="204"/>
      <c r="KCY1" s="204"/>
      <c r="KCZ1" s="204"/>
      <c r="KDA1" s="204"/>
      <c r="KDB1" s="204"/>
      <c r="KDC1" s="204"/>
      <c r="KDD1" s="204"/>
      <c r="KDE1" s="204"/>
      <c r="KDF1" s="204"/>
      <c r="KDG1" s="204"/>
      <c r="KDH1" s="204"/>
      <c r="KDI1" s="204"/>
      <c r="KDJ1" s="204"/>
      <c r="KDK1" s="204"/>
      <c r="KDL1" s="204"/>
      <c r="KDM1" s="204"/>
      <c r="KDN1" s="204"/>
      <c r="KDO1" s="204"/>
      <c r="KDP1" s="204"/>
      <c r="KDQ1" s="204"/>
      <c r="KDR1" s="204"/>
      <c r="KDS1" s="204"/>
      <c r="KDT1" s="204"/>
      <c r="KDU1" s="204"/>
      <c r="KDV1" s="205"/>
      <c r="KDW1" s="204"/>
      <c r="KDX1" s="204"/>
      <c r="KDY1" s="204"/>
      <c r="KDZ1" s="204"/>
      <c r="KEA1" s="204"/>
      <c r="KEB1" s="204"/>
      <c r="KEC1" s="204"/>
      <c r="KED1" s="204"/>
      <c r="KEE1" s="204"/>
      <c r="KEF1" s="204"/>
      <c r="KEG1" s="204"/>
      <c r="KEH1" s="204"/>
      <c r="KEI1" s="204"/>
      <c r="KEJ1" s="204"/>
      <c r="KEK1" s="204"/>
      <c r="KEL1" s="204"/>
      <c r="KEM1" s="204"/>
      <c r="KEN1" s="204"/>
      <c r="KEO1" s="204"/>
      <c r="KEP1" s="204"/>
      <c r="KEQ1" s="204"/>
      <c r="KER1" s="204"/>
      <c r="KES1" s="204"/>
      <c r="KET1" s="204"/>
      <c r="KEU1" s="204"/>
      <c r="KEV1" s="204"/>
      <c r="KEW1" s="204"/>
      <c r="KEX1" s="205"/>
      <c r="KEY1" s="204"/>
      <c r="KEZ1" s="204"/>
      <c r="KFA1" s="204"/>
      <c r="KFB1" s="204"/>
      <c r="KFC1" s="204"/>
      <c r="KFD1" s="204"/>
      <c r="KFE1" s="204"/>
      <c r="KFF1" s="204"/>
      <c r="KFG1" s="204"/>
      <c r="KFH1" s="204"/>
      <c r="KFI1" s="204"/>
      <c r="KFJ1" s="204"/>
      <c r="KFK1" s="204"/>
      <c r="KFL1" s="204"/>
      <c r="KFM1" s="204"/>
      <c r="KFN1" s="204"/>
      <c r="KFO1" s="204"/>
      <c r="KFP1" s="204"/>
      <c r="KFQ1" s="204"/>
      <c r="KFR1" s="204"/>
      <c r="KFS1" s="204"/>
      <c r="KFT1" s="204"/>
      <c r="KFU1" s="204"/>
      <c r="KFV1" s="204"/>
      <c r="KFW1" s="204"/>
      <c r="KFX1" s="204"/>
      <c r="KFY1" s="204"/>
      <c r="KFZ1" s="205"/>
      <c r="KGA1" s="204"/>
      <c r="KGB1" s="204"/>
      <c r="KGC1" s="204"/>
      <c r="KGD1" s="204"/>
      <c r="KGE1" s="204"/>
      <c r="KGF1" s="204"/>
      <c r="KGG1" s="204"/>
      <c r="KGH1" s="204"/>
      <c r="KGI1" s="204"/>
      <c r="KGJ1" s="204"/>
      <c r="KGK1" s="204"/>
      <c r="KGL1" s="204"/>
      <c r="KGM1" s="204"/>
      <c r="KGN1" s="204"/>
      <c r="KGO1" s="204"/>
      <c r="KGP1" s="204"/>
      <c r="KGQ1" s="204"/>
      <c r="KGR1" s="204"/>
      <c r="KGS1" s="204"/>
      <c r="KGT1" s="204"/>
      <c r="KGU1" s="204"/>
      <c r="KGV1" s="204"/>
      <c r="KGW1" s="204"/>
      <c r="KGX1" s="204"/>
      <c r="KGY1" s="204"/>
      <c r="KGZ1" s="204"/>
      <c r="KHA1" s="204"/>
      <c r="KHB1" s="205"/>
      <c r="KHC1" s="204"/>
      <c r="KHD1" s="204"/>
      <c r="KHE1" s="204"/>
      <c r="KHF1" s="204"/>
      <c r="KHG1" s="204"/>
      <c r="KHH1" s="204"/>
      <c r="KHI1" s="204"/>
      <c r="KHJ1" s="204"/>
      <c r="KHK1" s="204"/>
      <c r="KHL1" s="204"/>
      <c r="KHM1" s="204"/>
      <c r="KHN1" s="204"/>
      <c r="KHO1" s="204"/>
      <c r="KHP1" s="204"/>
      <c r="KHQ1" s="204"/>
      <c r="KHR1" s="204"/>
      <c r="KHS1" s="204"/>
      <c r="KHT1" s="204"/>
      <c r="KHU1" s="204"/>
      <c r="KHV1" s="204"/>
      <c r="KHW1" s="204"/>
      <c r="KHX1" s="204"/>
      <c r="KHY1" s="204"/>
      <c r="KHZ1" s="204"/>
      <c r="KIA1" s="204"/>
      <c r="KIB1" s="204"/>
      <c r="KIC1" s="204"/>
      <c r="KID1" s="205"/>
      <c r="KIE1" s="204"/>
      <c r="KIF1" s="204"/>
      <c r="KIG1" s="204"/>
      <c r="KIH1" s="204"/>
      <c r="KII1" s="204"/>
      <c r="KIJ1" s="204"/>
      <c r="KIK1" s="204"/>
      <c r="KIL1" s="204"/>
      <c r="KIM1" s="204"/>
      <c r="KIN1" s="204"/>
      <c r="KIO1" s="204"/>
      <c r="KIP1" s="204"/>
      <c r="KIQ1" s="204"/>
      <c r="KIR1" s="204"/>
      <c r="KIS1" s="204"/>
      <c r="KIT1" s="204"/>
      <c r="KIU1" s="204"/>
      <c r="KIV1" s="204"/>
      <c r="KIW1" s="204"/>
      <c r="KIX1" s="204"/>
      <c r="KIY1" s="204"/>
      <c r="KIZ1" s="204"/>
      <c r="KJA1" s="204"/>
      <c r="KJB1" s="204"/>
      <c r="KJC1" s="204"/>
      <c r="KJD1" s="204"/>
      <c r="KJE1" s="204"/>
      <c r="KJF1" s="205"/>
      <c r="KJG1" s="204"/>
      <c r="KJH1" s="204"/>
      <c r="KJI1" s="204"/>
      <c r="KJJ1" s="204"/>
      <c r="KJK1" s="204"/>
      <c r="KJL1" s="204"/>
      <c r="KJM1" s="204"/>
      <c r="KJN1" s="204"/>
      <c r="KJO1" s="204"/>
      <c r="KJP1" s="204"/>
      <c r="KJQ1" s="204"/>
      <c r="KJR1" s="204"/>
      <c r="KJS1" s="204"/>
      <c r="KJT1" s="204"/>
      <c r="KJU1" s="204"/>
      <c r="KJV1" s="204"/>
      <c r="KJW1" s="204"/>
      <c r="KJX1" s="204"/>
      <c r="KJY1" s="204"/>
      <c r="KJZ1" s="204"/>
      <c r="KKA1" s="204"/>
      <c r="KKB1" s="204"/>
      <c r="KKC1" s="204"/>
      <c r="KKD1" s="204"/>
      <c r="KKE1" s="204"/>
      <c r="KKF1" s="204"/>
      <c r="KKG1" s="204"/>
      <c r="KKH1" s="205"/>
      <c r="KKI1" s="204"/>
      <c r="KKJ1" s="204"/>
      <c r="KKK1" s="204"/>
      <c r="KKL1" s="204"/>
      <c r="KKM1" s="204"/>
      <c r="KKN1" s="204"/>
      <c r="KKO1" s="204"/>
      <c r="KKP1" s="204"/>
      <c r="KKQ1" s="204"/>
      <c r="KKR1" s="204"/>
      <c r="KKS1" s="204"/>
      <c r="KKT1" s="204"/>
      <c r="KKU1" s="204"/>
      <c r="KKV1" s="204"/>
      <c r="KKW1" s="204"/>
      <c r="KKX1" s="204"/>
      <c r="KKY1" s="204"/>
      <c r="KKZ1" s="204"/>
      <c r="KLA1" s="204"/>
      <c r="KLB1" s="204"/>
      <c r="KLC1" s="204"/>
      <c r="KLD1" s="204"/>
      <c r="KLE1" s="204"/>
      <c r="KLF1" s="204"/>
      <c r="KLG1" s="204"/>
      <c r="KLH1" s="204"/>
      <c r="KLI1" s="204"/>
      <c r="KLJ1" s="205"/>
      <c r="KLK1" s="204"/>
      <c r="KLL1" s="204"/>
      <c r="KLM1" s="204"/>
      <c r="KLN1" s="204"/>
      <c r="KLO1" s="204"/>
      <c r="KLP1" s="204"/>
      <c r="KLQ1" s="204"/>
      <c r="KLR1" s="204"/>
      <c r="KLS1" s="204"/>
      <c r="KLT1" s="204"/>
      <c r="KLU1" s="204"/>
      <c r="KLV1" s="204"/>
      <c r="KLW1" s="204"/>
      <c r="KLX1" s="204"/>
      <c r="KLY1" s="204"/>
      <c r="KLZ1" s="204"/>
      <c r="KMA1" s="204"/>
      <c r="KMB1" s="204"/>
      <c r="KMC1" s="204"/>
      <c r="KMD1" s="204"/>
      <c r="KME1" s="204"/>
      <c r="KMF1" s="204"/>
      <c r="KMG1" s="204"/>
      <c r="KMH1" s="204"/>
      <c r="KMI1" s="204"/>
      <c r="KMJ1" s="204"/>
      <c r="KMK1" s="204"/>
      <c r="KML1" s="205"/>
      <c r="KMM1" s="204"/>
      <c r="KMN1" s="204"/>
      <c r="KMO1" s="204"/>
      <c r="KMP1" s="204"/>
      <c r="KMQ1" s="204"/>
      <c r="KMR1" s="204"/>
      <c r="KMS1" s="204"/>
      <c r="KMT1" s="204"/>
      <c r="KMU1" s="204"/>
      <c r="KMV1" s="204"/>
      <c r="KMW1" s="204"/>
      <c r="KMX1" s="204"/>
      <c r="KMY1" s="204"/>
      <c r="KMZ1" s="204"/>
      <c r="KNA1" s="204"/>
      <c r="KNB1" s="204"/>
      <c r="KNC1" s="204"/>
      <c r="KND1" s="204"/>
      <c r="KNE1" s="204"/>
      <c r="KNF1" s="204"/>
      <c r="KNG1" s="204"/>
      <c r="KNH1" s="204"/>
      <c r="KNI1" s="204"/>
      <c r="KNJ1" s="204"/>
      <c r="KNK1" s="204"/>
      <c r="KNL1" s="204"/>
      <c r="KNM1" s="204"/>
      <c r="KNN1" s="205"/>
      <c r="KNO1" s="204"/>
      <c r="KNP1" s="204"/>
      <c r="KNQ1" s="204"/>
      <c r="KNR1" s="204"/>
      <c r="KNS1" s="204"/>
      <c r="KNT1" s="204"/>
      <c r="KNU1" s="204"/>
      <c r="KNV1" s="204"/>
      <c r="KNW1" s="204"/>
      <c r="KNX1" s="204"/>
      <c r="KNY1" s="204"/>
      <c r="KNZ1" s="204"/>
      <c r="KOA1" s="204"/>
      <c r="KOB1" s="204"/>
      <c r="KOC1" s="204"/>
      <c r="KOD1" s="204"/>
      <c r="KOE1" s="204"/>
      <c r="KOF1" s="204"/>
      <c r="KOG1" s="204"/>
      <c r="KOH1" s="204"/>
      <c r="KOI1" s="204"/>
      <c r="KOJ1" s="204"/>
      <c r="KOK1" s="204"/>
      <c r="KOL1" s="204"/>
      <c r="KOM1" s="204"/>
      <c r="KON1" s="204"/>
      <c r="KOO1" s="204"/>
      <c r="KOP1" s="205"/>
      <c r="KOQ1" s="204"/>
      <c r="KOR1" s="204"/>
      <c r="KOS1" s="204"/>
      <c r="KOT1" s="204"/>
      <c r="KOU1" s="204"/>
      <c r="KOV1" s="204"/>
      <c r="KOW1" s="204"/>
      <c r="KOX1" s="204"/>
      <c r="KOY1" s="204"/>
      <c r="KOZ1" s="204"/>
      <c r="KPA1" s="204"/>
      <c r="KPB1" s="204"/>
      <c r="KPC1" s="204"/>
      <c r="KPD1" s="204"/>
      <c r="KPE1" s="204"/>
      <c r="KPF1" s="204"/>
      <c r="KPG1" s="204"/>
      <c r="KPH1" s="204"/>
      <c r="KPI1" s="204"/>
      <c r="KPJ1" s="204"/>
      <c r="KPK1" s="204"/>
      <c r="KPL1" s="204"/>
      <c r="KPM1" s="204"/>
      <c r="KPN1" s="204"/>
      <c r="KPO1" s="204"/>
      <c r="KPP1" s="204"/>
      <c r="KPQ1" s="204"/>
      <c r="KPR1" s="205"/>
      <c r="KPS1" s="204"/>
      <c r="KPT1" s="204"/>
      <c r="KPU1" s="204"/>
      <c r="KPV1" s="204"/>
      <c r="KPW1" s="204"/>
      <c r="KPX1" s="204"/>
      <c r="KPY1" s="204"/>
      <c r="KPZ1" s="204"/>
      <c r="KQA1" s="204"/>
      <c r="KQB1" s="204"/>
      <c r="KQC1" s="204"/>
      <c r="KQD1" s="204"/>
      <c r="KQE1" s="204"/>
      <c r="KQF1" s="204"/>
      <c r="KQG1" s="204"/>
      <c r="KQH1" s="204"/>
      <c r="KQI1" s="204"/>
      <c r="KQJ1" s="204"/>
      <c r="KQK1" s="204"/>
      <c r="KQL1" s="204"/>
      <c r="KQM1" s="204"/>
      <c r="KQN1" s="204"/>
      <c r="KQO1" s="204"/>
      <c r="KQP1" s="204"/>
      <c r="KQQ1" s="204"/>
      <c r="KQR1" s="204"/>
      <c r="KQS1" s="204"/>
      <c r="KQT1" s="205"/>
      <c r="KQU1" s="204"/>
      <c r="KQV1" s="204"/>
      <c r="KQW1" s="204"/>
      <c r="KQX1" s="204"/>
      <c r="KQY1" s="204"/>
      <c r="KQZ1" s="204"/>
      <c r="KRA1" s="204"/>
      <c r="KRB1" s="204"/>
      <c r="KRC1" s="204"/>
      <c r="KRD1" s="204"/>
      <c r="KRE1" s="204"/>
      <c r="KRF1" s="204"/>
      <c r="KRG1" s="204"/>
      <c r="KRH1" s="204"/>
      <c r="KRI1" s="204"/>
      <c r="KRJ1" s="204"/>
      <c r="KRK1" s="204"/>
      <c r="KRL1" s="204"/>
      <c r="KRM1" s="204"/>
      <c r="KRN1" s="204"/>
      <c r="KRO1" s="204"/>
      <c r="KRP1" s="204"/>
      <c r="KRQ1" s="204"/>
      <c r="KRR1" s="204"/>
      <c r="KRS1" s="204"/>
      <c r="KRT1" s="204"/>
      <c r="KRU1" s="204"/>
      <c r="KRV1" s="205"/>
      <c r="KRW1" s="204"/>
      <c r="KRX1" s="204"/>
      <c r="KRY1" s="204"/>
      <c r="KRZ1" s="204"/>
      <c r="KSA1" s="204"/>
      <c r="KSB1" s="204"/>
      <c r="KSC1" s="204"/>
      <c r="KSD1" s="204"/>
      <c r="KSE1" s="204"/>
      <c r="KSF1" s="204"/>
      <c r="KSG1" s="204"/>
      <c r="KSH1" s="204"/>
      <c r="KSI1" s="204"/>
      <c r="KSJ1" s="204"/>
      <c r="KSK1" s="204"/>
      <c r="KSL1" s="204"/>
      <c r="KSM1" s="204"/>
      <c r="KSN1" s="204"/>
      <c r="KSO1" s="204"/>
      <c r="KSP1" s="204"/>
      <c r="KSQ1" s="204"/>
      <c r="KSR1" s="204"/>
      <c r="KSS1" s="204"/>
      <c r="KST1" s="204"/>
      <c r="KSU1" s="204"/>
      <c r="KSV1" s="204"/>
      <c r="KSW1" s="204"/>
      <c r="KSX1" s="205"/>
      <c r="KSY1" s="204"/>
      <c r="KSZ1" s="204"/>
      <c r="KTA1" s="204"/>
      <c r="KTB1" s="204"/>
      <c r="KTC1" s="204"/>
      <c r="KTD1" s="204"/>
      <c r="KTE1" s="204"/>
      <c r="KTF1" s="204"/>
      <c r="KTG1" s="204"/>
      <c r="KTH1" s="204"/>
      <c r="KTI1" s="204"/>
      <c r="KTJ1" s="204"/>
      <c r="KTK1" s="204"/>
      <c r="KTL1" s="204"/>
      <c r="KTM1" s="204"/>
      <c r="KTN1" s="204"/>
      <c r="KTO1" s="204"/>
      <c r="KTP1" s="204"/>
      <c r="KTQ1" s="204"/>
      <c r="KTR1" s="204"/>
      <c r="KTS1" s="204"/>
      <c r="KTT1" s="204"/>
      <c r="KTU1" s="204"/>
      <c r="KTV1" s="204"/>
      <c r="KTW1" s="204"/>
      <c r="KTX1" s="204"/>
      <c r="KTY1" s="204"/>
      <c r="KTZ1" s="205"/>
      <c r="KUA1" s="204"/>
      <c r="KUB1" s="204"/>
      <c r="KUC1" s="204"/>
      <c r="KUD1" s="204"/>
      <c r="KUE1" s="204"/>
      <c r="KUF1" s="204"/>
      <c r="KUG1" s="204"/>
      <c r="KUH1" s="204"/>
      <c r="KUI1" s="204"/>
      <c r="KUJ1" s="204"/>
      <c r="KUK1" s="204"/>
      <c r="KUL1" s="204"/>
      <c r="KUM1" s="204"/>
      <c r="KUN1" s="204"/>
      <c r="KUO1" s="204"/>
      <c r="KUP1" s="204"/>
      <c r="KUQ1" s="204"/>
      <c r="KUR1" s="204"/>
      <c r="KUS1" s="204"/>
      <c r="KUT1" s="204"/>
      <c r="KUU1" s="204"/>
      <c r="KUV1" s="204"/>
      <c r="KUW1" s="204"/>
      <c r="KUX1" s="204"/>
      <c r="KUY1" s="204"/>
      <c r="KUZ1" s="204"/>
      <c r="KVA1" s="204"/>
      <c r="KVB1" s="205"/>
      <c r="KVC1" s="204"/>
      <c r="KVD1" s="204"/>
      <c r="KVE1" s="204"/>
      <c r="KVF1" s="204"/>
      <c r="KVG1" s="204"/>
      <c r="KVH1" s="204"/>
      <c r="KVI1" s="204"/>
      <c r="KVJ1" s="204"/>
      <c r="KVK1" s="204"/>
      <c r="KVL1" s="204"/>
      <c r="KVM1" s="204"/>
      <c r="KVN1" s="204"/>
      <c r="KVO1" s="204"/>
      <c r="KVP1" s="204"/>
      <c r="KVQ1" s="204"/>
      <c r="KVR1" s="204"/>
      <c r="KVS1" s="204"/>
      <c r="KVT1" s="204"/>
      <c r="KVU1" s="204"/>
      <c r="KVV1" s="204"/>
      <c r="KVW1" s="204"/>
      <c r="KVX1" s="204"/>
      <c r="KVY1" s="204"/>
      <c r="KVZ1" s="204"/>
      <c r="KWA1" s="204"/>
      <c r="KWB1" s="204"/>
      <c r="KWC1" s="204"/>
      <c r="KWD1" s="205"/>
      <c r="KWE1" s="204"/>
      <c r="KWF1" s="204"/>
      <c r="KWG1" s="204"/>
      <c r="KWH1" s="204"/>
      <c r="KWI1" s="204"/>
      <c r="KWJ1" s="204"/>
      <c r="KWK1" s="204"/>
      <c r="KWL1" s="204"/>
      <c r="KWM1" s="204"/>
      <c r="KWN1" s="204"/>
      <c r="KWO1" s="204"/>
      <c r="KWP1" s="204"/>
      <c r="KWQ1" s="204"/>
      <c r="KWR1" s="204"/>
      <c r="KWS1" s="204"/>
      <c r="KWT1" s="204"/>
      <c r="KWU1" s="204"/>
      <c r="KWV1" s="204"/>
      <c r="KWW1" s="204"/>
      <c r="KWX1" s="204"/>
      <c r="KWY1" s="204"/>
      <c r="KWZ1" s="204"/>
      <c r="KXA1" s="204"/>
      <c r="KXB1" s="204"/>
      <c r="KXC1" s="204"/>
      <c r="KXD1" s="204"/>
      <c r="KXE1" s="204"/>
      <c r="KXF1" s="205"/>
      <c r="KXG1" s="204"/>
      <c r="KXH1" s="204"/>
      <c r="KXI1" s="204"/>
      <c r="KXJ1" s="204"/>
      <c r="KXK1" s="204"/>
      <c r="KXL1" s="204"/>
      <c r="KXM1" s="204"/>
      <c r="KXN1" s="204"/>
      <c r="KXO1" s="204"/>
      <c r="KXP1" s="204"/>
      <c r="KXQ1" s="204"/>
      <c r="KXR1" s="204"/>
      <c r="KXS1" s="204"/>
      <c r="KXT1" s="204"/>
      <c r="KXU1" s="204"/>
      <c r="KXV1" s="204"/>
      <c r="KXW1" s="204"/>
      <c r="KXX1" s="204"/>
      <c r="KXY1" s="204"/>
      <c r="KXZ1" s="204"/>
      <c r="KYA1" s="204"/>
      <c r="KYB1" s="204"/>
      <c r="KYC1" s="204"/>
      <c r="KYD1" s="204"/>
      <c r="KYE1" s="204"/>
      <c r="KYF1" s="204"/>
      <c r="KYG1" s="204"/>
      <c r="KYH1" s="205"/>
      <c r="KYI1" s="204"/>
      <c r="KYJ1" s="204"/>
      <c r="KYK1" s="204"/>
      <c r="KYL1" s="204"/>
      <c r="KYM1" s="204"/>
      <c r="KYN1" s="204"/>
      <c r="KYO1" s="204"/>
      <c r="KYP1" s="204"/>
      <c r="KYQ1" s="204"/>
      <c r="KYR1" s="204"/>
      <c r="KYS1" s="204"/>
      <c r="KYT1" s="204"/>
      <c r="KYU1" s="204"/>
      <c r="KYV1" s="204"/>
      <c r="KYW1" s="204"/>
      <c r="KYX1" s="204"/>
      <c r="KYY1" s="204"/>
      <c r="KYZ1" s="204"/>
      <c r="KZA1" s="204"/>
      <c r="KZB1" s="204"/>
      <c r="KZC1" s="204"/>
      <c r="KZD1" s="204"/>
      <c r="KZE1" s="204"/>
      <c r="KZF1" s="204"/>
      <c r="KZG1" s="204"/>
      <c r="KZH1" s="204"/>
      <c r="KZI1" s="204"/>
      <c r="KZJ1" s="205"/>
      <c r="KZK1" s="204"/>
      <c r="KZL1" s="204"/>
      <c r="KZM1" s="204"/>
      <c r="KZN1" s="204"/>
      <c r="KZO1" s="204"/>
      <c r="KZP1" s="204"/>
      <c r="KZQ1" s="204"/>
      <c r="KZR1" s="204"/>
      <c r="KZS1" s="204"/>
      <c r="KZT1" s="204"/>
      <c r="KZU1" s="204"/>
      <c r="KZV1" s="204"/>
      <c r="KZW1" s="204"/>
      <c r="KZX1" s="204"/>
      <c r="KZY1" s="204"/>
      <c r="KZZ1" s="204"/>
      <c r="LAA1" s="204"/>
      <c r="LAB1" s="204"/>
      <c r="LAC1" s="204"/>
      <c r="LAD1" s="204"/>
      <c r="LAE1" s="204"/>
      <c r="LAF1" s="204"/>
      <c r="LAG1" s="204"/>
      <c r="LAH1" s="204"/>
      <c r="LAI1" s="204"/>
      <c r="LAJ1" s="204"/>
      <c r="LAK1" s="204"/>
      <c r="LAL1" s="205"/>
      <c r="LAM1" s="204"/>
      <c r="LAN1" s="204"/>
      <c r="LAO1" s="204"/>
      <c r="LAP1" s="204"/>
      <c r="LAQ1" s="204"/>
      <c r="LAR1" s="204"/>
      <c r="LAS1" s="204"/>
      <c r="LAT1" s="204"/>
      <c r="LAU1" s="204"/>
      <c r="LAV1" s="204"/>
      <c r="LAW1" s="204"/>
      <c r="LAX1" s="204"/>
      <c r="LAY1" s="204"/>
      <c r="LAZ1" s="204"/>
      <c r="LBA1" s="204"/>
      <c r="LBB1" s="204"/>
      <c r="LBC1" s="204"/>
      <c r="LBD1" s="204"/>
      <c r="LBE1" s="204"/>
      <c r="LBF1" s="204"/>
      <c r="LBG1" s="204"/>
      <c r="LBH1" s="204"/>
      <c r="LBI1" s="204"/>
      <c r="LBJ1" s="204"/>
      <c r="LBK1" s="204"/>
      <c r="LBL1" s="204"/>
      <c r="LBM1" s="204"/>
      <c r="LBN1" s="205"/>
      <c r="LBO1" s="204"/>
      <c r="LBP1" s="204"/>
      <c r="LBQ1" s="204"/>
      <c r="LBR1" s="204"/>
      <c r="LBS1" s="204"/>
      <c r="LBT1" s="204"/>
      <c r="LBU1" s="204"/>
      <c r="LBV1" s="204"/>
      <c r="LBW1" s="204"/>
      <c r="LBX1" s="204"/>
      <c r="LBY1" s="204"/>
      <c r="LBZ1" s="204"/>
      <c r="LCA1" s="204"/>
      <c r="LCB1" s="204"/>
      <c r="LCC1" s="204"/>
      <c r="LCD1" s="204"/>
      <c r="LCE1" s="204"/>
      <c r="LCF1" s="204"/>
      <c r="LCG1" s="204"/>
      <c r="LCH1" s="204"/>
      <c r="LCI1" s="204"/>
      <c r="LCJ1" s="204"/>
      <c r="LCK1" s="204"/>
      <c r="LCL1" s="204"/>
      <c r="LCM1" s="204"/>
      <c r="LCN1" s="204"/>
      <c r="LCO1" s="204"/>
      <c r="LCP1" s="205"/>
      <c r="LCQ1" s="204"/>
      <c r="LCR1" s="204"/>
      <c r="LCS1" s="204"/>
      <c r="LCT1" s="204"/>
      <c r="LCU1" s="204"/>
      <c r="LCV1" s="204"/>
      <c r="LCW1" s="204"/>
      <c r="LCX1" s="204"/>
      <c r="LCY1" s="204"/>
      <c r="LCZ1" s="204"/>
      <c r="LDA1" s="204"/>
      <c r="LDB1" s="204"/>
      <c r="LDC1" s="204"/>
      <c r="LDD1" s="204"/>
      <c r="LDE1" s="204"/>
      <c r="LDF1" s="204"/>
      <c r="LDG1" s="204"/>
      <c r="LDH1" s="204"/>
      <c r="LDI1" s="204"/>
      <c r="LDJ1" s="204"/>
      <c r="LDK1" s="204"/>
      <c r="LDL1" s="204"/>
      <c r="LDM1" s="204"/>
      <c r="LDN1" s="204"/>
      <c r="LDO1" s="204"/>
      <c r="LDP1" s="204"/>
      <c r="LDQ1" s="204"/>
      <c r="LDR1" s="205"/>
      <c r="LDS1" s="204"/>
      <c r="LDT1" s="204"/>
      <c r="LDU1" s="204"/>
      <c r="LDV1" s="204"/>
      <c r="LDW1" s="204"/>
      <c r="LDX1" s="204"/>
      <c r="LDY1" s="204"/>
      <c r="LDZ1" s="204"/>
      <c r="LEA1" s="204"/>
      <c r="LEB1" s="204"/>
      <c r="LEC1" s="204"/>
      <c r="LED1" s="204"/>
      <c r="LEE1" s="204"/>
      <c r="LEF1" s="204"/>
      <c r="LEG1" s="204"/>
      <c r="LEH1" s="204"/>
      <c r="LEI1" s="204"/>
      <c r="LEJ1" s="204"/>
      <c r="LEK1" s="204"/>
      <c r="LEL1" s="204"/>
      <c r="LEM1" s="204"/>
      <c r="LEN1" s="204"/>
      <c r="LEO1" s="204"/>
      <c r="LEP1" s="204"/>
      <c r="LEQ1" s="204"/>
      <c r="LER1" s="204"/>
      <c r="LES1" s="204"/>
      <c r="LET1" s="205"/>
      <c r="LEU1" s="204"/>
      <c r="LEV1" s="204"/>
      <c r="LEW1" s="204"/>
      <c r="LEX1" s="204"/>
      <c r="LEY1" s="204"/>
      <c r="LEZ1" s="204"/>
      <c r="LFA1" s="204"/>
      <c r="LFB1" s="204"/>
      <c r="LFC1" s="204"/>
      <c r="LFD1" s="204"/>
      <c r="LFE1" s="204"/>
      <c r="LFF1" s="204"/>
      <c r="LFG1" s="204"/>
      <c r="LFH1" s="204"/>
      <c r="LFI1" s="204"/>
      <c r="LFJ1" s="204"/>
      <c r="LFK1" s="204"/>
      <c r="LFL1" s="204"/>
      <c r="LFM1" s="204"/>
      <c r="LFN1" s="204"/>
      <c r="LFO1" s="204"/>
      <c r="LFP1" s="204"/>
      <c r="LFQ1" s="204"/>
      <c r="LFR1" s="204"/>
      <c r="LFS1" s="204"/>
      <c r="LFT1" s="204"/>
      <c r="LFU1" s="204"/>
      <c r="LFV1" s="205"/>
      <c r="LFW1" s="204"/>
      <c r="LFX1" s="204"/>
      <c r="LFY1" s="204"/>
      <c r="LFZ1" s="204"/>
      <c r="LGA1" s="204"/>
      <c r="LGB1" s="204"/>
      <c r="LGC1" s="204"/>
      <c r="LGD1" s="204"/>
      <c r="LGE1" s="204"/>
      <c r="LGF1" s="204"/>
      <c r="LGG1" s="204"/>
      <c r="LGH1" s="204"/>
      <c r="LGI1" s="204"/>
      <c r="LGJ1" s="204"/>
      <c r="LGK1" s="204"/>
      <c r="LGL1" s="204"/>
      <c r="LGM1" s="204"/>
      <c r="LGN1" s="204"/>
      <c r="LGO1" s="204"/>
      <c r="LGP1" s="204"/>
      <c r="LGQ1" s="204"/>
      <c r="LGR1" s="204"/>
      <c r="LGS1" s="204"/>
      <c r="LGT1" s="204"/>
      <c r="LGU1" s="204"/>
      <c r="LGV1" s="204"/>
      <c r="LGW1" s="204"/>
      <c r="LGX1" s="205"/>
      <c r="LGY1" s="204"/>
      <c r="LGZ1" s="204"/>
      <c r="LHA1" s="204"/>
      <c r="LHB1" s="204"/>
      <c r="LHC1" s="204"/>
      <c r="LHD1" s="204"/>
      <c r="LHE1" s="204"/>
      <c r="LHF1" s="204"/>
      <c r="LHG1" s="204"/>
      <c r="LHH1" s="204"/>
      <c r="LHI1" s="204"/>
      <c r="LHJ1" s="204"/>
      <c r="LHK1" s="204"/>
      <c r="LHL1" s="204"/>
      <c r="LHM1" s="204"/>
      <c r="LHN1" s="204"/>
      <c r="LHO1" s="204"/>
      <c r="LHP1" s="204"/>
      <c r="LHQ1" s="204"/>
      <c r="LHR1" s="204"/>
      <c r="LHS1" s="204"/>
      <c r="LHT1" s="204"/>
      <c r="LHU1" s="204"/>
      <c r="LHV1" s="204"/>
      <c r="LHW1" s="204"/>
      <c r="LHX1" s="204"/>
      <c r="LHY1" s="204"/>
      <c r="LHZ1" s="205"/>
      <c r="LIA1" s="204"/>
      <c r="LIB1" s="204"/>
      <c r="LIC1" s="204"/>
      <c r="LID1" s="204"/>
      <c r="LIE1" s="204"/>
      <c r="LIF1" s="204"/>
      <c r="LIG1" s="204"/>
      <c r="LIH1" s="204"/>
      <c r="LII1" s="204"/>
      <c r="LIJ1" s="204"/>
      <c r="LIK1" s="204"/>
      <c r="LIL1" s="204"/>
      <c r="LIM1" s="204"/>
      <c r="LIN1" s="204"/>
      <c r="LIO1" s="204"/>
      <c r="LIP1" s="204"/>
      <c r="LIQ1" s="204"/>
      <c r="LIR1" s="204"/>
      <c r="LIS1" s="204"/>
      <c r="LIT1" s="204"/>
      <c r="LIU1" s="204"/>
      <c r="LIV1" s="204"/>
      <c r="LIW1" s="204"/>
      <c r="LIX1" s="204"/>
      <c r="LIY1" s="204"/>
      <c r="LIZ1" s="204"/>
      <c r="LJA1" s="204"/>
      <c r="LJB1" s="205"/>
      <c r="LJC1" s="204"/>
      <c r="LJD1" s="204"/>
      <c r="LJE1" s="204"/>
      <c r="LJF1" s="204"/>
      <c r="LJG1" s="204"/>
      <c r="LJH1" s="204"/>
      <c r="LJI1" s="204"/>
      <c r="LJJ1" s="204"/>
      <c r="LJK1" s="204"/>
      <c r="LJL1" s="204"/>
      <c r="LJM1" s="204"/>
      <c r="LJN1" s="204"/>
      <c r="LJO1" s="204"/>
      <c r="LJP1" s="204"/>
      <c r="LJQ1" s="204"/>
      <c r="LJR1" s="204"/>
      <c r="LJS1" s="204"/>
      <c r="LJT1" s="204"/>
      <c r="LJU1" s="204"/>
      <c r="LJV1" s="204"/>
      <c r="LJW1" s="204"/>
      <c r="LJX1" s="204"/>
      <c r="LJY1" s="204"/>
      <c r="LJZ1" s="204"/>
      <c r="LKA1" s="204"/>
      <c r="LKB1" s="204"/>
      <c r="LKC1" s="204"/>
      <c r="LKD1" s="205"/>
      <c r="LKE1" s="204"/>
      <c r="LKF1" s="204"/>
      <c r="LKG1" s="204"/>
      <c r="LKH1" s="204"/>
      <c r="LKI1" s="204"/>
      <c r="LKJ1" s="204"/>
      <c r="LKK1" s="204"/>
      <c r="LKL1" s="204"/>
      <c r="LKM1" s="204"/>
      <c r="LKN1" s="204"/>
      <c r="LKO1" s="204"/>
      <c r="LKP1" s="204"/>
      <c r="LKQ1" s="204"/>
      <c r="LKR1" s="204"/>
      <c r="LKS1" s="204"/>
      <c r="LKT1" s="204"/>
      <c r="LKU1" s="204"/>
      <c r="LKV1" s="204"/>
      <c r="LKW1" s="204"/>
      <c r="LKX1" s="204"/>
      <c r="LKY1" s="204"/>
      <c r="LKZ1" s="204"/>
      <c r="LLA1" s="204"/>
      <c r="LLB1" s="204"/>
      <c r="LLC1" s="204"/>
      <c r="LLD1" s="204"/>
      <c r="LLE1" s="204"/>
      <c r="LLF1" s="205"/>
      <c r="LLG1" s="204"/>
      <c r="LLH1" s="204"/>
      <c r="LLI1" s="204"/>
      <c r="LLJ1" s="204"/>
      <c r="LLK1" s="204"/>
      <c r="LLL1" s="204"/>
      <c r="LLM1" s="204"/>
      <c r="LLN1" s="204"/>
      <c r="LLO1" s="204"/>
      <c r="LLP1" s="204"/>
      <c r="LLQ1" s="204"/>
      <c r="LLR1" s="204"/>
      <c r="LLS1" s="204"/>
      <c r="LLT1" s="204"/>
      <c r="LLU1" s="204"/>
      <c r="LLV1" s="204"/>
      <c r="LLW1" s="204"/>
      <c r="LLX1" s="204"/>
      <c r="LLY1" s="204"/>
      <c r="LLZ1" s="204"/>
      <c r="LMA1" s="204"/>
      <c r="LMB1" s="204"/>
      <c r="LMC1" s="204"/>
      <c r="LMD1" s="204"/>
      <c r="LME1" s="204"/>
      <c r="LMF1" s="204"/>
      <c r="LMG1" s="204"/>
      <c r="LMH1" s="205"/>
      <c r="LMI1" s="204"/>
      <c r="LMJ1" s="204"/>
      <c r="LMK1" s="204"/>
      <c r="LML1" s="204"/>
      <c r="LMM1" s="204"/>
      <c r="LMN1" s="204"/>
      <c r="LMO1" s="204"/>
      <c r="LMP1" s="204"/>
      <c r="LMQ1" s="204"/>
      <c r="LMR1" s="204"/>
      <c r="LMS1" s="204"/>
      <c r="LMT1" s="204"/>
      <c r="LMU1" s="204"/>
      <c r="LMV1" s="204"/>
      <c r="LMW1" s="204"/>
      <c r="LMX1" s="204"/>
      <c r="LMY1" s="204"/>
      <c r="LMZ1" s="204"/>
      <c r="LNA1" s="204"/>
      <c r="LNB1" s="204"/>
      <c r="LNC1" s="204"/>
      <c r="LND1" s="204"/>
      <c r="LNE1" s="204"/>
      <c r="LNF1" s="204"/>
      <c r="LNG1" s="204"/>
      <c r="LNH1" s="204"/>
      <c r="LNI1" s="204"/>
      <c r="LNJ1" s="205"/>
      <c r="LNK1" s="204"/>
      <c r="LNL1" s="204"/>
      <c r="LNM1" s="204"/>
      <c r="LNN1" s="204"/>
      <c r="LNO1" s="204"/>
      <c r="LNP1" s="204"/>
      <c r="LNQ1" s="204"/>
      <c r="LNR1" s="204"/>
      <c r="LNS1" s="204"/>
      <c r="LNT1" s="204"/>
      <c r="LNU1" s="204"/>
      <c r="LNV1" s="204"/>
      <c r="LNW1" s="204"/>
      <c r="LNX1" s="204"/>
      <c r="LNY1" s="204"/>
      <c r="LNZ1" s="204"/>
      <c r="LOA1" s="204"/>
      <c r="LOB1" s="204"/>
      <c r="LOC1" s="204"/>
      <c r="LOD1" s="204"/>
      <c r="LOE1" s="204"/>
      <c r="LOF1" s="204"/>
      <c r="LOG1" s="204"/>
      <c r="LOH1" s="204"/>
      <c r="LOI1" s="204"/>
      <c r="LOJ1" s="204"/>
      <c r="LOK1" s="204"/>
      <c r="LOL1" s="205"/>
      <c r="LOM1" s="204"/>
      <c r="LON1" s="204"/>
      <c r="LOO1" s="204"/>
      <c r="LOP1" s="204"/>
      <c r="LOQ1" s="204"/>
      <c r="LOR1" s="204"/>
      <c r="LOS1" s="204"/>
      <c r="LOT1" s="204"/>
      <c r="LOU1" s="204"/>
      <c r="LOV1" s="204"/>
      <c r="LOW1" s="204"/>
      <c r="LOX1" s="204"/>
      <c r="LOY1" s="204"/>
      <c r="LOZ1" s="204"/>
      <c r="LPA1" s="204"/>
      <c r="LPB1" s="204"/>
      <c r="LPC1" s="204"/>
      <c r="LPD1" s="204"/>
      <c r="LPE1" s="204"/>
      <c r="LPF1" s="204"/>
      <c r="LPG1" s="204"/>
      <c r="LPH1" s="204"/>
      <c r="LPI1" s="204"/>
      <c r="LPJ1" s="204"/>
      <c r="LPK1" s="204"/>
      <c r="LPL1" s="204"/>
      <c r="LPM1" s="204"/>
      <c r="LPN1" s="205"/>
      <c r="LPO1" s="204"/>
      <c r="LPP1" s="204"/>
      <c r="LPQ1" s="204"/>
      <c r="LPR1" s="204"/>
      <c r="LPS1" s="204"/>
      <c r="LPT1" s="204"/>
      <c r="LPU1" s="204"/>
      <c r="LPV1" s="204"/>
      <c r="LPW1" s="204"/>
      <c r="LPX1" s="204"/>
      <c r="LPY1" s="204"/>
      <c r="LPZ1" s="204"/>
      <c r="LQA1" s="204"/>
      <c r="LQB1" s="204"/>
      <c r="LQC1" s="204"/>
      <c r="LQD1" s="204"/>
      <c r="LQE1" s="204"/>
      <c r="LQF1" s="204"/>
      <c r="LQG1" s="204"/>
      <c r="LQH1" s="204"/>
      <c r="LQI1" s="204"/>
      <c r="LQJ1" s="204"/>
      <c r="LQK1" s="204"/>
      <c r="LQL1" s="204"/>
      <c r="LQM1" s="204"/>
      <c r="LQN1" s="204"/>
      <c r="LQO1" s="204"/>
      <c r="LQP1" s="205"/>
      <c r="LQQ1" s="204"/>
      <c r="LQR1" s="204"/>
      <c r="LQS1" s="204"/>
      <c r="LQT1" s="204"/>
      <c r="LQU1" s="204"/>
      <c r="LQV1" s="204"/>
      <c r="LQW1" s="204"/>
      <c r="LQX1" s="204"/>
      <c r="LQY1" s="204"/>
      <c r="LQZ1" s="204"/>
      <c r="LRA1" s="204"/>
      <c r="LRB1" s="204"/>
      <c r="LRC1" s="204"/>
      <c r="LRD1" s="204"/>
      <c r="LRE1" s="204"/>
      <c r="LRF1" s="204"/>
      <c r="LRG1" s="204"/>
      <c r="LRH1" s="204"/>
      <c r="LRI1" s="204"/>
      <c r="LRJ1" s="204"/>
      <c r="LRK1" s="204"/>
      <c r="LRL1" s="204"/>
      <c r="LRM1" s="204"/>
      <c r="LRN1" s="204"/>
      <c r="LRO1" s="204"/>
      <c r="LRP1" s="204"/>
      <c r="LRQ1" s="204"/>
      <c r="LRR1" s="205"/>
      <c r="LRS1" s="204"/>
      <c r="LRT1" s="204"/>
      <c r="LRU1" s="204"/>
      <c r="LRV1" s="204"/>
      <c r="LRW1" s="204"/>
      <c r="LRX1" s="204"/>
      <c r="LRY1" s="204"/>
      <c r="LRZ1" s="204"/>
      <c r="LSA1" s="204"/>
      <c r="LSB1" s="204"/>
      <c r="LSC1" s="204"/>
      <c r="LSD1" s="204"/>
      <c r="LSE1" s="204"/>
      <c r="LSF1" s="204"/>
      <c r="LSG1" s="204"/>
      <c r="LSH1" s="204"/>
      <c r="LSI1" s="204"/>
      <c r="LSJ1" s="204"/>
      <c r="LSK1" s="204"/>
      <c r="LSL1" s="204"/>
      <c r="LSM1" s="204"/>
      <c r="LSN1" s="204"/>
      <c r="LSO1" s="204"/>
      <c r="LSP1" s="204"/>
      <c r="LSQ1" s="204"/>
      <c r="LSR1" s="204"/>
      <c r="LSS1" s="204"/>
      <c r="LST1" s="205"/>
      <c r="LSU1" s="204"/>
      <c r="LSV1" s="204"/>
      <c r="LSW1" s="204"/>
      <c r="LSX1" s="204"/>
      <c r="LSY1" s="204"/>
      <c r="LSZ1" s="204"/>
      <c r="LTA1" s="204"/>
      <c r="LTB1" s="204"/>
      <c r="LTC1" s="204"/>
      <c r="LTD1" s="204"/>
      <c r="LTE1" s="204"/>
      <c r="LTF1" s="204"/>
      <c r="LTG1" s="204"/>
      <c r="LTH1" s="204"/>
      <c r="LTI1" s="204"/>
      <c r="LTJ1" s="204"/>
      <c r="LTK1" s="204"/>
      <c r="LTL1" s="204"/>
      <c r="LTM1" s="204"/>
      <c r="LTN1" s="204"/>
      <c r="LTO1" s="204"/>
      <c r="LTP1" s="204"/>
      <c r="LTQ1" s="204"/>
      <c r="LTR1" s="204"/>
      <c r="LTS1" s="204"/>
      <c r="LTT1" s="204"/>
      <c r="LTU1" s="204"/>
      <c r="LTV1" s="205"/>
      <c r="LTW1" s="204"/>
      <c r="LTX1" s="204"/>
      <c r="LTY1" s="204"/>
      <c r="LTZ1" s="204"/>
      <c r="LUA1" s="204"/>
      <c r="LUB1" s="204"/>
      <c r="LUC1" s="204"/>
      <c r="LUD1" s="204"/>
      <c r="LUE1" s="204"/>
      <c r="LUF1" s="204"/>
      <c r="LUG1" s="204"/>
      <c r="LUH1" s="204"/>
      <c r="LUI1" s="204"/>
      <c r="LUJ1" s="204"/>
      <c r="LUK1" s="204"/>
      <c r="LUL1" s="204"/>
      <c r="LUM1" s="204"/>
      <c r="LUN1" s="204"/>
      <c r="LUO1" s="204"/>
      <c r="LUP1" s="204"/>
      <c r="LUQ1" s="204"/>
      <c r="LUR1" s="204"/>
      <c r="LUS1" s="204"/>
      <c r="LUT1" s="204"/>
      <c r="LUU1" s="204"/>
      <c r="LUV1" s="204"/>
      <c r="LUW1" s="204"/>
      <c r="LUX1" s="205"/>
      <c r="LUY1" s="204"/>
      <c r="LUZ1" s="204"/>
      <c r="LVA1" s="204"/>
      <c r="LVB1" s="204"/>
      <c r="LVC1" s="204"/>
      <c r="LVD1" s="204"/>
      <c r="LVE1" s="204"/>
      <c r="LVF1" s="204"/>
      <c r="LVG1" s="204"/>
      <c r="LVH1" s="204"/>
      <c r="LVI1" s="204"/>
      <c r="LVJ1" s="204"/>
      <c r="LVK1" s="204"/>
      <c r="LVL1" s="204"/>
      <c r="LVM1" s="204"/>
      <c r="LVN1" s="204"/>
      <c r="LVO1" s="204"/>
      <c r="LVP1" s="204"/>
      <c r="LVQ1" s="204"/>
      <c r="LVR1" s="204"/>
      <c r="LVS1" s="204"/>
      <c r="LVT1" s="204"/>
      <c r="LVU1" s="204"/>
      <c r="LVV1" s="204"/>
      <c r="LVW1" s="204"/>
      <c r="LVX1" s="204"/>
      <c r="LVY1" s="204"/>
      <c r="LVZ1" s="205"/>
      <c r="LWA1" s="204"/>
      <c r="LWB1" s="204"/>
      <c r="LWC1" s="204"/>
      <c r="LWD1" s="204"/>
      <c r="LWE1" s="204"/>
      <c r="LWF1" s="204"/>
      <c r="LWG1" s="204"/>
      <c r="LWH1" s="204"/>
      <c r="LWI1" s="204"/>
      <c r="LWJ1" s="204"/>
      <c r="LWK1" s="204"/>
      <c r="LWL1" s="204"/>
      <c r="LWM1" s="204"/>
      <c r="LWN1" s="204"/>
      <c r="LWO1" s="204"/>
      <c r="LWP1" s="204"/>
      <c r="LWQ1" s="204"/>
      <c r="LWR1" s="204"/>
      <c r="LWS1" s="204"/>
      <c r="LWT1" s="204"/>
      <c r="LWU1" s="204"/>
      <c r="LWV1" s="204"/>
      <c r="LWW1" s="204"/>
      <c r="LWX1" s="204"/>
      <c r="LWY1" s="204"/>
      <c r="LWZ1" s="204"/>
      <c r="LXA1" s="204"/>
      <c r="LXB1" s="205"/>
      <c r="LXC1" s="204"/>
      <c r="LXD1" s="204"/>
      <c r="LXE1" s="204"/>
      <c r="LXF1" s="204"/>
      <c r="LXG1" s="204"/>
      <c r="LXH1" s="204"/>
      <c r="LXI1" s="204"/>
      <c r="LXJ1" s="204"/>
      <c r="LXK1" s="204"/>
      <c r="LXL1" s="204"/>
      <c r="LXM1" s="204"/>
      <c r="LXN1" s="204"/>
      <c r="LXO1" s="204"/>
      <c r="LXP1" s="204"/>
      <c r="LXQ1" s="204"/>
      <c r="LXR1" s="204"/>
      <c r="LXS1" s="204"/>
      <c r="LXT1" s="204"/>
      <c r="LXU1" s="204"/>
      <c r="LXV1" s="204"/>
      <c r="LXW1" s="204"/>
      <c r="LXX1" s="204"/>
      <c r="LXY1" s="204"/>
      <c r="LXZ1" s="204"/>
      <c r="LYA1" s="204"/>
      <c r="LYB1" s="204"/>
      <c r="LYC1" s="204"/>
      <c r="LYD1" s="205"/>
      <c r="LYE1" s="204"/>
      <c r="LYF1" s="204"/>
      <c r="LYG1" s="204"/>
      <c r="LYH1" s="204"/>
      <c r="LYI1" s="204"/>
      <c r="LYJ1" s="204"/>
      <c r="LYK1" s="204"/>
      <c r="LYL1" s="204"/>
      <c r="LYM1" s="204"/>
      <c r="LYN1" s="204"/>
      <c r="LYO1" s="204"/>
      <c r="LYP1" s="204"/>
      <c r="LYQ1" s="204"/>
      <c r="LYR1" s="204"/>
      <c r="LYS1" s="204"/>
      <c r="LYT1" s="204"/>
      <c r="LYU1" s="204"/>
      <c r="LYV1" s="204"/>
      <c r="LYW1" s="204"/>
      <c r="LYX1" s="204"/>
      <c r="LYY1" s="204"/>
      <c r="LYZ1" s="204"/>
      <c r="LZA1" s="204"/>
      <c r="LZB1" s="204"/>
      <c r="LZC1" s="204"/>
      <c r="LZD1" s="204"/>
      <c r="LZE1" s="204"/>
      <c r="LZF1" s="205"/>
      <c r="LZG1" s="204"/>
      <c r="LZH1" s="204"/>
      <c r="LZI1" s="204"/>
      <c r="LZJ1" s="204"/>
      <c r="LZK1" s="204"/>
      <c r="LZL1" s="204"/>
      <c r="LZM1" s="204"/>
      <c r="LZN1" s="204"/>
      <c r="LZO1" s="204"/>
      <c r="LZP1" s="204"/>
      <c r="LZQ1" s="204"/>
      <c r="LZR1" s="204"/>
      <c r="LZS1" s="204"/>
      <c r="LZT1" s="204"/>
      <c r="LZU1" s="204"/>
      <c r="LZV1" s="204"/>
      <c r="LZW1" s="204"/>
      <c r="LZX1" s="204"/>
      <c r="LZY1" s="204"/>
      <c r="LZZ1" s="204"/>
      <c r="MAA1" s="204"/>
      <c r="MAB1" s="204"/>
      <c r="MAC1" s="204"/>
      <c r="MAD1" s="204"/>
      <c r="MAE1" s="204"/>
      <c r="MAF1" s="204"/>
      <c r="MAG1" s="204"/>
      <c r="MAH1" s="205"/>
      <c r="MAI1" s="204"/>
      <c r="MAJ1" s="204"/>
      <c r="MAK1" s="204"/>
      <c r="MAL1" s="204"/>
      <c r="MAM1" s="204"/>
      <c r="MAN1" s="204"/>
      <c r="MAO1" s="204"/>
      <c r="MAP1" s="204"/>
      <c r="MAQ1" s="204"/>
      <c r="MAR1" s="204"/>
      <c r="MAS1" s="204"/>
      <c r="MAT1" s="204"/>
      <c r="MAU1" s="204"/>
      <c r="MAV1" s="204"/>
      <c r="MAW1" s="204"/>
      <c r="MAX1" s="204"/>
      <c r="MAY1" s="204"/>
      <c r="MAZ1" s="204"/>
      <c r="MBA1" s="204"/>
      <c r="MBB1" s="204"/>
      <c r="MBC1" s="204"/>
      <c r="MBD1" s="204"/>
      <c r="MBE1" s="204"/>
      <c r="MBF1" s="204"/>
      <c r="MBG1" s="204"/>
      <c r="MBH1" s="204"/>
      <c r="MBI1" s="204"/>
      <c r="MBJ1" s="205"/>
      <c r="MBK1" s="204"/>
      <c r="MBL1" s="204"/>
      <c r="MBM1" s="204"/>
      <c r="MBN1" s="204"/>
      <c r="MBO1" s="204"/>
      <c r="MBP1" s="204"/>
      <c r="MBQ1" s="204"/>
      <c r="MBR1" s="204"/>
      <c r="MBS1" s="204"/>
      <c r="MBT1" s="204"/>
      <c r="MBU1" s="204"/>
      <c r="MBV1" s="204"/>
      <c r="MBW1" s="204"/>
      <c r="MBX1" s="204"/>
      <c r="MBY1" s="204"/>
      <c r="MBZ1" s="204"/>
      <c r="MCA1" s="204"/>
      <c r="MCB1" s="204"/>
      <c r="MCC1" s="204"/>
      <c r="MCD1" s="204"/>
      <c r="MCE1" s="204"/>
      <c r="MCF1" s="204"/>
      <c r="MCG1" s="204"/>
      <c r="MCH1" s="204"/>
      <c r="MCI1" s="204"/>
      <c r="MCJ1" s="204"/>
      <c r="MCK1" s="204"/>
      <c r="MCL1" s="205"/>
      <c r="MCM1" s="204"/>
      <c r="MCN1" s="204"/>
      <c r="MCO1" s="204"/>
      <c r="MCP1" s="204"/>
      <c r="MCQ1" s="204"/>
      <c r="MCR1" s="204"/>
      <c r="MCS1" s="204"/>
      <c r="MCT1" s="204"/>
      <c r="MCU1" s="204"/>
      <c r="MCV1" s="204"/>
      <c r="MCW1" s="204"/>
      <c r="MCX1" s="204"/>
      <c r="MCY1" s="204"/>
      <c r="MCZ1" s="204"/>
      <c r="MDA1" s="204"/>
      <c r="MDB1" s="204"/>
      <c r="MDC1" s="204"/>
      <c r="MDD1" s="204"/>
      <c r="MDE1" s="204"/>
      <c r="MDF1" s="204"/>
      <c r="MDG1" s="204"/>
      <c r="MDH1" s="204"/>
      <c r="MDI1" s="204"/>
      <c r="MDJ1" s="204"/>
      <c r="MDK1" s="204"/>
      <c r="MDL1" s="204"/>
      <c r="MDM1" s="204"/>
      <c r="MDN1" s="205"/>
      <c r="MDO1" s="204"/>
      <c r="MDP1" s="204"/>
      <c r="MDQ1" s="204"/>
      <c r="MDR1" s="204"/>
      <c r="MDS1" s="204"/>
      <c r="MDT1" s="204"/>
      <c r="MDU1" s="204"/>
      <c r="MDV1" s="204"/>
      <c r="MDW1" s="204"/>
      <c r="MDX1" s="204"/>
      <c r="MDY1" s="204"/>
      <c r="MDZ1" s="204"/>
      <c r="MEA1" s="204"/>
      <c r="MEB1" s="204"/>
      <c r="MEC1" s="204"/>
      <c r="MED1" s="204"/>
      <c r="MEE1" s="204"/>
      <c r="MEF1" s="204"/>
      <c r="MEG1" s="204"/>
      <c r="MEH1" s="204"/>
      <c r="MEI1" s="204"/>
      <c r="MEJ1" s="204"/>
      <c r="MEK1" s="204"/>
      <c r="MEL1" s="204"/>
      <c r="MEM1" s="204"/>
      <c r="MEN1" s="204"/>
      <c r="MEO1" s="204"/>
      <c r="MEP1" s="205"/>
      <c r="MEQ1" s="204"/>
      <c r="MER1" s="204"/>
      <c r="MES1" s="204"/>
      <c r="MET1" s="204"/>
      <c r="MEU1" s="204"/>
      <c r="MEV1" s="204"/>
      <c r="MEW1" s="204"/>
      <c r="MEX1" s="204"/>
      <c r="MEY1" s="204"/>
      <c r="MEZ1" s="204"/>
      <c r="MFA1" s="204"/>
      <c r="MFB1" s="204"/>
      <c r="MFC1" s="204"/>
      <c r="MFD1" s="204"/>
      <c r="MFE1" s="204"/>
      <c r="MFF1" s="204"/>
      <c r="MFG1" s="204"/>
      <c r="MFH1" s="204"/>
      <c r="MFI1" s="204"/>
      <c r="MFJ1" s="204"/>
      <c r="MFK1" s="204"/>
      <c r="MFL1" s="204"/>
      <c r="MFM1" s="204"/>
      <c r="MFN1" s="204"/>
      <c r="MFO1" s="204"/>
      <c r="MFP1" s="204"/>
      <c r="MFQ1" s="204"/>
      <c r="MFR1" s="205"/>
      <c r="MFS1" s="204"/>
      <c r="MFT1" s="204"/>
      <c r="MFU1" s="204"/>
      <c r="MFV1" s="204"/>
      <c r="MFW1" s="204"/>
      <c r="MFX1" s="204"/>
      <c r="MFY1" s="204"/>
      <c r="MFZ1" s="204"/>
      <c r="MGA1" s="204"/>
      <c r="MGB1" s="204"/>
      <c r="MGC1" s="204"/>
      <c r="MGD1" s="204"/>
      <c r="MGE1" s="204"/>
      <c r="MGF1" s="204"/>
      <c r="MGG1" s="204"/>
      <c r="MGH1" s="204"/>
      <c r="MGI1" s="204"/>
      <c r="MGJ1" s="204"/>
      <c r="MGK1" s="204"/>
      <c r="MGL1" s="204"/>
      <c r="MGM1" s="204"/>
      <c r="MGN1" s="204"/>
      <c r="MGO1" s="204"/>
      <c r="MGP1" s="204"/>
      <c r="MGQ1" s="204"/>
      <c r="MGR1" s="204"/>
      <c r="MGS1" s="204"/>
      <c r="MGT1" s="205"/>
      <c r="MGU1" s="204"/>
      <c r="MGV1" s="204"/>
      <c r="MGW1" s="204"/>
      <c r="MGX1" s="204"/>
      <c r="MGY1" s="204"/>
      <c r="MGZ1" s="204"/>
      <c r="MHA1" s="204"/>
      <c r="MHB1" s="204"/>
      <c r="MHC1" s="204"/>
      <c r="MHD1" s="204"/>
      <c r="MHE1" s="204"/>
      <c r="MHF1" s="204"/>
      <c r="MHG1" s="204"/>
      <c r="MHH1" s="204"/>
      <c r="MHI1" s="204"/>
      <c r="MHJ1" s="204"/>
      <c r="MHK1" s="204"/>
      <c r="MHL1" s="204"/>
      <c r="MHM1" s="204"/>
      <c r="MHN1" s="204"/>
      <c r="MHO1" s="204"/>
      <c r="MHP1" s="204"/>
      <c r="MHQ1" s="204"/>
      <c r="MHR1" s="204"/>
      <c r="MHS1" s="204"/>
      <c r="MHT1" s="204"/>
      <c r="MHU1" s="204"/>
      <c r="MHV1" s="205"/>
      <c r="MHW1" s="204"/>
      <c r="MHX1" s="204"/>
      <c r="MHY1" s="204"/>
      <c r="MHZ1" s="204"/>
      <c r="MIA1" s="204"/>
      <c r="MIB1" s="204"/>
      <c r="MIC1" s="204"/>
      <c r="MID1" s="204"/>
      <c r="MIE1" s="204"/>
      <c r="MIF1" s="204"/>
      <c r="MIG1" s="204"/>
      <c r="MIH1" s="204"/>
      <c r="MII1" s="204"/>
      <c r="MIJ1" s="204"/>
      <c r="MIK1" s="204"/>
      <c r="MIL1" s="204"/>
      <c r="MIM1" s="204"/>
      <c r="MIN1" s="204"/>
      <c r="MIO1" s="204"/>
      <c r="MIP1" s="204"/>
      <c r="MIQ1" s="204"/>
      <c r="MIR1" s="204"/>
      <c r="MIS1" s="204"/>
      <c r="MIT1" s="204"/>
      <c r="MIU1" s="204"/>
      <c r="MIV1" s="204"/>
      <c r="MIW1" s="204"/>
      <c r="MIX1" s="205"/>
      <c r="MIY1" s="204"/>
      <c r="MIZ1" s="204"/>
      <c r="MJA1" s="204"/>
      <c r="MJB1" s="204"/>
      <c r="MJC1" s="204"/>
      <c r="MJD1" s="204"/>
      <c r="MJE1" s="204"/>
      <c r="MJF1" s="204"/>
      <c r="MJG1" s="204"/>
      <c r="MJH1" s="204"/>
      <c r="MJI1" s="204"/>
      <c r="MJJ1" s="204"/>
      <c r="MJK1" s="204"/>
      <c r="MJL1" s="204"/>
      <c r="MJM1" s="204"/>
      <c r="MJN1" s="204"/>
      <c r="MJO1" s="204"/>
      <c r="MJP1" s="204"/>
      <c r="MJQ1" s="204"/>
      <c r="MJR1" s="204"/>
      <c r="MJS1" s="204"/>
      <c r="MJT1" s="204"/>
      <c r="MJU1" s="204"/>
      <c r="MJV1" s="204"/>
      <c r="MJW1" s="204"/>
      <c r="MJX1" s="204"/>
      <c r="MJY1" s="204"/>
      <c r="MJZ1" s="205"/>
      <c r="MKA1" s="204"/>
      <c r="MKB1" s="204"/>
      <c r="MKC1" s="204"/>
      <c r="MKD1" s="204"/>
      <c r="MKE1" s="204"/>
      <c r="MKF1" s="204"/>
      <c r="MKG1" s="204"/>
      <c r="MKH1" s="204"/>
      <c r="MKI1" s="204"/>
      <c r="MKJ1" s="204"/>
      <c r="MKK1" s="204"/>
      <c r="MKL1" s="204"/>
      <c r="MKM1" s="204"/>
      <c r="MKN1" s="204"/>
      <c r="MKO1" s="204"/>
      <c r="MKP1" s="204"/>
      <c r="MKQ1" s="204"/>
      <c r="MKR1" s="204"/>
      <c r="MKS1" s="204"/>
      <c r="MKT1" s="204"/>
      <c r="MKU1" s="204"/>
      <c r="MKV1" s="204"/>
      <c r="MKW1" s="204"/>
      <c r="MKX1" s="204"/>
      <c r="MKY1" s="204"/>
      <c r="MKZ1" s="204"/>
      <c r="MLA1" s="204"/>
      <c r="MLB1" s="205"/>
      <c r="MLC1" s="204"/>
      <c r="MLD1" s="204"/>
      <c r="MLE1" s="204"/>
      <c r="MLF1" s="204"/>
      <c r="MLG1" s="204"/>
      <c r="MLH1" s="204"/>
      <c r="MLI1" s="204"/>
      <c r="MLJ1" s="204"/>
      <c r="MLK1" s="204"/>
      <c r="MLL1" s="204"/>
      <c r="MLM1" s="204"/>
      <c r="MLN1" s="204"/>
      <c r="MLO1" s="204"/>
      <c r="MLP1" s="204"/>
      <c r="MLQ1" s="204"/>
      <c r="MLR1" s="204"/>
      <c r="MLS1" s="204"/>
      <c r="MLT1" s="204"/>
      <c r="MLU1" s="204"/>
      <c r="MLV1" s="204"/>
      <c r="MLW1" s="204"/>
      <c r="MLX1" s="204"/>
      <c r="MLY1" s="204"/>
      <c r="MLZ1" s="204"/>
      <c r="MMA1" s="204"/>
      <c r="MMB1" s="204"/>
      <c r="MMC1" s="204"/>
      <c r="MMD1" s="205"/>
      <c r="MME1" s="204"/>
      <c r="MMF1" s="204"/>
      <c r="MMG1" s="204"/>
      <c r="MMH1" s="204"/>
      <c r="MMI1" s="204"/>
      <c r="MMJ1" s="204"/>
      <c r="MMK1" s="204"/>
      <c r="MML1" s="204"/>
      <c r="MMM1" s="204"/>
      <c r="MMN1" s="204"/>
      <c r="MMO1" s="204"/>
      <c r="MMP1" s="204"/>
      <c r="MMQ1" s="204"/>
      <c r="MMR1" s="204"/>
      <c r="MMS1" s="204"/>
      <c r="MMT1" s="204"/>
      <c r="MMU1" s="204"/>
      <c r="MMV1" s="204"/>
      <c r="MMW1" s="204"/>
      <c r="MMX1" s="204"/>
      <c r="MMY1" s="204"/>
      <c r="MMZ1" s="204"/>
      <c r="MNA1" s="204"/>
      <c r="MNB1" s="204"/>
      <c r="MNC1" s="204"/>
      <c r="MND1" s="204"/>
      <c r="MNE1" s="204"/>
      <c r="MNF1" s="205"/>
      <c r="MNG1" s="204"/>
      <c r="MNH1" s="204"/>
      <c r="MNI1" s="204"/>
      <c r="MNJ1" s="204"/>
      <c r="MNK1" s="204"/>
      <c r="MNL1" s="204"/>
      <c r="MNM1" s="204"/>
      <c r="MNN1" s="204"/>
      <c r="MNO1" s="204"/>
      <c r="MNP1" s="204"/>
      <c r="MNQ1" s="204"/>
      <c r="MNR1" s="204"/>
      <c r="MNS1" s="204"/>
      <c r="MNT1" s="204"/>
      <c r="MNU1" s="204"/>
      <c r="MNV1" s="204"/>
      <c r="MNW1" s="204"/>
      <c r="MNX1" s="204"/>
      <c r="MNY1" s="204"/>
      <c r="MNZ1" s="204"/>
      <c r="MOA1" s="204"/>
      <c r="MOB1" s="204"/>
      <c r="MOC1" s="204"/>
      <c r="MOD1" s="204"/>
      <c r="MOE1" s="204"/>
      <c r="MOF1" s="204"/>
      <c r="MOG1" s="204"/>
      <c r="MOH1" s="205"/>
      <c r="MOI1" s="204"/>
      <c r="MOJ1" s="204"/>
      <c r="MOK1" s="204"/>
      <c r="MOL1" s="204"/>
      <c r="MOM1" s="204"/>
      <c r="MON1" s="204"/>
      <c r="MOO1" s="204"/>
      <c r="MOP1" s="204"/>
      <c r="MOQ1" s="204"/>
      <c r="MOR1" s="204"/>
      <c r="MOS1" s="204"/>
      <c r="MOT1" s="204"/>
      <c r="MOU1" s="204"/>
      <c r="MOV1" s="204"/>
      <c r="MOW1" s="204"/>
      <c r="MOX1" s="204"/>
      <c r="MOY1" s="204"/>
      <c r="MOZ1" s="204"/>
      <c r="MPA1" s="204"/>
      <c r="MPB1" s="204"/>
      <c r="MPC1" s="204"/>
      <c r="MPD1" s="204"/>
      <c r="MPE1" s="204"/>
      <c r="MPF1" s="204"/>
      <c r="MPG1" s="204"/>
      <c r="MPH1" s="204"/>
      <c r="MPI1" s="204"/>
      <c r="MPJ1" s="205"/>
      <c r="MPK1" s="204"/>
      <c r="MPL1" s="204"/>
      <c r="MPM1" s="204"/>
      <c r="MPN1" s="204"/>
      <c r="MPO1" s="204"/>
      <c r="MPP1" s="204"/>
      <c r="MPQ1" s="204"/>
      <c r="MPR1" s="204"/>
      <c r="MPS1" s="204"/>
      <c r="MPT1" s="204"/>
      <c r="MPU1" s="204"/>
      <c r="MPV1" s="204"/>
      <c r="MPW1" s="204"/>
      <c r="MPX1" s="204"/>
      <c r="MPY1" s="204"/>
      <c r="MPZ1" s="204"/>
      <c r="MQA1" s="204"/>
      <c r="MQB1" s="204"/>
      <c r="MQC1" s="204"/>
      <c r="MQD1" s="204"/>
      <c r="MQE1" s="204"/>
      <c r="MQF1" s="204"/>
      <c r="MQG1" s="204"/>
      <c r="MQH1" s="204"/>
      <c r="MQI1" s="204"/>
      <c r="MQJ1" s="204"/>
      <c r="MQK1" s="204"/>
      <c r="MQL1" s="205"/>
      <c r="MQM1" s="204"/>
      <c r="MQN1" s="204"/>
      <c r="MQO1" s="204"/>
      <c r="MQP1" s="204"/>
      <c r="MQQ1" s="204"/>
      <c r="MQR1" s="204"/>
      <c r="MQS1" s="204"/>
      <c r="MQT1" s="204"/>
      <c r="MQU1" s="204"/>
      <c r="MQV1" s="204"/>
      <c r="MQW1" s="204"/>
      <c r="MQX1" s="204"/>
      <c r="MQY1" s="204"/>
      <c r="MQZ1" s="204"/>
      <c r="MRA1" s="204"/>
      <c r="MRB1" s="204"/>
      <c r="MRC1" s="204"/>
      <c r="MRD1" s="204"/>
      <c r="MRE1" s="204"/>
      <c r="MRF1" s="204"/>
      <c r="MRG1" s="204"/>
      <c r="MRH1" s="204"/>
      <c r="MRI1" s="204"/>
      <c r="MRJ1" s="204"/>
      <c r="MRK1" s="204"/>
      <c r="MRL1" s="204"/>
      <c r="MRM1" s="204"/>
      <c r="MRN1" s="205"/>
      <c r="MRO1" s="204"/>
      <c r="MRP1" s="204"/>
      <c r="MRQ1" s="204"/>
      <c r="MRR1" s="204"/>
      <c r="MRS1" s="204"/>
      <c r="MRT1" s="204"/>
      <c r="MRU1" s="204"/>
      <c r="MRV1" s="204"/>
      <c r="MRW1" s="204"/>
      <c r="MRX1" s="204"/>
      <c r="MRY1" s="204"/>
      <c r="MRZ1" s="204"/>
      <c r="MSA1" s="204"/>
      <c r="MSB1" s="204"/>
      <c r="MSC1" s="204"/>
      <c r="MSD1" s="204"/>
      <c r="MSE1" s="204"/>
      <c r="MSF1" s="204"/>
      <c r="MSG1" s="204"/>
      <c r="MSH1" s="204"/>
      <c r="MSI1" s="204"/>
      <c r="MSJ1" s="204"/>
      <c r="MSK1" s="204"/>
      <c r="MSL1" s="204"/>
      <c r="MSM1" s="204"/>
      <c r="MSN1" s="204"/>
      <c r="MSO1" s="204"/>
      <c r="MSP1" s="205"/>
      <c r="MSQ1" s="204"/>
      <c r="MSR1" s="204"/>
      <c r="MSS1" s="204"/>
      <c r="MST1" s="204"/>
      <c r="MSU1" s="204"/>
      <c r="MSV1" s="204"/>
      <c r="MSW1" s="204"/>
      <c r="MSX1" s="204"/>
      <c r="MSY1" s="204"/>
      <c r="MSZ1" s="204"/>
      <c r="MTA1" s="204"/>
      <c r="MTB1" s="204"/>
      <c r="MTC1" s="204"/>
      <c r="MTD1" s="204"/>
      <c r="MTE1" s="204"/>
      <c r="MTF1" s="204"/>
      <c r="MTG1" s="204"/>
      <c r="MTH1" s="204"/>
      <c r="MTI1" s="204"/>
      <c r="MTJ1" s="204"/>
      <c r="MTK1" s="204"/>
      <c r="MTL1" s="204"/>
      <c r="MTM1" s="204"/>
      <c r="MTN1" s="204"/>
      <c r="MTO1" s="204"/>
      <c r="MTP1" s="204"/>
      <c r="MTQ1" s="204"/>
      <c r="MTR1" s="205"/>
      <c r="MTS1" s="204"/>
      <c r="MTT1" s="204"/>
      <c r="MTU1" s="204"/>
      <c r="MTV1" s="204"/>
      <c r="MTW1" s="204"/>
      <c r="MTX1" s="204"/>
      <c r="MTY1" s="204"/>
      <c r="MTZ1" s="204"/>
      <c r="MUA1" s="204"/>
      <c r="MUB1" s="204"/>
      <c r="MUC1" s="204"/>
      <c r="MUD1" s="204"/>
      <c r="MUE1" s="204"/>
      <c r="MUF1" s="204"/>
      <c r="MUG1" s="204"/>
      <c r="MUH1" s="204"/>
      <c r="MUI1" s="204"/>
      <c r="MUJ1" s="204"/>
      <c r="MUK1" s="204"/>
      <c r="MUL1" s="204"/>
      <c r="MUM1" s="204"/>
      <c r="MUN1" s="204"/>
      <c r="MUO1" s="204"/>
      <c r="MUP1" s="204"/>
      <c r="MUQ1" s="204"/>
      <c r="MUR1" s="204"/>
      <c r="MUS1" s="204"/>
      <c r="MUT1" s="205"/>
      <c r="MUU1" s="204"/>
      <c r="MUV1" s="204"/>
      <c r="MUW1" s="204"/>
      <c r="MUX1" s="204"/>
      <c r="MUY1" s="204"/>
      <c r="MUZ1" s="204"/>
      <c r="MVA1" s="204"/>
      <c r="MVB1" s="204"/>
      <c r="MVC1" s="204"/>
      <c r="MVD1" s="204"/>
      <c r="MVE1" s="204"/>
      <c r="MVF1" s="204"/>
      <c r="MVG1" s="204"/>
      <c r="MVH1" s="204"/>
      <c r="MVI1" s="204"/>
      <c r="MVJ1" s="204"/>
      <c r="MVK1" s="204"/>
      <c r="MVL1" s="204"/>
      <c r="MVM1" s="204"/>
      <c r="MVN1" s="204"/>
      <c r="MVO1" s="204"/>
      <c r="MVP1" s="204"/>
      <c r="MVQ1" s="204"/>
      <c r="MVR1" s="204"/>
      <c r="MVS1" s="204"/>
      <c r="MVT1" s="204"/>
      <c r="MVU1" s="204"/>
      <c r="MVV1" s="205"/>
      <c r="MVW1" s="204"/>
      <c r="MVX1" s="204"/>
      <c r="MVY1" s="204"/>
      <c r="MVZ1" s="204"/>
      <c r="MWA1" s="204"/>
      <c r="MWB1" s="204"/>
      <c r="MWC1" s="204"/>
      <c r="MWD1" s="204"/>
      <c r="MWE1" s="204"/>
      <c r="MWF1" s="204"/>
      <c r="MWG1" s="204"/>
      <c r="MWH1" s="204"/>
      <c r="MWI1" s="204"/>
      <c r="MWJ1" s="204"/>
      <c r="MWK1" s="204"/>
      <c r="MWL1" s="204"/>
      <c r="MWM1" s="204"/>
      <c r="MWN1" s="204"/>
      <c r="MWO1" s="204"/>
      <c r="MWP1" s="204"/>
      <c r="MWQ1" s="204"/>
      <c r="MWR1" s="204"/>
      <c r="MWS1" s="204"/>
      <c r="MWT1" s="204"/>
      <c r="MWU1" s="204"/>
      <c r="MWV1" s="204"/>
      <c r="MWW1" s="204"/>
      <c r="MWX1" s="205"/>
      <c r="MWY1" s="204"/>
      <c r="MWZ1" s="204"/>
      <c r="MXA1" s="204"/>
      <c r="MXB1" s="204"/>
      <c r="MXC1" s="204"/>
      <c r="MXD1" s="204"/>
      <c r="MXE1" s="204"/>
      <c r="MXF1" s="204"/>
      <c r="MXG1" s="204"/>
      <c r="MXH1" s="204"/>
      <c r="MXI1" s="204"/>
      <c r="MXJ1" s="204"/>
      <c r="MXK1" s="204"/>
      <c r="MXL1" s="204"/>
      <c r="MXM1" s="204"/>
      <c r="MXN1" s="204"/>
      <c r="MXO1" s="204"/>
      <c r="MXP1" s="204"/>
      <c r="MXQ1" s="204"/>
      <c r="MXR1" s="204"/>
      <c r="MXS1" s="204"/>
      <c r="MXT1" s="204"/>
      <c r="MXU1" s="204"/>
      <c r="MXV1" s="204"/>
      <c r="MXW1" s="204"/>
      <c r="MXX1" s="204"/>
      <c r="MXY1" s="204"/>
      <c r="MXZ1" s="205"/>
      <c r="MYA1" s="204"/>
      <c r="MYB1" s="204"/>
      <c r="MYC1" s="204"/>
      <c r="MYD1" s="204"/>
      <c r="MYE1" s="204"/>
      <c r="MYF1" s="204"/>
      <c r="MYG1" s="204"/>
      <c r="MYH1" s="204"/>
      <c r="MYI1" s="204"/>
      <c r="MYJ1" s="204"/>
      <c r="MYK1" s="204"/>
      <c r="MYL1" s="204"/>
      <c r="MYM1" s="204"/>
      <c r="MYN1" s="204"/>
      <c r="MYO1" s="204"/>
      <c r="MYP1" s="204"/>
      <c r="MYQ1" s="204"/>
      <c r="MYR1" s="204"/>
      <c r="MYS1" s="204"/>
      <c r="MYT1" s="204"/>
      <c r="MYU1" s="204"/>
      <c r="MYV1" s="204"/>
      <c r="MYW1" s="204"/>
      <c r="MYX1" s="204"/>
      <c r="MYY1" s="204"/>
      <c r="MYZ1" s="204"/>
      <c r="MZA1" s="204"/>
      <c r="MZB1" s="205"/>
      <c r="MZC1" s="204"/>
      <c r="MZD1" s="204"/>
      <c r="MZE1" s="204"/>
      <c r="MZF1" s="204"/>
      <c r="MZG1" s="204"/>
      <c r="MZH1" s="204"/>
      <c r="MZI1" s="204"/>
      <c r="MZJ1" s="204"/>
      <c r="MZK1" s="204"/>
      <c r="MZL1" s="204"/>
      <c r="MZM1" s="204"/>
      <c r="MZN1" s="204"/>
      <c r="MZO1" s="204"/>
      <c r="MZP1" s="204"/>
      <c r="MZQ1" s="204"/>
      <c r="MZR1" s="204"/>
      <c r="MZS1" s="204"/>
      <c r="MZT1" s="204"/>
      <c r="MZU1" s="204"/>
      <c r="MZV1" s="204"/>
      <c r="MZW1" s="204"/>
      <c r="MZX1" s="204"/>
      <c r="MZY1" s="204"/>
      <c r="MZZ1" s="204"/>
      <c r="NAA1" s="204"/>
      <c r="NAB1" s="204"/>
      <c r="NAC1" s="204"/>
      <c r="NAD1" s="205"/>
      <c r="NAE1" s="204"/>
      <c r="NAF1" s="204"/>
      <c r="NAG1" s="204"/>
      <c r="NAH1" s="204"/>
      <c r="NAI1" s="204"/>
      <c r="NAJ1" s="204"/>
      <c r="NAK1" s="204"/>
      <c r="NAL1" s="204"/>
      <c r="NAM1" s="204"/>
      <c r="NAN1" s="204"/>
      <c r="NAO1" s="204"/>
      <c r="NAP1" s="204"/>
      <c r="NAQ1" s="204"/>
      <c r="NAR1" s="204"/>
      <c r="NAS1" s="204"/>
      <c r="NAT1" s="204"/>
      <c r="NAU1" s="204"/>
      <c r="NAV1" s="204"/>
      <c r="NAW1" s="204"/>
      <c r="NAX1" s="204"/>
      <c r="NAY1" s="204"/>
      <c r="NAZ1" s="204"/>
      <c r="NBA1" s="204"/>
      <c r="NBB1" s="204"/>
      <c r="NBC1" s="204"/>
      <c r="NBD1" s="204"/>
      <c r="NBE1" s="204"/>
      <c r="NBF1" s="205"/>
      <c r="NBG1" s="204"/>
      <c r="NBH1" s="204"/>
      <c r="NBI1" s="204"/>
      <c r="NBJ1" s="204"/>
      <c r="NBK1" s="204"/>
      <c r="NBL1" s="204"/>
      <c r="NBM1" s="204"/>
      <c r="NBN1" s="204"/>
      <c r="NBO1" s="204"/>
      <c r="NBP1" s="204"/>
      <c r="NBQ1" s="204"/>
      <c r="NBR1" s="204"/>
      <c r="NBS1" s="204"/>
      <c r="NBT1" s="204"/>
      <c r="NBU1" s="204"/>
      <c r="NBV1" s="204"/>
      <c r="NBW1" s="204"/>
      <c r="NBX1" s="204"/>
      <c r="NBY1" s="204"/>
      <c r="NBZ1" s="204"/>
      <c r="NCA1" s="204"/>
      <c r="NCB1" s="204"/>
      <c r="NCC1" s="204"/>
      <c r="NCD1" s="204"/>
      <c r="NCE1" s="204"/>
      <c r="NCF1" s="204"/>
      <c r="NCG1" s="204"/>
      <c r="NCH1" s="205"/>
      <c r="NCI1" s="204"/>
      <c r="NCJ1" s="204"/>
      <c r="NCK1" s="204"/>
      <c r="NCL1" s="204"/>
      <c r="NCM1" s="204"/>
      <c r="NCN1" s="204"/>
      <c r="NCO1" s="204"/>
      <c r="NCP1" s="204"/>
      <c r="NCQ1" s="204"/>
      <c r="NCR1" s="204"/>
      <c r="NCS1" s="204"/>
      <c r="NCT1" s="204"/>
      <c r="NCU1" s="204"/>
      <c r="NCV1" s="204"/>
      <c r="NCW1" s="204"/>
      <c r="NCX1" s="204"/>
      <c r="NCY1" s="204"/>
      <c r="NCZ1" s="204"/>
      <c r="NDA1" s="204"/>
      <c r="NDB1" s="204"/>
      <c r="NDC1" s="204"/>
      <c r="NDD1" s="204"/>
      <c r="NDE1" s="204"/>
      <c r="NDF1" s="204"/>
      <c r="NDG1" s="204"/>
      <c r="NDH1" s="204"/>
      <c r="NDI1" s="204"/>
      <c r="NDJ1" s="205"/>
      <c r="NDK1" s="204"/>
      <c r="NDL1" s="204"/>
      <c r="NDM1" s="204"/>
      <c r="NDN1" s="204"/>
      <c r="NDO1" s="204"/>
      <c r="NDP1" s="204"/>
      <c r="NDQ1" s="204"/>
      <c r="NDR1" s="204"/>
      <c r="NDS1" s="204"/>
      <c r="NDT1" s="204"/>
      <c r="NDU1" s="204"/>
      <c r="NDV1" s="204"/>
      <c r="NDW1" s="204"/>
      <c r="NDX1" s="204"/>
      <c r="NDY1" s="204"/>
      <c r="NDZ1" s="204"/>
      <c r="NEA1" s="204"/>
      <c r="NEB1" s="204"/>
      <c r="NEC1" s="204"/>
      <c r="NED1" s="204"/>
      <c r="NEE1" s="204"/>
      <c r="NEF1" s="204"/>
      <c r="NEG1" s="204"/>
      <c r="NEH1" s="204"/>
      <c r="NEI1" s="204"/>
      <c r="NEJ1" s="204"/>
      <c r="NEK1" s="204"/>
      <c r="NEL1" s="205"/>
      <c r="NEM1" s="204"/>
      <c r="NEN1" s="204"/>
      <c r="NEO1" s="204"/>
      <c r="NEP1" s="204"/>
      <c r="NEQ1" s="204"/>
      <c r="NER1" s="204"/>
      <c r="NES1" s="204"/>
      <c r="NET1" s="204"/>
      <c r="NEU1" s="204"/>
      <c r="NEV1" s="204"/>
      <c r="NEW1" s="204"/>
      <c r="NEX1" s="204"/>
      <c r="NEY1" s="204"/>
      <c r="NEZ1" s="204"/>
      <c r="NFA1" s="204"/>
      <c r="NFB1" s="204"/>
      <c r="NFC1" s="204"/>
      <c r="NFD1" s="204"/>
      <c r="NFE1" s="204"/>
      <c r="NFF1" s="204"/>
      <c r="NFG1" s="204"/>
      <c r="NFH1" s="204"/>
      <c r="NFI1" s="204"/>
      <c r="NFJ1" s="204"/>
      <c r="NFK1" s="204"/>
      <c r="NFL1" s="204"/>
      <c r="NFM1" s="204"/>
      <c r="NFN1" s="205"/>
      <c r="NFO1" s="204"/>
      <c r="NFP1" s="204"/>
      <c r="NFQ1" s="204"/>
      <c r="NFR1" s="204"/>
      <c r="NFS1" s="204"/>
      <c r="NFT1" s="204"/>
      <c r="NFU1" s="204"/>
      <c r="NFV1" s="204"/>
      <c r="NFW1" s="204"/>
      <c r="NFX1" s="204"/>
      <c r="NFY1" s="204"/>
      <c r="NFZ1" s="204"/>
      <c r="NGA1" s="204"/>
      <c r="NGB1" s="204"/>
      <c r="NGC1" s="204"/>
      <c r="NGD1" s="204"/>
      <c r="NGE1" s="204"/>
      <c r="NGF1" s="204"/>
      <c r="NGG1" s="204"/>
      <c r="NGH1" s="204"/>
      <c r="NGI1" s="204"/>
      <c r="NGJ1" s="204"/>
      <c r="NGK1" s="204"/>
      <c r="NGL1" s="204"/>
      <c r="NGM1" s="204"/>
      <c r="NGN1" s="204"/>
      <c r="NGO1" s="204"/>
      <c r="NGP1" s="205"/>
      <c r="NGQ1" s="204"/>
      <c r="NGR1" s="204"/>
      <c r="NGS1" s="204"/>
      <c r="NGT1" s="204"/>
      <c r="NGU1" s="204"/>
      <c r="NGV1" s="204"/>
      <c r="NGW1" s="204"/>
      <c r="NGX1" s="204"/>
      <c r="NGY1" s="204"/>
      <c r="NGZ1" s="204"/>
      <c r="NHA1" s="204"/>
      <c r="NHB1" s="204"/>
      <c r="NHC1" s="204"/>
      <c r="NHD1" s="204"/>
      <c r="NHE1" s="204"/>
      <c r="NHF1" s="204"/>
      <c r="NHG1" s="204"/>
      <c r="NHH1" s="204"/>
      <c r="NHI1" s="204"/>
      <c r="NHJ1" s="204"/>
      <c r="NHK1" s="204"/>
      <c r="NHL1" s="204"/>
      <c r="NHM1" s="204"/>
      <c r="NHN1" s="204"/>
      <c r="NHO1" s="204"/>
      <c r="NHP1" s="204"/>
      <c r="NHQ1" s="204"/>
      <c r="NHR1" s="205"/>
      <c r="NHS1" s="204"/>
      <c r="NHT1" s="204"/>
      <c r="NHU1" s="204"/>
      <c r="NHV1" s="204"/>
      <c r="NHW1" s="204"/>
      <c r="NHX1" s="204"/>
      <c r="NHY1" s="204"/>
      <c r="NHZ1" s="204"/>
      <c r="NIA1" s="204"/>
      <c r="NIB1" s="204"/>
      <c r="NIC1" s="204"/>
      <c r="NID1" s="204"/>
      <c r="NIE1" s="204"/>
      <c r="NIF1" s="204"/>
      <c r="NIG1" s="204"/>
      <c r="NIH1" s="204"/>
      <c r="NII1" s="204"/>
      <c r="NIJ1" s="204"/>
      <c r="NIK1" s="204"/>
      <c r="NIL1" s="204"/>
      <c r="NIM1" s="204"/>
      <c r="NIN1" s="204"/>
      <c r="NIO1" s="204"/>
      <c r="NIP1" s="204"/>
      <c r="NIQ1" s="204"/>
      <c r="NIR1" s="204"/>
      <c r="NIS1" s="204"/>
      <c r="NIT1" s="205"/>
      <c r="NIU1" s="204"/>
      <c r="NIV1" s="204"/>
      <c r="NIW1" s="204"/>
      <c r="NIX1" s="204"/>
      <c r="NIY1" s="204"/>
      <c r="NIZ1" s="204"/>
      <c r="NJA1" s="204"/>
      <c r="NJB1" s="204"/>
      <c r="NJC1" s="204"/>
      <c r="NJD1" s="204"/>
      <c r="NJE1" s="204"/>
      <c r="NJF1" s="204"/>
      <c r="NJG1" s="204"/>
      <c r="NJH1" s="204"/>
      <c r="NJI1" s="204"/>
      <c r="NJJ1" s="204"/>
      <c r="NJK1" s="204"/>
      <c r="NJL1" s="204"/>
      <c r="NJM1" s="204"/>
      <c r="NJN1" s="204"/>
      <c r="NJO1" s="204"/>
      <c r="NJP1" s="204"/>
      <c r="NJQ1" s="204"/>
      <c r="NJR1" s="204"/>
      <c r="NJS1" s="204"/>
      <c r="NJT1" s="204"/>
      <c r="NJU1" s="204"/>
      <c r="NJV1" s="205"/>
      <c r="NJW1" s="204"/>
      <c r="NJX1" s="204"/>
      <c r="NJY1" s="204"/>
      <c r="NJZ1" s="204"/>
      <c r="NKA1" s="204"/>
      <c r="NKB1" s="204"/>
      <c r="NKC1" s="204"/>
      <c r="NKD1" s="204"/>
      <c r="NKE1" s="204"/>
      <c r="NKF1" s="204"/>
      <c r="NKG1" s="204"/>
      <c r="NKH1" s="204"/>
      <c r="NKI1" s="204"/>
      <c r="NKJ1" s="204"/>
      <c r="NKK1" s="204"/>
      <c r="NKL1" s="204"/>
      <c r="NKM1" s="204"/>
      <c r="NKN1" s="204"/>
      <c r="NKO1" s="204"/>
      <c r="NKP1" s="204"/>
      <c r="NKQ1" s="204"/>
      <c r="NKR1" s="204"/>
      <c r="NKS1" s="204"/>
      <c r="NKT1" s="204"/>
      <c r="NKU1" s="204"/>
      <c r="NKV1" s="204"/>
      <c r="NKW1" s="204"/>
      <c r="NKX1" s="205"/>
      <c r="NKY1" s="204"/>
      <c r="NKZ1" s="204"/>
      <c r="NLA1" s="204"/>
      <c r="NLB1" s="204"/>
      <c r="NLC1" s="204"/>
      <c r="NLD1" s="204"/>
      <c r="NLE1" s="204"/>
      <c r="NLF1" s="204"/>
      <c r="NLG1" s="204"/>
      <c r="NLH1" s="204"/>
      <c r="NLI1" s="204"/>
      <c r="NLJ1" s="204"/>
      <c r="NLK1" s="204"/>
      <c r="NLL1" s="204"/>
      <c r="NLM1" s="204"/>
      <c r="NLN1" s="204"/>
      <c r="NLO1" s="204"/>
      <c r="NLP1" s="204"/>
      <c r="NLQ1" s="204"/>
      <c r="NLR1" s="204"/>
      <c r="NLS1" s="204"/>
      <c r="NLT1" s="204"/>
      <c r="NLU1" s="204"/>
      <c r="NLV1" s="204"/>
      <c r="NLW1" s="204"/>
      <c r="NLX1" s="204"/>
      <c r="NLY1" s="204"/>
      <c r="NLZ1" s="205"/>
      <c r="NMA1" s="204"/>
      <c r="NMB1" s="204"/>
      <c r="NMC1" s="204"/>
      <c r="NMD1" s="204"/>
      <c r="NME1" s="204"/>
      <c r="NMF1" s="204"/>
      <c r="NMG1" s="204"/>
      <c r="NMH1" s="204"/>
      <c r="NMI1" s="204"/>
      <c r="NMJ1" s="204"/>
      <c r="NMK1" s="204"/>
      <c r="NML1" s="204"/>
      <c r="NMM1" s="204"/>
      <c r="NMN1" s="204"/>
      <c r="NMO1" s="204"/>
      <c r="NMP1" s="204"/>
      <c r="NMQ1" s="204"/>
      <c r="NMR1" s="204"/>
      <c r="NMS1" s="204"/>
      <c r="NMT1" s="204"/>
      <c r="NMU1" s="204"/>
      <c r="NMV1" s="204"/>
      <c r="NMW1" s="204"/>
      <c r="NMX1" s="204"/>
      <c r="NMY1" s="204"/>
      <c r="NMZ1" s="204"/>
      <c r="NNA1" s="204"/>
      <c r="NNB1" s="205"/>
      <c r="NNC1" s="204"/>
      <c r="NND1" s="204"/>
      <c r="NNE1" s="204"/>
      <c r="NNF1" s="204"/>
      <c r="NNG1" s="204"/>
      <c r="NNH1" s="204"/>
      <c r="NNI1" s="204"/>
      <c r="NNJ1" s="204"/>
      <c r="NNK1" s="204"/>
      <c r="NNL1" s="204"/>
      <c r="NNM1" s="204"/>
      <c r="NNN1" s="204"/>
      <c r="NNO1" s="204"/>
      <c r="NNP1" s="204"/>
      <c r="NNQ1" s="204"/>
      <c r="NNR1" s="204"/>
      <c r="NNS1" s="204"/>
      <c r="NNT1" s="204"/>
      <c r="NNU1" s="204"/>
      <c r="NNV1" s="204"/>
      <c r="NNW1" s="204"/>
      <c r="NNX1" s="204"/>
      <c r="NNY1" s="204"/>
      <c r="NNZ1" s="204"/>
      <c r="NOA1" s="204"/>
      <c r="NOB1" s="204"/>
      <c r="NOC1" s="204"/>
      <c r="NOD1" s="205"/>
      <c r="NOE1" s="204"/>
      <c r="NOF1" s="204"/>
      <c r="NOG1" s="204"/>
      <c r="NOH1" s="204"/>
      <c r="NOI1" s="204"/>
      <c r="NOJ1" s="204"/>
      <c r="NOK1" s="204"/>
      <c r="NOL1" s="204"/>
      <c r="NOM1" s="204"/>
      <c r="NON1" s="204"/>
      <c r="NOO1" s="204"/>
      <c r="NOP1" s="204"/>
      <c r="NOQ1" s="204"/>
      <c r="NOR1" s="204"/>
      <c r="NOS1" s="204"/>
      <c r="NOT1" s="204"/>
      <c r="NOU1" s="204"/>
      <c r="NOV1" s="204"/>
      <c r="NOW1" s="204"/>
      <c r="NOX1" s="204"/>
      <c r="NOY1" s="204"/>
      <c r="NOZ1" s="204"/>
      <c r="NPA1" s="204"/>
      <c r="NPB1" s="204"/>
      <c r="NPC1" s="204"/>
      <c r="NPD1" s="204"/>
      <c r="NPE1" s="204"/>
      <c r="NPF1" s="205"/>
      <c r="NPG1" s="204"/>
      <c r="NPH1" s="204"/>
      <c r="NPI1" s="204"/>
      <c r="NPJ1" s="204"/>
      <c r="NPK1" s="204"/>
      <c r="NPL1" s="204"/>
      <c r="NPM1" s="204"/>
      <c r="NPN1" s="204"/>
      <c r="NPO1" s="204"/>
      <c r="NPP1" s="204"/>
      <c r="NPQ1" s="204"/>
      <c r="NPR1" s="204"/>
      <c r="NPS1" s="204"/>
      <c r="NPT1" s="204"/>
      <c r="NPU1" s="204"/>
      <c r="NPV1" s="204"/>
      <c r="NPW1" s="204"/>
      <c r="NPX1" s="204"/>
      <c r="NPY1" s="204"/>
      <c r="NPZ1" s="204"/>
      <c r="NQA1" s="204"/>
      <c r="NQB1" s="204"/>
      <c r="NQC1" s="204"/>
      <c r="NQD1" s="204"/>
      <c r="NQE1" s="204"/>
      <c r="NQF1" s="204"/>
      <c r="NQG1" s="204"/>
      <c r="NQH1" s="205"/>
      <c r="NQI1" s="204"/>
      <c r="NQJ1" s="204"/>
      <c r="NQK1" s="204"/>
      <c r="NQL1" s="204"/>
      <c r="NQM1" s="204"/>
      <c r="NQN1" s="204"/>
      <c r="NQO1" s="204"/>
      <c r="NQP1" s="204"/>
      <c r="NQQ1" s="204"/>
      <c r="NQR1" s="204"/>
      <c r="NQS1" s="204"/>
      <c r="NQT1" s="204"/>
      <c r="NQU1" s="204"/>
      <c r="NQV1" s="204"/>
      <c r="NQW1" s="204"/>
      <c r="NQX1" s="204"/>
      <c r="NQY1" s="204"/>
      <c r="NQZ1" s="204"/>
      <c r="NRA1" s="204"/>
      <c r="NRB1" s="204"/>
      <c r="NRC1" s="204"/>
      <c r="NRD1" s="204"/>
      <c r="NRE1" s="204"/>
      <c r="NRF1" s="204"/>
      <c r="NRG1" s="204"/>
      <c r="NRH1" s="204"/>
      <c r="NRI1" s="204"/>
      <c r="NRJ1" s="205"/>
      <c r="NRK1" s="204"/>
      <c r="NRL1" s="204"/>
      <c r="NRM1" s="204"/>
      <c r="NRN1" s="204"/>
      <c r="NRO1" s="204"/>
      <c r="NRP1" s="204"/>
      <c r="NRQ1" s="204"/>
      <c r="NRR1" s="204"/>
      <c r="NRS1" s="204"/>
      <c r="NRT1" s="204"/>
      <c r="NRU1" s="204"/>
      <c r="NRV1" s="204"/>
      <c r="NRW1" s="204"/>
      <c r="NRX1" s="204"/>
      <c r="NRY1" s="204"/>
      <c r="NRZ1" s="204"/>
      <c r="NSA1" s="204"/>
      <c r="NSB1" s="204"/>
      <c r="NSC1" s="204"/>
      <c r="NSD1" s="204"/>
      <c r="NSE1" s="204"/>
      <c r="NSF1" s="204"/>
      <c r="NSG1" s="204"/>
      <c r="NSH1" s="204"/>
      <c r="NSI1" s="204"/>
      <c r="NSJ1" s="204"/>
      <c r="NSK1" s="204"/>
      <c r="NSL1" s="205"/>
      <c r="NSM1" s="204"/>
      <c r="NSN1" s="204"/>
      <c r="NSO1" s="204"/>
      <c r="NSP1" s="204"/>
      <c r="NSQ1" s="204"/>
      <c r="NSR1" s="204"/>
      <c r="NSS1" s="204"/>
      <c r="NST1" s="204"/>
      <c r="NSU1" s="204"/>
      <c r="NSV1" s="204"/>
      <c r="NSW1" s="204"/>
      <c r="NSX1" s="204"/>
      <c r="NSY1" s="204"/>
      <c r="NSZ1" s="204"/>
      <c r="NTA1" s="204"/>
      <c r="NTB1" s="204"/>
      <c r="NTC1" s="204"/>
      <c r="NTD1" s="204"/>
      <c r="NTE1" s="204"/>
      <c r="NTF1" s="204"/>
      <c r="NTG1" s="204"/>
      <c r="NTH1" s="204"/>
      <c r="NTI1" s="204"/>
      <c r="NTJ1" s="204"/>
      <c r="NTK1" s="204"/>
      <c r="NTL1" s="204"/>
      <c r="NTM1" s="204"/>
      <c r="NTN1" s="205"/>
      <c r="NTO1" s="204"/>
      <c r="NTP1" s="204"/>
      <c r="NTQ1" s="204"/>
      <c r="NTR1" s="204"/>
      <c r="NTS1" s="204"/>
      <c r="NTT1" s="204"/>
      <c r="NTU1" s="204"/>
      <c r="NTV1" s="204"/>
      <c r="NTW1" s="204"/>
      <c r="NTX1" s="204"/>
      <c r="NTY1" s="204"/>
      <c r="NTZ1" s="204"/>
      <c r="NUA1" s="204"/>
      <c r="NUB1" s="204"/>
      <c r="NUC1" s="204"/>
      <c r="NUD1" s="204"/>
      <c r="NUE1" s="204"/>
      <c r="NUF1" s="204"/>
      <c r="NUG1" s="204"/>
      <c r="NUH1" s="204"/>
      <c r="NUI1" s="204"/>
      <c r="NUJ1" s="204"/>
      <c r="NUK1" s="204"/>
      <c r="NUL1" s="204"/>
      <c r="NUM1" s="204"/>
      <c r="NUN1" s="204"/>
      <c r="NUO1" s="204"/>
      <c r="NUP1" s="205"/>
      <c r="NUQ1" s="204"/>
      <c r="NUR1" s="204"/>
      <c r="NUS1" s="204"/>
      <c r="NUT1" s="204"/>
      <c r="NUU1" s="204"/>
      <c r="NUV1" s="204"/>
      <c r="NUW1" s="204"/>
      <c r="NUX1" s="204"/>
      <c r="NUY1" s="204"/>
      <c r="NUZ1" s="204"/>
      <c r="NVA1" s="204"/>
      <c r="NVB1" s="204"/>
      <c r="NVC1" s="204"/>
      <c r="NVD1" s="204"/>
      <c r="NVE1" s="204"/>
      <c r="NVF1" s="204"/>
      <c r="NVG1" s="204"/>
      <c r="NVH1" s="204"/>
      <c r="NVI1" s="204"/>
      <c r="NVJ1" s="204"/>
      <c r="NVK1" s="204"/>
      <c r="NVL1" s="204"/>
      <c r="NVM1" s="204"/>
      <c r="NVN1" s="204"/>
      <c r="NVO1" s="204"/>
      <c r="NVP1" s="204"/>
      <c r="NVQ1" s="204"/>
      <c r="NVR1" s="205"/>
      <c r="NVS1" s="204"/>
      <c r="NVT1" s="204"/>
      <c r="NVU1" s="204"/>
      <c r="NVV1" s="204"/>
      <c r="NVW1" s="204"/>
      <c r="NVX1" s="204"/>
      <c r="NVY1" s="204"/>
      <c r="NVZ1" s="204"/>
      <c r="NWA1" s="204"/>
      <c r="NWB1" s="204"/>
      <c r="NWC1" s="204"/>
      <c r="NWD1" s="204"/>
      <c r="NWE1" s="204"/>
      <c r="NWF1" s="204"/>
      <c r="NWG1" s="204"/>
      <c r="NWH1" s="204"/>
      <c r="NWI1" s="204"/>
      <c r="NWJ1" s="204"/>
      <c r="NWK1" s="204"/>
      <c r="NWL1" s="204"/>
      <c r="NWM1" s="204"/>
      <c r="NWN1" s="204"/>
      <c r="NWO1" s="204"/>
      <c r="NWP1" s="204"/>
      <c r="NWQ1" s="204"/>
      <c r="NWR1" s="204"/>
      <c r="NWS1" s="204"/>
      <c r="NWT1" s="205"/>
      <c r="NWU1" s="204"/>
      <c r="NWV1" s="204"/>
      <c r="NWW1" s="204"/>
      <c r="NWX1" s="204"/>
      <c r="NWY1" s="204"/>
      <c r="NWZ1" s="204"/>
      <c r="NXA1" s="204"/>
      <c r="NXB1" s="204"/>
      <c r="NXC1" s="204"/>
      <c r="NXD1" s="204"/>
      <c r="NXE1" s="204"/>
      <c r="NXF1" s="204"/>
      <c r="NXG1" s="204"/>
      <c r="NXH1" s="204"/>
      <c r="NXI1" s="204"/>
      <c r="NXJ1" s="204"/>
      <c r="NXK1" s="204"/>
      <c r="NXL1" s="204"/>
      <c r="NXM1" s="204"/>
      <c r="NXN1" s="204"/>
      <c r="NXO1" s="204"/>
      <c r="NXP1" s="204"/>
      <c r="NXQ1" s="204"/>
      <c r="NXR1" s="204"/>
      <c r="NXS1" s="204"/>
      <c r="NXT1" s="204"/>
      <c r="NXU1" s="204"/>
      <c r="NXV1" s="205"/>
      <c r="NXW1" s="204"/>
      <c r="NXX1" s="204"/>
      <c r="NXY1" s="204"/>
      <c r="NXZ1" s="204"/>
      <c r="NYA1" s="204"/>
      <c r="NYB1" s="204"/>
      <c r="NYC1" s="204"/>
      <c r="NYD1" s="204"/>
      <c r="NYE1" s="204"/>
      <c r="NYF1" s="204"/>
      <c r="NYG1" s="204"/>
      <c r="NYH1" s="204"/>
      <c r="NYI1" s="204"/>
      <c r="NYJ1" s="204"/>
      <c r="NYK1" s="204"/>
      <c r="NYL1" s="204"/>
      <c r="NYM1" s="204"/>
      <c r="NYN1" s="204"/>
      <c r="NYO1" s="204"/>
      <c r="NYP1" s="204"/>
      <c r="NYQ1" s="204"/>
      <c r="NYR1" s="204"/>
      <c r="NYS1" s="204"/>
      <c r="NYT1" s="204"/>
      <c r="NYU1" s="204"/>
      <c r="NYV1" s="204"/>
      <c r="NYW1" s="204"/>
      <c r="NYX1" s="205"/>
      <c r="NYY1" s="204"/>
      <c r="NYZ1" s="204"/>
      <c r="NZA1" s="204"/>
      <c r="NZB1" s="204"/>
      <c r="NZC1" s="204"/>
      <c r="NZD1" s="204"/>
      <c r="NZE1" s="204"/>
      <c r="NZF1" s="204"/>
      <c r="NZG1" s="204"/>
      <c r="NZH1" s="204"/>
      <c r="NZI1" s="204"/>
      <c r="NZJ1" s="204"/>
      <c r="NZK1" s="204"/>
      <c r="NZL1" s="204"/>
      <c r="NZM1" s="204"/>
      <c r="NZN1" s="204"/>
      <c r="NZO1" s="204"/>
      <c r="NZP1" s="204"/>
      <c r="NZQ1" s="204"/>
      <c r="NZR1" s="204"/>
      <c r="NZS1" s="204"/>
      <c r="NZT1" s="204"/>
      <c r="NZU1" s="204"/>
      <c r="NZV1" s="204"/>
      <c r="NZW1" s="204"/>
      <c r="NZX1" s="204"/>
      <c r="NZY1" s="204"/>
      <c r="NZZ1" s="205"/>
      <c r="OAA1" s="204"/>
      <c r="OAB1" s="204"/>
      <c r="OAC1" s="204"/>
      <c r="OAD1" s="204"/>
      <c r="OAE1" s="204"/>
      <c r="OAF1" s="204"/>
      <c r="OAG1" s="204"/>
      <c r="OAH1" s="204"/>
      <c r="OAI1" s="204"/>
      <c r="OAJ1" s="204"/>
      <c r="OAK1" s="204"/>
      <c r="OAL1" s="204"/>
      <c r="OAM1" s="204"/>
      <c r="OAN1" s="204"/>
      <c r="OAO1" s="204"/>
      <c r="OAP1" s="204"/>
      <c r="OAQ1" s="204"/>
      <c r="OAR1" s="204"/>
      <c r="OAS1" s="204"/>
      <c r="OAT1" s="204"/>
      <c r="OAU1" s="204"/>
      <c r="OAV1" s="204"/>
      <c r="OAW1" s="204"/>
      <c r="OAX1" s="204"/>
      <c r="OAY1" s="204"/>
      <c r="OAZ1" s="204"/>
      <c r="OBA1" s="204"/>
      <c r="OBB1" s="205"/>
      <c r="OBC1" s="204"/>
      <c r="OBD1" s="204"/>
      <c r="OBE1" s="204"/>
      <c r="OBF1" s="204"/>
      <c r="OBG1" s="204"/>
      <c r="OBH1" s="204"/>
      <c r="OBI1" s="204"/>
      <c r="OBJ1" s="204"/>
      <c r="OBK1" s="204"/>
      <c r="OBL1" s="204"/>
      <c r="OBM1" s="204"/>
      <c r="OBN1" s="204"/>
      <c r="OBO1" s="204"/>
      <c r="OBP1" s="204"/>
      <c r="OBQ1" s="204"/>
      <c r="OBR1" s="204"/>
      <c r="OBS1" s="204"/>
      <c r="OBT1" s="204"/>
      <c r="OBU1" s="204"/>
      <c r="OBV1" s="204"/>
      <c r="OBW1" s="204"/>
      <c r="OBX1" s="204"/>
      <c r="OBY1" s="204"/>
      <c r="OBZ1" s="204"/>
      <c r="OCA1" s="204"/>
      <c r="OCB1" s="204"/>
      <c r="OCC1" s="204"/>
      <c r="OCD1" s="205"/>
      <c r="OCE1" s="204"/>
      <c r="OCF1" s="204"/>
      <c r="OCG1" s="204"/>
      <c r="OCH1" s="204"/>
      <c r="OCI1" s="204"/>
      <c r="OCJ1" s="204"/>
      <c r="OCK1" s="204"/>
      <c r="OCL1" s="204"/>
      <c r="OCM1" s="204"/>
      <c r="OCN1" s="204"/>
      <c r="OCO1" s="204"/>
      <c r="OCP1" s="204"/>
      <c r="OCQ1" s="204"/>
      <c r="OCR1" s="204"/>
      <c r="OCS1" s="204"/>
      <c r="OCT1" s="204"/>
      <c r="OCU1" s="204"/>
      <c r="OCV1" s="204"/>
      <c r="OCW1" s="204"/>
      <c r="OCX1" s="204"/>
      <c r="OCY1" s="204"/>
      <c r="OCZ1" s="204"/>
      <c r="ODA1" s="204"/>
      <c r="ODB1" s="204"/>
      <c r="ODC1" s="204"/>
      <c r="ODD1" s="204"/>
      <c r="ODE1" s="204"/>
      <c r="ODF1" s="205"/>
      <c r="ODG1" s="204"/>
      <c r="ODH1" s="204"/>
      <c r="ODI1" s="204"/>
      <c r="ODJ1" s="204"/>
      <c r="ODK1" s="204"/>
      <c r="ODL1" s="204"/>
      <c r="ODM1" s="204"/>
      <c r="ODN1" s="204"/>
      <c r="ODO1" s="204"/>
      <c r="ODP1" s="204"/>
      <c r="ODQ1" s="204"/>
      <c r="ODR1" s="204"/>
      <c r="ODS1" s="204"/>
      <c r="ODT1" s="204"/>
      <c r="ODU1" s="204"/>
      <c r="ODV1" s="204"/>
      <c r="ODW1" s="204"/>
      <c r="ODX1" s="204"/>
      <c r="ODY1" s="204"/>
      <c r="ODZ1" s="204"/>
      <c r="OEA1" s="204"/>
      <c r="OEB1" s="204"/>
      <c r="OEC1" s="204"/>
      <c r="OED1" s="204"/>
      <c r="OEE1" s="204"/>
      <c r="OEF1" s="204"/>
      <c r="OEG1" s="204"/>
      <c r="OEH1" s="205"/>
      <c r="OEI1" s="204"/>
      <c r="OEJ1" s="204"/>
      <c r="OEK1" s="204"/>
      <c r="OEL1" s="204"/>
      <c r="OEM1" s="204"/>
      <c r="OEN1" s="204"/>
      <c r="OEO1" s="204"/>
      <c r="OEP1" s="204"/>
      <c r="OEQ1" s="204"/>
      <c r="OER1" s="204"/>
      <c r="OES1" s="204"/>
      <c r="OET1" s="204"/>
      <c r="OEU1" s="204"/>
      <c r="OEV1" s="204"/>
      <c r="OEW1" s="204"/>
      <c r="OEX1" s="204"/>
      <c r="OEY1" s="204"/>
      <c r="OEZ1" s="204"/>
      <c r="OFA1" s="204"/>
      <c r="OFB1" s="204"/>
      <c r="OFC1" s="204"/>
      <c r="OFD1" s="204"/>
      <c r="OFE1" s="204"/>
      <c r="OFF1" s="204"/>
      <c r="OFG1" s="204"/>
      <c r="OFH1" s="204"/>
      <c r="OFI1" s="204"/>
      <c r="OFJ1" s="205"/>
      <c r="OFK1" s="204"/>
      <c r="OFL1" s="204"/>
      <c r="OFM1" s="204"/>
      <c r="OFN1" s="204"/>
      <c r="OFO1" s="204"/>
      <c r="OFP1" s="204"/>
      <c r="OFQ1" s="204"/>
      <c r="OFR1" s="204"/>
      <c r="OFS1" s="204"/>
      <c r="OFT1" s="204"/>
      <c r="OFU1" s="204"/>
      <c r="OFV1" s="204"/>
      <c r="OFW1" s="204"/>
      <c r="OFX1" s="204"/>
      <c r="OFY1" s="204"/>
      <c r="OFZ1" s="204"/>
      <c r="OGA1" s="204"/>
      <c r="OGB1" s="204"/>
      <c r="OGC1" s="204"/>
      <c r="OGD1" s="204"/>
      <c r="OGE1" s="204"/>
      <c r="OGF1" s="204"/>
      <c r="OGG1" s="204"/>
      <c r="OGH1" s="204"/>
      <c r="OGI1" s="204"/>
      <c r="OGJ1" s="204"/>
      <c r="OGK1" s="204"/>
      <c r="OGL1" s="205"/>
      <c r="OGM1" s="204"/>
      <c r="OGN1" s="204"/>
      <c r="OGO1" s="204"/>
      <c r="OGP1" s="204"/>
      <c r="OGQ1" s="204"/>
      <c r="OGR1" s="204"/>
      <c r="OGS1" s="204"/>
      <c r="OGT1" s="204"/>
      <c r="OGU1" s="204"/>
      <c r="OGV1" s="204"/>
      <c r="OGW1" s="204"/>
      <c r="OGX1" s="204"/>
      <c r="OGY1" s="204"/>
      <c r="OGZ1" s="204"/>
      <c r="OHA1" s="204"/>
      <c r="OHB1" s="204"/>
      <c r="OHC1" s="204"/>
      <c r="OHD1" s="204"/>
      <c r="OHE1" s="204"/>
      <c r="OHF1" s="204"/>
      <c r="OHG1" s="204"/>
      <c r="OHH1" s="204"/>
      <c r="OHI1" s="204"/>
      <c r="OHJ1" s="204"/>
      <c r="OHK1" s="204"/>
      <c r="OHL1" s="204"/>
      <c r="OHM1" s="204"/>
      <c r="OHN1" s="205"/>
      <c r="OHO1" s="204"/>
      <c r="OHP1" s="204"/>
      <c r="OHQ1" s="204"/>
      <c r="OHR1" s="204"/>
      <c r="OHS1" s="204"/>
      <c r="OHT1" s="204"/>
      <c r="OHU1" s="204"/>
      <c r="OHV1" s="204"/>
      <c r="OHW1" s="204"/>
      <c r="OHX1" s="204"/>
      <c r="OHY1" s="204"/>
      <c r="OHZ1" s="204"/>
      <c r="OIA1" s="204"/>
      <c r="OIB1" s="204"/>
      <c r="OIC1" s="204"/>
      <c r="OID1" s="204"/>
      <c r="OIE1" s="204"/>
      <c r="OIF1" s="204"/>
      <c r="OIG1" s="204"/>
      <c r="OIH1" s="204"/>
      <c r="OII1" s="204"/>
      <c r="OIJ1" s="204"/>
      <c r="OIK1" s="204"/>
      <c r="OIL1" s="204"/>
      <c r="OIM1" s="204"/>
      <c r="OIN1" s="204"/>
      <c r="OIO1" s="204"/>
      <c r="OIP1" s="205"/>
      <c r="OIQ1" s="204"/>
      <c r="OIR1" s="204"/>
      <c r="OIS1" s="204"/>
      <c r="OIT1" s="204"/>
      <c r="OIU1" s="204"/>
      <c r="OIV1" s="204"/>
      <c r="OIW1" s="204"/>
      <c r="OIX1" s="204"/>
      <c r="OIY1" s="204"/>
      <c r="OIZ1" s="204"/>
      <c r="OJA1" s="204"/>
      <c r="OJB1" s="204"/>
      <c r="OJC1" s="204"/>
      <c r="OJD1" s="204"/>
      <c r="OJE1" s="204"/>
      <c r="OJF1" s="204"/>
      <c r="OJG1" s="204"/>
      <c r="OJH1" s="204"/>
      <c r="OJI1" s="204"/>
      <c r="OJJ1" s="204"/>
      <c r="OJK1" s="204"/>
      <c r="OJL1" s="204"/>
      <c r="OJM1" s="204"/>
      <c r="OJN1" s="204"/>
      <c r="OJO1" s="204"/>
      <c r="OJP1" s="204"/>
      <c r="OJQ1" s="204"/>
      <c r="OJR1" s="205"/>
      <c r="OJS1" s="204"/>
      <c r="OJT1" s="204"/>
      <c r="OJU1" s="204"/>
      <c r="OJV1" s="204"/>
      <c r="OJW1" s="204"/>
      <c r="OJX1" s="204"/>
      <c r="OJY1" s="204"/>
      <c r="OJZ1" s="204"/>
      <c r="OKA1" s="204"/>
      <c r="OKB1" s="204"/>
      <c r="OKC1" s="204"/>
      <c r="OKD1" s="204"/>
      <c r="OKE1" s="204"/>
      <c r="OKF1" s="204"/>
      <c r="OKG1" s="204"/>
      <c r="OKH1" s="204"/>
      <c r="OKI1" s="204"/>
      <c r="OKJ1" s="204"/>
      <c r="OKK1" s="204"/>
      <c r="OKL1" s="204"/>
      <c r="OKM1" s="204"/>
      <c r="OKN1" s="204"/>
      <c r="OKO1" s="204"/>
      <c r="OKP1" s="204"/>
      <c r="OKQ1" s="204"/>
      <c r="OKR1" s="204"/>
      <c r="OKS1" s="204"/>
      <c r="OKT1" s="205"/>
      <c r="OKU1" s="204"/>
      <c r="OKV1" s="204"/>
      <c r="OKW1" s="204"/>
      <c r="OKX1" s="204"/>
      <c r="OKY1" s="204"/>
      <c r="OKZ1" s="204"/>
      <c r="OLA1" s="204"/>
      <c r="OLB1" s="204"/>
      <c r="OLC1" s="204"/>
      <c r="OLD1" s="204"/>
      <c r="OLE1" s="204"/>
      <c r="OLF1" s="204"/>
      <c r="OLG1" s="204"/>
      <c r="OLH1" s="204"/>
      <c r="OLI1" s="204"/>
      <c r="OLJ1" s="204"/>
      <c r="OLK1" s="204"/>
      <c r="OLL1" s="204"/>
      <c r="OLM1" s="204"/>
      <c r="OLN1" s="204"/>
      <c r="OLO1" s="204"/>
      <c r="OLP1" s="204"/>
      <c r="OLQ1" s="204"/>
      <c r="OLR1" s="204"/>
      <c r="OLS1" s="204"/>
      <c r="OLT1" s="204"/>
      <c r="OLU1" s="204"/>
      <c r="OLV1" s="205"/>
      <c r="OLW1" s="204"/>
      <c r="OLX1" s="204"/>
      <c r="OLY1" s="204"/>
      <c r="OLZ1" s="204"/>
      <c r="OMA1" s="204"/>
      <c r="OMB1" s="204"/>
      <c r="OMC1" s="204"/>
      <c r="OMD1" s="204"/>
      <c r="OME1" s="204"/>
      <c r="OMF1" s="204"/>
      <c r="OMG1" s="204"/>
      <c r="OMH1" s="204"/>
      <c r="OMI1" s="204"/>
      <c r="OMJ1" s="204"/>
      <c r="OMK1" s="204"/>
      <c r="OML1" s="204"/>
      <c r="OMM1" s="204"/>
      <c r="OMN1" s="204"/>
      <c r="OMO1" s="204"/>
      <c r="OMP1" s="204"/>
      <c r="OMQ1" s="204"/>
      <c r="OMR1" s="204"/>
      <c r="OMS1" s="204"/>
      <c r="OMT1" s="204"/>
      <c r="OMU1" s="204"/>
      <c r="OMV1" s="204"/>
      <c r="OMW1" s="204"/>
      <c r="OMX1" s="205"/>
      <c r="OMY1" s="204"/>
      <c r="OMZ1" s="204"/>
      <c r="ONA1" s="204"/>
      <c r="ONB1" s="204"/>
      <c r="ONC1" s="204"/>
      <c r="OND1" s="204"/>
      <c r="ONE1" s="204"/>
      <c r="ONF1" s="204"/>
      <c r="ONG1" s="204"/>
      <c r="ONH1" s="204"/>
      <c r="ONI1" s="204"/>
      <c r="ONJ1" s="204"/>
      <c r="ONK1" s="204"/>
      <c r="ONL1" s="204"/>
      <c r="ONM1" s="204"/>
      <c r="ONN1" s="204"/>
      <c r="ONO1" s="204"/>
      <c r="ONP1" s="204"/>
      <c r="ONQ1" s="204"/>
      <c r="ONR1" s="204"/>
      <c r="ONS1" s="204"/>
      <c r="ONT1" s="204"/>
      <c r="ONU1" s="204"/>
      <c r="ONV1" s="204"/>
      <c r="ONW1" s="204"/>
      <c r="ONX1" s="204"/>
      <c r="ONY1" s="204"/>
      <c r="ONZ1" s="205"/>
      <c r="OOA1" s="204"/>
      <c r="OOB1" s="204"/>
      <c r="OOC1" s="204"/>
      <c r="OOD1" s="204"/>
      <c r="OOE1" s="204"/>
      <c r="OOF1" s="204"/>
      <c r="OOG1" s="204"/>
      <c r="OOH1" s="204"/>
      <c r="OOI1" s="204"/>
      <c r="OOJ1" s="204"/>
      <c r="OOK1" s="204"/>
      <c r="OOL1" s="204"/>
      <c r="OOM1" s="204"/>
      <c r="OON1" s="204"/>
      <c r="OOO1" s="204"/>
      <c r="OOP1" s="204"/>
      <c r="OOQ1" s="204"/>
      <c r="OOR1" s="204"/>
      <c r="OOS1" s="204"/>
      <c r="OOT1" s="204"/>
      <c r="OOU1" s="204"/>
      <c r="OOV1" s="204"/>
      <c r="OOW1" s="204"/>
      <c r="OOX1" s="204"/>
      <c r="OOY1" s="204"/>
      <c r="OOZ1" s="204"/>
      <c r="OPA1" s="204"/>
      <c r="OPB1" s="205"/>
      <c r="OPC1" s="204"/>
      <c r="OPD1" s="204"/>
      <c r="OPE1" s="204"/>
      <c r="OPF1" s="204"/>
      <c r="OPG1" s="204"/>
      <c r="OPH1" s="204"/>
      <c r="OPI1" s="204"/>
      <c r="OPJ1" s="204"/>
      <c r="OPK1" s="204"/>
      <c r="OPL1" s="204"/>
      <c r="OPM1" s="204"/>
      <c r="OPN1" s="204"/>
      <c r="OPO1" s="204"/>
      <c r="OPP1" s="204"/>
      <c r="OPQ1" s="204"/>
      <c r="OPR1" s="204"/>
      <c r="OPS1" s="204"/>
      <c r="OPT1" s="204"/>
      <c r="OPU1" s="204"/>
      <c r="OPV1" s="204"/>
      <c r="OPW1" s="204"/>
      <c r="OPX1" s="204"/>
      <c r="OPY1" s="204"/>
      <c r="OPZ1" s="204"/>
      <c r="OQA1" s="204"/>
      <c r="OQB1" s="204"/>
      <c r="OQC1" s="204"/>
      <c r="OQD1" s="205"/>
      <c r="OQE1" s="204"/>
      <c r="OQF1" s="204"/>
      <c r="OQG1" s="204"/>
      <c r="OQH1" s="204"/>
      <c r="OQI1" s="204"/>
      <c r="OQJ1" s="204"/>
      <c r="OQK1" s="204"/>
      <c r="OQL1" s="204"/>
      <c r="OQM1" s="204"/>
      <c r="OQN1" s="204"/>
      <c r="OQO1" s="204"/>
      <c r="OQP1" s="204"/>
      <c r="OQQ1" s="204"/>
      <c r="OQR1" s="204"/>
      <c r="OQS1" s="204"/>
      <c r="OQT1" s="204"/>
      <c r="OQU1" s="204"/>
      <c r="OQV1" s="204"/>
      <c r="OQW1" s="204"/>
      <c r="OQX1" s="204"/>
      <c r="OQY1" s="204"/>
      <c r="OQZ1" s="204"/>
      <c r="ORA1" s="204"/>
      <c r="ORB1" s="204"/>
      <c r="ORC1" s="204"/>
      <c r="ORD1" s="204"/>
      <c r="ORE1" s="204"/>
      <c r="ORF1" s="205"/>
      <c r="ORG1" s="204"/>
      <c r="ORH1" s="204"/>
      <c r="ORI1" s="204"/>
      <c r="ORJ1" s="204"/>
      <c r="ORK1" s="204"/>
      <c r="ORL1" s="204"/>
      <c r="ORM1" s="204"/>
      <c r="ORN1" s="204"/>
      <c r="ORO1" s="204"/>
      <c r="ORP1" s="204"/>
      <c r="ORQ1" s="204"/>
      <c r="ORR1" s="204"/>
      <c r="ORS1" s="204"/>
      <c r="ORT1" s="204"/>
      <c r="ORU1" s="204"/>
      <c r="ORV1" s="204"/>
      <c r="ORW1" s="204"/>
      <c r="ORX1" s="204"/>
      <c r="ORY1" s="204"/>
      <c r="ORZ1" s="204"/>
      <c r="OSA1" s="204"/>
      <c r="OSB1" s="204"/>
      <c r="OSC1" s="204"/>
      <c r="OSD1" s="204"/>
      <c r="OSE1" s="204"/>
      <c r="OSF1" s="204"/>
      <c r="OSG1" s="204"/>
      <c r="OSH1" s="205"/>
      <c r="OSI1" s="204"/>
      <c r="OSJ1" s="204"/>
      <c r="OSK1" s="204"/>
      <c r="OSL1" s="204"/>
      <c r="OSM1" s="204"/>
      <c r="OSN1" s="204"/>
      <c r="OSO1" s="204"/>
      <c r="OSP1" s="204"/>
      <c r="OSQ1" s="204"/>
      <c r="OSR1" s="204"/>
      <c r="OSS1" s="204"/>
      <c r="OST1" s="204"/>
      <c r="OSU1" s="204"/>
      <c r="OSV1" s="204"/>
      <c r="OSW1" s="204"/>
      <c r="OSX1" s="204"/>
      <c r="OSY1" s="204"/>
      <c r="OSZ1" s="204"/>
      <c r="OTA1" s="204"/>
      <c r="OTB1" s="204"/>
      <c r="OTC1" s="204"/>
      <c r="OTD1" s="204"/>
      <c r="OTE1" s="204"/>
      <c r="OTF1" s="204"/>
      <c r="OTG1" s="204"/>
      <c r="OTH1" s="204"/>
      <c r="OTI1" s="204"/>
      <c r="OTJ1" s="205"/>
      <c r="OTK1" s="204"/>
      <c r="OTL1" s="204"/>
      <c r="OTM1" s="204"/>
      <c r="OTN1" s="204"/>
      <c r="OTO1" s="204"/>
      <c r="OTP1" s="204"/>
      <c r="OTQ1" s="204"/>
      <c r="OTR1" s="204"/>
      <c r="OTS1" s="204"/>
      <c r="OTT1" s="204"/>
      <c r="OTU1" s="204"/>
      <c r="OTV1" s="204"/>
      <c r="OTW1" s="204"/>
      <c r="OTX1" s="204"/>
      <c r="OTY1" s="204"/>
      <c r="OTZ1" s="204"/>
      <c r="OUA1" s="204"/>
      <c r="OUB1" s="204"/>
      <c r="OUC1" s="204"/>
      <c r="OUD1" s="204"/>
      <c r="OUE1" s="204"/>
      <c r="OUF1" s="204"/>
      <c r="OUG1" s="204"/>
      <c r="OUH1" s="204"/>
      <c r="OUI1" s="204"/>
      <c r="OUJ1" s="204"/>
      <c r="OUK1" s="204"/>
      <c r="OUL1" s="205"/>
      <c r="OUM1" s="204"/>
      <c r="OUN1" s="204"/>
      <c r="OUO1" s="204"/>
      <c r="OUP1" s="204"/>
      <c r="OUQ1" s="204"/>
      <c r="OUR1" s="204"/>
      <c r="OUS1" s="204"/>
      <c r="OUT1" s="204"/>
      <c r="OUU1" s="204"/>
      <c r="OUV1" s="204"/>
      <c r="OUW1" s="204"/>
      <c r="OUX1" s="204"/>
      <c r="OUY1" s="204"/>
      <c r="OUZ1" s="204"/>
      <c r="OVA1" s="204"/>
      <c r="OVB1" s="204"/>
      <c r="OVC1" s="204"/>
      <c r="OVD1" s="204"/>
      <c r="OVE1" s="204"/>
      <c r="OVF1" s="204"/>
      <c r="OVG1" s="204"/>
      <c r="OVH1" s="204"/>
      <c r="OVI1" s="204"/>
      <c r="OVJ1" s="204"/>
      <c r="OVK1" s="204"/>
      <c r="OVL1" s="204"/>
      <c r="OVM1" s="204"/>
      <c r="OVN1" s="205"/>
      <c r="OVO1" s="204"/>
      <c r="OVP1" s="204"/>
      <c r="OVQ1" s="204"/>
      <c r="OVR1" s="204"/>
      <c r="OVS1" s="204"/>
      <c r="OVT1" s="204"/>
      <c r="OVU1" s="204"/>
      <c r="OVV1" s="204"/>
      <c r="OVW1" s="204"/>
      <c r="OVX1" s="204"/>
      <c r="OVY1" s="204"/>
      <c r="OVZ1" s="204"/>
      <c r="OWA1" s="204"/>
      <c r="OWB1" s="204"/>
      <c r="OWC1" s="204"/>
      <c r="OWD1" s="204"/>
      <c r="OWE1" s="204"/>
      <c r="OWF1" s="204"/>
      <c r="OWG1" s="204"/>
      <c r="OWH1" s="204"/>
      <c r="OWI1" s="204"/>
      <c r="OWJ1" s="204"/>
      <c r="OWK1" s="204"/>
      <c r="OWL1" s="204"/>
      <c r="OWM1" s="204"/>
      <c r="OWN1" s="204"/>
      <c r="OWO1" s="204"/>
      <c r="OWP1" s="205"/>
      <c r="OWQ1" s="204"/>
      <c r="OWR1" s="204"/>
      <c r="OWS1" s="204"/>
      <c r="OWT1" s="204"/>
      <c r="OWU1" s="204"/>
      <c r="OWV1" s="204"/>
      <c r="OWW1" s="204"/>
      <c r="OWX1" s="204"/>
      <c r="OWY1" s="204"/>
      <c r="OWZ1" s="204"/>
      <c r="OXA1" s="204"/>
      <c r="OXB1" s="204"/>
      <c r="OXC1" s="204"/>
      <c r="OXD1" s="204"/>
      <c r="OXE1" s="204"/>
      <c r="OXF1" s="204"/>
      <c r="OXG1" s="204"/>
      <c r="OXH1" s="204"/>
      <c r="OXI1" s="204"/>
      <c r="OXJ1" s="204"/>
      <c r="OXK1" s="204"/>
      <c r="OXL1" s="204"/>
      <c r="OXM1" s="204"/>
      <c r="OXN1" s="204"/>
      <c r="OXO1" s="204"/>
      <c r="OXP1" s="204"/>
      <c r="OXQ1" s="204"/>
      <c r="OXR1" s="205"/>
      <c r="OXS1" s="204"/>
      <c r="OXT1" s="204"/>
      <c r="OXU1" s="204"/>
      <c r="OXV1" s="204"/>
      <c r="OXW1" s="204"/>
      <c r="OXX1" s="204"/>
      <c r="OXY1" s="204"/>
      <c r="OXZ1" s="204"/>
      <c r="OYA1" s="204"/>
      <c r="OYB1" s="204"/>
      <c r="OYC1" s="204"/>
      <c r="OYD1" s="204"/>
      <c r="OYE1" s="204"/>
      <c r="OYF1" s="204"/>
      <c r="OYG1" s="204"/>
      <c r="OYH1" s="204"/>
      <c r="OYI1" s="204"/>
      <c r="OYJ1" s="204"/>
      <c r="OYK1" s="204"/>
      <c r="OYL1" s="204"/>
      <c r="OYM1" s="204"/>
      <c r="OYN1" s="204"/>
      <c r="OYO1" s="204"/>
      <c r="OYP1" s="204"/>
      <c r="OYQ1" s="204"/>
      <c r="OYR1" s="204"/>
      <c r="OYS1" s="204"/>
      <c r="OYT1" s="205"/>
      <c r="OYU1" s="204"/>
      <c r="OYV1" s="204"/>
      <c r="OYW1" s="204"/>
      <c r="OYX1" s="204"/>
      <c r="OYY1" s="204"/>
      <c r="OYZ1" s="204"/>
      <c r="OZA1" s="204"/>
      <c r="OZB1" s="204"/>
      <c r="OZC1" s="204"/>
      <c r="OZD1" s="204"/>
      <c r="OZE1" s="204"/>
      <c r="OZF1" s="204"/>
      <c r="OZG1" s="204"/>
      <c r="OZH1" s="204"/>
      <c r="OZI1" s="204"/>
      <c r="OZJ1" s="204"/>
      <c r="OZK1" s="204"/>
      <c r="OZL1" s="204"/>
      <c r="OZM1" s="204"/>
      <c r="OZN1" s="204"/>
      <c r="OZO1" s="204"/>
      <c r="OZP1" s="204"/>
      <c r="OZQ1" s="204"/>
      <c r="OZR1" s="204"/>
      <c r="OZS1" s="204"/>
      <c r="OZT1" s="204"/>
      <c r="OZU1" s="204"/>
      <c r="OZV1" s="205"/>
      <c r="OZW1" s="204"/>
      <c r="OZX1" s="204"/>
      <c r="OZY1" s="204"/>
      <c r="OZZ1" s="204"/>
      <c r="PAA1" s="204"/>
      <c r="PAB1" s="204"/>
      <c r="PAC1" s="204"/>
      <c r="PAD1" s="204"/>
      <c r="PAE1" s="204"/>
      <c r="PAF1" s="204"/>
      <c r="PAG1" s="204"/>
      <c r="PAH1" s="204"/>
      <c r="PAI1" s="204"/>
      <c r="PAJ1" s="204"/>
      <c r="PAK1" s="204"/>
      <c r="PAL1" s="204"/>
      <c r="PAM1" s="204"/>
      <c r="PAN1" s="204"/>
      <c r="PAO1" s="204"/>
      <c r="PAP1" s="204"/>
      <c r="PAQ1" s="204"/>
      <c r="PAR1" s="204"/>
      <c r="PAS1" s="204"/>
      <c r="PAT1" s="204"/>
      <c r="PAU1" s="204"/>
      <c r="PAV1" s="204"/>
      <c r="PAW1" s="204"/>
      <c r="PAX1" s="205"/>
      <c r="PAY1" s="204"/>
      <c r="PAZ1" s="204"/>
      <c r="PBA1" s="204"/>
      <c r="PBB1" s="204"/>
      <c r="PBC1" s="204"/>
      <c r="PBD1" s="204"/>
      <c r="PBE1" s="204"/>
      <c r="PBF1" s="204"/>
      <c r="PBG1" s="204"/>
      <c r="PBH1" s="204"/>
      <c r="PBI1" s="204"/>
      <c r="PBJ1" s="204"/>
      <c r="PBK1" s="204"/>
      <c r="PBL1" s="204"/>
      <c r="PBM1" s="204"/>
      <c r="PBN1" s="204"/>
      <c r="PBO1" s="204"/>
      <c r="PBP1" s="204"/>
      <c r="PBQ1" s="204"/>
      <c r="PBR1" s="204"/>
      <c r="PBS1" s="204"/>
      <c r="PBT1" s="204"/>
      <c r="PBU1" s="204"/>
      <c r="PBV1" s="204"/>
      <c r="PBW1" s="204"/>
      <c r="PBX1" s="204"/>
      <c r="PBY1" s="204"/>
      <c r="PBZ1" s="205"/>
      <c r="PCA1" s="204"/>
      <c r="PCB1" s="204"/>
      <c r="PCC1" s="204"/>
      <c r="PCD1" s="204"/>
      <c r="PCE1" s="204"/>
      <c r="PCF1" s="204"/>
      <c r="PCG1" s="204"/>
      <c r="PCH1" s="204"/>
      <c r="PCI1" s="204"/>
      <c r="PCJ1" s="204"/>
      <c r="PCK1" s="204"/>
      <c r="PCL1" s="204"/>
      <c r="PCM1" s="204"/>
      <c r="PCN1" s="204"/>
      <c r="PCO1" s="204"/>
      <c r="PCP1" s="204"/>
      <c r="PCQ1" s="204"/>
      <c r="PCR1" s="204"/>
      <c r="PCS1" s="204"/>
      <c r="PCT1" s="204"/>
      <c r="PCU1" s="204"/>
      <c r="PCV1" s="204"/>
      <c r="PCW1" s="204"/>
      <c r="PCX1" s="204"/>
      <c r="PCY1" s="204"/>
      <c r="PCZ1" s="204"/>
      <c r="PDA1" s="204"/>
      <c r="PDB1" s="205"/>
      <c r="PDC1" s="204"/>
      <c r="PDD1" s="204"/>
      <c r="PDE1" s="204"/>
      <c r="PDF1" s="204"/>
      <c r="PDG1" s="204"/>
      <c r="PDH1" s="204"/>
      <c r="PDI1" s="204"/>
      <c r="PDJ1" s="204"/>
      <c r="PDK1" s="204"/>
      <c r="PDL1" s="204"/>
      <c r="PDM1" s="204"/>
      <c r="PDN1" s="204"/>
      <c r="PDO1" s="204"/>
      <c r="PDP1" s="204"/>
      <c r="PDQ1" s="204"/>
      <c r="PDR1" s="204"/>
      <c r="PDS1" s="204"/>
      <c r="PDT1" s="204"/>
      <c r="PDU1" s="204"/>
      <c r="PDV1" s="204"/>
      <c r="PDW1" s="204"/>
      <c r="PDX1" s="204"/>
      <c r="PDY1" s="204"/>
      <c r="PDZ1" s="204"/>
      <c r="PEA1" s="204"/>
      <c r="PEB1" s="204"/>
      <c r="PEC1" s="204"/>
      <c r="PED1" s="205"/>
      <c r="PEE1" s="204"/>
      <c r="PEF1" s="204"/>
      <c r="PEG1" s="204"/>
      <c r="PEH1" s="204"/>
      <c r="PEI1" s="204"/>
      <c r="PEJ1" s="204"/>
      <c r="PEK1" s="204"/>
      <c r="PEL1" s="204"/>
      <c r="PEM1" s="204"/>
      <c r="PEN1" s="204"/>
      <c r="PEO1" s="204"/>
      <c r="PEP1" s="204"/>
      <c r="PEQ1" s="204"/>
      <c r="PER1" s="204"/>
      <c r="PES1" s="204"/>
      <c r="PET1" s="204"/>
      <c r="PEU1" s="204"/>
      <c r="PEV1" s="204"/>
      <c r="PEW1" s="204"/>
      <c r="PEX1" s="204"/>
      <c r="PEY1" s="204"/>
      <c r="PEZ1" s="204"/>
      <c r="PFA1" s="204"/>
      <c r="PFB1" s="204"/>
      <c r="PFC1" s="204"/>
      <c r="PFD1" s="204"/>
      <c r="PFE1" s="204"/>
      <c r="PFF1" s="205"/>
      <c r="PFG1" s="204"/>
      <c r="PFH1" s="204"/>
      <c r="PFI1" s="204"/>
      <c r="PFJ1" s="204"/>
      <c r="PFK1" s="204"/>
      <c r="PFL1" s="204"/>
      <c r="PFM1" s="204"/>
      <c r="PFN1" s="204"/>
      <c r="PFO1" s="204"/>
      <c r="PFP1" s="204"/>
      <c r="PFQ1" s="204"/>
      <c r="PFR1" s="204"/>
      <c r="PFS1" s="204"/>
      <c r="PFT1" s="204"/>
      <c r="PFU1" s="204"/>
      <c r="PFV1" s="204"/>
      <c r="PFW1" s="204"/>
      <c r="PFX1" s="204"/>
      <c r="PFY1" s="204"/>
      <c r="PFZ1" s="204"/>
      <c r="PGA1" s="204"/>
      <c r="PGB1" s="204"/>
      <c r="PGC1" s="204"/>
      <c r="PGD1" s="204"/>
      <c r="PGE1" s="204"/>
      <c r="PGF1" s="204"/>
      <c r="PGG1" s="204"/>
      <c r="PGH1" s="205"/>
      <c r="PGI1" s="204"/>
      <c r="PGJ1" s="204"/>
      <c r="PGK1" s="204"/>
      <c r="PGL1" s="204"/>
      <c r="PGM1" s="204"/>
      <c r="PGN1" s="204"/>
      <c r="PGO1" s="204"/>
      <c r="PGP1" s="204"/>
      <c r="PGQ1" s="204"/>
      <c r="PGR1" s="204"/>
      <c r="PGS1" s="204"/>
      <c r="PGT1" s="204"/>
      <c r="PGU1" s="204"/>
      <c r="PGV1" s="204"/>
      <c r="PGW1" s="204"/>
      <c r="PGX1" s="204"/>
      <c r="PGY1" s="204"/>
      <c r="PGZ1" s="204"/>
      <c r="PHA1" s="204"/>
      <c r="PHB1" s="204"/>
      <c r="PHC1" s="204"/>
      <c r="PHD1" s="204"/>
      <c r="PHE1" s="204"/>
      <c r="PHF1" s="204"/>
      <c r="PHG1" s="204"/>
      <c r="PHH1" s="204"/>
      <c r="PHI1" s="204"/>
      <c r="PHJ1" s="205"/>
      <c r="PHK1" s="204"/>
      <c r="PHL1" s="204"/>
      <c r="PHM1" s="204"/>
      <c r="PHN1" s="204"/>
      <c r="PHO1" s="204"/>
      <c r="PHP1" s="204"/>
      <c r="PHQ1" s="204"/>
      <c r="PHR1" s="204"/>
      <c r="PHS1" s="204"/>
      <c r="PHT1" s="204"/>
      <c r="PHU1" s="204"/>
      <c r="PHV1" s="204"/>
      <c r="PHW1" s="204"/>
      <c r="PHX1" s="204"/>
      <c r="PHY1" s="204"/>
      <c r="PHZ1" s="204"/>
      <c r="PIA1" s="204"/>
      <c r="PIB1" s="204"/>
      <c r="PIC1" s="204"/>
      <c r="PID1" s="204"/>
      <c r="PIE1" s="204"/>
      <c r="PIF1" s="204"/>
      <c r="PIG1" s="204"/>
      <c r="PIH1" s="204"/>
      <c r="PII1" s="204"/>
      <c r="PIJ1" s="204"/>
      <c r="PIK1" s="204"/>
      <c r="PIL1" s="205"/>
      <c r="PIM1" s="204"/>
      <c r="PIN1" s="204"/>
      <c r="PIO1" s="204"/>
      <c r="PIP1" s="204"/>
      <c r="PIQ1" s="204"/>
      <c r="PIR1" s="204"/>
      <c r="PIS1" s="204"/>
      <c r="PIT1" s="204"/>
      <c r="PIU1" s="204"/>
      <c r="PIV1" s="204"/>
      <c r="PIW1" s="204"/>
      <c r="PIX1" s="204"/>
      <c r="PIY1" s="204"/>
      <c r="PIZ1" s="204"/>
      <c r="PJA1" s="204"/>
      <c r="PJB1" s="204"/>
      <c r="PJC1" s="204"/>
      <c r="PJD1" s="204"/>
      <c r="PJE1" s="204"/>
      <c r="PJF1" s="204"/>
      <c r="PJG1" s="204"/>
      <c r="PJH1" s="204"/>
      <c r="PJI1" s="204"/>
      <c r="PJJ1" s="204"/>
      <c r="PJK1" s="204"/>
      <c r="PJL1" s="204"/>
      <c r="PJM1" s="204"/>
      <c r="PJN1" s="205"/>
      <c r="PJO1" s="204"/>
      <c r="PJP1" s="204"/>
      <c r="PJQ1" s="204"/>
      <c r="PJR1" s="204"/>
      <c r="PJS1" s="204"/>
      <c r="PJT1" s="204"/>
      <c r="PJU1" s="204"/>
      <c r="PJV1" s="204"/>
      <c r="PJW1" s="204"/>
      <c r="PJX1" s="204"/>
      <c r="PJY1" s="204"/>
      <c r="PJZ1" s="204"/>
      <c r="PKA1" s="204"/>
      <c r="PKB1" s="204"/>
      <c r="PKC1" s="204"/>
      <c r="PKD1" s="204"/>
      <c r="PKE1" s="204"/>
      <c r="PKF1" s="204"/>
      <c r="PKG1" s="204"/>
      <c r="PKH1" s="204"/>
      <c r="PKI1" s="204"/>
      <c r="PKJ1" s="204"/>
      <c r="PKK1" s="204"/>
      <c r="PKL1" s="204"/>
      <c r="PKM1" s="204"/>
      <c r="PKN1" s="204"/>
      <c r="PKO1" s="204"/>
      <c r="PKP1" s="205"/>
      <c r="PKQ1" s="204"/>
      <c r="PKR1" s="204"/>
      <c r="PKS1" s="204"/>
      <c r="PKT1" s="204"/>
      <c r="PKU1" s="204"/>
      <c r="PKV1" s="204"/>
      <c r="PKW1" s="204"/>
      <c r="PKX1" s="204"/>
      <c r="PKY1" s="204"/>
      <c r="PKZ1" s="204"/>
      <c r="PLA1" s="204"/>
      <c r="PLB1" s="204"/>
      <c r="PLC1" s="204"/>
      <c r="PLD1" s="204"/>
      <c r="PLE1" s="204"/>
      <c r="PLF1" s="204"/>
      <c r="PLG1" s="204"/>
      <c r="PLH1" s="204"/>
      <c r="PLI1" s="204"/>
      <c r="PLJ1" s="204"/>
      <c r="PLK1" s="204"/>
      <c r="PLL1" s="204"/>
      <c r="PLM1" s="204"/>
      <c r="PLN1" s="204"/>
      <c r="PLO1" s="204"/>
      <c r="PLP1" s="204"/>
      <c r="PLQ1" s="204"/>
      <c r="PLR1" s="205"/>
      <c r="PLS1" s="204"/>
      <c r="PLT1" s="204"/>
      <c r="PLU1" s="204"/>
      <c r="PLV1" s="204"/>
      <c r="PLW1" s="204"/>
      <c r="PLX1" s="204"/>
      <c r="PLY1" s="204"/>
      <c r="PLZ1" s="204"/>
      <c r="PMA1" s="204"/>
      <c r="PMB1" s="204"/>
      <c r="PMC1" s="204"/>
      <c r="PMD1" s="204"/>
      <c r="PME1" s="204"/>
      <c r="PMF1" s="204"/>
      <c r="PMG1" s="204"/>
      <c r="PMH1" s="204"/>
      <c r="PMI1" s="204"/>
      <c r="PMJ1" s="204"/>
      <c r="PMK1" s="204"/>
      <c r="PML1" s="204"/>
      <c r="PMM1" s="204"/>
      <c r="PMN1" s="204"/>
      <c r="PMO1" s="204"/>
      <c r="PMP1" s="204"/>
      <c r="PMQ1" s="204"/>
      <c r="PMR1" s="204"/>
      <c r="PMS1" s="204"/>
      <c r="PMT1" s="205"/>
      <c r="PMU1" s="204"/>
      <c r="PMV1" s="204"/>
      <c r="PMW1" s="204"/>
      <c r="PMX1" s="204"/>
      <c r="PMY1" s="204"/>
      <c r="PMZ1" s="204"/>
      <c r="PNA1" s="204"/>
      <c r="PNB1" s="204"/>
      <c r="PNC1" s="204"/>
      <c r="PND1" s="204"/>
      <c r="PNE1" s="204"/>
      <c r="PNF1" s="204"/>
      <c r="PNG1" s="204"/>
      <c r="PNH1" s="204"/>
      <c r="PNI1" s="204"/>
      <c r="PNJ1" s="204"/>
      <c r="PNK1" s="204"/>
      <c r="PNL1" s="204"/>
      <c r="PNM1" s="204"/>
      <c r="PNN1" s="204"/>
      <c r="PNO1" s="204"/>
      <c r="PNP1" s="204"/>
      <c r="PNQ1" s="204"/>
      <c r="PNR1" s="204"/>
      <c r="PNS1" s="204"/>
      <c r="PNT1" s="204"/>
      <c r="PNU1" s="204"/>
      <c r="PNV1" s="205"/>
      <c r="PNW1" s="204"/>
      <c r="PNX1" s="204"/>
      <c r="PNY1" s="204"/>
      <c r="PNZ1" s="204"/>
      <c r="POA1" s="204"/>
      <c r="POB1" s="204"/>
      <c r="POC1" s="204"/>
      <c r="POD1" s="204"/>
      <c r="POE1" s="204"/>
      <c r="POF1" s="204"/>
      <c r="POG1" s="204"/>
      <c r="POH1" s="204"/>
      <c r="POI1" s="204"/>
      <c r="POJ1" s="204"/>
      <c r="POK1" s="204"/>
      <c r="POL1" s="204"/>
      <c r="POM1" s="204"/>
      <c r="PON1" s="204"/>
      <c r="POO1" s="204"/>
      <c r="POP1" s="204"/>
      <c r="POQ1" s="204"/>
      <c r="POR1" s="204"/>
      <c r="POS1" s="204"/>
      <c r="POT1" s="204"/>
      <c r="POU1" s="204"/>
      <c r="POV1" s="204"/>
      <c r="POW1" s="204"/>
      <c r="POX1" s="205"/>
      <c r="POY1" s="204"/>
      <c r="POZ1" s="204"/>
      <c r="PPA1" s="204"/>
      <c r="PPB1" s="204"/>
      <c r="PPC1" s="204"/>
      <c r="PPD1" s="204"/>
      <c r="PPE1" s="204"/>
      <c r="PPF1" s="204"/>
      <c r="PPG1" s="204"/>
      <c r="PPH1" s="204"/>
      <c r="PPI1" s="204"/>
      <c r="PPJ1" s="204"/>
      <c r="PPK1" s="204"/>
      <c r="PPL1" s="204"/>
      <c r="PPM1" s="204"/>
      <c r="PPN1" s="204"/>
      <c r="PPO1" s="204"/>
      <c r="PPP1" s="204"/>
      <c r="PPQ1" s="204"/>
      <c r="PPR1" s="204"/>
      <c r="PPS1" s="204"/>
      <c r="PPT1" s="204"/>
      <c r="PPU1" s="204"/>
      <c r="PPV1" s="204"/>
      <c r="PPW1" s="204"/>
      <c r="PPX1" s="204"/>
      <c r="PPY1" s="204"/>
      <c r="PPZ1" s="205"/>
      <c r="PQA1" s="204"/>
      <c r="PQB1" s="204"/>
      <c r="PQC1" s="204"/>
      <c r="PQD1" s="204"/>
      <c r="PQE1" s="204"/>
      <c r="PQF1" s="204"/>
      <c r="PQG1" s="204"/>
      <c r="PQH1" s="204"/>
      <c r="PQI1" s="204"/>
      <c r="PQJ1" s="204"/>
      <c r="PQK1" s="204"/>
      <c r="PQL1" s="204"/>
      <c r="PQM1" s="204"/>
      <c r="PQN1" s="204"/>
      <c r="PQO1" s="204"/>
      <c r="PQP1" s="204"/>
      <c r="PQQ1" s="204"/>
      <c r="PQR1" s="204"/>
      <c r="PQS1" s="204"/>
      <c r="PQT1" s="204"/>
      <c r="PQU1" s="204"/>
      <c r="PQV1" s="204"/>
      <c r="PQW1" s="204"/>
      <c r="PQX1" s="204"/>
      <c r="PQY1" s="204"/>
      <c r="PQZ1" s="204"/>
      <c r="PRA1" s="204"/>
      <c r="PRB1" s="205"/>
      <c r="PRC1" s="204"/>
      <c r="PRD1" s="204"/>
      <c r="PRE1" s="204"/>
      <c r="PRF1" s="204"/>
      <c r="PRG1" s="204"/>
      <c r="PRH1" s="204"/>
      <c r="PRI1" s="204"/>
      <c r="PRJ1" s="204"/>
      <c r="PRK1" s="204"/>
      <c r="PRL1" s="204"/>
      <c r="PRM1" s="204"/>
      <c r="PRN1" s="204"/>
      <c r="PRO1" s="204"/>
      <c r="PRP1" s="204"/>
      <c r="PRQ1" s="204"/>
      <c r="PRR1" s="204"/>
      <c r="PRS1" s="204"/>
      <c r="PRT1" s="204"/>
      <c r="PRU1" s="204"/>
      <c r="PRV1" s="204"/>
      <c r="PRW1" s="204"/>
      <c r="PRX1" s="204"/>
      <c r="PRY1" s="204"/>
      <c r="PRZ1" s="204"/>
      <c r="PSA1" s="204"/>
      <c r="PSB1" s="204"/>
      <c r="PSC1" s="204"/>
      <c r="PSD1" s="205"/>
      <c r="PSE1" s="204"/>
      <c r="PSF1" s="204"/>
      <c r="PSG1" s="204"/>
      <c r="PSH1" s="204"/>
      <c r="PSI1" s="204"/>
      <c r="PSJ1" s="204"/>
      <c r="PSK1" s="204"/>
      <c r="PSL1" s="204"/>
      <c r="PSM1" s="204"/>
      <c r="PSN1" s="204"/>
      <c r="PSO1" s="204"/>
      <c r="PSP1" s="204"/>
      <c r="PSQ1" s="204"/>
      <c r="PSR1" s="204"/>
      <c r="PSS1" s="204"/>
      <c r="PST1" s="204"/>
      <c r="PSU1" s="204"/>
      <c r="PSV1" s="204"/>
      <c r="PSW1" s="204"/>
      <c r="PSX1" s="204"/>
      <c r="PSY1" s="204"/>
      <c r="PSZ1" s="204"/>
      <c r="PTA1" s="204"/>
      <c r="PTB1" s="204"/>
      <c r="PTC1" s="204"/>
      <c r="PTD1" s="204"/>
      <c r="PTE1" s="204"/>
      <c r="PTF1" s="205"/>
      <c r="PTG1" s="204"/>
      <c r="PTH1" s="204"/>
      <c r="PTI1" s="204"/>
      <c r="PTJ1" s="204"/>
      <c r="PTK1" s="204"/>
      <c r="PTL1" s="204"/>
      <c r="PTM1" s="204"/>
      <c r="PTN1" s="204"/>
      <c r="PTO1" s="204"/>
      <c r="PTP1" s="204"/>
      <c r="PTQ1" s="204"/>
      <c r="PTR1" s="204"/>
      <c r="PTS1" s="204"/>
      <c r="PTT1" s="204"/>
      <c r="PTU1" s="204"/>
      <c r="PTV1" s="204"/>
      <c r="PTW1" s="204"/>
      <c r="PTX1" s="204"/>
      <c r="PTY1" s="204"/>
      <c r="PTZ1" s="204"/>
      <c r="PUA1" s="204"/>
      <c r="PUB1" s="204"/>
      <c r="PUC1" s="204"/>
      <c r="PUD1" s="204"/>
      <c r="PUE1" s="204"/>
      <c r="PUF1" s="204"/>
      <c r="PUG1" s="204"/>
      <c r="PUH1" s="205"/>
      <c r="PUI1" s="204"/>
      <c r="PUJ1" s="204"/>
      <c r="PUK1" s="204"/>
      <c r="PUL1" s="204"/>
      <c r="PUM1" s="204"/>
      <c r="PUN1" s="204"/>
      <c r="PUO1" s="204"/>
      <c r="PUP1" s="204"/>
      <c r="PUQ1" s="204"/>
      <c r="PUR1" s="204"/>
      <c r="PUS1" s="204"/>
      <c r="PUT1" s="204"/>
      <c r="PUU1" s="204"/>
      <c r="PUV1" s="204"/>
      <c r="PUW1" s="204"/>
      <c r="PUX1" s="204"/>
      <c r="PUY1" s="204"/>
      <c r="PUZ1" s="204"/>
      <c r="PVA1" s="204"/>
      <c r="PVB1" s="204"/>
      <c r="PVC1" s="204"/>
      <c r="PVD1" s="204"/>
      <c r="PVE1" s="204"/>
      <c r="PVF1" s="204"/>
      <c r="PVG1" s="204"/>
      <c r="PVH1" s="204"/>
      <c r="PVI1" s="204"/>
      <c r="PVJ1" s="205"/>
      <c r="PVK1" s="204"/>
      <c r="PVL1" s="204"/>
      <c r="PVM1" s="204"/>
      <c r="PVN1" s="204"/>
      <c r="PVO1" s="204"/>
      <c r="PVP1" s="204"/>
      <c r="PVQ1" s="204"/>
      <c r="PVR1" s="204"/>
      <c r="PVS1" s="204"/>
      <c r="PVT1" s="204"/>
      <c r="PVU1" s="204"/>
      <c r="PVV1" s="204"/>
      <c r="PVW1" s="204"/>
      <c r="PVX1" s="204"/>
      <c r="PVY1" s="204"/>
      <c r="PVZ1" s="204"/>
      <c r="PWA1" s="204"/>
      <c r="PWB1" s="204"/>
      <c r="PWC1" s="204"/>
      <c r="PWD1" s="204"/>
      <c r="PWE1" s="204"/>
      <c r="PWF1" s="204"/>
      <c r="PWG1" s="204"/>
      <c r="PWH1" s="204"/>
      <c r="PWI1" s="204"/>
      <c r="PWJ1" s="204"/>
      <c r="PWK1" s="204"/>
      <c r="PWL1" s="205"/>
      <c r="PWM1" s="204"/>
      <c r="PWN1" s="204"/>
      <c r="PWO1" s="204"/>
      <c r="PWP1" s="204"/>
      <c r="PWQ1" s="204"/>
      <c r="PWR1" s="204"/>
      <c r="PWS1" s="204"/>
      <c r="PWT1" s="204"/>
      <c r="PWU1" s="204"/>
      <c r="PWV1" s="204"/>
      <c r="PWW1" s="204"/>
      <c r="PWX1" s="204"/>
      <c r="PWY1" s="204"/>
      <c r="PWZ1" s="204"/>
      <c r="PXA1" s="204"/>
      <c r="PXB1" s="204"/>
      <c r="PXC1" s="204"/>
      <c r="PXD1" s="204"/>
      <c r="PXE1" s="204"/>
      <c r="PXF1" s="204"/>
      <c r="PXG1" s="204"/>
      <c r="PXH1" s="204"/>
      <c r="PXI1" s="204"/>
      <c r="PXJ1" s="204"/>
      <c r="PXK1" s="204"/>
      <c r="PXL1" s="204"/>
      <c r="PXM1" s="204"/>
      <c r="PXN1" s="205"/>
      <c r="PXO1" s="204"/>
      <c r="PXP1" s="204"/>
      <c r="PXQ1" s="204"/>
      <c r="PXR1" s="204"/>
      <c r="PXS1" s="204"/>
      <c r="PXT1" s="204"/>
      <c r="PXU1" s="204"/>
      <c r="PXV1" s="204"/>
      <c r="PXW1" s="204"/>
      <c r="PXX1" s="204"/>
      <c r="PXY1" s="204"/>
      <c r="PXZ1" s="204"/>
      <c r="PYA1" s="204"/>
      <c r="PYB1" s="204"/>
      <c r="PYC1" s="204"/>
      <c r="PYD1" s="204"/>
      <c r="PYE1" s="204"/>
      <c r="PYF1" s="204"/>
      <c r="PYG1" s="204"/>
      <c r="PYH1" s="204"/>
      <c r="PYI1" s="204"/>
      <c r="PYJ1" s="204"/>
      <c r="PYK1" s="204"/>
      <c r="PYL1" s="204"/>
      <c r="PYM1" s="204"/>
      <c r="PYN1" s="204"/>
      <c r="PYO1" s="204"/>
      <c r="PYP1" s="205"/>
      <c r="PYQ1" s="204"/>
      <c r="PYR1" s="204"/>
      <c r="PYS1" s="204"/>
      <c r="PYT1" s="204"/>
      <c r="PYU1" s="204"/>
      <c r="PYV1" s="204"/>
      <c r="PYW1" s="204"/>
      <c r="PYX1" s="204"/>
      <c r="PYY1" s="204"/>
      <c r="PYZ1" s="204"/>
      <c r="PZA1" s="204"/>
      <c r="PZB1" s="204"/>
      <c r="PZC1" s="204"/>
      <c r="PZD1" s="204"/>
      <c r="PZE1" s="204"/>
      <c r="PZF1" s="204"/>
      <c r="PZG1" s="204"/>
      <c r="PZH1" s="204"/>
      <c r="PZI1" s="204"/>
      <c r="PZJ1" s="204"/>
      <c r="PZK1" s="204"/>
      <c r="PZL1" s="204"/>
      <c r="PZM1" s="204"/>
      <c r="PZN1" s="204"/>
      <c r="PZO1" s="204"/>
      <c r="PZP1" s="204"/>
      <c r="PZQ1" s="204"/>
      <c r="PZR1" s="205"/>
      <c r="PZS1" s="204"/>
      <c r="PZT1" s="204"/>
      <c r="PZU1" s="204"/>
      <c r="PZV1" s="204"/>
      <c r="PZW1" s="204"/>
      <c r="PZX1" s="204"/>
      <c r="PZY1" s="204"/>
      <c r="PZZ1" s="204"/>
      <c r="QAA1" s="204"/>
      <c r="QAB1" s="204"/>
      <c r="QAC1" s="204"/>
      <c r="QAD1" s="204"/>
      <c r="QAE1" s="204"/>
      <c r="QAF1" s="204"/>
      <c r="QAG1" s="204"/>
      <c r="QAH1" s="204"/>
      <c r="QAI1" s="204"/>
      <c r="QAJ1" s="204"/>
      <c r="QAK1" s="204"/>
      <c r="QAL1" s="204"/>
      <c r="QAM1" s="204"/>
      <c r="QAN1" s="204"/>
      <c r="QAO1" s="204"/>
      <c r="QAP1" s="204"/>
      <c r="QAQ1" s="204"/>
      <c r="QAR1" s="204"/>
      <c r="QAS1" s="204"/>
      <c r="QAT1" s="205"/>
      <c r="QAU1" s="204"/>
      <c r="QAV1" s="204"/>
      <c r="QAW1" s="204"/>
      <c r="QAX1" s="204"/>
      <c r="QAY1" s="204"/>
      <c r="QAZ1" s="204"/>
      <c r="QBA1" s="204"/>
      <c r="QBB1" s="204"/>
      <c r="QBC1" s="204"/>
      <c r="QBD1" s="204"/>
      <c r="QBE1" s="204"/>
      <c r="QBF1" s="204"/>
      <c r="QBG1" s="204"/>
      <c r="QBH1" s="204"/>
      <c r="QBI1" s="204"/>
      <c r="QBJ1" s="204"/>
      <c r="QBK1" s="204"/>
      <c r="QBL1" s="204"/>
      <c r="QBM1" s="204"/>
      <c r="QBN1" s="204"/>
      <c r="QBO1" s="204"/>
      <c r="QBP1" s="204"/>
      <c r="QBQ1" s="204"/>
      <c r="QBR1" s="204"/>
      <c r="QBS1" s="204"/>
      <c r="QBT1" s="204"/>
      <c r="QBU1" s="204"/>
      <c r="QBV1" s="205"/>
      <c r="QBW1" s="204"/>
      <c r="QBX1" s="204"/>
      <c r="QBY1" s="204"/>
      <c r="QBZ1" s="204"/>
      <c r="QCA1" s="204"/>
      <c r="QCB1" s="204"/>
      <c r="QCC1" s="204"/>
      <c r="QCD1" s="204"/>
      <c r="QCE1" s="204"/>
      <c r="QCF1" s="204"/>
      <c r="QCG1" s="204"/>
      <c r="QCH1" s="204"/>
      <c r="QCI1" s="204"/>
      <c r="QCJ1" s="204"/>
      <c r="QCK1" s="204"/>
      <c r="QCL1" s="204"/>
      <c r="QCM1" s="204"/>
      <c r="QCN1" s="204"/>
      <c r="QCO1" s="204"/>
      <c r="QCP1" s="204"/>
      <c r="QCQ1" s="204"/>
      <c r="QCR1" s="204"/>
      <c r="QCS1" s="204"/>
      <c r="QCT1" s="204"/>
      <c r="QCU1" s="204"/>
      <c r="QCV1" s="204"/>
      <c r="QCW1" s="204"/>
      <c r="QCX1" s="205"/>
      <c r="QCY1" s="204"/>
      <c r="QCZ1" s="204"/>
      <c r="QDA1" s="204"/>
      <c r="QDB1" s="204"/>
      <c r="QDC1" s="204"/>
      <c r="QDD1" s="204"/>
      <c r="QDE1" s="204"/>
      <c r="QDF1" s="204"/>
      <c r="QDG1" s="204"/>
      <c r="QDH1" s="204"/>
      <c r="QDI1" s="204"/>
      <c r="QDJ1" s="204"/>
      <c r="QDK1" s="204"/>
      <c r="QDL1" s="204"/>
      <c r="QDM1" s="204"/>
      <c r="QDN1" s="204"/>
      <c r="QDO1" s="204"/>
      <c r="QDP1" s="204"/>
      <c r="QDQ1" s="204"/>
      <c r="QDR1" s="204"/>
      <c r="QDS1" s="204"/>
      <c r="QDT1" s="204"/>
      <c r="QDU1" s="204"/>
      <c r="QDV1" s="204"/>
      <c r="QDW1" s="204"/>
      <c r="QDX1" s="204"/>
      <c r="QDY1" s="204"/>
      <c r="QDZ1" s="205"/>
      <c r="QEA1" s="204"/>
      <c r="QEB1" s="204"/>
      <c r="QEC1" s="204"/>
      <c r="QED1" s="204"/>
      <c r="QEE1" s="204"/>
      <c r="QEF1" s="204"/>
      <c r="QEG1" s="204"/>
      <c r="QEH1" s="204"/>
      <c r="QEI1" s="204"/>
      <c r="QEJ1" s="204"/>
      <c r="QEK1" s="204"/>
      <c r="QEL1" s="204"/>
      <c r="QEM1" s="204"/>
      <c r="QEN1" s="204"/>
      <c r="QEO1" s="204"/>
      <c r="QEP1" s="204"/>
      <c r="QEQ1" s="204"/>
      <c r="QER1" s="204"/>
      <c r="QES1" s="204"/>
      <c r="QET1" s="204"/>
      <c r="QEU1" s="204"/>
      <c r="QEV1" s="204"/>
      <c r="QEW1" s="204"/>
      <c r="QEX1" s="204"/>
      <c r="QEY1" s="204"/>
      <c r="QEZ1" s="204"/>
      <c r="QFA1" s="204"/>
      <c r="QFB1" s="205"/>
      <c r="QFC1" s="204"/>
      <c r="QFD1" s="204"/>
      <c r="QFE1" s="204"/>
      <c r="QFF1" s="204"/>
      <c r="QFG1" s="204"/>
      <c r="QFH1" s="204"/>
      <c r="QFI1" s="204"/>
      <c r="QFJ1" s="204"/>
      <c r="QFK1" s="204"/>
      <c r="QFL1" s="204"/>
      <c r="QFM1" s="204"/>
      <c r="QFN1" s="204"/>
      <c r="QFO1" s="204"/>
      <c r="QFP1" s="204"/>
      <c r="QFQ1" s="204"/>
      <c r="QFR1" s="204"/>
      <c r="QFS1" s="204"/>
      <c r="QFT1" s="204"/>
      <c r="QFU1" s="204"/>
      <c r="QFV1" s="204"/>
      <c r="QFW1" s="204"/>
      <c r="QFX1" s="204"/>
      <c r="QFY1" s="204"/>
      <c r="QFZ1" s="204"/>
      <c r="QGA1" s="204"/>
      <c r="QGB1" s="204"/>
      <c r="QGC1" s="204"/>
      <c r="QGD1" s="205"/>
      <c r="QGE1" s="204"/>
      <c r="QGF1" s="204"/>
      <c r="QGG1" s="204"/>
      <c r="QGH1" s="204"/>
      <c r="QGI1" s="204"/>
      <c r="QGJ1" s="204"/>
      <c r="QGK1" s="204"/>
      <c r="QGL1" s="204"/>
      <c r="QGM1" s="204"/>
      <c r="QGN1" s="204"/>
      <c r="QGO1" s="204"/>
      <c r="QGP1" s="204"/>
      <c r="QGQ1" s="204"/>
      <c r="QGR1" s="204"/>
      <c r="QGS1" s="204"/>
      <c r="QGT1" s="204"/>
      <c r="QGU1" s="204"/>
      <c r="QGV1" s="204"/>
      <c r="QGW1" s="204"/>
      <c r="QGX1" s="204"/>
      <c r="QGY1" s="204"/>
      <c r="QGZ1" s="204"/>
      <c r="QHA1" s="204"/>
      <c r="QHB1" s="204"/>
      <c r="QHC1" s="204"/>
      <c r="QHD1" s="204"/>
      <c r="QHE1" s="204"/>
      <c r="QHF1" s="205"/>
      <c r="QHG1" s="204"/>
      <c r="QHH1" s="204"/>
      <c r="QHI1" s="204"/>
      <c r="QHJ1" s="204"/>
      <c r="QHK1" s="204"/>
      <c r="QHL1" s="204"/>
      <c r="QHM1" s="204"/>
      <c r="QHN1" s="204"/>
      <c r="QHO1" s="204"/>
      <c r="QHP1" s="204"/>
      <c r="QHQ1" s="204"/>
      <c r="QHR1" s="204"/>
      <c r="QHS1" s="204"/>
      <c r="QHT1" s="204"/>
      <c r="QHU1" s="204"/>
      <c r="QHV1" s="204"/>
      <c r="QHW1" s="204"/>
      <c r="QHX1" s="204"/>
      <c r="QHY1" s="204"/>
      <c r="QHZ1" s="204"/>
      <c r="QIA1" s="204"/>
      <c r="QIB1" s="204"/>
      <c r="QIC1" s="204"/>
      <c r="QID1" s="204"/>
      <c r="QIE1" s="204"/>
      <c r="QIF1" s="204"/>
      <c r="QIG1" s="204"/>
      <c r="QIH1" s="205"/>
      <c r="QII1" s="204"/>
      <c r="QIJ1" s="204"/>
      <c r="QIK1" s="204"/>
      <c r="QIL1" s="204"/>
      <c r="QIM1" s="204"/>
      <c r="QIN1" s="204"/>
      <c r="QIO1" s="204"/>
      <c r="QIP1" s="204"/>
      <c r="QIQ1" s="204"/>
      <c r="QIR1" s="204"/>
      <c r="QIS1" s="204"/>
      <c r="QIT1" s="204"/>
      <c r="QIU1" s="204"/>
      <c r="QIV1" s="204"/>
      <c r="QIW1" s="204"/>
      <c r="QIX1" s="204"/>
      <c r="QIY1" s="204"/>
      <c r="QIZ1" s="204"/>
      <c r="QJA1" s="204"/>
      <c r="QJB1" s="204"/>
      <c r="QJC1" s="204"/>
      <c r="QJD1" s="204"/>
      <c r="QJE1" s="204"/>
      <c r="QJF1" s="204"/>
      <c r="QJG1" s="204"/>
      <c r="QJH1" s="204"/>
      <c r="QJI1" s="204"/>
      <c r="QJJ1" s="205"/>
      <c r="QJK1" s="204"/>
      <c r="QJL1" s="204"/>
      <c r="QJM1" s="204"/>
      <c r="QJN1" s="204"/>
      <c r="QJO1" s="204"/>
      <c r="QJP1" s="204"/>
      <c r="QJQ1" s="204"/>
      <c r="QJR1" s="204"/>
      <c r="QJS1" s="204"/>
      <c r="QJT1" s="204"/>
      <c r="QJU1" s="204"/>
      <c r="QJV1" s="204"/>
      <c r="QJW1" s="204"/>
      <c r="QJX1" s="204"/>
      <c r="QJY1" s="204"/>
      <c r="QJZ1" s="204"/>
      <c r="QKA1" s="204"/>
      <c r="QKB1" s="204"/>
      <c r="QKC1" s="204"/>
      <c r="QKD1" s="204"/>
      <c r="QKE1" s="204"/>
      <c r="QKF1" s="204"/>
      <c r="QKG1" s="204"/>
      <c r="QKH1" s="204"/>
      <c r="QKI1" s="204"/>
      <c r="QKJ1" s="204"/>
      <c r="QKK1" s="204"/>
      <c r="QKL1" s="205"/>
      <c r="QKM1" s="204"/>
      <c r="QKN1" s="204"/>
      <c r="QKO1" s="204"/>
      <c r="QKP1" s="204"/>
      <c r="QKQ1" s="204"/>
      <c r="QKR1" s="204"/>
      <c r="QKS1" s="204"/>
      <c r="QKT1" s="204"/>
      <c r="QKU1" s="204"/>
      <c r="QKV1" s="204"/>
      <c r="QKW1" s="204"/>
      <c r="QKX1" s="204"/>
      <c r="QKY1" s="204"/>
      <c r="QKZ1" s="204"/>
      <c r="QLA1" s="204"/>
      <c r="QLB1" s="204"/>
      <c r="QLC1" s="204"/>
      <c r="QLD1" s="204"/>
      <c r="QLE1" s="204"/>
      <c r="QLF1" s="204"/>
      <c r="QLG1" s="204"/>
      <c r="QLH1" s="204"/>
      <c r="QLI1" s="204"/>
      <c r="QLJ1" s="204"/>
      <c r="QLK1" s="204"/>
      <c r="QLL1" s="204"/>
      <c r="QLM1" s="204"/>
      <c r="QLN1" s="205"/>
      <c r="QLO1" s="204"/>
      <c r="QLP1" s="204"/>
      <c r="QLQ1" s="204"/>
      <c r="QLR1" s="204"/>
      <c r="QLS1" s="204"/>
      <c r="QLT1" s="204"/>
      <c r="QLU1" s="204"/>
      <c r="QLV1" s="204"/>
      <c r="QLW1" s="204"/>
      <c r="QLX1" s="204"/>
      <c r="QLY1" s="204"/>
      <c r="QLZ1" s="204"/>
      <c r="QMA1" s="204"/>
      <c r="QMB1" s="204"/>
      <c r="QMC1" s="204"/>
      <c r="QMD1" s="204"/>
      <c r="QME1" s="204"/>
      <c r="QMF1" s="204"/>
      <c r="QMG1" s="204"/>
      <c r="QMH1" s="204"/>
      <c r="QMI1" s="204"/>
      <c r="QMJ1" s="204"/>
      <c r="QMK1" s="204"/>
      <c r="QML1" s="204"/>
      <c r="QMM1" s="204"/>
      <c r="QMN1" s="204"/>
      <c r="QMO1" s="204"/>
      <c r="QMP1" s="205"/>
      <c r="QMQ1" s="204"/>
      <c r="QMR1" s="204"/>
      <c r="QMS1" s="204"/>
      <c r="QMT1" s="204"/>
      <c r="QMU1" s="204"/>
      <c r="QMV1" s="204"/>
      <c r="QMW1" s="204"/>
      <c r="QMX1" s="204"/>
      <c r="QMY1" s="204"/>
      <c r="QMZ1" s="204"/>
      <c r="QNA1" s="204"/>
      <c r="QNB1" s="204"/>
      <c r="QNC1" s="204"/>
      <c r="QND1" s="204"/>
      <c r="QNE1" s="204"/>
      <c r="QNF1" s="204"/>
      <c r="QNG1" s="204"/>
      <c r="QNH1" s="204"/>
      <c r="QNI1" s="204"/>
      <c r="QNJ1" s="204"/>
      <c r="QNK1" s="204"/>
      <c r="QNL1" s="204"/>
      <c r="QNM1" s="204"/>
      <c r="QNN1" s="204"/>
      <c r="QNO1" s="204"/>
      <c r="QNP1" s="204"/>
      <c r="QNQ1" s="204"/>
      <c r="QNR1" s="205"/>
      <c r="QNS1" s="204"/>
      <c r="QNT1" s="204"/>
      <c r="QNU1" s="204"/>
      <c r="QNV1" s="204"/>
      <c r="QNW1" s="204"/>
      <c r="QNX1" s="204"/>
      <c r="QNY1" s="204"/>
      <c r="QNZ1" s="204"/>
      <c r="QOA1" s="204"/>
      <c r="QOB1" s="204"/>
      <c r="QOC1" s="204"/>
      <c r="QOD1" s="204"/>
      <c r="QOE1" s="204"/>
      <c r="QOF1" s="204"/>
      <c r="QOG1" s="204"/>
      <c r="QOH1" s="204"/>
      <c r="QOI1" s="204"/>
      <c r="QOJ1" s="204"/>
      <c r="QOK1" s="204"/>
      <c r="QOL1" s="204"/>
      <c r="QOM1" s="204"/>
      <c r="QON1" s="204"/>
      <c r="QOO1" s="204"/>
      <c r="QOP1" s="204"/>
      <c r="QOQ1" s="204"/>
      <c r="QOR1" s="204"/>
      <c r="QOS1" s="204"/>
      <c r="QOT1" s="205"/>
      <c r="QOU1" s="204"/>
      <c r="QOV1" s="204"/>
      <c r="QOW1" s="204"/>
      <c r="QOX1" s="204"/>
      <c r="QOY1" s="204"/>
      <c r="QOZ1" s="204"/>
      <c r="QPA1" s="204"/>
      <c r="QPB1" s="204"/>
      <c r="QPC1" s="204"/>
      <c r="QPD1" s="204"/>
      <c r="QPE1" s="204"/>
      <c r="QPF1" s="204"/>
      <c r="QPG1" s="204"/>
      <c r="QPH1" s="204"/>
      <c r="QPI1" s="204"/>
      <c r="QPJ1" s="204"/>
      <c r="QPK1" s="204"/>
      <c r="QPL1" s="204"/>
      <c r="QPM1" s="204"/>
      <c r="QPN1" s="204"/>
      <c r="QPO1" s="204"/>
      <c r="QPP1" s="204"/>
      <c r="QPQ1" s="204"/>
      <c r="QPR1" s="204"/>
      <c r="QPS1" s="204"/>
      <c r="QPT1" s="204"/>
      <c r="QPU1" s="204"/>
      <c r="QPV1" s="205"/>
      <c r="QPW1" s="204"/>
      <c r="QPX1" s="204"/>
      <c r="QPY1" s="204"/>
      <c r="QPZ1" s="204"/>
      <c r="QQA1" s="204"/>
      <c r="QQB1" s="204"/>
      <c r="QQC1" s="204"/>
      <c r="QQD1" s="204"/>
      <c r="QQE1" s="204"/>
      <c r="QQF1" s="204"/>
      <c r="QQG1" s="204"/>
      <c r="QQH1" s="204"/>
      <c r="QQI1" s="204"/>
      <c r="QQJ1" s="204"/>
      <c r="QQK1" s="204"/>
      <c r="QQL1" s="204"/>
      <c r="QQM1" s="204"/>
      <c r="QQN1" s="204"/>
      <c r="QQO1" s="204"/>
      <c r="QQP1" s="204"/>
      <c r="QQQ1" s="204"/>
      <c r="QQR1" s="204"/>
      <c r="QQS1" s="204"/>
      <c r="QQT1" s="204"/>
      <c r="QQU1" s="204"/>
      <c r="QQV1" s="204"/>
      <c r="QQW1" s="204"/>
      <c r="QQX1" s="205"/>
      <c r="QQY1" s="204"/>
      <c r="QQZ1" s="204"/>
      <c r="QRA1" s="204"/>
      <c r="QRB1" s="204"/>
      <c r="QRC1" s="204"/>
      <c r="QRD1" s="204"/>
      <c r="QRE1" s="204"/>
      <c r="QRF1" s="204"/>
      <c r="QRG1" s="204"/>
      <c r="QRH1" s="204"/>
      <c r="QRI1" s="204"/>
      <c r="QRJ1" s="204"/>
      <c r="QRK1" s="204"/>
      <c r="QRL1" s="204"/>
      <c r="QRM1" s="204"/>
      <c r="QRN1" s="204"/>
      <c r="QRO1" s="204"/>
      <c r="QRP1" s="204"/>
      <c r="QRQ1" s="204"/>
      <c r="QRR1" s="204"/>
      <c r="QRS1" s="204"/>
      <c r="QRT1" s="204"/>
      <c r="QRU1" s="204"/>
      <c r="QRV1" s="204"/>
      <c r="QRW1" s="204"/>
      <c r="QRX1" s="204"/>
      <c r="QRY1" s="204"/>
      <c r="QRZ1" s="205"/>
      <c r="QSA1" s="204"/>
      <c r="QSB1" s="204"/>
      <c r="QSC1" s="204"/>
      <c r="QSD1" s="204"/>
      <c r="QSE1" s="204"/>
      <c r="QSF1" s="204"/>
      <c r="QSG1" s="204"/>
      <c r="QSH1" s="204"/>
      <c r="QSI1" s="204"/>
      <c r="QSJ1" s="204"/>
      <c r="QSK1" s="204"/>
      <c r="QSL1" s="204"/>
      <c r="QSM1" s="204"/>
      <c r="QSN1" s="204"/>
      <c r="QSO1" s="204"/>
      <c r="QSP1" s="204"/>
      <c r="QSQ1" s="204"/>
      <c r="QSR1" s="204"/>
      <c r="QSS1" s="204"/>
      <c r="QST1" s="204"/>
      <c r="QSU1" s="204"/>
      <c r="QSV1" s="204"/>
      <c r="QSW1" s="204"/>
      <c r="QSX1" s="204"/>
      <c r="QSY1" s="204"/>
      <c r="QSZ1" s="204"/>
      <c r="QTA1" s="204"/>
      <c r="QTB1" s="205"/>
      <c r="QTC1" s="204"/>
      <c r="QTD1" s="204"/>
      <c r="QTE1" s="204"/>
      <c r="QTF1" s="204"/>
      <c r="QTG1" s="204"/>
      <c r="QTH1" s="204"/>
      <c r="QTI1" s="204"/>
      <c r="QTJ1" s="204"/>
      <c r="QTK1" s="204"/>
      <c r="QTL1" s="204"/>
      <c r="QTM1" s="204"/>
      <c r="QTN1" s="204"/>
      <c r="QTO1" s="204"/>
      <c r="QTP1" s="204"/>
      <c r="QTQ1" s="204"/>
      <c r="QTR1" s="204"/>
      <c r="QTS1" s="204"/>
      <c r="QTT1" s="204"/>
      <c r="QTU1" s="204"/>
      <c r="QTV1" s="204"/>
      <c r="QTW1" s="204"/>
      <c r="QTX1" s="204"/>
      <c r="QTY1" s="204"/>
      <c r="QTZ1" s="204"/>
      <c r="QUA1" s="204"/>
      <c r="QUB1" s="204"/>
      <c r="QUC1" s="204"/>
      <c r="QUD1" s="205"/>
      <c r="QUE1" s="204"/>
      <c r="QUF1" s="204"/>
      <c r="QUG1" s="204"/>
      <c r="QUH1" s="204"/>
      <c r="QUI1" s="204"/>
      <c r="QUJ1" s="204"/>
      <c r="QUK1" s="204"/>
      <c r="QUL1" s="204"/>
      <c r="QUM1" s="204"/>
      <c r="QUN1" s="204"/>
      <c r="QUO1" s="204"/>
      <c r="QUP1" s="204"/>
      <c r="QUQ1" s="204"/>
      <c r="QUR1" s="204"/>
      <c r="QUS1" s="204"/>
      <c r="QUT1" s="204"/>
      <c r="QUU1" s="204"/>
      <c r="QUV1" s="204"/>
      <c r="QUW1" s="204"/>
      <c r="QUX1" s="204"/>
      <c r="QUY1" s="204"/>
      <c r="QUZ1" s="204"/>
      <c r="QVA1" s="204"/>
      <c r="QVB1" s="204"/>
      <c r="QVC1" s="204"/>
      <c r="QVD1" s="204"/>
      <c r="QVE1" s="204"/>
      <c r="QVF1" s="205"/>
      <c r="QVG1" s="204"/>
      <c r="QVH1" s="204"/>
      <c r="QVI1" s="204"/>
      <c r="QVJ1" s="204"/>
      <c r="QVK1" s="204"/>
      <c r="QVL1" s="204"/>
      <c r="QVM1" s="204"/>
      <c r="QVN1" s="204"/>
      <c r="QVO1" s="204"/>
      <c r="QVP1" s="204"/>
      <c r="QVQ1" s="204"/>
      <c r="QVR1" s="204"/>
      <c r="QVS1" s="204"/>
      <c r="QVT1" s="204"/>
      <c r="QVU1" s="204"/>
      <c r="QVV1" s="204"/>
      <c r="QVW1" s="204"/>
      <c r="QVX1" s="204"/>
      <c r="QVY1" s="204"/>
      <c r="QVZ1" s="204"/>
      <c r="QWA1" s="204"/>
      <c r="QWB1" s="204"/>
      <c r="QWC1" s="204"/>
      <c r="QWD1" s="204"/>
      <c r="QWE1" s="204"/>
      <c r="QWF1" s="204"/>
      <c r="QWG1" s="204"/>
      <c r="QWH1" s="205"/>
      <c r="QWI1" s="204"/>
      <c r="QWJ1" s="204"/>
      <c r="QWK1" s="204"/>
      <c r="QWL1" s="204"/>
      <c r="QWM1" s="204"/>
      <c r="QWN1" s="204"/>
      <c r="QWO1" s="204"/>
      <c r="QWP1" s="204"/>
      <c r="QWQ1" s="204"/>
      <c r="QWR1" s="204"/>
      <c r="QWS1" s="204"/>
      <c r="QWT1" s="204"/>
      <c r="QWU1" s="204"/>
      <c r="QWV1" s="204"/>
      <c r="QWW1" s="204"/>
      <c r="QWX1" s="204"/>
      <c r="QWY1" s="204"/>
      <c r="QWZ1" s="204"/>
      <c r="QXA1" s="204"/>
      <c r="QXB1" s="204"/>
      <c r="QXC1" s="204"/>
      <c r="QXD1" s="204"/>
      <c r="QXE1" s="204"/>
      <c r="QXF1" s="204"/>
      <c r="QXG1" s="204"/>
      <c r="QXH1" s="204"/>
      <c r="QXI1" s="204"/>
      <c r="QXJ1" s="205"/>
      <c r="QXK1" s="204"/>
      <c r="QXL1" s="204"/>
      <c r="QXM1" s="204"/>
      <c r="QXN1" s="204"/>
      <c r="QXO1" s="204"/>
      <c r="QXP1" s="204"/>
      <c r="QXQ1" s="204"/>
      <c r="QXR1" s="204"/>
      <c r="QXS1" s="204"/>
      <c r="QXT1" s="204"/>
      <c r="QXU1" s="204"/>
      <c r="QXV1" s="204"/>
      <c r="QXW1" s="204"/>
      <c r="QXX1" s="204"/>
      <c r="QXY1" s="204"/>
      <c r="QXZ1" s="204"/>
      <c r="QYA1" s="204"/>
      <c r="QYB1" s="204"/>
      <c r="QYC1" s="204"/>
      <c r="QYD1" s="204"/>
      <c r="QYE1" s="204"/>
      <c r="QYF1" s="204"/>
      <c r="QYG1" s="204"/>
      <c r="QYH1" s="204"/>
      <c r="QYI1" s="204"/>
      <c r="QYJ1" s="204"/>
      <c r="QYK1" s="204"/>
      <c r="QYL1" s="205"/>
      <c r="QYM1" s="204"/>
      <c r="QYN1" s="204"/>
      <c r="QYO1" s="204"/>
      <c r="QYP1" s="204"/>
      <c r="QYQ1" s="204"/>
      <c r="QYR1" s="204"/>
      <c r="QYS1" s="204"/>
      <c r="QYT1" s="204"/>
      <c r="QYU1" s="204"/>
      <c r="QYV1" s="204"/>
      <c r="QYW1" s="204"/>
      <c r="QYX1" s="204"/>
      <c r="QYY1" s="204"/>
      <c r="QYZ1" s="204"/>
      <c r="QZA1" s="204"/>
      <c r="QZB1" s="204"/>
      <c r="QZC1" s="204"/>
      <c r="QZD1" s="204"/>
      <c r="QZE1" s="204"/>
      <c r="QZF1" s="204"/>
      <c r="QZG1" s="204"/>
      <c r="QZH1" s="204"/>
      <c r="QZI1" s="204"/>
      <c r="QZJ1" s="204"/>
      <c r="QZK1" s="204"/>
      <c r="QZL1" s="204"/>
      <c r="QZM1" s="204"/>
      <c r="QZN1" s="205"/>
      <c r="QZO1" s="204"/>
      <c r="QZP1" s="204"/>
      <c r="QZQ1" s="204"/>
      <c r="QZR1" s="204"/>
      <c r="QZS1" s="204"/>
      <c r="QZT1" s="204"/>
      <c r="QZU1" s="204"/>
      <c r="QZV1" s="204"/>
      <c r="QZW1" s="204"/>
      <c r="QZX1" s="204"/>
      <c r="QZY1" s="204"/>
      <c r="QZZ1" s="204"/>
      <c r="RAA1" s="204"/>
      <c r="RAB1" s="204"/>
      <c r="RAC1" s="204"/>
      <c r="RAD1" s="204"/>
      <c r="RAE1" s="204"/>
      <c r="RAF1" s="204"/>
      <c r="RAG1" s="204"/>
      <c r="RAH1" s="204"/>
      <c r="RAI1" s="204"/>
      <c r="RAJ1" s="204"/>
      <c r="RAK1" s="204"/>
      <c r="RAL1" s="204"/>
      <c r="RAM1" s="204"/>
      <c r="RAN1" s="204"/>
      <c r="RAO1" s="204"/>
      <c r="RAP1" s="205"/>
      <c r="RAQ1" s="204"/>
      <c r="RAR1" s="204"/>
      <c r="RAS1" s="204"/>
      <c r="RAT1" s="204"/>
      <c r="RAU1" s="204"/>
      <c r="RAV1" s="204"/>
      <c r="RAW1" s="204"/>
      <c r="RAX1" s="204"/>
      <c r="RAY1" s="204"/>
      <c r="RAZ1" s="204"/>
      <c r="RBA1" s="204"/>
      <c r="RBB1" s="204"/>
      <c r="RBC1" s="204"/>
      <c r="RBD1" s="204"/>
      <c r="RBE1" s="204"/>
      <c r="RBF1" s="204"/>
      <c r="RBG1" s="204"/>
      <c r="RBH1" s="204"/>
      <c r="RBI1" s="204"/>
      <c r="RBJ1" s="204"/>
      <c r="RBK1" s="204"/>
      <c r="RBL1" s="204"/>
      <c r="RBM1" s="204"/>
      <c r="RBN1" s="204"/>
      <c r="RBO1" s="204"/>
      <c r="RBP1" s="204"/>
      <c r="RBQ1" s="204"/>
      <c r="RBR1" s="205"/>
      <c r="RBS1" s="204"/>
      <c r="RBT1" s="204"/>
      <c r="RBU1" s="204"/>
      <c r="RBV1" s="204"/>
      <c r="RBW1" s="204"/>
      <c r="RBX1" s="204"/>
      <c r="RBY1" s="204"/>
      <c r="RBZ1" s="204"/>
      <c r="RCA1" s="204"/>
      <c r="RCB1" s="204"/>
      <c r="RCC1" s="204"/>
      <c r="RCD1" s="204"/>
      <c r="RCE1" s="204"/>
      <c r="RCF1" s="204"/>
      <c r="RCG1" s="204"/>
      <c r="RCH1" s="204"/>
      <c r="RCI1" s="204"/>
      <c r="RCJ1" s="204"/>
      <c r="RCK1" s="204"/>
      <c r="RCL1" s="204"/>
      <c r="RCM1" s="204"/>
      <c r="RCN1" s="204"/>
      <c r="RCO1" s="204"/>
      <c r="RCP1" s="204"/>
      <c r="RCQ1" s="204"/>
      <c r="RCR1" s="204"/>
      <c r="RCS1" s="204"/>
      <c r="RCT1" s="205"/>
      <c r="RCU1" s="204"/>
      <c r="RCV1" s="204"/>
      <c r="RCW1" s="204"/>
      <c r="RCX1" s="204"/>
      <c r="RCY1" s="204"/>
      <c r="RCZ1" s="204"/>
      <c r="RDA1" s="204"/>
      <c r="RDB1" s="204"/>
      <c r="RDC1" s="204"/>
      <c r="RDD1" s="204"/>
      <c r="RDE1" s="204"/>
      <c r="RDF1" s="204"/>
      <c r="RDG1" s="204"/>
      <c r="RDH1" s="204"/>
      <c r="RDI1" s="204"/>
      <c r="RDJ1" s="204"/>
      <c r="RDK1" s="204"/>
      <c r="RDL1" s="204"/>
      <c r="RDM1" s="204"/>
      <c r="RDN1" s="204"/>
      <c r="RDO1" s="204"/>
      <c r="RDP1" s="204"/>
      <c r="RDQ1" s="204"/>
      <c r="RDR1" s="204"/>
      <c r="RDS1" s="204"/>
      <c r="RDT1" s="204"/>
      <c r="RDU1" s="204"/>
      <c r="RDV1" s="205"/>
      <c r="RDW1" s="204"/>
      <c r="RDX1" s="204"/>
      <c r="RDY1" s="204"/>
      <c r="RDZ1" s="204"/>
      <c r="REA1" s="204"/>
      <c r="REB1" s="204"/>
      <c r="REC1" s="204"/>
      <c r="RED1" s="204"/>
      <c r="REE1" s="204"/>
      <c r="REF1" s="204"/>
      <c r="REG1" s="204"/>
      <c r="REH1" s="204"/>
      <c r="REI1" s="204"/>
      <c r="REJ1" s="204"/>
      <c r="REK1" s="204"/>
      <c r="REL1" s="204"/>
      <c r="REM1" s="204"/>
      <c r="REN1" s="204"/>
      <c r="REO1" s="204"/>
      <c r="REP1" s="204"/>
      <c r="REQ1" s="204"/>
      <c r="RER1" s="204"/>
      <c r="RES1" s="204"/>
      <c r="RET1" s="204"/>
      <c r="REU1" s="204"/>
      <c r="REV1" s="204"/>
      <c r="REW1" s="204"/>
      <c r="REX1" s="205"/>
      <c r="REY1" s="204"/>
      <c r="REZ1" s="204"/>
      <c r="RFA1" s="204"/>
      <c r="RFB1" s="204"/>
      <c r="RFC1" s="204"/>
      <c r="RFD1" s="204"/>
      <c r="RFE1" s="204"/>
      <c r="RFF1" s="204"/>
      <c r="RFG1" s="204"/>
      <c r="RFH1" s="204"/>
      <c r="RFI1" s="204"/>
      <c r="RFJ1" s="204"/>
      <c r="RFK1" s="204"/>
      <c r="RFL1" s="204"/>
      <c r="RFM1" s="204"/>
      <c r="RFN1" s="204"/>
      <c r="RFO1" s="204"/>
      <c r="RFP1" s="204"/>
      <c r="RFQ1" s="204"/>
      <c r="RFR1" s="204"/>
      <c r="RFS1" s="204"/>
      <c r="RFT1" s="204"/>
      <c r="RFU1" s="204"/>
      <c r="RFV1" s="204"/>
      <c r="RFW1" s="204"/>
      <c r="RFX1" s="204"/>
      <c r="RFY1" s="204"/>
      <c r="RFZ1" s="205"/>
      <c r="RGA1" s="204"/>
      <c r="RGB1" s="204"/>
      <c r="RGC1" s="204"/>
      <c r="RGD1" s="204"/>
      <c r="RGE1" s="204"/>
      <c r="RGF1" s="204"/>
      <c r="RGG1" s="204"/>
      <c r="RGH1" s="204"/>
      <c r="RGI1" s="204"/>
      <c r="RGJ1" s="204"/>
      <c r="RGK1" s="204"/>
      <c r="RGL1" s="204"/>
      <c r="RGM1" s="204"/>
      <c r="RGN1" s="204"/>
      <c r="RGO1" s="204"/>
      <c r="RGP1" s="204"/>
      <c r="RGQ1" s="204"/>
      <c r="RGR1" s="204"/>
      <c r="RGS1" s="204"/>
      <c r="RGT1" s="204"/>
      <c r="RGU1" s="204"/>
      <c r="RGV1" s="204"/>
      <c r="RGW1" s="204"/>
      <c r="RGX1" s="204"/>
      <c r="RGY1" s="204"/>
      <c r="RGZ1" s="204"/>
      <c r="RHA1" s="204"/>
      <c r="RHB1" s="205"/>
      <c r="RHC1" s="204"/>
      <c r="RHD1" s="204"/>
      <c r="RHE1" s="204"/>
      <c r="RHF1" s="204"/>
      <c r="RHG1" s="204"/>
      <c r="RHH1" s="204"/>
      <c r="RHI1" s="204"/>
      <c r="RHJ1" s="204"/>
      <c r="RHK1" s="204"/>
      <c r="RHL1" s="204"/>
      <c r="RHM1" s="204"/>
      <c r="RHN1" s="204"/>
      <c r="RHO1" s="204"/>
      <c r="RHP1" s="204"/>
      <c r="RHQ1" s="204"/>
      <c r="RHR1" s="204"/>
      <c r="RHS1" s="204"/>
      <c r="RHT1" s="204"/>
      <c r="RHU1" s="204"/>
      <c r="RHV1" s="204"/>
      <c r="RHW1" s="204"/>
      <c r="RHX1" s="204"/>
      <c r="RHY1" s="204"/>
      <c r="RHZ1" s="204"/>
      <c r="RIA1" s="204"/>
      <c r="RIB1" s="204"/>
      <c r="RIC1" s="204"/>
      <c r="RID1" s="205"/>
      <c r="RIE1" s="204"/>
      <c r="RIF1" s="204"/>
      <c r="RIG1" s="204"/>
      <c r="RIH1" s="204"/>
      <c r="RII1" s="204"/>
      <c r="RIJ1" s="204"/>
      <c r="RIK1" s="204"/>
      <c r="RIL1" s="204"/>
      <c r="RIM1" s="204"/>
      <c r="RIN1" s="204"/>
      <c r="RIO1" s="204"/>
      <c r="RIP1" s="204"/>
      <c r="RIQ1" s="204"/>
      <c r="RIR1" s="204"/>
      <c r="RIS1" s="204"/>
      <c r="RIT1" s="204"/>
      <c r="RIU1" s="204"/>
      <c r="RIV1" s="204"/>
      <c r="RIW1" s="204"/>
      <c r="RIX1" s="204"/>
      <c r="RIY1" s="204"/>
      <c r="RIZ1" s="204"/>
      <c r="RJA1" s="204"/>
      <c r="RJB1" s="204"/>
      <c r="RJC1" s="204"/>
      <c r="RJD1" s="204"/>
      <c r="RJE1" s="204"/>
      <c r="RJF1" s="205"/>
      <c r="RJG1" s="204"/>
      <c r="RJH1" s="204"/>
      <c r="RJI1" s="204"/>
      <c r="RJJ1" s="204"/>
      <c r="RJK1" s="204"/>
      <c r="RJL1" s="204"/>
      <c r="RJM1" s="204"/>
      <c r="RJN1" s="204"/>
      <c r="RJO1" s="204"/>
      <c r="RJP1" s="204"/>
      <c r="RJQ1" s="204"/>
      <c r="RJR1" s="204"/>
      <c r="RJS1" s="204"/>
      <c r="RJT1" s="204"/>
      <c r="RJU1" s="204"/>
      <c r="RJV1" s="204"/>
      <c r="RJW1" s="204"/>
      <c r="RJX1" s="204"/>
      <c r="RJY1" s="204"/>
      <c r="RJZ1" s="204"/>
      <c r="RKA1" s="204"/>
      <c r="RKB1" s="204"/>
      <c r="RKC1" s="204"/>
      <c r="RKD1" s="204"/>
      <c r="RKE1" s="204"/>
      <c r="RKF1" s="204"/>
      <c r="RKG1" s="204"/>
      <c r="RKH1" s="205"/>
      <c r="RKI1" s="204"/>
      <c r="RKJ1" s="204"/>
      <c r="RKK1" s="204"/>
      <c r="RKL1" s="204"/>
      <c r="RKM1" s="204"/>
      <c r="RKN1" s="204"/>
      <c r="RKO1" s="204"/>
      <c r="RKP1" s="204"/>
      <c r="RKQ1" s="204"/>
      <c r="RKR1" s="204"/>
      <c r="RKS1" s="204"/>
      <c r="RKT1" s="204"/>
      <c r="RKU1" s="204"/>
      <c r="RKV1" s="204"/>
      <c r="RKW1" s="204"/>
      <c r="RKX1" s="204"/>
      <c r="RKY1" s="204"/>
      <c r="RKZ1" s="204"/>
      <c r="RLA1" s="204"/>
      <c r="RLB1" s="204"/>
      <c r="RLC1" s="204"/>
      <c r="RLD1" s="204"/>
      <c r="RLE1" s="204"/>
      <c r="RLF1" s="204"/>
      <c r="RLG1" s="204"/>
      <c r="RLH1" s="204"/>
      <c r="RLI1" s="204"/>
      <c r="RLJ1" s="205"/>
      <c r="RLK1" s="204"/>
      <c r="RLL1" s="204"/>
      <c r="RLM1" s="204"/>
      <c r="RLN1" s="204"/>
      <c r="RLO1" s="204"/>
      <c r="RLP1" s="204"/>
      <c r="RLQ1" s="204"/>
      <c r="RLR1" s="204"/>
      <c r="RLS1" s="204"/>
      <c r="RLT1" s="204"/>
      <c r="RLU1" s="204"/>
      <c r="RLV1" s="204"/>
      <c r="RLW1" s="204"/>
      <c r="RLX1" s="204"/>
      <c r="RLY1" s="204"/>
      <c r="RLZ1" s="204"/>
      <c r="RMA1" s="204"/>
      <c r="RMB1" s="204"/>
      <c r="RMC1" s="204"/>
      <c r="RMD1" s="204"/>
      <c r="RME1" s="204"/>
      <c r="RMF1" s="204"/>
      <c r="RMG1" s="204"/>
      <c r="RMH1" s="204"/>
      <c r="RMI1" s="204"/>
      <c r="RMJ1" s="204"/>
      <c r="RMK1" s="204"/>
      <c r="RML1" s="205"/>
      <c r="RMM1" s="204"/>
      <c r="RMN1" s="204"/>
      <c r="RMO1" s="204"/>
      <c r="RMP1" s="204"/>
      <c r="RMQ1" s="204"/>
      <c r="RMR1" s="204"/>
      <c r="RMS1" s="204"/>
      <c r="RMT1" s="204"/>
      <c r="RMU1" s="204"/>
      <c r="RMV1" s="204"/>
      <c r="RMW1" s="204"/>
      <c r="RMX1" s="204"/>
      <c r="RMY1" s="204"/>
      <c r="RMZ1" s="204"/>
      <c r="RNA1" s="204"/>
      <c r="RNB1" s="204"/>
      <c r="RNC1" s="204"/>
      <c r="RND1" s="204"/>
      <c r="RNE1" s="204"/>
      <c r="RNF1" s="204"/>
      <c r="RNG1" s="204"/>
      <c r="RNH1" s="204"/>
      <c r="RNI1" s="204"/>
      <c r="RNJ1" s="204"/>
      <c r="RNK1" s="204"/>
      <c r="RNL1" s="204"/>
      <c r="RNM1" s="204"/>
      <c r="RNN1" s="205"/>
      <c r="RNO1" s="204"/>
      <c r="RNP1" s="204"/>
      <c r="RNQ1" s="204"/>
      <c r="RNR1" s="204"/>
      <c r="RNS1" s="204"/>
      <c r="RNT1" s="204"/>
      <c r="RNU1" s="204"/>
      <c r="RNV1" s="204"/>
      <c r="RNW1" s="204"/>
      <c r="RNX1" s="204"/>
      <c r="RNY1" s="204"/>
      <c r="RNZ1" s="204"/>
      <c r="ROA1" s="204"/>
      <c r="ROB1" s="204"/>
      <c r="ROC1" s="204"/>
      <c r="ROD1" s="204"/>
      <c r="ROE1" s="204"/>
      <c r="ROF1" s="204"/>
      <c r="ROG1" s="204"/>
      <c r="ROH1" s="204"/>
      <c r="ROI1" s="204"/>
      <c r="ROJ1" s="204"/>
      <c r="ROK1" s="204"/>
      <c r="ROL1" s="204"/>
      <c r="ROM1" s="204"/>
      <c r="RON1" s="204"/>
      <c r="ROO1" s="204"/>
      <c r="ROP1" s="205"/>
      <c r="ROQ1" s="204"/>
      <c r="ROR1" s="204"/>
      <c r="ROS1" s="204"/>
      <c r="ROT1" s="204"/>
      <c r="ROU1" s="204"/>
      <c r="ROV1" s="204"/>
      <c r="ROW1" s="204"/>
      <c r="ROX1" s="204"/>
      <c r="ROY1" s="204"/>
      <c r="ROZ1" s="204"/>
      <c r="RPA1" s="204"/>
      <c r="RPB1" s="204"/>
      <c r="RPC1" s="204"/>
      <c r="RPD1" s="204"/>
      <c r="RPE1" s="204"/>
      <c r="RPF1" s="204"/>
      <c r="RPG1" s="204"/>
      <c r="RPH1" s="204"/>
      <c r="RPI1" s="204"/>
      <c r="RPJ1" s="204"/>
      <c r="RPK1" s="204"/>
      <c r="RPL1" s="204"/>
      <c r="RPM1" s="204"/>
      <c r="RPN1" s="204"/>
      <c r="RPO1" s="204"/>
      <c r="RPP1" s="204"/>
      <c r="RPQ1" s="204"/>
      <c r="RPR1" s="205"/>
      <c r="RPS1" s="204"/>
      <c r="RPT1" s="204"/>
      <c r="RPU1" s="204"/>
      <c r="RPV1" s="204"/>
      <c r="RPW1" s="204"/>
      <c r="RPX1" s="204"/>
      <c r="RPY1" s="204"/>
      <c r="RPZ1" s="204"/>
      <c r="RQA1" s="204"/>
      <c r="RQB1" s="204"/>
      <c r="RQC1" s="204"/>
      <c r="RQD1" s="204"/>
      <c r="RQE1" s="204"/>
      <c r="RQF1" s="204"/>
      <c r="RQG1" s="204"/>
      <c r="RQH1" s="204"/>
      <c r="RQI1" s="204"/>
      <c r="RQJ1" s="204"/>
      <c r="RQK1" s="204"/>
      <c r="RQL1" s="204"/>
      <c r="RQM1" s="204"/>
      <c r="RQN1" s="204"/>
      <c r="RQO1" s="204"/>
      <c r="RQP1" s="204"/>
      <c r="RQQ1" s="204"/>
      <c r="RQR1" s="204"/>
      <c r="RQS1" s="204"/>
      <c r="RQT1" s="205"/>
      <c r="RQU1" s="204"/>
      <c r="RQV1" s="204"/>
      <c r="RQW1" s="204"/>
      <c r="RQX1" s="204"/>
      <c r="RQY1" s="204"/>
      <c r="RQZ1" s="204"/>
      <c r="RRA1" s="204"/>
      <c r="RRB1" s="204"/>
      <c r="RRC1" s="204"/>
      <c r="RRD1" s="204"/>
      <c r="RRE1" s="204"/>
      <c r="RRF1" s="204"/>
      <c r="RRG1" s="204"/>
      <c r="RRH1" s="204"/>
      <c r="RRI1" s="204"/>
      <c r="RRJ1" s="204"/>
      <c r="RRK1" s="204"/>
      <c r="RRL1" s="204"/>
      <c r="RRM1" s="204"/>
      <c r="RRN1" s="204"/>
      <c r="RRO1" s="204"/>
      <c r="RRP1" s="204"/>
      <c r="RRQ1" s="204"/>
      <c r="RRR1" s="204"/>
      <c r="RRS1" s="204"/>
      <c r="RRT1" s="204"/>
      <c r="RRU1" s="204"/>
      <c r="RRV1" s="205"/>
      <c r="RRW1" s="204"/>
      <c r="RRX1" s="204"/>
      <c r="RRY1" s="204"/>
      <c r="RRZ1" s="204"/>
      <c r="RSA1" s="204"/>
      <c r="RSB1" s="204"/>
      <c r="RSC1" s="204"/>
      <c r="RSD1" s="204"/>
      <c r="RSE1" s="204"/>
      <c r="RSF1" s="204"/>
      <c r="RSG1" s="204"/>
      <c r="RSH1" s="204"/>
      <c r="RSI1" s="204"/>
      <c r="RSJ1" s="204"/>
      <c r="RSK1" s="204"/>
      <c r="RSL1" s="204"/>
      <c r="RSM1" s="204"/>
      <c r="RSN1" s="204"/>
      <c r="RSO1" s="204"/>
      <c r="RSP1" s="204"/>
      <c r="RSQ1" s="204"/>
      <c r="RSR1" s="204"/>
      <c r="RSS1" s="204"/>
      <c r="RST1" s="204"/>
      <c r="RSU1" s="204"/>
      <c r="RSV1" s="204"/>
      <c r="RSW1" s="204"/>
      <c r="RSX1" s="205"/>
      <c r="RSY1" s="204"/>
      <c r="RSZ1" s="204"/>
      <c r="RTA1" s="204"/>
      <c r="RTB1" s="204"/>
      <c r="RTC1" s="204"/>
      <c r="RTD1" s="204"/>
      <c r="RTE1" s="204"/>
      <c r="RTF1" s="204"/>
      <c r="RTG1" s="204"/>
      <c r="RTH1" s="204"/>
      <c r="RTI1" s="204"/>
      <c r="RTJ1" s="204"/>
      <c r="RTK1" s="204"/>
      <c r="RTL1" s="204"/>
      <c r="RTM1" s="204"/>
      <c r="RTN1" s="204"/>
      <c r="RTO1" s="204"/>
      <c r="RTP1" s="204"/>
      <c r="RTQ1" s="204"/>
      <c r="RTR1" s="204"/>
      <c r="RTS1" s="204"/>
      <c r="RTT1" s="204"/>
      <c r="RTU1" s="204"/>
      <c r="RTV1" s="204"/>
      <c r="RTW1" s="204"/>
      <c r="RTX1" s="204"/>
      <c r="RTY1" s="204"/>
      <c r="RTZ1" s="205"/>
      <c r="RUA1" s="204"/>
      <c r="RUB1" s="204"/>
      <c r="RUC1" s="204"/>
      <c r="RUD1" s="204"/>
      <c r="RUE1" s="204"/>
      <c r="RUF1" s="204"/>
      <c r="RUG1" s="204"/>
      <c r="RUH1" s="204"/>
      <c r="RUI1" s="204"/>
      <c r="RUJ1" s="204"/>
      <c r="RUK1" s="204"/>
      <c r="RUL1" s="204"/>
      <c r="RUM1" s="204"/>
      <c r="RUN1" s="204"/>
      <c r="RUO1" s="204"/>
      <c r="RUP1" s="204"/>
      <c r="RUQ1" s="204"/>
      <c r="RUR1" s="204"/>
      <c r="RUS1" s="204"/>
      <c r="RUT1" s="204"/>
      <c r="RUU1" s="204"/>
      <c r="RUV1" s="204"/>
      <c r="RUW1" s="204"/>
      <c r="RUX1" s="204"/>
      <c r="RUY1" s="204"/>
      <c r="RUZ1" s="204"/>
      <c r="RVA1" s="204"/>
      <c r="RVB1" s="205"/>
      <c r="RVC1" s="204"/>
      <c r="RVD1" s="204"/>
      <c r="RVE1" s="204"/>
      <c r="RVF1" s="204"/>
      <c r="RVG1" s="204"/>
      <c r="RVH1" s="204"/>
      <c r="RVI1" s="204"/>
      <c r="RVJ1" s="204"/>
      <c r="RVK1" s="204"/>
      <c r="RVL1" s="204"/>
      <c r="RVM1" s="204"/>
      <c r="RVN1" s="204"/>
      <c r="RVO1" s="204"/>
      <c r="RVP1" s="204"/>
      <c r="RVQ1" s="204"/>
      <c r="RVR1" s="204"/>
      <c r="RVS1" s="204"/>
      <c r="RVT1" s="204"/>
      <c r="RVU1" s="204"/>
      <c r="RVV1" s="204"/>
      <c r="RVW1" s="204"/>
      <c r="RVX1" s="204"/>
      <c r="RVY1" s="204"/>
      <c r="RVZ1" s="204"/>
      <c r="RWA1" s="204"/>
      <c r="RWB1" s="204"/>
      <c r="RWC1" s="204"/>
      <c r="RWD1" s="205"/>
      <c r="RWE1" s="204"/>
      <c r="RWF1" s="204"/>
      <c r="RWG1" s="204"/>
      <c r="RWH1" s="204"/>
      <c r="RWI1" s="204"/>
      <c r="RWJ1" s="204"/>
      <c r="RWK1" s="204"/>
      <c r="RWL1" s="204"/>
      <c r="RWM1" s="204"/>
      <c r="RWN1" s="204"/>
      <c r="RWO1" s="204"/>
      <c r="RWP1" s="204"/>
      <c r="RWQ1" s="204"/>
      <c r="RWR1" s="204"/>
      <c r="RWS1" s="204"/>
      <c r="RWT1" s="204"/>
      <c r="RWU1" s="204"/>
      <c r="RWV1" s="204"/>
      <c r="RWW1" s="204"/>
      <c r="RWX1" s="204"/>
      <c r="RWY1" s="204"/>
      <c r="RWZ1" s="204"/>
      <c r="RXA1" s="204"/>
      <c r="RXB1" s="204"/>
      <c r="RXC1" s="204"/>
      <c r="RXD1" s="204"/>
      <c r="RXE1" s="204"/>
      <c r="RXF1" s="205"/>
      <c r="RXG1" s="204"/>
      <c r="RXH1" s="204"/>
      <c r="RXI1" s="204"/>
      <c r="RXJ1" s="204"/>
      <c r="RXK1" s="204"/>
      <c r="RXL1" s="204"/>
      <c r="RXM1" s="204"/>
      <c r="RXN1" s="204"/>
      <c r="RXO1" s="204"/>
      <c r="RXP1" s="204"/>
      <c r="RXQ1" s="204"/>
      <c r="RXR1" s="204"/>
      <c r="RXS1" s="204"/>
      <c r="RXT1" s="204"/>
      <c r="RXU1" s="204"/>
      <c r="RXV1" s="204"/>
      <c r="RXW1" s="204"/>
      <c r="RXX1" s="204"/>
      <c r="RXY1" s="204"/>
      <c r="RXZ1" s="204"/>
      <c r="RYA1" s="204"/>
      <c r="RYB1" s="204"/>
      <c r="RYC1" s="204"/>
      <c r="RYD1" s="204"/>
      <c r="RYE1" s="204"/>
      <c r="RYF1" s="204"/>
      <c r="RYG1" s="204"/>
      <c r="RYH1" s="205"/>
      <c r="RYI1" s="204"/>
      <c r="RYJ1" s="204"/>
      <c r="RYK1" s="204"/>
      <c r="RYL1" s="204"/>
      <c r="RYM1" s="204"/>
      <c r="RYN1" s="204"/>
      <c r="RYO1" s="204"/>
      <c r="RYP1" s="204"/>
      <c r="RYQ1" s="204"/>
      <c r="RYR1" s="204"/>
      <c r="RYS1" s="204"/>
      <c r="RYT1" s="204"/>
      <c r="RYU1" s="204"/>
      <c r="RYV1" s="204"/>
      <c r="RYW1" s="204"/>
      <c r="RYX1" s="204"/>
      <c r="RYY1" s="204"/>
      <c r="RYZ1" s="204"/>
      <c r="RZA1" s="204"/>
      <c r="RZB1" s="204"/>
      <c r="RZC1" s="204"/>
      <c r="RZD1" s="204"/>
      <c r="RZE1" s="204"/>
      <c r="RZF1" s="204"/>
      <c r="RZG1" s="204"/>
      <c r="RZH1" s="204"/>
      <c r="RZI1" s="204"/>
      <c r="RZJ1" s="205"/>
      <c r="RZK1" s="204"/>
      <c r="RZL1" s="204"/>
      <c r="RZM1" s="204"/>
      <c r="RZN1" s="204"/>
      <c r="RZO1" s="204"/>
      <c r="RZP1" s="204"/>
      <c r="RZQ1" s="204"/>
      <c r="RZR1" s="204"/>
      <c r="RZS1" s="204"/>
      <c r="RZT1" s="204"/>
      <c r="RZU1" s="204"/>
      <c r="RZV1" s="204"/>
      <c r="RZW1" s="204"/>
      <c r="RZX1" s="204"/>
      <c r="RZY1" s="204"/>
      <c r="RZZ1" s="204"/>
      <c r="SAA1" s="204"/>
      <c r="SAB1" s="204"/>
      <c r="SAC1" s="204"/>
      <c r="SAD1" s="204"/>
      <c r="SAE1" s="204"/>
      <c r="SAF1" s="204"/>
      <c r="SAG1" s="204"/>
      <c r="SAH1" s="204"/>
      <c r="SAI1" s="204"/>
      <c r="SAJ1" s="204"/>
      <c r="SAK1" s="204"/>
      <c r="SAL1" s="205"/>
      <c r="SAM1" s="204"/>
      <c r="SAN1" s="204"/>
      <c r="SAO1" s="204"/>
      <c r="SAP1" s="204"/>
      <c r="SAQ1" s="204"/>
      <c r="SAR1" s="204"/>
      <c r="SAS1" s="204"/>
      <c r="SAT1" s="204"/>
      <c r="SAU1" s="204"/>
      <c r="SAV1" s="204"/>
      <c r="SAW1" s="204"/>
      <c r="SAX1" s="204"/>
      <c r="SAY1" s="204"/>
      <c r="SAZ1" s="204"/>
      <c r="SBA1" s="204"/>
      <c r="SBB1" s="204"/>
      <c r="SBC1" s="204"/>
      <c r="SBD1" s="204"/>
      <c r="SBE1" s="204"/>
      <c r="SBF1" s="204"/>
      <c r="SBG1" s="204"/>
      <c r="SBH1" s="204"/>
      <c r="SBI1" s="204"/>
      <c r="SBJ1" s="204"/>
      <c r="SBK1" s="204"/>
      <c r="SBL1" s="204"/>
      <c r="SBM1" s="204"/>
      <c r="SBN1" s="205"/>
      <c r="SBO1" s="204"/>
      <c r="SBP1" s="204"/>
      <c r="SBQ1" s="204"/>
      <c r="SBR1" s="204"/>
      <c r="SBS1" s="204"/>
      <c r="SBT1" s="204"/>
      <c r="SBU1" s="204"/>
      <c r="SBV1" s="204"/>
      <c r="SBW1" s="204"/>
      <c r="SBX1" s="204"/>
      <c r="SBY1" s="204"/>
      <c r="SBZ1" s="204"/>
      <c r="SCA1" s="204"/>
      <c r="SCB1" s="204"/>
      <c r="SCC1" s="204"/>
      <c r="SCD1" s="204"/>
      <c r="SCE1" s="204"/>
      <c r="SCF1" s="204"/>
      <c r="SCG1" s="204"/>
      <c r="SCH1" s="204"/>
      <c r="SCI1" s="204"/>
      <c r="SCJ1" s="204"/>
      <c r="SCK1" s="204"/>
      <c r="SCL1" s="204"/>
      <c r="SCM1" s="204"/>
      <c r="SCN1" s="204"/>
      <c r="SCO1" s="204"/>
      <c r="SCP1" s="205"/>
      <c r="SCQ1" s="204"/>
      <c r="SCR1" s="204"/>
      <c r="SCS1" s="204"/>
      <c r="SCT1" s="204"/>
      <c r="SCU1" s="204"/>
      <c r="SCV1" s="204"/>
      <c r="SCW1" s="204"/>
      <c r="SCX1" s="204"/>
      <c r="SCY1" s="204"/>
      <c r="SCZ1" s="204"/>
      <c r="SDA1" s="204"/>
      <c r="SDB1" s="204"/>
      <c r="SDC1" s="204"/>
      <c r="SDD1" s="204"/>
      <c r="SDE1" s="204"/>
      <c r="SDF1" s="204"/>
      <c r="SDG1" s="204"/>
      <c r="SDH1" s="204"/>
      <c r="SDI1" s="204"/>
      <c r="SDJ1" s="204"/>
      <c r="SDK1" s="204"/>
      <c r="SDL1" s="204"/>
      <c r="SDM1" s="204"/>
      <c r="SDN1" s="204"/>
      <c r="SDO1" s="204"/>
      <c r="SDP1" s="204"/>
      <c r="SDQ1" s="204"/>
      <c r="SDR1" s="205"/>
      <c r="SDS1" s="204"/>
      <c r="SDT1" s="204"/>
      <c r="SDU1" s="204"/>
      <c r="SDV1" s="204"/>
      <c r="SDW1" s="204"/>
      <c r="SDX1" s="204"/>
      <c r="SDY1" s="204"/>
      <c r="SDZ1" s="204"/>
      <c r="SEA1" s="204"/>
      <c r="SEB1" s="204"/>
      <c r="SEC1" s="204"/>
      <c r="SED1" s="204"/>
      <c r="SEE1" s="204"/>
      <c r="SEF1" s="204"/>
      <c r="SEG1" s="204"/>
      <c r="SEH1" s="204"/>
      <c r="SEI1" s="204"/>
      <c r="SEJ1" s="204"/>
      <c r="SEK1" s="204"/>
      <c r="SEL1" s="204"/>
      <c r="SEM1" s="204"/>
      <c r="SEN1" s="204"/>
      <c r="SEO1" s="204"/>
      <c r="SEP1" s="204"/>
      <c r="SEQ1" s="204"/>
      <c r="SER1" s="204"/>
      <c r="SES1" s="204"/>
      <c r="SET1" s="205"/>
      <c r="SEU1" s="204"/>
      <c r="SEV1" s="204"/>
      <c r="SEW1" s="204"/>
      <c r="SEX1" s="204"/>
      <c r="SEY1" s="204"/>
      <c r="SEZ1" s="204"/>
      <c r="SFA1" s="204"/>
      <c r="SFB1" s="204"/>
      <c r="SFC1" s="204"/>
      <c r="SFD1" s="204"/>
      <c r="SFE1" s="204"/>
      <c r="SFF1" s="204"/>
      <c r="SFG1" s="204"/>
      <c r="SFH1" s="204"/>
      <c r="SFI1" s="204"/>
      <c r="SFJ1" s="204"/>
      <c r="SFK1" s="204"/>
      <c r="SFL1" s="204"/>
      <c r="SFM1" s="204"/>
      <c r="SFN1" s="204"/>
      <c r="SFO1" s="204"/>
      <c r="SFP1" s="204"/>
      <c r="SFQ1" s="204"/>
      <c r="SFR1" s="204"/>
      <c r="SFS1" s="204"/>
      <c r="SFT1" s="204"/>
      <c r="SFU1" s="204"/>
      <c r="SFV1" s="205"/>
      <c r="SFW1" s="204"/>
      <c r="SFX1" s="204"/>
      <c r="SFY1" s="204"/>
      <c r="SFZ1" s="204"/>
      <c r="SGA1" s="204"/>
      <c r="SGB1" s="204"/>
      <c r="SGC1" s="204"/>
      <c r="SGD1" s="204"/>
      <c r="SGE1" s="204"/>
      <c r="SGF1" s="204"/>
      <c r="SGG1" s="204"/>
      <c r="SGH1" s="204"/>
      <c r="SGI1" s="204"/>
      <c r="SGJ1" s="204"/>
      <c r="SGK1" s="204"/>
      <c r="SGL1" s="204"/>
      <c r="SGM1" s="204"/>
      <c r="SGN1" s="204"/>
      <c r="SGO1" s="204"/>
      <c r="SGP1" s="204"/>
      <c r="SGQ1" s="204"/>
      <c r="SGR1" s="204"/>
      <c r="SGS1" s="204"/>
      <c r="SGT1" s="204"/>
      <c r="SGU1" s="204"/>
      <c r="SGV1" s="204"/>
      <c r="SGW1" s="204"/>
      <c r="SGX1" s="205"/>
      <c r="SGY1" s="204"/>
      <c r="SGZ1" s="204"/>
      <c r="SHA1" s="204"/>
      <c r="SHB1" s="204"/>
      <c r="SHC1" s="204"/>
      <c r="SHD1" s="204"/>
      <c r="SHE1" s="204"/>
      <c r="SHF1" s="204"/>
      <c r="SHG1" s="204"/>
      <c r="SHH1" s="204"/>
      <c r="SHI1" s="204"/>
      <c r="SHJ1" s="204"/>
      <c r="SHK1" s="204"/>
      <c r="SHL1" s="204"/>
      <c r="SHM1" s="204"/>
      <c r="SHN1" s="204"/>
      <c r="SHO1" s="204"/>
      <c r="SHP1" s="204"/>
      <c r="SHQ1" s="204"/>
      <c r="SHR1" s="204"/>
      <c r="SHS1" s="204"/>
      <c r="SHT1" s="204"/>
      <c r="SHU1" s="204"/>
      <c r="SHV1" s="204"/>
      <c r="SHW1" s="204"/>
      <c r="SHX1" s="204"/>
      <c r="SHY1" s="204"/>
      <c r="SHZ1" s="205"/>
      <c r="SIA1" s="204"/>
      <c r="SIB1" s="204"/>
      <c r="SIC1" s="204"/>
      <c r="SID1" s="204"/>
      <c r="SIE1" s="204"/>
      <c r="SIF1" s="204"/>
      <c r="SIG1" s="204"/>
      <c r="SIH1" s="204"/>
      <c r="SII1" s="204"/>
      <c r="SIJ1" s="204"/>
      <c r="SIK1" s="204"/>
      <c r="SIL1" s="204"/>
      <c r="SIM1" s="204"/>
      <c r="SIN1" s="204"/>
      <c r="SIO1" s="204"/>
      <c r="SIP1" s="204"/>
      <c r="SIQ1" s="204"/>
      <c r="SIR1" s="204"/>
      <c r="SIS1" s="204"/>
      <c r="SIT1" s="204"/>
      <c r="SIU1" s="204"/>
      <c r="SIV1" s="204"/>
      <c r="SIW1" s="204"/>
      <c r="SIX1" s="204"/>
      <c r="SIY1" s="204"/>
      <c r="SIZ1" s="204"/>
      <c r="SJA1" s="204"/>
      <c r="SJB1" s="205"/>
      <c r="SJC1" s="204"/>
      <c r="SJD1" s="204"/>
      <c r="SJE1" s="204"/>
      <c r="SJF1" s="204"/>
      <c r="SJG1" s="204"/>
      <c r="SJH1" s="204"/>
      <c r="SJI1" s="204"/>
      <c r="SJJ1" s="204"/>
      <c r="SJK1" s="204"/>
      <c r="SJL1" s="204"/>
      <c r="SJM1" s="204"/>
      <c r="SJN1" s="204"/>
      <c r="SJO1" s="204"/>
      <c r="SJP1" s="204"/>
      <c r="SJQ1" s="204"/>
      <c r="SJR1" s="204"/>
      <c r="SJS1" s="204"/>
      <c r="SJT1" s="204"/>
      <c r="SJU1" s="204"/>
      <c r="SJV1" s="204"/>
      <c r="SJW1" s="204"/>
      <c r="SJX1" s="204"/>
      <c r="SJY1" s="204"/>
      <c r="SJZ1" s="204"/>
      <c r="SKA1" s="204"/>
      <c r="SKB1" s="204"/>
      <c r="SKC1" s="204"/>
      <c r="SKD1" s="205"/>
      <c r="SKE1" s="204"/>
      <c r="SKF1" s="204"/>
      <c r="SKG1" s="204"/>
      <c r="SKH1" s="204"/>
      <c r="SKI1" s="204"/>
      <c r="SKJ1" s="204"/>
      <c r="SKK1" s="204"/>
      <c r="SKL1" s="204"/>
      <c r="SKM1" s="204"/>
      <c r="SKN1" s="204"/>
      <c r="SKO1" s="204"/>
      <c r="SKP1" s="204"/>
      <c r="SKQ1" s="204"/>
      <c r="SKR1" s="204"/>
      <c r="SKS1" s="204"/>
      <c r="SKT1" s="204"/>
      <c r="SKU1" s="204"/>
      <c r="SKV1" s="204"/>
      <c r="SKW1" s="204"/>
      <c r="SKX1" s="204"/>
      <c r="SKY1" s="204"/>
      <c r="SKZ1" s="204"/>
      <c r="SLA1" s="204"/>
      <c r="SLB1" s="204"/>
      <c r="SLC1" s="204"/>
      <c r="SLD1" s="204"/>
      <c r="SLE1" s="204"/>
      <c r="SLF1" s="205"/>
      <c r="SLG1" s="204"/>
      <c r="SLH1" s="204"/>
      <c r="SLI1" s="204"/>
      <c r="SLJ1" s="204"/>
      <c r="SLK1" s="204"/>
      <c r="SLL1" s="204"/>
      <c r="SLM1" s="204"/>
      <c r="SLN1" s="204"/>
      <c r="SLO1" s="204"/>
      <c r="SLP1" s="204"/>
      <c r="SLQ1" s="204"/>
      <c r="SLR1" s="204"/>
      <c r="SLS1" s="204"/>
      <c r="SLT1" s="204"/>
      <c r="SLU1" s="204"/>
      <c r="SLV1" s="204"/>
      <c r="SLW1" s="204"/>
      <c r="SLX1" s="204"/>
      <c r="SLY1" s="204"/>
      <c r="SLZ1" s="204"/>
      <c r="SMA1" s="204"/>
      <c r="SMB1" s="204"/>
      <c r="SMC1" s="204"/>
      <c r="SMD1" s="204"/>
      <c r="SME1" s="204"/>
      <c r="SMF1" s="204"/>
      <c r="SMG1" s="204"/>
      <c r="SMH1" s="205"/>
      <c r="SMI1" s="204"/>
      <c r="SMJ1" s="204"/>
      <c r="SMK1" s="204"/>
      <c r="SML1" s="204"/>
      <c r="SMM1" s="204"/>
      <c r="SMN1" s="204"/>
      <c r="SMO1" s="204"/>
      <c r="SMP1" s="204"/>
      <c r="SMQ1" s="204"/>
      <c r="SMR1" s="204"/>
      <c r="SMS1" s="204"/>
      <c r="SMT1" s="204"/>
      <c r="SMU1" s="204"/>
      <c r="SMV1" s="204"/>
      <c r="SMW1" s="204"/>
      <c r="SMX1" s="204"/>
      <c r="SMY1" s="204"/>
      <c r="SMZ1" s="204"/>
      <c r="SNA1" s="204"/>
      <c r="SNB1" s="204"/>
      <c r="SNC1" s="204"/>
      <c r="SND1" s="204"/>
      <c r="SNE1" s="204"/>
      <c r="SNF1" s="204"/>
      <c r="SNG1" s="204"/>
      <c r="SNH1" s="204"/>
      <c r="SNI1" s="204"/>
      <c r="SNJ1" s="205"/>
      <c r="SNK1" s="204"/>
      <c r="SNL1" s="204"/>
      <c r="SNM1" s="204"/>
      <c r="SNN1" s="204"/>
      <c r="SNO1" s="204"/>
      <c r="SNP1" s="204"/>
      <c r="SNQ1" s="204"/>
      <c r="SNR1" s="204"/>
      <c r="SNS1" s="204"/>
      <c r="SNT1" s="204"/>
      <c r="SNU1" s="204"/>
      <c r="SNV1" s="204"/>
      <c r="SNW1" s="204"/>
      <c r="SNX1" s="204"/>
      <c r="SNY1" s="204"/>
      <c r="SNZ1" s="204"/>
      <c r="SOA1" s="204"/>
      <c r="SOB1" s="204"/>
      <c r="SOC1" s="204"/>
      <c r="SOD1" s="204"/>
      <c r="SOE1" s="204"/>
      <c r="SOF1" s="204"/>
      <c r="SOG1" s="204"/>
      <c r="SOH1" s="204"/>
      <c r="SOI1" s="204"/>
      <c r="SOJ1" s="204"/>
      <c r="SOK1" s="204"/>
      <c r="SOL1" s="205"/>
      <c r="SOM1" s="204"/>
      <c r="SON1" s="204"/>
      <c r="SOO1" s="204"/>
      <c r="SOP1" s="204"/>
      <c r="SOQ1" s="204"/>
      <c r="SOR1" s="204"/>
      <c r="SOS1" s="204"/>
      <c r="SOT1" s="204"/>
      <c r="SOU1" s="204"/>
      <c r="SOV1" s="204"/>
      <c r="SOW1" s="204"/>
      <c r="SOX1" s="204"/>
      <c r="SOY1" s="204"/>
      <c r="SOZ1" s="204"/>
      <c r="SPA1" s="204"/>
      <c r="SPB1" s="204"/>
      <c r="SPC1" s="204"/>
      <c r="SPD1" s="204"/>
      <c r="SPE1" s="204"/>
      <c r="SPF1" s="204"/>
      <c r="SPG1" s="204"/>
      <c r="SPH1" s="204"/>
      <c r="SPI1" s="204"/>
      <c r="SPJ1" s="204"/>
      <c r="SPK1" s="204"/>
      <c r="SPL1" s="204"/>
      <c r="SPM1" s="204"/>
      <c r="SPN1" s="205"/>
      <c r="SPO1" s="204"/>
      <c r="SPP1" s="204"/>
      <c r="SPQ1" s="204"/>
      <c r="SPR1" s="204"/>
      <c r="SPS1" s="204"/>
      <c r="SPT1" s="204"/>
      <c r="SPU1" s="204"/>
      <c r="SPV1" s="204"/>
      <c r="SPW1" s="204"/>
      <c r="SPX1" s="204"/>
      <c r="SPY1" s="204"/>
      <c r="SPZ1" s="204"/>
      <c r="SQA1" s="204"/>
      <c r="SQB1" s="204"/>
      <c r="SQC1" s="204"/>
      <c r="SQD1" s="204"/>
      <c r="SQE1" s="204"/>
      <c r="SQF1" s="204"/>
      <c r="SQG1" s="204"/>
      <c r="SQH1" s="204"/>
      <c r="SQI1" s="204"/>
      <c r="SQJ1" s="204"/>
      <c r="SQK1" s="204"/>
      <c r="SQL1" s="204"/>
      <c r="SQM1" s="204"/>
      <c r="SQN1" s="204"/>
      <c r="SQO1" s="204"/>
      <c r="SQP1" s="205"/>
      <c r="SQQ1" s="204"/>
      <c r="SQR1" s="204"/>
      <c r="SQS1" s="204"/>
      <c r="SQT1" s="204"/>
      <c r="SQU1" s="204"/>
      <c r="SQV1" s="204"/>
      <c r="SQW1" s="204"/>
      <c r="SQX1" s="204"/>
      <c r="SQY1" s="204"/>
      <c r="SQZ1" s="204"/>
      <c r="SRA1" s="204"/>
      <c r="SRB1" s="204"/>
      <c r="SRC1" s="204"/>
      <c r="SRD1" s="204"/>
      <c r="SRE1" s="204"/>
      <c r="SRF1" s="204"/>
      <c r="SRG1" s="204"/>
      <c r="SRH1" s="204"/>
      <c r="SRI1" s="204"/>
      <c r="SRJ1" s="204"/>
      <c r="SRK1" s="204"/>
      <c r="SRL1" s="204"/>
      <c r="SRM1" s="204"/>
      <c r="SRN1" s="204"/>
      <c r="SRO1" s="204"/>
      <c r="SRP1" s="204"/>
      <c r="SRQ1" s="204"/>
      <c r="SRR1" s="205"/>
      <c r="SRS1" s="204"/>
      <c r="SRT1" s="204"/>
      <c r="SRU1" s="204"/>
      <c r="SRV1" s="204"/>
      <c r="SRW1" s="204"/>
      <c r="SRX1" s="204"/>
      <c r="SRY1" s="204"/>
      <c r="SRZ1" s="204"/>
      <c r="SSA1" s="204"/>
      <c r="SSB1" s="204"/>
      <c r="SSC1" s="204"/>
      <c r="SSD1" s="204"/>
      <c r="SSE1" s="204"/>
      <c r="SSF1" s="204"/>
      <c r="SSG1" s="204"/>
      <c r="SSH1" s="204"/>
      <c r="SSI1" s="204"/>
      <c r="SSJ1" s="204"/>
      <c r="SSK1" s="204"/>
      <c r="SSL1" s="204"/>
      <c r="SSM1" s="204"/>
      <c r="SSN1" s="204"/>
      <c r="SSO1" s="204"/>
      <c r="SSP1" s="204"/>
      <c r="SSQ1" s="204"/>
      <c r="SSR1" s="204"/>
      <c r="SSS1" s="204"/>
      <c r="SST1" s="205"/>
      <c r="SSU1" s="204"/>
      <c r="SSV1" s="204"/>
      <c r="SSW1" s="204"/>
      <c r="SSX1" s="204"/>
      <c r="SSY1" s="204"/>
      <c r="SSZ1" s="204"/>
      <c r="STA1" s="204"/>
      <c r="STB1" s="204"/>
      <c r="STC1" s="204"/>
      <c r="STD1" s="204"/>
      <c r="STE1" s="204"/>
      <c r="STF1" s="204"/>
      <c r="STG1" s="204"/>
      <c r="STH1" s="204"/>
      <c r="STI1" s="204"/>
      <c r="STJ1" s="204"/>
      <c r="STK1" s="204"/>
      <c r="STL1" s="204"/>
      <c r="STM1" s="204"/>
      <c r="STN1" s="204"/>
      <c r="STO1" s="204"/>
      <c r="STP1" s="204"/>
      <c r="STQ1" s="204"/>
      <c r="STR1" s="204"/>
      <c r="STS1" s="204"/>
      <c r="STT1" s="204"/>
      <c r="STU1" s="204"/>
      <c r="STV1" s="205"/>
      <c r="STW1" s="204"/>
      <c r="STX1" s="204"/>
      <c r="STY1" s="204"/>
      <c r="STZ1" s="204"/>
      <c r="SUA1" s="204"/>
      <c r="SUB1" s="204"/>
      <c r="SUC1" s="204"/>
      <c r="SUD1" s="204"/>
      <c r="SUE1" s="204"/>
      <c r="SUF1" s="204"/>
      <c r="SUG1" s="204"/>
      <c r="SUH1" s="204"/>
      <c r="SUI1" s="204"/>
      <c r="SUJ1" s="204"/>
      <c r="SUK1" s="204"/>
      <c r="SUL1" s="204"/>
      <c r="SUM1" s="204"/>
      <c r="SUN1" s="204"/>
      <c r="SUO1" s="204"/>
      <c r="SUP1" s="204"/>
      <c r="SUQ1" s="204"/>
      <c r="SUR1" s="204"/>
      <c r="SUS1" s="204"/>
      <c r="SUT1" s="204"/>
      <c r="SUU1" s="204"/>
      <c r="SUV1" s="204"/>
      <c r="SUW1" s="204"/>
      <c r="SUX1" s="205"/>
      <c r="SUY1" s="204"/>
      <c r="SUZ1" s="204"/>
      <c r="SVA1" s="204"/>
      <c r="SVB1" s="204"/>
      <c r="SVC1" s="204"/>
      <c r="SVD1" s="204"/>
      <c r="SVE1" s="204"/>
      <c r="SVF1" s="204"/>
      <c r="SVG1" s="204"/>
      <c r="SVH1" s="204"/>
      <c r="SVI1" s="204"/>
      <c r="SVJ1" s="204"/>
      <c r="SVK1" s="204"/>
      <c r="SVL1" s="204"/>
      <c r="SVM1" s="204"/>
      <c r="SVN1" s="204"/>
      <c r="SVO1" s="204"/>
      <c r="SVP1" s="204"/>
      <c r="SVQ1" s="204"/>
      <c r="SVR1" s="204"/>
      <c r="SVS1" s="204"/>
      <c r="SVT1" s="204"/>
      <c r="SVU1" s="204"/>
      <c r="SVV1" s="204"/>
      <c r="SVW1" s="204"/>
      <c r="SVX1" s="204"/>
      <c r="SVY1" s="204"/>
      <c r="SVZ1" s="205"/>
      <c r="SWA1" s="204"/>
      <c r="SWB1" s="204"/>
      <c r="SWC1" s="204"/>
      <c r="SWD1" s="204"/>
      <c r="SWE1" s="204"/>
      <c r="SWF1" s="204"/>
      <c r="SWG1" s="204"/>
      <c r="SWH1" s="204"/>
      <c r="SWI1" s="204"/>
      <c r="SWJ1" s="204"/>
      <c r="SWK1" s="204"/>
      <c r="SWL1" s="204"/>
      <c r="SWM1" s="204"/>
      <c r="SWN1" s="204"/>
      <c r="SWO1" s="204"/>
      <c r="SWP1" s="204"/>
      <c r="SWQ1" s="204"/>
      <c r="SWR1" s="204"/>
      <c r="SWS1" s="204"/>
      <c r="SWT1" s="204"/>
      <c r="SWU1" s="204"/>
      <c r="SWV1" s="204"/>
      <c r="SWW1" s="204"/>
      <c r="SWX1" s="204"/>
      <c r="SWY1" s="204"/>
      <c r="SWZ1" s="204"/>
      <c r="SXA1" s="204"/>
      <c r="SXB1" s="205"/>
      <c r="SXC1" s="204"/>
      <c r="SXD1" s="204"/>
      <c r="SXE1" s="204"/>
      <c r="SXF1" s="204"/>
      <c r="SXG1" s="204"/>
      <c r="SXH1" s="204"/>
      <c r="SXI1" s="204"/>
      <c r="SXJ1" s="204"/>
      <c r="SXK1" s="204"/>
      <c r="SXL1" s="204"/>
      <c r="SXM1" s="204"/>
      <c r="SXN1" s="204"/>
      <c r="SXO1" s="204"/>
      <c r="SXP1" s="204"/>
      <c r="SXQ1" s="204"/>
      <c r="SXR1" s="204"/>
      <c r="SXS1" s="204"/>
      <c r="SXT1" s="204"/>
      <c r="SXU1" s="204"/>
      <c r="SXV1" s="204"/>
      <c r="SXW1" s="204"/>
      <c r="SXX1" s="204"/>
      <c r="SXY1" s="204"/>
      <c r="SXZ1" s="204"/>
      <c r="SYA1" s="204"/>
      <c r="SYB1" s="204"/>
      <c r="SYC1" s="204"/>
      <c r="SYD1" s="205"/>
      <c r="SYE1" s="204"/>
      <c r="SYF1" s="204"/>
      <c r="SYG1" s="204"/>
      <c r="SYH1" s="204"/>
      <c r="SYI1" s="204"/>
      <c r="SYJ1" s="204"/>
      <c r="SYK1" s="204"/>
      <c r="SYL1" s="204"/>
      <c r="SYM1" s="204"/>
      <c r="SYN1" s="204"/>
      <c r="SYO1" s="204"/>
      <c r="SYP1" s="204"/>
      <c r="SYQ1" s="204"/>
      <c r="SYR1" s="204"/>
      <c r="SYS1" s="204"/>
      <c r="SYT1" s="204"/>
      <c r="SYU1" s="204"/>
      <c r="SYV1" s="204"/>
      <c r="SYW1" s="204"/>
      <c r="SYX1" s="204"/>
      <c r="SYY1" s="204"/>
      <c r="SYZ1" s="204"/>
      <c r="SZA1" s="204"/>
      <c r="SZB1" s="204"/>
      <c r="SZC1" s="204"/>
      <c r="SZD1" s="204"/>
      <c r="SZE1" s="204"/>
      <c r="SZF1" s="205"/>
      <c r="SZG1" s="204"/>
      <c r="SZH1" s="204"/>
      <c r="SZI1" s="204"/>
      <c r="SZJ1" s="204"/>
      <c r="SZK1" s="204"/>
      <c r="SZL1" s="204"/>
      <c r="SZM1" s="204"/>
      <c r="SZN1" s="204"/>
      <c r="SZO1" s="204"/>
      <c r="SZP1" s="204"/>
      <c r="SZQ1" s="204"/>
      <c r="SZR1" s="204"/>
      <c r="SZS1" s="204"/>
      <c r="SZT1" s="204"/>
      <c r="SZU1" s="204"/>
      <c r="SZV1" s="204"/>
      <c r="SZW1" s="204"/>
      <c r="SZX1" s="204"/>
      <c r="SZY1" s="204"/>
      <c r="SZZ1" s="204"/>
      <c r="TAA1" s="204"/>
      <c r="TAB1" s="204"/>
      <c r="TAC1" s="204"/>
      <c r="TAD1" s="204"/>
      <c r="TAE1" s="204"/>
      <c r="TAF1" s="204"/>
      <c r="TAG1" s="204"/>
      <c r="TAH1" s="205"/>
      <c r="TAI1" s="204"/>
      <c r="TAJ1" s="204"/>
      <c r="TAK1" s="204"/>
      <c r="TAL1" s="204"/>
      <c r="TAM1" s="204"/>
      <c r="TAN1" s="204"/>
      <c r="TAO1" s="204"/>
      <c r="TAP1" s="204"/>
      <c r="TAQ1" s="204"/>
      <c r="TAR1" s="204"/>
      <c r="TAS1" s="204"/>
      <c r="TAT1" s="204"/>
      <c r="TAU1" s="204"/>
      <c r="TAV1" s="204"/>
      <c r="TAW1" s="204"/>
      <c r="TAX1" s="204"/>
      <c r="TAY1" s="204"/>
      <c r="TAZ1" s="204"/>
      <c r="TBA1" s="204"/>
      <c r="TBB1" s="204"/>
      <c r="TBC1" s="204"/>
      <c r="TBD1" s="204"/>
      <c r="TBE1" s="204"/>
      <c r="TBF1" s="204"/>
      <c r="TBG1" s="204"/>
      <c r="TBH1" s="204"/>
      <c r="TBI1" s="204"/>
      <c r="TBJ1" s="205"/>
      <c r="TBK1" s="204"/>
      <c r="TBL1" s="204"/>
      <c r="TBM1" s="204"/>
      <c r="TBN1" s="204"/>
      <c r="TBO1" s="204"/>
      <c r="TBP1" s="204"/>
      <c r="TBQ1" s="204"/>
      <c r="TBR1" s="204"/>
      <c r="TBS1" s="204"/>
      <c r="TBT1" s="204"/>
      <c r="TBU1" s="204"/>
      <c r="TBV1" s="204"/>
      <c r="TBW1" s="204"/>
      <c r="TBX1" s="204"/>
      <c r="TBY1" s="204"/>
      <c r="TBZ1" s="204"/>
      <c r="TCA1" s="204"/>
      <c r="TCB1" s="204"/>
      <c r="TCC1" s="204"/>
      <c r="TCD1" s="204"/>
      <c r="TCE1" s="204"/>
      <c r="TCF1" s="204"/>
      <c r="TCG1" s="204"/>
      <c r="TCH1" s="204"/>
      <c r="TCI1" s="204"/>
      <c r="TCJ1" s="204"/>
      <c r="TCK1" s="204"/>
      <c r="TCL1" s="205"/>
      <c r="TCM1" s="204"/>
      <c r="TCN1" s="204"/>
      <c r="TCO1" s="204"/>
      <c r="TCP1" s="204"/>
      <c r="TCQ1" s="204"/>
      <c r="TCR1" s="204"/>
      <c r="TCS1" s="204"/>
      <c r="TCT1" s="204"/>
      <c r="TCU1" s="204"/>
      <c r="TCV1" s="204"/>
      <c r="TCW1" s="204"/>
      <c r="TCX1" s="204"/>
      <c r="TCY1" s="204"/>
      <c r="TCZ1" s="204"/>
      <c r="TDA1" s="204"/>
      <c r="TDB1" s="204"/>
      <c r="TDC1" s="204"/>
      <c r="TDD1" s="204"/>
      <c r="TDE1" s="204"/>
      <c r="TDF1" s="204"/>
      <c r="TDG1" s="204"/>
      <c r="TDH1" s="204"/>
      <c r="TDI1" s="204"/>
      <c r="TDJ1" s="204"/>
      <c r="TDK1" s="204"/>
      <c r="TDL1" s="204"/>
      <c r="TDM1" s="204"/>
      <c r="TDN1" s="205"/>
      <c r="TDO1" s="204"/>
      <c r="TDP1" s="204"/>
      <c r="TDQ1" s="204"/>
      <c r="TDR1" s="204"/>
      <c r="TDS1" s="204"/>
      <c r="TDT1" s="204"/>
      <c r="TDU1" s="204"/>
      <c r="TDV1" s="204"/>
      <c r="TDW1" s="204"/>
      <c r="TDX1" s="204"/>
      <c r="TDY1" s="204"/>
      <c r="TDZ1" s="204"/>
      <c r="TEA1" s="204"/>
      <c r="TEB1" s="204"/>
      <c r="TEC1" s="204"/>
      <c r="TED1" s="204"/>
      <c r="TEE1" s="204"/>
      <c r="TEF1" s="204"/>
      <c r="TEG1" s="204"/>
      <c r="TEH1" s="204"/>
      <c r="TEI1" s="204"/>
      <c r="TEJ1" s="204"/>
      <c r="TEK1" s="204"/>
      <c r="TEL1" s="204"/>
      <c r="TEM1" s="204"/>
      <c r="TEN1" s="204"/>
      <c r="TEO1" s="204"/>
      <c r="TEP1" s="205"/>
      <c r="TEQ1" s="204"/>
      <c r="TER1" s="204"/>
      <c r="TES1" s="204"/>
      <c r="TET1" s="204"/>
      <c r="TEU1" s="204"/>
      <c r="TEV1" s="204"/>
      <c r="TEW1" s="204"/>
      <c r="TEX1" s="204"/>
      <c r="TEY1" s="204"/>
      <c r="TEZ1" s="204"/>
      <c r="TFA1" s="204"/>
      <c r="TFB1" s="204"/>
      <c r="TFC1" s="204"/>
      <c r="TFD1" s="204"/>
      <c r="TFE1" s="204"/>
      <c r="TFF1" s="204"/>
      <c r="TFG1" s="204"/>
      <c r="TFH1" s="204"/>
      <c r="TFI1" s="204"/>
      <c r="TFJ1" s="204"/>
      <c r="TFK1" s="204"/>
      <c r="TFL1" s="204"/>
      <c r="TFM1" s="204"/>
      <c r="TFN1" s="204"/>
      <c r="TFO1" s="204"/>
      <c r="TFP1" s="204"/>
      <c r="TFQ1" s="204"/>
      <c r="TFR1" s="205"/>
      <c r="TFS1" s="204"/>
      <c r="TFT1" s="204"/>
      <c r="TFU1" s="204"/>
      <c r="TFV1" s="204"/>
      <c r="TFW1" s="204"/>
      <c r="TFX1" s="204"/>
      <c r="TFY1" s="204"/>
      <c r="TFZ1" s="204"/>
      <c r="TGA1" s="204"/>
      <c r="TGB1" s="204"/>
      <c r="TGC1" s="204"/>
      <c r="TGD1" s="204"/>
      <c r="TGE1" s="204"/>
      <c r="TGF1" s="204"/>
      <c r="TGG1" s="204"/>
      <c r="TGH1" s="204"/>
      <c r="TGI1" s="204"/>
      <c r="TGJ1" s="204"/>
      <c r="TGK1" s="204"/>
      <c r="TGL1" s="204"/>
      <c r="TGM1" s="204"/>
      <c r="TGN1" s="204"/>
      <c r="TGO1" s="204"/>
      <c r="TGP1" s="204"/>
      <c r="TGQ1" s="204"/>
      <c r="TGR1" s="204"/>
      <c r="TGS1" s="204"/>
      <c r="TGT1" s="205"/>
      <c r="TGU1" s="204"/>
      <c r="TGV1" s="204"/>
      <c r="TGW1" s="204"/>
      <c r="TGX1" s="204"/>
      <c r="TGY1" s="204"/>
      <c r="TGZ1" s="204"/>
      <c r="THA1" s="204"/>
      <c r="THB1" s="204"/>
      <c r="THC1" s="204"/>
      <c r="THD1" s="204"/>
      <c r="THE1" s="204"/>
      <c r="THF1" s="204"/>
      <c r="THG1" s="204"/>
      <c r="THH1" s="204"/>
      <c r="THI1" s="204"/>
      <c r="THJ1" s="204"/>
      <c r="THK1" s="204"/>
      <c r="THL1" s="204"/>
      <c r="THM1" s="204"/>
      <c r="THN1" s="204"/>
      <c r="THO1" s="204"/>
      <c r="THP1" s="204"/>
      <c r="THQ1" s="204"/>
      <c r="THR1" s="204"/>
      <c r="THS1" s="204"/>
      <c r="THT1" s="204"/>
      <c r="THU1" s="204"/>
      <c r="THV1" s="205"/>
      <c r="THW1" s="204"/>
      <c r="THX1" s="204"/>
      <c r="THY1" s="204"/>
      <c r="THZ1" s="204"/>
      <c r="TIA1" s="204"/>
      <c r="TIB1" s="204"/>
      <c r="TIC1" s="204"/>
      <c r="TID1" s="204"/>
      <c r="TIE1" s="204"/>
      <c r="TIF1" s="204"/>
      <c r="TIG1" s="204"/>
      <c r="TIH1" s="204"/>
      <c r="TII1" s="204"/>
      <c r="TIJ1" s="204"/>
      <c r="TIK1" s="204"/>
      <c r="TIL1" s="204"/>
      <c r="TIM1" s="204"/>
      <c r="TIN1" s="204"/>
      <c r="TIO1" s="204"/>
      <c r="TIP1" s="204"/>
      <c r="TIQ1" s="204"/>
      <c r="TIR1" s="204"/>
      <c r="TIS1" s="204"/>
      <c r="TIT1" s="204"/>
      <c r="TIU1" s="204"/>
      <c r="TIV1" s="204"/>
      <c r="TIW1" s="204"/>
      <c r="TIX1" s="205"/>
      <c r="TIY1" s="204"/>
      <c r="TIZ1" s="204"/>
      <c r="TJA1" s="204"/>
      <c r="TJB1" s="204"/>
      <c r="TJC1" s="204"/>
      <c r="TJD1" s="204"/>
      <c r="TJE1" s="204"/>
      <c r="TJF1" s="204"/>
      <c r="TJG1" s="204"/>
      <c r="TJH1" s="204"/>
      <c r="TJI1" s="204"/>
      <c r="TJJ1" s="204"/>
      <c r="TJK1" s="204"/>
      <c r="TJL1" s="204"/>
      <c r="TJM1" s="204"/>
      <c r="TJN1" s="204"/>
      <c r="TJO1" s="204"/>
      <c r="TJP1" s="204"/>
      <c r="TJQ1" s="204"/>
      <c r="TJR1" s="204"/>
      <c r="TJS1" s="204"/>
      <c r="TJT1" s="204"/>
      <c r="TJU1" s="204"/>
      <c r="TJV1" s="204"/>
      <c r="TJW1" s="204"/>
      <c r="TJX1" s="204"/>
      <c r="TJY1" s="204"/>
      <c r="TJZ1" s="205"/>
      <c r="TKA1" s="204"/>
      <c r="TKB1" s="204"/>
      <c r="TKC1" s="204"/>
      <c r="TKD1" s="204"/>
      <c r="TKE1" s="204"/>
      <c r="TKF1" s="204"/>
      <c r="TKG1" s="204"/>
      <c r="TKH1" s="204"/>
      <c r="TKI1" s="204"/>
      <c r="TKJ1" s="204"/>
      <c r="TKK1" s="204"/>
      <c r="TKL1" s="204"/>
      <c r="TKM1" s="204"/>
      <c r="TKN1" s="204"/>
      <c r="TKO1" s="204"/>
      <c r="TKP1" s="204"/>
      <c r="TKQ1" s="204"/>
      <c r="TKR1" s="204"/>
      <c r="TKS1" s="204"/>
      <c r="TKT1" s="204"/>
      <c r="TKU1" s="204"/>
      <c r="TKV1" s="204"/>
      <c r="TKW1" s="204"/>
      <c r="TKX1" s="204"/>
      <c r="TKY1" s="204"/>
      <c r="TKZ1" s="204"/>
      <c r="TLA1" s="204"/>
      <c r="TLB1" s="205"/>
      <c r="TLC1" s="204"/>
      <c r="TLD1" s="204"/>
      <c r="TLE1" s="204"/>
      <c r="TLF1" s="204"/>
      <c r="TLG1" s="204"/>
      <c r="TLH1" s="204"/>
      <c r="TLI1" s="204"/>
      <c r="TLJ1" s="204"/>
      <c r="TLK1" s="204"/>
      <c r="TLL1" s="204"/>
      <c r="TLM1" s="204"/>
      <c r="TLN1" s="204"/>
      <c r="TLO1" s="204"/>
      <c r="TLP1" s="204"/>
      <c r="TLQ1" s="204"/>
      <c r="TLR1" s="204"/>
      <c r="TLS1" s="204"/>
      <c r="TLT1" s="204"/>
      <c r="TLU1" s="204"/>
      <c r="TLV1" s="204"/>
      <c r="TLW1" s="204"/>
      <c r="TLX1" s="204"/>
      <c r="TLY1" s="204"/>
      <c r="TLZ1" s="204"/>
      <c r="TMA1" s="204"/>
      <c r="TMB1" s="204"/>
      <c r="TMC1" s="204"/>
      <c r="TMD1" s="205"/>
      <c r="TME1" s="204"/>
      <c r="TMF1" s="204"/>
      <c r="TMG1" s="204"/>
      <c r="TMH1" s="204"/>
      <c r="TMI1" s="204"/>
      <c r="TMJ1" s="204"/>
      <c r="TMK1" s="204"/>
      <c r="TML1" s="204"/>
      <c r="TMM1" s="204"/>
      <c r="TMN1" s="204"/>
      <c r="TMO1" s="204"/>
      <c r="TMP1" s="204"/>
      <c r="TMQ1" s="204"/>
      <c r="TMR1" s="204"/>
      <c r="TMS1" s="204"/>
      <c r="TMT1" s="204"/>
      <c r="TMU1" s="204"/>
      <c r="TMV1" s="204"/>
      <c r="TMW1" s="204"/>
      <c r="TMX1" s="204"/>
      <c r="TMY1" s="204"/>
      <c r="TMZ1" s="204"/>
      <c r="TNA1" s="204"/>
      <c r="TNB1" s="204"/>
      <c r="TNC1" s="204"/>
      <c r="TND1" s="204"/>
      <c r="TNE1" s="204"/>
      <c r="TNF1" s="205"/>
      <c r="TNG1" s="204"/>
      <c r="TNH1" s="204"/>
      <c r="TNI1" s="204"/>
      <c r="TNJ1" s="204"/>
      <c r="TNK1" s="204"/>
      <c r="TNL1" s="204"/>
      <c r="TNM1" s="204"/>
      <c r="TNN1" s="204"/>
      <c r="TNO1" s="204"/>
      <c r="TNP1" s="204"/>
      <c r="TNQ1" s="204"/>
      <c r="TNR1" s="204"/>
      <c r="TNS1" s="204"/>
      <c r="TNT1" s="204"/>
      <c r="TNU1" s="204"/>
      <c r="TNV1" s="204"/>
      <c r="TNW1" s="204"/>
      <c r="TNX1" s="204"/>
      <c r="TNY1" s="204"/>
      <c r="TNZ1" s="204"/>
      <c r="TOA1" s="204"/>
      <c r="TOB1" s="204"/>
      <c r="TOC1" s="204"/>
      <c r="TOD1" s="204"/>
      <c r="TOE1" s="204"/>
      <c r="TOF1" s="204"/>
      <c r="TOG1" s="204"/>
      <c r="TOH1" s="205"/>
      <c r="TOI1" s="204"/>
      <c r="TOJ1" s="204"/>
      <c r="TOK1" s="204"/>
      <c r="TOL1" s="204"/>
      <c r="TOM1" s="204"/>
      <c r="TON1" s="204"/>
      <c r="TOO1" s="204"/>
      <c r="TOP1" s="204"/>
      <c r="TOQ1" s="204"/>
      <c r="TOR1" s="204"/>
      <c r="TOS1" s="204"/>
      <c r="TOT1" s="204"/>
      <c r="TOU1" s="204"/>
      <c r="TOV1" s="204"/>
      <c r="TOW1" s="204"/>
      <c r="TOX1" s="204"/>
      <c r="TOY1" s="204"/>
      <c r="TOZ1" s="204"/>
      <c r="TPA1" s="204"/>
      <c r="TPB1" s="204"/>
      <c r="TPC1" s="204"/>
      <c r="TPD1" s="204"/>
      <c r="TPE1" s="204"/>
      <c r="TPF1" s="204"/>
      <c r="TPG1" s="204"/>
      <c r="TPH1" s="204"/>
      <c r="TPI1" s="204"/>
      <c r="TPJ1" s="205"/>
      <c r="TPK1" s="204"/>
      <c r="TPL1" s="204"/>
      <c r="TPM1" s="204"/>
      <c r="TPN1" s="204"/>
      <c r="TPO1" s="204"/>
      <c r="TPP1" s="204"/>
      <c r="TPQ1" s="204"/>
      <c r="TPR1" s="204"/>
      <c r="TPS1" s="204"/>
      <c r="TPT1" s="204"/>
      <c r="TPU1" s="204"/>
      <c r="TPV1" s="204"/>
      <c r="TPW1" s="204"/>
      <c r="TPX1" s="204"/>
      <c r="TPY1" s="204"/>
      <c r="TPZ1" s="204"/>
      <c r="TQA1" s="204"/>
      <c r="TQB1" s="204"/>
      <c r="TQC1" s="204"/>
      <c r="TQD1" s="204"/>
      <c r="TQE1" s="204"/>
      <c r="TQF1" s="204"/>
      <c r="TQG1" s="204"/>
      <c r="TQH1" s="204"/>
      <c r="TQI1" s="204"/>
      <c r="TQJ1" s="204"/>
      <c r="TQK1" s="204"/>
      <c r="TQL1" s="205"/>
      <c r="TQM1" s="204"/>
      <c r="TQN1" s="204"/>
      <c r="TQO1" s="204"/>
      <c r="TQP1" s="204"/>
      <c r="TQQ1" s="204"/>
      <c r="TQR1" s="204"/>
      <c r="TQS1" s="204"/>
      <c r="TQT1" s="204"/>
      <c r="TQU1" s="204"/>
      <c r="TQV1" s="204"/>
      <c r="TQW1" s="204"/>
      <c r="TQX1" s="204"/>
      <c r="TQY1" s="204"/>
      <c r="TQZ1" s="204"/>
      <c r="TRA1" s="204"/>
      <c r="TRB1" s="204"/>
      <c r="TRC1" s="204"/>
      <c r="TRD1" s="204"/>
      <c r="TRE1" s="204"/>
      <c r="TRF1" s="204"/>
      <c r="TRG1" s="204"/>
      <c r="TRH1" s="204"/>
      <c r="TRI1" s="204"/>
      <c r="TRJ1" s="204"/>
      <c r="TRK1" s="204"/>
      <c r="TRL1" s="204"/>
      <c r="TRM1" s="204"/>
      <c r="TRN1" s="205"/>
      <c r="TRO1" s="204"/>
      <c r="TRP1" s="204"/>
      <c r="TRQ1" s="204"/>
      <c r="TRR1" s="204"/>
      <c r="TRS1" s="204"/>
      <c r="TRT1" s="204"/>
      <c r="TRU1" s="204"/>
      <c r="TRV1" s="204"/>
      <c r="TRW1" s="204"/>
      <c r="TRX1" s="204"/>
      <c r="TRY1" s="204"/>
      <c r="TRZ1" s="204"/>
      <c r="TSA1" s="204"/>
      <c r="TSB1" s="204"/>
      <c r="TSC1" s="204"/>
      <c r="TSD1" s="204"/>
      <c r="TSE1" s="204"/>
      <c r="TSF1" s="204"/>
      <c r="TSG1" s="204"/>
      <c r="TSH1" s="204"/>
      <c r="TSI1" s="204"/>
      <c r="TSJ1" s="204"/>
      <c r="TSK1" s="204"/>
      <c r="TSL1" s="204"/>
      <c r="TSM1" s="204"/>
      <c r="TSN1" s="204"/>
      <c r="TSO1" s="204"/>
      <c r="TSP1" s="205"/>
      <c r="TSQ1" s="204"/>
      <c r="TSR1" s="204"/>
      <c r="TSS1" s="204"/>
      <c r="TST1" s="204"/>
      <c r="TSU1" s="204"/>
      <c r="TSV1" s="204"/>
      <c r="TSW1" s="204"/>
      <c r="TSX1" s="204"/>
      <c r="TSY1" s="204"/>
      <c r="TSZ1" s="204"/>
      <c r="TTA1" s="204"/>
      <c r="TTB1" s="204"/>
      <c r="TTC1" s="204"/>
      <c r="TTD1" s="204"/>
      <c r="TTE1" s="204"/>
      <c r="TTF1" s="204"/>
      <c r="TTG1" s="204"/>
      <c r="TTH1" s="204"/>
      <c r="TTI1" s="204"/>
      <c r="TTJ1" s="204"/>
      <c r="TTK1" s="204"/>
      <c r="TTL1" s="204"/>
      <c r="TTM1" s="204"/>
      <c r="TTN1" s="204"/>
      <c r="TTO1" s="204"/>
      <c r="TTP1" s="204"/>
      <c r="TTQ1" s="204"/>
      <c r="TTR1" s="205"/>
      <c r="TTS1" s="204"/>
      <c r="TTT1" s="204"/>
      <c r="TTU1" s="204"/>
      <c r="TTV1" s="204"/>
      <c r="TTW1" s="204"/>
      <c r="TTX1" s="204"/>
      <c r="TTY1" s="204"/>
      <c r="TTZ1" s="204"/>
      <c r="TUA1" s="204"/>
      <c r="TUB1" s="204"/>
      <c r="TUC1" s="204"/>
      <c r="TUD1" s="204"/>
      <c r="TUE1" s="204"/>
      <c r="TUF1" s="204"/>
      <c r="TUG1" s="204"/>
      <c r="TUH1" s="204"/>
      <c r="TUI1" s="204"/>
      <c r="TUJ1" s="204"/>
      <c r="TUK1" s="204"/>
      <c r="TUL1" s="204"/>
      <c r="TUM1" s="204"/>
      <c r="TUN1" s="204"/>
      <c r="TUO1" s="204"/>
      <c r="TUP1" s="204"/>
      <c r="TUQ1" s="204"/>
      <c r="TUR1" s="204"/>
      <c r="TUS1" s="204"/>
      <c r="TUT1" s="205"/>
      <c r="TUU1" s="204"/>
      <c r="TUV1" s="204"/>
      <c r="TUW1" s="204"/>
      <c r="TUX1" s="204"/>
      <c r="TUY1" s="204"/>
      <c r="TUZ1" s="204"/>
      <c r="TVA1" s="204"/>
      <c r="TVB1" s="204"/>
      <c r="TVC1" s="204"/>
      <c r="TVD1" s="204"/>
      <c r="TVE1" s="204"/>
      <c r="TVF1" s="204"/>
      <c r="TVG1" s="204"/>
      <c r="TVH1" s="204"/>
      <c r="TVI1" s="204"/>
      <c r="TVJ1" s="204"/>
      <c r="TVK1" s="204"/>
      <c r="TVL1" s="204"/>
      <c r="TVM1" s="204"/>
      <c r="TVN1" s="204"/>
      <c r="TVO1" s="204"/>
      <c r="TVP1" s="204"/>
      <c r="TVQ1" s="204"/>
      <c r="TVR1" s="204"/>
      <c r="TVS1" s="204"/>
      <c r="TVT1" s="204"/>
      <c r="TVU1" s="204"/>
      <c r="TVV1" s="205"/>
      <c r="TVW1" s="204"/>
      <c r="TVX1" s="204"/>
      <c r="TVY1" s="204"/>
      <c r="TVZ1" s="204"/>
      <c r="TWA1" s="204"/>
      <c r="TWB1" s="204"/>
      <c r="TWC1" s="204"/>
      <c r="TWD1" s="204"/>
      <c r="TWE1" s="204"/>
      <c r="TWF1" s="204"/>
      <c r="TWG1" s="204"/>
      <c r="TWH1" s="204"/>
      <c r="TWI1" s="204"/>
      <c r="TWJ1" s="204"/>
      <c r="TWK1" s="204"/>
      <c r="TWL1" s="204"/>
      <c r="TWM1" s="204"/>
      <c r="TWN1" s="204"/>
      <c r="TWO1" s="204"/>
      <c r="TWP1" s="204"/>
      <c r="TWQ1" s="204"/>
      <c r="TWR1" s="204"/>
      <c r="TWS1" s="204"/>
      <c r="TWT1" s="204"/>
      <c r="TWU1" s="204"/>
      <c r="TWV1" s="204"/>
      <c r="TWW1" s="204"/>
      <c r="TWX1" s="205"/>
      <c r="TWY1" s="204"/>
      <c r="TWZ1" s="204"/>
      <c r="TXA1" s="204"/>
      <c r="TXB1" s="204"/>
      <c r="TXC1" s="204"/>
      <c r="TXD1" s="204"/>
      <c r="TXE1" s="204"/>
      <c r="TXF1" s="204"/>
      <c r="TXG1" s="204"/>
      <c r="TXH1" s="204"/>
      <c r="TXI1" s="204"/>
      <c r="TXJ1" s="204"/>
      <c r="TXK1" s="204"/>
      <c r="TXL1" s="204"/>
      <c r="TXM1" s="204"/>
      <c r="TXN1" s="204"/>
      <c r="TXO1" s="204"/>
      <c r="TXP1" s="204"/>
      <c r="TXQ1" s="204"/>
      <c r="TXR1" s="204"/>
      <c r="TXS1" s="204"/>
      <c r="TXT1" s="204"/>
      <c r="TXU1" s="204"/>
      <c r="TXV1" s="204"/>
      <c r="TXW1" s="204"/>
      <c r="TXX1" s="204"/>
      <c r="TXY1" s="204"/>
      <c r="TXZ1" s="205"/>
      <c r="TYA1" s="204"/>
      <c r="TYB1" s="204"/>
      <c r="TYC1" s="204"/>
      <c r="TYD1" s="204"/>
      <c r="TYE1" s="204"/>
      <c r="TYF1" s="204"/>
      <c r="TYG1" s="204"/>
      <c r="TYH1" s="204"/>
      <c r="TYI1" s="204"/>
      <c r="TYJ1" s="204"/>
      <c r="TYK1" s="204"/>
      <c r="TYL1" s="204"/>
      <c r="TYM1" s="204"/>
      <c r="TYN1" s="204"/>
      <c r="TYO1" s="204"/>
      <c r="TYP1" s="204"/>
      <c r="TYQ1" s="204"/>
      <c r="TYR1" s="204"/>
      <c r="TYS1" s="204"/>
      <c r="TYT1" s="204"/>
      <c r="TYU1" s="204"/>
      <c r="TYV1" s="204"/>
      <c r="TYW1" s="204"/>
      <c r="TYX1" s="204"/>
      <c r="TYY1" s="204"/>
      <c r="TYZ1" s="204"/>
      <c r="TZA1" s="204"/>
      <c r="TZB1" s="205"/>
      <c r="TZC1" s="204"/>
      <c r="TZD1" s="204"/>
      <c r="TZE1" s="204"/>
      <c r="TZF1" s="204"/>
      <c r="TZG1" s="204"/>
      <c r="TZH1" s="204"/>
      <c r="TZI1" s="204"/>
      <c r="TZJ1" s="204"/>
      <c r="TZK1" s="204"/>
      <c r="TZL1" s="204"/>
      <c r="TZM1" s="204"/>
      <c r="TZN1" s="204"/>
      <c r="TZO1" s="204"/>
      <c r="TZP1" s="204"/>
      <c r="TZQ1" s="204"/>
      <c r="TZR1" s="204"/>
      <c r="TZS1" s="204"/>
      <c r="TZT1" s="204"/>
      <c r="TZU1" s="204"/>
      <c r="TZV1" s="204"/>
      <c r="TZW1" s="204"/>
      <c r="TZX1" s="204"/>
      <c r="TZY1" s="204"/>
      <c r="TZZ1" s="204"/>
      <c r="UAA1" s="204"/>
      <c r="UAB1" s="204"/>
      <c r="UAC1" s="204"/>
      <c r="UAD1" s="205"/>
      <c r="UAE1" s="204"/>
      <c r="UAF1" s="204"/>
      <c r="UAG1" s="204"/>
      <c r="UAH1" s="204"/>
      <c r="UAI1" s="204"/>
      <c r="UAJ1" s="204"/>
      <c r="UAK1" s="204"/>
      <c r="UAL1" s="204"/>
      <c r="UAM1" s="204"/>
      <c r="UAN1" s="204"/>
      <c r="UAO1" s="204"/>
      <c r="UAP1" s="204"/>
      <c r="UAQ1" s="204"/>
      <c r="UAR1" s="204"/>
      <c r="UAS1" s="204"/>
      <c r="UAT1" s="204"/>
      <c r="UAU1" s="204"/>
      <c r="UAV1" s="204"/>
      <c r="UAW1" s="204"/>
      <c r="UAX1" s="204"/>
      <c r="UAY1" s="204"/>
      <c r="UAZ1" s="204"/>
      <c r="UBA1" s="204"/>
      <c r="UBB1" s="204"/>
      <c r="UBC1" s="204"/>
      <c r="UBD1" s="204"/>
      <c r="UBE1" s="204"/>
      <c r="UBF1" s="205"/>
      <c r="UBG1" s="204"/>
      <c r="UBH1" s="204"/>
      <c r="UBI1" s="204"/>
      <c r="UBJ1" s="204"/>
      <c r="UBK1" s="204"/>
      <c r="UBL1" s="204"/>
      <c r="UBM1" s="204"/>
      <c r="UBN1" s="204"/>
      <c r="UBO1" s="204"/>
      <c r="UBP1" s="204"/>
      <c r="UBQ1" s="204"/>
      <c r="UBR1" s="204"/>
      <c r="UBS1" s="204"/>
      <c r="UBT1" s="204"/>
      <c r="UBU1" s="204"/>
      <c r="UBV1" s="204"/>
      <c r="UBW1" s="204"/>
      <c r="UBX1" s="204"/>
      <c r="UBY1" s="204"/>
      <c r="UBZ1" s="204"/>
      <c r="UCA1" s="204"/>
      <c r="UCB1" s="204"/>
      <c r="UCC1" s="204"/>
      <c r="UCD1" s="204"/>
      <c r="UCE1" s="204"/>
      <c r="UCF1" s="204"/>
      <c r="UCG1" s="204"/>
      <c r="UCH1" s="205"/>
      <c r="UCI1" s="204"/>
      <c r="UCJ1" s="204"/>
      <c r="UCK1" s="204"/>
      <c r="UCL1" s="204"/>
      <c r="UCM1" s="204"/>
      <c r="UCN1" s="204"/>
      <c r="UCO1" s="204"/>
      <c r="UCP1" s="204"/>
      <c r="UCQ1" s="204"/>
      <c r="UCR1" s="204"/>
      <c r="UCS1" s="204"/>
      <c r="UCT1" s="204"/>
      <c r="UCU1" s="204"/>
      <c r="UCV1" s="204"/>
      <c r="UCW1" s="204"/>
      <c r="UCX1" s="204"/>
      <c r="UCY1" s="204"/>
      <c r="UCZ1" s="204"/>
      <c r="UDA1" s="204"/>
      <c r="UDB1" s="204"/>
      <c r="UDC1" s="204"/>
      <c r="UDD1" s="204"/>
      <c r="UDE1" s="204"/>
      <c r="UDF1" s="204"/>
      <c r="UDG1" s="204"/>
      <c r="UDH1" s="204"/>
      <c r="UDI1" s="204"/>
      <c r="UDJ1" s="205"/>
      <c r="UDK1" s="204"/>
      <c r="UDL1" s="204"/>
      <c r="UDM1" s="204"/>
      <c r="UDN1" s="204"/>
      <c r="UDO1" s="204"/>
      <c r="UDP1" s="204"/>
      <c r="UDQ1" s="204"/>
      <c r="UDR1" s="204"/>
      <c r="UDS1" s="204"/>
      <c r="UDT1" s="204"/>
      <c r="UDU1" s="204"/>
      <c r="UDV1" s="204"/>
      <c r="UDW1" s="204"/>
      <c r="UDX1" s="204"/>
      <c r="UDY1" s="204"/>
      <c r="UDZ1" s="204"/>
      <c r="UEA1" s="204"/>
      <c r="UEB1" s="204"/>
      <c r="UEC1" s="204"/>
      <c r="UED1" s="204"/>
      <c r="UEE1" s="204"/>
      <c r="UEF1" s="204"/>
      <c r="UEG1" s="204"/>
      <c r="UEH1" s="204"/>
      <c r="UEI1" s="204"/>
      <c r="UEJ1" s="204"/>
      <c r="UEK1" s="204"/>
      <c r="UEL1" s="205"/>
      <c r="UEM1" s="204"/>
      <c r="UEN1" s="204"/>
      <c r="UEO1" s="204"/>
      <c r="UEP1" s="204"/>
      <c r="UEQ1" s="204"/>
      <c r="UER1" s="204"/>
      <c r="UES1" s="204"/>
      <c r="UET1" s="204"/>
      <c r="UEU1" s="204"/>
      <c r="UEV1" s="204"/>
      <c r="UEW1" s="204"/>
      <c r="UEX1" s="204"/>
      <c r="UEY1" s="204"/>
      <c r="UEZ1" s="204"/>
      <c r="UFA1" s="204"/>
      <c r="UFB1" s="204"/>
      <c r="UFC1" s="204"/>
      <c r="UFD1" s="204"/>
      <c r="UFE1" s="204"/>
      <c r="UFF1" s="204"/>
      <c r="UFG1" s="204"/>
      <c r="UFH1" s="204"/>
      <c r="UFI1" s="204"/>
      <c r="UFJ1" s="204"/>
      <c r="UFK1" s="204"/>
      <c r="UFL1" s="204"/>
      <c r="UFM1" s="204"/>
      <c r="UFN1" s="205"/>
      <c r="UFO1" s="204"/>
      <c r="UFP1" s="204"/>
      <c r="UFQ1" s="204"/>
      <c r="UFR1" s="204"/>
      <c r="UFS1" s="204"/>
      <c r="UFT1" s="204"/>
      <c r="UFU1" s="204"/>
      <c r="UFV1" s="204"/>
      <c r="UFW1" s="204"/>
      <c r="UFX1" s="204"/>
      <c r="UFY1" s="204"/>
      <c r="UFZ1" s="204"/>
      <c r="UGA1" s="204"/>
      <c r="UGB1" s="204"/>
      <c r="UGC1" s="204"/>
      <c r="UGD1" s="204"/>
      <c r="UGE1" s="204"/>
      <c r="UGF1" s="204"/>
      <c r="UGG1" s="204"/>
      <c r="UGH1" s="204"/>
      <c r="UGI1" s="204"/>
      <c r="UGJ1" s="204"/>
      <c r="UGK1" s="204"/>
      <c r="UGL1" s="204"/>
      <c r="UGM1" s="204"/>
      <c r="UGN1" s="204"/>
      <c r="UGO1" s="204"/>
      <c r="UGP1" s="205"/>
      <c r="UGQ1" s="204"/>
      <c r="UGR1" s="204"/>
      <c r="UGS1" s="204"/>
      <c r="UGT1" s="204"/>
      <c r="UGU1" s="204"/>
      <c r="UGV1" s="204"/>
      <c r="UGW1" s="204"/>
      <c r="UGX1" s="204"/>
      <c r="UGY1" s="204"/>
      <c r="UGZ1" s="204"/>
      <c r="UHA1" s="204"/>
      <c r="UHB1" s="204"/>
      <c r="UHC1" s="204"/>
      <c r="UHD1" s="204"/>
      <c r="UHE1" s="204"/>
      <c r="UHF1" s="204"/>
      <c r="UHG1" s="204"/>
      <c r="UHH1" s="204"/>
      <c r="UHI1" s="204"/>
      <c r="UHJ1" s="204"/>
      <c r="UHK1" s="204"/>
      <c r="UHL1" s="204"/>
      <c r="UHM1" s="204"/>
      <c r="UHN1" s="204"/>
      <c r="UHO1" s="204"/>
      <c r="UHP1" s="204"/>
      <c r="UHQ1" s="204"/>
      <c r="UHR1" s="205"/>
      <c r="UHS1" s="204"/>
      <c r="UHT1" s="204"/>
      <c r="UHU1" s="204"/>
      <c r="UHV1" s="204"/>
      <c r="UHW1" s="204"/>
      <c r="UHX1" s="204"/>
      <c r="UHY1" s="204"/>
      <c r="UHZ1" s="204"/>
      <c r="UIA1" s="204"/>
      <c r="UIB1" s="204"/>
      <c r="UIC1" s="204"/>
      <c r="UID1" s="204"/>
      <c r="UIE1" s="204"/>
      <c r="UIF1" s="204"/>
      <c r="UIG1" s="204"/>
      <c r="UIH1" s="204"/>
      <c r="UII1" s="204"/>
      <c r="UIJ1" s="204"/>
      <c r="UIK1" s="204"/>
      <c r="UIL1" s="204"/>
      <c r="UIM1" s="204"/>
      <c r="UIN1" s="204"/>
      <c r="UIO1" s="204"/>
      <c r="UIP1" s="204"/>
      <c r="UIQ1" s="204"/>
      <c r="UIR1" s="204"/>
      <c r="UIS1" s="204"/>
      <c r="UIT1" s="205"/>
      <c r="UIU1" s="204"/>
      <c r="UIV1" s="204"/>
      <c r="UIW1" s="204"/>
      <c r="UIX1" s="204"/>
      <c r="UIY1" s="204"/>
      <c r="UIZ1" s="204"/>
      <c r="UJA1" s="204"/>
      <c r="UJB1" s="204"/>
      <c r="UJC1" s="204"/>
      <c r="UJD1" s="204"/>
      <c r="UJE1" s="204"/>
      <c r="UJF1" s="204"/>
      <c r="UJG1" s="204"/>
      <c r="UJH1" s="204"/>
      <c r="UJI1" s="204"/>
      <c r="UJJ1" s="204"/>
      <c r="UJK1" s="204"/>
      <c r="UJL1" s="204"/>
      <c r="UJM1" s="204"/>
      <c r="UJN1" s="204"/>
      <c r="UJO1" s="204"/>
      <c r="UJP1" s="204"/>
      <c r="UJQ1" s="204"/>
      <c r="UJR1" s="204"/>
      <c r="UJS1" s="204"/>
      <c r="UJT1" s="204"/>
      <c r="UJU1" s="204"/>
      <c r="UJV1" s="205"/>
      <c r="UJW1" s="204"/>
      <c r="UJX1" s="204"/>
      <c r="UJY1" s="204"/>
      <c r="UJZ1" s="204"/>
      <c r="UKA1" s="204"/>
      <c r="UKB1" s="204"/>
      <c r="UKC1" s="204"/>
      <c r="UKD1" s="204"/>
      <c r="UKE1" s="204"/>
      <c r="UKF1" s="204"/>
      <c r="UKG1" s="204"/>
      <c r="UKH1" s="204"/>
      <c r="UKI1" s="204"/>
      <c r="UKJ1" s="204"/>
      <c r="UKK1" s="204"/>
      <c r="UKL1" s="204"/>
      <c r="UKM1" s="204"/>
      <c r="UKN1" s="204"/>
      <c r="UKO1" s="204"/>
      <c r="UKP1" s="204"/>
      <c r="UKQ1" s="204"/>
      <c r="UKR1" s="204"/>
      <c r="UKS1" s="204"/>
      <c r="UKT1" s="204"/>
      <c r="UKU1" s="204"/>
      <c r="UKV1" s="204"/>
      <c r="UKW1" s="204"/>
      <c r="UKX1" s="205"/>
      <c r="UKY1" s="204"/>
      <c r="UKZ1" s="204"/>
      <c r="ULA1" s="204"/>
      <c r="ULB1" s="204"/>
      <c r="ULC1" s="204"/>
      <c r="ULD1" s="204"/>
      <c r="ULE1" s="204"/>
      <c r="ULF1" s="204"/>
      <c r="ULG1" s="204"/>
      <c r="ULH1" s="204"/>
      <c r="ULI1" s="204"/>
      <c r="ULJ1" s="204"/>
      <c r="ULK1" s="204"/>
      <c r="ULL1" s="204"/>
      <c r="ULM1" s="204"/>
      <c r="ULN1" s="204"/>
      <c r="ULO1" s="204"/>
      <c r="ULP1" s="204"/>
      <c r="ULQ1" s="204"/>
      <c r="ULR1" s="204"/>
      <c r="ULS1" s="204"/>
      <c r="ULT1" s="204"/>
      <c r="ULU1" s="204"/>
      <c r="ULV1" s="204"/>
      <c r="ULW1" s="204"/>
      <c r="ULX1" s="204"/>
      <c r="ULY1" s="204"/>
      <c r="ULZ1" s="205"/>
      <c r="UMA1" s="204"/>
      <c r="UMB1" s="204"/>
      <c r="UMC1" s="204"/>
      <c r="UMD1" s="204"/>
      <c r="UME1" s="204"/>
      <c r="UMF1" s="204"/>
      <c r="UMG1" s="204"/>
      <c r="UMH1" s="204"/>
      <c r="UMI1" s="204"/>
      <c r="UMJ1" s="204"/>
      <c r="UMK1" s="204"/>
      <c r="UML1" s="204"/>
      <c r="UMM1" s="204"/>
      <c r="UMN1" s="204"/>
      <c r="UMO1" s="204"/>
      <c r="UMP1" s="204"/>
      <c r="UMQ1" s="204"/>
      <c r="UMR1" s="204"/>
      <c r="UMS1" s="204"/>
      <c r="UMT1" s="204"/>
      <c r="UMU1" s="204"/>
      <c r="UMV1" s="204"/>
      <c r="UMW1" s="204"/>
      <c r="UMX1" s="204"/>
      <c r="UMY1" s="204"/>
      <c r="UMZ1" s="204"/>
      <c r="UNA1" s="204"/>
      <c r="UNB1" s="205"/>
      <c r="UNC1" s="204"/>
      <c r="UND1" s="204"/>
      <c r="UNE1" s="204"/>
      <c r="UNF1" s="204"/>
      <c r="UNG1" s="204"/>
      <c r="UNH1" s="204"/>
      <c r="UNI1" s="204"/>
      <c r="UNJ1" s="204"/>
      <c r="UNK1" s="204"/>
      <c r="UNL1" s="204"/>
      <c r="UNM1" s="204"/>
      <c r="UNN1" s="204"/>
      <c r="UNO1" s="204"/>
      <c r="UNP1" s="204"/>
      <c r="UNQ1" s="204"/>
      <c r="UNR1" s="204"/>
      <c r="UNS1" s="204"/>
      <c r="UNT1" s="204"/>
      <c r="UNU1" s="204"/>
      <c r="UNV1" s="204"/>
      <c r="UNW1" s="204"/>
      <c r="UNX1" s="204"/>
      <c r="UNY1" s="204"/>
      <c r="UNZ1" s="204"/>
      <c r="UOA1" s="204"/>
      <c r="UOB1" s="204"/>
      <c r="UOC1" s="204"/>
      <c r="UOD1" s="205"/>
      <c r="UOE1" s="204"/>
      <c r="UOF1" s="204"/>
      <c r="UOG1" s="204"/>
      <c r="UOH1" s="204"/>
      <c r="UOI1" s="204"/>
      <c r="UOJ1" s="204"/>
      <c r="UOK1" s="204"/>
      <c r="UOL1" s="204"/>
      <c r="UOM1" s="204"/>
      <c r="UON1" s="204"/>
      <c r="UOO1" s="204"/>
      <c r="UOP1" s="204"/>
      <c r="UOQ1" s="204"/>
      <c r="UOR1" s="204"/>
      <c r="UOS1" s="204"/>
      <c r="UOT1" s="204"/>
      <c r="UOU1" s="204"/>
      <c r="UOV1" s="204"/>
      <c r="UOW1" s="204"/>
      <c r="UOX1" s="204"/>
      <c r="UOY1" s="204"/>
      <c r="UOZ1" s="204"/>
      <c r="UPA1" s="204"/>
      <c r="UPB1" s="204"/>
      <c r="UPC1" s="204"/>
      <c r="UPD1" s="204"/>
      <c r="UPE1" s="204"/>
      <c r="UPF1" s="205"/>
      <c r="UPG1" s="204"/>
      <c r="UPH1" s="204"/>
      <c r="UPI1" s="204"/>
      <c r="UPJ1" s="204"/>
      <c r="UPK1" s="204"/>
      <c r="UPL1" s="204"/>
      <c r="UPM1" s="204"/>
      <c r="UPN1" s="204"/>
      <c r="UPO1" s="204"/>
      <c r="UPP1" s="204"/>
      <c r="UPQ1" s="204"/>
      <c r="UPR1" s="204"/>
      <c r="UPS1" s="204"/>
      <c r="UPT1" s="204"/>
      <c r="UPU1" s="204"/>
      <c r="UPV1" s="204"/>
      <c r="UPW1" s="204"/>
      <c r="UPX1" s="204"/>
      <c r="UPY1" s="204"/>
      <c r="UPZ1" s="204"/>
      <c r="UQA1" s="204"/>
      <c r="UQB1" s="204"/>
      <c r="UQC1" s="204"/>
      <c r="UQD1" s="204"/>
      <c r="UQE1" s="204"/>
      <c r="UQF1" s="204"/>
      <c r="UQG1" s="204"/>
      <c r="UQH1" s="205"/>
      <c r="UQI1" s="204"/>
      <c r="UQJ1" s="204"/>
      <c r="UQK1" s="204"/>
      <c r="UQL1" s="204"/>
      <c r="UQM1" s="204"/>
      <c r="UQN1" s="204"/>
      <c r="UQO1" s="204"/>
      <c r="UQP1" s="204"/>
      <c r="UQQ1" s="204"/>
      <c r="UQR1" s="204"/>
      <c r="UQS1" s="204"/>
      <c r="UQT1" s="204"/>
      <c r="UQU1" s="204"/>
      <c r="UQV1" s="204"/>
      <c r="UQW1" s="204"/>
      <c r="UQX1" s="204"/>
      <c r="UQY1" s="204"/>
      <c r="UQZ1" s="204"/>
      <c r="URA1" s="204"/>
      <c r="URB1" s="204"/>
      <c r="URC1" s="204"/>
      <c r="URD1" s="204"/>
      <c r="URE1" s="204"/>
      <c r="URF1" s="204"/>
      <c r="URG1" s="204"/>
      <c r="URH1" s="204"/>
      <c r="URI1" s="204"/>
      <c r="URJ1" s="205"/>
      <c r="URK1" s="204"/>
      <c r="URL1" s="204"/>
      <c r="URM1" s="204"/>
      <c r="URN1" s="204"/>
      <c r="URO1" s="204"/>
      <c r="URP1" s="204"/>
      <c r="URQ1" s="204"/>
      <c r="URR1" s="204"/>
      <c r="URS1" s="204"/>
      <c r="URT1" s="204"/>
      <c r="URU1" s="204"/>
      <c r="URV1" s="204"/>
      <c r="URW1" s="204"/>
      <c r="URX1" s="204"/>
      <c r="URY1" s="204"/>
      <c r="URZ1" s="204"/>
      <c r="USA1" s="204"/>
      <c r="USB1" s="204"/>
      <c r="USC1" s="204"/>
      <c r="USD1" s="204"/>
      <c r="USE1" s="204"/>
      <c r="USF1" s="204"/>
      <c r="USG1" s="204"/>
      <c r="USH1" s="204"/>
      <c r="USI1" s="204"/>
      <c r="USJ1" s="204"/>
      <c r="USK1" s="204"/>
      <c r="USL1" s="205"/>
      <c r="USM1" s="204"/>
      <c r="USN1" s="204"/>
      <c r="USO1" s="204"/>
      <c r="USP1" s="204"/>
      <c r="USQ1" s="204"/>
      <c r="USR1" s="204"/>
      <c r="USS1" s="204"/>
      <c r="UST1" s="204"/>
      <c r="USU1" s="204"/>
      <c r="USV1" s="204"/>
      <c r="USW1" s="204"/>
      <c r="USX1" s="204"/>
      <c r="USY1" s="204"/>
      <c r="USZ1" s="204"/>
      <c r="UTA1" s="204"/>
      <c r="UTB1" s="204"/>
      <c r="UTC1" s="204"/>
      <c r="UTD1" s="204"/>
      <c r="UTE1" s="204"/>
      <c r="UTF1" s="204"/>
      <c r="UTG1" s="204"/>
      <c r="UTH1" s="204"/>
      <c r="UTI1" s="204"/>
      <c r="UTJ1" s="204"/>
      <c r="UTK1" s="204"/>
      <c r="UTL1" s="204"/>
      <c r="UTM1" s="204"/>
      <c r="UTN1" s="205"/>
      <c r="UTO1" s="204"/>
      <c r="UTP1" s="204"/>
      <c r="UTQ1" s="204"/>
      <c r="UTR1" s="204"/>
      <c r="UTS1" s="204"/>
      <c r="UTT1" s="204"/>
      <c r="UTU1" s="204"/>
      <c r="UTV1" s="204"/>
      <c r="UTW1" s="204"/>
      <c r="UTX1" s="204"/>
      <c r="UTY1" s="204"/>
      <c r="UTZ1" s="204"/>
      <c r="UUA1" s="204"/>
      <c r="UUB1" s="204"/>
      <c r="UUC1" s="204"/>
      <c r="UUD1" s="204"/>
      <c r="UUE1" s="204"/>
      <c r="UUF1" s="204"/>
      <c r="UUG1" s="204"/>
      <c r="UUH1" s="204"/>
      <c r="UUI1" s="204"/>
      <c r="UUJ1" s="204"/>
      <c r="UUK1" s="204"/>
      <c r="UUL1" s="204"/>
      <c r="UUM1" s="204"/>
      <c r="UUN1" s="204"/>
      <c r="UUO1" s="204"/>
      <c r="UUP1" s="205"/>
      <c r="UUQ1" s="204"/>
      <c r="UUR1" s="204"/>
      <c r="UUS1" s="204"/>
      <c r="UUT1" s="204"/>
      <c r="UUU1" s="204"/>
      <c r="UUV1" s="204"/>
      <c r="UUW1" s="204"/>
      <c r="UUX1" s="204"/>
      <c r="UUY1" s="204"/>
      <c r="UUZ1" s="204"/>
      <c r="UVA1" s="204"/>
      <c r="UVB1" s="204"/>
      <c r="UVC1" s="204"/>
      <c r="UVD1" s="204"/>
      <c r="UVE1" s="204"/>
      <c r="UVF1" s="204"/>
      <c r="UVG1" s="204"/>
      <c r="UVH1" s="204"/>
      <c r="UVI1" s="204"/>
      <c r="UVJ1" s="204"/>
      <c r="UVK1" s="204"/>
      <c r="UVL1" s="204"/>
      <c r="UVM1" s="204"/>
      <c r="UVN1" s="204"/>
      <c r="UVO1" s="204"/>
      <c r="UVP1" s="204"/>
      <c r="UVQ1" s="204"/>
      <c r="UVR1" s="205"/>
      <c r="UVS1" s="204"/>
      <c r="UVT1" s="204"/>
      <c r="UVU1" s="204"/>
      <c r="UVV1" s="204"/>
      <c r="UVW1" s="204"/>
      <c r="UVX1" s="204"/>
      <c r="UVY1" s="204"/>
      <c r="UVZ1" s="204"/>
      <c r="UWA1" s="204"/>
      <c r="UWB1" s="204"/>
      <c r="UWC1" s="204"/>
      <c r="UWD1" s="204"/>
      <c r="UWE1" s="204"/>
      <c r="UWF1" s="204"/>
      <c r="UWG1" s="204"/>
      <c r="UWH1" s="204"/>
      <c r="UWI1" s="204"/>
      <c r="UWJ1" s="204"/>
      <c r="UWK1" s="204"/>
      <c r="UWL1" s="204"/>
      <c r="UWM1" s="204"/>
      <c r="UWN1" s="204"/>
      <c r="UWO1" s="204"/>
      <c r="UWP1" s="204"/>
      <c r="UWQ1" s="204"/>
      <c r="UWR1" s="204"/>
      <c r="UWS1" s="204"/>
      <c r="UWT1" s="205"/>
      <c r="UWU1" s="204"/>
      <c r="UWV1" s="204"/>
      <c r="UWW1" s="204"/>
      <c r="UWX1" s="204"/>
      <c r="UWY1" s="204"/>
      <c r="UWZ1" s="204"/>
      <c r="UXA1" s="204"/>
      <c r="UXB1" s="204"/>
      <c r="UXC1" s="204"/>
      <c r="UXD1" s="204"/>
      <c r="UXE1" s="204"/>
      <c r="UXF1" s="204"/>
      <c r="UXG1" s="204"/>
      <c r="UXH1" s="204"/>
      <c r="UXI1" s="204"/>
      <c r="UXJ1" s="204"/>
      <c r="UXK1" s="204"/>
      <c r="UXL1" s="204"/>
      <c r="UXM1" s="204"/>
      <c r="UXN1" s="204"/>
      <c r="UXO1" s="204"/>
      <c r="UXP1" s="204"/>
      <c r="UXQ1" s="204"/>
      <c r="UXR1" s="204"/>
      <c r="UXS1" s="204"/>
      <c r="UXT1" s="204"/>
      <c r="UXU1" s="204"/>
      <c r="UXV1" s="205"/>
      <c r="UXW1" s="204"/>
      <c r="UXX1" s="204"/>
      <c r="UXY1" s="204"/>
      <c r="UXZ1" s="204"/>
      <c r="UYA1" s="204"/>
      <c r="UYB1" s="204"/>
      <c r="UYC1" s="204"/>
      <c r="UYD1" s="204"/>
      <c r="UYE1" s="204"/>
      <c r="UYF1" s="204"/>
      <c r="UYG1" s="204"/>
      <c r="UYH1" s="204"/>
      <c r="UYI1" s="204"/>
      <c r="UYJ1" s="204"/>
      <c r="UYK1" s="204"/>
      <c r="UYL1" s="204"/>
      <c r="UYM1" s="204"/>
      <c r="UYN1" s="204"/>
      <c r="UYO1" s="204"/>
      <c r="UYP1" s="204"/>
      <c r="UYQ1" s="204"/>
      <c r="UYR1" s="204"/>
      <c r="UYS1" s="204"/>
      <c r="UYT1" s="204"/>
      <c r="UYU1" s="204"/>
      <c r="UYV1" s="204"/>
      <c r="UYW1" s="204"/>
      <c r="UYX1" s="205"/>
      <c r="UYY1" s="204"/>
      <c r="UYZ1" s="204"/>
      <c r="UZA1" s="204"/>
      <c r="UZB1" s="204"/>
      <c r="UZC1" s="204"/>
      <c r="UZD1" s="204"/>
      <c r="UZE1" s="204"/>
      <c r="UZF1" s="204"/>
      <c r="UZG1" s="204"/>
      <c r="UZH1" s="204"/>
      <c r="UZI1" s="204"/>
      <c r="UZJ1" s="204"/>
      <c r="UZK1" s="204"/>
      <c r="UZL1" s="204"/>
      <c r="UZM1" s="204"/>
      <c r="UZN1" s="204"/>
      <c r="UZO1" s="204"/>
      <c r="UZP1" s="204"/>
      <c r="UZQ1" s="204"/>
      <c r="UZR1" s="204"/>
      <c r="UZS1" s="204"/>
      <c r="UZT1" s="204"/>
      <c r="UZU1" s="204"/>
      <c r="UZV1" s="204"/>
      <c r="UZW1" s="204"/>
      <c r="UZX1" s="204"/>
      <c r="UZY1" s="204"/>
      <c r="UZZ1" s="205"/>
      <c r="VAA1" s="204"/>
      <c r="VAB1" s="204"/>
      <c r="VAC1" s="204"/>
      <c r="VAD1" s="204"/>
      <c r="VAE1" s="204"/>
      <c r="VAF1" s="204"/>
      <c r="VAG1" s="204"/>
      <c r="VAH1" s="204"/>
      <c r="VAI1" s="204"/>
      <c r="VAJ1" s="204"/>
      <c r="VAK1" s="204"/>
      <c r="VAL1" s="204"/>
      <c r="VAM1" s="204"/>
      <c r="VAN1" s="204"/>
      <c r="VAO1" s="204"/>
      <c r="VAP1" s="204"/>
      <c r="VAQ1" s="204"/>
      <c r="VAR1" s="204"/>
      <c r="VAS1" s="204"/>
      <c r="VAT1" s="204"/>
      <c r="VAU1" s="204"/>
      <c r="VAV1" s="204"/>
      <c r="VAW1" s="204"/>
      <c r="VAX1" s="204"/>
      <c r="VAY1" s="204"/>
      <c r="VAZ1" s="204"/>
      <c r="VBA1" s="204"/>
      <c r="VBB1" s="205"/>
      <c r="VBC1" s="204"/>
      <c r="VBD1" s="204"/>
      <c r="VBE1" s="204"/>
      <c r="VBF1" s="204"/>
      <c r="VBG1" s="204"/>
      <c r="VBH1" s="204"/>
      <c r="VBI1" s="204"/>
      <c r="VBJ1" s="204"/>
      <c r="VBK1" s="204"/>
      <c r="VBL1" s="204"/>
      <c r="VBM1" s="204"/>
      <c r="VBN1" s="204"/>
      <c r="VBO1" s="204"/>
      <c r="VBP1" s="204"/>
      <c r="VBQ1" s="204"/>
      <c r="VBR1" s="204"/>
      <c r="VBS1" s="204"/>
      <c r="VBT1" s="204"/>
      <c r="VBU1" s="204"/>
      <c r="VBV1" s="204"/>
      <c r="VBW1" s="204"/>
      <c r="VBX1" s="204"/>
      <c r="VBY1" s="204"/>
      <c r="VBZ1" s="204"/>
      <c r="VCA1" s="204"/>
      <c r="VCB1" s="204"/>
      <c r="VCC1" s="204"/>
      <c r="VCD1" s="205"/>
      <c r="VCE1" s="204"/>
      <c r="VCF1" s="204"/>
      <c r="VCG1" s="204"/>
      <c r="VCH1" s="204"/>
      <c r="VCI1" s="204"/>
      <c r="VCJ1" s="204"/>
      <c r="VCK1" s="204"/>
      <c r="VCL1" s="204"/>
      <c r="VCM1" s="204"/>
      <c r="VCN1" s="204"/>
      <c r="VCO1" s="204"/>
      <c r="VCP1" s="204"/>
      <c r="VCQ1" s="204"/>
      <c r="VCR1" s="204"/>
      <c r="VCS1" s="204"/>
      <c r="VCT1" s="204"/>
      <c r="VCU1" s="204"/>
      <c r="VCV1" s="204"/>
      <c r="VCW1" s="204"/>
      <c r="VCX1" s="204"/>
      <c r="VCY1" s="204"/>
      <c r="VCZ1" s="204"/>
      <c r="VDA1" s="204"/>
      <c r="VDB1" s="204"/>
      <c r="VDC1" s="204"/>
      <c r="VDD1" s="204"/>
      <c r="VDE1" s="204"/>
      <c r="VDF1" s="205"/>
      <c r="VDG1" s="204"/>
      <c r="VDH1" s="204"/>
      <c r="VDI1" s="204"/>
      <c r="VDJ1" s="204"/>
      <c r="VDK1" s="204"/>
      <c r="VDL1" s="204"/>
      <c r="VDM1" s="204"/>
      <c r="VDN1" s="204"/>
      <c r="VDO1" s="204"/>
      <c r="VDP1" s="204"/>
      <c r="VDQ1" s="204"/>
      <c r="VDR1" s="204"/>
      <c r="VDS1" s="204"/>
      <c r="VDT1" s="204"/>
      <c r="VDU1" s="204"/>
      <c r="VDV1" s="204"/>
      <c r="VDW1" s="204"/>
      <c r="VDX1" s="204"/>
      <c r="VDY1" s="204"/>
      <c r="VDZ1" s="204"/>
      <c r="VEA1" s="204"/>
      <c r="VEB1" s="204"/>
      <c r="VEC1" s="204"/>
      <c r="VED1" s="204"/>
      <c r="VEE1" s="204"/>
      <c r="VEF1" s="204"/>
      <c r="VEG1" s="204"/>
      <c r="VEH1" s="205"/>
      <c r="VEI1" s="204"/>
      <c r="VEJ1" s="204"/>
      <c r="VEK1" s="204"/>
      <c r="VEL1" s="204"/>
      <c r="VEM1" s="204"/>
      <c r="VEN1" s="204"/>
      <c r="VEO1" s="204"/>
      <c r="VEP1" s="204"/>
      <c r="VEQ1" s="204"/>
      <c r="VER1" s="204"/>
      <c r="VES1" s="204"/>
      <c r="VET1" s="204"/>
      <c r="VEU1" s="204"/>
      <c r="VEV1" s="204"/>
      <c r="VEW1" s="204"/>
      <c r="VEX1" s="204"/>
      <c r="VEY1" s="204"/>
      <c r="VEZ1" s="204"/>
      <c r="VFA1" s="204"/>
      <c r="VFB1" s="204"/>
      <c r="VFC1" s="204"/>
      <c r="VFD1" s="204"/>
      <c r="VFE1" s="204"/>
      <c r="VFF1" s="204"/>
      <c r="VFG1" s="204"/>
      <c r="VFH1" s="204"/>
      <c r="VFI1" s="204"/>
      <c r="VFJ1" s="205"/>
      <c r="VFK1" s="204"/>
      <c r="VFL1" s="204"/>
      <c r="VFM1" s="204"/>
      <c r="VFN1" s="204"/>
      <c r="VFO1" s="204"/>
      <c r="VFP1" s="204"/>
      <c r="VFQ1" s="204"/>
      <c r="VFR1" s="204"/>
      <c r="VFS1" s="204"/>
      <c r="VFT1" s="204"/>
      <c r="VFU1" s="204"/>
      <c r="VFV1" s="204"/>
      <c r="VFW1" s="204"/>
      <c r="VFX1" s="204"/>
      <c r="VFY1" s="204"/>
      <c r="VFZ1" s="204"/>
      <c r="VGA1" s="204"/>
      <c r="VGB1" s="204"/>
      <c r="VGC1" s="204"/>
      <c r="VGD1" s="204"/>
      <c r="VGE1" s="204"/>
      <c r="VGF1" s="204"/>
      <c r="VGG1" s="204"/>
      <c r="VGH1" s="204"/>
      <c r="VGI1" s="204"/>
      <c r="VGJ1" s="204"/>
      <c r="VGK1" s="204"/>
      <c r="VGL1" s="205"/>
      <c r="VGM1" s="204"/>
      <c r="VGN1" s="204"/>
      <c r="VGO1" s="204"/>
      <c r="VGP1" s="204"/>
      <c r="VGQ1" s="204"/>
      <c r="VGR1" s="204"/>
      <c r="VGS1" s="204"/>
      <c r="VGT1" s="204"/>
      <c r="VGU1" s="204"/>
      <c r="VGV1" s="204"/>
      <c r="VGW1" s="204"/>
      <c r="VGX1" s="204"/>
      <c r="VGY1" s="204"/>
      <c r="VGZ1" s="204"/>
      <c r="VHA1" s="204"/>
      <c r="VHB1" s="204"/>
      <c r="VHC1" s="204"/>
      <c r="VHD1" s="204"/>
      <c r="VHE1" s="204"/>
      <c r="VHF1" s="204"/>
      <c r="VHG1" s="204"/>
      <c r="VHH1" s="204"/>
      <c r="VHI1" s="204"/>
      <c r="VHJ1" s="204"/>
      <c r="VHK1" s="204"/>
      <c r="VHL1" s="204"/>
      <c r="VHM1" s="204"/>
      <c r="VHN1" s="205"/>
      <c r="VHO1" s="204"/>
      <c r="VHP1" s="204"/>
      <c r="VHQ1" s="204"/>
      <c r="VHR1" s="204"/>
      <c r="VHS1" s="204"/>
      <c r="VHT1" s="204"/>
      <c r="VHU1" s="204"/>
      <c r="VHV1" s="204"/>
      <c r="VHW1" s="204"/>
      <c r="VHX1" s="204"/>
      <c r="VHY1" s="204"/>
      <c r="VHZ1" s="204"/>
      <c r="VIA1" s="204"/>
      <c r="VIB1" s="204"/>
      <c r="VIC1" s="204"/>
      <c r="VID1" s="204"/>
      <c r="VIE1" s="204"/>
      <c r="VIF1" s="204"/>
      <c r="VIG1" s="204"/>
      <c r="VIH1" s="204"/>
      <c r="VII1" s="204"/>
      <c r="VIJ1" s="204"/>
      <c r="VIK1" s="204"/>
      <c r="VIL1" s="204"/>
      <c r="VIM1" s="204"/>
      <c r="VIN1" s="204"/>
      <c r="VIO1" s="204"/>
      <c r="VIP1" s="205"/>
      <c r="VIQ1" s="204"/>
      <c r="VIR1" s="204"/>
      <c r="VIS1" s="204"/>
      <c r="VIT1" s="204"/>
      <c r="VIU1" s="204"/>
      <c r="VIV1" s="204"/>
      <c r="VIW1" s="204"/>
      <c r="VIX1" s="204"/>
      <c r="VIY1" s="204"/>
      <c r="VIZ1" s="204"/>
      <c r="VJA1" s="204"/>
      <c r="VJB1" s="204"/>
      <c r="VJC1" s="204"/>
      <c r="VJD1" s="204"/>
      <c r="VJE1" s="204"/>
      <c r="VJF1" s="204"/>
      <c r="VJG1" s="204"/>
      <c r="VJH1" s="204"/>
      <c r="VJI1" s="204"/>
      <c r="VJJ1" s="204"/>
      <c r="VJK1" s="204"/>
      <c r="VJL1" s="204"/>
      <c r="VJM1" s="204"/>
      <c r="VJN1" s="204"/>
      <c r="VJO1" s="204"/>
      <c r="VJP1" s="204"/>
      <c r="VJQ1" s="204"/>
      <c r="VJR1" s="205"/>
      <c r="VJS1" s="204"/>
      <c r="VJT1" s="204"/>
      <c r="VJU1" s="204"/>
      <c r="VJV1" s="204"/>
      <c r="VJW1" s="204"/>
      <c r="VJX1" s="204"/>
      <c r="VJY1" s="204"/>
      <c r="VJZ1" s="204"/>
      <c r="VKA1" s="204"/>
      <c r="VKB1" s="204"/>
      <c r="VKC1" s="204"/>
      <c r="VKD1" s="204"/>
      <c r="VKE1" s="204"/>
      <c r="VKF1" s="204"/>
      <c r="VKG1" s="204"/>
      <c r="VKH1" s="204"/>
      <c r="VKI1" s="204"/>
      <c r="VKJ1" s="204"/>
      <c r="VKK1" s="204"/>
      <c r="VKL1" s="204"/>
      <c r="VKM1" s="204"/>
      <c r="VKN1" s="204"/>
      <c r="VKO1" s="204"/>
      <c r="VKP1" s="204"/>
      <c r="VKQ1" s="204"/>
      <c r="VKR1" s="204"/>
      <c r="VKS1" s="204"/>
      <c r="VKT1" s="205"/>
      <c r="VKU1" s="204"/>
      <c r="VKV1" s="204"/>
      <c r="VKW1" s="204"/>
      <c r="VKX1" s="204"/>
      <c r="VKY1" s="204"/>
      <c r="VKZ1" s="204"/>
      <c r="VLA1" s="204"/>
      <c r="VLB1" s="204"/>
      <c r="VLC1" s="204"/>
      <c r="VLD1" s="204"/>
      <c r="VLE1" s="204"/>
      <c r="VLF1" s="204"/>
      <c r="VLG1" s="204"/>
      <c r="VLH1" s="204"/>
      <c r="VLI1" s="204"/>
      <c r="VLJ1" s="204"/>
      <c r="VLK1" s="204"/>
      <c r="VLL1" s="204"/>
      <c r="VLM1" s="204"/>
      <c r="VLN1" s="204"/>
      <c r="VLO1" s="204"/>
      <c r="VLP1" s="204"/>
      <c r="VLQ1" s="204"/>
      <c r="VLR1" s="204"/>
      <c r="VLS1" s="204"/>
      <c r="VLT1" s="204"/>
      <c r="VLU1" s="204"/>
      <c r="VLV1" s="205"/>
      <c r="VLW1" s="204"/>
      <c r="VLX1" s="204"/>
      <c r="VLY1" s="204"/>
      <c r="VLZ1" s="204"/>
      <c r="VMA1" s="204"/>
      <c r="VMB1" s="204"/>
      <c r="VMC1" s="204"/>
      <c r="VMD1" s="204"/>
      <c r="VME1" s="204"/>
      <c r="VMF1" s="204"/>
      <c r="VMG1" s="204"/>
      <c r="VMH1" s="204"/>
      <c r="VMI1" s="204"/>
      <c r="VMJ1" s="204"/>
      <c r="VMK1" s="204"/>
      <c r="VML1" s="204"/>
      <c r="VMM1" s="204"/>
      <c r="VMN1" s="204"/>
      <c r="VMO1" s="204"/>
      <c r="VMP1" s="204"/>
      <c r="VMQ1" s="204"/>
      <c r="VMR1" s="204"/>
      <c r="VMS1" s="204"/>
      <c r="VMT1" s="204"/>
      <c r="VMU1" s="204"/>
      <c r="VMV1" s="204"/>
      <c r="VMW1" s="204"/>
      <c r="VMX1" s="205"/>
      <c r="VMY1" s="204"/>
      <c r="VMZ1" s="204"/>
      <c r="VNA1" s="204"/>
      <c r="VNB1" s="204"/>
      <c r="VNC1" s="204"/>
      <c r="VND1" s="204"/>
      <c r="VNE1" s="204"/>
      <c r="VNF1" s="204"/>
      <c r="VNG1" s="204"/>
      <c r="VNH1" s="204"/>
      <c r="VNI1" s="204"/>
      <c r="VNJ1" s="204"/>
      <c r="VNK1" s="204"/>
      <c r="VNL1" s="204"/>
      <c r="VNM1" s="204"/>
      <c r="VNN1" s="204"/>
      <c r="VNO1" s="204"/>
      <c r="VNP1" s="204"/>
      <c r="VNQ1" s="204"/>
      <c r="VNR1" s="204"/>
      <c r="VNS1" s="204"/>
      <c r="VNT1" s="204"/>
      <c r="VNU1" s="204"/>
      <c r="VNV1" s="204"/>
      <c r="VNW1" s="204"/>
      <c r="VNX1" s="204"/>
      <c r="VNY1" s="204"/>
      <c r="VNZ1" s="205"/>
      <c r="VOA1" s="204"/>
      <c r="VOB1" s="204"/>
      <c r="VOC1" s="204"/>
      <c r="VOD1" s="204"/>
      <c r="VOE1" s="204"/>
      <c r="VOF1" s="204"/>
      <c r="VOG1" s="204"/>
      <c r="VOH1" s="204"/>
      <c r="VOI1" s="204"/>
      <c r="VOJ1" s="204"/>
      <c r="VOK1" s="204"/>
      <c r="VOL1" s="204"/>
      <c r="VOM1" s="204"/>
      <c r="VON1" s="204"/>
      <c r="VOO1" s="204"/>
      <c r="VOP1" s="204"/>
      <c r="VOQ1" s="204"/>
      <c r="VOR1" s="204"/>
      <c r="VOS1" s="204"/>
      <c r="VOT1" s="204"/>
      <c r="VOU1" s="204"/>
      <c r="VOV1" s="204"/>
      <c r="VOW1" s="204"/>
      <c r="VOX1" s="204"/>
      <c r="VOY1" s="204"/>
      <c r="VOZ1" s="204"/>
      <c r="VPA1" s="204"/>
      <c r="VPB1" s="205"/>
      <c r="VPC1" s="204"/>
      <c r="VPD1" s="204"/>
      <c r="VPE1" s="204"/>
      <c r="VPF1" s="204"/>
      <c r="VPG1" s="204"/>
      <c r="VPH1" s="204"/>
      <c r="VPI1" s="204"/>
      <c r="VPJ1" s="204"/>
      <c r="VPK1" s="204"/>
      <c r="VPL1" s="204"/>
      <c r="VPM1" s="204"/>
      <c r="VPN1" s="204"/>
      <c r="VPO1" s="204"/>
      <c r="VPP1" s="204"/>
      <c r="VPQ1" s="204"/>
      <c r="VPR1" s="204"/>
      <c r="VPS1" s="204"/>
      <c r="VPT1" s="204"/>
      <c r="VPU1" s="204"/>
      <c r="VPV1" s="204"/>
      <c r="VPW1" s="204"/>
      <c r="VPX1" s="204"/>
      <c r="VPY1" s="204"/>
      <c r="VPZ1" s="204"/>
      <c r="VQA1" s="204"/>
      <c r="VQB1" s="204"/>
      <c r="VQC1" s="204"/>
      <c r="VQD1" s="205"/>
      <c r="VQE1" s="204"/>
      <c r="VQF1" s="204"/>
      <c r="VQG1" s="204"/>
      <c r="VQH1" s="204"/>
      <c r="VQI1" s="204"/>
      <c r="VQJ1" s="204"/>
      <c r="VQK1" s="204"/>
      <c r="VQL1" s="204"/>
      <c r="VQM1" s="204"/>
      <c r="VQN1" s="204"/>
      <c r="VQO1" s="204"/>
      <c r="VQP1" s="204"/>
      <c r="VQQ1" s="204"/>
      <c r="VQR1" s="204"/>
      <c r="VQS1" s="204"/>
      <c r="VQT1" s="204"/>
      <c r="VQU1" s="204"/>
      <c r="VQV1" s="204"/>
      <c r="VQW1" s="204"/>
      <c r="VQX1" s="204"/>
      <c r="VQY1" s="204"/>
      <c r="VQZ1" s="204"/>
      <c r="VRA1" s="204"/>
      <c r="VRB1" s="204"/>
      <c r="VRC1" s="204"/>
      <c r="VRD1" s="204"/>
      <c r="VRE1" s="204"/>
      <c r="VRF1" s="205"/>
      <c r="VRG1" s="204"/>
      <c r="VRH1" s="204"/>
      <c r="VRI1" s="204"/>
      <c r="VRJ1" s="204"/>
      <c r="VRK1" s="204"/>
      <c r="VRL1" s="204"/>
      <c r="VRM1" s="204"/>
      <c r="VRN1" s="204"/>
      <c r="VRO1" s="204"/>
      <c r="VRP1" s="204"/>
      <c r="VRQ1" s="204"/>
      <c r="VRR1" s="204"/>
      <c r="VRS1" s="204"/>
      <c r="VRT1" s="204"/>
      <c r="VRU1" s="204"/>
      <c r="VRV1" s="204"/>
      <c r="VRW1" s="204"/>
      <c r="VRX1" s="204"/>
      <c r="VRY1" s="204"/>
      <c r="VRZ1" s="204"/>
      <c r="VSA1" s="204"/>
      <c r="VSB1" s="204"/>
      <c r="VSC1" s="204"/>
      <c r="VSD1" s="204"/>
      <c r="VSE1" s="204"/>
      <c r="VSF1" s="204"/>
      <c r="VSG1" s="204"/>
      <c r="VSH1" s="205"/>
      <c r="VSI1" s="204"/>
      <c r="VSJ1" s="204"/>
      <c r="VSK1" s="204"/>
      <c r="VSL1" s="204"/>
      <c r="VSM1" s="204"/>
      <c r="VSN1" s="204"/>
      <c r="VSO1" s="204"/>
      <c r="VSP1" s="204"/>
      <c r="VSQ1" s="204"/>
      <c r="VSR1" s="204"/>
      <c r="VSS1" s="204"/>
      <c r="VST1" s="204"/>
      <c r="VSU1" s="204"/>
      <c r="VSV1" s="204"/>
      <c r="VSW1" s="204"/>
      <c r="VSX1" s="204"/>
      <c r="VSY1" s="204"/>
      <c r="VSZ1" s="204"/>
      <c r="VTA1" s="204"/>
      <c r="VTB1" s="204"/>
      <c r="VTC1" s="204"/>
      <c r="VTD1" s="204"/>
      <c r="VTE1" s="204"/>
      <c r="VTF1" s="204"/>
      <c r="VTG1" s="204"/>
      <c r="VTH1" s="204"/>
      <c r="VTI1" s="204"/>
      <c r="VTJ1" s="205"/>
      <c r="VTK1" s="204"/>
      <c r="VTL1" s="204"/>
      <c r="VTM1" s="204"/>
      <c r="VTN1" s="204"/>
      <c r="VTO1" s="204"/>
      <c r="VTP1" s="204"/>
      <c r="VTQ1" s="204"/>
      <c r="VTR1" s="204"/>
      <c r="VTS1" s="204"/>
      <c r="VTT1" s="204"/>
      <c r="VTU1" s="204"/>
      <c r="VTV1" s="204"/>
      <c r="VTW1" s="204"/>
      <c r="VTX1" s="204"/>
      <c r="VTY1" s="204"/>
      <c r="VTZ1" s="204"/>
      <c r="VUA1" s="204"/>
      <c r="VUB1" s="204"/>
      <c r="VUC1" s="204"/>
      <c r="VUD1" s="204"/>
      <c r="VUE1" s="204"/>
      <c r="VUF1" s="204"/>
      <c r="VUG1" s="204"/>
      <c r="VUH1" s="204"/>
      <c r="VUI1" s="204"/>
      <c r="VUJ1" s="204"/>
      <c r="VUK1" s="204"/>
      <c r="VUL1" s="205"/>
      <c r="VUM1" s="204"/>
      <c r="VUN1" s="204"/>
      <c r="VUO1" s="204"/>
      <c r="VUP1" s="204"/>
      <c r="VUQ1" s="204"/>
      <c r="VUR1" s="204"/>
      <c r="VUS1" s="204"/>
      <c r="VUT1" s="204"/>
      <c r="VUU1" s="204"/>
      <c r="VUV1" s="204"/>
      <c r="VUW1" s="204"/>
      <c r="VUX1" s="204"/>
      <c r="VUY1" s="204"/>
      <c r="VUZ1" s="204"/>
      <c r="VVA1" s="204"/>
      <c r="VVB1" s="204"/>
      <c r="VVC1" s="204"/>
      <c r="VVD1" s="204"/>
      <c r="VVE1" s="204"/>
      <c r="VVF1" s="204"/>
      <c r="VVG1" s="204"/>
      <c r="VVH1" s="204"/>
      <c r="VVI1" s="204"/>
      <c r="VVJ1" s="204"/>
      <c r="VVK1" s="204"/>
      <c r="VVL1" s="204"/>
      <c r="VVM1" s="204"/>
      <c r="VVN1" s="205"/>
      <c r="VVO1" s="204"/>
      <c r="VVP1" s="204"/>
      <c r="VVQ1" s="204"/>
      <c r="VVR1" s="204"/>
      <c r="VVS1" s="204"/>
      <c r="VVT1" s="204"/>
      <c r="VVU1" s="204"/>
      <c r="VVV1" s="204"/>
      <c r="VVW1" s="204"/>
      <c r="VVX1" s="204"/>
      <c r="VVY1" s="204"/>
      <c r="VVZ1" s="204"/>
      <c r="VWA1" s="204"/>
      <c r="VWB1" s="204"/>
      <c r="VWC1" s="204"/>
      <c r="VWD1" s="204"/>
      <c r="VWE1" s="204"/>
      <c r="VWF1" s="204"/>
      <c r="VWG1" s="204"/>
      <c r="VWH1" s="204"/>
      <c r="VWI1" s="204"/>
      <c r="VWJ1" s="204"/>
      <c r="VWK1" s="204"/>
      <c r="VWL1" s="204"/>
      <c r="VWM1" s="204"/>
      <c r="VWN1" s="204"/>
      <c r="VWO1" s="204"/>
      <c r="VWP1" s="205"/>
      <c r="VWQ1" s="204"/>
      <c r="VWR1" s="204"/>
      <c r="VWS1" s="204"/>
      <c r="VWT1" s="204"/>
      <c r="VWU1" s="204"/>
      <c r="VWV1" s="204"/>
      <c r="VWW1" s="204"/>
      <c r="VWX1" s="204"/>
      <c r="VWY1" s="204"/>
      <c r="VWZ1" s="204"/>
      <c r="VXA1" s="204"/>
      <c r="VXB1" s="204"/>
      <c r="VXC1" s="204"/>
      <c r="VXD1" s="204"/>
      <c r="VXE1" s="204"/>
      <c r="VXF1" s="204"/>
      <c r="VXG1" s="204"/>
      <c r="VXH1" s="204"/>
      <c r="VXI1" s="204"/>
      <c r="VXJ1" s="204"/>
      <c r="VXK1" s="204"/>
      <c r="VXL1" s="204"/>
      <c r="VXM1" s="204"/>
      <c r="VXN1" s="204"/>
      <c r="VXO1" s="204"/>
      <c r="VXP1" s="204"/>
      <c r="VXQ1" s="204"/>
      <c r="VXR1" s="205"/>
      <c r="VXS1" s="204"/>
      <c r="VXT1" s="204"/>
      <c r="VXU1" s="204"/>
      <c r="VXV1" s="204"/>
      <c r="VXW1" s="204"/>
      <c r="VXX1" s="204"/>
      <c r="VXY1" s="204"/>
      <c r="VXZ1" s="204"/>
      <c r="VYA1" s="204"/>
      <c r="VYB1" s="204"/>
      <c r="VYC1" s="204"/>
      <c r="VYD1" s="204"/>
      <c r="VYE1" s="204"/>
      <c r="VYF1" s="204"/>
      <c r="VYG1" s="204"/>
      <c r="VYH1" s="204"/>
      <c r="VYI1" s="204"/>
      <c r="VYJ1" s="204"/>
      <c r="VYK1" s="204"/>
      <c r="VYL1" s="204"/>
      <c r="VYM1" s="204"/>
      <c r="VYN1" s="204"/>
      <c r="VYO1" s="204"/>
      <c r="VYP1" s="204"/>
      <c r="VYQ1" s="204"/>
      <c r="VYR1" s="204"/>
      <c r="VYS1" s="204"/>
      <c r="VYT1" s="205"/>
      <c r="VYU1" s="204"/>
      <c r="VYV1" s="204"/>
      <c r="VYW1" s="204"/>
      <c r="VYX1" s="204"/>
      <c r="VYY1" s="204"/>
      <c r="VYZ1" s="204"/>
      <c r="VZA1" s="204"/>
      <c r="VZB1" s="204"/>
      <c r="VZC1" s="204"/>
      <c r="VZD1" s="204"/>
      <c r="VZE1" s="204"/>
      <c r="VZF1" s="204"/>
      <c r="VZG1" s="204"/>
      <c r="VZH1" s="204"/>
      <c r="VZI1" s="204"/>
      <c r="VZJ1" s="204"/>
      <c r="VZK1" s="204"/>
      <c r="VZL1" s="204"/>
      <c r="VZM1" s="204"/>
      <c r="VZN1" s="204"/>
      <c r="VZO1" s="204"/>
      <c r="VZP1" s="204"/>
      <c r="VZQ1" s="204"/>
      <c r="VZR1" s="204"/>
      <c r="VZS1" s="204"/>
      <c r="VZT1" s="204"/>
      <c r="VZU1" s="204"/>
      <c r="VZV1" s="205"/>
      <c r="VZW1" s="204"/>
      <c r="VZX1" s="204"/>
      <c r="VZY1" s="204"/>
      <c r="VZZ1" s="204"/>
      <c r="WAA1" s="204"/>
      <c r="WAB1" s="204"/>
      <c r="WAC1" s="204"/>
      <c r="WAD1" s="204"/>
      <c r="WAE1" s="204"/>
      <c r="WAF1" s="204"/>
      <c r="WAG1" s="204"/>
      <c r="WAH1" s="204"/>
      <c r="WAI1" s="204"/>
      <c r="WAJ1" s="204"/>
      <c r="WAK1" s="204"/>
      <c r="WAL1" s="204"/>
      <c r="WAM1" s="204"/>
      <c r="WAN1" s="204"/>
      <c r="WAO1" s="204"/>
      <c r="WAP1" s="204"/>
      <c r="WAQ1" s="204"/>
      <c r="WAR1" s="204"/>
      <c r="WAS1" s="204"/>
      <c r="WAT1" s="204"/>
      <c r="WAU1" s="204"/>
      <c r="WAV1" s="204"/>
      <c r="WAW1" s="204"/>
      <c r="WAX1" s="205"/>
      <c r="WAY1" s="204"/>
      <c r="WAZ1" s="204"/>
      <c r="WBA1" s="204"/>
      <c r="WBB1" s="204"/>
      <c r="WBC1" s="204"/>
      <c r="WBD1" s="204"/>
      <c r="WBE1" s="204"/>
      <c r="WBF1" s="204"/>
      <c r="WBG1" s="204"/>
      <c r="WBH1" s="204"/>
      <c r="WBI1" s="204"/>
      <c r="WBJ1" s="204"/>
      <c r="WBK1" s="204"/>
      <c r="WBL1" s="204"/>
      <c r="WBM1" s="204"/>
      <c r="WBN1" s="204"/>
      <c r="WBO1" s="204"/>
      <c r="WBP1" s="204"/>
      <c r="WBQ1" s="204"/>
      <c r="WBR1" s="204"/>
      <c r="WBS1" s="204"/>
      <c r="WBT1" s="204"/>
      <c r="WBU1" s="204"/>
      <c r="WBV1" s="204"/>
      <c r="WBW1" s="204"/>
      <c r="WBX1" s="204"/>
      <c r="WBY1" s="204"/>
      <c r="WBZ1" s="205"/>
      <c r="WCA1" s="204"/>
      <c r="WCB1" s="204"/>
      <c r="WCC1" s="204"/>
      <c r="WCD1" s="204"/>
      <c r="WCE1" s="204"/>
      <c r="WCF1" s="204"/>
      <c r="WCG1" s="204"/>
      <c r="WCH1" s="204"/>
      <c r="WCI1" s="204"/>
      <c r="WCJ1" s="204"/>
      <c r="WCK1" s="204"/>
      <c r="WCL1" s="204"/>
      <c r="WCM1" s="204"/>
      <c r="WCN1" s="204"/>
      <c r="WCO1" s="204"/>
      <c r="WCP1" s="204"/>
      <c r="WCQ1" s="204"/>
      <c r="WCR1" s="204"/>
      <c r="WCS1" s="204"/>
      <c r="WCT1" s="204"/>
      <c r="WCU1" s="204"/>
      <c r="WCV1" s="204"/>
      <c r="WCW1" s="204"/>
      <c r="WCX1" s="204"/>
      <c r="WCY1" s="204"/>
      <c r="WCZ1" s="204"/>
      <c r="WDA1" s="204"/>
      <c r="WDB1" s="205"/>
      <c r="WDC1" s="204"/>
      <c r="WDD1" s="204"/>
      <c r="WDE1" s="204"/>
      <c r="WDF1" s="204"/>
      <c r="WDG1" s="204"/>
      <c r="WDH1" s="204"/>
      <c r="WDI1" s="204"/>
      <c r="WDJ1" s="204"/>
      <c r="WDK1" s="204"/>
      <c r="WDL1" s="204"/>
      <c r="WDM1" s="204"/>
      <c r="WDN1" s="204"/>
      <c r="WDO1" s="204"/>
      <c r="WDP1" s="204"/>
      <c r="WDQ1" s="204"/>
      <c r="WDR1" s="204"/>
      <c r="WDS1" s="204"/>
      <c r="WDT1" s="204"/>
      <c r="WDU1" s="204"/>
      <c r="WDV1" s="204"/>
      <c r="WDW1" s="204"/>
      <c r="WDX1" s="204"/>
      <c r="WDY1" s="204"/>
      <c r="WDZ1" s="204"/>
      <c r="WEA1" s="204"/>
      <c r="WEB1" s="204"/>
      <c r="WEC1" s="204"/>
      <c r="WED1" s="205"/>
      <c r="WEE1" s="204"/>
      <c r="WEF1" s="204"/>
      <c r="WEG1" s="204"/>
      <c r="WEH1" s="204"/>
      <c r="WEI1" s="204"/>
      <c r="WEJ1" s="204"/>
      <c r="WEK1" s="204"/>
      <c r="WEL1" s="204"/>
      <c r="WEM1" s="204"/>
      <c r="WEN1" s="204"/>
      <c r="WEO1" s="204"/>
      <c r="WEP1" s="204"/>
      <c r="WEQ1" s="204"/>
      <c r="WER1" s="204"/>
      <c r="WES1" s="204"/>
      <c r="WET1" s="204"/>
      <c r="WEU1" s="204"/>
      <c r="WEV1" s="204"/>
      <c r="WEW1" s="204"/>
      <c r="WEX1" s="204"/>
      <c r="WEY1" s="204"/>
      <c r="WEZ1" s="204"/>
      <c r="WFA1" s="204"/>
      <c r="WFB1" s="204"/>
      <c r="WFC1" s="204"/>
      <c r="WFD1" s="204"/>
      <c r="WFE1" s="204"/>
      <c r="WFF1" s="205"/>
      <c r="WFG1" s="204"/>
      <c r="WFH1" s="204"/>
      <c r="WFI1" s="204"/>
      <c r="WFJ1" s="204"/>
      <c r="WFK1" s="204"/>
      <c r="WFL1" s="204"/>
      <c r="WFM1" s="204"/>
      <c r="WFN1" s="204"/>
      <c r="WFO1" s="204"/>
      <c r="WFP1" s="204"/>
      <c r="WFQ1" s="204"/>
      <c r="WFR1" s="204"/>
      <c r="WFS1" s="204"/>
      <c r="WFT1" s="204"/>
      <c r="WFU1" s="204"/>
      <c r="WFV1" s="204"/>
      <c r="WFW1" s="204"/>
      <c r="WFX1" s="204"/>
      <c r="WFY1" s="204"/>
      <c r="WFZ1" s="204"/>
      <c r="WGA1" s="204"/>
      <c r="WGB1" s="204"/>
      <c r="WGC1" s="204"/>
      <c r="WGD1" s="204"/>
      <c r="WGE1" s="204"/>
      <c r="WGF1" s="204"/>
      <c r="WGG1" s="204"/>
      <c r="WGH1" s="205"/>
      <c r="WGI1" s="204"/>
      <c r="WGJ1" s="204"/>
      <c r="WGK1" s="204"/>
      <c r="WGL1" s="204"/>
      <c r="WGM1" s="204"/>
      <c r="WGN1" s="204"/>
      <c r="WGO1" s="204"/>
      <c r="WGP1" s="204"/>
      <c r="WGQ1" s="204"/>
      <c r="WGR1" s="204"/>
      <c r="WGS1" s="204"/>
      <c r="WGT1" s="204"/>
      <c r="WGU1" s="204"/>
      <c r="WGV1" s="204"/>
      <c r="WGW1" s="204"/>
      <c r="WGX1" s="204"/>
      <c r="WGY1" s="204"/>
      <c r="WGZ1" s="204"/>
      <c r="WHA1" s="204"/>
      <c r="WHB1" s="204"/>
      <c r="WHC1" s="204"/>
      <c r="WHD1" s="204"/>
      <c r="WHE1" s="204"/>
      <c r="WHF1" s="204"/>
      <c r="WHG1" s="204"/>
      <c r="WHH1" s="204"/>
      <c r="WHI1" s="204"/>
      <c r="WHJ1" s="205"/>
      <c r="WHK1" s="204"/>
      <c r="WHL1" s="204"/>
      <c r="WHM1" s="204"/>
      <c r="WHN1" s="204"/>
      <c r="WHO1" s="204"/>
      <c r="WHP1" s="204"/>
      <c r="WHQ1" s="204"/>
      <c r="WHR1" s="204"/>
      <c r="WHS1" s="204"/>
      <c r="WHT1" s="204"/>
      <c r="WHU1" s="204"/>
      <c r="WHV1" s="204"/>
      <c r="WHW1" s="204"/>
      <c r="WHX1" s="204"/>
      <c r="WHY1" s="204"/>
      <c r="WHZ1" s="204"/>
      <c r="WIA1" s="204"/>
      <c r="WIB1" s="204"/>
      <c r="WIC1" s="204"/>
      <c r="WID1" s="204"/>
      <c r="WIE1" s="204"/>
      <c r="WIF1" s="204"/>
      <c r="WIG1" s="204"/>
      <c r="WIH1" s="204"/>
      <c r="WII1" s="204"/>
      <c r="WIJ1" s="204"/>
      <c r="WIK1" s="204"/>
      <c r="WIL1" s="205"/>
      <c r="WIM1" s="204"/>
      <c r="WIN1" s="204"/>
      <c r="WIO1" s="204"/>
      <c r="WIP1" s="204"/>
      <c r="WIQ1" s="204"/>
      <c r="WIR1" s="204"/>
      <c r="WIS1" s="204"/>
      <c r="WIT1" s="204"/>
      <c r="WIU1" s="204"/>
      <c r="WIV1" s="204"/>
      <c r="WIW1" s="204"/>
      <c r="WIX1" s="204"/>
      <c r="WIY1" s="204"/>
      <c r="WIZ1" s="204"/>
      <c r="WJA1" s="204"/>
      <c r="WJB1" s="204"/>
      <c r="WJC1" s="204"/>
      <c r="WJD1" s="204"/>
      <c r="WJE1" s="204"/>
      <c r="WJF1" s="204"/>
      <c r="WJG1" s="204"/>
      <c r="WJH1" s="204"/>
      <c r="WJI1" s="204"/>
      <c r="WJJ1" s="204"/>
      <c r="WJK1" s="204"/>
      <c r="WJL1" s="204"/>
      <c r="WJM1" s="204"/>
      <c r="WJN1" s="205"/>
      <c r="WJO1" s="204"/>
      <c r="WJP1" s="204"/>
      <c r="WJQ1" s="204"/>
      <c r="WJR1" s="204"/>
      <c r="WJS1" s="204"/>
      <c r="WJT1" s="204"/>
      <c r="WJU1" s="204"/>
      <c r="WJV1" s="204"/>
      <c r="WJW1" s="204"/>
      <c r="WJX1" s="204"/>
      <c r="WJY1" s="204"/>
      <c r="WJZ1" s="204"/>
      <c r="WKA1" s="204"/>
      <c r="WKB1" s="204"/>
      <c r="WKC1" s="204"/>
      <c r="WKD1" s="204"/>
      <c r="WKE1" s="204"/>
      <c r="WKF1" s="204"/>
      <c r="WKG1" s="204"/>
      <c r="WKH1" s="204"/>
      <c r="WKI1" s="204"/>
      <c r="WKJ1" s="204"/>
      <c r="WKK1" s="204"/>
      <c r="WKL1" s="204"/>
      <c r="WKM1" s="204"/>
      <c r="WKN1" s="204"/>
      <c r="WKO1" s="204"/>
      <c r="WKP1" s="205"/>
      <c r="WKQ1" s="204"/>
      <c r="WKR1" s="204"/>
      <c r="WKS1" s="204"/>
      <c r="WKT1" s="204"/>
      <c r="WKU1" s="204"/>
      <c r="WKV1" s="204"/>
      <c r="WKW1" s="204"/>
      <c r="WKX1" s="204"/>
      <c r="WKY1" s="204"/>
      <c r="WKZ1" s="204"/>
      <c r="WLA1" s="204"/>
      <c r="WLB1" s="204"/>
      <c r="WLC1" s="204"/>
      <c r="WLD1" s="204"/>
      <c r="WLE1" s="204"/>
      <c r="WLF1" s="204"/>
      <c r="WLG1" s="204"/>
      <c r="WLH1" s="204"/>
      <c r="WLI1" s="204"/>
      <c r="WLJ1" s="204"/>
      <c r="WLK1" s="204"/>
      <c r="WLL1" s="204"/>
      <c r="WLM1" s="204"/>
      <c r="WLN1" s="204"/>
      <c r="WLO1" s="204"/>
      <c r="WLP1" s="204"/>
      <c r="WLQ1" s="204"/>
      <c r="WLR1" s="205"/>
      <c r="WLS1" s="204"/>
      <c r="WLT1" s="204"/>
      <c r="WLU1" s="204"/>
      <c r="WLV1" s="204"/>
      <c r="WLW1" s="204"/>
      <c r="WLX1" s="204"/>
      <c r="WLY1" s="204"/>
      <c r="WLZ1" s="204"/>
      <c r="WMA1" s="204"/>
      <c r="WMB1" s="204"/>
      <c r="WMC1" s="204"/>
      <c r="WMD1" s="204"/>
      <c r="WME1" s="204"/>
      <c r="WMF1" s="204"/>
      <c r="WMG1" s="204"/>
      <c r="WMH1" s="204"/>
      <c r="WMI1" s="204"/>
      <c r="WMJ1" s="204"/>
      <c r="WMK1" s="204"/>
      <c r="WML1" s="204"/>
      <c r="WMM1" s="204"/>
      <c r="WMN1" s="204"/>
      <c r="WMO1" s="204"/>
      <c r="WMP1" s="204"/>
      <c r="WMQ1" s="204"/>
      <c r="WMR1" s="204"/>
      <c r="WMS1" s="204"/>
      <c r="WMT1" s="205"/>
      <c r="WMU1" s="204"/>
      <c r="WMV1" s="204"/>
      <c r="WMW1" s="204"/>
      <c r="WMX1" s="204"/>
      <c r="WMY1" s="204"/>
      <c r="WMZ1" s="204"/>
      <c r="WNA1" s="204"/>
      <c r="WNB1" s="204"/>
      <c r="WNC1" s="204"/>
      <c r="WND1" s="204"/>
      <c r="WNE1" s="204"/>
      <c r="WNF1" s="204"/>
      <c r="WNG1" s="204"/>
      <c r="WNH1" s="204"/>
      <c r="WNI1" s="204"/>
      <c r="WNJ1" s="204"/>
      <c r="WNK1" s="204"/>
      <c r="WNL1" s="204"/>
      <c r="WNM1" s="204"/>
      <c r="WNN1" s="204"/>
      <c r="WNO1" s="204"/>
      <c r="WNP1" s="204"/>
      <c r="WNQ1" s="204"/>
      <c r="WNR1" s="204"/>
      <c r="WNS1" s="204"/>
      <c r="WNT1" s="204"/>
      <c r="WNU1" s="204"/>
      <c r="WNV1" s="205"/>
      <c r="WNW1" s="204"/>
      <c r="WNX1" s="204"/>
      <c r="WNY1" s="204"/>
      <c r="WNZ1" s="204"/>
      <c r="WOA1" s="204"/>
      <c r="WOB1" s="204"/>
      <c r="WOC1" s="204"/>
      <c r="WOD1" s="204"/>
      <c r="WOE1" s="204"/>
      <c r="WOF1" s="204"/>
      <c r="WOG1" s="204"/>
      <c r="WOH1" s="204"/>
      <c r="WOI1" s="204"/>
      <c r="WOJ1" s="204"/>
      <c r="WOK1" s="204"/>
      <c r="WOL1" s="204"/>
      <c r="WOM1" s="204"/>
      <c r="WON1" s="204"/>
      <c r="WOO1" s="204"/>
      <c r="WOP1" s="204"/>
      <c r="WOQ1" s="204"/>
      <c r="WOR1" s="204"/>
      <c r="WOS1" s="204"/>
      <c r="WOT1" s="204"/>
      <c r="WOU1" s="204"/>
      <c r="WOV1" s="204"/>
      <c r="WOW1" s="204"/>
      <c r="WOX1" s="205"/>
      <c r="WOY1" s="204"/>
      <c r="WOZ1" s="204"/>
      <c r="WPA1" s="204"/>
      <c r="WPB1" s="204"/>
      <c r="WPC1" s="204"/>
      <c r="WPD1" s="204"/>
      <c r="WPE1" s="204"/>
      <c r="WPF1" s="204"/>
      <c r="WPG1" s="204"/>
      <c r="WPH1" s="204"/>
      <c r="WPI1" s="204"/>
      <c r="WPJ1" s="204"/>
      <c r="WPK1" s="204"/>
      <c r="WPL1" s="204"/>
      <c r="WPM1" s="204"/>
      <c r="WPN1" s="204"/>
      <c r="WPO1" s="204"/>
      <c r="WPP1" s="204"/>
      <c r="WPQ1" s="204"/>
      <c r="WPR1" s="204"/>
      <c r="WPS1" s="204"/>
      <c r="WPT1" s="204"/>
      <c r="WPU1" s="204"/>
      <c r="WPV1" s="204"/>
      <c r="WPW1" s="204"/>
      <c r="WPX1" s="204"/>
      <c r="WPY1" s="204"/>
      <c r="WPZ1" s="205"/>
      <c r="WQA1" s="204"/>
      <c r="WQB1" s="204"/>
      <c r="WQC1" s="204"/>
      <c r="WQD1" s="204"/>
      <c r="WQE1" s="204"/>
      <c r="WQF1" s="204"/>
      <c r="WQG1" s="204"/>
      <c r="WQH1" s="204"/>
      <c r="WQI1" s="204"/>
      <c r="WQJ1" s="204"/>
      <c r="WQK1" s="204"/>
      <c r="WQL1" s="204"/>
      <c r="WQM1" s="204"/>
      <c r="WQN1" s="204"/>
      <c r="WQO1" s="204"/>
      <c r="WQP1" s="204"/>
      <c r="WQQ1" s="204"/>
      <c r="WQR1" s="204"/>
      <c r="WQS1" s="204"/>
      <c r="WQT1" s="204"/>
      <c r="WQU1" s="204"/>
      <c r="WQV1" s="204"/>
      <c r="WQW1" s="204"/>
      <c r="WQX1" s="204"/>
      <c r="WQY1" s="204"/>
      <c r="WQZ1" s="204"/>
      <c r="WRA1" s="204"/>
      <c r="WRB1" s="205"/>
      <c r="WRC1" s="204"/>
      <c r="WRD1" s="204"/>
      <c r="WRE1" s="204"/>
      <c r="WRF1" s="204"/>
      <c r="WRG1" s="204"/>
      <c r="WRH1" s="204"/>
      <c r="WRI1" s="204"/>
      <c r="WRJ1" s="204"/>
      <c r="WRK1" s="204"/>
      <c r="WRL1" s="204"/>
      <c r="WRM1" s="204"/>
      <c r="WRN1" s="204"/>
      <c r="WRO1" s="204"/>
      <c r="WRP1" s="204"/>
      <c r="WRQ1" s="204"/>
      <c r="WRR1" s="204"/>
      <c r="WRS1" s="204"/>
      <c r="WRT1" s="204"/>
      <c r="WRU1" s="204"/>
      <c r="WRV1" s="204"/>
      <c r="WRW1" s="204"/>
      <c r="WRX1" s="204"/>
      <c r="WRY1" s="204"/>
      <c r="WRZ1" s="204"/>
      <c r="WSA1" s="204"/>
      <c r="WSB1" s="204"/>
      <c r="WSC1" s="204"/>
      <c r="WSD1" s="205"/>
      <c r="WSE1" s="204"/>
      <c r="WSF1" s="204"/>
      <c r="WSG1" s="204"/>
      <c r="WSH1" s="204"/>
      <c r="WSI1" s="204"/>
      <c r="WSJ1" s="204"/>
      <c r="WSK1" s="204"/>
      <c r="WSL1" s="204"/>
      <c r="WSM1" s="204"/>
      <c r="WSN1" s="204"/>
      <c r="WSO1" s="204"/>
      <c r="WSP1" s="204"/>
      <c r="WSQ1" s="204"/>
      <c r="WSR1" s="204"/>
      <c r="WSS1" s="204"/>
      <c r="WST1" s="204"/>
      <c r="WSU1" s="204"/>
      <c r="WSV1" s="204"/>
      <c r="WSW1" s="204"/>
      <c r="WSX1" s="204"/>
      <c r="WSY1" s="204"/>
      <c r="WSZ1" s="204"/>
      <c r="WTA1" s="204"/>
      <c r="WTB1" s="204"/>
      <c r="WTC1" s="204"/>
      <c r="WTD1" s="204"/>
      <c r="WTE1" s="204"/>
      <c r="WTF1" s="205"/>
      <c r="WTG1" s="204"/>
      <c r="WTH1" s="204"/>
      <c r="WTI1" s="204"/>
      <c r="WTJ1" s="204"/>
      <c r="WTK1" s="204"/>
      <c r="WTL1" s="204"/>
      <c r="WTM1" s="204"/>
      <c r="WTN1" s="204"/>
      <c r="WTO1" s="204"/>
      <c r="WTP1" s="204"/>
      <c r="WTQ1" s="204"/>
      <c r="WTR1" s="204"/>
      <c r="WTS1" s="204"/>
      <c r="WTT1" s="204"/>
      <c r="WTU1" s="204"/>
      <c r="WTV1" s="204"/>
      <c r="WTW1" s="204"/>
      <c r="WTX1" s="204"/>
      <c r="WTY1" s="204"/>
      <c r="WTZ1" s="204"/>
      <c r="WUA1" s="204"/>
      <c r="WUB1" s="204"/>
      <c r="WUC1" s="204"/>
      <c r="WUD1" s="204"/>
      <c r="WUE1" s="204"/>
      <c r="WUF1" s="204"/>
      <c r="WUG1" s="204"/>
      <c r="WUH1" s="205"/>
      <c r="WUI1" s="204"/>
      <c r="WUJ1" s="204"/>
      <c r="WUK1" s="204"/>
      <c r="WUL1" s="204"/>
      <c r="WUM1" s="204"/>
      <c r="WUN1" s="204"/>
      <c r="WUO1" s="204"/>
      <c r="WUP1" s="204"/>
      <c r="WUQ1" s="204"/>
      <c r="WUR1" s="204"/>
      <c r="WUS1" s="204"/>
      <c r="WUT1" s="204"/>
      <c r="WUU1" s="204"/>
      <c r="WUV1" s="204"/>
      <c r="WUW1" s="204"/>
      <c r="WUX1" s="204"/>
      <c r="WUY1" s="204"/>
      <c r="WUZ1" s="204"/>
      <c r="WVA1" s="204"/>
      <c r="WVB1" s="204"/>
      <c r="WVC1" s="204"/>
      <c r="WVD1" s="204"/>
      <c r="WVE1" s="204"/>
      <c r="WVF1" s="204"/>
      <c r="WVG1" s="204"/>
      <c r="WVH1" s="204"/>
      <c r="WVI1" s="204"/>
      <c r="WVJ1" s="205"/>
      <c r="WVK1" s="204"/>
      <c r="WVL1" s="204"/>
      <c r="WVM1" s="204"/>
      <c r="WVN1" s="204"/>
      <c r="WVO1" s="204"/>
      <c r="WVP1" s="204"/>
      <c r="WVQ1" s="204"/>
      <c r="WVR1" s="204"/>
      <c r="WVS1" s="204"/>
      <c r="WVT1" s="204"/>
      <c r="WVU1" s="204"/>
      <c r="WVV1" s="204"/>
      <c r="WVW1" s="204"/>
      <c r="WVX1" s="204"/>
      <c r="WVY1" s="204"/>
      <c r="WVZ1" s="204"/>
      <c r="WWA1" s="204"/>
      <c r="WWB1" s="204"/>
      <c r="WWC1" s="204"/>
      <c r="WWD1" s="204"/>
      <c r="WWE1" s="204"/>
      <c r="WWF1" s="204"/>
      <c r="WWG1" s="204"/>
      <c r="WWH1" s="204"/>
      <c r="WWI1" s="204"/>
      <c r="WWJ1" s="204"/>
      <c r="WWK1" s="204"/>
      <c r="WWL1" s="205"/>
      <c r="WWM1" s="204"/>
      <c r="WWN1" s="204"/>
      <c r="WWO1" s="204"/>
      <c r="WWP1" s="204"/>
      <c r="WWQ1" s="204"/>
      <c r="WWR1" s="204"/>
      <c r="WWS1" s="204"/>
      <c r="WWT1" s="204"/>
      <c r="WWU1" s="204"/>
      <c r="WWV1" s="204"/>
      <c r="WWW1" s="204"/>
      <c r="WWX1" s="204"/>
      <c r="WWY1" s="204"/>
      <c r="WWZ1" s="204"/>
      <c r="WXA1" s="204"/>
      <c r="WXB1" s="204"/>
      <c r="WXC1" s="204"/>
      <c r="WXD1" s="204"/>
      <c r="WXE1" s="204"/>
      <c r="WXF1" s="204"/>
      <c r="WXG1" s="204"/>
      <c r="WXH1" s="204"/>
      <c r="WXI1" s="204"/>
      <c r="WXJ1" s="204"/>
      <c r="WXK1" s="204"/>
      <c r="WXL1" s="204"/>
      <c r="WXM1" s="204"/>
      <c r="WXN1" s="205"/>
      <c r="WXO1" s="204"/>
      <c r="WXP1" s="204"/>
      <c r="WXQ1" s="204"/>
      <c r="WXR1" s="204"/>
      <c r="WXS1" s="204"/>
      <c r="WXT1" s="204"/>
      <c r="WXU1" s="204"/>
      <c r="WXV1" s="204"/>
      <c r="WXW1" s="204"/>
      <c r="WXX1" s="204"/>
      <c r="WXY1" s="204"/>
      <c r="WXZ1" s="204"/>
      <c r="WYA1" s="204"/>
      <c r="WYB1" s="204"/>
      <c r="WYC1" s="204"/>
      <c r="WYD1" s="204"/>
      <c r="WYE1" s="204"/>
      <c r="WYF1" s="204"/>
      <c r="WYG1" s="204"/>
      <c r="WYH1" s="204"/>
      <c r="WYI1" s="204"/>
      <c r="WYJ1" s="204"/>
      <c r="WYK1" s="204"/>
      <c r="WYL1" s="204"/>
      <c r="WYM1" s="204"/>
      <c r="WYN1" s="204"/>
      <c r="WYO1" s="204"/>
      <c r="WYP1" s="205"/>
      <c r="WYQ1" s="204"/>
      <c r="WYR1" s="204"/>
      <c r="WYS1" s="204"/>
      <c r="WYT1" s="204"/>
      <c r="WYU1" s="204"/>
      <c r="WYV1" s="204"/>
      <c r="WYW1" s="204"/>
      <c r="WYX1" s="204"/>
      <c r="WYY1" s="204"/>
      <c r="WYZ1" s="204"/>
      <c r="WZA1" s="204"/>
      <c r="WZB1" s="204"/>
      <c r="WZC1" s="204"/>
      <c r="WZD1" s="204"/>
      <c r="WZE1" s="204"/>
      <c r="WZF1" s="204"/>
      <c r="WZG1" s="204"/>
      <c r="WZH1" s="204"/>
      <c r="WZI1" s="204"/>
      <c r="WZJ1" s="204"/>
      <c r="WZK1" s="204"/>
      <c r="WZL1" s="204"/>
      <c r="WZM1" s="204"/>
      <c r="WZN1" s="204"/>
      <c r="WZO1" s="204"/>
      <c r="WZP1" s="204"/>
      <c r="WZQ1" s="204"/>
      <c r="WZR1" s="205"/>
      <c r="WZS1" s="204"/>
      <c r="WZT1" s="204"/>
      <c r="WZU1" s="204"/>
      <c r="WZV1" s="204"/>
      <c r="WZW1" s="204"/>
      <c r="WZX1" s="204"/>
      <c r="WZY1" s="204"/>
      <c r="WZZ1" s="204"/>
      <c r="XAA1" s="204"/>
      <c r="XAB1" s="204"/>
      <c r="XAC1" s="204"/>
      <c r="XAD1" s="204"/>
      <c r="XAE1" s="204"/>
      <c r="XAF1" s="204"/>
      <c r="XAG1" s="204"/>
      <c r="XAH1" s="204"/>
      <c r="XAI1" s="204"/>
      <c r="XAJ1" s="204"/>
      <c r="XAK1" s="204"/>
      <c r="XAL1" s="204"/>
      <c r="XAM1" s="204"/>
      <c r="XAN1" s="204"/>
      <c r="XAO1" s="204"/>
      <c r="XAP1" s="204"/>
      <c r="XAQ1" s="204"/>
      <c r="XAR1" s="204"/>
      <c r="XAS1" s="204"/>
      <c r="XAT1" s="205"/>
      <c r="XAU1" s="204"/>
      <c r="XAV1" s="204"/>
      <c r="XAW1" s="204"/>
      <c r="XAX1" s="204"/>
      <c r="XAY1" s="204"/>
      <c r="XAZ1" s="204"/>
      <c r="XBA1" s="204"/>
      <c r="XBB1" s="204"/>
      <c r="XBC1" s="204"/>
      <c r="XBD1" s="204"/>
      <c r="XBE1" s="204"/>
      <c r="XBF1" s="204"/>
      <c r="XBG1" s="204"/>
      <c r="XBH1" s="204"/>
      <c r="XBI1" s="204"/>
      <c r="XBJ1" s="204"/>
      <c r="XBK1" s="204"/>
      <c r="XBL1" s="204"/>
      <c r="XBM1" s="204"/>
      <c r="XBN1" s="204"/>
      <c r="XBO1" s="204"/>
      <c r="XBP1" s="204"/>
      <c r="XBQ1" s="204"/>
      <c r="XBR1" s="204"/>
      <c r="XBS1" s="204"/>
      <c r="XBT1" s="204"/>
      <c r="XBU1" s="204"/>
      <c r="XBV1" s="205"/>
      <c r="XBW1" s="204"/>
      <c r="XBX1" s="204"/>
      <c r="XBY1" s="204"/>
      <c r="XBZ1" s="204"/>
      <c r="XCA1" s="204"/>
      <c r="XCB1" s="204"/>
      <c r="XCC1" s="204"/>
      <c r="XCD1" s="204"/>
      <c r="XCE1" s="204"/>
      <c r="XCF1" s="204"/>
      <c r="XCG1" s="204"/>
      <c r="XCH1" s="204"/>
      <c r="XCI1" s="204"/>
      <c r="XCJ1" s="204"/>
      <c r="XCK1" s="204"/>
      <c r="XCL1" s="204"/>
      <c r="XCM1" s="204"/>
      <c r="XCN1" s="204"/>
      <c r="XCO1" s="204"/>
      <c r="XCP1" s="204"/>
      <c r="XCQ1" s="204"/>
      <c r="XCR1" s="204"/>
      <c r="XCS1" s="204"/>
      <c r="XCT1" s="204"/>
      <c r="XCU1" s="204"/>
      <c r="XCV1" s="204"/>
      <c r="XCW1" s="204"/>
      <c r="XCX1" s="205"/>
      <c r="XCY1" s="204"/>
      <c r="XCZ1" s="204"/>
      <c r="XDA1" s="204"/>
      <c r="XDB1" s="204"/>
      <c r="XDC1" s="204"/>
      <c r="XDD1" s="204"/>
      <c r="XDE1" s="204"/>
      <c r="XDF1" s="204"/>
      <c r="XDG1" s="204"/>
      <c r="XDH1" s="204"/>
      <c r="XDI1" s="204"/>
      <c r="XDJ1" s="204"/>
      <c r="XDK1" s="204"/>
      <c r="XDL1" s="204"/>
      <c r="XDM1" s="204"/>
      <c r="XDN1" s="204"/>
      <c r="XDO1" s="204"/>
      <c r="XDP1" s="204"/>
      <c r="XDQ1" s="204"/>
      <c r="XDR1" s="204"/>
      <c r="XDS1" s="204"/>
      <c r="XDT1" s="204"/>
      <c r="XDU1" s="204"/>
      <c r="XDV1" s="204"/>
      <c r="XDW1" s="204"/>
      <c r="XDX1" s="204"/>
      <c r="XDY1" s="204"/>
      <c r="XDZ1" s="205"/>
      <c r="XEA1" s="204"/>
      <c r="XEB1" s="204"/>
      <c r="XEC1" s="204"/>
      <c r="XED1" s="204"/>
      <c r="XEE1" s="204"/>
      <c r="XEF1" s="204"/>
      <c r="XEG1" s="204"/>
      <c r="XEH1" s="204"/>
      <c r="XEI1" s="204"/>
      <c r="XEJ1" s="204"/>
      <c r="XEK1" s="204"/>
      <c r="XEL1" s="204"/>
      <c r="XEM1" s="204"/>
      <c r="XEN1" s="204"/>
      <c r="XEO1" s="204"/>
      <c r="XEP1" s="204"/>
      <c r="XEQ1" s="204"/>
      <c r="XER1" s="204"/>
      <c r="XES1" s="204"/>
      <c r="XET1" s="204"/>
      <c r="XEU1" s="204"/>
      <c r="XEV1" s="204"/>
    </row>
    <row r="2" spans="1:16376" s="86" customFormat="1" ht="59.25" customHeight="1">
      <c r="A2" s="402">
        <v>133572</v>
      </c>
      <c r="B2" s="89" t="s">
        <v>48</v>
      </c>
      <c r="C2" s="89" t="s">
        <v>49</v>
      </c>
      <c r="D2" s="88">
        <v>60191</v>
      </c>
      <c r="E2" s="88" t="s">
        <v>50</v>
      </c>
      <c r="F2" s="88" t="s">
        <v>51</v>
      </c>
      <c r="G2" s="88">
        <v>22826</v>
      </c>
      <c r="H2" s="88" t="s">
        <v>591</v>
      </c>
      <c r="I2" s="88" t="s">
        <v>737</v>
      </c>
      <c r="J2" s="89" t="s">
        <v>1510</v>
      </c>
      <c r="K2" s="103" t="s">
        <v>1233</v>
      </c>
      <c r="L2" s="403" t="s">
        <v>26</v>
      </c>
      <c r="M2" s="199">
        <v>45322</v>
      </c>
      <c r="N2" s="105">
        <v>44224</v>
      </c>
      <c r="O2" s="105"/>
      <c r="P2" s="203" t="s">
        <v>1070</v>
      </c>
      <c r="Q2" s="203"/>
      <c r="R2" s="203"/>
      <c r="S2" s="203"/>
      <c r="T2" s="87" t="s">
        <v>4816</v>
      </c>
      <c r="U2" s="87" t="s">
        <v>1576</v>
      </c>
      <c r="V2" s="87"/>
      <c r="W2" s="88" t="s">
        <v>1576</v>
      </c>
      <c r="X2" s="249" t="s">
        <v>3648</v>
      </c>
      <c r="Y2" s="88"/>
      <c r="Z2" s="250" t="s">
        <v>4310</v>
      </c>
      <c r="AA2" s="87"/>
      <c r="AB2" s="250"/>
      <c r="AC2" s="250"/>
      <c r="AD2" s="250"/>
      <c r="AE2" s="87"/>
      <c r="AF2" s="88"/>
      <c r="AG2" s="88"/>
      <c r="AH2" s="88"/>
      <c r="AI2" s="224"/>
      <c r="AJ2" s="225"/>
      <c r="AK2" s="224"/>
      <c r="AL2" s="224"/>
      <c r="AM2" s="224"/>
      <c r="AN2" s="224"/>
    </row>
    <row r="3" spans="1:16376" s="86" customFormat="1" ht="59.25" customHeight="1">
      <c r="A3" s="402">
        <v>133787</v>
      </c>
      <c r="B3" s="89" t="s">
        <v>52</v>
      </c>
      <c r="C3" s="89" t="s">
        <v>53</v>
      </c>
      <c r="D3" s="88">
        <v>55252</v>
      </c>
      <c r="E3" s="88" t="s">
        <v>54</v>
      </c>
      <c r="F3" s="88" t="s">
        <v>55</v>
      </c>
      <c r="G3" s="88" t="s">
        <v>791</v>
      </c>
      <c r="H3" s="88" t="s">
        <v>591</v>
      </c>
      <c r="I3" s="88" t="s">
        <v>40</v>
      </c>
      <c r="J3" s="89" t="s">
        <v>5278</v>
      </c>
      <c r="K3" s="103" t="s">
        <v>1402</v>
      </c>
      <c r="L3" s="403" t="s">
        <v>26</v>
      </c>
      <c r="M3" s="199">
        <v>45199</v>
      </c>
      <c r="N3" s="105">
        <v>44648</v>
      </c>
      <c r="O3" s="105"/>
      <c r="P3" s="203" t="s">
        <v>5543</v>
      </c>
      <c r="Q3" s="203" t="s">
        <v>1591</v>
      </c>
      <c r="R3" s="203" t="s">
        <v>1874</v>
      </c>
      <c r="S3" s="203"/>
      <c r="T3" s="87" t="s">
        <v>5684</v>
      </c>
      <c r="U3" s="87" t="s">
        <v>1568</v>
      </c>
      <c r="V3" s="87"/>
      <c r="W3" s="88" t="s">
        <v>1568</v>
      </c>
      <c r="X3" s="249" t="s">
        <v>5134</v>
      </c>
      <c r="Y3" s="88"/>
      <c r="Z3" s="250"/>
      <c r="AA3" s="87" t="s">
        <v>2071</v>
      </c>
      <c r="AB3" s="250" t="s">
        <v>2072</v>
      </c>
      <c r="AC3" s="250"/>
      <c r="AD3" s="250"/>
      <c r="AE3" s="87"/>
      <c r="AF3" s="88" t="s">
        <v>1336</v>
      </c>
      <c r="AG3" s="88" t="s">
        <v>2079</v>
      </c>
      <c r="AH3" s="88" t="s">
        <v>2074</v>
      </c>
      <c r="AI3" s="224" t="s">
        <v>2075</v>
      </c>
      <c r="AJ3" s="225">
        <v>2</v>
      </c>
      <c r="AK3" s="224" t="s">
        <v>2076</v>
      </c>
      <c r="AL3" s="224" t="s">
        <v>2495</v>
      </c>
      <c r="AM3" s="224" t="s">
        <v>2077</v>
      </c>
      <c r="AN3" s="224"/>
    </row>
    <row r="4" spans="1:16376" s="86" customFormat="1" ht="59.25" customHeight="1">
      <c r="A4" s="402">
        <v>133793</v>
      </c>
      <c r="B4" s="89" t="s">
        <v>56</v>
      </c>
      <c r="C4" s="89" t="s">
        <v>57</v>
      </c>
      <c r="D4" s="88" t="s">
        <v>58</v>
      </c>
      <c r="E4" s="88" t="s">
        <v>59</v>
      </c>
      <c r="F4" s="88" t="s">
        <v>51</v>
      </c>
      <c r="G4" s="88">
        <v>93835</v>
      </c>
      <c r="H4" s="88" t="s">
        <v>591</v>
      </c>
      <c r="I4" s="88" t="s">
        <v>40</v>
      </c>
      <c r="J4" s="89" t="s">
        <v>5278</v>
      </c>
      <c r="K4" s="103" t="s">
        <v>1402</v>
      </c>
      <c r="L4" s="403" t="s">
        <v>26</v>
      </c>
      <c r="M4" s="199">
        <v>45199</v>
      </c>
      <c r="N4" s="105">
        <v>44648</v>
      </c>
      <c r="O4" s="105"/>
      <c r="P4" s="203" t="s">
        <v>6010</v>
      </c>
      <c r="Q4" s="203" t="s">
        <v>1592</v>
      </c>
      <c r="R4" s="203" t="s">
        <v>1946</v>
      </c>
      <c r="S4" s="203"/>
      <c r="T4" s="87" t="s">
        <v>5951</v>
      </c>
      <c r="U4" s="87" t="s">
        <v>1569</v>
      </c>
      <c r="V4" s="87"/>
      <c r="W4" s="88" t="s">
        <v>1568</v>
      </c>
      <c r="X4" s="249" t="s">
        <v>4850</v>
      </c>
      <c r="Y4" s="88"/>
      <c r="Z4" s="250"/>
      <c r="AA4" s="87" t="s">
        <v>2071</v>
      </c>
      <c r="AB4" s="250" t="s">
        <v>2072</v>
      </c>
      <c r="AC4" s="250"/>
      <c r="AD4" s="250"/>
      <c r="AE4" s="87"/>
      <c r="AF4" s="88" t="s">
        <v>1336</v>
      </c>
      <c r="AG4" s="88" t="s">
        <v>2079</v>
      </c>
      <c r="AH4" s="88" t="s">
        <v>2074</v>
      </c>
      <c r="AI4" s="224" t="s">
        <v>2075</v>
      </c>
      <c r="AJ4" s="225">
        <v>2</v>
      </c>
      <c r="AK4" s="224" t="s">
        <v>2076</v>
      </c>
      <c r="AL4" s="224" t="s">
        <v>2495</v>
      </c>
      <c r="AM4" s="224" t="s">
        <v>2077</v>
      </c>
      <c r="AN4" s="224"/>
    </row>
    <row r="5" spans="1:16376" s="86" customFormat="1" ht="59.25" customHeight="1">
      <c r="A5" s="402">
        <v>134187</v>
      </c>
      <c r="B5" s="89" t="s">
        <v>1256</v>
      </c>
      <c r="C5" s="89" t="s">
        <v>1257</v>
      </c>
      <c r="D5" s="88">
        <v>31770</v>
      </c>
      <c r="E5" s="88" t="s">
        <v>349</v>
      </c>
      <c r="F5" s="88" t="s">
        <v>47</v>
      </c>
      <c r="G5" s="88"/>
      <c r="H5" s="88" t="s">
        <v>591</v>
      </c>
      <c r="I5" s="88" t="s">
        <v>40</v>
      </c>
      <c r="J5" s="89" t="s">
        <v>5278</v>
      </c>
      <c r="K5" s="103" t="s">
        <v>1233</v>
      </c>
      <c r="L5" s="403" t="s">
        <v>26</v>
      </c>
      <c r="M5" s="199">
        <v>45596</v>
      </c>
      <c r="N5" s="105">
        <v>44629</v>
      </c>
      <c r="O5" s="105"/>
      <c r="P5" s="203" t="s">
        <v>1305</v>
      </c>
      <c r="Q5" s="203" t="s">
        <v>1593</v>
      </c>
      <c r="R5" s="203"/>
      <c r="S5" s="203"/>
      <c r="T5" s="87" t="s">
        <v>4874</v>
      </c>
      <c r="U5" s="87" t="s">
        <v>1570</v>
      </c>
      <c r="V5" s="87"/>
      <c r="W5" s="88" t="s">
        <v>1571</v>
      </c>
      <c r="X5" s="249" t="s">
        <v>3654</v>
      </c>
      <c r="Y5" s="88"/>
      <c r="Z5" s="250" t="s">
        <v>5247</v>
      </c>
      <c r="AA5" s="87" t="s">
        <v>2078</v>
      </c>
      <c r="AB5" s="250" t="s">
        <v>2079</v>
      </c>
      <c r="AC5" s="250" t="s">
        <v>5384</v>
      </c>
      <c r="AD5" s="250"/>
      <c r="AE5" s="87" t="s">
        <v>5247</v>
      </c>
      <c r="AF5" s="88" t="s">
        <v>5278</v>
      </c>
      <c r="AG5" s="88" t="s">
        <v>4417</v>
      </c>
      <c r="AH5" s="88"/>
      <c r="AI5" s="224"/>
      <c r="AJ5" s="225">
        <v>4</v>
      </c>
      <c r="AK5" s="224" t="s">
        <v>2080</v>
      </c>
      <c r="AL5" s="224" t="s">
        <v>2081</v>
      </c>
      <c r="AM5" s="224" t="s">
        <v>2082</v>
      </c>
      <c r="AN5" s="224" t="s">
        <v>2083</v>
      </c>
    </row>
    <row r="6" spans="1:16376" s="86" customFormat="1" ht="59.25" customHeight="1">
      <c r="A6" s="402">
        <v>134284</v>
      </c>
      <c r="B6" s="89" t="s">
        <v>60</v>
      </c>
      <c r="C6" s="89" t="s">
        <v>61</v>
      </c>
      <c r="D6" s="88">
        <v>92835</v>
      </c>
      <c r="E6" s="88" t="s">
        <v>62</v>
      </c>
      <c r="F6" s="88" t="s">
        <v>51</v>
      </c>
      <c r="G6" s="88">
        <v>80477</v>
      </c>
      <c r="H6" s="88" t="s">
        <v>591</v>
      </c>
      <c r="I6" s="88" t="s">
        <v>40</v>
      </c>
      <c r="J6" s="89" t="s">
        <v>786</v>
      </c>
      <c r="K6" s="103" t="s">
        <v>1233</v>
      </c>
      <c r="L6" s="403" t="s">
        <v>26</v>
      </c>
      <c r="M6" s="199">
        <v>45657</v>
      </c>
      <c r="N6" s="105">
        <v>44536</v>
      </c>
      <c r="O6" s="105"/>
      <c r="P6" s="203" t="s">
        <v>5067</v>
      </c>
      <c r="Q6" s="203" t="s">
        <v>1594</v>
      </c>
      <c r="R6" s="203"/>
      <c r="S6" s="203"/>
      <c r="T6" s="87" t="s">
        <v>5685</v>
      </c>
      <c r="U6" s="87" t="s">
        <v>1568</v>
      </c>
      <c r="V6" s="87"/>
      <c r="W6" s="88" t="s">
        <v>1568</v>
      </c>
      <c r="X6" s="249" t="s">
        <v>3655</v>
      </c>
      <c r="Y6" s="88"/>
      <c r="Z6" s="250"/>
      <c r="AA6" s="87" t="s">
        <v>2084</v>
      </c>
      <c r="AB6" s="250" t="s">
        <v>2072</v>
      </c>
      <c r="AC6" s="250"/>
      <c r="AD6" s="250"/>
      <c r="AE6" s="87"/>
      <c r="AF6" s="88" t="s">
        <v>786</v>
      </c>
      <c r="AG6" s="88" t="s">
        <v>2073</v>
      </c>
      <c r="AH6" s="88" t="s">
        <v>2074</v>
      </c>
      <c r="AI6" s="224" t="s">
        <v>2075</v>
      </c>
      <c r="AJ6" s="225">
        <v>3</v>
      </c>
      <c r="AK6" s="224" t="s">
        <v>2085</v>
      </c>
      <c r="AL6" s="224" t="s">
        <v>2086</v>
      </c>
      <c r="AM6" s="224" t="s">
        <v>2087</v>
      </c>
      <c r="AN6" s="224" t="s">
        <v>2088</v>
      </c>
    </row>
    <row r="7" spans="1:16376" s="86" customFormat="1" ht="59.25" customHeight="1">
      <c r="A7" s="402">
        <v>134634</v>
      </c>
      <c r="B7" s="89" t="s">
        <v>1586</v>
      </c>
      <c r="C7" s="89" t="s">
        <v>1587</v>
      </c>
      <c r="D7" s="88" t="s">
        <v>1588</v>
      </c>
      <c r="E7" s="88" t="s">
        <v>1589</v>
      </c>
      <c r="F7" s="88" t="s">
        <v>45</v>
      </c>
      <c r="G7" s="88" t="s">
        <v>1590</v>
      </c>
      <c r="H7" s="88" t="s">
        <v>591</v>
      </c>
      <c r="I7" s="88" t="s">
        <v>40</v>
      </c>
      <c r="J7" s="89" t="s">
        <v>5280</v>
      </c>
      <c r="K7" s="103" t="s">
        <v>1402</v>
      </c>
      <c r="L7" s="403" t="s">
        <v>26</v>
      </c>
      <c r="M7" s="199">
        <v>44865</v>
      </c>
      <c r="N7" s="105">
        <v>44113</v>
      </c>
      <c r="O7" s="105"/>
      <c r="P7" s="203" t="s">
        <v>4810</v>
      </c>
      <c r="Q7" s="203" t="s">
        <v>4813</v>
      </c>
      <c r="R7" s="203"/>
      <c r="S7" s="203"/>
      <c r="T7" s="87" t="s">
        <v>5917</v>
      </c>
      <c r="U7" s="87" t="s">
        <v>1571</v>
      </c>
      <c r="V7" s="87"/>
      <c r="W7" s="88" t="s">
        <v>1571</v>
      </c>
      <c r="X7" s="249" t="s">
        <v>5839</v>
      </c>
      <c r="Y7" s="88"/>
      <c r="Z7" s="250" t="s">
        <v>2028</v>
      </c>
      <c r="AA7" s="87" t="s">
        <v>2089</v>
      </c>
      <c r="AB7" s="250" t="s">
        <v>2079</v>
      </c>
      <c r="AC7" s="250" t="s">
        <v>2091</v>
      </c>
      <c r="AD7" s="250"/>
      <c r="AE7" s="87" t="s">
        <v>2028</v>
      </c>
      <c r="AF7" s="88" t="s">
        <v>5280</v>
      </c>
      <c r="AG7" s="88" t="s">
        <v>2092</v>
      </c>
      <c r="AH7" s="88" t="s">
        <v>2074</v>
      </c>
      <c r="AI7" s="224"/>
      <c r="AJ7" s="225">
        <v>4</v>
      </c>
      <c r="AK7" s="224" t="s">
        <v>2085</v>
      </c>
      <c r="AL7" s="224" t="s">
        <v>4217</v>
      </c>
      <c r="AM7" s="224"/>
      <c r="AN7" s="224"/>
    </row>
    <row r="8" spans="1:16376" s="86" customFormat="1" ht="59.25" customHeight="1">
      <c r="A8" s="402">
        <v>134654</v>
      </c>
      <c r="B8" s="89" t="s">
        <v>1458</v>
      </c>
      <c r="C8" s="89" t="s">
        <v>1117</v>
      </c>
      <c r="D8" s="88">
        <v>37600</v>
      </c>
      <c r="E8" s="88" t="s">
        <v>63</v>
      </c>
      <c r="F8" s="88" t="s">
        <v>47</v>
      </c>
      <c r="G8" s="88" t="s">
        <v>1459</v>
      </c>
      <c r="H8" s="88" t="s">
        <v>591</v>
      </c>
      <c r="I8" s="88" t="s">
        <v>40</v>
      </c>
      <c r="J8" s="89" t="s">
        <v>5280</v>
      </c>
      <c r="K8" s="103" t="s">
        <v>1233</v>
      </c>
      <c r="L8" s="403" t="s">
        <v>26</v>
      </c>
      <c r="M8" s="199">
        <v>45230</v>
      </c>
      <c r="N8" s="105">
        <v>44319</v>
      </c>
      <c r="O8" s="105"/>
      <c r="P8" s="203" t="s">
        <v>4356</v>
      </c>
      <c r="Q8" s="203" t="s">
        <v>1595</v>
      </c>
      <c r="R8" s="203" t="s">
        <v>1875</v>
      </c>
      <c r="S8" s="203"/>
      <c r="T8" s="87" t="s">
        <v>5686</v>
      </c>
      <c r="U8" s="87" t="s">
        <v>1568</v>
      </c>
      <c r="V8" s="87"/>
      <c r="W8" s="88" t="s">
        <v>1568</v>
      </c>
      <c r="X8" s="249" t="s">
        <v>4207</v>
      </c>
      <c r="Y8" s="88"/>
      <c r="Z8" s="250" t="s">
        <v>5316</v>
      </c>
      <c r="AA8" s="87" t="s">
        <v>743</v>
      </c>
      <c r="AB8" s="250" t="s">
        <v>2079</v>
      </c>
      <c r="AC8" s="250" t="s">
        <v>2095</v>
      </c>
      <c r="AD8" s="250"/>
      <c r="AE8" s="87" t="s">
        <v>5316</v>
      </c>
      <c r="AF8" s="88" t="s">
        <v>5280</v>
      </c>
      <c r="AG8" s="88" t="s">
        <v>2073</v>
      </c>
      <c r="AH8" s="88" t="s">
        <v>2074</v>
      </c>
      <c r="AI8" s="224" t="s">
        <v>2075</v>
      </c>
      <c r="AJ8" s="225">
        <v>2</v>
      </c>
      <c r="AK8" s="224" t="s">
        <v>2076</v>
      </c>
      <c r="AL8" s="224" t="s">
        <v>2096</v>
      </c>
      <c r="AM8" s="224" t="s">
        <v>2077</v>
      </c>
      <c r="AN8" s="224"/>
    </row>
    <row r="9" spans="1:16376" s="86" customFormat="1" ht="59.25" customHeight="1">
      <c r="A9" s="402">
        <v>134661</v>
      </c>
      <c r="B9" s="89" t="s">
        <v>1397</v>
      </c>
      <c r="C9" s="89" t="s">
        <v>64</v>
      </c>
      <c r="D9" s="88">
        <v>16130</v>
      </c>
      <c r="E9" s="88" t="s">
        <v>65</v>
      </c>
      <c r="F9" s="88" t="s">
        <v>47</v>
      </c>
      <c r="G9" s="88"/>
      <c r="H9" s="88" t="s">
        <v>591</v>
      </c>
      <c r="I9" s="88" t="s">
        <v>40</v>
      </c>
      <c r="J9" s="89" t="s">
        <v>5449</v>
      </c>
      <c r="K9" s="103" t="s">
        <v>1402</v>
      </c>
      <c r="L9" s="403" t="s">
        <v>26</v>
      </c>
      <c r="M9" s="199">
        <v>45350</v>
      </c>
      <c r="N9" s="105">
        <v>44434</v>
      </c>
      <c r="O9" s="105"/>
      <c r="P9" s="203" t="s">
        <v>6011</v>
      </c>
      <c r="Q9" s="203" t="s">
        <v>6068</v>
      </c>
      <c r="R9" s="203"/>
      <c r="S9" s="203"/>
      <c r="T9" s="87" t="s">
        <v>5687</v>
      </c>
      <c r="U9" s="87" t="s">
        <v>1571</v>
      </c>
      <c r="V9" s="87"/>
      <c r="W9" s="88" t="s">
        <v>1571</v>
      </c>
      <c r="X9" s="249" t="s">
        <v>5955</v>
      </c>
      <c r="Y9" s="88"/>
      <c r="Z9" s="250"/>
      <c r="AA9" s="87" t="s">
        <v>2097</v>
      </c>
      <c r="AB9" s="250" t="s">
        <v>2072</v>
      </c>
      <c r="AC9" s="250"/>
      <c r="AD9" s="250"/>
      <c r="AE9" s="87"/>
      <c r="AF9" s="88" t="s">
        <v>5449</v>
      </c>
      <c r="AG9" s="88" t="s">
        <v>2073</v>
      </c>
      <c r="AH9" s="88" t="s">
        <v>2074</v>
      </c>
      <c r="AI9" s="224" t="s">
        <v>2075</v>
      </c>
      <c r="AJ9" s="225">
        <v>2</v>
      </c>
      <c r="AK9" s="224" t="s">
        <v>2076</v>
      </c>
      <c r="AL9" s="224" t="s">
        <v>2098</v>
      </c>
      <c r="AM9" s="224" t="s">
        <v>2099</v>
      </c>
      <c r="AN9" s="224"/>
    </row>
    <row r="10" spans="1:16376" s="86" customFormat="1" ht="59.25" customHeight="1">
      <c r="A10" s="402">
        <v>134816</v>
      </c>
      <c r="B10" s="89" t="s">
        <v>792</v>
      </c>
      <c r="C10" s="89" t="s">
        <v>793</v>
      </c>
      <c r="D10" s="88">
        <v>78400</v>
      </c>
      <c r="E10" s="88" t="s">
        <v>794</v>
      </c>
      <c r="F10" s="88" t="s">
        <v>47</v>
      </c>
      <c r="G10" s="88" t="s">
        <v>795</v>
      </c>
      <c r="H10" s="88" t="s">
        <v>591</v>
      </c>
      <c r="I10" s="88" t="s">
        <v>737</v>
      </c>
      <c r="J10" s="89" t="s">
        <v>5280</v>
      </c>
      <c r="K10" s="103" t="s">
        <v>5218</v>
      </c>
      <c r="L10" s="403" t="s">
        <v>26</v>
      </c>
      <c r="M10" s="199">
        <v>45382</v>
      </c>
      <c r="N10" s="105">
        <v>44649</v>
      </c>
      <c r="O10" s="105"/>
      <c r="P10" s="203" t="s">
        <v>1070</v>
      </c>
      <c r="Q10" s="203"/>
      <c r="R10" s="203"/>
      <c r="S10" s="203"/>
      <c r="T10" s="87" t="s">
        <v>5688</v>
      </c>
      <c r="U10" s="87" t="s">
        <v>1574</v>
      </c>
      <c r="V10" s="87"/>
      <c r="W10" s="88" t="s">
        <v>1568</v>
      </c>
      <c r="X10" s="249" t="s">
        <v>5102</v>
      </c>
      <c r="Y10" s="88"/>
      <c r="Z10" s="250"/>
      <c r="AA10" s="87"/>
      <c r="AB10" s="250"/>
      <c r="AC10" s="250"/>
      <c r="AD10" s="250"/>
      <c r="AE10" s="87"/>
      <c r="AF10" s="88"/>
      <c r="AG10" s="88"/>
      <c r="AH10" s="88"/>
      <c r="AI10" s="224"/>
      <c r="AJ10" s="225"/>
      <c r="AK10" s="224"/>
      <c r="AL10" s="224"/>
      <c r="AM10" s="224"/>
      <c r="AN10" s="224"/>
    </row>
    <row r="11" spans="1:16376" s="86" customFormat="1" ht="59.25" customHeight="1">
      <c r="A11" s="402">
        <v>134956</v>
      </c>
      <c r="B11" s="89" t="s">
        <v>2504</v>
      </c>
      <c r="C11" s="89" t="s">
        <v>2505</v>
      </c>
      <c r="D11" s="88" t="s">
        <v>2506</v>
      </c>
      <c r="E11" s="88" t="s">
        <v>2507</v>
      </c>
      <c r="F11" s="88" t="s">
        <v>45</v>
      </c>
      <c r="G11" s="88" t="s">
        <v>2508</v>
      </c>
      <c r="H11" s="88" t="s">
        <v>591</v>
      </c>
      <c r="I11" s="88" t="s">
        <v>40</v>
      </c>
      <c r="J11" s="89" t="s">
        <v>5278</v>
      </c>
      <c r="K11" s="103" t="s">
        <v>1233</v>
      </c>
      <c r="L11" s="403" t="s">
        <v>26</v>
      </c>
      <c r="M11" s="199">
        <v>45107</v>
      </c>
      <c r="N11" s="105">
        <v>44145</v>
      </c>
      <c r="O11" s="105"/>
      <c r="P11" s="203" t="s">
        <v>5344</v>
      </c>
      <c r="Q11" s="203" t="s">
        <v>2513</v>
      </c>
      <c r="R11" s="203" t="s">
        <v>2515</v>
      </c>
      <c r="S11" s="203"/>
      <c r="T11" s="87" t="s">
        <v>5051</v>
      </c>
      <c r="U11" s="87" t="s">
        <v>1572</v>
      </c>
      <c r="V11" s="87"/>
      <c r="W11" s="88" t="s">
        <v>1571</v>
      </c>
      <c r="X11" s="249" t="s">
        <v>3657</v>
      </c>
      <c r="Y11" s="88"/>
      <c r="Z11" s="250"/>
      <c r="AA11" s="87" t="s">
        <v>2347</v>
      </c>
      <c r="AB11" s="250" t="s">
        <v>2072</v>
      </c>
      <c r="AC11" s="250"/>
      <c r="AD11" s="250"/>
      <c r="AE11" s="87"/>
      <c r="AF11" s="88" t="s">
        <v>5278</v>
      </c>
      <c r="AG11" s="88" t="s">
        <v>2073</v>
      </c>
      <c r="AH11" s="88" t="s">
        <v>2113</v>
      </c>
      <c r="AI11" s="224"/>
      <c r="AJ11" s="225">
        <v>4</v>
      </c>
      <c r="AK11" s="224" t="s">
        <v>2085</v>
      </c>
      <c r="AL11" s="224" t="s">
        <v>2522</v>
      </c>
      <c r="AM11" s="224" t="s">
        <v>2523</v>
      </c>
      <c r="AN11" s="224"/>
    </row>
    <row r="12" spans="1:16376" s="86" customFormat="1" ht="59.25" customHeight="1">
      <c r="A12" s="404">
        <v>135149</v>
      </c>
      <c r="B12" s="89" t="s">
        <v>1340</v>
      </c>
      <c r="C12" s="89" t="s">
        <v>1341</v>
      </c>
      <c r="D12" s="88">
        <v>28199</v>
      </c>
      <c r="E12" s="88" t="s">
        <v>559</v>
      </c>
      <c r="F12" s="88" t="s">
        <v>55</v>
      </c>
      <c r="G12" s="88" t="s">
        <v>1342</v>
      </c>
      <c r="H12" s="88" t="s">
        <v>591</v>
      </c>
      <c r="I12" s="88" t="s">
        <v>40</v>
      </c>
      <c r="J12" s="89" t="s">
        <v>1277</v>
      </c>
      <c r="K12" s="103"/>
      <c r="L12" s="405" t="s">
        <v>27</v>
      </c>
      <c r="M12" s="199">
        <v>44804</v>
      </c>
      <c r="N12" s="105">
        <v>43700</v>
      </c>
      <c r="O12" s="105"/>
      <c r="P12" s="203" t="s">
        <v>1343</v>
      </c>
      <c r="Q12" s="203" t="s">
        <v>1596</v>
      </c>
      <c r="R12" s="203" t="s">
        <v>1876</v>
      </c>
      <c r="S12" s="203"/>
      <c r="T12" s="87" t="s">
        <v>5689</v>
      </c>
      <c r="U12" s="87" t="s">
        <v>1568</v>
      </c>
      <c r="V12" s="87"/>
      <c r="W12" s="88" t="s">
        <v>1568</v>
      </c>
      <c r="X12" s="249" t="s">
        <v>3658</v>
      </c>
      <c r="Y12" s="88"/>
      <c r="Z12" s="250" t="s">
        <v>2029</v>
      </c>
      <c r="AA12" s="87" t="s">
        <v>1340</v>
      </c>
      <c r="AB12" s="250" t="s">
        <v>2072</v>
      </c>
      <c r="AC12" s="250" t="s">
        <v>2102</v>
      </c>
      <c r="AD12" s="250"/>
      <c r="AE12" s="87" t="s">
        <v>2029</v>
      </c>
      <c r="AF12" s="88" t="s">
        <v>1277</v>
      </c>
      <c r="AG12" s="88" t="s">
        <v>2073</v>
      </c>
      <c r="AH12" s="88" t="s">
        <v>2074</v>
      </c>
      <c r="AI12" s="224"/>
      <c r="AJ12" s="225">
        <v>4</v>
      </c>
      <c r="AK12" s="224" t="s">
        <v>2076</v>
      </c>
      <c r="AL12" s="224" t="s">
        <v>2103</v>
      </c>
      <c r="AM12" s="224"/>
      <c r="AN12" s="224"/>
    </row>
    <row r="13" spans="1:16376" s="86" customFormat="1" ht="59.25" customHeight="1">
      <c r="A13" s="402">
        <v>135638</v>
      </c>
      <c r="B13" s="89" t="s">
        <v>4962</v>
      </c>
      <c r="C13" s="89" t="s">
        <v>4963</v>
      </c>
      <c r="D13" s="88">
        <v>39645</v>
      </c>
      <c r="E13" s="88" t="s">
        <v>4964</v>
      </c>
      <c r="F13" s="88" t="s">
        <v>51</v>
      </c>
      <c r="G13" s="88" t="s">
        <v>4965</v>
      </c>
      <c r="H13" s="88" t="s">
        <v>1194</v>
      </c>
      <c r="I13" s="88" t="s">
        <v>40</v>
      </c>
      <c r="J13" s="89" t="s">
        <v>1277</v>
      </c>
      <c r="K13" s="103"/>
      <c r="L13" s="403" t="s">
        <v>26</v>
      </c>
      <c r="M13" s="199">
        <v>44880</v>
      </c>
      <c r="N13" s="105" t="s">
        <v>5604</v>
      </c>
      <c r="O13" s="105">
        <v>44742</v>
      </c>
      <c r="P13" s="203"/>
      <c r="Q13" s="203" t="s">
        <v>5041</v>
      </c>
      <c r="R13" s="203"/>
      <c r="S13" s="203"/>
      <c r="T13" s="87"/>
      <c r="U13" s="87"/>
      <c r="V13" s="87"/>
      <c r="W13" s="88"/>
      <c r="X13" s="249"/>
      <c r="Y13" s="88"/>
      <c r="Z13" s="250"/>
      <c r="AA13" s="87" t="s">
        <v>2097</v>
      </c>
      <c r="AB13" s="250" t="s">
        <v>2073</v>
      </c>
      <c r="AC13" s="250" t="s">
        <v>5334</v>
      </c>
      <c r="AD13" s="250"/>
      <c r="AE13" s="87"/>
      <c r="AF13" s="88" t="s">
        <v>5449</v>
      </c>
      <c r="AG13" s="88" t="s">
        <v>2073</v>
      </c>
      <c r="AH13" s="88" t="s">
        <v>2074</v>
      </c>
      <c r="AI13" s="224" t="s">
        <v>2075</v>
      </c>
      <c r="AJ13" s="225">
        <v>2</v>
      </c>
      <c r="AK13" s="224" t="s">
        <v>2076</v>
      </c>
      <c r="AL13" s="224" t="s">
        <v>2098</v>
      </c>
      <c r="AM13" s="224" t="s">
        <v>2099</v>
      </c>
      <c r="AN13" s="224"/>
    </row>
    <row r="14" spans="1:16376" s="86" customFormat="1" ht="59.25" customHeight="1">
      <c r="A14" s="402">
        <v>135671</v>
      </c>
      <c r="B14" s="89" t="s">
        <v>67</v>
      </c>
      <c r="C14" s="89" t="s">
        <v>796</v>
      </c>
      <c r="D14" s="88">
        <v>31700</v>
      </c>
      <c r="E14" s="88" t="s">
        <v>68</v>
      </c>
      <c r="F14" s="88" t="s">
        <v>47</v>
      </c>
      <c r="G14" s="88"/>
      <c r="H14" s="88" t="s">
        <v>591</v>
      </c>
      <c r="I14" s="88" t="s">
        <v>41</v>
      </c>
      <c r="J14" s="89" t="s">
        <v>1421</v>
      </c>
      <c r="K14" s="103" t="s">
        <v>1402</v>
      </c>
      <c r="L14" s="403" t="s">
        <v>26</v>
      </c>
      <c r="M14" s="199">
        <v>44895</v>
      </c>
      <c r="N14" s="105">
        <v>44519</v>
      </c>
      <c r="O14" s="105"/>
      <c r="P14" s="203" t="s">
        <v>5669</v>
      </c>
      <c r="Q14" s="203" t="s">
        <v>1597</v>
      </c>
      <c r="R14" s="203"/>
      <c r="S14" s="203"/>
      <c r="T14" s="87"/>
      <c r="U14" s="87"/>
      <c r="V14" s="87" t="s">
        <v>1571</v>
      </c>
      <c r="W14" s="88"/>
      <c r="X14" s="249"/>
      <c r="Y14" s="88"/>
      <c r="Z14" s="250"/>
      <c r="AA14" s="87" t="s">
        <v>67</v>
      </c>
      <c r="AB14" s="250" t="s">
        <v>2090</v>
      </c>
      <c r="AC14" s="250"/>
      <c r="AD14" s="250"/>
      <c r="AE14" s="87"/>
      <c r="AF14" s="88" t="s">
        <v>1421</v>
      </c>
      <c r="AG14" s="88" t="s">
        <v>2104</v>
      </c>
      <c r="AH14" s="88" t="s">
        <v>2105</v>
      </c>
      <c r="AI14" s="224" t="s">
        <v>2106</v>
      </c>
      <c r="AJ14" s="225">
        <v>1</v>
      </c>
      <c r="AK14" s="224" t="s">
        <v>2107</v>
      </c>
      <c r="AL14" s="224" t="s">
        <v>2108</v>
      </c>
      <c r="AM14" s="224" t="s">
        <v>2109</v>
      </c>
      <c r="AN14" s="224" t="s">
        <v>2110</v>
      </c>
    </row>
    <row r="15" spans="1:16376" s="86" customFormat="1" ht="59.25" customHeight="1">
      <c r="A15" s="402">
        <v>135673</v>
      </c>
      <c r="B15" s="89" t="s">
        <v>646</v>
      </c>
      <c r="C15" s="89" t="s">
        <v>69</v>
      </c>
      <c r="D15" s="88">
        <v>95747</v>
      </c>
      <c r="E15" s="88" t="s">
        <v>647</v>
      </c>
      <c r="F15" s="88" t="s">
        <v>47</v>
      </c>
      <c r="G15" s="88"/>
      <c r="H15" s="88" t="s">
        <v>591</v>
      </c>
      <c r="I15" s="88" t="s">
        <v>40</v>
      </c>
      <c r="J15" s="89" t="s">
        <v>1421</v>
      </c>
      <c r="K15" s="103" t="s">
        <v>1402</v>
      </c>
      <c r="L15" s="403" t="s">
        <v>26</v>
      </c>
      <c r="M15" s="199">
        <v>44895</v>
      </c>
      <c r="N15" s="105">
        <v>44522</v>
      </c>
      <c r="O15" s="105"/>
      <c r="P15" s="203" t="s">
        <v>5670</v>
      </c>
      <c r="Q15" s="203" t="s">
        <v>1598</v>
      </c>
      <c r="R15" s="203" t="s">
        <v>1877</v>
      </c>
      <c r="S15" s="203"/>
      <c r="T15" s="87"/>
      <c r="U15" s="87"/>
      <c r="V15" s="87" t="s">
        <v>1568</v>
      </c>
      <c r="W15" s="88"/>
      <c r="X15" s="249"/>
      <c r="Y15" s="88"/>
      <c r="Z15" s="250"/>
      <c r="AA15" s="87" t="s">
        <v>67</v>
      </c>
      <c r="AB15" s="250" t="s">
        <v>2090</v>
      </c>
      <c r="AC15" s="250"/>
      <c r="AD15" s="250"/>
      <c r="AE15" s="87"/>
      <c r="AF15" s="88" t="s">
        <v>1421</v>
      </c>
      <c r="AG15" s="88" t="s">
        <v>2090</v>
      </c>
      <c r="AH15" s="88" t="s">
        <v>2105</v>
      </c>
      <c r="AI15" s="224"/>
      <c r="AJ15" s="225">
        <v>3</v>
      </c>
      <c r="AK15" s="224" t="s">
        <v>2111</v>
      </c>
      <c r="AL15" s="224" t="s">
        <v>2112</v>
      </c>
      <c r="AM15" s="224"/>
      <c r="AN15" s="224"/>
    </row>
    <row r="16" spans="1:16376" s="86" customFormat="1" ht="59.25" customHeight="1">
      <c r="A16" s="402">
        <v>135729</v>
      </c>
      <c r="B16" s="89" t="s">
        <v>70</v>
      </c>
      <c r="C16" s="89" t="s">
        <v>1113</v>
      </c>
      <c r="D16" s="88">
        <v>38360</v>
      </c>
      <c r="E16" s="88" t="s">
        <v>71</v>
      </c>
      <c r="F16" s="88" t="s">
        <v>47</v>
      </c>
      <c r="G16" s="88" t="s">
        <v>797</v>
      </c>
      <c r="H16" s="88" t="s">
        <v>591</v>
      </c>
      <c r="I16" s="88" t="s">
        <v>40</v>
      </c>
      <c r="J16" s="89" t="s">
        <v>1277</v>
      </c>
      <c r="K16" s="103" t="s">
        <v>1233</v>
      </c>
      <c r="L16" s="403" t="s">
        <v>26</v>
      </c>
      <c r="M16" s="199">
        <v>45688</v>
      </c>
      <c r="N16" s="105">
        <v>44589</v>
      </c>
      <c r="O16" s="105"/>
      <c r="P16" s="203" t="s">
        <v>1313</v>
      </c>
      <c r="Q16" s="203" t="s">
        <v>1599</v>
      </c>
      <c r="R16" s="203" t="s">
        <v>1878</v>
      </c>
      <c r="S16" s="203"/>
      <c r="T16" s="87" t="s">
        <v>5579</v>
      </c>
      <c r="U16" s="87" t="s">
        <v>1574</v>
      </c>
      <c r="V16" s="87"/>
      <c r="W16" s="88" t="s">
        <v>1568</v>
      </c>
      <c r="X16" s="249" t="s">
        <v>4361</v>
      </c>
      <c r="Y16" s="88"/>
      <c r="Z16" s="250"/>
      <c r="AA16" s="87" t="s">
        <v>70</v>
      </c>
      <c r="AB16" s="250" t="s">
        <v>2072</v>
      </c>
      <c r="AC16" s="250"/>
      <c r="AD16" s="250"/>
      <c r="AE16" s="87"/>
      <c r="AF16" s="88" t="s">
        <v>1277</v>
      </c>
      <c r="AG16" s="88" t="s">
        <v>2073</v>
      </c>
      <c r="AH16" s="88" t="s">
        <v>2113</v>
      </c>
      <c r="AI16" s="224"/>
      <c r="AJ16" s="225">
        <v>4</v>
      </c>
      <c r="AK16" s="224" t="s">
        <v>2085</v>
      </c>
      <c r="AL16" s="224" t="s">
        <v>2114</v>
      </c>
      <c r="AM16" s="224"/>
      <c r="AN16" s="224"/>
    </row>
    <row r="17" spans="1:40" s="86" customFormat="1" ht="59.25" customHeight="1">
      <c r="A17" s="402">
        <v>135762</v>
      </c>
      <c r="B17" s="89" t="s">
        <v>4355</v>
      </c>
      <c r="C17" s="89" t="s">
        <v>72</v>
      </c>
      <c r="D17" s="88">
        <v>92353</v>
      </c>
      <c r="E17" s="88" t="s">
        <v>73</v>
      </c>
      <c r="F17" s="88" t="s">
        <v>47</v>
      </c>
      <c r="G17" s="88" t="s">
        <v>798</v>
      </c>
      <c r="H17" s="88" t="s">
        <v>591</v>
      </c>
      <c r="I17" s="88" t="s">
        <v>40</v>
      </c>
      <c r="J17" s="89" t="s">
        <v>1336</v>
      </c>
      <c r="K17" s="103" t="s">
        <v>1233</v>
      </c>
      <c r="L17" s="403" t="s">
        <v>26</v>
      </c>
      <c r="M17" s="199">
        <v>45716</v>
      </c>
      <c r="N17" s="105">
        <v>44616</v>
      </c>
      <c r="O17" s="105"/>
      <c r="P17" s="203" t="s">
        <v>4423</v>
      </c>
      <c r="Q17" s="203" t="s">
        <v>1600</v>
      </c>
      <c r="R17" s="203" t="s">
        <v>1879</v>
      </c>
      <c r="S17" s="203"/>
      <c r="T17" s="87" t="s">
        <v>2516</v>
      </c>
      <c r="U17" s="87" t="s">
        <v>1569</v>
      </c>
      <c r="V17" s="87"/>
      <c r="W17" s="88" t="s">
        <v>1568</v>
      </c>
      <c r="X17" s="249" t="s">
        <v>3660</v>
      </c>
      <c r="Y17" s="88"/>
      <c r="Z17" s="250"/>
      <c r="AA17" s="87" t="s">
        <v>2115</v>
      </c>
      <c r="AB17" s="250" t="s">
        <v>2072</v>
      </c>
      <c r="AC17" s="250"/>
      <c r="AD17" s="250"/>
      <c r="AE17" s="87"/>
      <c r="AF17" s="88" t="s">
        <v>1336</v>
      </c>
      <c r="AG17" s="88" t="s">
        <v>2073</v>
      </c>
      <c r="AH17" s="88" t="s">
        <v>2116</v>
      </c>
      <c r="AI17" s="224" t="s">
        <v>2075</v>
      </c>
      <c r="AJ17" s="225">
        <v>3</v>
      </c>
      <c r="AK17" s="224" t="s">
        <v>2076</v>
      </c>
      <c r="AL17" s="224" t="s">
        <v>5177</v>
      </c>
      <c r="AM17" s="224" t="s">
        <v>2099</v>
      </c>
      <c r="AN17" s="224" t="s">
        <v>2117</v>
      </c>
    </row>
    <row r="18" spans="1:40" s="86" customFormat="1" ht="59.25" customHeight="1">
      <c r="A18" s="402">
        <v>135873</v>
      </c>
      <c r="B18" s="89" t="s">
        <v>603</v>
      </c>
      <c r="C18" s="89" t="s">
        <v>1206</v>
      </c>
      <c r="D18" s="88">
        <v>31707</v>
      </c>
      <c r="E18" s="88" t="s">
        <v>68</v>
      </c>
      <c r="F18" s="88" t="s">
        <v>47</v>
      </c>
      <c r="G18" s="88" t="s">
        <v>799</v>
      </c>
      <c r="H18" s="88" t="s">
        <v>591</v>
      </c>
      <c r="I18" s="88" t="s">
        <v>40</v>
      </c>
      <c r="J18" s="89" t="s">
        <v>1421</v>
      </c>
      <c r="K18" s="103" t="s">
        <v>1402</v>
      </c>
      <c r="L18" s="403" t="s">
        <v>26</v>
      </c>
      <c r="M18" s="199">
        <v>45596</v>
      </c>
      <c r="N18" s="105">
        <v>44491</v>
      </c>
      <c r="O18" s="105"/>
      <c r="P18" s="203" t="s">
        <v>5544</v>
      </c>
      <c r="Q18" s="203" t="s">
        <v>1601</v>
      </c>
      <c r="R18" s="203"/>
      <c r="S18" s="203"/>
      <c r="T18" s="87" t="s">
        <v>4831</v>
      </c>
      <c r="U18" s="87" t="s">
        <v>1573</v>
      </c>
      <c r="V18" s="87"/>
      <c r="W18" s="88" t="s">
        <v>1571</v>
      </c>
      <c r="X18" s="249" t="s">
        <v>3661</v>
      </c>
      <c r="Y18" s="88"/>
      <c r="Z18" s="250"/>
      <c r="AA18" s="87" t="s">
        <v>2118</v>
      </c>
      <c r="AB18" s="250" t="s">
        <v>2072</v>
      </c>
      <c r="AC18" s="250"/>
      <c r="AD18" s="250"/>
      <c r="AE18" s="87"/>
      <c r="AF18" s="88" t="s">
        <v>1421</v>
      </c>
      <c r="AG18" s="88" t="s">
        <v>4417</v>
      </c>
      <c r="AH18" s="88"/>
      <c r="AI18" s="224"/>
      <c r="AJ18" s="225">
        <v>4</v>
      </c>
      <c r="AK18" s="224" t="s">
        <v>2080</v>
      </c>
      <c r="AL18" s="224" t="s">
        <v>2119</v>
      </c>
      <c r="AM18" s="224"/>
      <c r="AN18" s="224"/>
    </row>
    <row r="19" spans="1:40" s="86" customFormat="1" ht="59.25" customHeight="1">
      <c r="A19" s="402">
        <v>135907</v>
      </c>
      <c r="B19" s="89" t="s">
        <v>1430</v>
      </c>
      <c r="C19" s="89" t="s">
        <v>1431</v>
      </c>
      <c r="D19" s="88" t="s">
        <v>1432</v>
      </c>
      <c r="E19" s="88" t="s">
        <v>1433</v>
      </c>
      <c r="F19" s="88" t="s">
        <v>51</v>
      </c>
      <c r="G19" s="88" t="s">
        <v>1434</v>
      </c>
      <c r="H19" s="88" t="s">
        <v>591</v>
      </c>
      <c r="I19" s="88" t="s">
        <v>40</v>
      </c>
      <c r="J19" s="89" t="s">
        <v>5283</v>
      </c>
      <c r="K19" s="103" t="s">
        <v>1233</v>
      </c>
      <c r="L19" s="403" t="s">
        <v>26</v>
      </c>
      <c r="M19" s="199">
        <v>45230</v>
      </c>
      <c r="N19" s="105">
        <v>44316</v>
      </c>
      <c r="O19" s="105"/>
      <c r="P19" s="203" t="s">
        <v>5259</v>
      </c>
      <c r="Q19" s="203" t="s">
        <v>1602</v>
      </c>
      <c r="R19" s="203"/>
      <c r="S19" s="203"/>
      <c r="T19" s="87" t="s">
        <v>5918</v>
      </c>
      <c r="U19" s="87" t="s">
        <v>1569</v>
      </c>
      <c r="V19" s="87"/>
      <c r="W19" s="88" t="s">
        <v>1568</v>
      </c>
      <c r="X19" s="249" t="s">
        <v>3663</v>
      </c>
      <c r="Y19" s="88"/>
      <c r="Z19" s="250" t="s">
        <v>2543</v>
      </c>
      <c r="AA19" s="87" t="s">
        <v>2141</v>
      </c>
      <c r="AB19" s="250" t="s">
        <v>2072</v>
      </c>
      <c r="AC19" s="250" t="s">
        <v>2544</v>
      </c>
      <c r="AD19" s="250"/>
      <c r="AE19" s="87" t="s">
        <v>2543</v>
      </c>
      <c r="AF19" s="88" t="s">
        <v>5283</v>
      </c>
      <c r="AG19" s="88" t="s">
        <v>2073</v>
      </c>
      <c r="AH19" s="88" t="s">
        <v>2074</v>
      </c>
      <c r="AI19" s="224"/>
      <c r="AJ19" s="225">
        <v>2</v>
      </c>
      <c r="AK19" s="224" t="s">
        <v>2076</v>
      </c>
      <c r="AL19" s="224" t="s">
        <v>2496</v>
      </c>
      <c r="AM19" s="224" t="s">
        <v>2099</v>
      </c>
      <c r="AN19" s="224" t="s">
        <v>2142</v>
      </c>
    </row>
    <row r="20" spans="1:40" s="86" customFormat="1" ht="59.25" customHeight="1">
      <c r="A20" s="402">
        <v>135938</v>
      </c>
      <c r="B20" s="89" t="s">
        <v>75</v>
      </c>
      <c r="C20" s="89" t="s">
        <v>76</v>
      </c>
      <c r="D20" s="88" t="s">
        <v>77</v>
      </c>
      <c r="E20" s="88" t="s">
        <v>78</v>
      </c>
      <c r="F20" s="88" t="s">
        <v>45</v>
      </c>
      <c r="G20" s="88" t="s">
        <v>800</v>
      </c>
      <c r="H20" s="88" t="s">
        <v>591</v>
      </c>
      <c r="I20" s="88" t="s">
        <v>40</v>
      </c>
      <c r="J20" s="89" t="s">
        <v>1277</v>
      </c>
      <c r="K20" s="103" t="s">
        <v>1233</v>
      </c>
      <c r="L20" s="403" t="s">
        <v>26</v>
      </c>
      <c r="M20" s="199">
        <v>45473</v>
      </c>
      <c r="N20" s="105">
        <v>44375</v>
      </c>
      <c r="O20" s="105"/>
      <c r="P20" s="203" t="s">
        <v>4590</v>
      </c>
      <c r="Q20" s="203" t="s">
        <v>1603</v>
      </c>
      <c r="R20" s="203" t="s">
        <v>4247</v>
      </c>
      <c r="S20" s="203"/>
      <c r="T20" s="87" t="s">
        <v>1533</v>
      </c>
      <c r="U20" s="87" t="s">
        <v>1569</v>
      </c>
      <c r="V20" s="87"/>
      <c r="W20" s="88" t="s">
        <v>1568</v>
      </c>
      <c r="X20" s="249" t="s">
        <v>4688</v>
      </c>
      <c r="Y20" s="88" t="s">
        <v>2030</v>
      </c>
      <c r="Z20" s="250"/>
      <c r="AA20" s="87" t="s">
        <v>75</v>
      </c>
      <c r="AB20" s="250" t="s">
        <v>2072</v>
      </c>
      <c r="AC20" s="250"/>
      <c r="AD20" s="250"/>
      <c r="AE20" s="87"/>
      <c r="AF20" s="88" t="s">
        <v>1277</v>
      </c>
      <c r="AG20" s="88" t="s">
        <v>2073</v>
      </c>
      <c r="AH20" s="88" t="s">
        <v>2113</v>
      </c>
      <c r="AI20" s="224"/>
      <c r="AJ20" s="225">
        <v>4</v>
      </c>
      <c r="AK20" s="224" t="s">
        <v>2085</v>
      </c>
      <c r="AL20" s="224" t="s">
        <v>2123</v>
      </c>
      <c r="AM20" s="224"/>
      <c r="AN20" s="224"/>
    </row>
    <row r="21" spans="1:40" s="86" customFormat="1" ht="59.25" customHeight="1">
      <c r="A21" s="402">
        <v>136036</v>
      </c>
      <c r="B21" s="89" t="s">
        <v>79</v>
      </c>
      <c r="C21" s="89" t="s">
        <v>80</v>
      </c>
      <c r="D21" s="88" t="s">
        <v>81</v>
      </c>
      <c r="E21" s="88" t="s">
        <v>82</v>
      </c>
      <c r="F21" s="88" t="s">
        <v>45</v>
      </c>
      <c r="G21" s="88" t="s">
        <v>801</v>
      </c>
      <c r="H21" s="88" t="s">
        <v>591</v>
      </c>
      <c r="I21" s="88" t="s">
        <v>40</v>
      </c>
      <c r="J21" s="89" t="s">
        <v>5450</v>
      </c>
      <c r="K21" s="103"/>
      <c r="L21" s="403" t="s">
        <v>26</v>
      </c>
      <c r="M21" s="199">
        <v>44926</v>
      </c>
      <c r="N21" s="105">
        <v>44186</v>
      </c>
      <c r="O21" s="105"/>
      <c r="P21" s="203" t="s">
        <v>4591</v>
      </c>
      <c r="Q21" s="203" t="s">
        <v>1604</v>
      </c>
      <c r="R21" s="203" t="s">
        <v>1880</v>
      </c>
      <c r="S21" s="203"/>
      <c r="T21" s="87" t="s">
        <v>5690</v>
      </c>
      <c r="U21" s="87" t="s">
        <v>1568</v>
      </c>
      <c r="V21" s="87"/>
      <c r="W21" s="88" t="s">
        <v>1568</v>
      </c>
      <c r="X21" s="249" t="s">
        <v>3665</v>
      </c>
      <c r="Y21" s="88"/>
      <c r="Z21" s="250"/>
      <c r="AA21" s="87" t="s">
        <v>2124</v>
      </c>
      <c r="AB21" s="250" t="s">
        <v>2072</v>
      </c>
      <c r="AC21" s="250"/>
      <c r="AD21" s="250"/>
      <c r="AE21" s="87"/>
      <c r="AF21" s="88" t="s">
        <v>5517</v>
      </c>
      <c r="AG21" s="88" t="s">
        <v>2073</v>
      </c>
      <c r="AH21" s="88" t="s">
        <v>2116</v>
      </c>
      <c r="AI21" s="224" t="s">
        <v>2125</v>
      </c>
      <c r="AJ21" s="225">
        <v>3</v>
      </c>
      <c r="AK21" s="224" t="s">
        <v>2085</v>
      </c>
      <c r="AL21" s="224" t="s">
        <v>2126</v>
      </c>
      <c r="AM21" s="224" t="s">
        <v>2087</v>
      </c>
      <c r="AN21" s="224"/>
    </row>
    <row r="22" spans="1:40" s="86" customFormat="1" ht="59.25" customHeight="1">
      <c r="A22" s="402">
        <v>136086</v>
      </c>
      <c r="B22" s="89" t="s">
        <v>1105</v>
      </c>
      <c r="C22" s="89" t="s">
        <v>1106</v>
      </c>
      <c r="D22" s="88" t="s">
        <v>1107</v>
      </c>
      <c r="E22" s="88" t="s">
        <v>1108</v>
      </c>
      <c r="F22" s="88" t="s">
        <v>45</v>
      </c>
      <c r="G22" s="88" t="s">
        <v>1109</v>
      </c>
      <c r="H22" s="88" t="s">
        <v>591</v>
      </c>
      <c r="I22" s="88" t="s">
        <v>1114</v>
      </c>
      <c r="J22" s="89" t="s">
        <v>1288</v>
      </c>
      <c r="K22" s="103" t="s">
        <v>1233</v>
      </c>
      <c r="L22" s="403" t="s">
        <v>26</v>
      </c>
      <c r="M22" s="199">
        <v>45046</v>
      </c>
      <c r="N22" s="105">
        <v>44316</v>
      </c>
      <c r="O22" s="105"/>
      <c r="P22" s="203"/>
      <c r="Q22" s="203"/>
      <c r="R22" s="203"/>
      <c r="S22" s="203"/>
      <c r="T22" s="87" t="s">
        <v>4612</v>
      </c>
      <c r="U22" s="87" t="s">
        <v>1576</v>
      </c>
      <c r="V22" s="87"/>
      <c r="W22" s="88" t="s">
        <v>1576</v>
      </c>
      <c r="X22" s="249" t="s">
        <v>4588</v>
      </c>
      <c r="Y22" s="88"/>
      <c r="Z22" s="250"/>
      <c r="AA22" s="87" t="s">
        <v>2127</v>
      </c>
      <c r="AB22" s="250" t="s">
        <v>2128</v>
      </c>
      <c r="AC22" s="250" t="s">
        <v>2129</v>
      </c>
      <c r="AD22" s="250"/>
      <c r="AE22" s="87"/>
      <c r="AF22" s="88" t="s">
        <v>1288</v>
      </c>
      <c r="AG22" s="88" t="s">
        <v>2128</v>
      </c>
      <c r="AH22" s="88"/>
      <c r="AI22" s="224"/>
      <c r="AJ22" s="225">
        <v>1</v>
      </c>
      <c r="AK22" s="224" t="s">
        <v>2107</v>
      </c>
      <c r="AL22" s="224" t="s">
        <v>2130</v>
      </c>
      <c r="AM22" s="224" t="s">
        <v>2131</v>
      </c>
      <c r="AN22" s="224"/>
    </row>
    <row r="23" spans="1:40" s="86" customFormat="1" ht="59.25" customHeight="1">
      <c r="A23" s="402">
        <v>136746</v>
      </c>
      <c r="B23" s="89" t="s">
        <v>1118</v>
      </c>
      <c r="C23" s="89" t="s">
        <v>1119</v>
      </c>
      <c r="D23" s="88" t="s">
        <v>1120</v>
      </c>
      <c r="E23" s="88" t="s">
        <v>1121</v>
      </c>
      <c r="F23" s="88" t="s">
        <v>45</v>
      </c>
      <c r="G23" s="88" t="s">
        <v>1122</v>
      </c>
      <c r="H23" s="88" t="s">
        <v>591</v>
      </c>
      <c r="I23" s="88" t="s">
        <v>40</v>
      </c>
      <c r="J23" s="89" t="s">
        <v>5450</v>
      </c>
      <c r="K23" s="103" t="s">
        <v>1233</v>
      </c>
      <c r="L23" s="403" t="s">
        <v>26</v>
      </c>
      <c r="M23" s="199">
        <v>45077</v>
      </c>
      <c r="N23" s="105">
        <v>44705</v>
      </c>
      <c r="O23" s="105"/>
      <c r="P23" s="203" t="s">
        <v>5902</v>
      </c>
      <c r="Q23" s="203" t="s">
        <v>4867</v>
      </c>
      <c r="R23" s="203" t="s">
        <v>1881</v>
      </c>
      <c r="S23" s="203"/>
      <c r="T23" s="87" t="s">
        <v>5691</v>
      </c>
      <c r="U23" s="87" t="s">
        <v>1569</v>
      </c>
      <c r="V23" s="87"/>
      <c r="W23" s="88" t="s">
        <v>1568</v>
      </c>
      <c r="X23" s="249" t="s">
        <v>4689</v>
      </c>
      <c r="Y23" s="88"/>
      <c r="Z23" s="250"/>
      <c r="AA23" s="87" t="s">
        <v>2132</v>
      </c>
      <c r="AB23" s="250" t="s">
        <v>2072</v>
      </c>
      <c r="AC23" s="250"/>
      <c r="AD23" s="250"/>
      <c r="AE23" s="87"/>
      <c r="AF23" s="88" t="s">
        <v>5517</v>
      </c>
      <c r="AG23" s="88" t="s">
        <v>2073</v>
      </c>
      <c r="AH23" s="88" t="s">
        <v>2074</v>
      </c>
      <c r="AI23" s="224" t="s">
        <v>2075</v>
      </c>
      <c r="AJ23" s="225">
        <v>2</v>
      </c>
      <c r="AK23" s="224" t="s">
        <v>2133</v>
      </c>
      <c r="AL23" s="224" t="s">
        <v>2134</v>
      </c>
      <c r="AM23" s="224" t="s">
        <v>2099</v>
      </c>
      <c r="AN23" s="224" t="s">
        <v>2135</v>
      </c>
    </row>
    <row r="24" spans="1:40" s="86" customFormat="1" ht="59.25" customHeight="1">
      <c r="A24" s="402">
        <v>137256</v>
      </c>
      <c r="B24" s="89" t="s">
        <v>83</v>
      </c>
      <c r="C24" s="89" t="s">
        <v>84</v>
      </c>
      <c r="D24" s="88" t="s">
        <v>85</v>
      </c>
      <c r="E24" s="88" t="s">
        <v>86</v>
      </c>
      <c r="F24" s="88" t="s">
        <v>51</v>
      </c>
      <c r="G24" s="88" t="s">
        <v>802</v>
      </c>
      <c r="H24" s="88" t="s">
        <v>591</v>
      </c>
      <c r="I24" s="88" t="s">
        <v>40</v>
      </c>
      <c r="J24" s="89" t="s">
        <v>1421</v>
      </c>
      <c r="K24" s="103" t="s">
        <v>1402</v>
      </c>
      <c r="L24" s="403" t="s">
        <v>26</v>
      </c>
      <c r="M24" s="199">
        <v>45596</v>
      </c>
      <c r="N24" s="105">
        <v>44491</v>
      </c>
      <c r="O24" s="105"/>
      <c r="P24" s="203" t="s">
        <v>4681</v>
      </c>
      <c r="Q24" s="203" t="s">
        <v>1605</v>
      </c>
      <c r="R24" s="203"/>
      <c r="S24" s="203"/>
      <c r="T24" s="87" t="s">
        <v>1534</v>
      </c>
      <c r="U24" s="87" t="s">
        <v>1568</v>
      </c>
      <c r="V24" s="87"/>
      <c r="W24" s="88" t="s">
        <v>1568</v>
      </c>
      <c r="X24" s="249" t="s">
        <v>5206</v>
      </c>
      <c r="Y24" s="88"/>
      <c r="Z24" s="250"/>
      <c r="AA24" s="87" t="s">
        <v>2136</v>
      </c>
      <c r="AB24" s="250" t="s">
        <v>2072</v>
      </c>
      <c r="AC24" s="250"/>
      <c r="AD24" s="250"/>
      <c r="AE24" s="87"/>
      <c r="AF24" s="88" t="s">
        <v>1421</v>
      </c>
      <c r="AG24" s="88" t="s">
        <v>2143</v>
      </c>
      <c r="AH24" s="88" t="s">
        <v>2137</v>
      </c>
      <c r="AI24" s="224"/>
      <c r="AJ24" s="225">
        <v>3</v>
      </c>
      <c r="AK24" s="224" t="s">
        <v>2144</v>
      </c>
      <c r="AL24" s="224"/>
      <c r="AM24" s="224"/>
      <c r="AN24" s="224"/>
    </row>
    <row r="25" spans="1:40" s="86" customFormat="1" ht="59.25" customHeight="1">
      <c r="A25" s="402">
        <v>137312</v>
      </c>
      <c r="B25" s="89" t="s">
        <v>1236</v>
      </c>
      <c r="C25" s="89" t="s">
        <v>1237</v>
      </c>
      <c r="D25" s="88" t="s">
        <v>1238</v>
      </c>
      <c r="E25" s="88" t="s">
        <v>1239</v>
      </c>
      <c r="F25" s="88" t="s">
        <v>51</v>
      </c>
      <c r="G25" s="88">
        <v>97424</v>
      </c>
      <c r="H25" s="88" t="s">
        <v>591</v>
      </c>
      <c r="I25" s="88" t="s">
        <v>40</v>
      </c>
      <c r="J25" s="89" t="s">
        <v>5450</v>
      </c>
      <c r="K25" s="103" t="s">
        <v>1233</v>
      </c>
      <c r="L25" s="403" t="s">
        <v>26</v>
      </c>
      <c r="M25" s="199">
        <v>44926</v>
      </c>
      <c r="N25" s="105">
        <v>44727</v>
      </c>
      <c r="O25" s="105"/>
      <c r="P25" s="203" t="s">
        <v>1489</v>
      </c>
      <c r="Q25" s="203" t="s">
        <v>1606</v>
      </c>
      <c r="R25" s="203"/>
      <c r="S25" s="203"/>
      <c r="T25" s="87" t="s">
        <v>4685</v>
      </c>
      <c r="U25" s="87" t="s">
        <v>1568</v>
      </c>
      <c r="V25" s="87"/>
      <c r="W25" s="88" t="s">
        <v>1568</v>
      </c>
      <c r="X25" s="249" t="s">
        <v>3669</v>
      </c>
      <c r="Y25" s="88"/>
      <c r="Z25" s="250" t="s">
        <v>2031</v>
      </c>
      <c r="AA25" s="87" t="s">
        <v>2124</v>
      </c>
      <c r="AB25" s="250" t="s">
        <v>2072</v>
      </c>
      <c r="AC25" s="250" t="s">
        <v>2138</v>
      </c>
      <c r="AD25" s="250"/>
      <c r="AE25" s="87" t="s">
        <v>2031</v>
      </c>
      <c r="AF25" s="88" t="s">
        <v>5517</v>
      </c>
      <c r="AG25" s="88" t="s">
        <v>2073</v>
      </c>
      <c r="AH25" s="88" t="s">
        <v>2116</v>
      </c>
      <c r="AI25" s="224" t="s">
        <v>2125</v>
      </c>
      <c r="AJ25" s="225">
        <v>3</v>
      </c>
      <c r="AK25" s="224" t="s">
        <v>2085</v>
      </c>
      <c r="AL25" s="224" t="s">
        <v>2126</v>
      </c>
      <c r="AM25" s="224" t="s">
        <v>2087</v>
      </c>
      <c r="AN25" s="224"/>
    </row>
    <row r="26" spans="1:40" s="86" customFormat="1" ht="59.25" customHeight="1">
      <c r="A26" s="402">
        <v>137721</v>
      </c>
      <c r="B26" s="89" t="s">
        <v>4253</v>
      </c>
      <c r="C26" s="89" t="s">
        <v>4254</v>
      </c>
      <c r="D26" s="88">
        <v>82370</v>
      </c>
      <c r="E26" s="88" t="s">
        <v>4255</v>
      </c>
      <c r="F26" s="88" t="s">
        <v>47</v>
      </c>
      <c r="G26" s="88" t="s">
        <v>4256</v>
      </c>
      <c r="H26" s="88" t="s">
        <v>591</v>
      </c>
      <c r="I26" s="88" t="s">
        <v>40</v>
      </c>
      <c r="J26" s="89" t="s">
        <v>1288</v>
      </c>
      <c r="K26" s="103" t="s">
        <v>1233</v>
      </c>
      <c r="L26" s="403" t="s">
        <v>26</v>
      </c>
      <c r="M26" s="199">
        <v>45230</v>
      </c>
      <c r="N26" s="105">
        <v>44509</v>
      </c>
      <c r="O26" s="105"/>
      <c r="P26" s="203" t="s">
        <v>5545</v>
      </c>
      <c r="Q26" s="203" t="s">
        <v>4281</v>
      </c>
      <c r="R26" s="203"/>
      <c r="S26" s="203"/>
      <c r="T26" s="87" t="s">
        <v>5489</v>
      </c>
      <c r="U26" s="87" t="s">
        <v>1571</v>
      </c>
      <c r="V26" s="87"/>
      <c r="W26" s="88" t="s">
        <v>1571</v>
      </c>
      <c r="X26" s="249" t="s">
        <v>5327</v>
      </c>
      <c r="Y26" s="88"/>
      <c r="Z26" s="250"/>
      <c r="AA26" s="87" t="s">
        <v>2265</v>
      </c>
      <c r="AB26" s="250" t="s">
        <v>2090</v>
      </c>
      <c r="AC26" s="250"/>
      <c r="AD26" s="250"/>
      <c r="AE26" s="87"/>
      <c r="AF26" s="88" t="s">
        <v>1288</v>
      </c>
      <c r="AG26" s="88" t="s">
        <v>2090</v>
      </c>
      <c r="AH26" s="88" t="s">
        <v>2214</v>
      </c>
      <c r="AI26" s="224" t="s">
        <v>2122</v>
      </c>
      <c r="AJ26" s="225">
        <v>3</v>
      </c>
      <c r="AK26" s="224" t="s">
        <v>2133</v>
      </c>
      <c r="AL26" s="224" t="s">
        <v>2266</v>
      </c>
      <c r="AM26" s="224" t="s">
        <v>2099</v>
      </c>
      <c r="AN26" s="224" t="s">
        <v>2267</v>
      </c>
    </row>
    <row r="27" spans="1:40" s="86" customFormat="1" ht="59.25" customHeight="1">
      <c r="A27" s="402">
        <v>137765</v>
      </c>
      <c r="B27" s="89" t="s">
        <v>1168</v>
      </c>
      <c r="C27" s="89" t="s">
        <v>87</v>
      </c>
      <c r="D27" s="88">
        <v>82205</v>
      </c>
      <c r="E27" s="88" t="s">
        <v>88</v>
      </c>
      <c r="F27" s="88" t="s">
        <v>55</v>
      </c>
      <c r="G27" s="88" t="s">
        <v>803</v>
      </c>
      <c r="H27" s="88" t="s">
        <v>591</v>
      </c>
      <c r="I27" s="88" t="s">
        <v>40</v>
      </c>
      <c r="J27" s="89" t="s">
        <v>4608</v>
      </c>
      <c r="K27" s="103" t="s">
        <v>1233</v>
      </c>
      <c r="L27" s="403" t="s">
        <v>26</v>
      </c>
      <c r="M27" s="199">
        <v>44985</v>
      </c>
      <c r="N27" s="105">
        <v>44250</v>
      </c>
      <c r="O27" s="105"/>
      <c r="P27" s="203" t="s">
        <v>4828</v>
      </c>
      <c r="Q27" s="203" t="s">
        <v>1607</v>
      </c>
      <c r="R27" s="203" t="s">
        <v>2025</v>
      </c>
      <c r="S27" s="203"/>
      <c r="T27" s="87" t="s">
        <v>6072</v>
      </c>
      <c r="U27" s="87" t="s">
        <v>1569</v>
      </c>
      <c r="V27" s="87"/>
      <c r="W27" s="88" t="s">
        <v>1568</v>
      </c>
      <c r="X27" s="249" t="s">
        <v>4208</v>
      </c>
      <c r="Y27" s="88"/>
      <c r="Z27" s="250"/>
      <c r="AA27" s="87" t="s">
        <v>1168</v>
      </c>
      <c r="AB27" s="250" t="s">
        <v>2072</v>
      </c>
      <c r="AC27" s="250"/>
      <c r="AD27" s="250"/>
      <c r="AE27" s="87"/>
      <c r="AF27" s="88" t="s">
        <v>5278</v>
      </c>
      <c r="AG27" s="88" t="s">
        <v>2073</v>
      </c>
      <c r="AH27" s="88" t="s">
        <v>2074</v>
      </c>
      <c r="AI27" s="224" t="s">
        <v>2075</v>
      </c>
      <c r="AJ27" s="225">
        <v>2</v>
      </c>
      <c r="AK27" s="224" t="s">
        <v>2076</v>
      </c>
      <c r="AL27" s="224" t="s">
        <v>2139</v>
      </c>
      <c r="AM27" s="224" t="s">
        <v>2099</v>
      </c>
      <c r="AN27" s="224" t="s">
        <v>2140</v>
      </c>
    </row>
    <row r="28" spans="1:40" s="86" customFormat="1" ht="59.25" customHeight="1">
      <c r="A28" s="402">
        <v>137768</v>
      </c>
      <c r="B28" s="89" t="s">
        <v>1168</v>
      </c>
      <c r="C28" s="89" t="s">
        <v>89</v>
      </c>
      <c r="D28" s="88">
        <v>1109</v>
      </c>
      <c r="E28" s="88" t="s">
        <v>90</v>
      </c>
      <c r="F28" s="88" t="s">
        <v>55</v>
      </c>
      <c r="G28" s="88" t="s">
        <v>804</v>
      </c>
      <c r="H28" s="88" t="s">
        <v>591</v>
      </c>
      <c r="I28" s="88" t="s">
        <v>40</v>
      </c>
      <c r="J28" s="89" t="s">
        <v>4608</v>
      </c>
      <c r="K28" s="103" t="s">
        <v>1233</v>
      </c>
      <c r="L28" s="403" t="s">
        <v>26</v>
      </c>
      <c r="M28" s="199">
        <v>44985</v>
      </c>
      <c r="N28" s="105">
        <v>44250</v>
      </c>
      <c r="O28" s="105"/>
      <c r="P28" s="203" t="s">
        <v>4829</v>
      </c>
      <c r="Q28" s="203" t="s">
        <v>1607</v>
      </c>
      <c r="R28" s="203" t="s">
        <v>1882</v>
      </c>
      <c r="S28" s="203"/>
      <c r="T28" s="87" t="s">
        <v>6072</v>
      </c>
      <c r="U28" s="87" t="s">
        <v>1569</v>
      </c>
      <c r="V28" s="87"/>
      <c r="W28" s="88" t="s">
        <v>1568</v>
      </c>
      <c r="X28" s="249" t="s">
        <v>4208</v>
      </c>
      <c r="Y28" s="88" t="s">
        <v>2032</v>
      </c>
      <c r="Z28" s="250"/>
      <c r="AA28" s="87" t="s">
        <v>1168</v>
      </c>
      <c r="AB28" s="250" t="s">
        <v>2072</v>
      </c>
      <c r="AC28" s="250"/>
      <c r="AD28" s="250"/>
      <c r="AE28" s="87"/>
      <c r="AF28" s="88" t="s">
        <v>5278</v>
      </c>
      <c r="AG28" s="88" t="s">
        <v>2073</v>
      </c>
      <c r="AH28" s="88" t="s">
        <v>2074</v>
      </c>
      <c r="AI28" s="224" t="s">
        <v>2075</v>
      </c>
      <c r="AJ28" s="225">
        <v>2</v>
      </c>
      <c r="AK28" s="224" t="s">
        <v>2076</v>
      </c>
      <c r="AL28" s="224" t="s">
        <v>2139</v>
      </c>
      <c r="AM28" s="224" t="s">
        <v>2099</v>
      </c>
      <c r="AN28" s="224" t="s">
        <v>2140</v>
      </c>
    </row>
    <row r="29" spans="1:40" s="86" customFormat="1" ht="59.25" customHeight="1">
      <c r="A29" s="402">
        <v>138307</v>
      </c>
      <c r="B29" s="89" t="s">
        <v>1234</v>
      </c>
      <c r="C29" s="89" t="s">
        <v>1197</v>
      </c>
      <c r="D29" s="88">
        <v>44117</v>
      </c>
      <c r="E29" s="88" t="s">
        <v>1198</v>
      </c>
      <c r="F29" s="88" t="s">
        <v>51</v>
      </c>
      <c r="G29" s="88">
        <v>59875</v>
      </c>
      <c r="H29" s="88" t="s">
        <v>591</v>
      </c>
      <c r="I29" s="88" t="s">
        <v>40</v>
      </c>
      <c r="J29" s="89" t="s">
        <v>5279</v>
      </c>
      <c r="K29" s="103" t="s">
        <v>1402</v>
      </c>
      <c r="L29" s="403" t="s">
        <v>26</v>
      </c>
      <c r="M29" s="199">
        <v>45291</v>
      </c>
      <c r="N29" s="105">
        <v>44547</v>
      </c>
      <c r="O29" s="105"/>
      <c r="P29" s="203" t="s">
        <v>6012</v>
      </c>
      <c r="Q29" s="203" t="s">
        <v>1608</v>
      </c>
      <c r="R29" s="203"/>
      <c r="S29" s="203"/>
      <c r="T29" s="87" t="s">
        <v>1535</v>
      </c>
      <c r="U29" s="87" t="s">
        <v>1568</v>
      </c>
      <c r="V29" s="87"/>
      <c r="W29" s="88" t="s">
        <v>1568</v>
      </c>
      <c r="X29" s="249" t="s">
        <v>3672</v>
      </c>
      <c r="Y29" s="88"/>
      <c r="Z29" s="250"/>
      <c r="AA29" s="87" t="s">
        <v>2100</v>
      </c>
      <c r="AB29" s="250" t="s">
        <v>2072</v>
      </c>
      <c r="AC29" s="250"/>
      <c r="AD29" s="250"/>
      <c r="AE29" s="87"/>
      <c r="AF29" s="88" t="s">
        <v>5279</v>
      </c>
      <c r="AG29" s="88" t="s">
        <v>2073</v>
      </c>
      <c r="AH29" s="88" t="s">
        <v>2074</v>
      </c>
      <c r="AI29" s="224" t="s">
        <v>2075</v>
      </c>
      <c r="AJ29" s="225">
        <v>2</v>
      </c>
      <c r="AK29" s="224" t="s">
        <v>2076</v>
      </c>
      <c r="AL29" s="224" t="s">
        <v>2101</v>
      </c>
      <c r="AM29" s="224" t="s">
        <v>2099</v>
      </c>
      <c r="AN29" s="224"/>
    </row>
    <row r="30" spans="1:40" s="86" customFormat="1" ht="59.25" customHeight="1">
      <c r="A30" s="402">
        <v>138579</v>
      </c>
      <c r="B30" s="89" t="s">
        <v>1220</v>
      </c>
      <c r="C30" s="89" t="s">
        <v>91</v>
      </c>
      <c r="D30" s="88">
        <v>49241</v>
      </c>
      <c r="E30" s="88" t="s">
        <v>92</v>
      </c>
      <c r="F30" s="88" t="s">
        <v>47</v>
      </c>
      <c r="G30" s="88" t="s">
        <v>805</v>
      </c>
      <c r="H30" s="88" t="s">
        <v>591</v>
      </c>
      <c r="I30" s="88" t="s">
        <v>40</v>
      </c>
      <c r="J30" s="89" t="s">
        <v>5283</v>
      </c>
      <c r="K30" s="103" t="s">
        <v>1233</v>
      </c>
      <c r="L30" s="403" t="s">
        <v>26</v>
      </c>
      <c r="M30" s="199">
        <v>45230</v>
      </c>
      <c r="N30" s="105">
        <v>44316</v>
      </c>
      <c r="O30" s="105"/>
      <c r="P30" s="203" t="s">
        <v>4231</v>
      </c>
      <c r="Q30" s="203" t="s">
        <v>1609</v>
      </c>
      <c r="R30" s="203" t="s">
        <v>1883</v>
      </c>
      <c r="S30" s="203"/>
      <c r="T30" s="87" t="s">
        <v>5984</v>
      </c>
      <c r="U30" s="87" t="s">
        <v>1574</v>
      </c>
      <c r="V30" s="87"/>
      <c r="W30" s="88" t="s">
        <v>1568</v>
      </c>
      <c r="X30" s="249" t="s">
        <v>3674</v>
      </c>
      <c r="Y30" s="88"/>
      <c r="Z30" s="250"/>
      <c r="AA30" s="87" t="s">
        <v>2141</v>
      </c>
      <c r="AB30" s="250" t="s">
        <v>2072</v>
      </c>
      <c r="AC30" s="250"/>
      <c r="AD30" s="250"/>
      <c r="AE30" s="87"/>
      <c r="AF30" s="88" t="s">
        <v>5283</v>
      </c>
      <c r="AG30" s="88" t="s">
        <v>2073</v>
      </c>
      <c r="AH30" s="88" t="s">
        <v>2074</v>
      </c>
      <c r="AI30" s="224"/>
      <c r="AJ30" s="225">
        <v>2</v>
      </c>
      <c r="AK30" s="224" t="s">
        <v>2076</v>
      </c>
      <c r="AL30" s="224" t="s">
        <v>2496</v>
      </c>
      <c r="AM30" s="224" t="s">
        <v>2099</v>
      </c>
      <c r="AN30" s="224" t="s">
        <v>2142</v>
      </c>
    </row>
    <row r="31" spans="1:40" s="86" customFormat="1" ht="59.25" customHeight="1">
      <c r="A31" s="402">
        <v>138708</v>
      </c>
      <c r="B31" s="89" t="s">
        <v>1279</v>
      </c>
      <c r="C31" s="89" t="s">
        <v>1280</v>
      </c>
      <c r="D31" s="88">
        <v>69469</v>
      </c>
      <c r="E31" s="88" t="s">
        <v>1281</v>
      </c>
      <c r="F31" s="88" t="s">
        <v>55</v>
      </c>
      <c r="G31" s="88" t="s">
        <v>1282</v>
      </c>
      <c r="H31" s="88" t="s">
        <v>591</v>
      </c>
      <c r="I31" s="88" t="s">
        <v>40</v>
      </c>
      <c r="J31" s="89" t="s">
        <v>1277</v>
      </c>
      <c r="K31" s="103" t="s">
        <v>1402</v>
      </c>
      <c r="L31" s="403" t="s">
        <v>26</v>
      </c>
      <c r="M31" s="199">
        <v>45716</v>
      </c>
      <c r="N31" s="105">
        <v>44603</v>
      </c>
      <c r="O31" s="105"/>
      <c r="P31" s="203" t="s">
        <v>1283</v>
      </c>
      <c r="Q31" s="203" t="s">
        <v>1610</v>
      </c>
      <c r="R31" s="203" t="s">
        <v>1884</v>
      </c>
      <c r="S31" s="203"/>
      <c r="T31" s="87" t="s">
        <v>4627</v>
      </c>
      <c r="U31" s="87" t="s">
        <v>1568</v>
      </c>
      <c r="V31" s="87"/>
      <c r="W31" s="88" t="s">
        <v>1568</v>
      </c>
      <c r="X31" s="249" t="s">
        <v>3676</v>
      </c>
      <c r="Y31" s="88"/>
      <c r="Z31" s="250" t="s">
        <v>2033</v>
      </c>
      <c r="AA31" s="87" t="s">
        <v>2145</v>
      </c>
      <c r="AB31" s="250" t="s">
        <v>2072</v>
      </c>
      <c r="AC31" s="250" t="s">
        <v>2146</v>
      </c>
      <c r="AD31" s="250"/>
      <c r="AE31" s="87" t="s">
        <v>2033</v>
      </c>
      <c r="AF31" s="88" t="s">
        <v>1277</v>
      </c>
      <c r="AG31" s="88" t="s">
        <v>2073</v>
      </c>
      <c r="AH31" s="88"/>
      <c r="AI31" s="224"/>
      <c r="AJ31" s="225">
        <v>4</v>
      </c>
      <c r="AK31" s="224" t="s">
        <v>2085</v>
      </c>
      <c r="AL31" s="224" t="s">
        <v>2147</v>
      </c>
      <c r="AM31" s="224" t="s">
        <v>2148</v>
      </c>
      <c r="AN31" s="224"/>
    </row>
    <row r="32" spans="1:40" s="86" customFormat="1" ht="59.25" customHeight="1">
      <c r="A32" s="402">
        <v>138812</v>
      </c>
      <c r="B32" s="89" t="s">
        <v>5938</v>
      </c>
      <c r="C32" s="89" t="s">
        <v>5939</v>
      </c>
      <c r="D32" s="88">
        <v>20539</v>
      </c>
      <c r="E32" s="88" t="s">
        <v>74</v>
      </c>
      <c r="F32" s="88" t="s">
        <v>55</v>
      </c>
      <c r="G32" s="88" t="s">
        <v>5940</v>
      </c>
      <c r="H32" s="88" t="s">
        <v>591</v>
      </c>
      <c r="I32" s="88" t="s">
        <v>737</v>
      </c>
      <c r="J32" s="89" t="s">
        <v>1277</v>
      </c>
      <c r="K32" s="103" t="s">
        <v>1402</v>
      </c>
      <c r="L32" s="403" t="s">
        <v>26</v>
      </c>
      <c r="M32" s="199">
        <v>45443</v>
      </c>
      <c r="N32" s="105">
        <v>44761</v>
      </c>
      <c r="O32" s="105"/>
      <c r="P32" s="203"/>
      <c r="Q32" s="203"/>
      <c r="R32" s="203"/>
      <c r="S32" s="203"/>
      <c r="T32" s="87"/>
      <c r="U32" s="87"/>
      <c r="V32" s="87"/>
      <c r="W32" s="88"/>
      <c r="X32" s="249"/>
      <c r="Y32" s="88"/>
      <c r="Z32" s="250"/>
      <c r="AA32" s="87"/>
      <c r="AB32" s="250"/>
      <c r="AC32" s="250"/>
      <c r="AD32" s="250"/>
      <c r="AE32" s="87"/>
      <c r="AF32" s="88"/>
      <c r="AG32" s="88"/>
      <c r="AH32" s="88"/>
      <c r="AI32" s="224"/>
      <c r="AJ32" s="225"/>
      <c r="AK32" s="224"/>
      <c r="AL32" s="224"/>
      <c r="AM32" s="224"/>
      <c r="AN32" s="224"/>
    </row>
    <row r="33" spans="1:40" s="86" customFormat="1" ht="59.25" customHeight="1">
      <c r="A33" s="402">
        <v>139237</v>
      </c>
      <c r="B33" s="89" t="s">
        <v>1487</v>
      </c>
      <c r="C33" s="89" t="s">
        <v>1268</v>
      </c>
      <c r="D33" s="88">
        <v>31700</v>
      </c>
      <c r="E33" s="88" t="s">
        <v>68</v>
      </c>
      <c r="F33" s="88" t="s">
        <v>47</v>
      </c>
      <c r="G33" s="88"/>
      <c r="H33" s="88" t="s">
        <v>591</v>
      </c>
      <c r="I33" s="88" t="s">
        <v>685</v>
      </c>
      <c r="J33" s="89" t="s">
        <v>4638</v>
      </c>
      <c r="K33" s="103" t="s">
        <v>1402</v>
      </c>
      <c r="L33" s="403" t="s">
        <v>26</v>
      </c>
      <c r="M33" s="199">
        <v>45138</v>
      </c>
      <c r="N33" s="105">
        <v>44579</v>
      </c>
      <c r="O33" s="105"/>
      <c r="P33" s="203" t="s">
        <v>5661</v>
      </c>
      <c r="Q33" s="203"/>
      <c r="R33" s="203" t="s">
        <v>5664</v>
      </c>
      <c r="S33" s="203" t="s">
        <v>4868</v>
      </c>
      <c r="T33" s="87" t="s">
        <v>5692</v>
      </c>
      <c r="U33" s="87" t="s">
        <v>1577</v>
      </c>
      <c r="V33" s="87"/>
      <c r="W33" s="88" t="s">
        <v>1568</v>
      </c>
      <c r="X33" s="249" t="s">
        <v>4544</v>
      </c>
      <c r="Y33" s="88"/>
      <c r="Z33" s="250"/>
      <c r="AA33" s="87" t="s">
        <v>2149</v>
      </c>
      <c r="AB33" s="250" t="s">
        <v>2120</v>
      </c>
      <c r="AC33" s="250" t="s">
        <v>2150</v>
      </c>
      <c r="AD33" s="250"/>
      <c r="AE33" s="87"/>
      <c r="AF33" s="88" t="s">
        <v>4638</v>
      </c>
      <c r="AG33" s="88" t="s">
        <v>2120</v>
      </c>
      <c r="AH33" s="88"/>
      <c r="AI33" s="224"/>
      <c r="AJ33" s="225">
        <v>2</v>
      </c>
      <c r="AK33" s="224" t="s">
        <v>2107</v>
      </c>
      <c r="AL33" s="224" t="s">
        <v>2151</v>
      </c>
      <c r="AM33" s="224" t="s">
        <v>2152</v>
      </c>
      <c r="AN33" s="224" t="s">
        <v>2153</v>
      </c>
    </row>
    <row r="34" spans="1:40" s="86" customFormat="1" ht="59.25" customHeight="1">
      <c r="A34" s="402">
        <v>139879</v>
      </c>
      <c r="B34" s="89" t="s">
        <v>94</v>
      </c>
      <c r="C34" s="89" t="s">
        <v>95</v>
      </c>
      <c r="D34" s="88">
        <v>18941</v>
      </c>
      <c r="E34" s="88" t="s">
        <v>96</v>
      </c>
      <c r="F34" s="88" t="s">
        <v>47</v>
      </c>
      <c r="G34" s="88" t="s">
        <v>806</v>
      </c>
      <c r="H34" s="88" t="s">
        <v>591</v>
      </c>
      <c r="I34" s="88" t="s">
        <v>40</v>
      </c>
      <c r="J34" s="89" t="s">
        <v>1277</v>
      </c>
      <c r="K34" s="103" t="s">
        <v>1233</v>
      </c>
      <c r="L34" s="403" t="s">
        <v>26</v>
      </c>
      <c r="M34" s="199">
        <v>45443</v>
      </c>
      <c r="N34" s="105">
        <v>44342</v>
      </c>
      <c r="O34" s="105"/>
      <c r="P34" s="203" t="s">
        <v>4181</v>
      </c>
      <c r="Q34" s="203" t="s">
        <v>1611</v>
      </c>
      <c r="R34" s="203" t="s">
        <v>1886</v>
      </c>
      <c r="S34" s="203"/>
      <c r="T34" s="87" t="s">
        <v>5693</v>
      </c>
      <c r="U34" s="87" t="s">
        <v>1574</v>
      </c>
      <c r="V34" s="87"/>
      <c r="W34" s="88" t="s">
        <v>1568</v>
      </c>
      <c r="X34" s="249" t="s">
        <v>3677</v>
      </c>
      <c r="Y34" s="88" t="s">
        <v>2034</v>
      </c>
      <c r="Z34" s="250"/>
      <c r="AA34" s="87" t="s">
        <v>2154</v>
      </c>
      <c r="AB34" s="250" t="s">
        <v>2072</v>
      </c>
      <c r="AC34" s="250"/>
      <c r="AD34" s="250"/>
      <c r="AE34" s="87"/>
      <c r="AF34" s="88" t="s">
        <v>1277</v>
      </c>
      <c r="AG34" s="88" t="s">
        <v>2073</v>
      </c>
      <c r="AH34" s="88"/>
      <c r="AI34" s="224"/>
      <c r="AJ34" s="225">
        <v>3</v>
      </c>
      <c r="AK34" s="224" t="s">
        <v>2085</v>
      </c>
      <c r="AL34" s="224" t="s">
        <v>2155</v>
      </c>
      <c r="AM34" s="224" t="s">
        <v>2087</v>
      </c>
      <c r="AN34" s="224"/>
    </row>
    <row r="35" spans="1:40" s="86" customFormat="1" ht="59.25" customHeight="1">
      <c r="A35" s="402">
        <v>139959</v>
      </c>
      <c r="B35" s="89" t="s">
        <v>746</v>
      </c>
      <c r="C35" s="89" t="s">
        <v>1172</v>
      </c>
      <c r="D35" s="88">
        <v>78711</v>
      </c>
      <c r="E35" s="88" t="s">
        <v>648</v>
      </c>
      <c r="F35" s="88" t="s">
        <v>47</v>
      </c>
      <c r="G35" s="88" t="s">
        <v>807</v>
      </c>
      <c r="H35" s="88" t="s">
        <v>591</v>
      </c>
      <c r="I35" s="88" t="s">
        <v>40</v>
      </c>
      <c r="J35" s="89" t="s">
        <v>5280</v>
      </c>
      <c r="K35" s="103" t="s">
        <v>1233</v>
      </c>
      <c r="L35" s="403" t="s">
        <v>26</v>
      </c>
      <c r="M35" s="199">
        <v>45382</v>
      </c>
      <c r="N35" s="105">
        <v>44467</v>
      </c>
      <c r="O35" s="105"/>
      <c r="P35" s="203" t="s">
        <v>5546</v>
      </c>
      <c r="Q35" s="203" t="s">
        <v>1612</v>
      </c>
      <c r="R35" s="203" t="s">
        <v>1887</v>
      </c>
      <c r="S35" s="203"/>
      <c r="T35" s="87" t="s">
        <v>5694</v>
      </c>
      <c r="U35" s="87" t="s">
        <v>1568</v>
      </c>
      <c r="V35" s="87"/>
      <c r="W35" s="88" t="s">
        <v>1568</v>
      </c>
      <c r="X35" s="249" t="s">
        <v>5927</v>
      </c>
      <c r="Y35" s="88"/>
      <c r="Z35" s="250"/>
      <c r="AA35" s="87" t="s">
        <v>1265</v>
      </c>
      <c r="AB35" s="250" t="s">
        <v>2072</v>
      </c>
      <c r="AC35" s="250"/>
      <c r="AD35" s="250"/>
      <c r="AE35" s="87"/>
      <c r="AF35" s="88" t="s">
        <v>5280</v>
      </c>
      <c r="AG35" s="88" t="s">
        <v>2073</v>
      </c>
      <c r="AH35" s="88" t="s">
        <v>2074</v>
      </c>
      <c r="AI35" s="224"/>
      <c r="AJ35" s="225">
        <v>3</v>
      </c>
      <c r="AK35" s="224" t="s">
        <v>2076</v>
      </c>
      <c r="AL35" s="224" t="s">
        <v>4875</v>
      </c>
      <c r="AM35" s="224" t="s">
        <v>2077</v>
      </c>
      <c r="AN35" s="224"/>
    </row>
    <row r="36" spans="1:40" s="86" customFormat="1" ht="59.25" customHeight="1">
      <c r="A36" s="402">
        <v>140080</v>
      </c>
      <c r="B36" s="89" t="s">
        <v>99</v>
      </c>
      <c r="C36" s="89" t="s">
        <v>100</v>
      </c>
      <c r="D36" s="88" t="s">
        <v>101</v>
      </c>
      <c r="E36" s="88" t="s">
        <v>102</v>
      </c>
      <c r="F36" s="88" t="s">
        <v>51</v>
      </c>
      <c r="G36" s="88">
        <v>10933</v>
      </c>
      <c r="H36" s="88" t="s">
        <v>591</v>
      </c>
      <c r="I36" s="88" t="s">
        <v>40</v>
      </c>
      <c r="J36" s="89" t="s">
        <v>5281</v>
      </c>
      <c r="K36" s="103" t="s">
        <v>1233</v>
      </c>
      <c r="L36" s="403" t="s">
        <v>26</v>
      </c>
      <c r="M36" s="199">
        <v>44957</v>
      </c>
      <c r="N36" s="105">
        <v>43850</v>
      </c>
      <c r="O36" s="105"/>
      <c r="P36" s="203" t="s">
        <v>4580</v>
      </c>
      <c r="Q36" s="203" t="s">
        <v>1613</v>
      </c>
      <c r="R36" s="203" t="s">
        <v>1888</v>
      </c>
      <c r="S36" s="203"/>
      <c r="T36" s="87" t="s">
        <v>5695</v>
      </c>
      <c r="U36" s="87" t="s">
        <v>1568</v>
      </c>
      <c r="V36" s="87"/>
      <c r="W36" s="88" t="s">
        <v>1568</v>
      </c>
      <c r="X36" s="249" t="s">
        <v>3678</v>
      </c>
      <c r="Y36" s="88"/>
      <c r="Z36" s="250"/>
      <c r="AA36" s="87" t="s">
        <v>2156</v>
      </c>
      <c r="AB36" s="250" t="s">
        <v>2072</v>
      </c>
      <c r="AC36" s="250"/>
      <c r="AD36" s="250"/>
      <c r="AE36" s="87"/>
      <c r="AF36" s="88" t="s">
        <v>5281</v>
      </c>
      <c r="AG36" s="88" t="s">
        <v>2073</v>
      </c>
      <c r="AH36" s="88" t="s">
        <v>2116</v>
      </c>
      <c r="AI36" s="224"/>
      <c r="AJ36" s="225">
        <v>4</v>
      </c>
      <c r="AK36" s="224" t="s">
        <v>2076</v>
      </c>
      <c r="AL36" s="224" t="s">
        <v>2157</v>
      </c>
      <c r="AM36" s="224" t="s">
        <v>2099</v>
      </c>
      <c r="AN36" s="224" t="s">
        <v>2158</v>
      </c>
    </row>
    <row r="37" spans="1:40" s="86" customFormat="1" ht="59.25" customHeight="1">
      <c r="A37" s="402">
        <v>140339</v>
      </c>
      <c r="B37" s="89" t="s">
        <v>4754</v>
      </c>
      <c r="C37" s="89" t="s">
        <v>4755</v>
      </c>
      <c r="D37" s="88">
        <v>66219</v>
      </c>
      <c r="E37" s="88" t="s">
        <v>434</v>
      </c>
      <c r="F37" s="88" t="s">
        <v>51</v>
      </c>
      <c r="G37" s="88">
        <v>60299</v>
      </c>
      <c r="H37" s="88" t="s">
        <v>591</v>
      </c>
      <c r="I37" s="88" t="s">
        <v>40</v>
      </c>
      <c r="J37" s="89" t="s">
        <v>5282</v>
      </c>
      <c r="K37" s="103" t="s">
        <v>1402</v>
      </c>
      <c r="L37" s="403" t="s">
        <v>26</v>
      </c>
      <c r="M37" s="199">
        <v>45382</v>
      </c>
      <c r="N37" s="105">
        <v>44651</v>
      </c>
      <c r="O37" s="105"/>
      <c r="P37" s="203" t="s">
        <v>5414</v>
      </c>
      <c r="Q37" s="203" t="s">
        <v>1753</v>
      </c>
      <c r="R37" s="203"/>
      <c r="S37" s="203"/>
      <c r="T37" s="87" t="s">
        <v>5696</v>
      </c>
      <c r="U37" s="87" t="s">
        <v>1568</v>
      </c>
      <c r="V37" s="87" t="s">
        <v>1571</v>
      </c>
      <c r="W37" s="88" t="s">
        <v>1568</v>
      </c>
      <c r="X37" s="249" t="s">
        <v>4926</v>
      </c>
      <c r="Y37" s="88"/>
      <c r="Z37" s="250"/>
      <c r="AA37" s="87" t="s">
        <v>2159</v>
      </c>
      <c r="AB37" s="250" t="s">
        <v>2072</v>
      </c>
      <c r="AC37" s="250"/>
      <c r="AD37" s="250"/>
      <c r="AE37" s="87"/>
      <c r="AF37" s="88" t="s">
        <v>5282</v>
      </c>
      <c r="AG37" s="88" t="s">
        <v>2073</v>
      </c>
      <c r="AH37" s="88" t="s">
        <v>2113</v>
      </c>
      <c r="AI37" s="224" t="s">
        <v>2075</v>
      </c>
      <c r="AJ37" s="225">
        <v>3</v>
      </c>
      <c r="AK37" s="224" t="s">
        <v>2085</v>
      </c>
      <c r="AL37" s="224" t="s">
        <v>2160</v>
      </c>
      <c r="AM37" s="224"/>
      <c r="AN37" s="224"/>
    </row>
    <row r="38" spans="1:40" s="86" customFormat="1" ht="59.25" customHeight="1">
      <c r="A38" s="402">
        <v>140534</v>
      </c>
      <c r="B38" s="89" t="s">
        <v>640</v>
      </c>
      <c r="C38" s="89" t="s">
        <v>641</v>
      </c>
      <c r="D38" s="88" t="s">
        <v>642</v>
      </c>
      <c r="E38" s="88" t="s">
        <v>643</v>
      </c>
      <c r="F38" s="88" t="s">
        <v>45</v>
      </c>
      <c r="G38" s="88" t="s">
        <v>644</v>
      </c>
      <c r="H38" s="88" t="s">
        <v>591</v>
      </c>
      <c r="I38" s="88" t="s">
        <v>40</v>
      </c>
      <c r="J38" s="89" t="s">
        <v>5279</v>
      </c>
      <c r="K38" s="103" t="s">
        <v>1233</v>
      </c>
      <c r="L38" s="403" t="s">
        <v>26</v>
      </c>
      <c r="M38" s="199">
        <v>45229</v>
      </c>
      <c r="N38" s="105">
        <v>44679</v>
      </c>
      <c r="O38" s="105"/>
      <c r="P38" s="203" t="s">
        <v>5219</v>
      </c>
      <c r="Q38" s="203" t="s">
        <v>1614</v>
      </c>
      <c r="R38" s="203" t="s">
        <v>1889</v>
      </c>
      <c r="S38" s="203"/>
      <c r="T38" s="87" t="s">
        <v>5073</v>
      </c>
      <c r="U38" s="87" t="s">
        <v>1568</v>
      </c>
      <c r="V38" s="87"/>
      <c r="W38" s="88" t="s">
        <v>1568</v>
      </c>
      <c r="X38" s="249" t="s">
        <v>3680</v>
      </c>
      <c r="Y38" s="88"/>
      <c r="Z38" s="250" t="s">
        <v>4195</v>
      </c>
      <c r="AA38" s="87" t="s">
        <v>2161</v>
      </c>
      <c r="AB38" s="250" t="s">
        <v>2079</v>
      </c>
      <c r="AC38" s="250" t="s">
        <v>4274</v>
      </c>
      <c r="AD38" s="250"/>
      <c r="AE38" s="87" t="s">
        <v>4195</v>
      </c>
      <c r="AF38" s="88" t="s">
        <v>5279</v>
      </c>
      <c r="AG38" s="88" t="s">
        <v>2073</v>
      </c>
      <c r="AH38" s="88" t="s">
        <v>2074</v>
      </c>
      <c r="AI38" s="224" t="s">
        <v>2075</v>
      </c>
      <c r="AJ38" s="225">
        <v>2</v>
      </c>
      <c r="AK38" s="224" t="s">
        <v>2076</v>
      </c>
      <c r="AL38" s="224" t="s">
        <v>2162</v>
      </c>
      <c r="AM38" s="224" t="s">
        <v>2099</v>
      </c>
      <c r="AN38" s="224" t="s">
        <v>2163</v>
      </c>
    </row>
    <row r="39" spans="1:40" s="86" customFormat="1" ht="59.25" customHeight="1">
      <c r="A39" s="402">
        <v>140539</v>
      </c>
      <c r="B39" s="89" t="s">
        <v>103</v>
      </c>
      <c r="C39" s="89" t="s">
        <v>104</v>
      </c>
      <c r="D39" s="88" t="s">
        <v>105</v>
      </c>
      <c r="E39" s="88" t="s">
        <v>106</v>
      </c>
      <c r="F39" s="88" t="s">
        <v>107</v>
      </c>
      <c r="G39" s="88">
        <v>90073</v>
      </c>
      <c r="H39" s="88" t="s">
        <v>591</v>
      </c>
      <c r="I39" s="88" t="s">
        <v>40</v>
      </c>
      <c r="J39" s="89" t="s">
        <v>1277</v>
      </c>
      <c r="K39" s="103" t="s">
        <v>1233</v>
      </c>
      <c r="L39" s="403" t="s">
        <v>26</v>
      </c>
      <c r="M39" s="199">
        <v>45504</v>
      </c>
      <c r="N39" s="105">
        <v>44404</v>
      </c>
      <c r="O39" s="105"/>
      <c r="P39" s="203" t="s">
        <v>4884</v>
      </c>
      <c r="Q39" s="203" t="s">
        <v>1615</v>
      </c>
      <c r="R39" s="203"/>
      <c r="S39" s="203"/>
      <c r="T39" s="87" t="s">
        <v>5697</v>
      </c>
      <c r="U39" s="87" t="s">
        <v>1569</v>
      </c>
      <c r="V39" s="87"/>
      <c r="W39" s="88" t="s">
        <v>1568</v>
      </c>
      <c r="X39" s="249" t="s">
        <v>3682</v>
      </c>
      <c r="Y39" s="88"/>
      <c r="Z39" s="250"/>
      <c r="AA39" s="87" t="s">
        <v>2164</v>
      </c>
      <c r="AB39" s="250" t="s">
        <v>2072</v>
      </c>
      <c r="AC39" s="250"/>
      <c r="AD39" s="250"/>
      <c r="AE39" s="87"/>
      <c r="AF39" s="88" t="s">
        <v>1277</v>
      </c>
      <c r="AG39" s="88" t="s">
        <v>2073</v>
      </c>
      <c r="AH39" s="88" t="s">
        <v>2093</v>
      </c>
      <c r="AI39" s="224"/>
      <c r="AJ39" s="225">
        <v>4</v>
      </c>
      <c r="AK39" s="224" t="s">
        <v>2085</v>
      </c>
      <c r="AL39" s="224" t="s">
        <v>2165</v>
      </c>
      <c r="AM39" s="224" t="s">
        <v>2087</v>
      </c>
      <c r="AN39" s="224"/>
    </row>
    <row r="40" spans="1:40" s="86" customFormat="1" ht="59.25" customHeight="1">
      <c r="A40" s="402">
        <v>141080</v>
      </c>
      <c r="B40" s="89" t="s">
        <v>108</v>
      </c>
      <c r="C40" s="89" t="s">
        <v>109</v>
      </c>
      <c r="D40" s="88">
        <v>33142</v>
      </c>
      <c r="E40" s="88" t="s">
        <v>110</v>
      </c>
      <c r="F40" s="88" t="s">
        <v>51</v>
      </c>
      <c r="G40" s="88">
        <v>21844</v>
      </c>
      <c r="H40" s="88" t="s">
        <v>591</v>
      </c>
      <c r="I40" s="88" t="s">
        <v>40</v>
      </c>
      <c r="J40" s="89" t="s">
        <v>1288</v>
      </c>
      <c r="K40" s="103" t="s">
        <v>1233</v>
      </c>
      <c r="L40" s="403" t="s">
        <v>26</v>
      </c>
      <c r="M40" s="199">
        <v>45596</v>
      </c>
      <c r="N40" s="105">
        <v>44510</v>
      </c>
      <c r="O40" s="105"/>
      <c r="P40" s="203" t="s">
        <v>6013</v>
      </c>
      <c r="Q40" s="203" t="s">
        <v>1616</v>
      </c>
      <c r="R40" s="203"/>
      <c r="S40" s="203"/>
      <c r="T40" s="87" t="s">
        <v>1536</v>
      </c>
      <c r="U40" s="87" t="s">
        <v>1568</v>
      </c>
      <c r="V40" s="87"/>
      <c r="W40" s="88" t="s">
        <v>1568</v>
      </c>
      <c r="X40" s="249" t="s">
        <v>3684</v>
      </c>
      <c r="Y40" s="88"/>
      <c r="Z40" s="250" t="s">
        <v>4853</v>
      </c>
      <c r="AA40" s="87" t="s">
        <v>122</v>
      </c>
      <c r="AB40" s="250" t="s">
        <v>2079</v>
      </c>
      <c r="AC40" s="250" t="s">
        <v>4694</v>
      </c>
      <c r="AD40" s="250"/>
      <c r="AE40" s="87" t="s">
        <v>4853</v>
      </c>
      <c r="AF40" s="88" t="s">
        <v>1288</v>
      </c>
      <c r="AG40" s="88" t="s">
        <v>2073</v>
      </c>
      <c r="AH40" s="88" t="s">
        <v>2116</v>
      </c>
      <c r="AI40" s="224" t="s">
        <v>2075</v>
      </c>
      <c r="AJ40" s="225">
        <v>3</v>
      </c>
      <c r="AK40" s="224" t="s">
        <v>2085</v>
      </c>
      <c r="AL40" s="224" t="s">
        <v>2177</v>
      </c>
      <c r="AM40" s="224" t="s">
        <v>2087</v>
      </c>
      <c r="AN40" s="224"/>
    </row>
    <row r="41" spans="1:40" s="86" customFormat="1" ht="59.25" customHeight="1">
      <c r="A41" s="402">
        <v>141168</v>
      </c>
      <c r="B41" s="89" t="s">
        <v>111</v>
      </c>
      <c r="C41" s="89" t="s">
        <v>112</v>
      </c>
      <c r="D41" s="88">
        <v>91505</v>
      </c>
      <c r="E41" s="88" t="s">
        <v>113</v>
      </c>
      <c r="F41" s="88" t="s">
        <v>51</v>
      </c>
      <c r="G41" s="88">
        <v>13636</v>
      </c>
      <c r="H41" s="88" t="s">
        <v>591</v>
      </c>
      <c r="I41" s="88" t="s">
        <v>40</v>
      </c>
      <c r="J41" s="89" t="s">
        <v>1277</v>
      </c>
      <c r="K41" s="103" t="s">
        <v>5218</v>
      </c>
      <c r="L41" s="403" t="s">
        <v>26</v>
      </c>
      <c r="M41" s="199">
        <v>45626</v>
      </c>
      <c r="N41" s="105">
        <v>44529</v>
      </c>
      <c r="O41" s="105"/>
      <c r="P41" s="203" t="s">
        <v>6014</v>
      </c>
      <c r="Q41" s="203" t="s">
        <v>1617</v>
      </c>
      <c r="R41" s="203" t="s">
        <v>1890</v>
      </c>
      <c r="S41" s="203"/>
      <c r="T41" s="87" t="s">
        <v>5698</v>
      </c>
      <c r="U41" s="87" t="s">
        <v>1568</v>
      </c>
      <c r="V41" s="87"/>
      <c r="W41" s="88" t="s">
        <v>1568</v>
      </c>
      <c r="X41" s="249" t="s">
        <v>3687</v>
      </c>
      <c r="Y41" s="88"/>
      <c r="Z41" s="250"/>
      <c r="AA41" s="87" t="s">
        <v>2166</v>
      </c>
      <c r="AB41" s="250" t="s">
        <v>2072</v>
      </c>
      <c r="AC41" s="250"/>
      <c r="AD41" s="250"/>
      <c r="AE41" s="87"/>
      <c r="AF41" s="88" t="s">
        <v>1510</v>
      </c>
      <c r="AG41" s="88" t="s">
        <v>2073</v>
      </c>
      <c r="AH41" s="88" t="s">
        <v>2113</v>
      </c>
      <c r="AI41" s="224"/>
      <c r="AJ41" s="225">
        <v>4</v>
      </c>
      <c r="AK41" s="224" t="s">
        <v>2085</v>
      </c>
      <c r="AL41" s="224" t="s">
        <v>2167</v>
      </c>
      <c r="AM41" s="224" t="s">
        <v>2087</v>
      </c>
      <c r="AN41" s="224" t="s">
        <v>2168</v>
      </c>
    </row>
    <row r="42" spans="1:40" s="86" customFormat="1" ht="59.25" customHeight="1">
      <c r="A42" s="404">
        <v>141737</v>
      </c>
      <c r="B42" s="89" t="s">
        <v>114</v>
      </c>
      <c r="C42" s="89" t="s">
        <v>115</v>
      </c>
      <c r="D42" s="88">
        <v>77836</v>
      </c>
      <c r="E42" s="88" t="s">
        <v>116</v>
      </c>
      <c r="F42" s="88" t="s">
        <v>55</v>
      </c>
      <c r="G42" s="88" t="s">
        <v>117</v>
      </c>
      <c r="H42" s="88" t="s">
        <v>591</v>
      </c>
      <c r="I42" s="88" t="s">
        <v>40</v>
      </c>
      <c r="J42" s="89" t="s">
        <v>1277</v>
      </c>
      <c r="K42" s="103"/>
      <c r="L42" s="405" t="s">
        <v>27</v>
      </c>
      <c r="M42" s="199">
        <v>44834</v>
      </c>
      <c r="N42" s="105">
        <v>43732</v>
      </c>
      <c r="O42" s="105"/>
      <c r="P42" s="203" t="s">
        <v>1423</v>
      </c>
      <c r="Q42" s="203" t="s">
        <v>1618</v>
      </c>
      <c r="R42" s="203" t="s">
        <v>1891</v>
      </c>
      <c r="S42" s="203"/>
      <c r="T42" s="87" t="s">
        <v>4557</v>
      </c>
      <c r="U42" s="87" t="s">
        <v>1568</v>
      </c>
      <c r="V42" s="87"/>
      <c r="W42" s="88" t="s">
        <v>1568</v>
      </c>
      <c r="X42" s="249" t="s">
        <v>3688</v>
      </c>
      <c r="Y42" s="88"/>
      <c r="Z42" s="250"/>
      <c r="AA42" s="87" t="s">
        <v>2169</v>
      </c>
      <c r="AB42" s="250" t="s">
        <v>2072</v>
      </c>
      <c r="AC42" s="250"/>
      <c r="AD42" s="250"/>
      <c r="AE42" s="87"/>
      <c r="AF42" s="88" t="s">
        <v>1277</v>
      </c>
      <c r="AG42" s="88" t="s">
        <v>2073</v>
      </c>
      <c r="AH42" s="88" t="s">
        <v>2113</v>
      </c>
      <c r="AI42" s="224"/>
      <c r="AJ42" s="225">
        <v>4</v>
      </c>
      <c r="AK42" s="224" t="s">
        <v>2085</v>
      </c>
      <c r="AL42" s="224" t="s">
        <v>2170</v>
      </c>
      <c r="AM42" s="224"/>
      <c r="AN42" s="224"/>
    </row>
    <row r="43" spans="1:40" s="86" customFormat="1" ht="59.25" customHeight="1">
      <c r="A43" s="402">
        <v>142610</v>
      </c>
      <c r="B43" s="89" t="s">
        <v>1498</v>
      </c>
      <c r="C43" s="89" t="s">
        <v>1263</v>
      </c>
      <c r="D43" s="88">
        <v>45373</v>
      </c>
      <c r="E43" s="88" t="s">
        <v>417</v>
      </c>
      <c r="F43" s="88" t="s">
        <v>51</v>
      </c>
      <c r="G43" s="88">
        <v>97153</v>
      </c>
      <c r="H43" s="88" t="s">
        <v>591</v>
      </c>
      <c r="I43" s="88" t="s">
        <v>40</v>
      </c>
      <c r="J43" s="89" t="s">
        <v>5282</v>
      </c>
      <c r="K43" s="103" t="s">
        <v>1233</v>
      </c>
      <c r="L43" s="403" t="s">
        <v>26</v>
      </c>
      <c r="M43" s="199">
        <v>45412</v>
      </c>
      <c r="N43" s="105">
        <v>44672</v>
      </c>
      <c r="O43" s="105"/>
      <c r="P43" s="203" t="s">
        <v>6015</v>
      </c>
      <c r="Q43" s="203" t="s">
        <v>1619</v>
      </c>
      <c r="R43" s="203"/>
      <c r="S43" s="203"/>
      <c r="T43" s="87" t="s">
        <v>5699</v>
      </c>
      <c r="U43" s="87" t="s">
        <v>1572</v>
      </c>
      <c r="V43" s="87"/>
      <c r="W43" s="88" t="s">
        <v>1571</v>
      </c>
      <c r="X43" s="249" t="s">
        <v>3690</v>
      </c>
      <c r="Y43" s="88"/>
      <c r="Z43" s="250"/>
      <c r="AA43" s="87" t="s">
        <v>2171</v>
      </c>
      <c r="AB43" s="250" t="s">
        <v>2072</v>
      </c>
      <c r="AC43" s="250"/>
      <c r="AD43" s="250"/>
      <c r="AE43" s="87"/>
      <c r="AF43" s="88" t="s">
        <v>5282</v>
      </c>
      <c r="AG43" s="88" t="s">
        <v>2073</v>
      </c>
      <c r="AH43" s="88" t="s">
        <v>2093</v>
      </c>
      <c r="AI43" s="224"/>
      <c r="AJ43" s="225">
        <v>2</v>
      </c>
      <c r="AK43" s="224" t="s">
        <v>2076</v>
      </c>
      <c r="AL43" s="224" t="s">
        <v>2172</v>
      </c>
      <c r="AM43" s="224" t="s">
        <v>2077</v>
      </c>
      <c r="AN43" s="224"/>
    </row>
    <row r="44" spans="1:40" s="86" customFormat="1" ht="59.25" customHeight="1">
      <c r="A44" s="402">
        <v>144548</v>
      </c>
      <c r="B44" s="89" t="s">
        <v>679</v>
      </c>
      <c r="C44" s="89" t="s">
        <v>680</v>
      </c>
      <c r="D44" s="88" t="s">
        <v>681</v>
      </c>
      <c r="E44" s="88" t="s">
        <v>682</v>
      </c>
      <c r="F44" s="88" t="s">
        <v>45</v>
      </c>
      <c r="G44" s="88" t="s">
        <v>808</v>
      </c>
      <c r="H44" s="88" t="s">
        <v>591</v>
      </c>
      <c r="I44" s="88" t="s">
        <v>40</v>
      </c>
      <c r="J44" s="89" t="s">
        <v>1277</v>
      </c>
      <c r="K44" s="103" t="s">
        <v>5218</v>
      </c>
      <c r="L44" s="403" t="s">
        <v>26</v>
      </c>
      <c r="M44" s="199">
        <v>45595</v>
      </c>
      <c r="N44" s="105">
        <v>44510</v>
      </c>
      <c r="O44" s="105"/>
      <c r="P44" s="203" t="s">
        <v>4799</v>
      </c>
      <c r="Q44" s="203" t="s">
        <v>1620</v>
      </c>
      <c r="R44" s="203" t="s">
        <v>1892</v>
      </c>
      <c r="S44" s="203"/>
      <c r="T44" s="87" t="s">
        <v>5700</v>
      </c>
      <c r="U44" s="87" t="s">
        <v>1578</v>
      </c>
      <c r="V44" s="87"/>
      <c r="W44" s="88" t="s">
        <v>1568</v>
      </c>
      <c r="X44" s="249" t="s">
        <v>3692</v>
      </c>
      <c r="Y44" s="88"/>
      <c r="Z44" s="250"/>
      <c r="AA44" s="87" t="s">
        <v>679</v>
      </c>
      <c r="AB44" s="250" t="s">
        <v>2072</v>
      </c>
      <c r="AC44" s="250"/>
      <c r="AD44" s="250"/>
      <c r="AE44" s="87"/>
      <c r="AF44" s="88" t="s">
        <v>1277</v>
      </c>
      <c r="AG44" s="88" t="s">
        <v>2073</v>
      </c>
      <c r="AH44" s="88" t="s">
        <v>2093</v>
      </c>
      <c r="AI44" s="224"/>
      <c r="AJ44" s="225">
        <v>4</v>
      </c>
      <c r="AK44" s="224" t="s">
        <v>2085</v>
      </c>
      <c r="AL44" s="224" t="s">
        <v>2173</v>
      </c>
      <c r="AM44" s="224"/>
      <c r="AN44" s="224"/>
    </row>
    <row r="45" spans="1:40" s="86" customFormat="1" ht="59.25" customHeight="1">
      <c r="A45" s="402">
        <v>146895</v>
      </c>
      <c r="B45" s="89" t="s">
        <v>669</v>
      </c>
      <c r="C45" s="89" t="s">
        <v>120</v>
      </c>
      <c r="D45" s="88">
        <v>60101</v>
      </c>
      <c r="E45" s="88" t="s">
        <v>121</v>
      </c>
      <c r="F45" s="88" t="s">
        <v>51</v>
      </c>
      <c r="G45" s="88">
        <v>268</v>
      </c>
      <c r="H45" s="88" t="s">
        <v>591</v>
      </c>
      <c r="I45" s="88" t="s">
        <v>40</v>
      </c>
      <c r="J45" s="89" t="s">
        <v>1277</v>
      </c>
      <c r="K45" s="103" t="s">
        <v>1402</v>
      </c>
      <c r="L45" s="403" t="s">
        <v>26</v>
      </c>
      <c r="M45" s="199">
        <v>45442</v>
      </c>
      <c r="N45" s="105">
        <v>44327</v>
      </c>
      <c r="O45" s="105"/>
      <c r="P45" s="203" t="s">
        <v>4278</v>
      </c>
      <c r="Q45" s="203" t="s">
        <v>1621</v>
      </c>
      <c r="R45" s="203"/>
      <c r="S45" s="203"/>
      <c r="T45" s="87" t="s">
        <v>1537</v>
      </c>
      <c r="U45" s="87" t="s">
        <v>1568</v>
      </c>
      <c r="V45" s="87" t="s">
        <v>1575</v>
      </c>
      <c r="W45" s="88" t="s">
        <v>1568</v>
      </c>
      <c r="X45" s="249" t="s">
        <v>3694</v>
      </c>
      <c r="Y45" s="88" t="s">
        <v>2034</v>
      </c>
      <c r="Z45" s="250"/>
      <c r="AA45" s="87" t="s">
        <v>2174</v>
      </c>
      <c r="AB45" s="250" t="s">
        <v>2072</v>
      </c>
      <c r="AC45" s="250"/>
      <c r="AD45" s="250"/>
      <c r="AE45" s="87"/>
      <c r="AF45" s="88" t="s">
        <v>1277</v>
      </c>
      <c r="AG45" s="88" t="s">
        <v>2073</v>
      </c>
      <c r="AH45" s="88" t="s">
        <v>2113</v>
      </c>
      <c r="AI45" s="224"/>
      <c r="AJ45" s="225">
        <v>4</v>
      </c>
      <c r="AK45" s="224" t="s">
        <v>2085</v>
      </c>
      <c r="AL45" s="224" t="s">
        <v>2175</v>
      </c>
      <c r="AM45" s="224"/>
      <c r="AN45" s="224" t="s">
        <v>2176</v>
      </c>
    </row>
    <row r="46" spans="1:40" s="86" customFormat="1" ht="59.25" customHeight="1">
      <c r="A46" s="402">
        <v>147189</v>
      </c>
      <c r="B46" s="89" t="s">
        <v>122</v>
      </c>
      <c r="C46" s="89" t="s">
        <v>4384</v>
      </c>
      <c r="D46" s="88">
        <v>78531</v>
      </c>
      <c r="E46" s="88" t="s">
        <v>123</v>
      </c>
      <c r="F46" s="88" t="s">
        <v>47</v>
      </c>
      <c r="G46" s="88" t="s">
        <v>809</v>
      </c>
      <c r="H46" s="88" t="s">
        <v>591</v>
      </c>
      <c r="I46" s="88" t="s">
        <v>40</v>
      </c>
      <c r="J46" s="89" t="s">
        <v>1288</v>
      </c>
      <c r="K46" s="103" t="s">
        <v>1233</v>
      </c>
      <c r="L46" s="403" t="s">
        <v>26</v>
      </c>
      <c r="M46" s="199">
        <v>45596</v>
      </c>
      <c r="N46" s="105">
        <v>44510</v>
      </c>
      <c r="O46" s="105"/>
      <c r="P46" s="203" t="s">
        <v>1071</v>
      </c>
      <c r="Q46" s="203" t="s">
        <v>1622</v>
      </c>
      <c r="R46" s="203" t="s">
        <v>1893</v>
      </c>
      <c r="S46" s="203"/>
      <c r="T46" s="87" t="s">
        <v>4406</v>
      </c>
      <c r="U46" s="87" t="s">
        <v>1569</v>
      </c>
      <c r="V46" s="87"/>
      <c r="W46" s="88" t="s">
        <v>1568</v>
      </c>
      <c r="X46" s="249" t="s">
        <v>4495</v>
      </c>
      <c r="Y46" s="88"/>
      <c r="Z46" s="250"/>
      <c r="AA46" s="87" t="s">
        <v>122</v>
      </c>
      <c r="AB46" s="250" t="s">
        <v>2072</v>
      </c>
      <c r="AC46" s="250"/>
      <c r="AD46" s="250"/>
      <c r="AE46" s="87"/>
      <c r="AF46" s="88" t="s">
        <v>1288</v>
      </c>
      <c r="AG46" s="88" t="s">
        <v>2073</v>
      </c>
      <c r="AH46" s="88" t="s">
        <v>2116</v>
      </c>
      <c r="AI46" s="224" t="s">
        <v>2075</v>
      </c>
      <c r="AJ46" s="225">
        <v>3</v>
      </c>
      <c r="AK46" s="224" t="s">
        <v>2085</v>
      </c>
      <c r="AL46" s="224" t="s">
        <v>2177</v>
      </c>
      <c r="AM46" s="224" t="s">
        <v>2087</v>
      </c>
      <c r="AN46" s="224"/>
    </row>
    <row r="47" spans="1:40" s="86" customFormat="1" ht="59.25" customHeight="1">
      <c r="A47" s="402">
        <v>147245</v>
      </c>
      <c r="B47" s="89" t="s">
        <v>1232</v>
      </c>
      <c r="C47" s="89" t="s">
        <v>124</v>
      </c>
      <c r="D47" s="88">
        <v>28906</v>
      </c>
      <c r="E47" s="88" t="s">
        <v>125</v>
      </c>
      <c r="F47" s="88" t="s">
        <v>126</v>
      </c>
      <c r="G47" s="88" t="s">
        <v>810</v>
      </c>
      <c r="H47" s="88" t="s">
        <v>591</v>
      </c>
      <c r="I47" s="88" t="s">
        <v>40</v>
      </c>
      <c r="J47" s="89" t="s">
        <v>5281</v>
      </c>
      <c r="K47" s="103" t="s">
        <v>1402</v>
      </c>
      <c r="L47" s="403" t="s">
        <v>26</v>
      </c>
      <c r="M47" s="199">
        <v>45443</v>
      </c>
      <c r="N47" s="105">
        <v>44697</v>
      </c>
      <c r="O47" s="105"/>
      <c r="P47" s="203" t="s">
        <v>5671</v>
      </c>
      <c r="Q47" s="203" t="s">
        <v>1623</v>
      </c>
      <c r="R47" s="203" t="s">
        <v>1894</v>
      </c>
      <c r="S47" s="203"/>
      <c r="T47" s="87" t="s">
        <v>5701</v>
      </c>
      <c r="U47" s="87" t="s">
        <v>1572</v>
      </c>
      <c r="V47" s="87"/>
      <c r="W47" s="88" t="s">
        <v>1571</v>
      </c>
      <c r="X47" s="249" t="s">
        <v>3695</v>
      </c>
      <c r="Y47" s="88" t="s">
        <v>2034</v>
      </c>
      <c r="Z47" s="250"/>
      <c r="AA47" s="87" t="s">
        <v>2178</v>
      </c>
      <c r="AB47" s="250" t="s">
        <v>2072</v>
      </c>
      <c r="AC47" s="250"/>
      <c r="AD47" s="250"/>
      <c r="AE47" s="87"/>
      <c r="AF47" s="88" t="s">
        <v>5281</v>
      </c>
      <c r="AG47" s="88" t="s">
        <v>2073</v>
      </c>
      <c r="AH47" s="88" t="s">
        <v>2113</v>
      </c>
      <c r="AI47" s="224" t="s">
        <v>2179</v>
      </c>
      <c r="AJ47" s="225">
        <v>3</v>
      </c>
      <c r="AK47" s="224" t="s">
        <v>2085</v>
      </c>
      <c r="AL47" s="224" t="s">
        <v>2180</v>
      </c>
      <c r="AM47" s="224"/>
      <c r="AN47" s="224"/>
    </row>
    <row r="48" spans="1:40" s="86" customFormat="1" ht="59.25" customHeight="1">
      <c r="A48" s="402">
        <v>147463</v>
      </c>
      <c r="B48" s="89" t="s">
        <v>1322</v>
      </c>
      <c r="C48" s="89" t="s">
        <v>1323</v>
      </c>
      <c r="D48" s="88" t="s">
        <v>1324</v>
      </c>
      <c r="E48" s="88" t="s">
        <v>1325</v>
      </c>
      <c r="F48" s="88" t="s">
        <v>51</v>
      </c>
      <c r="G48" s="88">
        <v>11599</v>
      </c>
      <c r="H48" s="88" t="s">
        <v>591</v>
      </c>
      <c r="I48" s="88" t="s">
        <v>40</v>
      </c>
      <c r="J48" s="89" t="s">
        <v>5449</v>
      </c>
      <c r="K48" s="103" t="s">
        <v>1402</v>
      </c>
      <c r="L48" s="403" t="s">
        <v>26</v>
      </c>
      <c r="M48" s="199">
        <v>44895</v>
      </c>
      <c r="N48" s="105">
        <v>44160</v>
      </c>
      <c r="O48" s="105"/>
      <c r="P48" s="203" t="s">
        <v>6016</v>
      </c>
      <c r="Q48" s="203" t="s">
        <v>1624</v>
      </c>
      <c r="R48" s="203"/>
      <c r="S48" s="203"/>
      <c r="T48" s="87" t="s">
        <v>5702</v>
      </c>
      <c r="U48" s="87" t="s">
        <v>1568</v>
      </c>
      <c r="V48" s="87"/>
      <c r="W48" s="88" t="s">
        <v>1568</v>
      </c>
      <c r="X48" s="249" t="s">
        <v>3697</v>
      </c>
      <c r="Y48" s="88"/>
      <c r="Z48" s="250"/>
      <c r="AA48" s="87" t="s">
        <v>2181</v>
      </c>
      <c r="AB48" s="250" t="s">
        <v>2072</v>
      </c>
      <c r="AC48" s="250"/>
      <c r="AD48" s="250"/>
      <c r="AE48" s="87"/>
      <c r="AF48" s="88" t="s">
        <v>5449</v>
      </c>
      <c r="AG48" s="88" t="s">
        <v>2073</v>
      </c>
      <c r="AH48" s="88"/>
      <c r="AI48" s="224" t="s">
        <v>2075</v>
      </c>
      <c r="AJ48" s="225">
        <v>2</v>
      </c>
      <c r="AK48" s="224" t="s">
        <v>2076</v>
      </c>
      <c r="AL48" s="224" t="s">
        <v>2536</v>
      </c>
      <c r="AM48" s="224" t="s">
        <v>2099</v>
      </c>
      <c r="AN48" s="224" t="s">
        <v>2182</v>
      </c>
    </row>
    <row r="49" spans="1:40" s="86" customFormat="1" ht="59.25" customHeight="1">
      <c r="A49" s="402">
        <v>147594</v>
      </c>
      <c r="B49" s="89" t="s">
        <v>5426</v>
      </c>
      <c r="C49" s="89" t="s">
        <v>5427</v>
      </c>
      <c r="D49" s="88">
        <v>91410</v>
      </c>
      <c r="E49" s="88" t="s">
        <v>5428</v>
      </c>
      <c r="F49" s="88" t="s">
        <v>47</v>
      </c>
      <c r="G49" s="88" t="s">
        <v>5429</v>
      </c>
      <c r="H49" s="88" t="s">
        <v>591</v>
      </c>
      <c r="I49" s="88" t="s">
        <v>40</v>
      </c>
      <c r="J49" s="89" t="s">
        <v>1336</v>
      </c>
      <c r="K49" s="103" t="s">
        <v>1233</v>
      </c>
      <c r="L49" s="403" t="s">
        <v>26</v>
      </c>
      <c r="M49" s="199">
        <v>45716</v>
      </c>
      <c r="N49" s="105">
        <v>44691</v>
      </c>
      <c r="O49" s="105"/>
      <c r="P49" s="203" t="s">
        <v>5979</v>
      </c>
      <c r="Q49" s="203" t="s">
        <v>5982</v>
      </c>
      <c r="R49" s="203" t="s">
        <v>5435</v>
      </c>
      <c r="S49" s="203"/>
      <c r="T49" s="87" t="s">
        <v>5703</v>
      </c>
      <c r="U49" s="87" t="s">
        <v>1574</v>
      </c>
      <c r="V49" s="87"/>
      <c r="W49" s="88" t="s">
        <v>1568</v>
      </c>
      <c r="X49" s="249" t="s">
        <v>5439</v>
      </c>
      <c r="Y49" s="88"/>
      <c r="Z49" s="250"/>
      <c r="AA49" s="87" t="s">
        <v>2115</v>
      </c>
      <c r="AB49" s="250" t="s">
        <v>2072</v>
      </c>
      <c r="AC49" s="250"/>
      <c r="AD49" s="250"/>
      <c r="AE49" s="87"/>
      <c r="AF49" s="88" t="s">
        <v>1336</v>
      </c>
      <c r="AG49" s="88" t="s">
        <v>2073</v>
      </c>
      <c r="AH49" s="88" t="s">
        <v>2116</v>
      </c>
      <c r="AI49" s="224" t="s">
        <v>2075</v>
      </c>
      <c r="AJ49" s="225">
        <v>3</v>
      </c>
      <c r="AK49" s="224" t="s">
        <v>2076</v>
      </c>
      <c r="AL49" s="224" t="s">
        <v>5177</v>
      </c>
      <c r="AM49" s="224" t="s">
        <v>2099</v>
      </c>
      <c r="AN49" s="224" t="s">
        <v>2117</v>
      </c>
    </row>
    <row r="50" spans="1:40" s="86" customFormat="1" ht="59.25" customHeight="1">
      <c r="A50" s="402">
        <v>148000</v>
      </c>
      <c r="B50" s="89" t="s">
        <v>127</v>
      </c>
      <c r="C50" s="89" t="s">
        <v>128</v>
      </c>
      <c r="D50" s="88" t="s">
        <v>4882</v>
      </c>
      <c r="E50" s="88" t="s">
        <v>129</v>
      </c>
      <c r="F50" s="88" t="s">
        <v>51</v>
      </c>
      <c r="G50" s="88">
        <v>91816</v>
      </c>
      <c r="H50" s="88" t="s">
        <v>591</v>
      </c>
      <c r="I50" s="88" t="s">
        <v>40</v>
      </c>
      <c r="J50" s="89" t="s">
        <v>1277</v>
      </c>
      <c r="K50" s="103" t="s">
        <v>1402</v>
      </c>
      <c r="L50" s="403" t="s">
        <v>26</v>
      </c>
      <c r="M50" s="199">
        <v>45382</v>
      </c>
      <c r="N50" s="105">
        <v>44270</v>
      </c>
      <c r="O50" s="105"/>
      <c r="P50" s="203" t="s">
        <v>4642</v>
      </c>
      <c r="Q50" s="203" t="s">
        <v>1625</v>
      </c>
      <c r="R50" s="203" t="s">
        <v>1895</v>
      </c>
      <c r="S50" s="203"/>
      <c r="T50" s="87" t="s">
        <v>4467</v>
      </c>
      <c r="U50" s="87" t="s">
        <v>1573</v>
      </c>
      <c r="V50" s="87"/>
      <c r="W50" s="88" t="s">
        <v>1571</v>
      </c>
      <c r="X50" s="249" t="s">
        <v>3698</v>
      </c>
      <c r="Y50" s="88"/>
      <c r="Z50" s="250"/>
      <c r="AA50" s="87" t="s">
        <v>2183</v>
      </c>
      <c r="AB50" s="250" t="s">
        <v>2072</v>
      </c>
      <c r="AC50" s="250"/>
      <c r="AD50" s="250"/>
      <c r="AE50" s="87"/>
      <c r="AF50" s="88" t="s">
        <v>1277</v>
      </c>
      <c r="AG50" s="88" t="s">
        <v>2073</v>
      </c>
      <c r="AH50" s="88" t="s">
        <v>2093</v>
      </c>
      <c r="AI50" s="224"/>
      <c r="AJ50" s="225">
        <v>4</v>
      </c>
      <c r="AK50" s="224" t="s">
        <v>2085</v>
      </c>
      <c r="AL50" s="224" t="s">
        <v>2184</v>
      </c>
      <c r="AM50" s="224"/>
      <c r="AN50" s="224"/>
    </row>
    <row r="51" spans="1:40" s="86" customFormat="1" ht="59.25" customHeight="1">
      <c r="A51" s="402">
        <v>148971</v>
      </c>
      <c r="B51" s="89" t="s">
        <v>130</v>
      </c>
      <c r="C51" s="89" t="s">
        <v>131</v>
      </c>
      <c r="D51" s="88">
        <v>91919</v>
      </c>
      <c r="E51" s="88" t="s">
        <v>132</v>
      </c>
      <c r="F51" s="88" t="s">
        <v>47</v>
      </c>
      <c r="G51" s="88" t="s">
        <v>811</v>
      </c>
      <c r="H51" s="88" t="s">
        <v>591</v>
      </c>
      <c r="I51" s="88" t="s">
        <v>40</v>
      </c>
      <c r="J51" s="89" t="s">
        <v>1277</v>
      </c>
      <c r="K51" s="103" t="s">
        <v>1402</v>
      </c>
      <c r="L51" s="403" t="s">
        <v>26</v>
      </c>
      <c r="M51" s="199">
        <v>45412</v>
      </c>
      <c r="N51" s="105">
        <v>44698</v>
      </c>
      <c r="O51" s="105"/>
      <c r="P51" s="203" t="s">
        <v>5547</v>
      </c>
      <c r="Q51" s="203" t="s">
        <v>1626</v>
      </c>
      <c r="R51" s="203" t="s">
        <v>1896</v>
      </c>
      <c r="S51" s="203"/>
      <c r="T51" s="87" t="s">
        <v>5704</v>
      </c>
      <c r="U51" s="87" t="s">
        <v>1568</v>
      </c>
      <c r="V51" s="87"/>
      <c r="W51" s="88" t="s">
        <v>1568</v>
      </c>
      <c r="X51" s="249" t="s">
        <v>4412</v>
      </c>
      <c r="Y51" s="88" t="s">
        <v>2030</v>
      </c>
      <c r="Z51" s="250"/>
      <c r="AA51" s="87" t="s">
        <v>130</v>
      </c>
      <c r="AB51" s="250" t="s">
        <v>2072</v>
      </c>
      <c r="AC51" s="250"/>
      <c r="AD51" s="250"/>
      <c r="AE51" s="87"/>
      <c r="AF51" s="88" t="s">
        <v>1277</v>
      </c>
      <c r="AG51" s="88" t="s">
        <v>2143</v>
      </c>
      <c r="AH51" s="88" t="s">
        <v>2137</v>
      </c>
      <c r="AI51" s="224"/>
      <c r="AJ51" s="225">
        <v>3</v>
      </c>
      <c r="AK51" s="224" t="s">
        <v>2144</v>
      </c>
      <c r="AL51" s="224" t="s">
        <v>2185</v>
      </c>
      <c r="AM51" s="224" t="s">
        <v>2186</v>
      </c>
      <c r="AN51" s="224" t="s">
        <v>2187</v>
      </c>
    </row>
    <row r="52" spans="1:40" s="86" customFormat="1" ht="59.25" customHeight="1">
      <c r="A52" s="402">
        <v>150190</v>
      </c>
      <c r="B52" s="89" t="s">
        <v>4506</v>
      </c>
      <c r="C52" s="89" t="s">
        <v>4507</v>
      </c>
      <c r="D52" s="88">
        <v>26002</v>
      </c>
      <c r="E52" s="88" t="s">
        <v>134</v>
      </c>
      <c r="F52" s="88" t="s">
        <v>47</v>
      </c>
      <c r="G52" s="88" t="s">
        <v>812</v>
      </c>
      <c r="H52" s="88" t="s">
        <v>591</v>
      </c>
      <c r="I52" s="88" t="s">
        <v>40</v>
      </c>
      <c r="J52" s="89" t="s">
        <v>1277</v>
      </c>
      <c r="K52" s="103" t="s">
        <v>1233</v>
      </c>
      <c r="L52" s="403" t="s">
        <v>26</v>
      </c>
      <c r="M52" s="199">
        <v>45473</v>
      </c>
      <c r="N52" s="105">
        <v>44363</v>
      </c>
      <c r="O52" s="105"/>
      <c r="P52" s="203" t="s">
        <v>1403</v>
      </c>
      <c r="Q52" s="203" t="s">
        <v>1627</v>
      </c>
      <c r="R52" s="203" t="s">
        <v>1897</v>
      </c>
      <c r="S52" s="203"/>
      <c r="T52" s="87" t="s">
        <v>5705</v>
      </c>
      <c r="U52" s="87" t="s">
        <v>1578</v>
      </c>
      <c r="V52" s="87"/>
      <c r="W52" s="88" t="s">
        <v>1568</v>
      </c>
      <c r="X52" s="249" t="s">
        <v>5440</v>
      </c>
      <c r="Y52" s="88" t="s">
        <v>2034</v>
      </c>
      <c r="Z52" s="250"/>
      <c r="AA52" s="87" t="s">
        <v>133</v>
      </c>
      <c r="AB52" s="250" t="s">
        <v>2072</v>
      </c>
      <c r="AC52" s="250"/>
      <c r="AD52" s="250"/>
      <c r="AE52" s="87"/>
      <c r="AF52" s="88" t="s">
        <v>1277</v>
      </c>
      <c r="AG52" s="88" t="s">
        <v>2073</v>
      </c>
      <c r="AH52" s="88" t="s">
        <v>2113</v>
      </c>
      <c r="AI52" s="224"/>
      <c r="AJ52" s="225">
        <v>4</v>
      </c>
      <c r="AK52" s="224" t="s">
        <v>2085</v>
      </c>
      <c r="AL52" s="224" t="s">
        <v>2188</v>
      </c>
      <c r="AM52" s="224" t="s">
        <v>2087</v>
      </c>
      <c r="AN52" s="224"/>
    </row>
    <row r="53" spans="1:40" s="86" customFormat="1" ht="59.25" customHeight="1">
      <c r="A53" s="402">
        <v>150344</v>
      </c>
      <c r="B53" s="89" t="s">
        <v>1207</v>
      </c>
      <c r="C53" s="89" t="s">
        <v>1208</v>
      </c>
      <c r="D53" s="88" t="s">
        <v>1209</v>
      </c>
      <c r="E53" s="88" t="s">
        <v>1210</v>
      </c>
      <c r="F53" s="88" t="s">
        <v>1211</v>
      </c>
      <c r="G53" s="88" t="s">
        <v>1261</v>
      </c>
      <c r="H53" s="88" t="s">
        <v>591</v>
      </c>
      <c r="I53" s="88" t="s">
        <v>40</v>
      </c>
      <c r="J53" s="89" t="s">
        <v>4608</v>
      </c>
      <c r="K53" s="103" t="s">
        <v>1233</v>
      </c>
      <c r="L53" s="403" t="s">
        <v>26</v>
      </c>
      <c r="M53" s="199">
        <v>44985</v>
      </c>
      <c r="N53" s="105">
        <v>44250</v>
      </c>
      <c r="O53" s="105"/>
      <c r="P53" s="203" t="s">
        <v>4600</v>
      </c>
      <c r="Q53" s="203" t="s">
        <v>1628</v>
      </c>
      <c r="R53" s="203" t="s">
        <v>1898</v>
      </c>
      <c r="S53" s="203"/>
      <c r="T53" s="87" t="s">
        <v>4539</v>
      </c>
      <c r="U53" s="87" t="s">
        <v>1568</v>
      </c>
      <c r="V53" s="87"/>
      <c r="W53" s="88" t="s">
        <v>1568</v>
      </c>
      <c r="X53" s="249" t="s">
        <v>4429</v>
      </c>
      <c r="Y53" s="88"/>
      <c r="Z53" s="250" t="s">
        <v>2035</v>
      </c>
      <c r="AA53" s="87" t="s">
        <v>1168</v>
      </c>
      <c r="AB53" s="250" t="s">
        <v>2079</v>
      </c>
      <c r="AC53" s="250" t="s">
        <v>2189</v>
      </c>
      <c r="AD53" s="250"/>
      <c r="AE53" s="87" t="s">
        <v>2035</v>
      </c>
      <c r="AF53" s="88" t="s">
        <v>5278</v>
      </c>
      <c r="AG53" s="88" t="s">
        <v>2073</v>
      </c>
      <c r="AH53" s="88" t="s">
        <v>2074</v>
      </c>
      <c r="AI53" s="224" t="s">
        <v>2075</v>
      </c>
      <c r="AJ53" s="225">
        <v>2</v>
      </c>
      <c r="AK53" s="224" t="s">
        <v>2076</v>
      </c>
      <c r="AL53" s="224" t="s">
        <v>2139</v>
      </c>
      <c r="AM53" s="224" t="s">
        <v>2099</v>
      </c>
      <c r="AN53" s="224" t="s">
        <v>2140</v>
      </c>
    </row>
    <row r="54" spans="1:40" s="86" customFormat="1" ht="59.25" customHeight="1">
      <c r="A54" s="402">
        <v>150991</v>
      </c>
      <c r="B54" s="89" t="s">
        <v>1169</v>
      </c>
      <c r="C54" s="89" t="s">
        <v>135</v>
      </c>
      <c r="D54" s="88">
        <v>21129</v>
      </c>
      <c r="E54" s="88" t="s">
        <v>74</v>
      </c>
      <c r="F54" s="88" t="s">
        <v>55</v>
      </c>
      <c r="G54" s="88" t="s">
        <v>813</v>
      </c>
      <c r="H54" s="88" t="s">
        <v>591</v>
      </c>
      <c r="I54" s="88" t="s">
        <v>40</v>
      </c>
      <c r="J54" s="89" t="s">
        <v>4608</v>
      </c>
      <c r="K54" s="103" t="s">
        <v>1233</v>
      </c>
      <c r="L54" s="403" t="s">
        <v>26</v>
      </c>
      <c r="M54" s="199">
        <v>44985</v>
      </c>
      <c r="N54" s="105">
        <v>44250</v>
      </c>
      <c r="O54" s="105"/>
      <c r="P54" s="203" t="s">
        <v>1330</v>
      </c>
      <c r="Q54" s="203" t="s">
        <v>1629</v>
      </c>
      <c r="R54" s="203" t="s">
        <v>1882</v>
      </c>
      <c r="S54" s="203"/>
      <c r="T54" s="87" t="s">
        <v>5706</v>
      </c>
      <c r="U54" s="87" t="s">
        <v>1568</v>
      </c>
      <c r="V54" s="87" t="s">
        <v>1580</v>
      </c>
      <c r="W54" s="88" t="s">
        <v>1568</v>
      </c>
      <c r="X54" s="249" t="s">
        <v>4208</v>
      </c>
      <c r="Y54" s="88"/>
      <c r="Z54" s="250"/>
      <c r="AA54" s="87" t="s">
        <v>1168</v>
      </c>
      <c r="AB54" s="250" t="s">
        <v>2072</v>
      </c>
      <c r="AC54" s="250"/>
      <c r="AD54" s="250"/>
      <c r="AE54" s="87"/>
      <c r="AF54" s="88" t="s">
        <v>5278</v>
      </c>
      <c r="AG54" s="88" t="s">
        <v>2073</v>
      </c>
      <c r="AH54" s="88" t="s">
        <v>2074</v>
      </c>
      <c r="AI54" s="224" t="s">
        <v>2075</v>
      </c>
      <c r="AJ54" s="225">
        <v>2</v>
      </c>
      <c r="AK54" s="224" t="s">
        <v>2076</v>
      </c>
      <c r="AL54" s="224" t="s">
        <v>2139</v>
      </c>
      <c r="AM54" s="224" t="s">
        <v>2099</v>
      </c>
      <c r="AN54" s="224" t="s">
        <v>2140</v>
      </c>
    </row>
    <row r="55" spans="1:40" s="86" customFormat="1" ht="59.25" customHeight="1">
      <c r="A55" s="402">
        <v>152824</v>
      </c>
      <c r="B55" s="89" t="s">
        <v>814</v>
      </c>
      <c r="C55" s="89" t="s">
        <v>815</v>
      </c>
      <c r="D55" s="88">
        <v>35147</v>
      </c>
      <c r="E55" s="88" t="s">
        <v>816</v>
      </c>
      <c r="F55" s="88" t="s">
        <v>51</v>
      </c>
      <c r="G55" s="88" t="s">
        <v>817</v>
      </c>
      <c r="H55" s="88" t="s">
        <v>591</v>
      </c>
      <c r="I55" s="88" t="s">
        <v>40</v>
      </c>
      <c r="J55" s="89" t="s">
        <v>5278</v>
      </c>
      <c r="K55" s="103" t="s">
        <v>1233</v>
      </c>
      <c r="L55" s="403" t="s">
        <v>26</v>
      </c>
      <c r="M55" s="199">
        <v>44985</v>
      </c>
      <c r="N55" s="105">
        <v>44250</v>
      </c>
      <c r="O55" s="105"/>
      <c r="P55" s="203" t="s">
        <v>4885</v>
      </c>
      <c r="Q55" s="203" t="s">
        <v>1630</v>
      </c>
      <c r="R55" s="203"/>
      <c r="S55" s="203"/>
      <c r="T55" s="87" t="s">
        <v>5707</v>
      </c>
      <c r="U55" s="87" t="s">
        <v>1568</v>
      </c>
      <c r="V55" s="87"/>
      <c r="W55" s="88" t="s">
        <v>1568</v>
      </c>
      <c r="X55" s="249" t="s">
        <v>4468</v>
      </c>
      <c r="Y55" s="88"/>
      <c r="Z55" s="250"/>
      <c r="AA55" s="87" t="s">
        <v>1168</v>
      </c>
      <c r="AB55" s="250" t="s">
        <v>2072</v>
      </c>
      <c r="AC55" s="250"/>
      <c r="AD55" s="250"/>
      <c r="AE55" s="87"/>
      <c r="AF55" s="88" t="s">
        <v>5278</v>
      </c>
      <c r="AG55" s="88" t="s">
        <v>2073</v>
      </c>
      <c r="AH55" s="88" t="s">
        <v>2074</v>
      </c>
      <c r="AI55" s="224" t="s">
        <v>2075</v>
      </c>
      <c r="AJ55" s="225">
        <v>2</v>
      </c>
      <c r="AK55" s="224" t="s">
        <v>2076</v>
      </c>
      <c r="AL55" s="224" t="s">
        <v>2139</v>
      </c>
      <c r="AM55" s="224" t="s">
        <v>2099</v>
      </c>
      <c r="AN55" s="224" t="s">
        <v>2140</v>
      </c>
    </row>
    <row r="56" spans="1:40" s="86" customFormat="1" ht="59.25" customHeight="1">
      <c r="A56" s="402">
        <v>152826</v>
      </c>
      <c r="B56" s="89" t="s">
        <v>395</v>
      </c>
      <c r="C56" s="89" t="s">
        <v>136</v>
      </c>
      <c r="D56" s="88">
        <v>60439</v>
      </c>
      <c r="E56" s="88" t="s">
        <v>137</v>
      </c>
      <c r="F56" s="88" t="s">
        <v>55</v>
      </c>
      <c r="G56" s="88" t="s">
        <v>818</v>
      </c>
      <c r="H56" s="88" t="s">
        <v>591</v>
      </c>
      <c r="I56" s="88" t="s">
        <v>40</v>
      </c>
      <c r="J56" s="89" t="s">
        <v>5278</v>
      </c>
      <c r="K56" s="103" t="s">
        <v>1233</v>
      </c>
      <c r="L56" s="403" t="s">
        <v>26</v>
      </c>
      <c r="M56" s="199">
        <v>44985</v>
      </c>
      <c r="N56" s="105">
        <v>44250</v>
      </c>
      <c r="O56" s="105"/>
      <c r="P56" s="203" t="s">
        <v>5190</v>
      </c>
      <c r="Q56" s="203" t="s">
        <v>1631</v>
      </c>
      <c r="R56" s="203" t="s">
        <v>1900</v>
      </c>
      <c r="S56" s="203"/>
      <c r="T56" s="87" t="s">
        <v>5708</v>
      </c>
      <c r="U56" s="87" t="s">
        <v>1569</v>
      </c>
      <c r="V56" s="87"/>
      <c r="W56" s="88" t="s">
        <v>1568</v>
      </c>
      <c r="X56" s="249" t="s">
        <v>3699</v>
      </c>
      <c r="Y56" s="88"/>
      <c r="Z56" s="250"/>
      <c r="AA56" s="87" t="s">
        <v>1168</v>
      </c>
      <c r="AB56" s="250" t="s">
        <v>2072</v>
      </c>
      <c r="AC56" s="250"/>
      <c r="AD56" s="250"/>
      <c r="AE56" s="87"/>
      <c r="AF56" s="88" t="s">
        <v>5278</v>
      </c>
      <c r="AG56" s="88" t="s">
        <v>2073</v>
      </c>
      <c r="AH56" s="88" t="s">
        <v>2074</v>
      </c>
      <c r="AI56" s="224" t="s">
        <v>2075</v>
      </c>
      <c r="AJ56" s="225">
        <v>2</v>
      </c>
      <c r="AK56" s="224" t="s">
        <v>2076</v>
      </c>
      <c r="AL56" s="224" t="s">
        <v>2139</v>
      </c>
      <c r="AM56" s="224" t="s">
        <v>2099</v>
      </c>
      <c r="AN56" s="224" t="s">
        <v>2140</v>
      </c>
    </row>
    <row r="57" spans="1:40" s="86" customFormat="1" ht="59.25" customHeight="1">
      <c r="A57" s="402">
        <v>152827</v>
      </c>
      <c r="B57" s="89" t="s">
        <v>395</v>
      </c>
      <c r="C57" s="89" t="s">
        <v>138</v>
      </c>
      <c r="D57" s="88">
        <v>88662</v>
      </c>
      <c r="E57" s="88" t="s">
        <v>139</v>
      </c>
      <c r="F57" s="88" t="s">
        <v>55</v>
      </c>
      <c r="G57" s="88" t="s">
        <v>819</v>
      </c>
      <c r="H57" s="88" t="s">
        <v>591</v>
      </c>
      <c r="I57" s="88" t="s">
        <v>40</v>
      </c>
      <c r="J57" s="89" t="s">
        <v>5278</v>
      </c>
      <c r="K57" s="103" t="s">
        <v>1233</v>
      </c>
      <c r="L57" s="403" t="s">
        <v>26</v>
      </c>
      <c r="M57" s="199">
        <v>44985</v>
      </c>
      <c r="N57" s="105">
        <v>44250</v>
      </c>
      <c r="O57" s="105"/>
      <c r="P57" s="203" t="s">
        <v>5191</v>
      </c>
      <c r="Q57" s="203" t="s">
        <v>1631</v>
      </c>
      <c r="R57" s="203" t="s">
        <v>1901</v>
      </c>
      <c r="S57" s="203"/>
      <c r="T57" s="87" t="s">
        <v>5709</v>
      </c>
      <c r="U57" s="87" t="s">
        <v>1569</v>
      </c>
      <c r="V57" s="87"/>
      <c r="W57" s="88" t="s">
        <v>1568</v>
      </c>
      <c r="X57" s="249" t="s">
        <v>3699</v>
      </c>
      <c r="Y57" s="88"/>
      <c r="Z57" s="250"/>
      <c r="AA57" s="87" t="s">
        <v>1168</v>
      </c>
      <c r="AB57" s="250" t="s">
        <v>2072</v>
      </c>
      <c r="AC57" s="250"/>
      <c r="AD57" s="250"/>
      <c r="AE57" s="87"/>
      <c r="AF57" s="88" t="s">
        <v>5278</v>
      </c>
      <c r="AG57" s="88" t="s">
        <v>2073</v>
      </c>
      <c r="AH57" s="88" t="s">
        <v>2074</v>
      </c>
      <c r="AI57" s="224" t="s">
        <v>2075</v>
      </c>
      <c r="AJ57" s="225">
        <v>2</v>
      </c>
      <c r="AK57" s="224" t="s">
        <v>2076</v>
      </c>
      <c r="AL57" s="224" t="s">
        <v>2139</v>
      </c>
      <c r="AM57" s="224" t="s">
        <v>2099</v>
      </c>
      <c r="AN57" s="224" t="s">
        <v>2140</v>
      </c>
    </row>
    <row r="58" spans="1:40" s="86" customFormat="1" ht="59.25" customHeight="1">
      <c r="A58" s="402">
        <v>154705</v>
      </c>
      <c r="B58" s="89" t="s">
        <v>694</v>
      </c>
      <c r="C58" s="89" t="s">
        <v>141</v>
      </c>
      <c r="D58" s="88">
        <v>1109</v>
      </c>
      <c r="E58" s="88" t="s">
        <v>90</v>
      </c>
      <c r="F58" s="88" t="s">
        <v>55</v>
      </c>
      <c r="G58" s="88" t="s">
        <v>820</v>
      </c>
      <c r="H58" s="88" t="s">
        <v>591</v>
      </c>
      <c r="I58" s="88" t="s">
        <v>41</v>
      </c>
      <c r="J58" s="89" t="s">
        <v>786</v>
      </c>
      <c r="K58" s="103" t="s">
        <v>1402</v>
      </c>
      <c r="L58" s="403" t="s">
        <v>26</v>
      </c>
      <c r="M58" s="199">
        <v>44957</v>
      </c>
      <c r="N58" s="105">
        <v>44221</v>
      </c>
      <c r="O58" s="105"/>
      <c r="P58" s="203" t="s">
        <v>5548</v>
      </c>
      <c r="Q58" s="203" t="s">
        <v>1632</v>
      </c>
      <c r="R58" s="203" t="s">
        <v>1903</v>
      </c>
      <c r="S58" s="203"/>
      <c r="T58" s="87" t="s">
        <v>5710</v>
      </c>
      <c r="U58" s="87" t="s">
        <v>1572</v>
      </c>
      <c r="V58" s="87"/>
      <c r="W58" s="88" t="s">
        <v>1571</v>
      </c>
      <c r="X58" s="249" t="s">
        <v>3702</v>
      </c>
      <c r="Y58" s="88"/>
      <c r="Z58" s="250"/>
      <c r="AA58" s="87" t="s">
        <v>2193</v>
      </c>
      <c r="AB58" s="250" t="s">
        <v>2090</v>
      </c>
      <c r="AC58" s="250"/>
      <c r="AD58" s="250"/>
      <c r="AE58" s="87"/>
      <c r="AF58" s="88" t="s">
        <v>786</v>
      </c>
      <c r="AG58" s="88" t="s">
        <v>2104</v>
      </c>
      <c r="AH58" s="88" t="s">
        <v>2105</v>
      </c>
      <c r="AI58" s="224" t="s">
        <v>2194</v>
      </c>
      <c r="AJ58" s="225">
        <v>2</v>
      </c>
      <c r="AK58" s="224" t="s">
        <v>2107</v>
      </c>
      <c r="AL58" s="224" t="s">
        <v>2195</v>
      </c>
      <c r="AM58" s="224" t="s">
        <v>2196</v>
      </c>
      <c r="AN58" s="224" t="s">
        <v>2197</v>
      </c>
    </row>
    <row r="59" spans="1:40" s="86" customFormat="1" ht="59.25" customHeight="1">
      <c r="A59" s="402">
        <v>154705</v>
      </c>
      <c r="B59" s="89" t="s">
        <v>694</v>
      </c>
      <c r="C59" s="89" t="s">
        <v>141</v>
      </c>
      <c r="D59" s="88">
        <v>1109</v>
      </c>
      <c r="E59" s="88" t="s">
        <v>90</v>
      </c>
      <c r="F59" s="88" t="s">
        <v>55</v>
      </c>
      <c r="G59" s="88" t="s">
        <v>820</v>
      </c>
      <c r="H59" s="88" t="s">
        <v>591</v>
      </c>
      <c r="I59" s="88" t="s">
        <v>40</v>
      </c>
      <c r="J59" s="89" t="s">
        <v>786</v>
      </c>
      <c r="K59" s="103" t="s">
        <v>1402</v>
      </c>
      <c r="L59" s="403" t="s">
        <v>26</v>
      </c>
      <c r="M59" s="199">
        <v>45199</v>
      </c>
      <c r="N59" s="105">
        <v>44287</v>
      </c>
      <c r="O59" s="105"/>
      <c r="P59" s="203" t="s">
        <v>5548</v>
      </c>
      <c r="Q59" s="203" t="s">
        <v>1632</v>
      </c>
      <c r="R59" s="203" t="s">
        <v>1903</v>
      </c>
      <c r="S59" s="203"/>
      <c r="T59" s="87" t="s">
        <v>5710</v>
      </c>
      <c r="U59" s="87" t="s">
        <v>1572</v>
      </c>
      <c r="V59" s="87"/>
      <c r="W59" s="88" t="s">
        <v>1571</v>
      </c>
      <c r="X59" s="249" t="s">
        <v>3702</v>
      </c>
      <c r="Y59" s="88"/>
      <c r="Z59" s="250"/>
      <c r="AA59" s="87" t="s">
        <v>2193</v>
      </c>
      <c r="AB59" s="250" t="s">
        <v>2090</v>
      </c>
      <c r="AC59" s="250"/>
      <c r="AD59" s="250"/>
      <c r="AE59" s="87"/>
      <c r="AF59" s="88" t="s">
        <v>786</v>
      </c>
      <c r="AG59" s="88" t="s">
        <v>2090</v>
      </c>
      <c r="AH59" s="88" t="s">
        <v>2105</v>
      </c>
      <c r="AI59" s="224"/>
      <c r="AJ59" s="225">
        <v>2</v>
      </c>
      <c r="AK59" s="224" t="s">
        <v>2191</v>
      </c>
      <c r="AL59" s="224" t="s">
        <v>2198</v>
      </c>
      <c r="AM59" s="224" t="s">
        <v>2099</v>
      </c>
      <c r="AN59" s="224" t="s">
        <v>2199</v>
      </c>
    </row>
    <row r="60" spans="1:40" s="86" customFormat="1" ht="59.25" customHeight="1">
      <c r="A60" s="402">
        <v>154726</v>
      </c>
      <c r="B60" s="89" t="s">
        <v>2525</v>
      </c>
      <c r="C60" s="89" t="s">
        <v>2526</v>
      </c>
      <c r="D60" s="88">
        <v>65290</v>
      </c>
      <c r="E60" s="88" t="s">
        <v>2527</v>
      </c>
      <c r="F60" s="88" t="s">
        <v>47</v>
      </c>
      <c r="G60" s="88" t="s">
        <v>2528</v>
      </c>
      <c r="H60" s="88" t="s">
        <v>591</v>
      </c>
      <c r="I60" s="88" t="s">
        <v>40</v>
      </c>
      <c r="J60" s="89" t="s">
        <v>1510</v>
      </c>
      <c r="K60" s="103" t="s">
        <v>1402</v>
      </c>
      <c r="L60" s="403" t="s">
        <v>26</v>
      </c>
      <c r="M60" s="199">
        <v>44926</v>
      </c>
      <c r="N60" s="105">
        <v>44161</v>
      </c>
      <c r="O60" s="105"/>
      <c r="P60" s="203" t="s">
        <v>2530</v>
      </c>
      <c r="Q60" s="203" t="s">
        <v>2534</v>
      </c>
      <c r="R60" s="203" t="s">
        <v>1899</v>
      </c>
      <c r="S60" s="203"/>
      <c r="T60" s="87" t="s">
        <v>5711</v>
      </c>
      <c r="U60" s="87" t="s">
        <v>1572</v>
      </c>
      <c r="V60" s="87"/>
      <c r="W60" s="88" t="s">
        <v>1571</v>
      </c>
      <c r="X60" s="249" t="s">
        <v>4291</v>
      </c>
      <c r="Y60" s="88"/>
      <c r="Z60" s="250"/>
      <c r="AA60" s="87" t="s">
        <v>2190</v>
      </c>
      <c r="AB60" s="250" t="s">
        <v>2090</v>
      </c>
      <c r="AC60" s="250"/>
      <c r="AD60" s="250"/>
      <c r="AE60" s="87"/>
      <c r="AF60" s="88" t="s">
        <v>1510</v>
      </c>
      <c r="AG60" s="88" t="s">
        <v>2090</v>
      </c>
      <c r="AH60" s="88" t="s">
        <v>2137</v>
      </c>
      <c r="AI60" s="224" t="s">
        <v>2179</v>
      </c>
      <c r="AJ60" s="225">
        <v>2</v>
      </c>
      <c r="AK60" s="224" t="s">
        <v>2191</v>
      </c>
      <c r="AL60" s="224" t="s">
        <v>2192</v>
      </c>
      <c r="AM60" s="224" t="s">
        <v>2099</v>
      </c>
      <c r="AN60" s="224"/>
    </row>
    <row r="61" spans="1:40" s="86" customFormat="1" ht="59.25" customHeight="1">
      <c r="A61" s="402">
        <v>154780</v>
      </c>
      <c r="B61" s="89" t="s">
        <v>1495</v>
      </c>
      <c r="C61" s="89" t="s">
        <v>1496</v>
      </c>
      <c r="D61" s="88">
        <v>33142</v>
      </c>
      <c r="E61" s="88" t="s">
        <v>110</v>
      </c>
      <c r="F61" s="88" t="s">
        <v>51</v>
      </c>
      <c r="G61" s="88">
        <v>57399</v>
      </c>
      <c r="H61" s="88" t="s">
        <v>591</v>
      </c>
      <c r="I61" s="88" t="s">
        <v>40</v>
      </c>
      <c r="J61" s="89" t="s">
        <v>5280</v>
      </c>
      <c r="K61" s="103" t="s">
        <v>1233</v>
      </c>
      <c r="L61" s="403" t="s">
        <v>26</v>
      </c>
      <c r="M61" s="199">
        <v>45291</v>
      </c>
      <c r="N61" s="105">
        <v>44180</v>
      </c>
      <c r="O61" s="105"/>
      <c r="P61" s="203" t="s">
        <v>4202</v>
      </c>
      <c r="Q61" s="203" t="s">
        <v>1633</v>
      </c>
      <c r="R61" s="203"/>
      <c r="S61" s="203"/>
      <c r="T61" s="87" t="s">
        <v>5712</v>
      </c>
      <c r="U61" s="87" t="s">
        <v>1568</v>
      </c>
      <c r="V61" s="87"/>
      <c r="W61" s="88" t="s">
        <v>1568</v>
      </c>
      <c r="X61" s="249" t="s">
        <v>5581</v>
      </c>
      <c r="Y61" s="88"/>
      <c r="Z61" s="250"/>
      <c r="AA61" s="87" t="s">
        <v>2089</v>
      </c>
      <c r="AB61" s="250" t="s">
        <v>2072</v>
      </c>
      <c r="AC61" s="250"/>
      <c r="AD61" s="250"/>
      <c r="AE61" s="87"/>
      <c r="AF61" s="88" t="s">
        <v>5280</v>
      </c>
      <c r="AG61" s="88" t="s">
        <v>2092</v>
      </c>
      <c r="AH61" s="88" t="s">
        <v>2074</v>
      </c>
      <c r="AI61" s="224"/>
      <c r="AJ61" s="225">
        <v>4</v>
      </c>
      <c r="AK61" s="224" t="s">
        <v>2085</v>
      </c>
      <c r="AL61" s="224" t="s">
        <v>4217</v>
      </c>
      <c r="AM61" s="224"/>
      <c r="AN61" s="224"/>
    </row>
    <row r="62" spans="1:40" s="86" customFormat="1" ht="59.25" customHeight="1">
      <c r="A62" s="402">
        <v>154799</v>
      </c>
      <c r="B62" s="89" t="s">
        <v>1187</v>
      </c>
      <c r="C62" s="89" t="s">
        <v>1188</v>
      </c>
      <c r="D62" s="88">
        <v>49512</v>
      </c>
      <c r="E62" s="88" t="s">
        <v>422</v>
      </c>
      <c r="F62" s="88" t="s">
        <v>51</v>
      </c>
      <c r="G62" s="88">
        <v>17472</v>
      </c>
      <c r="H62" s="88" t="s">
        <v>591</v>
      </c>
      <c r="I62" s="88" t="s">
        <v>40</v>
      </c>
      <c r="J62" s="89" t="s">
        <v>5279</v>
      </c>
      <c r="K62" s="103" t="s">
        <v>1402</v>
      </c>
      <c r="L62" s="403" t="s">
        <v>26</v>
      </c>
      <c r="M62" s="199">
        <v>45291</v>
      </c>
      <c r="N62" s="105">
        <v>44547</v>
      </c>
      <c r="O62" s="105"/>
      <c r="P62" s="203" t="s">
        <v>4811</v>
      </c>
      <c r="Q62" s="203" t="s">
        <v>1634</v>
      </c>
      <c r="R62" s="203" t="s">
        <v>1885</v>
      </c>
      <c r="S62" s="203"/>
      <c r="T62" s="87" t="s">
        <v>5490</v>
      </c>
      <c r="U62" s="87" t="s">
        <v>1568</v>
      </c>
      <c r="V62" s="87"/>
      <c r="W62" s="88" t="s">
        <v>1568</v>
      </c>
      <c r="X62" s="249" t="s">
        <v>5441</v>
      </c>
      <c r="Y62" s="88"/>
      <c r="Z62" s="250"/>
      <c r="AA62" s="87" t="s">
        <v>2100</v>
      </c>
      <c r="AB62" s="250" t="s">
        <v>2072</v>
      </c>
      <c r="AC62" s="250"/>
      <c r="AD62" s="250"/>
      <c r="AE62" s="87"/>
      <c r="AF62" s="88" t="s">
        <v>5279</v>
      </c>
      <c r="AG62" s="88" t="s">
        <v>2073</v>
      </c>
      <c r="AH62" s="88" t="s">
        <v>2074</v>
      </c>
      <c r="AI62" s="224" t="s">
        <v>2075</v>
      </c>
      <c r="AJ62" s="225">
        <v>2</v>
      </c>
      <c r="AK62" s="224" t="s">
        <v>2076</v>
      </c>
      <c r="AL62" s="224" t="s">
        <v>2101</v>
      </c>
      <c r="AM62" s="224" t="s">
        <v>2099</v>
      </c>
      <c r="AN62" s="224"/>
    </row>
    <row r="63" spans="1:40" s="86" customFormat="1" ht="59.25" customHeight="1">
      <c r="A63" s="402">
        <v>154804</v>
      </c>
      <c r="B63" s="89" t="s">
        <v>1221</v>
      </c>
      <c r="C63" s="89" t="s">
        <v>1222</v>
      </c>
      <c r="D63" s="88" t="s">
        <v>1223</v>
      </c>
      <c r="E63" s="88" t="s">
        <v>1224</v>
      </c>
      <c r="F63" s="88" t="s">
        <v>51</v>
      </c>
      <c r="G63" s="88">
        <v>2750</v>
      </c>
      <c r="H63" s="88" t="s">
        <v>591</v>
      </c>
      <c r="I63" s="88" t="s">
        <v>40</v>
      </c>
      <c r="J63" s="89" t="s">
        <v>5279</v>
      </c>
      <c r="K63" s="103" t="s">
        <v>1402</v>
      </c>
      <c r="L63" s="403" t="s">
        <v>26</v>
      </c>
      <c r="M63" s="199">
        <v>45291</v>
      </c>
      <c r="N63" s="105">
        <v>44547</v>
      </c>
      <c r="O63" s="105"/>
      <c r="P63" s="203" t="s">
        <v>6017</v>
      </c>
      <c r="Q63" s="203" t="s">
        <v>1635</v>
      </c>
      <c r="R63" s="203" t="s">
        <v>1904</v>
      </c>
      <c r="S63" s="203"/>
      <c r="T63" s="87" t="s">
        <v>5713</v>
      </c>
      <c r="U63" s="87" t="s">
        <v>1568</v>
      </c>
      <c r="V63" s="87"/>
      <c r="W63" s="88" t="s">
        <v>1568</v>
      </c>
      <c r="X63" s="249" t="s">
        <v>3704</v>
      </c>
      <c r="Y63" s="88"/>
      <c r="Z63" s="250"/>
      <c r="AA63" s="87" t="s">
        <v>2100</v>
      </c>
      <c r="AB63" s="250" t="s">
        <v>2072</v>
      </c>
      <c r="AC63" s="250"/>
      <c r="AD63" s="250"/>
      <c r="AE63" s="87"/>
      <c r="AF63" s="88" t="s">
        <v>5279</v>
      </c>
      <c r="AG63" s="88" t="s">
        <v>2073</v>
      </c>
      <c r="AH63" s="88" t="s">
        <v>2074</v>
      </c>
      <c r="AI63" s="224" t="s">
        <v>2075</v>
      </c>
      <c r="AJ63" s="225">
        <v>2</v>
      </c>
      <c r="AK63" s="224" t="s">
        <v>2076</v>
      </c>
      <c r="AL63" s="224" t="s">
        <v>2101</v>
      </c>
      <c r="AM63" s="224" t="s">
        <v>2099</v>
      </c>
      <c r="AN63" s="224"/>
    </row>
    <row r="64" spans="1:40" s="86" customFormat="1" ht="59.25" customHeight="1">
      <c r="A64" s="402">
        <v>154822</v>
      </c>
      <c r="B64" s="89" t="s">
        <v>142</v>
      </c>
      <c r="C64" s="89" t="s">
        <v>143</v>
      </c>
      <c r="D64" s="88" t="s">
        <v>144</v>
      </c>
      <c r="E64" s="88" t="s">
        <v>145</v>
      </c>
      <c r="F64" s="88" t="s">
        <v>51</v>
      </c>
      <c r="G64" s="88">
        <v>62983</v>
      </c>
      <c r="H64" s="88" t="s">
        <v>591</v>
      </c>
      <c r="I64" s="88" t="s">
        <v>40</v>
      </c>
      <c r="J64" s="89" t="s">
        <v>5279</v>
      </c>
      <c r="K64" s="103" t="s">
        <v>1402</v>
      </c>
      <c r="L64" s="403" t="s">
        <v>26</v>
      </c>
      <c r="M64" s="199">
        <v>45291</v>
      </c>
      <c r="N64" s="105">
        <v>44547</v>
      </c>
      <c r="O64" s="105"/>
      <c r="P64" s="203" t="s">
        <v>6018</v>
      </c>
      <c r="Q64" s="203" t="s">
        <v>1636</v>
      </c>
      <c r="R64" s="203"/>
      <c r="S64" s="203"/>
      <c r="T64" s="87" t="s">
        <v>5714</v>
      </c>
      <c r="U64" s="87" t="s">
        <v>1569</v>
      </c>
      <c r="V64" s="87"/>
      <c r="W64" s="88" t="s">
        <v>1568</v>
      </c>
      <c r="X64" s="249" t="s">
        <v>3706</v>
      </c>
      <c r="Y64" s="88"/>
      <c r="Z64" s="250"/>
      <c r="AA64" s="87" t="s">
        <v>2100</v>
      </c>
      <c r="AB64" s="250" t="s">
        <v>2072</v>
      </c>
      <c r="AC64" s="250"/>
      <c r="AD64" s="250"/>
      <c r="AE64" s="87"/>
      <c r="AF64" s="88" t="s">
        <v>5279</v>
      </c>
      <c r="AG64" s="88" t="s">
        <v>2073</v>
      </c>
      <c r="AH64" s="88" t="s">
        <v>2074</v>
      </c>
      <c r="AI64" s="224" t="s">
        <v>2075</v>
      </c>
      <c r="AJ64" s="225">
        <v>2</v>
      </c>
      <c r="AK64" s="224" t="s">
        <v>2076</v>
      </c>
      <c r="AL64" s="224" t="s">
        <v>2101</v>
      </c>
      <c r="AM64" s="224" t="s">
        <v>2099</v>
      </c>
      <c r="AN64" s="224"/>
    </row>
    <row r="65" spans="1:40" s="86" customFormat="1" ht="59.25" customHeight="1">
      <c r="A65" s="402">
        <v>154827</v>
      </c>
      <c r="B65" s="89" t="s">
        <v>5251</v>
      </c>
      <c r="C65" s="89" t="s">
        <v>5252</v>
      </c>
      <c r="D65" s="88">
        <v>82205</v>
      </c>
      <c r="E65" s="88" t="s">
        <v>88</v>
      </c>
      <c r="F65" s="88" t="s">
        <v>55</v>
      </c>
      <c r="G65" s="88" t="s">
        <v>5253</v>
      </c>
      <c r="H65" s="88" t="s">
        <v>1194</v>
      </c>
      <c r="I65" s="88" t="s">
        <v>40</v>
      </c>
      <c r="J65" s="89" t="s">
        <v>5279</v>
      </c>
      <c r="K65" s="103"/>
      <c r="L65" s="403" t="s">
        <v>26</v>
      </c>
      <c r="M65" s="199">
        <v>44926</v>
      </c>
      <c r="N65" s="105"/>
      <c r="O65" s="105">
        <v>44926</v>
      </c>
      <c r="P65" s="203"/>
      <c r="Q65" s="203"/>
      <c r="R65" s="203" t="s">
        <v>5261</v>
      </c>
      <c r="S65" s="203"/>
      <c r="T65" s="87"/>
      <c r="U65" s="87"/>
      <c r="V65" s="87"/>
      <c r="W65" s="88"/>
      <c r="X65" s="249"/>
      <c r="Y65" s="88"/>
      <c r="Z65" s="250"/>
      <c r="AA65" s="87" t="s">
        <v>2100</v>
      </c>
      <c r="AB65" s="250" t="s">
        <v>2072</v>
      </c>
      <c r="AC65" s="250"/>
      <c r="AD65" s="250"/>
      <c r="AE65" s="87"/>
      <c r="AF65" s="88" t="s">
        <v>5279</v>
      </c>
      <c r="AG65" s="88" t="s">
        <v>2073</v>
      </c>
      <c r="AH65" s="88" t="s">
        <v>2074</v>
      </c>
      <c r="AI65" s="224" t="s">
        <v>2075</v>
      </c>
      <c r="AJ65" s="225">
        <v>2</v>
      </c>
      <c r="AK65" s="224" t="s">
        <v>2076</v>
      </c>
      <c r="AL65" s="224" t="s">
        <v>2101</v>
      </c>
      <c r="AM65" s="224" t="s">
        <v>2099</v>
      </c>
      <c r="AN65" s="224"/>
    </row>
    <row r="66" spans="1:40" s="86" customFormat="1" ht="59.25" customHeight="1">
      <c r="A66" s="402">
        <v>155695</v>
      </c>
      <c r="B66" s="89" t="s">
        <v>604</v>
      </c>
      <c r="C66" s="89" t="s">
        <v>146</v>
      </c>
      <c r="D66" s="88" t="s">
        <v>605</v>
      </c>
      <c r="E66" s="88" t="s">
        <v>147</v>
      </c>
      <c r="F66" s="88" t="s">
        <v>51</v>
      </c>
      <c r="G66" s="88">
        <v>8748</v>
      </c>
      <c r="H66" s="88" t="s">
        <v>591</v>
      </c>
      <c r="I66" s="88" t="s">
        <v>40</v>
      </c>
      <c r="J66" s="89" t="s">
        <v>1421</v>
      </c>
      <c r="K66" s="103" t="s">
        <v>1402</v>
      </c>
      <c r="L66" s="403" t="s">
        <v>26</v>
      </c>
      <c r="M66" s="199">
        <v>44926</v>
      </c>
      <c r="N66" s="105">
        <v>44180</v>
      </c>
      <c r="O66" s="105"/>
      <c r="P66" s="203" t="s">
        <v>5605</v>
      </c>
      <c r="Q66" s="203" t="s">
        <v>1637</v>
      </c>
      <c r="R66" s="203" t="s">
        <v>1905</v>
      </c>
      <c r="S66" s="203"/>
      <c r="T66" s="87" t="s">
        <v>5715</v>
      </c>
      <c r="U66" s="87" t="s">
        <v>1568</v>
      </c>
      <c r="V66" s="87" t="s">
        <v>1575</v>
      </c>
      <c r="W66" s="88" t="s">
        <v>1568</v>
      </c>
      <c r="X66" s="249" t="s">
        <v>5988</v>
      </c>
      <c r="Y66" s="88"/>
      <c r="Z66" s="250"/>
      <c r="AA66" s="87" t="s">
        <v>604</v>
      </c>
      <c r="AB66" s="250" t="s">
        <v>2072</v>
      </c>
      <c r="AC66" s="250"/>
      <c r="AD66" s="250"/>
      <c r="AE66" s="87"/>
      <c r="AF66" s="88" t="s">
        <v>1421</v>
      </c>
      <c r="AG66" s="88" t="s">
        <v>2073</v>
      </c>
      <c r="AH66" s="88" t="s">
        <v>2116</v>
      </c>
      <c r="AI66" s="224" t="s">
        <v>2075</v>
      </c>
      <c r="AJ66" s="225">
        <v>3</v>
      </c>
      <c r="AK66" s="224" t="s">
        <v>2076</v>
      </c>
      <c r="AL66" s="224" t="s">
        <v>2200</v>
      </c>
      <c r="AM66" s="224" t="s">
        <v>2099</v>
      </c>
      <c r="AN66" s="224"/>
    </row>
    <row r="67" spans="1:40" s="86" customFormat="1" ht="59.25" customHeight="1">
      <c r="A67" s="402">
        <v>155870</v>
      </c>
      <c r="B67" s="89" t="s">
        <v>148</v>
      </c>
      <c r="C67" s="89" t="s">
        <v>149</v>
      </c>
      <c r="D67" s="88">
        <v>85053</v>
      </c>
      <c r="E67" s="88" t="s">
        <v>150</v>
      </c>
      <c r="F67" s="88" t="s">
        <v>55</v>
      </c>
      <c r="G67" s="88" t="s">
        <v>821</v>
      </c>
      <c r="H67" s="88" t="s">
        <v>591</v>
      </c>
      <c r="I67" s="88" t="s">
        <v>40</v>
      </c>
      <c r="J67" s="89" t="s">
        <v>1277</v>
      </c>
      <c r="K67" s="103" t="s">
        <v>1402</v>
      </c>
      <c r="L67" s="403" t="s">
        <v>26</v>
      </c>
      <c r="M67" s="199">
        <v>45535</v>
      </c>
      <c r="N67" s="105">
        <v>44438</v>
      </c>
      <c r="O67" s="105"/>
      <c r="P67" s="203" t="s">
        <v>1490</v>
      </c>
      <c r="Q67" s="203" t="s">
        <v>1638</v>
      </c>
      <c r="R67" s="203" t="s">
        <v>1906</v>
      </c>
      <c r="S67" s="203"/>
      <c r="T67" s="87" t="s">
        <v>4503</v>
      </c>
      <c r="U67" s="87" t="s">
        <v>1574</v>
      </c>
      <c r="V67" s="87"/>
      <c r="W67" s="88" t="s">
        <v>1568</v>
      </c>
      <c r="X67" s="249" t="s">
        <v>4496</v>
      </c>
      <c r="Y67" s="88" t="s">
        <v>2034</v>
      </c>
      <c r="Z67" s="250"/>
      <c r="AA67" s="87" t="s">
        <v>148</v>
      </c>
      <c r="AB67" s="250" t="s">
        <v>2072</v>
      </c>
      <c r="AC67" s="250"/>
      <c r="AD67" s="250"/>
      <c r="AE67" s="87"/>
      <c r="AF67" s="88" t="s">
        <v>1277</v>
      </c>
      <c r="AG67" s="88" t="s">
        <v>2073</v>
      </c>
      <c r="AH67" s="88" t="s">
        <v>2113</v>
      </c>
      <c r="AI67" s="224"/>
      <c r="AJ67" s="225">
        <v>4</v>
      </c>
      <c r="AK67" s="224" t="s">
        <v>2085</v>
      </c>
      <c r="AL67" s="224" t="s">
        <v>2201</v>
      </c>
      <c r="AM67" s="224"/>
      <c r="AN67" s="224"/>
    </row>
    <row r="68" spans="1:40" s="86" customFormat="1" ht="59.25" customHeight="1">
      <c r="A68" s="402">
        <v>156442</v>
      </c>
      <c r="B68" s="89" t="s">
        <v>152</v>
      </c>
      <c r="C68" s="89" t="s">
        <v>153</v>
      </c>
      <c r="D68" s="88">
        <v>35824</v>
      </c>
      <c r="E68" s="88" t="s">
        <v>154</v>
      </c>
      <c r="F68" s="88" t="s">
        <v>51</v>
      </c>
      <c r="G68" s="88" t="s">
        <v>822</v>
      </c>
      <c r="H68" s="88" t="s">
        <v>591</v>
      </c>
      <c r="I68" s="88" t="s">
        <v>40</v>
      </c>
      <c r="J68" s="89" t="s">
        <v>5450</v>
      </c>
      <c r="K68" s="103" t="s">
        <v>1402</v>
      </c>
      <c r="L68" s="403" t="s">
        <v>26</v>
      </c>
      <c r="M68" s="199">
        <v>45322</v>
      </c>
      <c r="N68" s="105">
        <v>44221</v>
      </c>
      <c r="O68" s="105"/>
      <c r="P68" s="203" t="s">
        <v>5455</v>
      </c>
      <c r="Q68" s="203" t="s">
        <v>5471</v>
      </c>
      <c r="R68" s="203" t="s">
        <v>1907</v>
      </c>
      <c r="S68" s="203"/>
      <c r="T68" s="87" t="s">
        <v>4795</v>
      </c>
      <c r="U68" s="87" t="s">
        <v>1578</v>
      </c>
      <c r="V68" s="87"/>
      <c r="W68" s="88" t="s">
        <v>1568</v>
      </c>
      <c r="X68" s="249" t="s">
        <v>3708</v>
      </c>
      <c r="Y68" s="88"/>
      <c r="Z68" s="250"/>
      <c r="AA68" s="87" t="s">
        <v>152</v>
      </c>
      <c r="AB68" s="250" t="s">
        <v>2072</v>
      </c>
      <c r="AC68" s="250"/>
      <c r="AD68" s="250"/>
      <c r="AE68" s="87"/>
      <c r="AF68" s="88" t="s">
        <v>4441</v>
      </c>
      <c r="AG68" s="88" t="s">
        <v>2073</v>
      </c>
      <c r="AH68" s="88" t="s">
        <v>2113</v>
      </c>
      <c r="AI68" s="224"/>
      <c r="AJ68" s="225">
        <v>3</v>
      </c>
      <c r="AK68" s="224" t="s">
        <v>2085</v>
      </c>
      <c r="AL68" s="224" t="s">
        <v>2202</v>
      </c>
      <c r="AM68" s="224" t="s">
        <v>2099</v>
      </c>
      <c r="AN68" s="224"/>
    </row>
    <row r="69" spans="1:40" s="86" customFormat="1" ht="59.25" customHeight="1">
      <c r="A69" s="402">
        <v>156721</v>
      </c>
      <c r="B69" s="89" t="s">
        <v>1468</v>
      </c>
      <c r="C69" s="89" t="s">
        <v>1173</v>
      </c>
      <c r="D69" s="88">
        <v>79180</v>
      </c>
      <c r="E69" s="88" t="s">
        <v>1174</v>
      </c>
      <c r="F69" s="88" t="s">
        <v>47</v>
      </c>
      <c r="G69" s="88" t="s">
        <v>621</v>
      </c>
      <c r="H69" s="88" t="s">
        <v>591</v>
      </c>
      <c r="I69" s="88" t="s">
        <v>40</v>
      </c>
      <c r="J69" s="89" t="s">
        <v>5280</v>
      </c>
      <c r="K69" s="103" t="s">
        <v>5218</v>
      </c>
      <c r="L69" s="403" t="s">
        <v>26</v>
      </c>
      <c r="M69" s="199">
        <v>45382</v>
      </c>
      <c r="N69" s="105">
        <v>44649</v>
      </c>
      <c r="O69" s="105"/>
      <c r="P69" s="203" t="s">
        <v>5549</v>
      </c>
      <c r="Q69" s="203" t="s">
        <v>1639</v>
      </c>
      <c r="R69" s="203" t="s">
        <v>1908</v>
      </c>
      <c r="S69" s="203"/>
      <c r="T69" s="87" t="s">
        <v>5716</v>
      </c>
      <c r="U69" s="87" t="s">
        <v>1569</v>
      </c>
      <c r="V69" s="87"/>
      <c r="W69" s="88" t="s">
        <v>1568</v>
      </c>
      <c r="X69" s="249" t="s">
        <v>3710</v>
      </c>
      <c r="Y69" s="88"/>
      <c r="Z69" s="250"/>
      <c r="AA69" s="87" t="s">
        <v>1468</v>
      </c>
      <c r="AB69" s="250" t="s">
        <v>2072</v>
      </c>
      <c r="AC69" s="250"/>
      <c r="AD69" s="250"/>
      <c r="AE69" s="87"/>
      <c r="AF69" s="88" t="s">
        <v>5280</v>
      </c>
      <c r="AG69" s="88" t="s">
        <v>2073</v>
      </c>
      <c r="AH69" s="88"/>
      <c r="AI69" s="224" t="s">
        <v>2075</v>
      </c>
      <c r="AJ69" s="225">
        <v>3</v>
      </c>
      <c r="AK69" s="224" t="s">
        <v>2076</v>
      </c>
      <c r="AL69" s="224" t="s">
        <v>2203</v>
      </c>
      <c r="AM69" s="224" t="s">
        <v>2099</v>
      </c>
      <c r="AN69" s="224"/>
    </row>
    <row r="70" spans="1:40" s="86" customFormat="1" ht="59.25" customHeight="1">
      <c r="A70" s="402">
        <v>157178</v>
      </c>
      <c r="B70" s="89" t="s">
        <v>5893</v>
      </c>
      <c r="C70" s="89" t="s">
        <v>1066</v>
      </c>
      <c r="D70" s="88">
        <v>22880</v>
      </c>
      <c r="E70" s="88" t="s">
        <v>155</v>
      </c>
      <c r="F70" s="88" t="s">
        <v>55</v>
      </c>
      <c r="G70" s="88" t="s">
        <v>823</v>
      </c>
      <c r="H70" s="88" t="s">
        <v>591</v>
      </c>
      <c r="I70" s="88" t="s">
        <v>40</v>
      </c>
      <c r="J70" s="89" t="s">
        <v>5280</v>
      </c>
      <c r="K70" s="103" t="s">
        <v>1402</v>
      </c>
      <c r="L70" s="403" t="s">
        <v>26</v>
      </c>
      <c r="M70" s="199">
        <v>45199</v>
      </c>
      <c r="N70" s="105">
        <v>44091</v>
      </c>
      <c r="O70" s="105"/>
      <c r="P70" s="203" t="s">
        <v>5606</v>
      </c>
      <c r="Q70" s="203" t="s">
        <v>1640</v>
      </c>
      <c r="R70" s="203" t="s">
        <v>1909</v>
      </c>
      <c r="S70" s="203"/>
      <c r="T70" s="87" t="s">
        <v>5491</v>
      </c>
      <c r="U70" s="87" t="s">
        <v>1569</v>
      </c>
      <c r="V70" s="87"/>
      <c r="W70" s="88" t="s">
        <v>1568</v>
      </c>
      <c r="X70" s="249" t="s">
        <v>5422</v>
      </c>
      <c r="Y70" s="88" t="s">
        <v>2036</v>
      </c>
      <c r="Z70" s="250"/>
      <c r="AA70" s="87" t="s">
        <v>2204</v>
      </c>
      <c r="AB70" s="250" t="s">
        <v>2072</v>
      </c>
      <c r="AC70" s="250"/>
      <c r="AD70" s="250"/>
      <c r="AE70" s="87"/>
      <c r="AF70" s="88" t="s">
        <v>5280</v>
      </c>
      <c r="AG70" s="88" t="s">
        <v>2073</v>
      </c>
      <c r="AH70" s="88" t="s">
        <v>2116</v>
      </c>
      <c r="AI70" s="224"/>
      <c r="AJ70" s="225">
        <v>4</v>
      </c>
      <c r="AK70" s="224" t="s">
        <v>2076</v>
      </c>
      <c r="AL70" s="224" t="s">
        <v>2205</v>
      </c>
      <c r="AM70" s="224" t="s">
        <v>2099</v>
      </c>
      <c r="AN70" s="224" t="s">
        <v>2206</v>
      </c>
    </row>
    <row r="71" spans="1:40" s="86" customFormat="1" ht="59.25" customHeight="1">
      <c r="A71" s="402">
        <v>157485</v>
      </c>
      <c r="B71" s="89" t="s">
        <v>156</v>
      </c>
      <c r="C71" s="89" t="s">
        <v>157</v>
      </c>
      <c r="D71" s="88">
        <v>86609</v>
      </c>
      <c r="E71" s="88" t="s">
        <v>158</v>
      </c>
      <c r="F71" s="88" t="s">
        <v>55</v>
      </c>
      <c r="G71" s="88" t="s">
        <v>824</v>
      </c>
      <c r="H71" s="88" t="s">
        <v>591</v>
      </c>
      <c r="I71" s="88" t="s">
        <v>40</v>
      </c>
      <c r="J71" s="89" t="s">
        <v>1421</v>
      </c>
      <c r="K71" s="103" t="s">
        <v>1402</v>
      </c>
      <c r="L71" s="403" t="s">
        <v>26</v>
      </c>
      <c r="M71" s="199">
        <v>45596</v>
      </c>
      <c r="N71" s="105">
        <v>44491</v>
      </c>
      <c r="O71" s="105"/>
      <c r="P71" s="203" t="s">
        <v>5125</v>
      </c>
      <c r="Q71" s="203" t="s">
        <v>1641</v>
      </c>
      <c r="R71" s="203" t="s">
        <v>1910</v>
      </c>
      <c r="S71" s="203"/>
      <c r="T71" s="87" t="s">
        <v>5421</v>
      </c>
      <c r="U71" s="87" t="s">
        <v>1569</v>
      </c>
      <c r="V71" s="87"/>
      <c r="W71" s="88" t="s">
        <v>1568</v>
      </c>
      <c r="X71" s="249" t="s">
        <v>3713</v>
      </c>
      <c r="Y71" s="88"/>
      <c r="Z71" s="250"/>
      <c r="AA71" s="87" t="s">
        <v>2136</v>
      </c>
      <c r="AB71" s="250" t="s">
        <v>2072</v>
      </c>
      <c r="AC71" s="250"/>
      <c r="AD71" s="250"/>
      <c r="AE71" s="87"/>
      <c r="AF71" s="88" t="s">
        <v>1421</v>
      </c>
      <c r="AG71" s="88" t="s">
        <v>2143</v>
      </c>
      <c r="AH71" s="88" t="s">
        <v>2137</v>
      </c>
      <c r="AI71" s="224"/>
      <c r="AJ71" s="225">
        <v>3</v>
      </c>
      <c r="AK71" s="224" t="s">
        <v>2144</v>
      </c>
      <c r="AL71" s="224"/>
      <c r="AM71" s="224"/>
      <c r="AN71" s="224"/>
    </row>
    <row r="72" spans="1:40" s="86" customFormat="1" ht="59.25" customHeight="1">
      <c r="A72" s="402">
        <v>159338</v>
      </c>
      <c r="B72" s="89" t="s">
        <v>160</v>
      </c>
      <c r="C72" s="89" t="s">
        <v>161</v>
      </c>
      <c r="D72" s="88">
        <v>4910</v>
      </c>
      <c r="E72" s="88" t="s">
        <v>162</v>
      </c>
      <c r="F72" s="88" t="s">
        <v>163</v>
      </c>
      <c r="G72" s="88" t="s">
        <v>825</v>
      </c>
      <c r="H72" s="88" t="s">
        <v>591</v>
      </c>
      <c r="I72" s="88" t="s">
        <v>40</v>
      </c>
      <c r="J72" s="89" t="s">
        <v>1288</v>
      </c>
      <c r="K72" s="103" t="s">
        <v>1233</v>
      </c>
      <c r="L72" s="403" t="s">
        <v>26</v>
      </c>
      <c r="M72" s="199">
        <v>45504</v>
      </c>
      <c r="N72" s="105">
        <v>44404</v>
      </c>
      <c r="O72" s="105"/>
      <c r="P72" s="203" t="s">
        <v>5415</v>
      </c>
      <c r="Q72" s="203" t="s">
        <v>1642</v>
      </c>
      <c r="R72" s="203" t="s">
        <v>1911</v>
      </c>
      <c r="S72" s="203"/>
      <c r="T72" s="87" t="s">
        <v>5717</v>
      </c>
      <c r="U72" s="87" t="s">
        <v>1572</v>
      </c>
      <c r="V72" s="87"/>
      <c r="W72" s="88" t="s">
        <v>1571</v>
      </c>
      <c r="X72" s="249" t="s">
        <v>4497</v>
      </c>
      <c r="Y72" s="88"/>
      <c r="Z72" s="250"/>
      <c r="AA72" s="87" t="s">
        <v>160</v>
      </c>
      <c r="AB72" s="250" t="s">
        <v>2072</v>
      </c>
      <c r="AC72" s="250"/>
      <c r="AD72" s="250"/>
      <c r="AE72" s="87"/>
      <c r="AF72" s="88" t="s">
        <v>1288</v>
      </c>
      <c r="AG72" s="88" t="s">
        <v>2143</v>
      </c>
      <c r="AH72" s="88" t="s">
        <v>2137</v>
      </c>
      <c r="AI72" s="224"/>
      <c r="AJ72" s="225">
        <v>3</v>
      </c>
      <c r="AK72" s="224" t="s">
        <v>2144</v>
      </c>
      <c r="AL72" s="224" t="s">
        <v>2207</v>
      </c>
      <c r="AM72" s="224" t="s">
        <v>2087</v>
      </c>
      <c r="AN72" s="224"/>
    </row>
    <row r="73" spans="1:40" s="86" customFormat="1" ht="59.25" customHeight="1">
      <c r="A73" s="402">
        <v>159846</v>
      </c>
      <c r="B73" s="89" t="s">
        <v>1170</v>
      </c>
      <c r="C73" s="89" t="s">
        <v>164</v>
      </c>
      <c r="D73" s="88" t="s">
        <v>165</v>
      </c>
      <c r="E73" s="88" t="s">
        <v>166</v>
      </c>
      <c r="F73" s="88" t="s">
        <v>97</v>
      </c>
      <c r="G73" s="88" t="s">
        <v>1171</v>
      </c>
      <c r="H73" s="88" t="s">
        <v>591</v>
      </c>
      <c r="I73" s="88" t="s">
        <v>40</v>
      </c>
      <c r="J73" s="89" t="s">
        <v>1510</v>
      </c>
      <c r="K73" s="103" t="s">
        <v>1233</v>
      </c>
      <c r="L73" s="403" t="s">
        <v>26</v>
      </c>
      <c r="M73" s="199">
        <v>45107</v>
      </c>
      <c r="N73" s="105">
        <v>44441</v>
      </c>
      <c r="O73" s="105"/>
      <c r="P73" s="203" t="s">
        <v>4555</v>
      </c>
      <c r="Q73" s="203" t="s">
        <v>1643</v>
      </c>
      <c r="R73" s="203" t="s">
        <v>1912</v>
      </c>
      <c r="S73" s="203"/>
      <c r="T73" s="87" t="s">
        <v>1538</v>
      </c>
      <c r="U73" s="87" t="s">
        <v>1571</v>
      </c>
      <c r="V73" s="87"/>
      <c r="W73" s="88" t="s">
        <v>1571</v>
      </c>
      <c r="X73" s="249" t="s">
        <v>3715</v>
      </c>
      <c r="Y73" s="88"/>
      <c r="Z73" s="250"/>
      <c r="AA73" s="87" t="s">
        <v>1170</v>
      </c>
      <c r="AB73" s="250" t="s">
        <v>2090</v>
      </c>
      <c r="AC73" s="250"/>
      <c r="AD73" s="250"/>
      <c r="AE73" s="87"/>
      <c r="AF73" s="88" t="s">
        <v>1510</v>
      </c>
      <c r="AG73" s="88" t="s">
        <v>2090</v>
      </c>
      <c r="AH73" s="88" t="s">
        <v>2137</v>
      </c>
      <c r="AI73" s="224" t="s">
        <v>2179</v>
      </c>
      <c r="AJ73" s="225">
        <v>2</v>
      </c>
      <c r="AK73" s="224" t="s">
        <v>2191</v>
      </c>
      <c r="AL73" s="224" t="s">
        <v>2497</v>
      </c>
      <c r="AM73" s="224" t="s">
        <v>2099</v>
      </c>
      <c r="AN73" s="224" t="s">
        <v>2208</v>
      </c>
    </row>
    <row r="74" spans="1:40" s="86" customFormat="1" ht="59.25" customHeight="1">
      <c r="A74" s="402">
        <v>159850</v>
      </c>
      <c r="B74" s="89" t="s">
        <v>1436</v>
      </c>
      <c r="C74" s="89" t="s">
        <v>1437</v>
      </c>
      <c r="D74" s="88" t="s">
        <v>165</v>
      </c>
      <c r="E74" s="88" t="s">
        <v>166</v>
      </c>
      <c r="F74" s="88" t="s">
        <v>97</v>
      </c>
      <c r="G74" s="88" t="s">
        <v>1438</v>
      </c>
      <c r="H74" s="88" t="s">
        <v>591</v>
      </c>
      <c r="I74" s="88" t="s">
        <v>40</v>
      </c>
      <c r="J74" s="89" t="s">
        <v>1510</v>
      </c>
      <c r="K74" s="103" t="s">
        <v>1233</v>
      </c>
      <c r="L74" s="403" t="s">
        <v>26</v>
      </c>
      <c r="M74" s="199">
        <v>45107</v>
      </c>
      <c r="N74" s="105">
        <v>44179</v>
      </c>
      <c r="O74" s="105"/>
      <c r="P74" s="203" t="s">
        <v>4263</v>
      </c>
      <c r="Q74" s="203" t="s">
        <v>1644</v>
      </c>
      <c r="R74" s="203" t="s">
        <v>1913</v>
      </c>
      <c r="S74" s="203"/>
      <c r="T74" s="87" t="s">
        <v>5718</v>
      </c>
      <c r="U74" s="87" t="s">
        <v>1569</v>
      </c>
      <c r="V74" s="87"/>
      <c r="W74" s="88" t="s">
        <v>1568</v>
      </c>
      <c r="X74" s="249" t="s">
        <v>5267</v>
      </c>
      <c r="Y74" s="88"/>
      <c r="Z74" s="250" t="s">
        <v>4196</v>
      </c>
      <c r="AA74" s="87" t="s">
        <v>1170</v>
      </c>
      <c r="AB74" s="250" t="s">
        <v>2072</v>
      </c>
      <c r="AC74" s="250" t="s">
        <v>2544</v>
      </c>
      <c r="AD74" s="250"/>
      <c r="AE74" s="87" t="s">
        <v>4196</v>
      </c>
      <c r="AF74" s="88" t="s">
        <v>1510</v>
      </c>
      <c r="AG74" s="88" t="s">
        <v>2090</v>
      </c>
      <c r="AH74" s="88" t="s">
        <v>2137</v>
      </c>
      <c r="AI74" s="224" t="s">
        <v>2179</v>
      </c>
      <c r="AJ74" s="225">
        <v>2</v>
      </c>
      <c r="AK74" s="224" t="s">
        <v>2191</v>
      </c>
      <c r="AL74" s="224" t="s">
        <v>2497</v>
      </c>
      <c r="AM74" s="224" t="s">
        <v>2099</v>
      </c>
      <c r="AN74" s="224" t="s">
        <v>2208</v>
      </c>
    </row>
    <row r="75" spans="1:40" s="86" customFormat="1" ht="59.25" customHeight="1">
      <c r="A75" s="402">
        <v>160225</v>
      </c>
      <c r="B75" s="89" t="s">
        <v>167</v>
      </c>
      <c r="C75" s="89" t="s">
        <v>168</v>
      </c>
      <c r="D75" s="88" t="s">
        <v>169</v>
      </c>
      <c r="E75" s="88" t="s">
        <v>170</v>
      </c>
      <c r="F75" s="88" t="s">
        <v>45</v>
      </c>
      <c r="G75" s="88" t="s">
        <v>826</v>
      </c>
      <c r="H75" s="88" t="s">
        <v>591</v>
      </c>
      <c r="I75" s="88" t="s">
        <v>40</v>
      </c>
      <c r="J75" s="89" t="s">
        <v>5279</v>
      </c>
      <c r="K75" s="103" t="s">
        <v>1402</v>
      </c>
      <c r="L75" s="403" t="s">
        <v>26</v>
      </c>
      <c r="M75" s="199">
        <v>45291</v>
      </c>
      <c r="N75" s="105">
        <v>44547</v>
      </c>
      <c r="O75" s="105"/>
      <c r="P75" s="203" t="s">
        <v>5980</v>
      </c>
      <c r="Q75" s="203" t="s">
        <v>1645</v>
      </c>
      <c r="R75" s="203" t="s">
        <v>1914</v>
      </c>
      <c r="S75" s="203"/>
      <c r="T75" s="87" t="s">
        <v>5719</v>
      </c>
      <c r="U75" s="87" t="s">
        <v>1569</v>
      </c>
      <c r="V75" s="87"/>
      <c r="W75" s="88" t="s">
        <v>1568</v>
      </c>
      <c r="X75" s="249" t="s">
        <v>3717</v>
      </c>
      <c r="Y75" s="88"/>
      <c r="Z75" s="250"/>
      <c r="AA75" s="87" t="s">
        <v>2100</v>
      </c>
      <c r="AB75" s="250" t="s">
        <v>2072</v>
      </c>
      <c r="AC75" s="250"/>
      <c r="AD75" s="250"/>
      <c r="AE75" s="87"/>
      <c r="AF75" s="88" t="s">
        <v>5279</v>
      </c>
      <c r="AG75" s="88" t="s">
        <v>2073</v>
      </c>
      <c r="AH75" s="88" t="s">
        <v>2074</v>
      </c>
      <c r="AI75" s="224" t="s">
        <v>2075</v>
      </c>
      <c r="AJ75" s="225">
        <v>2</v>
      </c>
      <c r="AK75" s="224" t="s">
        <v>2076</v>
      </c>
      <c r="AL75" s="224" t="s">
        <v>2101</v>
      </c>
      <c r="AM75" s="224" t="s">
        <v>2099</v>
      </c>
      <c r="AN75" s="224"/>
    </row>
    <row r="76" spans="1:40" s="86" customFormat="1" ht="59.25" customHeight="1">
      <c r="A76" s="402">
        <v>160759</v>
      </c>
      <c r="B76" s="89" t="s">
        <v>171</v>
      </c>
      <c r="C76" s="89" t="s">
        <v>172</v>
      </c>
      <c r="D76" s="88">
        <v>27012</v>
      </c>
      <c r="E76" s="88" t="s">
        <v>173</v>
      </c>
      <c r="F76" s="88" t="s">
        <v>51</v>
      </c>
      <c r="G76" s="88" t="s">
        <v>827</v>
      </c>
      <c r="H76" s="88" t="s">
        <v>591</v>
      </c>
      <c r="I76" s="88" t="s">
        <v>40</v>
      </c>
      <c r="J76" s="89" t="s">
        <v>786</v>
      </c>
      <c r="K76" s="103" t="s">
        <v>1402</v>
      </c>
      <c r="L76" s="403" t="s">
        <v>26</v>
      </c>
      <c r="M76" s="199">
        <v>45412</v>
      </c>
      <c r="N76" s="105">
        <v>44295</v>
      </c>
      <c r="O76" s="105"/>
      <c r="P76" s="203" t="s">
        <v>5456</v>
      </c>
      <c r="Q76" s="203" t="s">
        <v>1646</v>
      </c>
      <c r="R76" s="203"/>
      <c r="S76" s="203"/>
      <c r="T76" s="87" t="s">
        <v>5720</v>
      </c>
      <c r="U76" s="87" t="s">
        <v>1568</v>
      </c>
      <c r="V76" s="87"/>
      <c r="W76" s="88" t="s">
        <v>1568</v>
      </c>
      <c r="X76" s="249" t="s">
        <v>4618</v>
      </c>
      <c r="Y76" s="88"/>
      <c r="Z76" s="250"/>
      <c r="AA76" s="87" t="s">
        <v>2209</v>
      </c>
      <c r="AB76" s="250" t="s">
        <v>2072</v>
      </c>
      <c r="AC76" s="250"/>
      <c r="AD76" s="250"/>
      <c r="AE76" s="87"/>
      <c r="AF76" s="88" t="s">
        <v>786</v>
      </c>
      <c r="AG76" s="88" t="s">
        <v>2073</v>
      </c>
      <c r="AH76" s="88"/>
      <c r="AI76" s="224" t="s">
        <v>2075</v>
      </c>
      <c r="AJ76" s="225">
        <v>3</v>
      </c>
      <c r="AK76" s="224" t="s">
        <v>2076</v>
      </c>
      <c r="AL76" s="224" t="s">
        <v>2210</v>
      </c>
      <c r="AM76" s="224" t="s">
        <v>2099</v>
      </c>
      <c r="AN76" s="224" t="s">
        <v>2211</v>
      </c>
    </row>
    <row r="77" spans="1:40" s="86" customFormat="1" ht="59.25" customHeight="1">
      <c r="A77" s="402">
        <v>161192</v>
      </c>
      <c r="B77" s="89" t="s">
        <v>726</v>
      </c>
      <c r="C77" s="89" t="s">
        <v>727</v>
      </c>
      <c r="D77" s="88" t="s">
        <v>728</v>
      </c>
      <c r="E77" s="88" t="s">
        <v>729</v>
      </c>
      <c r="F77" s="88" t="s">
        <v>51</v>
      </c>
      <c r="G77" s="88">
        <v>99837</v>
      </c>
      <c r="H77" s="88" t="s">
        <v>591</v>
      </c>
      <c r="I77" s="88" t="s">
        <v>40</v>
      </c>
      <c r="J77" s="89" t="s">
        <v>1277</v>
      </c>
      <c r="K77" s="103" t="s">
        <v>1402</v>
      </c>
      <c r="L77" s="403" t="s">
        <v>26</v>
      </c>
      <c r="M77" s="199">
        <v>45747</v>
      </c>
      <c r="N77" s="105">
        <v>44649</v>
      </c>
      <c r="O77" s="105"/>
      <c r="P77" s="203" t="s">
        <v>4345</v>
      </c>
      <c r="Q77" s="203" t="s">
        <v>1647</v>
      </c>
      <c r="R77" s="203"/>
      <c r="S77" s="203"/>
      <c r="T77" s="87" t="s">
        <v>5375</v>
      </c>
      <c r="U77" s="87" t="s">
        <v>1574</v>
      </c>
      <c r="V77" s="87"/>
      <c r="W77" s="88" t="s">
        <v>1568</v>
      </c>
      <c r="X77" s="249" t="s">
        <v>5350</v>
      </c>
      <c r="Y77" s="88"/>
      <c r="Z77" s="250"/>
      <c r="AA77" s="87" t="s">
        <v>726</v>
      </c>
      <c r="AB77" s="250" t="s">
        <v>2072</v>
      </c>
      <c r="AC77" s="250"/>
      <c r="AD77" s="250"/>
      <c r="AE77" s="87"/>
      <c r="AF77" s="88" t="s">
        <v>1277</v>
      </c>
      <c r="AG77" s="88" t="s">
        <v>2073</v>
      </c>
      <c r="AH77" s="88" t="s">
        <v>2093</v>
      </c>
      <c r="AI77" s="224"/>
      <c r="AJ77" s="225">
        <v>4</v>
      </c>
      <c r="AK77" s="224" t="s">
        <v>2107</v>
      </c>
      <c r="AL77" s="224" t="s">
        <v>2212</v>
      </c>
      <c r="AM77" s="224" t="s">
        <v>2213</v>
      </c>
      <c r="AN77" s="224"/>
    </row>
    <row r="78" spans="1:40" s="86" customFormat="1" ht="59.25" customHeight="1">
      <c r="A78" s="402">
        <v>161320</v>
      </c>
      <c r="B78" s="89" t="s">
        <v>829</v>
      </c>
      <c r="C78" s="89" t="s">
        <v>830</v>
      </c>
      <c r="D78" s="88">
        <v>510470</v>
      </c>
      <c r="E78" s="88" t="s">
        <v>174</v>
      </c>
      <c r="F78" s="88" t="s">
        <v>175</v>
      </c>
      <c r="G78" s="88"/>
      <c r="H78" s="88" t="s">
        <v>591</v>
      </c>
      <c r="I78" s="88" t="s">
        <v>41</v>
      </c>
      <c r="J78" s="89" t="s">
        <v>786</v>
      </c>
      <c r="K78" s="103" t="s">
        <v>1402</v>
      </c>
      <c r="L78" s="403" t="s">
        <v>26</v>
      </c>
      <c r="M78" s="199">
        <v>45107</v>
      </c>
      <c r="N78" s="105">
        <v>44363</v>
      </c>
      <c r="O78" s="105"/>
      <c r="P78" s="203" t="s">
        <v>6019</v>
      </c>
      <c r="Q78" s="203" t="s">
        <v>1648</v>
      </c>
      <c r="R78" s="203"/>
      <c r="S78" s="203"/>
      <c r="T78" s="87" t="s">
        <v>5142</v>
      </c>
      <c r="U78" s="87" t="s">
        <v>1573</v>
      </c>
      <c r="V78" s="87"/>
      <c r="W78" s="88" t="s">
        <v>1571</v>
      </c>
      <c r="X78" s="249" t="s">
        <v>3719</v>
      </c>
      <c r="Y78" s="88"/>
      <c r="Z78" s="250"/>
      <c r="AA78" s="87" t="s">
        <v>829</v>
      </c>
      <c r="AB78" s="250" t="s">
        <v>2090</v>
      </c>
      <c r="AC78" s="250"/>
      <c r="AD78" s="250"/>
      <c r="AE78" s="87"/>
      <c r="AF78" s="88" t="s">
        <v>786</v>
      </c>
      <c r="AG78" s="88" t="s">
        <v>2104</v>
      </c>
      <c r="AH78" s="88"/>
      <c r="AI78" s="224" t="s">
        <v>2215</v>
      </c>
      <c r="AJ78" s="225">
        <v>1</v>
      </c>
      <c r="AK78" s="224" t="s">
        <v>2107</v>
      </c>
      <c r="AL78" s="224" t="s">
        <v>2216</v>
      </c>
      <c r="AM78" s="224" t="s">
        <v>2217</v>
      </c>
      <c r="AN78" s="224" t="s">
        <v>4218</v>
      </c>
    </row>
    <row r="79" spans="1:40" s="86" customFormat="1" ht="59.25" customHeight="1">
      <c r="A79" s="402">
        <v>163288</v>
      </c>
      <c r="B79" s="89" t="s">
        <v>176</v>
      </c>
      <c r="C79" s="89" t="s">
        <v>177</v>
      </c>
      <c r="D79" s="88">
        <v>95310</v>
      </c>
      <c r="E79" s="88" t="s">
        <v>178</v>
      </c>
      <c r="F79" s="88" t="s">
        <v>47</v>
      </c>
      <c r="G79" s="88" t="s">
        <v>831</v>
      </c>
      <c r="H79" s="88" t="s">
        <v>591</v>
      </c>
      <c r="I79" s="88" t="s">
        <v>40</v>
      </c>
      <c r="J79" s="89" t="s">
        <v>5282</v>
      </c>
      <c r="K79" s="103" t="s">
        <v>1233</v>
      </c>
      <c r="L79" s="403" t="s">
        <v>26</v>
      </c>
      <c r="M79" s="199">
        <v>45412</v>
      </c>
      <c r="N79" s="105">
        <v>44672</v>
      </c>
      <c r="O79" s="105"/>
      <c r="P79" s="203" t="s">
        <v>5550</v>
      </c>
      <c r="Q79" s="203" t="s">
        <v>1649</v>
      </c>
      <c r="R79" s="203" t="s">
        <v>1915</v>
      </c>
      <c r="S79" s="203"/>
      <c r="T79" s="87" t="s">
        <v>5721</v>
      </c>
      <c r="U79" s="87" t="s">
        <v>1568</v>
      </c>
      <c r="V79" s="87"/>
      <c r="W79" s="88" t="s">
        <v>1568</v>
      </c>
      <c r="X79" s="249" t="s">
        <v>5245</v>
      </c>
      <c r="Y79" s="88"/>
      <c r="Z79" s="250"/>
      <c r="AA79" s="87" t="s">
        <v>2171</v>
      </c>
      <c r="AB79" s="250" t="s">
        <v>2072</v>
      </c>
      <c r="AC79" s="250"/>
      <c r="AD79" s="250"/>
      <c r="AE79" s="87"/>
      <c r="AF79" s="88" t="s">
        <v>5282</v>
      </c>
      <c r="AG79" s="88" t="s">
        <v>2073</v>
      </c>
      <c r="AH79" s="88" t="s">
        <v>2093</v>
      </c>
      <c r="AI79" s="224"/>
      <c r="AJ79" s="225">
        <v>2</v>
      </c>
      <c r="AK79" s="224" t="s">
        <v>2076</v>
      </c>
      <c r="AL79" s="224" t="s">
        <v>2172</v>
      </c>
      <c r="AM79" s="224" t="s">
        <v>2077</v>
      </c>
      <c r="AN79" s="224"/>
    </row>
    <row r="80" spans="1:40" s="86" customFormat="1" ht="59.25" customHeight="1">
      <c r="A80" s="402">
        <v>163308</v>
      </c>
      <c r="B80" s="89" t="s">
        <v>179</v>
      </c>
      <c r="C80" s="89" t="s">
        <v>180</v>
      </c>
      <c r="D80" s="88">
        <v>27950</v>
      </c>
      <c r="E80" s="88" t="s">
        <v>181</v>
      </c>
      <c r="F80" s="88" t="s">
        <v>47</v>
      </c>
      <c r="G80" s="88" t="s">
        <v>4966</v>
      </c>
      <c r="H80" s="88" t="s">
        <v>591</v>
      </c>
      <c r="I80" s="88" t="s">
        <v>40</v>
      </c>
      <c r="J80" s="89" t="s">
        <v>5282</v>
      </c>
      <c r="K80" s="103" t="s">
        <v>1233</v>
      </c>
      <c r="L80" s="403" t="s">
        <v>26</v>
      </c>
      <c r="M80" s="199">
        <v>45412</v>
      </c>
      <c r="N80" s="105">
        <v>44672</v>
      </c>
      <c r="O80" s="105"/>
      <c r="P80" s="203" t="s">
        <v>5416</v>
      </c>
      <c r="Q80" s="203" t="s">
        <v>1649</v>
      </c>
      <c r="R80" s="203" t="s">
        <v>1916</v>
      </c>
      <c r="S80" s="203"/>
      <c r="T80" s="87" t="s">
        <v>5721</v>
      </c>
      <c r="U80" s="87" t="s">
        <v>1568</v>
      </c>
      <c r="V80" s="87"/>
      <c r="W80" s="88" t="s">
        <v>1568</v>
      </c>
      <c r="X80" s="249" t="s">
        <v>5245</v>
      </c>
      <c r="Y80" s="88"/>
      <c r="Z80" s="250"/>
      <c r="AA80" s="87" t="s">
        <v>2171</v>
      </c>
      <c r="AB80" s="250" t="s">
        <v>2072</v>
      </c>
      <c r="AC80" s="250"/>
      <c r="AD80" s="250"/>
      <c r="AE80" s="87"/>
      <c r="AF80" s="88" t="s">
        <v>5282</v>
      </c>
      <c r="AG80" s="88" t="s">
        <v>2073</v>
      </c>
      <c r="AH80" s="88" t="s">
        <v>2093</v>
      </c>
      <c r="AI80" s="224"/>
      <c r="AJ80" s="225">
        <v>2</v>
      </c>
      <c r="AK80" s="224" t="s">
        <v>2076</v>
      </c>
      <c r="AL80" s="224" t="s">
        <v>2172</v>
      </c>
      <c r="AM80" s="224" t="s">
        <v>2077</v>
      </c>
      <c r="AN80" s="224"/>
    </row>
    <row r="81" spans="1:40" s="86" customFormat="1" ht="59.25" customHeight="1">
      <c r="A81" s="402">
        <v>163325</v>
      </c>
      <c r="B81" s="89" t="s">
        <v>1374</v>
      </c>
      <c r="C81" s="89" t="s">
        <v>182</v>
      </c>
      <c r="D81" s="88">
        <v>59557</v>
      </c>
      <c r="E81" s="88" t="s">
        <v>183</v>
      </c>
      <c r="F81" s="88" t="s">
        <v>55</v>
      </c>
      <c r="G81" s="88" t="s">
        <v>832</v>
      </c>
      <c r="H81" s="88" t="s">
        <v>591</v>
      </c>
      <c r="I81" s="88" t="s">
        <v>40</v>
      </c>
      <c r="J81" s="89" t="s">
        <v>5282</v>
      </c>
      <c r="K81" s="103" t="s">
        <v>1402</v>
      </c>
      <c r="L81" s="403" t="s">
        <v>26</v>
      </c>
      <c r="M81" s="199">
        <v>45382</v>
      </c>
      <c r="N81" s="105">
        <v>44735</v>
      </c>
      <c r="O81" s="105"/>
      <c r="P81" s="203" t="s">
        <v>5203</v>
      </c>
      <c r="Q81" s="203" t="s">
        <v>1650</v>
      </c>
      <c r="R81" s="203" t="s">
        <v>1917</v>
      </c>
      <c r="S81" s="203"/>
      <c r="T81" s="87" t="s">
        <v>5722</v>
      </c>
      <c r="U81" s="87" t="s">
        <v>1569</v>
      </c>
      <c r="V81" s="87"/>
      <c r="W81" s="88" t="s">
        <v>1568</v>
      </c>
      <c r="X81" s="249" t="s">
        <v>3721</v>
      </c>
      <c r="Y81" s="88"/>
      <c r="Z81" s="250"/>
      <c r="AA81" s="87" t="s">
        <v>2218</v>
      </c>
      <c r="AB81" s="250" t="s">
        <v>2072</v>
      </c>
      <c r="AC81" s="250"/>
      <c r="AD81" s="250"/>
      <c r="AE81" s="87"/>
      <c r="AF81" s="88" t="s">
        <v>4441</v>
      </c>
      <c r="AG81" s="88" t="s">
        <v>2073</v>
      </c>
      <c r="AH81" s="88" t="s">
        <v>2074</v>
      </c>
      <c r="AI81" s="224" t="s">
        <v>2075</v>
      </c>
      <c r="AJ81" s="225">
        <v>3</v>
      </c>
      <c r="AK81" s="224" t="s">
        <v>2076</v>
      </c>
      <c r="AL81" s="224" t="s">
        <v>2219</v>
      </c>
      <c r="AM81" s="224" t="s">
        <v>2077</v>
      </c>
      <c r="AN81" s="224"/>
    </row>
    <row r="82" spans="1:40" s="86" customFormat="1" ht="59.25" customHeight="1">
      <c r="A82" s="402">
        <v>164991</v>
      </c>
      <c r="B82" s="89" t="s">
        <v>698</v>
      </c>
      <c r="C82" s="89" t="s">
        <v>185</v>
      </c>
      <c r="D82" s="88" t="s">
        <v>186</v>
      </c>
      <c r="E82" s="88" t="s">
        <v>606</v>
      </c>
      <c r="F82" s="88" t="s">
        <v>97</v>
      </c>
      <c r="G82" s="88" t="s">
        <v>833</v>
      </c>
      <c r="H82" s="88" t="s">
        <v>591</v>
      </c>
      <c r="I82" s="88" t="s">
        <v>40</v>
      </c>
      <c r="J82" s="89" t="s">
        <v>5282</v>
      </c>
      <c r="K82" s="103" t="s">
        <v>1402</v>
      </c>
      <c r="L82" s="403" t="s">
        <v>26</v>
      </c>
      <c r="M82" s="199">
        <v>45382</v>
      </c>
      <c r="N82" s="105">
        <v>44735</v>
      </c>
      <c r="O82" s="105"/>
      <c r="P82" s="203" t="s">
        <v>5607</v>
      </c>
      <c r="Q82" s="203" t="s">
        <v>1651</v>
      </c>
      <c r="R82" s="203"/>
      <c r="S82" s="203"/>
      <c r="T82" s="87" t="s">
        <v>5723</v>
      </c>
      <c r="U82" s="87" t="s">
        <v>1571</v>
      </c>
      <c r="V82" s="87"/>
      <c r="W82" s="88" t="s">
        <v>1571</v>
      </c>
      <c r="X82" s="249" t="s">
        <v>5268</v>
      </c>
      <c r="Y82" s="88"/>
      <c r="Z82" s="250"/>
      <c r="AA82" s="87" t="s">
        <v>2218</v>
      </c>
      <c r="AB82" s="250" t="s">
        <v>2072</v>
      </c>
      <c r="AC82" s="250"/>
      <c r="AD82" s="250"/>
      <c r="AE82" s="87"/>
      <c r="AF82" s="88" t="s">
        <v>4441</v>
      </c>
      <c r="AG82" s="88" t="s">
        <v>2073</v>
      </c>
      <c r="AH82" s="88" t="s">
        <v>2074</v>
      </c>
      <c r="AI82" s="224" t="s">
        <v>2075</v>
      </c>
      <c r="AJ82" s="225">
        <v>3</v>
      </c>
      <c r="AK82" s="224" t="s">
        <v>2076</v>
      </c>
      <c r="AL82" s="224" t="s">
        <v>2219</v>
      </c>
      <c r="AM82" s="224" t="s">
        <v>2077</v>
      </c>
      <c r="AN82" s="224"/>
    </row>
    <row r="83" spans="1:40" s="86" customFormat="1" ht="59.25" customHeight="1">
      <c r="A83" s="402">
        <v>164994</v>
      </c>
      <c r="B83" s="89" t="s">
        <v>184</v>
      </c>
      <c r="C83" s="89" t="s">
        <v>187</v>
      </c>
      <c r="D83" s="88" t="s">
        <v>188</v>
      </c>
      <c r="E83" s="88" t="s">
        <v>189</v>
      </c>
      <c r="F83" s="88" t="s">
        <v>51</v>
      </c>
      <c r="G83" s="88">
        <v>73030</v>
      </c>
      <c r="H83" s="88" t="s">
        <v>591</v>
      </c>
      <c r="I83" s="88" t="s">
        <v>40</v>
      </c>
      <c r="J83" s="89" t="s">
        <v>5282</v>
      </c>
      <c r="K83" s="103" t="s">
        <v>1402</v>
      </c>
      <c r="L83" s="403" t="s">
        <v>26</v>
      </c>
      <c r="M83" s="199">
        <v>45412</v>
      </c>
      <c r="N83" s="105">
        <v>44754</v>
      </c>
      <c r="O83" s="105"/>
      <c r="P83" s="203" t="s">
        <v>6020</v>
      </c>
      <c r="Q83" s="203" t="s">
        <v>1652</v>
      </c>
      <c r="R83" s="203" t="s">
        <v>1918</v>
      </c>
      <c r="S83" s="203"/>
      <c r="T83" s="87" t="s">
        <v>5724</v>
      </c>
      <c r="U83" s="87" t="s">
        <v>1572</v>
      </c>
      <c r="V83" s="87"/>
      <c r="W83" s="88" t="s">
        <v>1571</v>
      </c>
      <c r="X83" s="249" t="s">
        <v>3724</v>
      </c>
      <c r="Y83" s="88"/>
      <c r="Z83" s="250"/>
      <c r="AA83" s="87" t="s">
        <v>2220</v>
      </c>
      <c r="AB83" s="250" t="s">
        <v>2072</v>
      </c>
      <c r="AC83" s="250"/>
      <c r="AD83" s="250"/>
      <c r="AE83" s="87"/>
      <c r="AF83" s="88" t="s">
        <v>5282</v>
      </c>
      <c r="AG83" s="88" t="s">
        <v>2073</v>
      </c>
      <c r="AH83" s="88" t="s">
        <v>2074</v>
      </c>
      <c r="AI83" s="224"/>
      <c r="AJ83" s="225">
        <v>2</v>
      </c>
      <c r="AK83" s="224" t="s">
        <v>2076</v>
      </c>
      <c r="AL83" s="224" t="s">
        <v>2221</v>
      </c>
      <c r="AM83" s="224" t="s">
        <v>2077</v>
      </c>
      <c r="AN83" s="224"/>
    </row>
    <row r="84" spans="1:40" s="86" customFormat="1" ht="59.25" customHeight="1">
      <c r="A84" s="402">
        <v>164995</v>
      </c>
      <c r="B84" s="89" t="s">
        <v>184</v>
      </c>
      <c r="C84" s="89" t="s">
        <v>190</v>
      </c>
      <c r="D84" s="88" t="s">
        <v>191</v>
      </c>
      <c r="E84" s="88" t="s">
        <v>192</v>
      </c>
      <c r="F84" s="88" t="s">
        <v>51</v>
      </c>
      <c r="G84" s="88">
        <v>99167</v>
      </c>
      <c r="H84" s="88" t="s">
        <v>591</v>
      </c>
      <c r="I84" s="88" t="s">
        <v>40</v>
      </c>
      <c r="J84" s="89" t="s">
        <v>5282</v>
      </c>
      <c r="K84" s="103" t="s">
        <v>1402</v>
      </c>
      <c r="L84" s="403" t="s">
        <v>26</v>
      </c>
      <c r="M84" s="199">
        <v>45412</v>
      </c>
      <c r="N84" s="105">
        <v>44673</v>
      </c>
      <c r="O84" s="105"/>
      <c r="P84" s="203" t="s">
        <v>6021</v>
      </c>
      <c r="Q84" s="203" t="s">
        <v>1653</v>
      </c>
      <c r="R84" s="203"/>
      <c r="S84" s="203"/>
      <c r="T84" s="87" t="s">
        <v>5725</v>
      </c>
      <c r="U84" s="87" t="s">
        <v>1573</v>
      </c>
      <c r="V84" s="87"/>
      <c r="W84" s="88" t="s">
        <v>1571</v>
      </c>
      <c r="X84" s="249" t="s">
        <v>3727</v>
      </c>
      <c r="Y84" s="88"/>
      <c r="Z84" s="250"/>
      <c r="AA84" s="87" t="s">
        <v>2220</v>
      </c>
      <c r="AB84" s="250" t="s">
        <v>2072</v>
      </c>
      <c r="AC84" s="250"/>
      <c r="AD84" s="250"/>
      <c r="AE84" s="87"/>
      <c r="AF84" s="88" t="s">
        <v>5282</v>
      </c>
      <c r="AG84" s="88" t="s">
        <v>2073</v>
      </c>
      <c r="AH84" s="88" t="s">
        <v>2074</v>
      </c>
      <c r="AI84" s="224"/>
      <c r="AJ84" s="225">
        <v>2</v>
      </c>
      <c r="AK84" s="224" t="s">
        <v>2076</v>
      </c>
      <c r="AL84" s="224" t="s">
        <v>2221</v>
      </c>
      <c r="AM84" s="224" t="s">
        <v>2077</v>
      </c>
      <c r="AN84" s="224"/>
    </row>
    <row r="85" spans="1:40" s="86" customFormat="1" ht="59.25" customHeight="1">
      <c r="A85" s="402">
        <v>164998</v>
      </c>
      <c r="B85" s="89" t="s">
        <v>193</v>
      </c>
      <c r="C85" s="89" t="s">
        <v>194</v>
      </c>
      <c r="D85" s="88">
        <v>85034</v>
      </c>
      <c r="E85" s="88" t="s">
        <v>195</v>
      </c>
      <c r="F85" s="88" t="s">
        <v>51</v>
      </c>
      <c r="G85" s="88" t="s">
        <v>834</v>
      </c>
      <c r="H85" s="88" t="s">
        <v>591</v>
      </c>
      <c r="I85" s="88" t="s">
        <v>40</v>
      </c>
      <c r="J85" s="89" t="s">
        <v>5282</v>
      </c>
      <c r="K85" s="103" t="s">
        <v>1402</v>
      </c>
      <c r="L85" s="403" t="s">
        <v>26</v>
      </c>
      <c r="M85" s="199">
        <v>45412</v>
      </c>
      <c r="N85" s="105">
        <v>44754</v>
      </c>
      <c r="O85" s="105"/>
      <c r="P85" s="203" t="s">
        <v>6022</v>
      </c>
      <c r="Q85" s="203" t="s">
        <v>1654</v>
      </c>
      <c r="R85" s="203"/>
      <c r="S85" s="203"/>
      <c r="T85" s="87" t="s">
        <v>5726</v>
      </c>
      <c r="U85" s="87" t="s">
        <v>1573</v>
      </c>
      <c r="V85" s="87"/>
      <c r="W85" s="88" t="s">
        <v>1571</v>
      </c>
      <c r="X85" s="249" t="s">
        <v>3730</v>
      </c>
      <c r="Y85" s="88"/>
      <c r="Z85" s="250"/>
      <c r="AA85" s="87" t="s">
        <v>2220</v>
      </c>
      <c r="AB85" s="250" t="s">
        <v>2072</v>
      </c>
      <c r="AC85" s="250"/>
      <c r="AD85" s="250"/>
      <c r="AE85" s="87"/>
      <c r="AF85" s="88" t="s">
        <v>5282</v>
      </c>
      <c r="AG85" s="88" t="s">
        <v>2073</v>
      </c>
      <c r="AH85" s="88" t="s">
        <v>2074</v>
      </c>
      <c r="AI85" s="224"/>
      <c r="AJ85" s="225">
        <v>2</v>
      </c>
      <c r="AK85" s="224" t="s">
        <v>2076</v>
      </c>
      <c r="AL85" s="224" t="s">
        <v>2221</v>
      </c>
      <c r="AM85" s="224" t="s">
        <v>2077</v>
      </c>
      <c r="AN85" s="224"/>
    </row>
    <row r="86" spans="1:40" s="86" customFormat="1" ht="59.25" customHeight="1">
      <c r="A86" s="404">
        <v>166186</v>
      </c>
      <c r="B86" s="89" t="s">
        <v>4824</v>
      </c>
      <c r="C86" s="89" t="s">
        <v>4825</v>
      </c>
      <c r="D86" s="88">
        <v>69730</v>
      </c>
      <c r="E86" s="88" t="s">
        <v>4826</v>
      </c>
      <c r="F86" s="88" t="s">
        <v>47</v>
      </c>
      <c r="G86" s="88" t="s">
        <v>4827</v>
      </c>
      <c r="H86" s="88" t="s">
        <v>591</v>
      </c>
      <c r="I86" s="88" t="s">
        <v>42</v>
      </c>
      <c r="J86" s="89" t="s">
        <v>1421</v>
      </c>
      <c r="K86" s="103" t="s">
        <v>5218</v>
      </c>
      <c r="L86" s="405" t="s">
        <v>27</v>
      </c>
      <c r="M86" s="199">
        <v>44832</v>
      </c>
      <c r="N86" s="105">
        <v>44502</v>
      </c>
      <c r="O86" s="105"/>
      <c r="P86" s="203" t="s">
        <v>4830</v>
      </c>
      <c r="Q86" s="203" t="s">
        <v>4840</v>
      </c>
      <c r="R86" s="203"/>
      <c r="S86" s="203"/>
      <c r="T86" s="87" t="s">
        <v>4832</v>
      </c>
      <c r="U86" s="87" t="s">
        <v>1581</v>
      </c>
      <c r="V86" s="87" t="s">
        <v>1571</v>
      </c>
      <c r="W86" s="88" t="s">
        <v>1581</v>
      </c>
      <c r="X86" s="249"/>
      <c r="Y86" s="88"/>
      <c r="Z86" s="250"/>
      <c r="AA86" s="87" t="s">
        <v>4824</v>
      </c>
      <c r="AB86" s="250" t="s">
        <v>4861</v>
      </c>
      <c r="AC86" s="250"/>
      <c r="AD86" s="250"/>
      <c r="AE86" s="87"/>
      <c r="AF86" s="88" t="s">
        <v>1421</v>
      </c>
      <c r="AG86" s="88" t="s">
        <v>4861</v>
      </c>
      <c r="AH86" s="88"/>
      <c r="AI86" s="224"/>
      <c r="AJ86" s="225" t="s">
        <v>2168</v>
      </c>
      <c r="AK86" s="224"/>
      <c r="AL86" s="224"/>
      <c r="AM86" s="224"/>
      <c r="AN86" s="224"/>
    </row>
    <row r="87" spans="1:40" s="86" customFormat="1" ht="59.25" customHeight="1">
      <c r="A87" s="402">
        <v>167569</v>
      </c>
      <c r="B87" s="89" t="s">
        <v>196</v>
      </c>
      <c r="C87" s="89" t="s">
        <v>197</v>
      </c>
      <c r="D87" s="88">
        <v>10999</v>
      </c>
      <c r="E87" s="88" t="s">
        <v>198</v>
      </c>
      <c r="F87" s="88" t="s">
        <v>55</v>
      </c>
      <c r="G87" s="88" t="s">
        <v>835</v>
      </c>
      <c r="H87" s="88" t="s">
        <v>591</v>
      </c>
      <c r="I87" s="88" t="s">
        <v>40</v>
      </c>
      <c r="J87" s="89" t="s">
        <v>5283</v>
      </c>
      <c r="K87" s="103" t="s">
        <v>1402</v>
      </c>
      <c r="L87" s="403" t="s">
        <v>26</v>
      </c>
      <c r="M87" s="199">
        <v>45199</v>
      </c>
      <c r="N87" s="105">
        <v>44090</v>
      </c>
      <c r="O87" s="105"/>
      <c r="P87" s="203" t="s">
        <v>1314</v>
      </c>
      <c r="Q87" s="203" t="s">
        <v>1655</v>
      </c>
      <c r="R87" s="203" t="s">
        <v>1919</v>
      </c>
      <c r="S87" s="203"/>
      <c r="T87" s="87" t="s">
        <v>5727</v>
      </c>
      <c r="U87" s="87" t="s">
        <v>1569</v>
      </c>
      <c r="V87" s="87"/>
      <c r="W87" s="88" t="s">
        <v>1568</v>
      </c>
      <c r="X87" s="249" t="s">
        <v>3732</v>
      </c>
      <c r="Y87" s="88"/>
      <c r="Z87" s="250"/>
      <c r="AA87" s="87" t="s">
        <v>196</v>
      </c>
      <c r="AB87" s="250" t="s">
        <v>2072</v>
      </c>
      <c r="AC87" s="250"/>
      <c r="AD87" s="250"/>
      <c r="AE87" s="87"/>
      <c r="AF87" s="88" t="s">
        <v>5283</v>
      </c>
      <c r="AG87" s="88" t="s">
        <v>2073</v>
      </c>
      <c r="AH87" s="88" t="s">
        <v>2113</v>
      </c>
      <c r="AI87" s="224"/>
      <c r="AJ87" s="225">
        <v>4</v>
      </c>
      <c r="AK87" s="224" t="s">
        <v>2085</v>
      </c>
      <c r="AL87" s="224" t="s">
        <v>2222</v>
      </c>
      <c r="AM87" s="224" t="s">
        <v>2087</v>
      </c>
      <c r="AN87" s="224" t="s">
        <v>2168</v>
      </c>
    </row>
    <row r="88" spans="1:40" s="86" customFormat="1" ht="59.25" customHeight="1">
      <c r="A88" s="402">
        <v>167659</v>
      </c>
      <c r="B88" s="89" t="s">
        <v>199</v>
      </c>
      <c r="C88" s="89" t="s">
        <v>200</v>
      </c>
      <c r="D88" s="88">
        <v>43078</v>
      </c>
      <c r="E88" s="88" t="s">
        <v>201</v>
      </c>
      <c r="F88" s="88" t="s">
        <v>51</v>
      </c>
      <c r="G88" s="88">
        <v>72914</v>
      </c>
      <c r="H88" s="88" t="s">
        <v>591</v>
      </c>
      <c r="I88" s="88" t="s">
        <v>40</v>
      </c>
      <c r="J88" s="89" t="s">
        <v>5450</v>
      </c>
      <c r="K88" s="103" t="s">
        <v>1233</v>
      </c>
      <c r="L88" s="403" t="s">
        <v>26</v>
      </c>
      <c r="M88" s="199">
        <v>45077</v>
      </c>
      <c r="N88" s="105">
        <v>44705</v>
      </c>
      <c r="O88" s="105"/>
      <c r="P88" s="203" t="s">
        <v>6023</v>
      </c>
      <c r="Q88" s="203" t="s">
        <v>1656</v>
      </c>
      <c r="R88" s="203" t="s">
        <v>1920</v>
      </c>
      <c r="S88" s="203"/>
      <c r="T88" s="87" t="s">
        <v>4716</v>
      </c>
      <c r="U88" s="87" t="s">
        <v>1568</v>
      </c>
      <c r="V88" s="87" t="s">
        <v>1575</v>
      </c>
      <c r="W88" s="88" t="s">
        <v>1568</v>
      </c>
      <c r="X88" s="249" t="s">
        <v>4690</v>
      </c>
      <c r="Y88" s="88"/>
      <c r="Z88" s="250"/>
      <c r="AA88" s="87" t="s">
        <v>2132</v>
      </c>
      <c r="AB88" s="250" t="s">
        <v>2072</v>
      </c>
      <c r="AC88" s="250"/>
      <c r="AD88" s="250"/>
      <c r="AE88" s="87"/>
      <c r="AF88" s="88" t="s">
        <v>5517</v>
      </c>
      <c r="AG88" s="88" t="s">
        <v>2073</v>
      </c>
      <c r="AH88" s="88" t="s">
        <v>2074</v>
      </c>
      <c r="AI88" s="224" t="s">
        <v>2075</v>
      </c>
      <c r="AJ88" s="225">
        <v>2</v>
      </c>
      <c r="AK88" s="224" t="s">
        <v>2133</v>
      </c>
      <c r="AL88" s="224" t="s">
        <v>2134</v>
      </c>
      <c r="AM88" s="224" t="s">
        <v>2099</v>
      </c>
      <c r="AN88" s="224" t="s">
        <v>2135</v>
      </c>
    </row>
    <row r="89" spans="1:40" s="86" customFormat="1" ht="59.25" customHeight="1">
      <c r="A89" s="402">
        <v>167661</v>
      </c>
      <c r="B89" s="89" t="s">
        <v>645</v>
      </c>
      <c r="C89" s="89" t="s">
        <v>202</v>
      </c>
      <c r="D89" s="88">
        <v>65479</v>
      </c>
      <c r="E89" s="88" t="s">
        <v>203</v>
      </c>
      <c r="F89" s="88" t="s">
        <v>55</v>
      </c>
      <c r="G89" s="88" t="s">
        <v>836</v>
      </c>
      <c r="H89" s="88" t="s">
        <v>591</v>
      </c>
      <c r="I89" s="88" t="s">
        <v>40</v>
      </c>
      <c r="J89" s="89" t="s">
        <v>5450</v>
      </c>
      <c r="K89" s="103" t="s">
        <v>1233</v>
      </c>
      <c r="L89" s="403" t="s">
        <v>26</v>
      </c>
      <c r="M89" s="199">
        <v>45077</v>
      </c>
      <c r="N89" s="105">
        <v>44705</v>
      </c>
      <c r="O89" s="105"/>
      <c r="P89" s="203" t="s">
        <v>4232</v>
      </c>
      <c r="Q89" s="203" t="s">
        <v>1657</v>
      </c>
      <c r="R89" s="203" t="s">
        <v>1921</v>
      </c>
      <c r="S89" s="203"/>
      <c r="T89" s="87" t="s">
        <v>5728</v>
      </c>
      <c r="U89" s="87" t="s">
        <v>1569</v>
      </c>
      <c r="V89" s="87"/>
      <c r="W89" s="88" t="s">
        <v>1568</v>
      </c>
      <c r="X89" s="249" t="s">
        <v>4689</v>
      </c>
      <c r="Y89" s="88"/>
      <c r="Z89" s="250"/>
      <c r="AA89" s="87" t="s">
        <v>2132</v>
      </c>
      <c r="AB89" s="250" t="s">
        <v>2072</v>
      </c>
      <c r="AC89" s="250"/>
      <c r="AD89" s="250"/>
      <c r="AE89" s="87"/>
      <c r="AF89" s="88" t="s">
        <v>5517</v>
      </c>
      <c r="AG89" s="88" t="s">
        <v>2073</v>
      </c>
      <c r="AH89" s="88" t="s">
        <v>2074</v>
      </c>
      <c r="AI89" s="224" t="s">
        <v>2075</v>
      </c>
      <c r="AJ89" s="225">
        <v>2</v>
      </c>
      <c r="AK89" s="224" t="s">
        <v>2133</v>
      </c>
      <c r="AL89" s="224" t="s">
        <v>2134</v>
      </c>
      <c r="AM89" s="224" t="s">
        <v>2099</v>
      </c>
      <c r="AN89" s="224" t="s">
        <v>2135</v>
      </c>
    </row>
    <row r="90" spans="1:40" s="86" customFormat="1" ht="59.25" customHeight="1">
      <c r="A90" s="402">
        <v>167686</v>
      </c>
      <c r="B90" s="89" t="s">
        <v>651</v>
      </c>
      <c r="C90" s="89" t="s">
        <v>204</v>
      </c>
      <c r="D90" s="88" t="s">
        <v>205</v>
      </c>
      <c r="E90" s="88" t="s">
        <v>206</v>
      </c>
      <c r="F90" s="88" t="s">
        <v>107</v>
      </c>
      <c r="G90" s="88">
        <v>7217</v>
      </c>
      <c r="H90" s="88" t="s">
        <v>591</v>
      </c>
      <c r="I90" s="88" t="s">
        <v>40</v>
      </c>
      <c r="J90" s="89" t="s">
        <v>5450</v>
      </c>
      <c r="K90" s="103" t="s">
        <v>1233</v>
      </c>
      <c r="L90" s="403" t="s">
        <v>26</v>
      </c>
      <c r="M90" s="199">
        <v>45077</v>
      </c>
      <c r="N90" s="105">
        <v>44705</v>
      </c>
      <c r="O90" s="105"/>
      <c r="P90" s="203" t="s">
        <v>5210</v>
      </c>
      <c r="Q90" s="203" t="s">
        <v>1658</v>
      </c>
      <c r="R90" s="203"/>
      <c r="S90" s="203"/>
      <c r="T90" s="87" t="s">
        <v>5729</v>
      </c>
      <c r="U90" s="87" t="s">
        <v>1578</v>
      </c>
      <c r="V90" s="87"/>
      <c r="W90" s="88" t="s">
        <v>1568</v>
      </c>
      <c r="X90" s="249" t="s">
        <v>4690</v>
      </c>
      <c r="Y90" s="88"/>
      <c r="Z90" s="250"/>
      <c r="AA90" s="87" t="s">
        <v>2132</v>
      </c>
      <c r="AB90" s="250" t="s">
        <v>2072</v>
      </c>
      <c r="AC90" s="250"/>
      <c r="AD90" s="250"/>
      <c r="AE90" s="87"/>
      <c r="AF90" s="88" t="s">
        <v>5517</v>
      </c>
      <c r="AG90" s="88" t="s">
        <v>2073</v>
      </c>
      <c r="AH90" s="88" t="s">
        <v>2074</v>
      </c>
      <c r="AI90" s="224" t="s">
        <v>2075</v>
      </c>
      <c r="AJ90" s="225">
        <v>2</v>
      </c>
      <c r="AK90" s="224" t="s">
        <v>2133</v>
      </c>
      <c r="AL90" s="224" t="s">
        <v>2134</v>
      </c>
      <c r="AM90" s="224" t="s">
        <v>2099</v>
      </c>
      <c r="AN90" s="224" t="s">
        <v>2135</v>
      </c>
    </row>
    <row r="91" spans="1:40" s="86" customFormat="1" ht="59.25" customHeight="1">
      <c r="A91" s="402">
        <v>167687</v>
      </c>
      <c r="B91" s="89" t="s">
        <v>207</v>
      </c>
      <c r="C91" s="89" t="s">
        <v>208</v>
      </c>
      <c r="D91" s="88" t="s">
        <v>209</v>
      </c>
      <c r="E91" s="88" t="s">
        <v>210</v>
      </c>
      <c r="F91" s="88" t="s">
        <v>45</v>
      </c>
      <c r="G91" s="88" t="s">
        <v>837</v>
      </c>
      <c r="H91" s="88" t="s">
        <v>591</v>
      </c>
      <c r="I91" s="88" t="s">
        <v>40</v>
      </c>
      <c r="J91" s="89" t="s">
        <v>5450</v>
      </c>
      <c r="K91" s="103" t="s">
        <v>1233</v>
      </c>
      <c r="L91" s="403" t="s">
        <v>26</v>
      </c>
      <c r="M91" s="199">
        <v>45077</v>
      </c>
      <c r="N91" s="105">
        <v>44705</v>
      </c>
      <c r="O91" s="105"/>
      <c r="P91" s="203" t="s">
        <v>4592</v>
      </c>
      <c r="Q91" s="203" t="s">
        <v>1659</v>
      </c>
      <c r="R91" s="203"/>
      <c r="S91" s="203"/>
      <c r="T91" s="87" t="s">
        <v>5730</v>
      </c>
      <c r="U91" s="87" t="s">
        <v>1568</v>
      </c>
      <c r="V91" s="87"/>
      <c r="W91" s="88" t="s">
        <v>1568</v>
      </c>
      <c r="X91" s="249" t="s">
        <v>4690</v>
      </c>
      <c r="Y91" s="88"/>
      <c r="Z91" s="250"/>
      <c r="AA91" s="87" t="s">
        <v>2132</v>
      </c>
      <c r="AB91" s="250" t="s">
        <v>2072</v>
      </c>
      <c r="AC91" s="250"/>
      <c r="AD91" s="250"/>
      <c r="AE91" s="87"/>
      <c r="AF91" s="88" t="s">
        <v>5517</v>
      </c>
      <c r="AG91" s="88" t="s">
        <v>2073</v>
      </c>
      <c r="AH91" s="88" t="s">
        <v>2074</v>
      </c>
      <c r="AI91" s="224" t="s">
        <v>2075</v>
      </c>
      <c r="AJ91" s="225">
        <v>2</v>
      </c>
      <c r="AK91" s="224" t="s">
        <v>2133</v>
      </c>
      <c r="AL91" s="224" t="s">
        <v>2134</v>
      </c>
      <c r="AM91" s="224" t="s">
        <v>2099</v>
      </c>
      <c r="AN91" s="224" t="s">
        <v>2135</v>
      </c>
    </row>
    <row r="92" spans="1:40" s="86" customFormat="1" ht="59.25" customHeight="1">
      <c r="A92" s="402">
        <v>167696</v>
      </c>
      <c r="B92" s="89" t="s">
        <v>705</v>
      </c>
      <c r="C92" s="89" t="s">
        <v>708</v>
      </c>
      <c r="D92" s="88" t="s">
        <v>709</v>
      </c>
      <c r="E92" s="88" t="s">
        <v>195</v>
      </c>
      <c r="F92" s="88" t="s">
        <v>51</v>
      </c>
      <c r="G92" s="88">
        <v>58960</v>
      </c>
      <c r="H92" s="88" t="s">
        <v>591</v>
      </c>
      <c r="I92" s="88" t="s">
        <v>40</v>
      </c>
      <c r="J92" s="89" t="s">
        <v>5281</v>
      </c>
      <c r="K92" s="103" t="s">
        <v>1233</v>
      </c>
      <c r="L92" s="403" t="s">
        <v>26</v>
      </c>
      <c r="M92" s="199">
        <v>45077</v>
      </c>
      <c r="N92" s="105">
        <v>44705</v>
      </c>
      <c r="O92" s="105"/>
      <c r="P92" s="203" t="s">
        <v>6024</v>
      </c>
      <c r="Q92" s="203" t="s">
        <v>4625</v>
      </c>
      <c r="R92" s="203" t="s">
        <v>1922</v>
      </c>
      <c r="S92" s="203"/>
      <c r="T92" s="87" t="s">
        <v>5731</v>
      </c>
      <c r="U92" s="87" t="s">
        <v>1574</v>
      </c>
      <c r="V92" s="87"/>
      <c r="W92" s="88" t="s">
        <v>1568</v>
      </c>
      <c r="X92" s="249" t="s">
        <v>4690</v>
      </c>
      <c r="Y92" s="88"/>
      <c r="Z92" s="250"/>
      <c r="AA92" s="87" t="s">
        <v>2132</v>
      </c>
      <c r="AB92" s="250" t="s">
        <v>2072</v>
      </c>
      <c r="AC92" s="250"/>
      <c r="AD92" s="250"/>
      <c r="AE92" s="87"/>
      <c r="AF92" s="88" t="s">
        <v>5517</v>
      </c>
      <c r="AG92" s="88" t="s">
        <v>2073</v>
      </c>
      <c r="AH92" s="88" t="s">
        <v>2074</v>
      </c>
      <c r="AI92" s="224" t="s">
        <v>2075</v>
      </c>
      <c r="AJ92" s="225">
        <v>2</v>
      </c>
      <c r="AK92" s="224" t="s">
        <v>2133</v>
      </c>
      <c r="AL92" s="224" t="s">
        <v>2134</v>
      </c>
      <c r="AM92" s="224" t="s">
        <v>2099</v>
      </c>
      <c r="AN92" s="224" t="s">
        <v>2135</v>
      </c>
    </row>
    <row r="93" spans="1:40" s="86" customFormat="1" ht="59.25" customHeight="1">
      <c r="A93" s="402">
        <v>167700</v>
      </c>
      <c r="B93" s="89" t="s">
        <v>211</v>
      </c>
      <c r="C93" s="89" t="s">
        <v>630</v>
      </c>
      <c r="D93" s="88" t="s">
        <v>631</v>
      </c>
      <c r="E93" s="88" t="s">
        <v>632</v>
      </c>
      <c r="F93" s="88" t="s">
        <v>51</v>
      </c>
      <c r="G93" s="88">
        <v>64547</v>
      </c>
      <c r="H93" s="88" t="s">
        <v>591</v>
      </c>
      <c r="I93" s="88" t="s">
        <v>40</v>
      </c>
      <c r="J93" s="89" t="s">
        <v>5450</v>
      </c>
      <c r="K93" s="103" t="s">
        <v>1233</v>
      </c>
      <c r="L93" s="403" t="s">
        <v>26</v>
      </c>
      <c r="M93" s="199">
        <v>45077</v>
      </c>
      <c r="N93" s="105">
        <v>44705</v>
      </c>
      <c r="O93" s="105"/>
      <c r="P93" s="203" t="s">
        <v>5672</v>
      </c>
      <c r="Q93" s="203" t="s">
        <v>1661</v>
      </c>
      <c r="R93" s="203" t="s">
        <v>1923</v>
      </c>
      <c r="S93" s="203"/>
      <c r="T93" s="87" t="s">
        <v>5732</v>
      </c>
      <c r="U93" s="87" t="s">
        <v>1568</v>
      </c>
      <c r="V93" s="87"/>
      <c r="W93" s="88" t="s">
        <v>1568</v>
      </c>
      <c r="X93" s="249" t="s">
        <v>4689</v>
      </c>
      <c r="Y93" s="88"/>
      <c r="Z93" s="250"/>
      <c r="AA93" s="87" t="s">
        <v>2132</v>
      </c>
      <c r="AB93" s="250" t="s">
        <v>2072</v>
      </c>
      <c r="AC93" s="250"/>
      <c r="AD93" s="250"/>
      <c r="AE93" s="87"/>
      <c r="AF93" s="88" t="s">
        <v>5517</v>
      </c>
      <c r="AG93" s="88" t="s">
        <v>2073</v>
      </c>
      <c r="AH93" s="88" t="s">
        <v>2074</v>
      </c>
      <c r="AI93" s="224" t="s">
        <v>2075</v>
      </c>
      <c r="AJ93" s="225">
        <v>2</v>
      </c>
      <c r="AK93" s="224" t="s">
        <v>2133</v>
      </c>
      <c r="AL93" s="224" t="s">
        <v>2134</v>
      </c>
      <c r="AM93" s="224" t="s">
        <v>2099</v>
      </c>
      <c r="AN93" s="224" t="s">
        <v>2135</v>
      </c>
    </row>
    <row r="94" spans="1:40" s="86" customFormat="1" ht="59.25" customHeight="1">
      <c r="A94" s="402">
        <v>167703</v>
      </c>
      <c r="B94" s="89" t="s">
        <v>211</v>
      </c>
      <c r="C94" s="89" t="s">
        <v>212</v>
      </c>
      <c r="D94" s="88">
        <v>85284</v>
      </c>
      <c r="E94" s="88" t="s">
        <v>213</v>
      </c>
      <c r="F94" s="88" t="s">
        <v>51</v>
      </c>
      <c r="G94" s="88">
        <v>59364</v>
      </c>
      <c r="H94" s="88" t="s">
        <v>591</v>
      </c>
      <c r="I94" s="88" t="s">
        <v>40</v>
      </c>
      <c r="J94" s="89" t="s">
        <v>5281</v>
      </c>
      <c r="K94" s="103" t="s">
        <v>1233</v>
      </c>
      <c r="L94" s="403" t="s">
        <v>26</v>
      </c>
      <c r="M94" s="199">
        <v>45077</v>
      </c>
      <c r="N94" s="105">
        <v>44705</v>
      </c>
      <c r="O94" s="105"/>
      <c r="P94" s="203" t="s">
        <v>1491</v>
      </c>
      <c r="Q94" s="203" t="s">
        <v>1662</v>
      </c>
      <c r="R94" s="203" t="s">
        <v>1924</v>
      </c>
      <c r="S94" s="203"/>
      <c r="T94" s="87" t="s">
        <v>5732</v>
      </c>
      <c r="U94" s="87" t="s">
        <v>1568</v>
      </c>
      <c r="V94" s="87"/>
      <c r="W94" s="88" t="s">
        <v>1568</v>
      </c>
      <c r="X94" s="249" t="s">
        <v>4689</v>
      </c>
      <c r="Y94" s="88"/>
      <c r="Z94" s="250"/>
      <c r="AA94" s="87" t="s">
        <v>2132</v>
      </c>
      <c r="AB94" s="250" t="s">
        <v>2072</v>
      </c>
      <c r="AC94" s="250"/>
      <c r="AD94" s="250"/>
      <c r="AE94" s="87"/>
      <c r="AF94" s="88" t="s">
        <v>5517</v>
      </c>
      <c r="AG94" s="88" t="s">
        <v>2073</v>
      </c>
      <c r="AH94" s="88" t="s">
        <v>2074</v>
      </c>
      <c r="AI94" s="224" t="s">
        <v>2075</v>
      </c>
      <c r="AJ94" s="225">
        <v>2</v>
      </c>
      <c r="AK94" s="224" t="s">
        <v>2133</v>
      </c>
      <c r="AL94" s="224" t="s">
        <v>2134</v>
      </c>
      <c r="AM94" s="224" t="s">
        <v>2099</v>
      </c>
      <c r="AN94" s="224" t="s">
        <v>2135</v>
      </c>
    </row>
    <row r="95" spans="1:40" s="86" customFormat="1" ht="59.25" customHeight="1">
      <c r="A95" s="402">
        <v>167710</v>
      </c>
      <c r="B95" s="89" t="s">
        <v>214</v>
      </c>
      <c r="C95" s="89" t="s">
        <v>215</v>
      </c>
      <c r="D95" s="88" t="s">
        <v>216</v>
      </c>
      <c r="E95" s="88" t="s">
        <v>217</v>
      </c>
      <c r="F95" s="88" t="s">
        <v>51</v>
      </c>
      <c r="G95" s="88">
        <v>22373</v>
      </c>
      <c r="H95" s="88" t="s">
        <v>591</v>
      </c>
      <c r="I95" s="88" t="s">
        <v>40</v>
      </c>
      <c r="J95" s="89" t="s">
        <v>5450</v>
      </c>
      <c r="K95" s="103" t="s">
        <v>1233</v>
      </c>
      <c r="L95" s="403" t="s">
        <v>26</v>
      </c>
      <c r="M95" s="199">
        <v>45077</v>
      </c>
      <c r="N95" s="105">
        <v>44705</v>
      </c>
      <c r="O95" s="105"/>
      <c r="P95" s="203" t="s">
        <v>4977</v>
      </c>
      <c r="Q95" s="203" t="s">
        <v>1663</v>
      </c>
      <c r="R95" s="203" t="s">
        <v>1922</v>
      </c>
      <c r="S95" s="203"/>
      <c r="T95" s="87" t="s">
        <v>5730</v>
      </c>
      <c r="U95" s="87" t="s">
        <v>1568</v>
      </c>
      <c r="V95" s="87"/>
      <c r="W95" s="88" t="s">
        <v>1568</v>
      </c>
      <c r="X95" s="249" t="s">
        <v>4690</v>
      </c>
      <c r="Y95" s="88"/>
      <c r="Z95" s="250"/>
      <c r="AA95" s="87" t="s">
        <v>2132</v>
      </c>
      <c r="AB95" s="250" t="s">
        <v>2072</v>
      </c>
      <c r="AC95" s="250"/>
      <c r="AD95" s="250"/>
      <c r="AE95" s="87"/>
      <c r="AF95" s="88" t="s">
        <v>5517</v>
      </c>
      <c r="AG95" s="88" t="s">
        <v>2073</v>
      </c>
      <c r="AH95" s="88" t="s">
        <v>2074</v>
      </c>
      <c r="AI95" s="224" t="s">
        <v>2075</v>
      </c>
      <c r="AJ95" s="225">
        <v>2</v>
      </c>
      <c r="AK95" s="224" t="s">
        <v>2133</v>
      </c>
      <c r="AL95" s="224" t="s">
        <v>2134</v>
      </c>
      <c r="AM95" s="224" t="s">
        <v>2099</v>
      </c>
      <c r="AN95" s="224" t="s">
        <v>2135</v>
      </c>
    </row>
    <row r="96" spans="1:40" s="86" customFormat="1" ht="59.25" customHeight="1">
      <c r="A96" s="402">
        <v>167750</v>
      </c>
      <c r="B96" s="89" t="s">
        <v>1225</v>
      </c>
      <c r="C96" s="89" t="s">
        <v>1226</v>
      </c>
      <c r="D96" s="88">
        <v>85034</v>
      </c>
      <c r="E96" s="88" t="s">
        <v>195</v>
      </c>
      <c r="F96" s="88" t="s">
        <v>51</v>
      </c>
      <c r="G96" s="88" t="s">
        <v>838</v>
      </c>
      <c r="H96" s="88" t="s">
        <v>591</v>
      </c>
      <c r="I96" s="88" t="s">
        <v>40</v>
      </c>
      <c r="J96" s="89" t="s">
        <v>5281</v>
      </c>
      <c r="K96" s="103" t="s">
        <v>1233</v>
      </c>
      <c r="L96" s="403" t="s">
        <v>26</v>
      </c>
      <c r="M96" s="199">
        <v>45077</v>
      </c>
      <c r="N96" s="105">
        <v>44705</v>
      </c>
      <c r="O96" s="105"/>
      <c r="P96" s="203" t="s">
        <v>4279</v>
      </c>
      <c r="Q96" s="203" t="s">
        <v>1664</v>
      </c>
      <c r="R96" s="203"/>
      <c r="S96" s="203"/>
      <c r="T96" s="87" t="s">
        <v>5732</v>
      </c>
      <c r="U96" s="87" t="s">
        <v>1568</v>
      </c>
      <c r="V96" s="87"/>
      <c r="W96" s="88" t="s">
        <v>1568</v>
      </c>
      <c r="X96" s="249" t="s">
        <v>4689</v>
      </c>
      <c r="Y96" s="88"/>
      <c r="Z96" s="250"/>
      <c r="AA96" s="87" t="s">
        <v>2132</v>
      </c>
      <c r="AB96" s="250" t="s">
        <v>2072</v>
      </c>
      <c r="AC96" s="250"/>
      <c r="AD96" s="250"/>
      <c r="AE96" s="87"/>
      <c r="AF96" s="88" t="s">
        <v>5517</v>
      </c>
      <c r="AG96" s="88" t="s">
        <v>2073</v>
      </c>
      <c r="AH96" s="88" t="s">
        <v>2074</v>
      </c>
      <c r="AI96" s="224" t="s">
        <v>2075</v>
      </c>
      <c r="AJ96" s="225">
        <v>2</v>
      </c>
      <c r="AK96" s="224" t="s">
        <v>2133</v>
      </c>
      <c r="AL96" s="224" t="s">
        <v>2134</v>
      </c>
      <c r="AM96" s="224" t="s">
        <v>2099</v>
      </c>
      <c r="AN96" s="224" t="s">
        <v>2135</v>
      </c>
    </row>
    <row r="97" spans="1:40" s="86" customFormat="1" ht="59.25" customHeight="1">
      <c r="A97" s="402">
        <v>167783</v>
      </c>
      <c r="B97" s="89" t="s">
        <v>219</v>
      </c>
      <c r="C97" s="89" t="s">
        <v>220</v>
      </c>
      <c r="D97" s="88" t="s">
        <v>221</v>
      </c>
      <c r="E97" s="88" t="s">
        <v>222</v>
      </c>
      <c r="F97" s="88" t="s">
        <v>51</v>
      </c>
      <c r="G97" s="88">
        <v>70210</v>
      </c>
      <c r="H97" s="88" t="s">
        <v>591</v>
      </c>
      <c r="I97" s="88" t="s">
        <v>40</v>
      </c>
      <c r="J97" s="89" t="s">
        <v>5281</v>
      </c>
      <c r="K97" s="103" t="s">
        <v>1233</v>
      </c>
      <c r="L97" s="403" t="s">
        <v>26</v>
      </c>
      <c r="M97" s="199">
        <v>45077</v>
      </c>
      <c r="N97" s="105">
        <v>44705</v>
      </c>
      <c r="O97" s="105"/>
      <c r="P97" s="203" t="s">
        <v>4280</v>
      </c>
      <c r="Q97" s="203" t="s">
        <v>1665</v>
      </c>
      <c r="R97" s="203" t="s">
        <v>1923</v>
      </c>
      <c r="S97" s="203"/>
      <c r="T97" s="87" t="s">
        <v>5733</v>
      </c>
      <c r="U97" s="87" t="s">
        <v>1568</v>
      </c>
      <c r="V97" s="87"/>
      <c r="W97" s="88" t="s">
        <v>1568</v>
      </c>
      <c r="X97" s="249" t="s">
        <v>4689</v>
      </c>
      <c r="Y97" s="88"/>
      <c r="Z97" s="250"/>
      <c r="AA97" s="87" t="s">
        <v>2132</v>
      </c>
      <c r="AB97" s="250" t="s">
        <v>2072</v>
      </c>
      <c r="AC97" s="250"/>
      <c r="AD97" s="250"/>
      <c r="AE97" s="87"/>
      <c r="AF97" s="88" t="s">
        <v>5517</v>
      </c>
      <c r="AG97" s="88" t="s">
        <v>2073</v>
      </c>
      <c r="AH97" s="88" t="s">
        <v>2074</v>
      </c>
      <c r="AI97" s="224" t="s">
        <v>2075</v>
      </c>
      <c r="AJ97" s="225">
        <v>2</v>
      </c>
      <c r="AK97" s="224" t="s">
        <v>2133</v>
      </c>
      <c r="AL97" s="224" t="s">
        <v>2134</v>
      </c>
      <c r="AM97" s="224" t="s">
        <v>2099</v>
      </c>
      <c r="AN97" s="224" t="s">
        <v>2135</v>
      </c>
    </row>
    <row r="98" spans="1:40" s="86" customFormat="1" ht="59.25" customHeight="1">
      <c r="A98" s="402">
        <v>168509</v>
      </c>
      <c r="B98" s="89" t="s">
        <v>223</v>
      </c>
      <c r="C98" s="89" t="s">
        <v>224</v>
      </c>
      <c r="D98" s="88" t="s">
        <v>225</v>
      </c>
      <c r="E98" s="88" t="s">
        <v>226</v>
      </c>
      <c r="F98" s="88" t="s">
        <v>45</v>
      </c>
      <c r="G98" s="88" t="s">
        <v>839</v>
      </c>
      <c r="H98" s="88" t="s">
        <v>591</v>
      </c>
      <c r="I98" s="88" t="s">
        <v>40</v>
      </c>
      <c r="J98" s="89" t="s">
        <v>5282</v>
      </c>
      <c r="K98" s="103" t="s">
        <v>1233</v>
      </c>
      <c r="L98" s="403" t="s">
        <v>26</v>
      </c>
      <c r="M98" s="199">
        <v>45412</v>
      </c>
      <c r="N98" s="105">
        <v>44672</v>
      </c>
      <c r="O98" s="105"/>
      <c r="P98" s="203" t="s">
        <v>5673</v>
      </c>
      <c r="Q98" s="203" t="s">
        <v>1666</v>
      </c>
      <c r="R98" s="203" t="s">
        <v>1925</v>
      </c>
      <c r="S98" s="203"/>
      <c r="T98" s="87" t="s">
        <v>5074</v>
      </c>
      <c r="U98" s="87" t="s">
        <v>1568</v>
      </c>
      <c r="V98" s="87"/>
      <c r="W98" s="88" t="s">
        <v>1568</v>
      </c>
      <c r="X98" s="249" t="s">
        <v>4362</v>
      </c>
      <c r="Y98" s="88"/>
      <c r="Z98" s="250"/>
      <c r="AA98" s="87" t="s">
        <v>2171</v>
      </c>
      <c r="AB98" s="250" t="s">
        <v>2072</v>
      </c>
      <c r="AC98" s="250"/>
      <c r="AD98" s="250"/>
      <c r="AE98" s="87"/>
      <c r="AF98" s="88" t="s">
        <v>5282</v>
      </c>
      <c r="AG98" s="88" t="s">
        <v>2073</v>
      </c>
      <c r="AH98" s="88" t="s">
        <v>2093</v>
      </c>
      <c r="AI98" s="224"/>
      <c r="AJ98" s="225">
        <v>2</v>
      </c>
      <c r="AK98" s="224" t="s">
        <v>2076</v>
      </c>
      <c r="AL98" s="224" t="s">
        <v>2172</v>
      </c>
      <c r="AM98" s="224" t="s">
        <v>2077</v>
      </c>
      <c r="AN98" s="224"/>
    </row>
    <row r="99" spans="1:40" s="86" customFormat="1" ht="59.25" customHeight="1">
      <c r="A99" s="402">
        <v>168942</v>
      </c>
      <c r="B99" s="89" t="s">
        <v>1251</v>
      </c>
      <c r="C99" s="89" t="s">
        <v>1252</v>
      </c>
      <c r="D99" s="88">
        <v>35801</v>
      </c>
      <c r="E99" s="88" t="s">
        <v>478</v>
      </c>
      <c r="F99" s="88" t="s">
        <v>47</v>
      </c>
      <c r="G99" s="88" t="s">
        <v>1241</v>
      </c>
      <c r="H99" s="88" t="s">
        <v>591</v>
      </c>
      <c r="I99" s="88" t="s">
        <v>40</v>
      </c>
      <c r="J99" s="89" t="s">
        <v>5280</v>
      </c>
      <c r="K99" s="103" t="s">
        <v>1233</v>
      </c>
      <c r="L99" s="403" t="s">
        <v>26</v>
      </c>
      <c r="M99" s="199">
        <v>45230</v>
      </c>
      <c r="N99" s="105">
        <v>44319</v>
      </c>
      <c r="O99" s="105"/>
      <c r="P99" s="203" t="s">
        <v>5608</v>
      </c>
      <c r="Q99" s="203" t="s">
        <v>1667</v>
      </c>
      <c r="R99" s="203"/>
      <c r="S99" s="203"/>
      <c r="T99" s="87" t="s">
        <v>5734</v>
      </c>
      <c r="U99" s="87" t="s">
        <v>1571</v>
      </c>
      <c r="V99" s="87"/>
      <c r="W99" s="88" t="s">
        <v>1571</v>
      </c>
      <c r="X99" s="249" t="s">
        <v>3736</v>
      </c>
      <c r="Y99" s="88"/>
      <c r="Z99" s="250"/>
      <c r="AA99" s="87" t="s">
        <v>743</v>
      </c>
      <c r="AB99" s="250" t="s">
        <v>2072</v>
      </c>
      <c r="AC99" s="250"/>
      <c r="AD99" s="250"/>
      <c r="AE99" s="87"/>
      <c r="AF99" s="88" t="s">
        <v>5280</v>
      </c>
      <c r="AG99" s="88" t="s">
        <v>2073</v>
      </c>
      <c r="AH99" s="88" t="s">
        <v>2074</v>
      </c>
      <c r="AI99" s="224" t="s">
        <v>2075</v>
      </c>
      <c r="AJ99" s="225">
        <v>2</v>
      </c>
      <c r="AK99" s="224" t="s">
        <v>2076</v>
      </c>
      <c r="AL99" s="224" t="s">
        <v>2096</v>
      </c>
      <c r="AM99" s="224" t="s">
        <v>2077</v>
      </c>
      <c r="AN99" s="224"/>
    </row>
    <row r="100" spans="1:40" s="86" customFormat="1" ht="59.25" customHeight="1">
      <c r="A100" s="402">
        <v>169995</v>
      </c>
      <c r="B100" s="89" t="s">
        <v>5412</v>
      </c>
      <c r="C100" s="89" t="s">
        <v>227</v>
      </c>
      <c r="D100" s="88">
        <v>28200</v>
      </c>
      <c r="E100" s="88" t="s">
        <v>228</v>
      </c>
      <c r="F100" s="88" t="s">
        <v>47</v>
      </c>
      <c r="G100" s="88" t="s">
        <v>840</v>
      </c>
      <c r="H100" s="88" t="s">
        <v>591</v>
      </c>
      <c r="I100" s="88" t="s">
        <v>40</v>
      </c>
      <c r="J100" s="89" t="s">
        <v>5449</v>
      </c>
      <c r="K100" s="103" t="s">
        <v>1402</v>
      </c>
      <c r="L100" s="403" t="s">
        <v>26</v>
      </c>
      <c r="M100" s="199">
        <v>45350</v>
      </c>
      <c r="N100" s="105">
        <v>44434</v>
      </c>
      <c r="O100" s="105"/>
      <c r="P100" s="203" t="s">
        <v>6025</v>
      </c>
      <c r="Q100" s="203" t="s">
        <v>6069</v>
      </c>
      <c r="R100" s="203" t="s">
        <v>1875</v>
      </c>
      <c r="S100" s="203"/>
      <c r="T100" s="87" t="s">
        <v>5735</v>
      </c>
      <c r="U100" s="87" t="s">
        <v>1569</v>
      </c>
      <c r="V100" s="87"/>
      <c r="W100" s="88" t="s">
        <v>1568</v>
      </c>
      <c r="X100" s="249" t="s">
        <v>5956</v>
      </c>
      <c r="Y100" s="88"/>
      <c r="Z100" s="250"/>
      <c r="AA100" s="87" t="s">
        <v>2097</v>
      </c>
      <c r="AB100" s="250" t="s">
        <v>2072</v>
      </c>
      <c r="AC100" s="250"/>
      <c r="AD100" s="250"/>
      <c r="AE100" s="87"/>
      <c r="AF100" s="88" t="s">
        <v>5449</v>
      </c>
      <c r="AG100" s="88" t="s">
        <v>2073</v>
      </c>
      <c r="AH100" s="88" t="s">
        <v>2074</v>
      </c>
      <c r="AI100" s="224" t="s">
        <v>2075</v>
      </c>
      <c r="AJ100" s="225">
        <v>2</v>
      </c>
      <c r="AK100" s="224" t="s">
        <v>2076</v>
      </c>
      <c r="AL100" s="224" t="s">
        <v>2098</v>
      </c>
      <c r="AM100" s="224" t="s">
        <v>2099</v>
      </c>
      <c r="AN100" s="224"/>
    </row>
    <row r="101" spans="1:40" s="86" customFormat="1" ht="59.25" customHeight="1">
      <c r="A101" s="402">
        <v>170121</v>
      </c>
      <c r="B101" s="89" t="s">
        <v>229</v>
      </c>
      <c r="C101" s="89" t="s">
        <v>230</v>
      </c>
      <c r="D101" s="88">
        <v>94420</v>
      </c>
      <c r="E101" s="88" t="s">
        <v>231</v>
      </c>
      <c r="F101" s="88" t="s">
        <v>47</v>
      </c>
      <c r="G101" s="88" t="s">
        <v>841</v>
      </c>
      <c r="H101" s="88" t="s">
        <v>591</v>
      </c>
      <c r="I101" s="88" t="s">
        <v>40</v>
      </c>
      <c r="J101" s="89" t="s">
        <v>1277</v>
      </c>
      <c r="K101" s="103" t="s">
        <v>1402</v>
      </c>
      <c r="L101" s="403" t="s">
        <v>26</v>
      </c>
      <c r="M101" s="199">
        <v>45382</v>
      </c>
      <c r="N101" s="105">
        <v>44270</v>
      </c>
      <c r="O101" s="105"/>
      <c r="P101" s="203" t="s">
        <v>1501</v>
      </c>
      <c r="Q101" s="203" t="s">
        <v>1668</v>
      </c>
      <c r="R101" s="203" t="s">
        <v>1926</v>
      </c>
      <c r="S101" s="203"/>
      <c r="T101" s="87" t="s">
        <v>5736</v>
      </c>
      <c r="U101" s="87" t="s">
        <v>1568</v>
      </c>
      <c r="V101" s="87"/>
      <c r="W101" s="88" t="s">
        <v>1568</v>
      </c>
      <c r="X101" s="249" t="s">
        <v>5269</v>
      </c>
      <c r="Y101" s="88"/>
      <c r="Z101" s="250"/>
      <c r="AA101" s="87" t="s">
        <v>2183</v>
      </c>
      <c r="AB101" s="250" t="s">
        <v>2072</v>
      </c>
      <c r="AC101" s="250"/>
      <c r="AD101" s="250"/>
      <c r="AE101" s="87"/>
      <c r="AF101" s="88" t="s">
        <v>1277</v>
      </c>
      <c r="AG101" s="88" t="s">
        <v>2073</v>
      </c>
      <c r="AH101" s="88" t="s">
        <v>2093</v>
      </c>
      <c r="AI101" s="224"/>
      <c r="AJ101" s="225">
        <v>4</v>
      </c>
      <c r="AK101" s="224" t="s">
        <v>2085</v>
      </c>
      <c r="AL101" s="224" t="s">
        <v>2184</v>
      </c>
      <c r="AM101" s="224"/>
      <c r="AN101" s="224"/>
    </row>
    <row r="102" spans="1:40" s="86" customFormat="1" ht="59.25" customHeight="1">
      <c r="A102" s="402">
        <v>171379</v>
      </c>
      <c r="B102" s="89" t="s">
        <v>772</v>
      </c>
      <c r="C102" s="89" t="s">
        <v>773</v>
      </c>
      <c r="D102" s="88" t="s">
        <v>774</v>
      </c>
      <c r="E102" s="88" t="s">
        <v>775</v>
      </c>
      <c r="F102" s="88" t="s">
        <v>45</v>
      </c>
      <c r="G102" s="88" t="s">
        <v>842</v>
      </c>
      <c r="H102" s="88" t="s">
        <v>591</v>
      </c>
      <c r="I102" s="88" t="s">
        <v>40</v>
      </c>
      <c r="J102" s="89" t="s">
        <v>5280</v>
      </c>
      <c r="K102" s="103" t="s">
        <v>1402</v>
      </c>
      <c r="L102" s="403" t="s">
        <v>26</v>
      </c>
      <c r="M102" s="199">
        <v>45716</v>
      </c>
      <c r="N102" s="105">
        <v>44705</v>
      </c>
      <c r="O102" s="105"/>
      <c r="P102" s="203" t="s">
        <v>5345</v>
      </c>
      <c r="Q102" s="203" t="s">
        <v>1669</v>
      </c>
      <c r="R102" s="203" t="s">
        <v>1927</v>
      </c>
      <c r="S102" s="203"/>
      <c r="T102" s="87" t="s">
        <v>1539</v>
      </c>
      <c r="U102" s="87" t="s">
        <v>1568</v>
      </c>
      <c r="V102" s="87"/>
      <c r="W102" s="88" t="s">
        <v>1568</v>
      </c>
      <c r="X102" s="249" t="s">
        <v>3737</v>
      </c>
      <c r="Y102" s="88"/>
      <c r="Z102" s="250" t="s">
        <v>5514</v>
      </c>
      <c r="AA102" s="87" t="s">
        <v>2223</v>
      </c>
      <c r="AB102" s="250" t="s">
        <v>2079</v>
      </c>
      <c r="AC102" s="250" t="s">
        <v>5518</v>
      </c>
      <c r="AD102" s="250"/>
      <c r="AE102" s="87" t="s">
        <v>5514</v>
      </c>
      <c r="AF102" s="88" t="s">
        <v>5280</v>
      </c>
      <c r="AG102" s="88" t="s">
        <v>2073</v>
      </c>
      <c r="AH102" s="88" t="s">
        <v>2093</v>
      </c>
      <c r="AI102" s="224"/>
      <c r="AJ102" s="225">
        <v>4</v>
      </c>
      <c r="AK102" s="224" t="s">
        <v>2085</v>
      </c>
      <c r="AL102" s="224" t="s">
        <v>2224</v>
      </c>
      <c r="AM102" s="224" t="s">
        <v>2087</v>
      </c>
      <c r="AN102" s="224"/>
    </row>
    <row r="103" spans="1:40" s="86" customFormat="1" ht="59.25" customHeight="1">
      <c r="A103" s="402">
        <v>171380</v>
      </c>
      <c r="B103" s="89" t="s">
        <v>1439</v>
      </c>
      <c r="C103" s="89" t="s">
        <v>497</v>
      </c>
      <c r="D103" s="88">
        <v>78373</v>
      </c>
      <c r="E103" s="88" t="s">
        <v>232</v>
      </c>
      <c r="F103" s="88" t="s">
        <v>47</v>
      </c>
      <c r="G103" s="88" t="s">
        <v>843</v>
      </c>
      <c r="H103" s="88" t="s">
        <v>591</v>
      </c>
      <c r="I103" s="88" t="s">
        <v>40</v>
      </c>
      <c r="J103" s="89" t="s">
        <v>5449</v>
      </c>
      <c r="K103" s="103" t="s">
        <v>1402</v>
      </c>
      <c r="L103" s="403" t="s">
        <v>26</v>
      </c>
      <c r="M103" s="199">
        <v>45350</v>
      </c>
      <c r="N103" s="105">
        <v>44673</v>
      </c>
      <c r="O103" s="105"/>
      <c r="P103" s="203" t="s">
        <v>6026</v>
      </c>
      <c r="Q103" s="203" t="s">
        <v>6070</v>
      </c>
      <c r="R103" s="203" t="s">
        <v>5436</v>
      </c>
      <c r="S103" s="203"/>
      <c r="T103" s="87" t="s">
        <v>5737</v>
      </c>
      <c r="U103" s="87" t="s">
        <v>1572</v>
      </c>
      <c r="V103" s="87"/>
      <c r="W103" s="88" t="s">
        <v>1571</v>
      </c>
      <c r="X103" s="249"/>
      <c r="Y103" s="88"/>
      <c r="Z103" s="250"/>
      <c r="AA103" s="87" t="s">
        <v>2097</v>
      </c>
      <c r="AB103" s="250" t="s">
        <v>2072</v>
      </c>
      <c r="AC103" s="250"/>
      <c r="AD103" s="250"/>
      <c r="AE103" s="87"/>
      <c r="AF103" s="88" t="s">
        <v>5449</v>
      </c>
      <c r="AG103" s="88" t="s">
        <v>2073</v>
      </c>
      <c r="AH103" s="88" t="s">
        <v>2074</v>
      </c>
      <c r="AI103" s="224" t="s">
        <v>2075</v>
      </c>
      <c r="AJ103" s="225">
        <v>2</v>
      </c>
      <c r="AK103" s="224" t="s">
        <v>2076</v>
      </c>
      <c r="AL103" s="224" t="s">
        <v>2098</v>
      </c>
      <c r="AM103" s="224" t="s">
        <v>2099</v>
      </c>
      <c r="AN103" s="224"/>
    </row>
    <row r="104" spans="1:40" s="86" customFormat="1" ht="59.25" customHeight="1">
      <c r="A104" s="402">
        <v>171387</v>
      </c>
      <c r="B104" s="89" t="s">
        <v>5412</v>
      </c>
      <c r="C104" s="89" t="s">
        <v>233</v>
      </c>
      <c r="D104" s="88">
        <v>42230</v>
      </c>
      <c r="E104" s="88" t="s">
        <v>234</v>
      </c>
      <c r="F104" s="88" t="s">
        <v>47</v>
      </c>
      <c r="G104" s="88" t="s">
        <v>844</v>
      </c>
      <c r="H104" s="88" t="s">
        <v>591</v>
      </c>
      <c r="I104" s="88" t="s">
        <v>40</v>
      </c>
      <c r="J104" s="89" t="s">
        <v>5449</v>
      </c>
      <c r="K104" s="103" t="s">
        <v>1402</v>
      </c>
      <c r="L104" s="403" t="s">
        <v>26</v>
      </c>
      <c r="M104" s="199">
        <v>45350</v>
      </c>
      <c r="N104" s="105">
        <v>44434</v>
      </c>
      <c r="O104" s="105"/>
      <c r="P104" s="203" t="s">
        <v>6027</v>
      </c>
      <c r="Q104" s="203" t="s">
        <v>6070</v>
      </c>
      <c r="R104" s="203" t="s">
        <v>1928</v>
      </c>
      <c r="S104" s="203"/>
      <c r="T104" s="87" t="s">
        <v>5738</v>
      </c>
      <c r="U104" s="87" t="s">
        <v>1582</v>
      </c>
      <c r="V104" s="87"/>
      <c r="W104" s="88" t="s">
        <v>1571</v>
      </c>
      <c r="X104" s="249" t="s">
        <v>5955</v>
      </c>
      <c r="Y104" s="88"/>
      <c r="Z104" s="250"/>
      <c r="AA104" s="87" t="s">
        <v>2097</v>
      </c>
      <c r="AB104" s="250" t="s">
        <v>2072</v>
      </c>
      <c r="AC104" s="250"/>
      <c r="AD104" s="250"/>
      <c r="AE104" s="87"/>
      <c r="AF104" s="88" t="s">
        <v>5449</v>
      </c>
      <c r="AG104" s="88" t="s">
        <v>2073</v>
      </c>
      <c r="AH104" s="88" t="s">
        <v>2074</v>
      </c>
      <c r="AI104" s="224" t="s">
        <v>2075</v>
      </c>
      <c r="AJ104" s="225">
        <v>2</v>
      </c>
      <c r="AK104" s="224" t="s">
        <v>2076</v>
      </c>
      <c r="AL104" s="224" t="s">
        <v>2098</v>
      </c>
      <c r="AM104" s="224" t="s">
        <v>2099</v>
      </c>
      <c r="AN104" s="224"/>
    </row>
    <row r="105" spans="1:40" s="86" customFormat="1" ht="59.25" customHeight="1">
      <c r="A105" s="402">
        <v>171397</v>
      </c>
      <c r="B105" s="89" t="s">
        <v>845</v>
      </c>
      <c r="C105" s="89" t="s">
        <v>1084</v>
      </c>
      <c r="D105" s="88">
        <v>52498</v>
      </c>
      <c r="E105" s="88" t="s">
        <v>235</v>
      </c>
      <c r="F105" s="88" t="s">
        <v>51</v>
      </c>
      <c r="G105" s="88" t="s">
        <v>846</v>
      </c>
      <c r="H105" s="88" t="s">
        <v>591</v>
      </c>
      <c r="I105" s="88" t="s">
        <v>1114</v>
      </c>
      <c r="J105" s="89" t="s">
        <v>1510</v>
      </c>
      <c r="K105" s="103" t="s">
        <v>1233</v>
      </c>
      <c r="L105" s="403" t="s">
        <v>26</v>
      </c>
      <c r="M105" s="199">
        <v>44926</v>
      </c>
      <c r="N105" s="105">
        <v>44375</v>
      </c>
      <c r="O105" s="105"/>
      <c r="P105" s="203"/>
      <c r="Q105" s="203"/>
      <c r="R105" s="203"/>
      <c r="S105" s="203"/>
      <c r="T105" s="87" t="s">
        <v>5739</v>
      </c>
      <c r="U105" s="87" t="s">
        <v>1576</v>
      </c>
      <c r="V105" s="87"/>
      <c r="W105" s="88" t="s">
        <v>1576</v>
      </c>
      <c r="X105" s="249" t="s">
        <v>4413</v>
      </c>
      <c r="Y105" s="88"/>
      <c r="Z105" s="250"/>
      <c r="AA105" s="87" t="s">
        <v>2225</v>
      </c>
      <c r="AB105" s="250" t="s">
        <v>2128</v>
      </c>
      <c r="AC105" s="250" t="s">
        <v>2129</v>
      </c>
      <c r="AD105" s="250"/>
      <c r="AE105" s="87"/>
      <c r="AF105" s="88" t="s">
        <v>1510</v>
      </c>
      <c r="AG105" s="88" t="s">
        <v>2128</v>
      </c>
      <c r="AH105" s="88"/>
      <c r="AI105" s="224"/>
      <c r="AJ105" s="225">
        <v>1</v>
      </c>
      <c r="AK105" s="224" t="s">
        <v>2107</v>
      </c>
      <c r="AL105" s="224" t="s">
        <v>2226</v>
      </c>
      <c r="AM105" s="224" t="s">
        <v>2131</v>
      </c>
      <c r="AN105" s="224" t="s">
        <v>2227</v>
      </c>
    </row>
    <row r="106" spans="1:40" s="86" customFormat="1" ht="59.25" customHeight="1">
      <c r="A106" s="402">
        <v>172190</v>
      </c>
      <c r="B106" s="89" t="s">
        <v>673</v>
      </c>
      <c r="C106" s="89" t="s">
        <v>674</v>
      </c>
      <c r="D106" s="88">
        <v>91342</v>
      </c>
      <c r="E106" s="88" t="s">
        <v>675</v>
      </c>
      <c r="F106" s="88" t="s">
        <v>51</v>
      </c>
      <c r="G106" s="88">
        <v>91812</v>
      </c>
      <c r="H106" s="88" t="s">
        <v>591</v>
      </c>
      <c r="I106" s="88" t="s">
        <v>40</v>
      </c>
      <c r="J106" s="89" t="s">
        <v>1277</v>
      </c>
      <c r="K106" s="103"/>
      <c r="L106" s="403" t="s">
        <v>26</v>
      </c>
      <c r="M106" s="199">
        <v>45229</v>
      </c>
      <c r="N106" s="105">
        <v>44134</v>
      </c>
      <c r="O106" s="105"/>
      <c r="P106" s="203" t="s">
        <v>2531</v>
      </c>
      <c r="Q106" s="203" t="s">
        <v>1670</v>
      </c>
      <c r="R106" s="203"/>
      <c r="S106" s="203"/>
      <c r="T106" s="87" t="s">
        <v>4425</v>
      </c>
      <c r="U106" s="87" t="s">
        <v>1568</v>
      </c>
      <c r="V106" s="87"/>
      <c r="W106" s="88" t="s">
        <v>1568</v>
      </c>
      <c r="X106" s="249" t="s">
        <v>3740</v>
      </c>
      <c r="Y106" s="88"/>
      <c r="Z106" s="250"/>
      <c r="AA106" s="87" t="s">
        <v>673</v>
      </c>
      <c r="AB106" s="250" t="s">
        <v>2072</v>
      </c>
      <c r="AC106" s="250"/>
      <c r="AD106" s="250"/>
      <c r="AE106" s="87"/>
      <c r="AF106" s="88" t="s">
        <v>1277</v>
      </c>
      <c r="AG106" s="88" t="s">
        <v>2073</v>
      </c>
      <c r="AH106" s="88" t="s">
        <v>2093</v>
      </c>
      <c r="AI106" s="224"/>
      <c r="AJ106" s="225">
        <v>4</v>
      </c>
      <c r="AK106" s="224" t="s">
        <v>2085</v>
      </c>
      <c r="AL106" s="224" t="s">
        <v>2228</v>
      </c>
      <c r="AM106" s="224"/>
      <c r="AN106" s="224"/>
    </row>
    <row r="107" spans="1:40" s="86" customFormat="1" ht="59.25" customHeight="1">
      <c r="A107" s="402">
        <v>172438</v>
      </c>
      <c r="B107" s="89" t="s">
        <v>4695</v>
      </c>
      <c r="C107" s="89" t="s">
        <v>4696</v>
      </c>
      <c r="D107" s="88">
        <v>4030</v>
      </c>
      <c r="E107" s="88" t="s">
        <v>4697</v>
      </c>
      <c r="F107" s="88" t="s">
        <v>66</v>
      </c>
      <c r="G107" s="88" t="s">
        <v>4698</v>
      </c>
      <c r="H107" s="88" t="s">
        <v>591</v>
      </c>
      <c r="I107" s="88" t="s">
        <v>784</v>
      </c>
      <c r="J107" s="89" t="s">
        <v>4638</v>
      </c>
      <c r="K107" s="103"/>
      <c r="L107" s="403" t="s">
        <v>26</v>
      </c>
      <c r="M107" s="199">
        <v>44864</v>
      </c>
      <c r="N107" s="105">
        <v>44214</v>
      </c>
      <c r="O107" s="105"/>
      <c r="P107" s="203" t="s">
        <v>4864</v>
      </c>
      <c r="Q107" s="203" t="s">
        <v>4705</v>
      </c>
      <c r="R107" s="203" t="s">
        <v>4709</v>
      </c>
      <c r="S107" s="203"/>
      <c r="T107" s="87" t="s">
        <v>5075</v>
      </c>
      <c r="U107" s="87" t="s">
        <v>1577</v>
      </c>
      <c r="V107" s="87"/>
      <c r="W107" s="88" t="s">
        <v>1568</v>
      </c>
      <c r="X107" s="249" t="s">
        <v>4720</v>
      </c>
      <c r="Y107" s="88"/>
      <c r="Z107" s="250"/>
      <c r="AA107" s="87" t="s">
        <v>4695</v>
      </c>
      <c r="AB107" s="250" t="s">
        <v>2229</v>
      </c>
      <c r="AC107" s="250" t="s">
        <v>2230</v>
      </c>
      <c r="AD107" s="250"/>
      <c r="AE107" s="87"/>
      <c r="AF107" s="88" t="s">
        <v>4638</v>
      </c>
      <c r="AG107" s="88" t="s">
        <v>2231</v>
      </c>
      <c r="AH107" s="88"/>
      <c r="AI107" s="224" t="s">
        <v>2353</v>
      </c>
      <c r="AJ107" s="225">
        <v>3</v>
      </c>
      <c r="AK107" s="224" t="s">
        <v>2107</v>
      </c>
      <c r="AL107" s="224" t="s">
        <v>4731</v>
      </c>
      <c r="AM107" s="224" t="s">
        <v>2233</v>
      </c>
      <c r="AN107" s="224" t="s">
        <v>4732</v>
      </c>
    </row>
    <row r="108" spans="1:40" s="86" customFormat="1" ht="59.25" customHeight="1">
      <c r="A108" s="402">
        <v>172438</v>
      </c>
      <c r="B108" s="89" t="s">
        <v>4695</v>
      </c>
      <c r="C108" s="89" t="s">
        <v>4696</v>
      </c>
      <c r="D108" s="88">
        <v>4030</v>
      </c>
      <c r="E108" s="88" t="s">
        <v>4697</v>
      </c>
      <c r="F108" s="88" t="s">
        <v>66</v>
      </c>
      <c r="G108" s="88" t="s">
        <v>4698</v>
      </c>
      <c r="H108" s="88" t="s">
        <v>591</v>
      </c>
      <c r="I108" s="88" t="s">
        <v>787</v>
      </c>
      <c r="J108" s="89" t="s">
        <v>4638</v>
      </c>
      <c r="K108" s="103"/>
      <c r="L108" s="403" t="s">
        <v>26</v>
      </c>
      <c r="M108" s="199">
        <v>44864</v>
      </c>
      <c r="N108" s="105">
        <v>44214</v>
      </c>
      <c r="O108" s="105"/>
      <c r="P108" s="203" t="s">
        <v>4864</v>
      </c>
      <c r="Q108" s="203" t="s">
        <v>4705</v>
      </c>
      <c r="R108" s="203" t="s">
        <v>4709</v>
      </c>
      <c r="S108" s="203"/>
      <c r="T108" s="87" t="s">
        <v>5075</v>
      </c>
      <c r="U108" s="87" t="s">
        <v>1573</v>
      </c>
      <c r="V108" s="87"/>
      <c r="W108" s="88" t="s">
        <v>1571</v>
      </c>
      <c r="X108" s="249" t="s">
        <v>4721</v>
      </c>
      <c r="Y108" s="88"/>
      <c r="Z108" s="250"/>
      <c r="AA108" s="87" t="s">
        <v>4733</v>
      </c>
      <c r="AB108" s="250" t="s">
        <v>2234</v>
      </c>
      <c r="AC108" s="250" t="s">
        <v>2235</v>
      </c>
      <c r="AD108" s="250"/>
      <c r="AE108" s="87"/>
      <c r="AF108" s="88" t="s">
        <v>4638</v>
      </c>
      <c r="AG108" s="88" t="s">
        <v>2104</v>
      </c>
      <c r="AH108" s="88" t="s">
        <v>2105</v>
      </c>
      <c r="AI108" s="224"/>
      <c r="AJ108" s="225">
        <v>2</v>
      </c>
      <c r="AK108" s="224" t="s">
        <v>2107</v>
      </c>
      <c r="AL108" s="224" t="s">
        <v>4734</v>
      </c>
      <c r="AM108" s="224" t="s">
        <v>4735</v>
      </c>
      <c r="AN108" s="224" t="s">
        <v>4736</v>
      </c>
    </row>
    <row r="109" spans="1:40" s="86" customFormat="1" ht="59.25" customHeight="1">
      <c r="A109" s="402">
        <v>172671</v>
      </c>
      <c r="B109" s="89" t="s">
        <v>1308</v>
      </c>
      <c r="C109" s="89" t="s">
        <v>1309</v>
      </c>
      <c r="D109" s="88">
        <v>11104</v>
      </c>
      <c r="E109" s="88" t="s">
        <v>1310</v>
      </c>
      <c r="F109" s="88" t="s">
        <v>1311</v>
      </c>
      <c r="G109" s="88"/>
      <c r="H109" s="88" t="s">
        <v>591</v>
      </c>
      <c r="I109" s="88" t="s">
        <v>41</v>
      </c>
      <c r="J109" s="89" t="s">
        <v>1421</v>
      </c>
      <c r="K109" s="103" t="s">
        <v>1402</v>
      </c>
      <c r="L109" s="403" t="s">
        <v>26</v>
      </c>
      <c r="M109" s="199">
        <v>45381</v>
      </c>
      <c r="N109" s="105">
        <v>44455</v>
      </c>
      <c r="O109" s="105"/>
      <c r="P109" s="203" t="s">
        <v>4939</v>
      </c>
      <c r="Q109" s="203" t="s">
        <v>1671</v>
      </c>
      <c r="R109" s="203"/>
      <c r="S109" s="203"/>
      <c r="T109" s="87" t="s">
        <v>1540</v>
      </c>
      <c r="U109" s="87" t="s">
        <v>1571</v>
      </c>
      <c r="V109" s="87"/>
      <c r="W109" s="88" t="s">
        <v>1571</v>
      </c>
      <c r="X109" s="249" t="s">
        <v>3742</v>
      </c>
      <c r="Y109" s="88"/>
      <c r="Z109" s="250"/>
      <c r="AA109" s="87" t="s">
        <v>2236</v>
      </c>
      <c r="AB109" s="250" t="s">
        <v>2090</v>
      </c>
      <c r="AC109" s="250"/>
      <c r="AD109" s="250"/>
      <c r="AE109" s="87"/>
      <c r="AF109" s="88" t="s">
        <v>1421</v>
      </c>
      <c r="AG109" s="88" t="s">
        <v>2104</v>
      </c>
      <c r="AH109" s="88"/>
      <c r="AI109" s="224" t="s">
        <v>2194</v>
      </c>
      <c r="AJ109" s="225">
        <v>2</v>
      </c>
      <c r="AK109" s="224" t="s">
        <v>2107</v>
      </c>
      <c r="AL109" s="224" t="s">
        <v>2237</v>
      </c>
      <c r="AM109" s="224" t="s">
        <v>2217</v>
      </c>
      <c r="AN109" s="224" t="s">
        <v>2238</v>
      </c>
    </row>
    <row r="110" spans="1:40" s="86" customFormat="1" ht="59.25" customHeight="1">
      <c r="A110" s="402">
        <v>173784</v>
      </c>
      <c r="B110" s="89" t="s">
        <v>237</v>
      </c>
      <c r="C110" s="89" t="s">
        <v>238</v>
      </c>
      <c r="D110" s="88" t="s">
        <v>239</v>
      </c>
      <c r="E110" s="88" t="s">
        <v>240</v>
      </c>
      <c r="F110" s="88" t="s">
        <v>51</v>
      </c>
      <c r="G110" s="88">
        <v>16017</v>
      </c>
      <c r="H110" s="88" t="s">
        <v>591</v>
      </c>
      <c r="I110" s="88" t="s">
        <v>40</v>
      </c>
      <c r="J110" s="89" t="s">
        <v>1277</v>
      </c>
      <c r="K110" s="103"/>
      <c r="L110" s="403" t="s">
        <v>26</v>
      </c>
      <c r="M110" s="199">
        <v>45016</v>
      </c>
      <c r="N110" s="105">
        <v>43909</v>
      </c>
      <c r="O110" s="105"/>
      <c r="P110" s="203" t="s">
        <v>5034</v>
      </c>
      <c r="Q110" s="203" t="s">
        <v>1672</v>
      </c>
      <c r="R110" s="203" t="s">
        <v>1929</v>
      </c>
      <c r="S110" s="203"/>
      <c r="T110" s="87" t="s">
        <v>1541</v>
      </c>
      <c r="U110" s="87" t="s">
        <v>1568</v>
      </c>
      <c r="V110" s="87" t="s">
        <v>1575</v>
      </c>
      <c r="W110" s="88" t="s">
        <v>1568</v>
      </c>
      <c r="X110" s="249" t="s">
        <v>3744</v>
      </c>
      <c r="Y110" s="88"/>
      <c r="Z110" s="250"/>
      <c r="AA110" s="87" t="s">
        <v>237</v>
      </c>
      <c r="AB110" s="250" t="s">
        <v>2072</v>
      </c>
      <c r="AC110" s="250"/>
      <c r="AD110" s="250"/>
      <c r="AE110" s="87"/>
      <c r="AF110" s="88" t="s">
        <v>1277</v>
      </c>
      <c r="AG110" s="88" t="s">
        <v>2073</v>
      </c>
      <c r="AH110" s="88" t="s">
        <v>2113</v>
      </c>
      <c r="AI110" s="224"/>
      <c r="AJ110" s="225">
        <v>4</v>
      </c>
      <c r="AK110" s="224" t="s">
        <v>2085</v>
      </c>
      <c r="AL110" s="224" t="s">
        <v>2239</v>
      </c>
      <c r="AM110" s="224"/>
      <c r="AN110" s="224"/>
    </row>
    <row r="111" spans="1:40" s="86" customFormat="1" ht="59.25" customHeight="1">
      <c r="A111" s="402">
        <v>173807</v>
      </c>
      <c r="B111" s="89" t="s">
        <v>5668</v>
      </c>
      <c r="C111" s="89" t="s">
        <v>241</v>
      </c>
      <c r="D111" s="88">
        <v>21614</v>
      </c>
      <c r="E111" s="88" t="s">
        <v>242</v>
      </c>
      <c r="F111" s="88" t="s">
        <v>55</v>
      </c>
      <c r="G111" s="88" t="s">
        <v>847</v>
      </c>
      <c r="H111" s="88" t="s">
        <v>591</v>
      </c>
      <c r="I111" s="88" t="s">
        <v>40</v>
      </c>
      <c r="J111" s="89" t="s">
        <v>1421</v>
      </c>
      <c r="K111" s="103" t="s">
        <v>1402</v>
      </c>
      <c r="L111" s="403" t="s">
        <v>26</v>
      </c>
      <c r="M111" s="199">
        <v>45596</v>
      </c>
      <c r="N111" s="105">
        <v>44491</v>
      </c>
      <c r="O111" s="105"/>
      <c r="P111" s="203" t="s">
        <v>5674</v>
      </c>
      <c r="Q111" s="203" t="s">
        <v>1673</v>
      </c>
      <c r="R111" s="203" t="s">
        <v>1930</v>
      </c>
      <c r="S111" s="203"/>
      <c r="T111" s="87" t="s">
        <v>4831</v>
      </c>
      <c r="U111" s="87" t="s">
        <v>1573</v>
      </c>
      <c r="V111" s="87"/>
      <c r="W111" s="88" t="s">
        <v>1571</v>
      </c>
      <c r="X111" s="249" t="s">
        <v>3661</v>
      </c>
      <c r="Y111" s="88"/>
      <c r="Z111" s="250"/>
      <c r="AA111" s="87" t="s">
        <v>2240</v>
      </c>
      <c r="AB111" s="250" t="s">
        <v>2072</v>
      </c>
      <c r="AC111" s="250"/>
      <c r="AD111" s="250"/>
      <c r="AE111" s="87"/>
      <c r="AF111" s="88" t="s">
        <v>1421</v>
      </c>
      <c r="AG111" s="88" t="s">
        <v>2092</v>
      </c>
      <c r="AH111" s="88"/>
      <c r="AI111" s="224"/>
      <c r="AJ111" s="225">
        <v>4</v>
      </c>
      <c r="AK111" s="224" t="s">
        <v>4370</v>
      </c>
      <c r="AL111" s="224" t="s">
        <v>4371</v>
      </c>
      <c r="AM111" s="224" t="s">
        <v>2087</v>
      </c>
      <c r="AN111" s="224"/>
    </row>
    <row r="112" spans="1:40" s="86" customFormat="1" ht="59.25" customHeight="1">
      <c r="A112" s="402">
        <v>173808</v>
      </c>
      <c r="B112" s="89" t="s">
        <v>1307</v>
      </c>
      <c r="C112" s="89" t="s">
        <v>243</v>
      </c>
      <c r="D112" s="88" t="s">
        <v>244</v>
      </c>
      <c r="E112" s="88" t="s">
        <v>245</v>
      </c>
      <c r="F112" s="88" t="s">
        <v>51</v>
      </c>
      <c r="G112" s="88">
        <v>61423</v>
      </c>
      <c r="H112" s="88" t="s">
        <v>591</v>
      </c>
      <c r="I112" s="88" t="s">
        <v>40</v>
      </c>
      <c r="J112" s="89" t="s">
        <v>5282</v>
      </c>
      <c r="K112" s="103" t="s">
        <v>1402</v>
      </c>
      <c r="L112" s="403" t="s">
        <v>26</v>
      </c>
      <c r="M112" s="199">
        <v>45076</v>
      </c>
      <c r="N112" s="105">
        <v>44735</v>
      </c>
      <c r="O112" s="105"/>
      <c r="P112" s="203" t="s">
        <v>6028</v>
      </c>
      <c r="Q112" s="203" t="s">
        <v>1674</v>
      </c>
      <c r="R112" s="203"/>
      <c r="S112" s="203"/>
      <c r="T112" s="87" t="s">
        <v>5265</v>
      </c>
      <c r="U112" s="87" t="s">
        <v>1568</v>
      </c>
      <c r="V112" s="87"/>
      <c r="W112" s="88" t="s">
        <v>1568</v>
      </c>
      <c r="X112" s="249" t="s">
        <v>5270</v>
      </c>
      <c r="Y112" s="88"/>
      <c r="Z112" s="250"/>
      <c r="AA112" s="87" t="s">
        <v>2241</v>
      </c>
      <c r="AB112" s="250" t="s">
        <v>2072</v>
      </c>
      <c r="AC112" s="250"/>
      <c r="AD112" s="250"/>
      <c r="AE112" s="87"/>
      <c r="AF112" s="88" t="s">
        <v>4441</v>
      </c>
      <c r="AG112" s="88" t="s">
        <v>2073</v>
      </c>
      <c r="AH112" s="88" t="s">
        <v>2074</v>
      </c>
      <c r="AI112" s="224" t="s">
        <v>2075</v>
      </c>
      <c r="AJ112" s="225">
        <v>3</v>
      </c>
      <c r="AK112" s="224" t="s">
        <v>2076</v>
      </c>
      <c r="AL112" s="224" t="s">
        <v>2219</v>
      </c>
      <c r="AM112" s="224" t="s">
        <v>2077</v>
      </c>
      <c r="AN112" s="224"/>
    </row>
    <row r="113" spans="1:40" s="86" customFormat="1" ht="59.25" customHeight="1">
      <c r="A113" s="402">
        <v>175626</v>
      </c>
      <c r="B113" s="89" t="s">
        <v>1451</v>
      </c>
      <c r="C113" s="89" t="s">
        <v>1452</v>
      </c>
      <c r="D113" s="88">
        <v>7605</v>
      </c>
      <c r="E113" s="88" t="s">
        <v>1375</v>
      </c>
      <c r="F113" s="88" t="s">
        <v>51</v>
      </c>
      <c r="G113" s="88">
        <v>34345</v>
      </c>
      <c r="H113" s="88" t="s">
        <v>591</v>
      </c>
      <c r="I113" s="88" t="s">
        <v>40</v>
      </c>
      <c r="J113" s="89" t="s">
        <v>5278</v>
      </c>
      <c r="K113" s="103" t="s">
        <v>1233</v>
      </c>
      <c r="L113" s="403" t="s">
        <v>26</v>
      </c>
      <c r="M113" s="199">
        <v>44895</v>
      </c>
      <c r="N113" s="105">
        <v>44158</v>
      </c>
      <c r="O113" s="105"/>
      <c r="P113" s="203" t="s">
        <v>5222</v>
      </c>
      <c r="Q113" s="203" t="s">
        <v>1675</v>
      </c>
      <c r="R113" s="203"/>
      <c r="S113" s="203"/>
      <c r="T113" s="87" t="s">
        <v>4240</v>
      </c>
      <c r="U113" s="87" t="s">
        <v>1568</v>
      </c>
      <c r="V113" s="87"/>
      <c r="W113" s="88" t="s">
        <v>1568</v>
      </c>
      <c r="X113" s="249" t="s">
        <v>3746</v>
      </c>
      <c r="Y113" s="88"/>
      <c r="Z113" s="250" t="s">
        <v>5179</v>
      </c>
      <c r="AA113" s="87" t="s">
        <v>2537</v>
      </c>
      <c r="AB113" s="250" t="s">
        <v>2072</v>
      </c>
      <c r="AC113" s="250" t="s">
        <v>5184</v>
      </c>
      <c r="AD113" s="250"/>
      <c r="AE113" s="87" t="s">
        <v>5179</v>
      </c>
      <c r="AF113" s="88" t="s">
        <v>5278</v>
      </c>
      <c r="AG113" s="88" t="s">
        <v>2283</v>
      </c>
      <c r="AH113" s="88" t="s">
        <v>2093</v>
      </c>
      <c r="AI113" s="224" t="s">
        <v>2380</v>
      </c>
      <c r="AJ113" s="225">
        <v>4</v>
      </c>
      <c r="AK113" s="224" t="s">
        <v>2538</v>
      </c>
      <c r="AL113" s="224" t="s">
        <v>2539</v>
      </c>
      <c r="AM113" s="224"/>
      <c r="AN113" s="224" t="s">
        <v>2540</v>
      </c>
    </row>
    <row r="114" spans="1:40" s="86" customFormat="1" ht="59.25" customHeight="1">
      <c r="A114" s="402">
        <v>175845</v>
      </c>
      <c r="B114" s="89" t="s">
        <v>247</v>
      </c>
      <c r="C114" s="89" t="s">
        <v>248</v>
      </c>
      <c r="D114" s="88">
        <v>92167</v>
      </c>
      <c r="E114" s="88" t="s">
        <v>249</v>
      </c>
      <c r="F114" s="88" t="s">
        <v>47</v>
      </c>
      <c r="G114" s="88" t="s">
        <v>848</v>
      </c>
      <c r="H114" s="88" t="s">
        <v>591</v>
      </c>
      <c r="I114" s="88" t="s">
        <v>40</v>
      </c>
      <c r="J114" s="89" t="s">
        <v>5282</v>
      </c>
      <c r="K114" s="103" t="s">
        <v>1402</v>
      </c>
      <c r="L114" s="403" t="s">
        <v>26</v>
      </c>
      <c r="M114" s="199">
        <v>45076</v>
      </c>
      <c r="N114" s="105">
        <v>44735</v>
      </c>
      <c r="O114" s="105"/>
      <c r="P114" s="203" t="s">
        <v>4480</v>
      </c>
      <c r="Q114" s="203" t="s">
        <v>1676</v>
      </c>
      <c r="R114" s="203" t="s">
        <v>1931</v>
      </c>
      <c r="S114" s="203"/>
      <c r="T114" s="87" t="s">
        <v>1542</v>
      </c>
      <c r="U114" s="87" t="s">
        <v>1569</v>
      </c>
      <c r="V114" s="87"/>
      <c r="W114" s="88" t="s">
        <v>1568</v>
      </c>
      <c r="X114" s="249" t="s">
        <v>3747</v>
      </c>
      <c r="Y114" s="88"/>
      <c r="Z114" s="250"/>
      <c r="AA114" s="87" t="s">
        <v>2241</v>
      </c>
      <c r="AB114" s="250" t="s">
        <v>2072</v>
      </c>
      <c r="AC114" s="250"/>
      <c r="AD114" s="250"/>
      <c r="AE114" s="87"/>
      <c r="AF114" s="88" t="s">
        <v>4441</v>
      </c>
      <c r="AG114" s="88" t="s">
        <v>2073</v>
      </c>
      <c r="AH114" s="88" t="s">
        <v>2074</v>
      </c>
      <c r="AI114" s="224" t="s">
        <v>2075</v>
      </c>
      <c r="AJ114" s="225">
        <v>3</v>
      </c>
      <c r="AK114" s="224" t="s">
        <v>2076</v>
      </c>
      <c r="AL114" s="224" t="s">
        <v>2219</v>
      </c>
      <c r="AM114" s="224" t="s">
        <v>2077</v>
      </c>
      <c r="AN114" s="224"/>
    </row>
    <row r="115" spans="1:40" s="86" customFormat="1" ht="59.25" customHeight="1">
      <c r="A115" s="402">
        <v>176711</v>
      </c>
      <c r="B115" s="89" t="s">
        <v>250</v>
      </c>
      <c r="C115" s="89" t="s">
        <v>251</v>
      </c>
      <c r="D115" s="88">
        <v>31079</v>
      </c>
      <c r="E115" s="88" t="s">
        <v>93</v>
      </c>
      <c r="F115" s="88" t="s">
        <v>47</v>
      </c>
      <c r="G115" s="88" t="s">
        <v>849</v>
      </c>
      <c r="H115" s="88" t="s">
        <v>591</v>
      </c>
      <c r="I115" s="88" t="s">
        <v>40</v>
      </c>
      <c r="J115" s="89" t="s">
        <v>5278</v>
      </c>
      <c r="K115" s="103" t="s">
        <v>1233</v>
      </c>
      <c r="L115" s="403" t="s">
        <v>26</v>
      </c>
      <c r="M115" s="199">
        <v>45596</v>
      </c>
      <c r="N115" s="105">
        <v>44490</v>
      </c>
      <c r="O115" s="105"/>
      <c r="P115" s="203" t="s">
        <v>4784</v>
      </c>
      <c r="Q115" s="203" t="s">
        <v>1677</v>
      </c>
      <c r="R115" s="203" t="s">
        <v>1932</v>
      </c>
      <c r="S115" s="203"/>
      <c r="T115" s="87" t="s">
        <v>5740</v>
      </c>
      <c r="U115" s="87" t="s">
        <v>1569</v>
      </c>
      <c r="V115" s="87"/>
      <c r="W115" s="88" t="s">
        <v>1568</v>
      </c>
      <c r="X115" s="249" t="s">
        <v>6076</v>
      </c>
      <c r="Y115" s="88"/>
      <c r="Z115" s="250"/>
      <c r="AA115" s="87" t="s">
        <v>250</v>
      </c>
      <c r="AB115" s="250" t="s">
        <v>2072</v>
      </c>
      <c r="AC115" s="250"/>
      <c r="AD115" s="250"/>
      <c r="AE115" s="87"/>
      <c r="AF115" s="88" t="s">
        <v>5278</v>
      </c>
      <c r="AG115" s="88" t="s">
        <v>2143</v>
      </c>
      <c r="AH115" s="88" t="s">
        <v>2137</v>
      </c>
      <c r="AI115" s="224"/>
      <c r="AJ115" s="225">
        <v>3</v>
      </c>
      <c r="AK115" s="224" t="s">
        <v>2085</v>
      </c>
      <c r="AL115" s="224" t="s">
        <v>2242</v>
      </c>
      <c r="AM115" s="224" t="s">
        <v>2087</v>
      </c>
      <c r="AN115" s="224"/>
    </row>
    <row r="116" spans="1:40" s="86" customFormat="1" ht="59.25" customHeight="1">
      <c r="A116" s="402">
        <v>176864</v>
      </c>
      <c r="B116" s="89" t="s">
        <v>252</v>
      </c>
      <c r="C116" s="89" t="s">
        <v>253</v>
      </c>
      <c r="D116" s="88">
        <v>78420</v>
      </c>
      <c r="E116" s="88" t="s">
        <v>254</v>
      </c>
      <c r="F116" s="88" t="s">
        <v>47</v>
      </c>
      <c r="G116" s="88" t="s">
        <v>850</v>
      </c>
      <c r="H116" s="88" t="s">
        <v>591</v>
      </c>
      <c r="I116" s="88" t="s">
        <v>40</v>
      </c>
      <c r="J116" s="89" t="s">
        <v>1277</v>
      </c>
      <c r="K116" s="103" t="s">
        <v>1233</v>
      </c>
      <c r="L116" s="403" t="s">
        <v>26</v>
      </c>
      <c r="M116" s="199">
        <v>45138</v>
      </c>
      <c r="N116" s="105">
        <v>44036</v>
      </c>
      <c r="O116" s="105"/>
      <c r="P116" s="203" t="s">
        <v>1315</v>
      </c>
      <c r="Q116" s="203" t="s">
        <v>1678</v>
      </c>
      <c r="R116" s="203" t="s">
        <v>1933</v>
      </c>
      <c r="S116" s="203"/>
      <c r="T116" s="87" t="s">
        <v>4494</v>
      </c>
      <c r="U116" s="87" t="s">
        <v>1569</v>
      </c>
      <c r="V116" s="87"/>
      <c r="W116" s="88" t="s">
        <v>1568</v>
      </c>
      <c r="X116" s="249" t="s">
        <v>5160</v>
      </c>
      <c r="Y116" s="88"/>
      <c r="Z116" s="250"/>
      <c r="AA116" s="87" t="s">
        <v>252</v>
      </c>
      <c r="AB116" s="250" t="s">
        <v>2072</v>
      </c>
      <c r="AC116" s="250"/>
      <c r="AD116" s="250"/>
      <c r="AE116" s="87"/>
      <c r="AF116" s="88" t="s">
        <v>1277</v>
      </c>
      <c r="AG116" s="88" t="s">
        <v>2073</v>
      </c>
      <c r="AH116" s="88" t="s">
        <v>2113</v>
      </c>
      <c r="AI116" s="224"/>
      <c r="AJ116" s="225">
        <v>4</v>
      </c>
      <c r="AK116" s="224" t="s">
        <v>2085</v>
      </c>
      <c r="AL116" s="224" t="s">
        <v>2243</v>
      </c>
      <c r="AM116" s="224" t="s">
        <v>2087</v>
      </c>
      <c r="AN116" s="224" t="s">
        <v>2168</v>
      </c>
    </row>
    <row r="117" spans="1:40" s="86" customFormat="1" ht="59.25" customHeight="1">
      <c r="A117" s="402">
        <v>177839</v>
      </c>
      <c r="B117" s="89" t="s">
        <v>256</v>
      </c>
      <c r="C117" s="89" t="s">
        <v>257</v>
      </c>
      <c r="D117" s="88">
        <v>31016</v>
      </c>
      <c r="E117" s="88" t="s">
        <v>258</v>
      </c>
      <c r="F117" s="88" t="s">
        <v>47</v>
      </c>
      <c r="G117" s="88" t="s">
        <v>851</v>
      </c>
      <c r="H117" s="88" t="s">
        <v>591</v>
      </c>
      <c r="I117" s="88" t="s">
        <v>40</v>
      </c>
      <c r="J117" s="89" t="s">
        <v>5279</v>
      </c>
      <c r="K117" s="103" t="s">
        <v>1233</v>
      </c>
      <c r="L117" s="403" t="s">
        <v>26</v>
      </c>
      <c r="M117" s="199">
        <v>45229</v>
      </c>
      <c r="N117" s="105">
        <v>44679</v>
      </c>
      <c r="O117" s="105"/>
      <c r="P117" s="203" t="s">
        <v>5675</v>
      </c>
      <c r="Q117" s="203" t="s">
        <v>1679</v>
      </c>
      <c r="R117" s="203" t="s">
        <v>1934</v>
      </c>
      <c r="S117" s="203"/>
      <c r="T117" s="87" t="s">
        <v>5985</v>
      </c>
      <c r="U117" s="87" t="s">
        <v>1570</v>
      </c>
      <c r="V117" s="87"/>
      <c r="W117" s="88" t="s">
        <v>1571</v>
      </c>
      <c r="X117" s="249" t="s">
        <v>3750</v>
      </c>
      <c r="Y117" s="88"/>
      <c r="Z117" s="250"/>
      <c r="AA117" s="87" t="s">
        <v>2161</v>
      </c>
      <c r="AB117" s="250" t="s">
        <v>2072</v>
      </c>
      <c r="AC117" s="250"/>
      <c r="AD117" s="250"/>
      <c r="AE117" s="87"/>
      <c r="AF117" s="88" t="s">
        <v>5279</v>
      </c>
      <c r="AG117" s="88" t="s">
        <v>2073</v>
      </c>
      <c r="AH117" s="88" t="s">
        <v>2074</v>
      </c>
      <c r="AI117" s="224" t="s">
        <v>2075</v>
      </c>
      <c r="AJ117" s="225">
        <v>2</v>
      </c>
      <c r="AK117" s="224" t="s">
        <v>2076</v>
      </c>
      <c r="AL117" s="224" t="s">
        <v>2162</v>
      </c>
      <c r="AM117" s="224" t="s">
        <v>2099</v>
      </c>
      <c r="AN117" s="224" t="s">
        <v>2163</v>
      </c>
    </row>
    <row r="118" spans="1:40" s="86" customFormat="1" ht="59.25" customHeight="1">
      <c r="A118" s="402">
        <v>177845</v>
      </c>
      <c r="B118" s="89" t="s">
        <v>852</v>
      </c>
      <c r="C118" s="89" t="s">
        <v>853</v>
      </c>
      <c r="D118" s="88" t="s">
        <v>854</v>
      </c>
      <c r="E118" s="88" t="s">
        <v>855</v>
      </c>
      <c r="F118" s="88" t="s">
        <v>51</v>
      </c>
      <c r="G118" s="88">
        <v>764</v>
      </c>
      <c r="H118" s="88" t="s">
        <v>591</v>
      </c>
      <c r="I118" s="88" t="s">
        <v>40</v>
      </c>
      <c r="J118" s="89" t="s">
        <v>5279</v>
      </c>
      <c r="K118" s="103" t="s">
        <v>1233</v>
      </c>
      <c r="L118" s="403" t="s">
        <v>26</v>
      </c>
      <c r="M118" s="199">
        <v>45229</v>
      </c>
      <c r="N118" s="105">
        <v>44679</v>
      </c>
      <c r="O118" s="105"/>
      <c r="P118" s="203" t="s">
        <v>5150</v>
      </c>
      <c r="Q118" s="203" t="s">
        <v>1680</v>
      </c>
      <c r="R118" s="203"/>
      <c r="S118" s="203"/>
      <c r="T118" s="87" t="s">
        <v>1543</v>
      </c>
      <c r="U118" s="87" t="s">
        <v>1571</v>
      </c>
      <c r="V118" s="87"/>
      <c r="W118" s="88" t="s">
        <v>1571</v>
      </c>
      <c r="X118" s="249" t="s">
        <v>3751</v>
      </c>
      <c r="Y118" s="88"/>
      <c r="Z118" s="250"/>
      <c r="AA118" s="87" t="s">
        <v>2161</v>
      </c>
      <c r="AB118" s="250" t="s">
        <v>2072</v>
      </c>
      <c r="AC118" s="250"/>
      <c r="AD118" s="250"/>
      <c r="AE118" s="87"/>
      <c r="AF118" s="88" t="s">
        <v>5279</v>
      </c>
      <c r="AG118" s="88" t="s">
        <v>2073</v>
      </c>
      <c r="AH118" s="88" t="s">
        <v>2074</v>
      </c>
      <c r="AI118" s="224" t="s">
        <v>2075</v>
      </c>
      <c r="AJ118" s="225">
        <v>2</v>
      </c>
      <c r="AK118" s="224" t="s">
        <v>2076</v>
      </c>
      <c r="AL118" s="224" t="s">
        <v>2162</v>
      </c>
      <c r="AM118" s="224" t="s">
        <v>2099</v>
      </c>
      <c r="AN118" s="224" t="s">
        <v>2163</v>
      </c>
    </row>
    <row r="119" spans="1:40" s="86" customFormat="1" ht="59.25" customHeight="1">
      <c r="A119" s="402">
        <v>178134</v>
      </c>
      <c r="B119" s="89" t="s">
        <v>259</v>
      </c>
      <c r="C119" s="89" t="s">
        <v>260</v>
      </c>
      <c r="D119" s="88">
        <v>79115</v>
      </c>
      <c r="E119" s="88" t="s">
        <v>261</v>
      </c>
      <c r="F119" s="88" t="s">
        <v>55</v>
      </c>
      <c r="G119" s="88" t="s">
        <v>856</v>
      </c>
      <c r="H119" s="88" t="s">
        <v>591</v>
      </c>
      <c r="I119" s="88" t="s">
        <v>40</v>
      </c>
      <c r="J119" s="89" t="s">
        <v>5278</v>
      </c>
      <c r="K119" s="103" t="s">
        <v>1233</v>
      </c>
      <c r="L119" s="403" t="s">
        <v>26</v>
      </c>
      <c r="M119" s="199">
        <v>45076</v>
      </c>
      <c r="N119" s="105">
        <v>44014</v>
      </c>
      <c r="O119" s="105"/>
      <c r="P119" s="203" t="s">
        <v>4886</v>
      </c>
      <c r="Q119" s="203" t="s">
        <v>1681</v>
      </c>
      <c r="R119" s="203" t="s">
        <v>1935</v>
      </c>
      <c r="S119" s="203"/>
      <c r="T119" s="87" t="s">
        <v>5741</v>
      </c>
      <c r="U119" s="87" t="s">
        <v>1568</v>
      </c>
      <c r="V119" s="87"/>
      <c r="W119" s="88" t="s">
        <v>1568</v>
      </c>
      <c r="X119" s="249" t="s">
        <v>3753</v>
      </c>
      <c r="Y119" s="88"/>
      <c r="Z119" s="250"/>
      <c r="AA119" s="87" t="s">
        <v>2244</v>
      </c>
      <c r="AB119" s="250" t="s">
        <v>2072</v>
      </c>
      <c r="AC119" s="250"/>
      <c r="AD119" s="250"/>
      <c r="AE119" s="87"/>
      <c r="AF119" s="88" t="s">
        <v>5278</v>
      </c>
      <c r="AG119" s="88" t="s">
        <v>2073</v>
      </c>
      <c r="AH119" s="88" t="s">
        <v>2113</v>
      </c>
      <c r="AI119" s="224" t="s">
        <v>2122</v>
      </c>
      <c r="AJ119" s="225">
        <v>3</v>
      </c>
      <c r="AK119" s="224" t="s">
        <v>2085</v>
      </c>
      <c r="AL119" s="224" t="s">
        <v>2245</v>
      </c>
      <c r="AM119" s="224"/>
      <c r="AN119" s="224"/>
    </row>
    <row r="120" spans="1:40" s="86" customFormat="1" ht="59.25" customHeight="1">
      <c r="A120" s="402">
        <v>178633</v>
      </c>
      <c r="B120" s="89" t="s">
        <v>1175</v>
      </c>
      <c r="C120" s="89" t="s">
        <v>1176</v>
      </c>
      <c r="D120" s="88">
        <v>31140</v>
      </c>
      <c r="E120" s="88" t="s">
        <v>828</v>
      </c>
      <c r="F120" s="88" t="s">
        <v>47</v>
      </c>
      <c r="G120" s="88" t="s">
        <v>1177</v>
      </c>
      <c r="H120" s="88" t="s">
        <v>591</v>
      </c>
      <c r="I120" s="88" t="s">
        <v>40</v>
      </c>
      <c r="J120" s="89" t="s">
        <v>1510</v>
      </c>
      <c r="K120" s="103" t="s">
        <v>1402</v>
      </c>
      <c r="L120" s="403" t="s">
        <v>26</v>
      </c>
      <c r="M120" s="199">
        <v>45381</v>
      </c>
      <c r="N120" s="105">
        <v>44452</v>
      </c>
      <c r="O120" s="105"/>
      <c r="P120" s="203" t="s">
        <v>4742</v>
      </c>
      <c r="Q120" s="203" t="s">
        <v>1682</v>
      </c>
      <c r="R120" s="203" t="s">
        <v>1936</v>
      </c>
      <c r="S120" s="203"/>
      <c r="T120" s="87" t="s">
        <v>5742</v>
      </c>
      <c r="U120" s="87" t="s">
        <v>1573</v>
      </c>
      <c r="V120" s="87"/>
      <c r="W120" s="88" t="s">
        <v>1571</v>
      </c>
      <c r="X120" s="249" t="s">
        <v>5112</v>
      </c>
      <c r="Y120" s="88"/>
      <c r="Z120" s="250"/>
      <c r="AA120" s="87" t="s">
        <v>1175</v>
      </c>
      <c r="AB120" s="250" t="s">
        <v>2090</v>
      </c>
      <c r="AC120" s="250"/>
      <c r="AD120" s="250"/>
      <c r="AE120" s="87"/>
      <c r="AF120" s="88" t="s">
        <v>1510</v>
      </c>
      <c r="AG120" s="88" t="s">
        <v>2090</v>
      </c>
      <c r="AH120" s="88" t="s">
        <v>2137</v>
      </c>
      <c r="AI120" s="224" t="s">
        <v>2179</v>
      </c>
      <c r="AJ120" s="225">
        <v>2</v>
      </c>
      <c r="AK120" s="224" t="s">
        <v>2191</v>
      </c>
      <c r="AL120" s="224" t="s">
        <v>2246</v>
      </c>
      <c r="AM120" s="224" t="s">
        <v>2099</v>
      </c>
      <c r="AN120" s="224"/>
    </row>
    <row r="121" spans="1:40" s="86" customFormat="1" ht="59.25" customHeight="1">
      <c r="A121" s="402">
        <v>178963</v>
      </c>
      <c r="B121" s="89" t="s">
        <v>262</v>
      </c>
      <c r="C121" s="89" t="s">
        <v>263</v>
      </c>
      <c r="D121" s="88">
        <v>22335</v>
      </c>
      <c r="E121" s="88" t="s">
        <v>74</v>
      </c>
      <c r="F121" s="88" t="s">
        <v>55</v>
      </c>
      <c r="G121" s="88" t="s">
        <v>857</v>
      </c>
      <c r="H121" s="88" t="s">
        <v>591</v>
      </c>
      <c r="I121" s="88" t="s">
        <v>41</v>
      </c>
      <c r="J121" s="89" t="s">
        <v>4638</v>
      </c>
      <c r="K121" s="103" t="s">
        <v>1402</v>
      </c>
      <c r="L121" s="403" t="s">
        <v>26</v>
      </c>
      <c r="M121" s="199">
        <v>44895</v>
      </c>
      <c r="N121" s="105">
        <v>44676</v>
      </c>
      <c r="O121" s="105"/>
      <c r="P121" s="203" t="s">
        <v>5551</v>
      </c>
      <c r="Q121" s="203" t="s">
        <v>4706</v>
      </c>
      <c r="R121" s="203" t="s">
        <v>1937</v>
      </c>
      <c r="S121" s="203"/>
      <c r="T121" s="87" t="s">
        <v>5492</v>
      </c>
      <c r="U121" s="87" t="s">
        <v>1572</v>
      </c>
      <c r="V121" s="87"/>
      <c r="W121" s="88" t="s">
        <v>1571</v>
      </c>
      <c r="X121" s="249" t="s">
        <v>4981</v>
      </c>
      <c r="Y121" s="88"/>
      <c r="Z121" s="250"/>
      <c r="AA121" s="87" t="s">
        <v>2247</v>
      </c>
      <c r="AB121" s="250" t="s">
        <v>2090</v>
      </c>
      <c r="AC121" s="250"/>
      <c r="AD121" s="250"/>
      <c r="AE121" s="87"/>
      <c r="AF121" s="88" t="s">
        <v>4638</v>
      </c>
      <c r="AG121" s="88" t="s">
        <v>2104</v>
      </c>
      <c r="AH121" s="88"/>
      <c r="AI121" s="224" t="s">
        <v>2248</v>
      </c>
      <c r="AJ121" s="225">
        <v>1</v>
      </c>
      <c r="AK121" s="224" t="s">
        <v>2107</v>
      </c>
      <c r="AL121" s="224" t="s">
        <v>2249</v>
      </c>
      <c r="AM121" s="224" t="s">
        <v>2217</v>
      </c>
      <c r="AN121" s="224" t="s">
        <v>2250</v>
      </c>
    </row>
    <row r="122" spans="1:40" s="86" customFormat="1" ht="59.25" customHeight="1">
      <c r="A122" s="402">
        <v>178963</v>
      </c>
      <c r="B122" s="89" t="s">
        <v>262</v>
      </c>
      <c r="C122" s="89" t="s">
        <v>263</v>
      </c>
      <c r="D122" s="88">
        <v>22335</v>
      </c>
      <c r="E122" s="88" t="s">
        <v>74</v>
      </c>
      <c r="F122" s="88" t="s">
        <v>55</v>
      </c>
      <c r="G122" s="88" t="s">
        <v>857</v>
      </c>
      <c r="H122" s="88" t="s">
        <v>591</v>
      </c>
      <c r="I122" s="88" t="s">
        <v>40</v>
      </c>
      <c r="J122" s="89" t="s">
        <v>4638</v>
      </c>
      <c r="K122" s="103" t="s">
        <v>1402</v>
      </c>
      <c r="L122" s="403" t="s">
        <v>26</v>
      </c>
      <c r="M122" s="199">
        <v>45688</v>
      </c>
      <c r="N122" s="105">
        <v>44760</v>
      </c>
      <c r="O122" s="105"/>
      <c r="P122" s="203" t="s">
        <v>5551</v>
      </c>
      <c r="Q122" s="203" t="s">
        <v>4706</v>
      </c>
      <c r="R122" s="203" t="s">
        <v>1937</v>
      </c>
      <c r="S122" s="203"/>
      <c r="T122" s="87" t="s">
        <v>5492</v>
      </c>
      <c r="U122" s="87" t="s">
        <v>1572</v>
      </c>
      <c r="V122" s="87"/>
      <c r="W122" s="88" t="s">
        <v>1571</v>
      </c>
      <c r="X122" s="249" t="s">
        <v>4981</v>
      </c>
      <c r="Y122" s="88"/>
      <c r="Z122" s="250"/>
      <c r="AA122" s="87" t="s">
        <v>2247</v>
      </c>
      <c r="AB122" s="250" t="s">
        <v>2090</v>
      </c>
      <c r="AC122" s="250"/>
      <c r="AD122" s="250"/>
      <c r="AE122" s="87"/>
      <c r="AF122" s="88" t="s">
        <v>4638</v>
      </c>
      <c r="AG122" s="88" t="s">
        <v>2090</v>
      </c>
      <c r="AH122" s="88" t="s">
        <v>2105</v>
      </c>
      <c r="AI122" s="224"/>
      <c r="AJ122" s="225">
        <v>2</v>
      </c>
      <c r="AK122" s="224" t="s">
        <v>2107</v>
      </c>
      <c r="AL122" s="224" t="s">
        <v>2251</v>
      </c>
      <c r="AM122" s="224" t="s">
        <v>2099</v>
      </c>
      <c r="AN122" s="224" t="s">
        <v>2252</v>
      </c>
    </row>
    <row r="123" spans="1:40" s="86" customFormat="1" ht="59.25" customHeight="1">
      <c r="A123" s="402">
        <v>178963</v>
      </c>
      <c r="B123" s="89" t="s">
        <v>262</v>
      </c>
      <c r="C123" s="89" t="s">
        <v>263</v>
      </c>
      <c r="D123" s="88">
        <v>22335</v>
      </c>
      <c r="E123" s="88" t="s">
        <v>74</v>
      </c>
      <c r="F123" s="88" t="s">
        <v>55</v>
      </c>
      <c r="G123" s="88" t="s">
        <v>857</v>
      </c>
      <c r="H123" s="88" t="s">
        <v>591</v>
      </c>
      <c r="I123" s="88" t="s">
        <v>784</v>
      </c>
      <c r="J123" s="89" t="s">
        <v>4638</v>
      </c>
      <c r="K123" s="103" t="s">
        <v>1402</v>
      </c>
      <c r="L123" s="403" t="s">
        <v>26</v>
      </c>
      <c r="M123" s="199">
        <v>45138</v>
      </c>
      <c r="N123" s="105">
        <v>44750</v>
      </c>
      <c r="O123" s="105"/>
      <c r="P123" s="203" t="s">
        <v>5551</v>
      </c>
      <c r="Q123" s="203" t="s">
        <v>4706</v>
      </c>
      <c r="R123" s="203" t="s">
        <v>1937</v>
      </c>
      <c r="S123" s="203"/>
      <c r="T123" s="87" t="s">
        <v>5492</v>
      </c>
      <c r="U123" s="87" t="s">
        <v>1579</v>
      </c>
      <c r="V123" s="87"/>
      <c r="W123" s="88" t="s">
        <v>1568</v>
      </c>
      <c r="X123" s="249" t="s">
        <v>4982</v>
      </c>
      <c r="Y123" s="88"/>
      <c r="Z123" s="250"/>
      <c r="AA123" s="87" t="s">
        <v>262</v>
      </c>
      <c r="AB123" s="250" t="s">
        <v>2229</v>
      </c>
      <c r="AC123" s="250" t="s">
        <v>2230</v>
      </c>
      <c r="AD123" s="250"/>
      <c r="AE123" s="87"/>
      <c r="AF123" s="88" t="s">
        <v>4638</v>
      </c>
      <c r="AG123" s="88" t="s">
        <v>2231</v>
      </c>
      <c r="AH123" s="88" t="s">
        <v>2105</v>
      </c>
      <c r="AI123" s="224" t="s">
        <v>2253</v>
      </c>
      <c r="AJ123" s="225">
        <v>1</v>
      </c>
      <c r="AK123" s="224" t="s">
        <v>2107</v>
      </c>
      <c r="AL123" s="224" t="s">
        <v>2254</v>
      </c>
      <c r="AM123" s="224" t="s">
        <v>2233</v>
      </c>
      <c r="AN123" s="224" t="s">
        <v>2255</v>
      </c>
    </row>
    <row r="124" spans="1:40" s="86" customFormat="1" ht="59.25" customHeight="1">
      <c r="A124" s="402">
        <v>179320</v>
      </c>
      <c r="B124" s="89" t="s">
        <v>264</v>
      </c>
      <c r="C124" s="89" t="s">
        <v>858</v>
      </c>
      <c r="D124" s="88">
        <v>78125</v>
      </c>
      <c r="E124" s="88" t="s">
        <v>859</v>
      </c>
      <c r="F124" s="88" t="s">
        <v>47</v>
      </c>
      <c r="G124" s="88" t="s">
        <v>860</v>
      </c>
      <c r="H124" s="88" t="s">
        <v>591</v>
      </c>
      <c r="I124" s="88" t="s">
        <v>40</v>
      </c>
      <c r="J124" s="89" t="s">
        <v>1277</v>
      </c>
      <c r="K124" s="103"/>
      <c r="L124" s="403" t="s">
        <v>26</v>
      </c>
      <c r="M124" s="199">
        <v>45291</v>
      </c>
      <c r="N124" s="105">
        <v>44161</v>
      </c>
      <c r="O124" s="105"/>
      <c r="P124" s="203" t="s">
        <v>1072</v>
      </c>
      <c r="Q124" s="203" t="s">
        <v>1683</v>
      </c>
      <c r="R124" s="203" t="s">
        <v>1938</v>
      </c>
      <c r="S124" s="203"/>
      <c r="T124" s="87" t="s">
        <v>5076</v>
      </c>
      <c r="U124" s="87" t="s">
        <v>1568</v>
      </c>
      <c r="V124" s="87"/>
      <c r="W124" s="88" t="s">
        <v>1568</v>
      </c>
      <c r="X124" s="249" t="s">
        <v>4576</v>
      </c>
      <c r="Y124" s="88"/>
      <c r="Z124" s="250"/>
      <c r="AA124" s="87" t="s">
        <v>264</v>
      </c>
      <c r="AB124" s="250" t="s">
        <v>2072</v>
      </c>
      <c r="AC124" s="250"/>
      <c r="AD124" s="250"/>
      <c r="AE124" s="87"/>
      <c r="AF124" s="88" t="s">
        <v>1277</v>
      </c>
      <c r="AG124" s="88" t="s">
        <v>2073</v>
      </c>
      <c r="AH124" s="88" t="s">
        <v>2093</v>
      </c>
      <c r="AI124" s="224"/>
      <c r="AJ124" s="225">
        <v>4</v>
      </c>
      <c r="AK124" s="224" t="s">
        <v>2085</v>
      </c>
      <c r="AL124" s="224" t="s">
        <v>2256</v>
      </c>
      <c r="AM124" s="224"/>
      <c r="AN124" s="224"/>
    </row>
    <row r="125" spans="1:40" s="86" customFormat="1" ht="59.25" customHeight="1">
      <c r="A125" s="402">
        <v>180121</v>
      </c>
      <c r="B125" s="89" t="s">
        <v>861</v>
      </c>
      <c r="C125" s="89" t="s">
        <v>862</v>
      </c>
      <c r="D125" s="88" t="s">
        <v>863</v>
      </c>
      <c r="E125" s="88" t="s">
        <v>265</v>
      </c>
      <c r="F125" s="88" t="s">
        <v>45</v>
      </c>
      <c r="G125" s="88" t="s">
        <v>864</v>
      </c>
      <c r="H125" s="88" t="s">
        <v>591</v>
      </c>
      <c r="I125" s="88" t="s">
        <v>787</v>
      </c>
      <c r="J125" s="89" t="s">
        <v>1336</v>
      </c>
      <c r="K125" s="103"/>
      <c r="L125" s="403" t="s">
        <v>26</v>
      </c>
      <c r="M125" s="199">
        <v>45015</v>
      </c>
      <c r="N125" s="105">
        <v>44214</v>
      </c>
      <c r="O125" s="105"/>
      <c r="P125" s="203" t="s">
        <v>5035</v>
      </c>
      <c r="Q125" s="203"/>
      <c r="R125" s="203" t="s">
        <v>4914</v>
      </c>
      <c r="S125" s="203"/>
      <c r="T125" s="87" t="s">
        <v>5077</v>
      </c>
      <c r="U125" s="87" t="s">
        <v>1571</v>
      </c>
      <c r="V125" s="87"/>
      <c r="W125" s="88" t="s">
        <v>1571</v>
      </c>
      <c r="X125" s="249" t="s">
        <v>4211</v>
      </c>
      <c r="Y125" s="88"/>
      <c r="Z125" s="250"/>
      <c r="AA125" s="87" t="s">
        <v>861</v>
      </c>
      <c r="AB125" s="250" t="s">
        <v>2234</v>
      </c>
      <c r="AC125" s="250" t="s">
        <v>2257</v>
      </c>
      <c r="AD125" s="250"/>
      <c r="AE125" s="87"/>
      <c r="AF125" s="88" t="s">
        <v>1336</v>
      </c>
      <c r="AG125" s="88" t="s">
        <v>2258</v>
      </c>
      <c r="AH125" s="88"/>
      <c r="AI125" s="224" t="s">
        <v>2122</v>
      </c>
      <c r="AJ125" s="225">
        <v>3</v>
      </c>
      <c r="AK125" s="224" t="s">
        <v>2076</v>
      </c>
      <c r="AL125" s="224" t="s">
        <v>2259</v>
      </c>
      <c r="AM125" s="224"/>
      <c r="AN125" s="224" t="s">
        <v>2087</v>
      </c>
    </row>
    <row r="126" spans="1:40" s="86" customFormat="1" ht="59.25" customHeight="1">
      <c r="A126" s="402">
        <v>180458</v>
      </c>
      <c r="B126" s="89" t="s">
        <v>266</v>
      </c>
      <c r="C126" s="89" t="s">
        <v>736</v>
      </c>
      <c r="D126" s="88">
        <v>98021</v>
      </c>
      <c r="E126" s="88" t="s">
        <v>267</v>
      </c>
      <c r="F126" s="88" t="s">
        <v>51</v>
      </c>
      <c r="G126" s="88" t="s">
        <v>865</v>
      </c>
      <c r="H126" s="88" t="s">
        <v>591</v>
      </c>
      <c r="I126" s="88" t="s">
        <v>40</v>
      </c>
      <c r="J126" s="89" t="s">
        <v>4608</v>
      </c>
      <c r="K126" s="103" t="s">
        <v>5218</v>
      </c>
      <c r="L126" s="403" t="s">
        <v>26</v>
      </c>
      <c r="M126" s="199">
        <v>45777</v>
      </c>
      <c r="N126" s="105">
        <v>44699</v>
      </c>
      <c r="O126" s="105"/>
      <c r="P126" s="203" t="s">
        <v>6029</v>
      </c>
      <c r="Q126" s="203" t="s">
        <v>1684</v>
      </c>
      <c r="R126" s="203" t="s">
        <v>1939</v>
      </c>
      <c r="S126" s="203"/>
      <c r="T126" s="87" t="s">
        <v>4770</v>
      </c>
      <c r="U126" s="87" t="s">
        <v>1569</v>
      </c>
      <c r="V126" s="87"/>
      <c r="W126" s="88" t="s">
        <v>1568</v>
      </c>
      <c r="X126" s="249" t="s">
        <v>4766</v>
      </c>
      <c r="Y126" s="88"/>
      <c r="Z126" s="250"/>
      <c r="AA126" s="87" t="s">
        <v>2260</v>
      </c>
      <c r="AB126" s="250" t="s">
        <v>2072</v>
      </c>
      <c r="AC126" s="250"/>
      <c r="AD126" s="250"/>
      <c r="AE126" s="87"/>
      <c r="AF126" s="88" t="s">
        <v>4608</v>
      </c>
      <c r="AG126" s="88" t="s">
        <v>2073</v>
      </c>
      <c r="AH126" s="88"/>
      <c r="AI126" s="224"/>
      <c r="AJ126" s="225">
        <v>4</v>
      </c>
      <c r="AK126" s="224" t="s">
        <v>2085</v>
      </c>
      <c r="AL126" s="224" t="s">
        <v>2261</v>
      </c>
      <c r="AM126" s="224"/>
      <c r="AN126" s="224"/>
    </row>
    <row r="127" spans="1:40" s="86" customFormat="1" ht="59.25" customHeight="1">
      <c r="A127" s="402">
        <v>180954</v>
      </c>
      <c r="B127" s="89" t="s">
        <v>4562</v>
      </c>
      <c r="C127" s="89" t="s">
        <v>4563</v>
      </c>
      <c r="D127" s="88" t="s">
        <v>4564</v>
      </c>
      <c r="E127" s="88" t="s">
        <v>4565</v>
      </c>
      <c r="F127" s="88" t="s">
        <v>51</v>
      </c>
      <c r="G127" s="88">
        <v>76374</v>
      </c>
      <c r="H127" s="88" t="s">
        <v>591</v>
      </c>
      <c r="I127" s="88" t="s">
        <v>40</v>
      </c>
      <c r="J127" s="89" t="s">
        <v>5280</v>
      </c>
      <c r="K127" s="103" t="s">
        <v>5218</v>
      </c>
      <c r="L127" s="403" t="s">
        <v>26</v>
      </c>
      <c r="M127" s="199">
        <v>45382</v>
      </c>
      <c r="N127" s="105">
        <v>44649</v>
      </c>
      <c r="O127" s="105"/>
      <c r="P127" s="203" t="s">
        <v>6030</v>
      </c>
      <c r="Q127" s="203" t="s">
        <v>4566</v>
      </c>
      <c r="R127" s="203"/>
      <c r="S127" s="203"/>
      <c r="T127" s="87" t="s">
        <v>4633</v>
      </c>
      <c r="U127" s="87" t="s">
        <v>1568</v>
      </c>
      <c r="V127" s="87"/>
      <c r="W127" s="88" t="s">
        <v>1568</v>
      </c>
      <c r="X127" s="249" t="s">
        <v>4619</v>
      </c>
      <c r="Y127" s="88"/>
      <c r="Z127" s="250"/>
      <c r="AA127" s="87" t="s">
        <v>1468</v>
      </c>
      <c r="AB127" s="250" t="s">
        <v>2072</v>
      </c>
      <c r="AC127" s="250"/>
      <c r="AD127" s="250"/>
      <c r="AE127" s="87"/>
      <c r="AF127" s="88" t="s">
        <v>5280</v>
      </c>
      <c r="AG127" s="88" t="s">
        <v>2073</v>
      </c>
      <c r="AH127" s="88"/>
      <c r="AI127" s="224" t="s">
        <v>2075</v>
      </c>
      <c r="AJ127" s="225">
        <v>3</v>
      </c>
      <c r="AK127" s="224" t="s">
        <v>2076</v>
      </c>
      <c r="AL127" s="224" t="s">
        <v>2203</v>
      </c>
      <c r="AM127" s="224" t="s">
        <v>2099</v>
      </c>
      <c r="AN127" s="224"/>
    </row>
    <row r="128" spans="1:40" s="86" customFormat="1" ht="59.25" customHeight="1">
      <c r="A128" s="402">
        <v>181114</v>
      </c>
      <c r="B128" s="89" t="s">
        <v>1152</v>
      </c>
      <c r="C128" s="89" t="s">
        <v>268</v>
      </c>
      <c r="D128" s="88" t="s">
        <v>269</v>
      </c>
      <c r="E128" s="88" t="s">
        <v>159</v>
      </c>
      <c r="F128" s="88" t="s">
        <v>51</v>
      </c>
      <c r="G128" s="88">
        <v>25693</v>
      </c>
      <c r="H128" s="88" t="s">
        <v>591</v>
      </c>
      <c r="I128" s="88" t="s">
        <v>40</v>
      </c>
      <c r="J128" s="89" t="s">
        <v>5283</v>
      </c>
      <c r="K128" s="103" t="s">
        <v>1233</v>
      </c>
      <c r="L128" s="403" t="s">
        <v>26</v>
      </c>
      <c r="M128" s="199">
        <v>45230</v>
      </c>
      <c r="N128" s="105">
        <v>44316</v>
      </c>
      <c r="O128" s="105"/>
      <c r="P128" s="203" t="s">
        <v>4611</v>
      </c>
      <c r="Q128" s="203" t="s">
        <v>1685</v>
      </c>
      <c r="R128" s="203" t="s">
        <v>1940</v>
      </c>
      <c r="S128" s="203"/>
      <c r="T128" s="87" t="s">
        <v>5743</v>
      </c>
      <c r="U128" s="87" t="s">
        <v>1569</v>
      </c>
      <c r="V128" s="87"/>
      <c r="W128" s="88" t="s">
        <v>1568</v>
      </c>
      <c r="X128" s="249" t="s">
        <v>5957</v>
      </c>
      <c r="Y128" s="88"/>
      <c r="Z128" s="250"/>
      <c r="AA128" s="87" t="s">
        <v>2141</v>
      </c>
      <c r="AB128" s="250" t="s">
        <v>2072</v>
      </c>
      <c r="AC128" s="250"/>
      <c r="AD128" s="250"/>
      <c r="AE128" s="87"/>
      <c r="AF128" s="88" t="s">
        <v>5283</v>
      </c>
      <c r="AG128" s="88" t="s">
        <v>2073</v>
      </c>
      <c r="AH128" s="88" t="s">
        <v>2074</v>
      </c>
      <c r="AI128" s="224"/>
      <c r="AJ128" s="225">
        <v>2</v>
      </c>
      <c r="AK128" s="224" t="s">
        <v>2076</v>
      </c>
      <c r="AL128" s="224" t="s">
        <v>2496</v>
      </c>
      <c r="AM128" s="224" t="s">
        <v>2099</v>
      </c>
      <c r="AN128" s="224" t="s">
        <v>2142</v>
      </c>
    </row>
    <row r="129" spans="1:40" s="86" customFormat="1" ht="59.25" customHeight="1">
      <c r="A129" s="402">
        <v>181579</v>
      </c>
      <c r="B129" s="89" t="s">
        <v>866</v>
      </c>
      <c r="C129" s="89" t="s">
        <v>867</v>
      </c>
      <c r="D129" s="88">
        <v>67129</v>
      </c>
      <c r="E129" s="88" t="s">
        <v>270</v>
      </c>
      <c r="F129" s="88" t="s">
        <v>47</v>
      </c>
      <c r="G129" s="88"/>
      <c r="H129" s="88" t="s">
        <v>591</v>
      </c>
      <c r="I129" s="88" t="s">
        <v>40</v>
      </c>
      <c r="J129" s="89" t="s">
        <v>5280</v>
      </c>
      <c r="K129" s="103" t="s">
        <v>1233</v>
      </c>
      <c r="L129" s="403" t="s">
        <v>26</v>
      </c>
      <c r="M129" s="199">
        <v>45230</v>
      </c>
      <c r="N129" s="105">
        <v>44319</v>
      </c>
      <c r="O129" s="105"/>
      <c r="P129" s="203" t="s">
        <v>5001</v>
      </c>
      <c r="Q129" s="203" t="s">
        <v>1686</v>
      </c>
      <c r="R129" s="203" t="s">
        <v>1941</v>
      </c>
      <c r="S129" s="203"/>
      <c r="T129" s="87" t="s">
        <v>5744</v>
      </c>
      <c r="U129" s="87" t="s">
        <v>1569</v>
      </c>
      <c r="V129" s="87"/>
      <c r="W129" s="88" t="s">
        <v>1568</v>
      </c>
      <c r="X129" s="249" t="s">
        <v>3759</v>
      </c>
      <c r="Y129" s="88"/>
      <c r="Z129" s="250"/>
      <c r="AA129" s="87" t="s">
        <v>743</v>
      </c>
      <c r="AB129" s="250" t="s">
        <v>2072</v>
      </c>
      <c r="AC129" s="250"/>
      <c r="AD129" s="250"/>
      <c r="AE129" s="87"/>
      <c r="AF129" s="88" t="s">
        <v>5280</v>
      </c>
      <c r="AG129" s="88" t="s">
        <v>2073</v>
      </c>
      <c r="AH129" s="88" t="s">
        <v>2074</v>
      </c>
      <c r="AI129" s="224" t="s">
        <v>2075</v>
      </c>
      <c r="AJ129" s="225">
        <v>2</v>
      </c>
      <c r="AK129" s="224" t="s">
        <v>2076</v>
      </c>
      <c r="AL129" s="224" t="s">
        <v>2096</v>
      </c>
      <c r="AM129" s="224" t="s">
        <v>2077</v>
      </c>
      <c r="AN129" s="224"/>
    </row>
    <row r="130" spans="1:40" s="86" customFormat="1" ht="59.25" customHeight="1">
      <c r="A130" s="402">
        <v>181583</v>
      </c>
      <c r="B130" s="89" t="s">
        <v>743</v>
      </c>
      <c r="C130" s="89" t="s">
        <v>271</v>
      </c>
      <c r="D130" s="88">
        <v>78140</v>
      </c>
      <c r="E130" s="88" t="s">
        <v>272</v>
      </c>
      <c r="F130" s="88" t="s">
        <v>47</v>
      </c>
      <c r="G130" s="88" t="s">
        <v>868</v>
      </c>
      <c r="H130" s="88" t="s">
        <v>591</v>
      </c>
      <c r="I130" s="88" t="s">
        <v>40</v>
      </c>
      <c r="J130" s="89" t="s">
        <v>5280</v>
      </c>
      <c r="K130" s="103" t="s">
        <v>1233</v>
      </c>
      <c r="L130" s="403" t="s">
        <v>26</v>
      </c>
      <c r="M130" s="199">
        <v>45230</v>
      </c>
      <c r="N130" s="105">
        <v>44319</v>
      </c>
      <c r="O130" s="105"/>
      <c r="P130" s="203" t="s">
        <v>5002</v>
      </c>
      <c r="Q130" s="203" t="s">
        <v>1686</v>
      </c>
      <c r="R130" s="203" t="s">
        <v>1941</v>
      </c>
      <c r="S130" s="203"/>
      <c r="T130" s="87" t="s">
        <v>5745</v>
      </c>
      <c r="U130" s="87" t="s">
        <v>1569</v>
      </c>
      <c r="V130" s="87"/>
      <c r="W130" s="88" t="s">
        <v>1568</v>
      </c>
      <c r="X130" s="249" t="s">
        <v>3759</v>
      </c>
      <c r="Y130" s="88"/>
      <c r="Z130" s="250"/>
      <c r="AA130" s="87" t="s">
        <v>743</v>
      </c>
      <c r="AB130" s="250" t="s">
        <v>2072</v>
      </c>
      <c r="AC130" s="250"/>
      <c r="AD130" s="250"/>
      <c r="AE130" s="87"/>
      <c r="AF130" s="88" t="s">
        <v>5280</v>
      </c>
      <c r="AG130" s="88" t="s">
        <v>2073</v>
      </c>
      <c r="AH130" s="88" t="s">
        <v>2074</v>
      </c>
      <c r="AI130" s="224" t="s">
        <v>2075</v>
      </c>
      <c r="AJ130" s="225">
        <v>2</v>
      </c>
      <c r="AK130" s="224" t="s">
        <v>2076</v>
      </c>
      <c r="AL130" s="224" t="s">
        <v>2096</v>
      </c>
      <c r="AM130" s="224" t="s">
        <v>2077</v>
      </c>
      <c r="AN130" s="224"/>
    </row>
    <row r="131" spans="1:40" s="86" customFormat="1" ht="59.25" customHeight="1">
      <c r="A131" s="402">
        <v>181608</v>
      </c>
      <c r="B131" s="89" t="s">
        <v>869</v>
      </c>
      <c r="C131" s="89" t="s">
        <v>276</v>
      </c>
      <c r="D131" s="88" t="s">
        <v>274</v>
      </c>
      <c r="E131" s="88" t="s">
        <v>275</v>
      </c>
      <c r="F131" s="88" t="s">
        <v>45</v>
      </c>
      <c r="G131" s="88" t="s">
        <v>870</v>
      </c>
      <c r="H131" s="88" t="s">
        <v>591</v>
      </c>
      <c r="I131" s="88" t="s">
        <v>40</v>
      </c>
      <c r="J131" s="89" t="s">
        <v>5280</v>
      </c>
      <c r="K131" s="103" t="s">
        <v>1233</v>
      </c>
      <c r="L131" s="403" t="s">
        <v>26</v>
      </c>
      <c r="M131" s="199">
        <v>45230</v>
      </c>
      <c r="N131" s="105">
        <v>44319</v>
      </c>
      <c r="O131" s="105"/>
      <c r="P131" s="203" t="s">
        <v>4699</v>
      </c>
      <c r="Q131" s="203" t="s">
        <v>1687</v>
      </c>
      <c r="R131" s="203" t="s">
        <v>1942</v>
      </c>
      <c r="S131" s="203"/>
      <c r="T131" s="87" t="s">
        <v>5746</v>
      </c>
      <c r="U131" s="87" t="s">
        <v>1568</v>
      </c>
      <c r="V131" s="87"/>
      <c r="W131" s="88" t="s">
        <v>1568</v>
      </c>
      <c r="X131" s="249" t="s">
        <v>3759</v>
      </c>
      <c r="Y131" s="88"/>
      <c r="Z131" s="250"/>
      <c r="AA131" s="87" t="s">
        <v>743</v>
      </c>
      <c r="AB131" s="250" t="s">
        <v>2072</v>
      </c>
      <c r="AC131" s="250"/>
      <c r="AD131" s="250"/>
      <c r="AE131" s="87"/>
      <c r="AF131" s="88" t="s">
        <v>5280</v>
      </c>
      <c r="AG131" s="88" t="s">
        <v>2073</v>
      </c>
      <c r="AH131" s="88" t="s">
        <v>2074</v>
      </c>
      <c r="AI131" s="224" t="s">
        <v>2075</v>
      </c>
      <c r="AJ131" s="225">
        <v>2</v>
      </c>
      <c r="AK131" s="224" t="s">
        <v>2076</v>
      </c>
      <c r="AL131" s="224" t="s">
        <v>2096</v>
      </c>
      <c r="AM131" s="224" t="s">
        <v>2077</v>
      </c>
      <c r="AN131" s="224"/>
    </row>
    <row r="132" spans="1:40" s="86" customFormat="1" ht="59.25" customHeight="1">
      <c r="A132" s="402">
        <v>182320</v>
      </c>
      <c r="B132" s="89" t="s">
        <v>537</v>
      </c>
      <c r="C132" s="89" t="s">
        <v>695</v>
      </c>
      <c r="D132" s="88">
        <v>10126</v>
      </c>
      <c r="E132" s="88" t="s">
        <v>696</v>
      </c>
      <c r="F132" s="88" t="s">
        <v>98</v>
      </c>
      <c r="G132" s="88" t="s">
        <v>697</v>
      </c>
      <c r="H132" s="88" t="s">
        <v>591</v>
      </c>
      <c r="I132" s="88" t="s">
        <v>40</v>
      </c>
      <c r="J132" s="89" t="s">
        <v>5282</v>
      </c>
      <c r="K132" s="103" t="s">
        <v>1233</v>
      </c>
      <c r="L132" s="403" t="s">
        <v>26</v>
      </c>
      <c r="M132" s="199">
        <v>45412</v>
      </c>
      <c r="N132" s="105">
        <v>44672</v>
      </c>
      <c r="O132" s="105"/>
      <c r="P132" s="203" t="s">
        <v>4865</v>
      </c>
      <c r="Q132" s="203" t="s">
        <v>1688</v>
      </c>
      <c r="R132" s="203" t="s">
        <v>1943</v>
      </c>
      <c r="S132" s="203"/>
      <c r="T132" s="87" t="s">
        <v>1544</v>
      </c>
      <c r="U132" s="87" t="s">
        <v>1568</v>
      </c>
      <c r="V132" s="87"/>
      <c r="W132" s="88" t="s">
        <v>1568</v>
      </c>
      <c r="X132" s="249" t="s">
        <v>3760</v>
      </c>
      <c r="Y132" s="88"/>
      <c r="Z132" s="250" t="s">
        <v>2037</v>
      </c>
      <c r="AA132" s="87" t="s">
        <v>2171</v>
      </c>
      <c r="AB132" s="250" t="s">
        <v>2072</v>
      </c>
      <c r="AC132" s="250" t="s">
        <v>2262</v>
      </c>
      <c r="AD132" s="250"/>
      <c r="AE132" s="87" t="s">
        <v>2037</v>
      </c>
      <c r="AF132" s="88" t="s">
        <v>5282</v>
      </c>
      <c r="AG132" s="88" t="s">
        <v>2073</v>
      </c>
      <c r="AH132" s="88" t="s">
        <v>2093</v>
      </c>
      <c r="AI132" s="224"/>
      <c r="AJ132" s="225">
        <v>2</v>
      </c>
      <c r="AK132" s="224" t="s">
        <v>2076</v>
      </c>
      <c r="AL132" s="224" t="s">
        <v>2172</v>
      </c>
      <c r="AM132" s="224" t="s">
        <v>2077</v>
      </c>
      <c r="AN132" s="224"/>
    </row>
    <row r="133" spans="1:40" s="86" customFormat="1" ht="59.25" customHeight="1">
      <c r="A133" s="402">
        <v>183135</v>
      </c>
      <c r="B133" s="89" t="s">
        <v>277</v>
      </c>
      <c r="C133" s="89" t="s">
        <v>278</v>
      </c>
      <c r="D133" s="88" t="s">
        <v>279</v>
      </c>
      <c r="E133" s="88" t="s">
        <v>222</v>
      </c>
      <c r="F133" s="88" t="s">
        <v>51</v>
      </c>
      <c r="G133" s="88" t="s">
        <v>871</v>
      </c>
      <c r="H133" s="88" t="s">
        <v>591</v>
      </c>
      <c r="I133" s="88" t="s">
        <v>40</v>
      </c>
      <c r="J133" s="89" t="s">
        <v>5279</v>
      </c>
      <c r="K133" s="103" t="s">
        <v>1402</v>
      </c>
      <c r="L133" s="403" t="s">
        <v>26</v>
      </c>
      <c r="M133" s="199">
        <v>45473</v>
      </c>
      <c r="N133" s="105">
        <v>44364</v>
      </c>
      <c r="O133" s="105"/>
      <c r="P133" s="203" t="s">
        <v>5552</v>
      </c>
      <c r="Q133" s="203" t="s">
        <v>1689</v>
      </c>
      <c r="R133" s="203"/>
      <c r="S133" s="203"/>
      <c r="T133" s="87" t="s">
        <v>5747</v>
      </c>
      <c r="U133" s="87" t="s">
        <v>1568</v>
      </c>
      <c r="V133" s="87"/>
      <c r="W133" s="88" t="s">
        <v>1568</v>
      </c>
      <c r="X133" s="249" t="s">
        <v>3762</v>
      </c>
      <c r="Y133" s="88" t="s">
        <v>2030</v>
      </c>
      <c r="Z133" s="250"/>
      <c r="AA133" s="87" t="s">
        <v>2263</v>
      </c>
      <c r="AB133" s="250" t="s">
        <v>2072</v>
      </c>
      <c r="AC133" s="250"/>
      <c r="AD133" s="250"/>
      <c r="AE133" s="87"/>
      <c r="AF133" s="88" t="s">
        <v>5279</v>
      </c>
      <c r="AG133" s="88" t="s">
        <v>2073</v>
      </c>
      <c r="AH133" s="88" t="s">
        <v>2074</v>
      </c>
      <c r="AI133" s="224" t="s">
        <v>2075</v>
      </c>
      <c r="AJ133" s="225">
        <v>3</v>
      </c>
      <c r="AK133" s="224" t="s">
        <v>2076</v>
      </c>
      <c r="AL133" s="224" t="s">
        <v>2264</v>
      </c>
      <c r="AM133" s="224" t="s">
        <v>2077</v>
      </c>
      <c r="AN133" s="224"/>
    </row>
    <row r="134" spans="1:40" s="86" customFormat="1" ht="59.25" customHeight="1">
      <c r="A134" s="402">
        <v>183137</v>
      </c>
      <c r="B134" s="89" t="s">
        <v>280</v>
      </c>
      <c r="C134" s="89" t="s">
        <v>281</v>
      </c>
      <c r="D134" s="88" t="s">
        <v>282</v>
      </c>
      <c r="E134" s="88" t="s">
        <v>283</v>
      </c>
      <c r="F134" s="88" t="s">
        <v>45</v>
      </c>
      <c r="G134" s="88" t="s">
        <v>284</v>
      </c>
      <c r="H134" s="88" t="s">
        <v>591</v>
      </c>
      <c r="I134" s="88" t="s">
        <v>40</v>
      </c>
      <c r="J134" s="89" t="s">
        <v>5279</v>
      </c>
      <c r="K134" s="103" t="s">
        <v>1402</v>
      </c>
      <c r="L134" s="403" t="s">
        <v>26</v>
      </c>
      <c r="M134" s="199">
        <v>45473</v>
      </c>
      <c r="N134" s="105">
        <v>44364</v>
      </c>
      <c r="O134" s="105"/>
      <c r="P134" s="203" t="s">
        <v>5417</v>
      </c>
      <c r="Q134" s="203" t="s">
        <v>4463</v>
      </c>
      <c r="R134" s="203" t="s">
        <v>1944</v>
      </c>
      <c r="S134" s="203"/>
      <c r="T134" s="87" t="s">
        <v>5748</v>
      </c>
      <c r="U134" s="87" t="s">
        <v>1568</v>
      </c>
      <c r="V134" s="87"/>
      <c r="W134" s="88" t="s">
        <v>1568</v>
      </c>
      <c r="X134" s="249" t="s">
        <v>4722</v>
      </c>
      <c r="Y134" s="88" t="s">
        <v>2030</v>
      </c>
      <c r="Z134" s="250"/>
      <c r="AA134" s="87" t="s">
        <v>2263</v>
      </c>
      <c r="AB134" s="250" t="s">
        <v>2072</v>
      </c>
      <c r="AC134" s="250"/>
      <c r="AD134" s="250"/>
      <c r="AE134" s="87"/>
      <c r="AF134" s="88" t="s">
        <v>5279</v>
      </c>
      <c r="AG134" s="88" t="s">
        <v>2073</v>
      </c>
      <c r="AH134" s="88" t="s">
        <v>2074</v>
      </c>
      <c r="AI134" s="224" t="s">
        <v>2075</v>
      </c>
      <c r="AJ134" s="225">
        <v>3</v>
      </c>
      <c r="AK134" s="224" t="s">
        <v>2076</v>
      </c>
      <c r="AL134" s="224" t="s">
        <v>2264</v>
      </c>
      <c r="AM134" s="224" t="s">
        <v>2077</v>
      </c>
      <c r="AN134" s="224"/>
    </row>
    <row r="135" spans="1:40" s="86" customFormat="1" ht="59.25" customHeight="1">
      <c r="A135" s="402">
        <v>183144</v>
      </c>
      <c r="B135" s="89" t="s">
        <v>285</v>
      </c>
      <c r="C135" s="89" t="s">
        <v>602</v>
      </c>
      <c r="D135" s="88">
        <v>14052</v>
      </c>
      <c r="E135" s="88" t="s">
        <v>286</v>
      </c>
      <c r="F135" s="88" t="s">
        <v>51</v>
      </c>
      <c r="G135" s="88">
        <v>94697</v>
      </c>
      <c r="H135" s="88" t="s">
        <v>591</v>
      </c>
      <c r="I135" s="88" t="s">
        <v>40</v>
      </c>
      <c r="J135" s="89" t="s">
        <v>5279</v>
      </c>
      <c r="K135" s="103" t="s">
        <v>1402</v>
      </c>
      <c r="L135" s="403" t="s">
        <v>26</v>
      </c>
      <c r="M135" s="199">
        <v>45473</v>
      </c>
      <c r="N135" s="105">
        <v>44364</v>
      </c>
      <c r="O135" s="105"/>
      <c r="P135" s="203" t="s">
        <v>6031</v>
      </c>
      <c r="Q135" s="203" t="s">
        <v>1690</v>
      </c>
      <c r="R135" s="203"/>
      <c r="S135" s="203"/>
      <c r="T135" s="87" t="s">
        <v>5749</v>
      </c>
      <c r="U135" s="87" t="s">
        <v>1568</v>
      </c>
      <c r="V135" s="87"/>
      <c r="W135" s="88" t="s">
        <v>1568</v>
      </c>
      <c r="X135" s="249" t="s">
        <v>3765</v>
      </c>
      <c r="Y135" s="88" t="s">
        <v>2030</v>
      </c>
      <c r="Z135" s="250"/>
      <c r="AA135" s="87" t="s">
        <v>2263</v>
      </c>
      <c r="AB135" s="250" t="s">
        <v>2072</v>
      </c>
      <c r="AC135" s="250"/>
      <c r="AD135" s="250"/>
      <c r="AE135" s="87"/>
      <c r="AF135" s="88" t="s">
        <v>5279</v>
      </c>
      <c r="AG135" s="88" t="s">
        <v>2073</v>
      </c>
      <c r="AH135" s="88" t="s">
        <v>2074</v>
      </c>
      <c r="AI135" s="224" t="s">
        <v>2075</v>
      </c>
      <c r="AJ135" s="225">
        <v>3</v>
      </c>
      <c r="AK135" s="224" t="s">
        <v>2076</v>
      </c>
      <c r="AL135" s="224" t="s">
        <v>2264</v>
      </c>
      <c r="AM135" s="224" t="s">
        <v>2077</v>
      </c>
      <c r="AN135" s="224"/>
    </row>
    <row r="136" spans="1:40" s="86" customFormat="1" ht="59.25" customHeight="1">
      <c r="A136" s="402">
        <v>183727</v>
      </c>
      <c r="B136" s="89" t="s">
        <v>1351</v>
      </c>
      <c r="C136" s="89" t="s">
        <v>1352</v>
      </c>
      <c r="D136" s="88" t="s">
        <v>1353</v>
      </c>
      <c r="E136" s="88" t="s">
        <v>1354</v>
      </c>
      <c r="F136" s="88" t="s">
        <v>45</v>
      </c>
      <c r="G136" s="88" t="s">
        <v>1355</v>
      </c>
      <c r="H136" s="88" t="s">
        <v>591</v>
      </c>
      <c r="I136" s="88" t="s">
        <v>40</v>
      </c>
      <c r="J136" s="89" t="s">
        <v>1288</v>
      </c>
      <c r="K136" s="103" t="s">
        <v>1233</v>
      </c>
      <c r="L136" s="403" t="s">
        <v>26</v>
      </c>
      <c r="M136" s="199">
        <v>45230</v>
      </c>
      <c r="N136" s="105">
        <v>44509</v>
      </c>
      <c r="O136" s="105"/>
      <c r="P136" s="203" t="s">
        <v>5192</v>
      </c>
      <c r="Q136" s="203" t="s">
        <v>1691</v>
      </c>
      <c r="R136" s="203"/>
      <c r="S136" s="203"/>
      <c r="T136" s="87" t="s">
        <v>4540</v>
      </c>
      <c r="U136" s="87" t="s">
        <v>1581</v>
      </c>
      <c r="V136" s="87" t="s">
        <v>1571</v>
      </c>
      <c r="W136" s="88" t="s">
        <v>1581</v>
      </c>
      <c r="X136" s="249"/>
      <c r="Y136" s="88"/>
      <c r="Z136" s="250"/>
      <c r="AA136" s="87" t="s">
        <v>2265</v>
      </c>
      <c r="AB136" s="250" t="s">
        <v>2090</v>
      </c>
      <c r="AC136" s="250"/>
      <c r="AD136" s="250"/>
      <c r="AE136" s="87"/>
      <c r="AF136" s="88" t="s">
        <v>1288</v>
      </c>
      <c r="AG136" s="88" t="s">
        <v>2090</v>
      </c>
      <c r="AH136" s="88" t="s">
        <v>2214</v>
      </c>
      <c r="AI136" s="224" t="s">
        <v>2122</v>
      </c>
      <c r="AJ136" s="225">
        <v>3</v>
      </c>
      <c r="AK136" s="224" t="s">
        <v>2133</v>
      </c>
      <c r="AL136" s="224" t="s">
        <v>2266</v>
      </c>
      <c r="AM136" s="224" t="s">
        <v>2099</v>
      </c>
      <c r="AN136" s="224" t="s">
        <v>2267</v>
      </c>
    </row>
    <row r="137" spans="1:40" s="86" customFormat="1" ht="59.25" customHeight="1">
      <c r="A137" s="402">
        <v>184292</v>
      </c>
      <c r="B137" s="89" t="s">
        <v>1415</v>
      </c>
      <c r="C137" s="89" t="s">
        <v>287</v>
      </c>
      <c r="D137" s="88">
        <v>31300</v>
      </c>
      <c r="E137" s="88" t="s">
        <v>93</v>
      </c>
      <c r="F137" s="88" t="s">
        <v>47</v>
      </c>
      <c r="G137" s="88" t="s">
        <v>288</v>
      </c>
      <c r="H137" s="88" t="s">
        <v>591</v>
      </c>
      <c r="I137" s="88" t="s">
        <v>43</v>
      </c>
      <c r="J137" s="89" t="s">
        <v>786</v>
      </c>
      <c r="K137" s="103" t="s">
        <v>1233</v>
      </c>
      <c r="L137" s="403" t="s">
        <v>26</v>
      </c>
      <c r="M137" s="199">
        <v>45412</v>
      </c>
      <c r="N137" s="105">
        <v>44344</v>
      </c>
      <c r="O137" s="105"/>
      <c r="P137" s="203" t="s">
        <v>5457</v>
      </c>
      <c r="Q137" s="203" t="s">
        <v>1692</v>
      </c>
      <c r="R137" s="203" t="s">
        <v>4529</v>
      </c>
      <c r="S137" s="203"/>
      <c r="T137" s="87" t="s">
        <v>5399</v>
      </c>
      <c r="U137" s="87" t="s">
        <v>1568</v>
      </c>
      <c r="V137" s="87"/>
      <c r="W137" s="88" t="s">
        <v>1568</v>
      </c>
      <c r="X137" s="249" t="s">
        <v>5401</v>
      </c>
      <c r="Y137" s="88"/>
      <c r="Z137" s="250"/>
      <c r="AA137" s="87" t="s">
        <v>2268</v>
      </c>
      <c r="AB137" s="250" t="s">
        <v>2090</v>
      </c>
      <c r="AC137" s="250"/>
      <c r="AD137" s="250"/>
      <c r="AE137" s="87"/>
      <c r="AF137" s="88" t="s">
        <v>786</v>
      </c>
      <c r="AG137" s="88" t="s">
        <v>2269</v>
      </c>
      <c r="AH137" s="88"/>
      <c r="AI137" s="224"/>
      <c r="AJ137" s="225">
        <v>3</v>
      </c>
      <c r="AK137" s="224" t="s">
        <v>2270</v>
      </c>
      <c r="AL137" s="224" t="s">
        <v>2271</v>
      </c>
      <c r="AM137" s="224" t="s">
        <v>2272</v>
      </c>
      <c r="AN137" s="224"/>
    </row>
    <row r="138" spans="1:40" s="86" customFormat="1" ht="59.25" customHeight="1">
      <c r="A138" s="402">
        <v>185056</v>
      </c>
      <c r="B138" s="89" t="s">
        <v>754</v>
      </c>
      <c r="C138" s="89" t="s">
        <v>289</v>
      </c>
      <c r="D138" s="88">
        <v>60388</v>
      </c>
      <c r="E138" s="88" t="s">
        <v>290</v>
      </c>
      <c r="F138" s="88" t="s">
        <v>55</v>
      </c>
      <c r="G138" s="88" t="s">
        <v>291</v>
      </c>
      <c r="H138" s="88" t="s">
        <v>591</v>
      </c>
      <c r="I138" s="88" t="s">
        <v>40</v>
      </c>
      <c r="J138" s="89" t="s">
        <v>5282</v>
      </c>
      <c r="K138" s="103" t="s">
        <v>1402</v>
      </c>
      <c r="L138" s="403" t="s">
        <v>26</v>
      </c>
      <c r="M138" s="199">
        <v>45412</v>
      </c>
      <c r="N138" s="105">
        <v>44673</v>
      </c>
      <c r="O138" s="105"/>
      <c r="P138" s="203" t="s">
        <v>5553</v>
      </c>
      <c r="Q138" s="203" t="s">
        <v>1693</v>
      </c>
      <c r="R138" s="203" t="s">
        <v>1945</v>
      </c>
      <c r="S138" s="203"/>
      <c r="T138" s="87" t="s">
        <v>5750</v>
      </c>
      <c r="U138" s="87" t="s">
        <v>1572</v>
      </c>
      <c r="V138" s="87"/>
      <c r="W138" s="88" t="s">
        <v>1571</v>
      </c>
      <c r="X138" s="249" t="s">
        <v>5423</v>
      </c>
      <c r="Y138" s="88"/>
      <c r="Z138" s="250"/>
      <c r="AA138" s="87" t="s">
        <v>2220</v>
      </c>
      <c r="AB138" s="250" t="s">
        <v>2072</v>
      </c>
      <c r="AC138" s="250"/>
      <c r="AD138" s="250"/>
      <c r="AE138" s="87"/>
      <c r="AF138" s="88" t="s">
        <v>5282</v>
      </c>
      <c r="AG138" s="88" t="s">
        <v>2073</v>
      </c>
      <c r="AH138" s="88" t="s">
        <v>2074</v>
      </c>
      <c r="AI138" s="224"/>
      <c r="AJ138" s="225">
        <v>2</v>
      </c>
      <c r="AK138" s="224" t="s">
        <v>2076</v>
      </c>
      <c r="AL138" s="224" t="s">
        <v>2221</v>
      </c>
      <c r="AM138" s="224" t="s">
        <v>2077</v>
      </c>
      <c r="AN138" s="224"/>
    </row>
    <row r="139" spans="1:40" s="86" customFormat="1" ht="59.25" customHeight="1">
      <c r="A139" s="402">
        <v>185063</v>
      </c>
      <c r="B139" s="89" t="s">
        <v>661</v>
      </c>
      <c r="C139" s="89" t="s">
        <v>292</v>
      </c>
      <c r="D139" s="88">
        <v>74116</v>
      </c>
      <c r="E139" s="88" t="s">
        <v>119</v>
      </c>
      <c r="F139" s="88" t="s">
        <v>51</v>
      </c>
      <c r="G139" s="88">
        <v>29957</v>
      </c>
      <c r="H139" s="88" t="s">
        <v>591</v>
      </c>
      <c r="I139" s="88" t="s">
        <v>40</v>
      </c>
      <c r="J139" s="89" t="s">
        <v>1510</v>
      </c>
      <c r="K139" s="103"/>
      <c r="L139" s="403" t="s">
        <v>26</v>
      </c>
      <c r="M139" s="199">
        <v>45230</v>
      </c>
      <c r="N139" s="105">
        <v>44119</v>
      </c>
      <c r="O139" s="105"/>
      <c r="P139" s="203" t="s">
        <v>5554</v>
      </c>
      <c r="Q139" s="203" t="s">
        <v>1694</v>
      </c>
      <c r="R139" s="203"/>
      <c r="S139" s="203"/>
      <c r="T139" s="87" t="s">
        <v>4718</v>
      </c>
      <c r="U139" s="87" t="s">
        <v>1573</v>
      </c>
      <c r="V139" s="87"/>
      <c r="W139" s="88" t="s">
        <v>1571</v>
      </c>
      <c r="X139" s="249" t="s">
        <v>3768</v>
      </c>
      <c r="Y139" s="88"/>
      <c r="Z139" s="250"/>
      <c r="AA139" s="87" t="s">
        <v>661</v>
      </c>
      <c r="AB139" s="250" t="s">
        <v>2090</v>
      </c>
      <c r="AC139" s="250"/>
      <c r="AD139" s="250"/>
      <c r="AE139" s="87"/>
      <c r="AF139" s="88" t="s">
        <v>1510</v>
      </c>
      <c r="AG139" s="88" t="s">
        <v>2090</v>
      </c>
      <c r="AH139" s="88" t="s">
        <v>2137</v>
      </c>
      <c r="AI139" s="224"/>
      <c r="AJ139" s="225">
        <v>3</v>
      </c>
      <c r="AK139" s="224" t="s">
        <v>2087</v>
      </c>
      <c r="AL139" s="224" t="s">
        <v>2273</v>
      </c>
      <c r="AM139" s="224"/>
      <c r="AN139" s="224"/>
    </row>
    <row r="140" spans="1:40" s="86" customFormat="1" ht="59.25" customHeight="1">
      <c r="A140" s="402">
        <v>185279</v>
      </c>
      <c r="B140" s="89" t="s">
        <v>4998</v>
      </c>
      <c r="C140" s="89" t="s">
        <v>4999</v>
      </c>
      <c r="D140" s="88">
        <v>44266</v>
      </c>
      <c r="E140" s="88" t="s">
        <v>5000</v>
      </c>
      <c r="F140" s="88" t="s">
        <v>51</v>
      </c>
      <c r="G140" s="88">
        <v>86228</v>
      </c>
      <c r="H140" s="88" t="s">
        <v>591</v>
      </c>
      <c r="I140" s="88" t="s">
        <v>40</v>
      </c>
      <c r="J140" s="89" t="s">
        <v>4608</v>
      </c>
      <c r="K140" s="103" t="s">
        <v>5218</v>
      </c>
      <c r="L140" s="403" t="s">
        <v>26</v>
      </c>
      <c r="M140" s="199">
        <v>45777</v>
      </c>
      <c r="N140" s="105">
        <v>44699</v>
      </c>
      <c r="O140" s="105"/>
      <c r="P140" s="203" t="s">
        <v>5036</v>
      </c>
      <c r="Q140" s="203" t="s">
        <v>5008</v>
      </c>
      <c r="R140" s="203"/>
      <c r="S140" s="203"/>
      <c r="T140" s="87" t="s">
        <v>5078</v>
      </c>
      <c r="U140" s="87" t="s">
        <v>1568</v>
      </c>
      <c r="V140" s="87"/>
      <c r="W140" s="88" t="s">
        <v>1568</v>
      </c>
      <c r="X140" s="249" t="s">
        <v>5013</v>
      </c>
      <c r="Y140" s="88"/>
      <c r="Z140" s="250" t="s">
        <v>5180</v>
      </c>
      <c r="AA140" s="87" t="s">
        <v>2260</v>
      </c>
      <c r="AB140" s="250" t="s">
        <v>2073</v>
      </c>
      <c r="AC140" s="250" t="s">
        <v>5185</v>
      </c>
      <c r="AD140" s="250"/>
      <c r="AE140" s="87" t="s">
        <v>5180</v>
      </c>
      <c r="AF140" s="88" t="s">
        <v>4608</v>
      </c>
      <c r="AG140" s="88" t="s">
        <v>2073</v>
      </c>
      <c r="AH140" s="88"/>
      <c r="AI140" s="224"/>
      <c r="AJ140" s="225">
        <v>4</v>
      </c>
      <c r="AK140" s="224" t="s">
        <v>2085</v>
      </c>
      <c r="AL140" s="224" t="s">
        <v>2261</v>
      </c>
      <c r="AM140" s="224"/>
      <c r="AN140" s="224"/>
    </row>
    <row r="141" spans="1:40" s="86" customFormat="1" ht="59.25" customHeight="1">
      <c r="A141" s="402">
        <v>186779</v>
      </c>
      <c r="B141" s="89" t="s">
        <v>678</v>
      </c>
      <c r="C141" s="89" t="s">
        <v>683</v>
      </c>
      <c r="D141" s="88">
        <v>33178</v>
      </c>
      <c r="E141" s="88" t="s">
        <v>110</v>
      </c>
      <c r="F141" s="88" t="s">
        <v>51</v>
      </c>
      <c r="G141" s="88" t="s">
        <v>872</v>
      </c>
      <c r="H141" s="88" t="s">
        <v>591</v>
      </c>
      <c r="I141" s="88" t="s">
        <v>40</v>
      </c>
      <c r="J141" s="89" t="s">
        <v>5283</v>
      </c>
      <c r="K141" s="103" t="s">
        <v>1233</v>
      </c>
      <c r="L141" s="403" t="s">
        <v>26</v>
      </c>
      <c r="M141" s="199">
        <v>45230</v>
      </c>
      <c r="N141" s="105">
        <v>44316</v>
      </c>
      <c r="O141" s="105"/>
      <c r="P141" s="203" t="s">
        <v>5292</v>
      </c>
      <c r="Q141" s="203" t="s">
        <v>1695</v>
      </c>
      <c r="R141" s="203"/>
      <c r="S141" s="203"/>
      <c r="T141" s="87" t="s">
        <v>5751</v>
      </c>
      <c r="U141" s="87" t="s">
        <v>1571</v>
      </c>
      <c r="V141" s="87"/>
      <c r="W141" s="88" t="s">
        <v>1571</v>
      </c>
      <c r="X141" s="249" t="s">
        <v>3770</v>
      </c>
      <c r="Y141" s="88"/>
      <c r="Z141" s="250"/>
      <c r="AA141" s="87" t="s">
        <v>2141</v>
      </c>
      <c r="AB141" s="250" t="s">
        <v>2072</v>
      </c>
      <c r="AC141" s="250"/>
      <c r="AD141" s="250"/>
      <c r="AE141" s="87"/>
      <c r="AF141" s="88" t="s">
        <v>5283</v>
      </c>
      <c r="AG141" s="88" t="s">
        <v>2073</v>
      </c>
      <c r="AH141" s="88" t="s">
        <v>2074</v>
      </c>
      <c r="AI141" s="224"/>
      <c r="AJ141" s="225">
        <v>2</v>
      </c>
      <c r="AK141" s="224" t="s">
        <v>2076</v>
      </c>
      <c r="AL141" s="224" t="s">
        <v>2496</v>
      </c>
      <c r="AM141" s="224" t="s">
        <v>2099</v>
      </c>
      <c r="AN141" s="224" t="s">
        <v>2142</v>
      </c>
    </row>
    <row r="142" spans="1:40" s="86" customFormat="1" ht="59.25" customHeight="1">
      <c r="A142" s="402">
        <v>187125</v>
      </c>
      <c r="B142" s="89" t="s">
        <v>747</v>
      </c>
      <c r="C142" s="89" t="s">
        <v>293</v>
      </c>
      <c r="D142" s="88" t="s">
        <v>294</v>
      </c>
      <c r="E142" s="88" t="s">
        <v>295</v>
      </c>
      <c r="F142" s="88" t="s">
        <v>51</v>
      </c>
      <c r="G142" s="88">
        <v>92003</v>
      </c>
      <c r="H142" s="88" t="s">
        <v>591</v>
      </c>
      <c r="I142" s="88" t="s">
        <v>40</v>
      </c>
      <c r="J142" s="89" t="s">
        <v>1336</v>
      </c>
      <c r="K142" s="103" t="s">
        <v>1402</v>
      </c>
      <c r="L142" s="403" t="s">
        <v>26</v>
      </c>
      <c r="M142" s="199">
        <v>45199</v>
      </c>
      <c r="N142" s="105">
        <v>44648</v>
      </c>
      <c r="O142" s="105"/>
      <c r="P142" s="203" t="s">
        <v>4887</v>
      </c>
      <c r="Q142" s="203" t="s">
        <v>1696</v>
      </c>
      <c r="R142" s="203" t="s">
        <v>1946</v>
      </c>
      <c r="S142" s="203"/>
      <c r="T142" s="87" t="s">
        <v>5752</v>
      </c>
      <c r="U142" s="87" t="s">
        <v>1568</v>
      </c>
      <c r="V142" s="87" t="s">
        <v>1575</v>
      </c>
      <c r="W142" s="88" t="s">
        <v>1568</v>
      </c>
      <c r="X142" s="249" t="s">
        <v>3771</v>
      </c>
      <c r="Y142" s="88"/>
      <c r="Z142" s="250"/>
      <c r="AA142" s="87" t="s">
        <v>2071</v>
      </c>
      <c r="AB142" s="250" t="s">
        <v>2072</v>
      </c>
      <c r="AC142" s="250"/>
      <c r="AD142" s="250"/>
      <c r="AE142" s="87"/>
      <c r="AF142" s="88" t="s">
        <v>1336</v>
      </c>
      <c r="AG142" s="88" t="s">
        <v>2079</v>
      </c>
      <c r="AH142" s="88" t="s">
        <v>2074</v>
      </c>
      <c r="AI142" s="224" t="s">
        <v>2075</v>
      </c>
      <c r="AJ142" s="225">
        <v>2</v>
      </c>
      <c r="AK142" s="224" t="s">
        <v>2076</v>
      </c>
      <c r="AL142" s="224" t="s">
        <v>2495</v>
      </c>
      <c r="AM142" s="224" t="s">
        <v>2077</v>
      </c>
      <c r="AN142" s="224"/>
    </row>
    <row r="143" spans="1:40" s="86" customFormat="1" ht="59.25" customHeight="1">
      <c r="A143" s="402">
        <v>187130</v>
      </c>
      <c r="B143" s="89" t="s">
        <v>296</v>
      </c>
      <c r="C143" s="89" t="s">
        <v>297</v>
      </c>
      <c r="D143" s="88" t="s">
        <v>298</v>
      </c>
      <c r="E143" s="88" t="s">
        <v>299</v>
      </c>
      <c r="F143" s="88" t="s">
        <v>51</v>
      </c>
      <c r="G143" s="88">
        <v>26055</v>
      </c>
      <c r="H143" s="88" t="s">
        <v>591</v>
      </c>
      <c r="I143" s="88" t="s">
        <v>40</v>
      </c>
      <c r="J143" s="89" t="s">
        <v>5278</v>
      </c>
      <c r="K143" s="103" t="s">
        <v>1402</v>
      </c>
      <c r="L143" s="403" t="s">
        <v>26</v>
      </c>
      <c r="M143" s="199">
        <v>45199</v>
      </c>
      <c r="N143" s="105">
        <v>44648</v>
      </c>
      <c r="O143" s="105"/>
      <c r="P143" s="203" t="s">
        <v>6032</v>
      </c>
      <c r="Q143" s="203" t="s">
        <v>1697</v>
      </c>
      <c r="R143" s="203" t="s">
        <v>1947</v>
      </c>
      <c r="S143" s="203"/>
      <c r="T143" s="87" t="s">
        <v>5753</v>
      </c>
      <c r="U143" s="87" t="s">
        <v>1569</v>
      </c>
      <c r="V143" s="87"/>
      <c r="W143" s="88" t="s">
        <v>1568</v>
      </c>
      <c r="X143" s="249" t="s">
        <v>3772</v>
      </c>
      <c r="Y143" s="88"/>
      <c r="Z143" s="250"/>
      <c r="AA143" s="87" t="s">
        <v>2071</v>
      </c>
      <c r="AB143" s="250" t="s">
        <v>2072</v>
      </c>
      <c r="AC143" s="250"/>
      <c r="AD143" s="250"/>
      <c r="AE143" s="87"/>
      <c r="AF143" s="88" t="s">
        <v>1336</v>
      </c>
      <c r="AG143" s="88" t="s">
        <v>2079</v>
      </c>
      <c r="AH143" s="88" t="s">
        <v>2074</v>
      </c>
      <c r="AI143" s="224" t="s">
        <v>2075</v>
      </c>
      <c r="AJ143" s="225">
        <v>2</v>
      </c>
      <c r="AK143" s="224" t="s">
        <v>2076</v>
      </c>
      <c r="AL143" s="224" t="s">
        <v>2495</v>
      </c>
      <c r="AM143" s="224" t="s">
        <v>2077</v>
      </c>
      <c r="AN143" s="224"/>
    </row>
    <row r="144" spans="1:40" s="86" customFormat="1" ht="59.25" customHeight="1">
      <c r="A144" s="402">
        <v>187150</v>
      </c>
      <c r="B144" s="89" t="s">
        <v>300</v>
      </c>
      <c r="C144" s="89" t="s">
        <v>301</v>
      </c>
      <c r="D144" s="88">
        <v>31021</v>
      </c>
      <c r="E144" s="88" t="s">
        <v>302</v>
      </c>
      <c r="F144" s="88" t="s">
        <v>51</v>
      </c>
      <c r="G144" s="88">
        <v>49695</v>
      </c>
      <c r="H144" s="88" t="s">
        <v>591</v>
      </c>
      <c r="I144" s="88" t="s">
        <v>40</v>
      </c>
      <c r="J144" s="89" t="s">
        <v>5278</v>
      </c>
      <c r="K144" s="103" t="s">
        <v>1402</v>
      </c>
      <c r="L144" s="403" t="s">
        <v>26</v>
      </c>
      <c r="M144" s="199">
        <v>45199</v>
      </c>
      <c r="N144" s="105">
        <v>44648</v>
      </c>
      <c r="O144" s="105"/>
      <c r="P144" s="203" t="s">
        <v>4481</v>
      </c>
      <c r="Q144" s="203" t="s">
        <v>1698</v>
      </c>
      <c r="R144" s="203"/>
      <c r="S144" s="203"/>
      <c r="T144" s="87" t="s">
        <v>4407</v>
      </c>
      <c r="U144" s="87" t="s">
        <v>1568</v>
      </c>
      <c r="V144" s="87"/>
      <c r="W144" s="88" t="s">
        <v>1568</v>
      </c>
      <c r="X144" s="249" t="s">
        <v>5497</v>
      </c>
      <c r="Y144" s="88"/>
      <c r="Z144" s="250"/>
      <c r="AA144" s="87" t="s">
        <v>2071</v>
      </c>
      <c r="AB144" s="250" t="s">
        <v>2072</v>
      </c>
      <c r="AC144" s="250"/>
      <c r="AD144" s="250"/>
      <c r="AE144" s="87"/>
      <c r="AF144" s="88" t="s">
        <v>1336</v>
      </c>
      <c r="AG144" s="88" t="s">
        <v>2079</v>
      </c>
      <c r="AH144" s="88" t="s">
        <v>2074</v>
      </c>
      <c r="AI144" s="224" t="s">
        <v>2075</v>
      </c>
      <c r="AJ144" s="225">
        <v>2</v>
      </c>
      <c r="AK144" s="224" t="s">
        <v>2076</v>
      </c>
      <c r="AL144" s="224" t="s">
        <v>2495</v>
      </c>
      <c r="AM144" s="224" t="s">
        <v>2077</v>
      </c>
      <c r="AN144" s="224"/>
    </row>
    <row r="145" spans="1:40" s="86" customFormat="1" ht="59.25" customHeight="1">
      <c r="A145" s="402">
        <v>187343</v>
      </c>
      <c r="B145" s="89" t="s">
        <v>303</v>
      </c>
      <c r="C145" s="89" t="s">
        <v>304</v>
      </c>
      <c r="D145" s="88">
        <v>91028</v>
      </c>
      <c r="E145" s="88" t="s">
        <v>305</v>
      </c>
      <c r="F145" s="88" t="s">
        <v>47</v>
      </c>
      <c r="G145" s="88" t="s">
        <v>873</v>
      </c>
      <c r="H145" s="88" t="s">
        <v>591</v>
      </c>
      <c r="I145" s="88" t="s">
        <v>40</v>
      </c>
      <c r="J145" s="89" t="s">
        <v>1277</v>
      </c>
      <c r="K145" s="103"/>
      <c r="L145" s="403" t="s">
        <v>26</v>
      </c>
      <c r="M145" s="199">
        <v>45260</v>
      </c>
      <c r="N145" s="105">
        <v>44165</v>
      </c>
      <c r="O145" s="105"/>
      <c r="P145" s="203" t="s">
        <v>1306</v>
      </c>
      <c r="Q145" s="203" t="s">
        <v>1699</v>
      </c>
      <c r="R145" s="203" t="s">
        <v>1948</v>
      </c>
      <c r="S145" s="203"/>
      <c r="T145" s="87" t="s">
        <v>5754</v>
      </c>
      <c r="U145" s="87" t="s">
        <v>1574</v>
      </c>
      <c r="V145" s="87"/>
      <c r="W145" s="88" t="s">
        <v>1568</v>
      </c>
      <c r="X145" s="249" t="s">
        <v>5058</v>
      </c>
      <c r="Y145" s="88"/>
      <c r="Z145" s="250" t="s">
        <v>2038</v>
      </c>
      <c r="AA145" s="87" t="s">
        <v>303</v>
      </c>
      <c r="AB145" s="250" t="s">
        <v>2072</v>
      </c>
      <c r="AC145" s="250" t="s">
        <v>2274</v>
      </c>
      <c r="AD145" s="250"/>
      <c r="AE145" s="87" t="s">
        <v>2038</v>
      </c>
      <c r="AF145" s="88" t="s">
        <v>1277</v>
      </c>
      <c r="AG145" s="88" t="s">
        <v>2073</v>
      </c>
      <c r="AH145" s="88" t="s">
        <v>2113</v>
      </c>
      <c r="AI145" s="224"/>
      <c r="AJ145" s="225">
        <v>4</v>
      </c>
      <c r="AK145" s="224" t="s">
        <v>2085</v>
      </c>
      <c r="AL145" s="224" t="s">
        <v>2275</v>
      </c>
      <c r="AM145" s="224" t="s">
        <v>2087</v>
      </c>
      <c r="AN145" s="224"/>
    </row>
    <row r="146" spans="1:40" s="86" customFormat="1" ht="59.25" customHeight="1">
      <c r="A146" s="402">
        <v>187722</v>
      </c>
      <c r="B146" s="89" t="s">
        <v>1199</v>
      </c>
      <c r="C146" s="89" t="s">
        <v>1200</v>
      </c>
      <c r="D146" s="88">
        <v>78310</v>
      </c>
      <c r="E146" s="88" t="s">
        <v>1201</v>
      </c>
      <c r="F146" s="88" t="s">
        <v>47</v>
      </c>
      <c r="G146" s="88" t="s">
        <v>1202</v>
      </c>
      <c r="H146" s="88" t="s">
        <v>591</v>
      </c>
      <c r="I146" s="88" t="s">
        <v>40</v>
      </c>
      <c r="J146" s="89" t="s">
        <v>5279</v>
      </c>
      <c r="K146" s="103" t="s">
        <v>1402</v>
      </c>
      <c r="L146" s="403" t="s">
        <v>26</v>
      </c>
      <c r="M146" s="199">
        <v>45291</v>
      </c>
      <c r="N146" s="105">
        <v>44547</v>
      </c>
      <c r="O146" s="105"/>
      <c r="P146" s="203" t="s">
        <v>2532</v>
      </c>
      <c r="Q146" s="203" t="s">
        <v>1700</v>
      </c>
      <c r="R146" s="203" t="s">
        <v>1949</v>
      </c>
      <c r="S146" s="203"/>
      <c r="T146" s="87" t="s">
        <v>5755</v>
      </c>
      <c r="U146" s="87" t="s">
        <v>1569</v>
      </c>
      <c r="V146" s="87"/>
      <c r="W146" s="88" t="s">
        <v>1568</v>
      </c>
      <c r="X146" s="249" t="s">
        <v>3773</v>
      </c>
      <c r="Y146" s="88"/>
      <c r="Z146" s="250"/>
      <c r="AA146" s="87" t="s">
        <v>2100</v>
      </c>
      <c r="AB146" s="250" t="s">
        <v>2072</v>
      </c>
      <c r="AC146" s="250"/>
      <c r="AD146" s="250"/>
      <c r="AE146" s="87"/>
      <c r="AF146" s="88" t="s">
        <v>5279</v>
      </c>
      <c r="AG146" s="88" t="s">
        <v>2073</v>
      </c>
      <c r="AH146" s="88" t="s">
        <v>2074</v>
      </c>
      <c r="AI146" s="224" t="s">
        <v>2075</v>
      </c>
      <c r="AJ146" s="225">
        <v>2</v>
      </c>
      <c r="AK146" s="224" t="s">
        <v>2076</v>
      </c>
      <c r="AL146" s="224" t="s">
        <v>2101</v>
      </c>
      <c r="AM146" s="224" t="s">
        <v>2099</v>
      </c>
      <c r="AN146" s="224"/>
    </row>
    <row r="147" spans="1:40" s="86" customFormat="1" ht="59.25" customHeight="1">
      <c r="A147" s="402">
        <v>187949</v>
      </c>
      <c r="B147" s="89" t="s">
        <v>306</v>
      </c>
      <c r="C147" s="89" t="s">
        <v>307</v>
      </c>
      <c r="D147" s="88">
        <v>67346</v>
      </c>
      <c r="E147" s="88" t="s">
        <v>308</v>
      </c>
      <c r="F147" s="88" t="s">
        <v>55</v>
      </c>
      <c r="G147" s="88" t="s">
        <v>874</v>
      </c>
      <c r="H147" s="88" t="s">
        <v>591</v>
      </c>
      <c r="I147" s="88" t="s">
        <v>40</v>
      </c>
      <c r="J147" s="89" t="s">
        <v>1510</v>
      </c>
      <c r="K147" s="103" t="s">
        <v>1402</v>
      </c>
      <c r="L147" s="403" t="s">
        <v>26</v>
      </c>
      <c r="M147" s="199">
        <v>45473</v>
      </c>
      <c r="N147" s="105">
        <v>44740</v>
      </c>
      <c r="O147" s="105"/>
      <c r="P147" s="203" t="s">
        <v>2533</v>
      </c>
      <c r="Q147" s="203" t="s">
        <v>1701</v>
      </c>
      <c r="R147" s="203" t="s">
        <v>1950</v>
      </c>
      <c r="S147" s="203"/>
      <c r="T147" s="87" t="s">
        <v>4922</v>
      </c>
      <c r="U147" s="87" t="s">
        <v>1568</v>
      </c>
      <c r="V147" s="87"/>
      <c r="W147" s="88" t="s">
        <v>1568</v>
      </c>
      <c r="X147" s="249" t="s">
        <v>3775</v>
      </c>
      <c r="Y147" s="88"/>
      <c r="Z147" s="250"/>
      <c r="AA147" s="87" t="s">
        <v>306</v>
      </c>
      <c r="AB147" s="250" t="s">
        <v>2072</v>
      </c>
      <c r="AC147" s="250"/>
      <c r="AD147" s="250"/>
      <c r="AE147" s="87"/>
      <c r="AF147" s="88" t="s">
        <v>1510</v>
      </c>
      <c r="AG147" s="88" t="s">
        <v>2143</v>
      </c>
      <c r="AH147" s="88" t="s">
        <v>2137</v>
      </c>
      <c r="AI147" s="224"/>
      <c r="AJ147" s="225">
        <v>3</v>
      </c>
      <c r="AK147" s="224" t="s">
        <v>2144</v>
      </c>
      <c r="AL147" s="224" t="s">
        <v>2276</v>
      </c>
      <c r="AM147" s="224" t="s">
        <v>2186</v>
      </c>
      <c r="AN147" s="224" t="s">
        <v>2277</v>
      </c>
    </row>
    <row r="148" spans="1:40" s="86" customFormat="1" ht="59.25" customHeight="1">
      <c r="A148" s="402">
        <v>188701</v>
      </c>
      <c r="B148" s="89" t="s">
        <v>4932</v>
      </c>
      <c r="C148" s="89" t="s">
        <v>4933</v>
      </c>
      <c r="D148" s="88">
        <v>82710</v>
      </c>
      <c r="E148" s="88" t="s">
        <v>4934</v>
      </c>
      <c r="F148" s="88" t="s">
        <v>47</v>
      </c>
      <c r="G148" s="88" t="s">
        <v>4935</v>
      </c>
      <c r="H148" s="88" t="s">
        <v>591</v>
      </c>
      <c r="I148" s="88" t="s">
        <v>40</v>
      </c>
      <c r="J148" s="89" t="s">
        <v>1277</v>
      </c>
      <c r="K148" s="103" t="s">
        <v>5218</v>
      </c>
      <c r="L148" s="403" t="s">
        <v>26</v>
      </c>
      <c r="M148" s="199">
        <v>45291</v>
      </c>
      <c r="N148" s="105">
        <v>44544</v>
      </c>
      <c r="O148" s="105"/>
      <c r="P148" s="203" t="s">
        <v>4940</v>
      </c>
      <c r="Q148" s="203" t="s">
        <v>4946</v>
      </c>
      <c r="R148" s="203" t="s">
        <v>4948</v>
      </c>
      <c r="S148" s="203"/>
      <c r="T148" s="87" t="s">
        <v>5986</v>
      </c>
      <c r="U148" s="87" t="s">
        <v>1568</v>
      </c>
      <c r="V148" s="87"/>
      <c r="W148" s="88" t="s">
        <v>1568</v>
      </c>
      <c r="X148" s="249" t="s">
        <v>4954</v>
      </c>
      <c r="Y148" s="88"/>
      <c r="Z148" s="250"/>
      <c r="AA148" s="87" t="s">
        <v>4960</v>
      </c>
      <c r="AB148" s="250" t="s">
        <v>4805</v>
      </c>
      <c r="AC148" s="250"/>
      <c r="AD148" s="250"/>
      <c r="AE148" s="87"/>
      <c r="AF148" s="88" t="s">
        <v>1277</v>
      </c>
      <c r="AG148" s="88" t="s">
        <v>4805</v>
      </c>
      <c r="AH148" s="88"/>
      <c r="AI148" s="224"/>
      <c r="AJ148" s="225">
        <v>2</v>
      </c>
      <c r="AK148" s="224"/>
      <c r="AL148" s="224"/>
      <c r="AM148" s="224"/>
      <c r="AN148" s="224"/>
    </row>
    <row r="149" spans="1:40" s="86" customFormat="1" ht="59.25" customHeight="1">
      <c r="A149" s="402">
        <v>189074</v>
      </c>
      <c r="B149" s="89" t="s">
        <v>309</v>
      </c>
      <c r="C149" s="89" t="s">
        <v>310</v>
      </c>
      <c r="D149" s="88" t="s">
        <v>755</v>
      </c>
      <c r="E149" s="88" t="s">
        <v>154</v>
      </c>
      <c r="F149" s="88" t="s">
        <v>51</v>
      </c>
      <c r="G149" s="88">
        <v>53117</v>
      </c>
      <c r="H149" s="88" t="s">
        <v>591</v>
      </c>
      <c r="I149" s="88" t="s">
        <v>40</v>
      </c>
      <c r="J149" s="89" t="s">
        <v>1336</v>
      </c>
      <c r="K149" s="103"/>
      <c r="L149" s="403" t="s">
        <v>26</v>
      </c>
      <c r="M149" s="199">
        <v>45138</v>
      </c>
      <c r="N149" s="105">
        <v>44035</v>
      </c>
      <c r="O149" s="105"/>
      <c r="P149" s="203" t="s">
        <v>6033</v>
      </c>
      <c r="Q149" s="203" t="s">
        <v>1702</v>
      </c>
      <c r="R149" s="203"/>
      <c r="S149" s="203"/>
      <c r="T149" s="87" t="s">
        <v>5756</v>
      </c>
      <c r="U149" s="87" t="s">
        <v>1574</v>
      </c>
      <c r="V149" s="87"/>
      <c r="W149" s="88" t="s">
        <v>1568</v>
      </c>
      <c r="X149" s="249" t="s">
        <v>3777</v>
      </c>
      <c r="Y149" s="88"/>
      <c r="Z149" s="250"/>
      <c r="AA149" s="87" t="s">
        <v>309</v>
      </c>
      <c r="AB149" s="250" t="s">
        <v>2072</v>
      </c>
      <c r="AC149" s="250"/>
      <c r="AD149" s="250"/>
      <c r="AE149" s="87"/>
      <c r="AF149" s="88" t="s">
        <v>1336</v>
      </c>
      <c r="AG149" s="88" t="s">
        <v>2073</v>
      </c>
      <c r="AH149" s="88" t="s">
        <v>2113</v>
      </c>
      <c r="AI149" s="224"/>
      <c r="AJ149" s="225">
        <v>4</v>
      </c>
      <c r="AK149" s="224" t="s">
        <v>2085</v>
      </c>
      <c r="AL149" s="224" t="s">
        <v>2278</v>
      </c>
      <c r="AM149" s="224"/>
      <c r="AN149" s="224"/>
    </row>
    <row r="150" spans="1:40" s="86" customFormat="1" ht="59.25" customHeight="1">
      <c r="A150" s="402">
        <v>189129</v>
      </c>
      <c r="B150" s="89" t="s">
        <v>1292</v>
      </c>
      <c r="C150" s="89" t="s">
        <v>1293</v>
      </c>
      <c r="D150" s="88" t="s">
        <v>1294</v>
      </c>
      <c r="E150" s="88" t="s">
        <v>1295</v>
      </c>
      <c r="F150" s="88" t="s">
        <v>107</v>
      </c>
      <c r="G150" s="88">
        <v>198</v>
      </c>
      <c r="H150" s="88" t="s">
        <v>591</v>
      </c>
      <c r="I150" s="88" t="s">
        <v>737</v>
      </c>
      <c r="J150" s="89" t="s">
        <v>5281</v>
      </c>
      <c r="K150" s="103" t="s">
        <v>1233</v>
      </c>
      <c r="L150" s="403" t="s">
        <v>26</v>
      </c>
      <c r="M150" s="199">
        <v>45657</v>
      </c>
      <c r="N150" s="105">
        <v>44754</v>
      </c>
      <c r="O150" s="105"/>
      <c r="P150" s="203" t="s">
        <v>1296</v>
      </c>
      <c r="Q150" s="203"/>
      <c r="R150" s="203"/>
      <c r="S150" s="203"/>
      <c r="T150" s="87" t="s">
        <v>4450</v>
      </c>
      <c r="U150" s="87" t="s">
        <v>1568</v>
      </c>
      <c r="V150" s="87" t="s">
        <v>1575</v>
      </c>
      <c r="W150" s="88" t="s">
        <v>1568</v>
      </c>
      <c r="X150" s="249" t="s">
        <v>3780</v>
      </c>
      <c r="Y150" s="88"/>
      <c r="Z150" s="250"/>
      <c r="AA150" s="87"/>
      <c r="AB150" s="250"/>
      <c r="AC150" s="250"/>
      <c r="AD150" s="250"/>
      <c r="AE150" s="87"/>
      <c r="AF150" s="88"/>
      <c r="AG150" s="88"/>
      <c r="AH150" s="88"/>
      <c r="AI150" s="224"/>
      <c r="AJ150" s="225"/>
      <c r="AK150" s="224"/>
      <c r="AL150" s="224"/>
      <c r="AM150" s="224"/>
      <c r="AN150" s="224"/>
    </row>
    <row r="151" spans="1:40" s="86" customFormat="1" ht="59.25" customHeight="1">
      <c r="A151" s="402">
        <v>190670</v>
      </c>
      <c r="B151" s="89" t="s">
        <v>312</v>
      </c>
      <c r="C151" s="89" t="s">
        <v>5589</v>
      </c>
      <c r="D151" s="88">
        <v>46101</v>
      </c>
      <c r="E151" s="88" t="s">
        <v>313</v>
      </c>
      <c r="F151" s="88" t="s">
        <v>47</v>
      </c>
      <c r="G151" s="88" t="s">
        <v>875</v>
      </c>
      <c r="H151" s="88" t="s">
        <v>591</v>
      </c>
      <c r="I151" s="88" t="s">
        <v>40</v>
      </c>
      <c r="J151" s="89" t="s">
        <v>5282</v>
      </c>
      <c r="K151" s="103" t="s">
        <v>1233</v>
      </c>
      <c r="L151" s="403" t="s">
        <v>26</v>
      </c>
      <c r="M151" s="199">
        <v>45412</v>
      </c>
      <c r="N151" s="105">
        <v>44672</v>
      </c>
      <c r="O151" s="105"/>
      <c r="P151" s="203" t="s">
        <v>5676</v>
      </c>
      <c r="Q151" s="203" t="s">
        <v>1703</v>
      </c>
      <c r="R151" s="203" t="s">
        <v>1951</v>
      </c>
      <c r="S151" s="203"/>
      <c r="T151" s="87" t="s">
        <v>5919</v>
      </c>
      <c r="U151" s="87" t="s">
        <v>1572</v>
      </c>
      <c r="V151" s="87"/>
      <c r="W151" s="88" t="s">
        <v>1571</v>
      </c>
      <c r="X151" s="249" t="s">
        <v>4533</v>
      </c>
      <c r="Y151" s="88"/>
      <c r="Z151" s="250"/>
      <c r="AA151" s="87" t="s">
        <v>2171</v>
      </c>
      <c r="AB151" s="250" t="s">
        <v>2072</v>
      </c>
      <c r="AC151" s="250"/>
      <c r="AD151" s="250"/>
      <c r="AE151" s="87"/>
      <c r="AF151" s="88" t="s">
        <v>5282</v>
      </c>
      <c r="AG151" s="88" t="s">
        <v>2073</v>
      </c>
      <c r="AH151" s="88" t="s">
        <v>2093</v>
      </c>
      <c r="AI151" s="224"/>
      <c r="AJ151" s="225">
        <v>2</v>
      </c>
      <c r="AK151" s="224" t="s">
        <v>2076</v>
      </c>
      <c r="AL151" s="224" t="s">
        <v>2172</v>
      </c>
      <c r="AM151" s="224" t="s">
        <v>2077</v>
      </c>
      <c r="AN151" s="224"/>
    </row>
    <row r="152" spans="1:40" s="86" customFormat="1" ht="59.25" customHeight="1">
      <c r="A152" s="402">
        <v>190829</v>
      </c>
      <c r="B152" s="89" t="s">
        <v>607</v>
      </c>
      <c r="C152" s="89" t="s">
        <v>672</v>
      </c>
      <c r="D152" s="88">
        <v>69530</v>
      </c>
      <c r="E152" s="88" t="s">
        <v>608</v>
      </c>
      <c r="F152" s="88" t="s">
        <v>47</v>
      </c>
      <c r="G152" s="88" t="s">
        <v>1075</v>
      </c>
      <c r="H152" s="88" t="s">
        <v>591</v>
      </c>
      <c r="I152" s="88" t="s">
        <v>40</v>
      </c>
      <c r="J152" s="89" t="s">
        <v>1277</v>
      </c>
      <c r="K152" s="103" t="s">
        <v>1233</v>
      </c>
      <c r="L152" s="403" t="s">
        <v>26</v>
      </c>
      <c r="M152" s="199">
        <v>45688</v>
      </c>
      <c r="N152" s="105">
        <v>44589</v>
      </c>
      <c r="O152" s="105"/>
      <c r="P152" s="203" t="s">
        <v>1076</v>
      </c>
      <c r="Q152" s="203" t="s">
        <v>1704</v>
      </c>
      <c r="R152" s="203" t="s">
        <v>1952</v>
      </c>
      <c r="S152" s="203"/>
      <c r="T152" s="87" t="s">
        <v>6073</v>
      </c>
      <c r="U152" s="87" t="s">
        <v>1578</v>
      </c>
      <c r="V152" s="87"/>
      <c r="W152" s="88" t="s">
        <v>1568</v>
      </c>
      <c r="X152" s="249" t="s">
        <v>3783</v>
      </c>
      <c r="Y152" s="88"/>
      <c r="Z152" s="250"/>
      <c r="AA152" s="87" t="s">
        <v>607</v>
      </c>
      <c r="AB152" s="250" t="s">
        <v>2072</v>
      </c>
      <c r="AC152" s="250"/>
      <c r="AD152" s="250"/>
      <c r="AE152" s="87"/>
      <c r="AF152" s="88" t="s">
        <v>1277</v>
      </c>
      <c r="AG152" s="88" t="s">
        <v>2073</v>
      </c>
      <c r="AH152" s="88" t="s">
        <v>2093</v>
      </c>
      <c r="AI152" s="224"/>
      <c r="AJ152" s="225">
        <v>4</v>
      </c>
      <c r="AK152" s="224" t="s">
        <v>2085</v>
      </c>
      <c r="AL152" s="224" t="s">
        <v>2279</v>
      </c>
      <c r="AM152" s="224" t="s">
        <v>2099</v>
      </c>
      <c r="AN152" s="224"/>
    </row>
    <row r="153" spans="1:40" s="86" customFormat="1" ht="59.25" customHeight="1">
      <c r="A153" s="402">
        <v>192526</v>
      </c>
      <c r="B153" s="89" t="s">
        <v>316</v>
      </c>
      <c r="C153" s="89" t="s">
        <v>317</v>
      </c>
      <c r="D153" s="88">
        <v>31701</v>
      </c>
      <c r="E153" s="88" t="s">
        <v>151</v>
      </c>
      <c r="F153" s="88" t="s">
        <v>47</v>
      </c>
      <c r="G153" s="88" t="s">
        <v>876</v>
      </c>
      <c r="H153" s="88" t="s">
        <v>591</v>
      </c>
      <c r="I153" s="88" t="s">
        <v>40</v>
      </c>
      <c r="J153" s="89" t="s">
        <v>5282</v>
      </c>
      <c r="K153" s="103" t="s">
        <v>1233</v>
      </c>
      <c r="L153" s="403" t="s">
        <v>26</v>
      </c>
      <c r="M153" s="199">
        <v>45077</v>
      </c>
      <c r="N153" s="105">
        <v>44347</v>
      </c>
      <c r="O153" s="105"/>
      <c r="P153" s="203" t="s">
        <v>4203</v>
      </c>
      <c r="Q153" s="203" t="s">
        <v>1705</v>
      </c>
      <c r="R153" s="203"/>
      <c r="S153" s="203"/>
      <c r="T153" s="87" t="s">
        <v>5757</v>
      </c>
      <c r="U153" s="87" t="s">
        <v>1568</v>
      </c>
      <c r="V153" s="87"/>
      <c r="W153" s="88" t="s">
        <v>1568</v>
      </c>
      <c r="X153" s="249" t="s">
        <v>3784</v>
      </c>
      <c r="Y153" s="88"/>
      <c r="Z153" s="250"/>
      <c r="AA153" s="87" t="s">
        <v>2280</v>
      </c>
      <c r="AB153" s="250" t="s">
        <v>2072</v>
      </c>
      <c r="AC153" s="250"/>
      <c r="AD153" s="250"/>
      <c r="AE153" s="87"/>
      <c r="AF153" s="88" t="s">
        <v>4441</v>
      </c>
      <c r="AG153" s="88" t="s">
        <v>2073</v>
      </c>
      <c r="AH153" s="88" t="s">
        <v>2074</v>
      </c>
      <c r="AI153" s="224" t="s">
        <v>2075</v>
      </c>
      <c r="AJ153" s="225">
        <v>2</v>
      </c>
      <c r="AK153" s="224" t="s">
        <v>2076</v>
      </c>
      <c r="AL153" s="224" t="s">
        <v>2498</v>
      </c>
      <c r="AM153" s="224" t="s">
        <v>2077</v>
      </c>
      <c r="AN153" s="224" t="s">
        <v>2281</v>
      </c>
    </row>
    <row r="154" spans="1:40" s="86" customFormat="1" ht="59.25" customHeight="1">
      <c r="A154" s="402">
        <v>192537</v>
      </c>
      <c r="B154" s="89" t="s">
        <v>318</v>
      </c>
      <c r="C154" s="89" t="s">
        <v>319</v>
      </c>
      <c r="D154" s="88" t="s">
        <v>877</v>
      </c>
      <c r="E154" s="88" t="s">
        <v>235</v>
      </c>
      <c r="F154" s="88" t="s">
        <v>51</v>
      </c>
      <c r="G154" s="88" t="s">
        <v>878</v>
      </c>
      <c r="H154" s="88" t="s">
        <v>591</v>
      </c>
      <c r="I154" s="88" t="s">
        <v>40</v>
      </c>
      <c r="J154" s="89" t="s">
        <v>5282</v>
      </c>
      <c r="K154" s="103" t="s">
        <v>1233</v>
      </c>
      <c r="L154" s="403" t="s">
        <v>26</v>
      </c>
      <c r="M154" s="199">
        <v>45077</v>
      </c>
      <c r="N154" s="105">
        <v>44344</v>
      </c>
      <c r="O154" s="105"/>
      <c r="P154" s="203" t="s">
        <v>5126</v>
      </c>
      <c r="Q154" s="203" t="s">
        <v>1706</v>
      </c>
      <c r="R154" s="203" t="s">
        <v>1953</v>
      </c>
      <c r="S154" s="203"/>
      <c r="T154" s="87" t="s">
        <v>5758</v>
      </c>
      <c r="U154" s="87" t="s">
        <v>1574</v>
      </c>
      <c r="V154" s="87"/>
      <c r="W154" s="88" t="s">
        <v>1568</v>
      </c>
      <c r="X154" s="249" t="s">
        <v>5228</v>
      </c>
      <c r="Y154" s="88"/>
      <c r="Z154" s="250"/>
      <c r="AA154" s="87" t="s">
        <v>2280</v>
      </c>
      <c r="AB154" s="250" t="s">
        <v>2072</v>
      </c>
      <c r="AC154" s="250"/>
      <c r="AD154" s="250"/>
      <c r="AE154" s="87"/>
      <c r="AF154" s="88" t="s">
        <v>4441</v>
      </c>
      <c r="AG154" s="88" t="s">
        <v>2073</v>
      </c>
      <c r="AH154" s="88" t="s">
        <v>2074</v>
      </c>
      <c r="AI154" s="224" t="s">
        <v>2075</v>
      </c>
      <c r="AJ154" s="225">
        <v>2</v>
      </c>
      <c r="AK154" s="224" t="s">
        <v>2076</v>
      </c>
      <c r="AL154" s="224" t="s">
        <v>2498</v>
      </c>
      <c r="AM154" s="224" t="s">
        <v>2077</v>
      </c>
      <c r="AN154" s="224" t="s">
        <v>2281</v>
      </c>
    </row>
    <row r="155" spans="1:40" s="86" customFormat="1" ht="59.25" customHeight="1">
      <c r="A155" s="402">
        <v>192768</v>
      </c>
      <c r="B155" s="89" t="s">
        <v>4967</v>
      </c>
      <c r="C155" s="89" t="s">
        <v>320</v>
      </c>
      <c r="D155" s="88">
        <v>91910</v>
      </c>
      <c r="E155" s="88" t="s">
        <v>321</v>
      </c>
      <c r="F155" s="88" t="s">
        <v>51</v>
      </c>
      <c r="G155" s="88">
        <v>51563</v>
      </c>
      <c r="H155" s="88" t="s">
        <v>591</v>
      </c>
      <c r="I155" s="88" t="s">
        <v>40</v>
      </c>
      <c r="J155" s="89" t="s">
        <v>5282</v>
      </c>
      <c r="K155" s="103" t="s">
        <v>1402</v>
      </c>
      <c r="L155" s="403" t="s">
        <v>26</v>
      </c>
      <c r="M155" s="199">
        <v>45473</v>
      </c>
      <c r="N155" s="105">
        <v>44735</v>
      </c>
      <c r="O155" s="105"/>
      <c r="P155" s="203" t="s">
        <v>6034</v>
      </c>
      <c r="Q155" s="203" t="s">
        <v>1707</v>
      </c>
      <c r="R155" s="203" t="s">
        <v>4597</v>
      </c>
      <c r="S155" s="203"/>
      <c r="T155" s="87" t="s">
        <v>5759</v>
      </c>
      <c r="U155" s="87" t="s">
        <v>1573</v>
      </c>
      <c r="V155" s="87"/>
      <c r="W155" s="88" t="s">
        <v>1571</v>
      </c>
      <c r="X155" s="249" t="s">
        <v>3787</v>
      </c>
      <c r="Y155" s="88"/>
      <c r="Z155" s="250"/>
      <c r="AA155" s="87" t="s">
        <v>2282</v>
      </c>
      <c r="AB155" s="250" t="s">
        <v>2072</v>
      </c>
      <c r="AC155" s="250"/>
      <c r="AD155" s="250"/>
      <c r="AE155" s="87"/>
      <c r="AF155" s="88" t="s">
        <v>4441</v>
      </c>
      <c r="AG155" s="88" t="s">
        <v>2283</v>
      </c>
      <c r="AH155" s="88"/>
      <c r="AI155" s="224"/>
      <c r="AJ155" s="225">
        <v>3</v>
      </c>
      <c r="AK155" s="224" t="s">
        <v>2076</v>
      </c>
      <c r="AL155" s="224" t="s">
        <v>2284</v>
      </c>
      <c r="AM155" s="224" t="s">
        <v>2077</v>
      </c>
      <c r="AN155" s="224"/>
    </row>
    <row r="156" spans="1:40" s="86" customFormat="1" ht="59.25" customHeight="1">
      <c r="A156" s="402">
        <v>192949</v>
      </c>
      <c r="B156" s="89" t="s">
        <v>1363</v>
      </c>
      <c r="C156" s="89" t="s">
        <v>322</v>
      </c>
      <c r="D156" s="88" t="s">
        <v>323</v>
      </c>
      <c r="E156" s="88" t="s">
        <v>324</v>
      </c>
      <c r="F156" s="88" t="s">
        <v>51</v>
      </c>
      <c r="G156" s="88">
        <v>59885</v>
      </c>
      <c r="H156" s="88" t="s">
        <v>591</v>
      </c>
      <c r="I156" s="88" t="s">
        <v>40</v>
      </c>
      <c r="J156" s="89" t="s">
        <v>5282</v>
      </c>
      <c r="K156" s="103" t="s">
        <v>1402</v>
      </c>
      <c r="L156" s="403" t="s">
        <v>26</v>
      </c>
      <c r="M156" s="199">
        <v>45076</v>
      </c>
      <c r="N156" s="105">
        <v>44735</v>
      </c>
      <c r="O156" s="105"/>
      <c r="P156" s="203" t="s">
        <v>6035</v>
      </c>
      <c r="Q156" s="203" t="s">
        <v>1708</v>
      </c>
      <c r="R156" s="203" t="s">
        <v>4486</v>
      </c>
      <c r="S156" s="203"/>
      <c r="T156" s="87" t="s">
        <v>5760</v>
      </c>
      <c r="U156" s="87" t="s">
        <v>1574</v>
      </c>
      <c r="V156" s="87"/>
      <c r="W156" s="88" t="s">
        <v>1568</v>
      </c>
      <c r="X156" s="249" t="s">
        <v>3789</v>
      </c>
      <c r="Y156" s="88"/>
      <c r="Z156" s="250"/>
      <c r="AA156" s="87" t="s">
        <v>2241</v>
      </c>
      <c r="AB156" s="250" t="s">
        <v>2072</v>
      </c>
      <c r="AC156" s="250"/>
      <c r="AD156" s="250"/>
      <c r="AE156" s="87"/>
      <c r="AF156" s="88" t="s">
        <v>4441</v>
      </c>
      <c r="AG156" s="88" t="s">
        <v>2073</v>
      </c>
      <c r="AH156" s="88" t="s">
        <v>2074</v>
      </c>
      <c r="AI156" s="224" t="s">
        <v>2075</v>
      </c>
      <c r="AJ156" s="225">
        <v>3</v>
      </c>
      <c r="AK156" s="224" t="s">
        <v>2076</v>
      </c>
      <c r="AL156" s="224" t="s">
        <v>2219</v>
      </c>
      <c r="AM156" s="224" t="s">
        <v>2077</v>
      </c>
      <c r="AN156" s="224"/>
    </row>
    <row r="157" spans="1:40" s="86" customFormat="1" ht="59.25" customHeight="1">
      <c r="A157" s="402">
        <v>193845</v>
      </c>
      <c r="B157" s="89" t="s">
        <v>325</v>
      </c>
      <c r="C157" s="89" t="s">
        <v>609</v>
      </c>
      <c r="D157" s="88">
        <v>33074</v>
      </c>
      <c r="E157" s="88" t="s">
        <v>610</v>
      </c>
      <c r="F157" s="88" t="s">
        <v>47</v>
      </c>
      <c r="G157" s="88"/>
      <c r="H157" s="88" t="s">
        <v>591</v>
      </c>
      <c r="I157" s="88" t="s">
        <v>40</v>
      </c>
      <c r="J157" s="89" t="s">
        <v>5278</v>
      </c>
      <c r="K157" s="103" t="s">
        <v>1402</v>
      </c>
      <c r="L157" s="403" t="s">
        <v>26</v>
      </c>
      <c r="M157" s="199">
        <v>45443</v>
      </c>
      <c r="N157" s="105">
        <v>44337</v>
      </c>
      <c r="O157" s="105"/>
      <c r="P157" s="203" t="s">
        <v>1073</v>
      </c>
      <c r="Q157" s="203" t="s">
        <v>1709</v>
      </c>
      <c r="R157" s="203" t="s">
        <v>1954</v>
      </c>
      <c r="S157" s="203"/>
      <c r="T157" s="87" t="s">
        <v>5920</v>
      </c>
      <c r="U157" s="87" t="s">
        <v>1578</v>
      </c>
      <c r="V157" s="87"/>
      <c r="W157" s="88" t="s">
        <v>1568</v>
      </c>
      <c r="X157" s="249" t="s">
        <v>3791</v>
      </c>
      <c r="Y157" s="88"/>
      <c r="Z157" s="250"/>
      <c r="AA157" s="87" t="s">
        <v>325</v>
      </c>
      <c r="AB157" s="250" t="s">
        <v>2072</v>
      </c>
      <c r="AC157" s="250"/>
      <c r="AD157" s="250"/>
      <c r="AE157" s="87"/>
      <c r="AF157" s="88" t="s">
        <v>5278</v>
      </c>
      <c r="AG157" s="88" t="s">
        <v>2073</v>
      </c>
      <c r="AH157" s="88" t="s">
        <v>2113</v>
      </c>
      <c r="AI157" s="224"/>
      <c r="AJ157" s="225">
        <v>4</v>
      </c>
      <c r="AK157" s="224" t="s">
        <v>2085</v>
      </c>
      <c r="AL157" s="224" t="s">
        <v>2285</v>
      </c>
      <c r="AM157" s="224" t="s">
        <v>2087</v>
      </c>
      <c r="AN157" s="224"/>
    </row>
    <row r="158" spans="1:40" s="86" customFormat="1" ht="59.25" customHeight="1">
      <c r="A158" s="402">
        <v>193891</v>
      </c>
      <c r="B158" s="89" t="s">
        <v>748</v>
      </c>
      <c r="C158" s="89" t="s">
        <v>326</v>
      </c>
      <c r="D158" s="88">
        <v>91344</v>
      </c>
      <c r="E158" s="88" t="s">
        <v>327</v>
      </c>
      <c r="F158" s="88" t="s">
        <v>47</v>
      </c>
      <c r="G158" s="88"/>
      <c r="H158" s="88" t="s">
        <v>591</v>
      </c>
      <c r="I158" s="88" t="s">
        <v>40</v>
      </c>
      <c r="J158" s="89" t="s">
        <v>5280</v>
      </c>
      <c r="K158" s="103" t="s">
        <v>1233</v>
      </c>
      <c r="L158" s="403" t="s">
        <v>26</v>
      </c>
      <c r="M158" s="199">
        <v>45382</v>
      </c>
      <c r="N158" s="105">
        <v>44467</v>
      </c>
      <c r="O158" s="105"/>
      <c r="P158" s="203" t="s">
        <v>5555</v>
      </c>
      <c r="Q158" s="203" t="s">
        <v>1612</v>
      </c>
      <c r="R158" s="203" t="s">
        <v>1887</v>
      </c>
      <c r="S158" s="203"/>
      <c r="T158" s="87" t="s">
        <v>5761</v>
      </c>
      <c r="U158" s="87" t="s">
        <v>1568</v>
      </c>
      <c r="V158" s="87"/>
      <c r="W158" s="88" t="s">
        <v>1568</v>
      </c>
      <c r="X158" s="249" t="s">
        <v>5927</v>
      </c>
      <c r="Y158" s="88"/>
      <c r="Z158" s="250"/>
      <c r="AA158" s="87" t="s">
        <v>1265</v>
      </c>
      <c r="AB158" s="250" t="s">
        <v>2072</v>
      </c>
      <c r="AC158" s="250"/>
      <c r="AD158" s="250"/>
      <c r="AE158" s="87"/>
      <c r="AF158" s="88" t="s">
        <v>5280</v>
      </c>
      <c r="AG158" s="88" t="s">
        <v>2073</v>
      </c>
      <c r="AH158" s="88" t="s">
        <v>2074</v>
      </c>
      <c r="AI158" s="224"/>
      <c r="AJ158" s="225">
        <v>3</v>
      </c>
      <c r="AK158" s="224" t="s">
        <v>2076</v>
      </c>
      <c r="AL158" s="224" t="s">
        <v>4875</v>
      </c>
      <c r="AM158" s="224" t="s">
        <v>2077</v>
      </c>
      <c r="AN158" s="224"/>
    </row>
    <row r="159" spans="1:40" s="86" customFormat="1" ht="59.25" customHeight="1">
      <c r="A159" s="402">
        <v>193948</v>
      </c>
      <c r="B159" s="89" t="s">
        <v>328</v>
      </c>
      <c r="C159" s="89" t="s">
        <v>329</v>
      </c>
      <c r="D159" s="88">
        <v>45600</v>
      </c>
      <c r="E159" s="88" t="s">
        <v>330</v>
      </c>
      <c r="F159" s="88" t="s">
        <v>47</v>
      </c>
      <c r="G159" s="88" t="s">
        <v>879</v>
      </c>
      <c r="H159" s="88" t="s">
        <v>591</v>
      </c>
      <c r="I159" s="88" t="s">
        <v>40</v>
      </c>
      <c r="J159" s="89" t="s">
        <v>5283</v>
      </c>
      <c r="K159" s="103" t="s">
        <v>1402</v>
      </c>
      <c r="L159" s="403" t="s">
        <v>26</v>
      </c>
      <c r="M159" s="199">
        <v>44865</v>
      </c>
      <c r="N159" s="105">
        <v>44130</v>
      </c>
      <c r="O159" s="105"/>
      <c r="P159" s="203" t="s">
        <v>5556</v>
      </c>
      <c r="Q159" s="203" t="s">
        <v>1710</v>
      </c>
      <c r="R159" s="203" t="s">
        <v>1955</v>
      </c>
      <c r="S159" s="203"/>
      <c r="T159" s="87" t="s">
        <v>5242</v>
      </c>
      <c r="U159" s="87" t="s">
        <v>1569</v>
      </c>
      <c r="V159" s="87"/>
      <c r="W159" s="88" t="s">
        <v>1568</v>
      </c>
      <c r="X159" s="249" t="s">
        <v>3792</v>
      </c>
      <c r="Y159" s="88"/>
      <c r="Z159" s="250"/>
      <c r="AA159" s="87" t="s">
        <v>328</v>
      </c>
      <c r="AB159" s="250" t="s">
        <v>2072</v>
      </c>
      <c r="AC159" s="250"/>
      <c r="AD159" s="250"/>
      <c r="AE159" s="87"/>
      <c r="AF159" s="88" t="s">
        <v>5283</v>
      </c>
      <c r="AG159" s="88" t="s">
        <v>2073</v>
      </c>
      <c r="AH159" s="88" t="s">
        <v>2113</v>
      </c>
      <c r="AI159" s="224"/>
      <c r="AJ159" s="225">
        <v>3</v>
      </c>
      <c r="AK159" s="224" t="s">
        <v>2085</v>
      </c>
      <c r="AL159" s="224" t="s">
        <v>2286</v>
      </c>
      <c r="AM159" s="224" t="s">
        <v>2087</v>
      </c>
      <c r="AN159" s="224" t="s">
        <v>2168</v>
      </c>
    </row>
    <row r="160" spans="1:40" s="86" customFormat="1" ht="59.25" customHeight="1">
      <c r="A160" s="402">
        <v>196524</v>
      </c>
      <c r="B160" s="89" t="s">
        <v>686</v>
      </c>
      <c r="C160" s="89" t="s">
        <v>332</v>
      </c>
      <c r="D160" s="88">
        <v>41100</v>
      </c>
      <c r="E160" s="88" t="s">
        <v>333</v>
      </c>
      <c r="F160" s="88" t="s">
        <v>47</v>
      </c>
      <c r="G160" s="88" t="s">
        <v>880</v>
      </c>
      <c r="H160" s="88" t="s">
        <v>591</v>
      </c>
      <c r="I160" s="88" t="s">
        <v>40</v>
      </c>
      <c r="J160" s="89" t="s">
        <v>5281</v>
      </c>
      <c r="K160" s="103" t="s">
        <v>1233</v>
      </c>
      <c r="L160" s="403" t="s">
        <v>26</v>
      </c>
      <c r="M160" s="199">
        <v>45077</v>
      </c>
      <c r="N160" s="105">
        <v>44705</v>
      </c>
      <c r="O160" s="105"/>
      <c r="P160" s="203" t="s">
        <v>4424</v>
      </c>
      <c r="Q160" s="203" t="s">
        <v>1711</v>
      </c>
      <c r="R160" s="203"/>
      <c r="S160" s="203"/>
      <c r="T160" s="87" t="s">
        <v>5732</v>
      </c>
      <c r="U160" s="87" t="s">
        <v>1568</v>
      </c>
      <c r="V160" s="87"/>
      <c r="W160" s="88" t="s">
        <v>1568</v>
      </c>
      <c r="X160" s="249" t="s">
        <v>4689</v>
      </c>
      <c r="Y160" s="88"/>
      <c r="Z160" s="250"/>
      <c r="AA160" s="87" t="s">
        <v>2132</v>
      </c>
      <c r="AB160" s="250" t="s">
        <v>2072</v>
      </c>
      <c r="AC160" s="250"/>
      <c r="AD160" s="250"/>
      <c r="AE160" s="87"/>
      <c r="AF160" s="88" t="s">
        <v>5517</v>
      </c>
      <c r="AG160" s="88" t="s">
        <v>2073</v>
      </c>
      <c r="AH160" s="88" t="s">
        <v>2074</v>
      </c>
      <c r="AI160" s="224" t="s">
        <v>2075</v>
      </c>
      <c r="AJ160" s="225">
        <v>2</v>
      </c>
      <c r="AK160" s="224" t="s">
        <v>2133</v>
      </c>
      <c r="AL160" s="224" t="s">
        <v>2134</v>
      </c>
      <c r="AM160" s="224" t="s">
        <v>2099</v>
      </c>
      <c r="AN160" s="224" t="s">
        <v>2135</v>
      </c>
    </row>
    <row r="161" spans="1:40" s="86" customFormat="1" ht="59.25" customHeight="1">
      <c r="A161" s="402">
        <v>196561</v>
      </c>
      <c r="B161" s="89" t="s">
        <v>4968</v>
      </c>
      <c r="C161" s="89" t="s">
        <v>4969</v>
      </c>
      <c r="D161" s="88">
        <v>21019</v>
      </c>
      <c r="E161" s="88" t="s">
        <v>4970</v>
      </c>
      <c r="F161" s="88" t="s">
        <v>98</v>
      </c>
      <c r="G161" s="88" t="s">
        <v>4971</v>
      </c>
      <c r="H161" s="88" t="s">
        <v>591</v>
      </c>
      <c r="I161" s="88" t="s">
        <v>40</v>
      </c>
      <c r="J161" s="89" t="s">
        <v>5282</v>
      </c>
      <c r="K161" s="103" t="s">
        <v>1233</v>
      </c>
      <c r="L161" s="403" t="s">
        <v>26</v>
      </c>
      <c r="M161" s="199">
        <v>45412</v>
      </c>
      <c r="N161" s="105">
        <v>44672</v>
      </c>
      <c r="O161" s="105"/>
      <c r="P161" s="203" t="s">
        <v>5151</v>
      </c>
      <c r="Q161" s="203" t="s">
        <v>5155</v>
      </c>
      <c r="R161" s="203"/>
      <c r="S161" s="203"/>
      <c r="T161" s="87" t="s">
        <v>4979</v>
      </c>
      <c r="U161" s="87" t="s">
        <v>1568</v>
      </c>
      <c r="V161" s="87"/>
      <c r="W161" s="88" t="s">
        <v>1568</v>
      </c>
      <c r="X161" s="249" t="s">
        <v>4983</v>
      </c>
      <c r="Y161" s="88"/>
      <c r="Z161" s="250" t="s">
        <v>5015</v>
      </c>
      <c r="AA161" s="87" t="s">
        <v>2171</v>
      </c>
      <c r="AB161" s="250" t="s">
        <v>2073</v>
      </c>
      <c r="AC161" s="250" t="s">
        <v>5015</v>
      </c>
      <c r="AD161" s="250"/>
      <c r="AE161" s="87" t="s">
        <v>5015</v>
      </c>
      <c r="AF161" s="88" t="s">
        <v>5282</v>
      </c>
      <c r="AG161" s="88" t="s">
        <v>2073</v>
      </c>
      <c r="AH161" s="88" t="s">
        <v>2093</v>
      </c>
      <c r="AI161" s="224"/>
      <c r="AJ161" s="225">
        <v>2</v>
      </c>
      <c r="AK161" s="224" t="s">
        <v>2076</v>
      </c>
      <c r="AL161" s="224" t="s">
        <v>2172</v>
      </c>
      <c r="AM161" s="224" t="s">
        <v>2077</v>
      </c>
      <c r="AN161" s="224"/>
    </row>
    <row r="162" spans="1:40" s="86" customFormat="1" ht="59.25" customHeight="1">
      <c r="A162" s="402">
        <v>197075</v>
      </c>
      <c r="B162" s="89" t="s">
        <v>1278</v>
      </c>
      <c r="C162" s="89" t="s">
        <v>611</v>
      </c>
      <c r="D162" s="88" t="s">
        <v>612</v>
      </c>
      <c r="E162" s="88" t="s">
        <v>418</v>
      </c>
      <c r="F162" s="88" t="s">
        <v>45</v>
      </c>
      <c r="G162" s="88" t="s">
        <v>881</v>
      </c>
      <c r="H162" s="88" t="s">
        <v>591</v>
      </c>
      <c r="I162" s="88" t="s">
        <v>40</v>
      </c>
      <c r="J162" s="89" t="s">
        <v>5283</v>
      </c>
      <c r="K162" s="103" t="s">
        <v>1233</v>
      </c>
      <c r="L162" s="403" t="s">
        <v>26</v>
      </c>
      <c r="M162" s="199">
        <v>45230</v>
      </c>
      <c r="N162" s="105">
        <v>44735</v>
      </c>
      <c r="O162" s="105"/>
      <c r="P162" s="203" t="s">
        <v>4593</v>
      </c>
      <c r="Q162" s="203" t="s">
        <v>4302</v>
      </c>
      <c r="R162" s="203" t="s">
        <v>1956</v>
      </c>
      <c r="S162" s="203"/>
      <c r="T162" s="87" t="s">
        <v>5762</v>
      </c>
      <c r="U162" s="87" t="s">
        <v>1568</v>
      </c>
      <c r="V162" s="87"/>
      <c r="W162" s="88" t="s">
        <v>1568</v>
      </c>
      <c r="X162" s="249"/>
      <c r="Y162" s="88"/>
      <c r="Z162" s="250"/>
      <c r="AA162" s="87" t="s">
        <v>2141</v>
      </c>
      <c r="AB162" s="250" t="s">
        <v>2072</v>
      </c>
      <c r="AC162" s="250"/>
      <c r="AD162" s="250"/>
      <c r="AE162" s="87"/>
      <c r="AF162" s="88" t="s">
        <v>5283</v>
      </c>
      <c r="AG162" s="88" t="s">
        <v>2073</v>
      </c>
      <c r="AH162" s="88" t="s">
        <v>2074</v>
      </c>
      <c r="AI162" s="224"/>
      <c r="AJ162" s="225">
        <v>2</v>
      </c>
      <c r="AK162" s="224" t="s">
        <v>2076</v>
      </c>
      <c r="AL162" s="224" t="s">
        <v>2496</v>
      </c>
      <c r="AM162" s="224" t="s">
        <v>2099</v>
      </c>
      <c r="AN162" s="224" t="s">
        <v>2142</v>
      </c>
    </row>
    <row r="163" spans="1:40" s="86" customFormat="1" ht="59.25" customHeight="1">
      <c r="A163" s="402">
        <v>197134</v>
      </c>
      <c r="B163" s="89" t="s">
        <v>652</v>
      </c>
      <c r="C163" s="89" t="s">
        <v>653</v>
      </c>
      <c r="D163" s="88">
        <v>92000</v>
      </c>
      <c r="E163" s="88" t="s">
        <v>654</v>
      </c>
      <c r="F163" s="88" t="s">
        <v>47</v>
      </c>
      <c r="G163" s="88" t="s">
        <v>882</v>
      </c>
      <c r="H163" s="88" t="s">
        <v>591</v>
      </c>
      <c r="I163" s="88" t="s">
        <v>40</v>
      </c>
      <c r="J163" s="89" t="s">
        <v>1277</v>
      </c>
      <c r="K163" s="103" t="s">
        <v>1233</v>
      </c>
      <c r="L163" s="403" t="s">
        <v>26</v>
      </c>
      <c r="M163" s="199">
        <v>45137</v>
      </c>
      <c r="N163" s="105">
        <v>44036</v>
      </c>
      <c r="O163" s="105"/>
      <c r="P163" s="203" t="s">
        <v>1488</v>
      </c>
      <c r="Q163" s="203" t="s">
        <v>1712</v>
      </c>
      <c r="R163" s="203" t="s">
        <v>1957</v>
      </c>
      <c r="S163" s="203"/>
      <c r="T163" s="87" t="s">
        <v>5079</v>
      </c>
      <c r="U163" s="87" t="s">
        <v>1568</v>
      </c>
      <c r="V163" s="87"/>
      <c r="W163" s="88" t="s">
        <v>1568</v>
      </c>
      <c r="X163" s="249" t="s">
        <v>3794</v>
      </c>
      <c r="Y163" s="88"/>
      <c r="Z163" s="250"/>
      <c r="AA163" s="87" t="s">
        <v>652</v>
      </c>
      <c r="AB163" s="250" t="s">
        <v>2072</v>
      </c>
      <c r="AC163" s="250"/>
      <c r="AD163" s="250"/>
      <c r="AE163" s="87"/>
      <c r="AF163" s="88" t="s">
        <v>1277</v>
      </c>
      <c r="AG163" s="88" t="s">
        <v>2073</v>
      </c>
      <c r="AH163" s="88" t="s">
        <v>2113</v>
      </c>
      <c r="AI163" s="224"/>
      <c r="AJ163" s="225">
        <v>4</v>
      </c>
      <c r="AK163" s="224" t="s">
        <v>2087</v>
      </c>
      <c r="AL163" s="224" t="s">
        <v>2287</v>
      </c>
      <c r="AM163" s="224" t="s">
        <v>2087</v>
      </c>
      <c r="AN163" s="224"/>
    </row>
    <row r="164" spans="1:40" s="86" customFormat="1" ht="59.25" customHeight="1">
      <c r="A164" s="402">
        <v>197413</v>
      </c>
      <c r="B164" s="89" t="s">
        <v>746</v>
      </c>
      <c r="C164" s="89" t="s">
        <v>4257</v>
      </c>
      <c r="D164" s="88" t="s">
        <v>85</v>
      </c>
      <c r="E164" s="88" t="s">
        <v>86</v>
      </c>
      <c r="F164" s="88" t="s">
        <v>51</v>
      </c>
      <c r="G164" s="88" t="s">
        <v>4443</v>
      </c>
      <c r="H164" s="88" t="s">
        <v>591</v>
      </c>
      <c r="I164" s="88" t="s">
        <v>40</v>
      </c>
      <c r="J164" s="89" t="s">
        <v>5280</v>
      </c>
      <c r="K164" s="103" t="s">
        <v>1233</v>
      </c>
      <c r="L164" s="403" t="s">
        <v>26</v>
      </c>
      <c r="M164" s="199">
        <v>45382</v>
      </c>
      <c r="N164" s="105">
        <v>44467</v>
      </c>
      <c r="O164" s="105"/>
      <c r="P164" s="203" t="s">
        <v>6036</v>
      </c>
      <c r="Q164" s="203" t="s">
        <v>4265</v>
      </c>
      <c r="R164" s="203"/>
      <c r="S164" s="203"/>
      <c r="T164" s="87" t="s">
        <v>5143</v>
      </c>
      <c r="U164" s="87" t="s">
        <v>1573</v>
      </c>
      <c r="V164" s="87"/>
      <c r="W164" s="88" t="s">
        <v>1571</v>
      </c>
      <c r="X164" s="249" t="s">
        <v>4324</v>
      </c>
      <c r="Y164" s="88"/>
      <c r="Z164" s="250" t="s">
        <v>4273</v>
      </c>
      <c r="AA164" s="87" t="s">
        <v>1265</v>
      </c>
      <c r="AB164" s="250" t="s">
        <v>2072</v>
      </c>
      <c r="AC164" s="250"/>
      <c r="AD164" s="250"/>
      <c r="AE164" s="87" t="s">
        <v>4273</v>
      </c>
      <c r="AF164" s="88" t="s">
        <v>5280</v>
      </c>
      <c r="AG164" s="88" t="s">
        <v>2073</v>
      </c>
      <c r="AH164" s="88" t="s">
        <v>2074</v>
      </c>
      <c r="AI164" s="224"/>
      <c r="AJ164" s="225">
        <v>3</v>
      </c>
      <c r="AK164" s="224" t="s">
        <v>2076</v>
      </c>
      <c r="AL164" s="224"/>
      <c r="AM164" s="224"/>
      <c r="AN164" s="224"/>
    </row>
    <row r="165" spans="1:40" s="86" customFormat="1" ht="59.25" customHeight="1">
      <c r="A165" s="402">
        <v>197511</v>
      </c>
      <c r="B165" s="89" t="s">
        <v>296</v>
      </c>
      <c r="C165" s="89" t="s">
        <v>334</v>
      </c>
      <c r="D165" s="88">
        <v>34117</v>
      </c>
      <c r="E165" s="88" t="s">
        <v>335</v>
      </c>
      <c r="F165" s="88" t="s">
        <v>51</v>
      </c>
      <c r="G165" s="88">
        <v>99321</v>
      </c>
      <c r="H165" s="88" t="s">
        <v>591</v>
      </c>
      <c r="I165" s="88" t="s">
        <v>40</v>
      </c>
      <c r="J165" s="89" t="s">
        <v>1336</v>
      </c>
      <c r="K165" s="103" t="s">
        <v>1402</v>
      </c>
      <c r="L165" s="403" t="s">
        <v>26</v>
      </c>
      <c r="M165" s="199">
        <v>45199</v>
      </c>
      <c r="N165" s="105">
        <v>44648</v>
      </c>
      <c r="O165" s="105"/>
      <c r="P165" s="203" t="s">
        <v>6037</v>
      </c>
      <c r="Q165" s="203" t="s">
        <v>1713</v>
      </c>
      <c r="R165" s="203"/>
      <c r="S165" s="203"/>
      <c r="T165" s="87" t="s">
        <v>5921</v>
      </c>
      <c r="U165" s="87" t="s">
        <v>1569</v>
      </c>
      <c r="V165" s="87"/>
      <c r="W165" s="88" t="s">
        <v>1568</v>
      </c>
      <c r="X165" s="249" t="s">
        <v>4569</v>
      </c>
      <c r="Y165" s="88"/>
      <c r="Z165" s="250"/>
      <c r="AA165" s="87" t="s">
        <v>2071</v>
      </c>
      <c r="AB165" s="250" t="s">
        <v>2072</v>
      </c>
      <c r="AC165" s="250"/>
      <c r="AD165" s="250"/>
      <c r="AE165" s="87"/>
      <c r="AF165" s="88" t="s">
        <v>1336</v>
      </c>
      <c r="AG165" s="88" t="s">
        <v>2079</v>
      </c>
      <c r="AH165" s="88" t="s">
        <v>2074</v>
      </c>
      <c r="AI165" s="224" t="s">
        <v>2075</v>
      </c>
      <c r="AJ165" s="225">
        <v>2</v>
      </c>
      <c r="AK165" s="224" t="s">
        <v>2076</v>
      </c>
      <c r="AL165" s="224" t="s">
        <v>2495</v>
      </c>
      <c r="AM165" s="224" t="s">
        <v>2077</v>
      </c>
      <c r="AN165" s="224"/>
    </row>
    <row r="166" spans="1:40" s="86" customFormat="1" ht="59.25" customHeight="1">
      <c r="A166" s="402">
        <v>197643</v>
      </c>
      <c r="B166" s="89" t="s">
        <v>1242</v>
      </c>
      <c r="C166" s="89" t="s">
        <v>1243</v>
      </c>
      <c r="D166" s="88">
        <v>819831</v>
      </c>
      <c r="E166" s="88" t="s">
        <v>336</v>
      </c>
      <c r="F166" s="88" t="s">
        <v>337</v>
      </c>
      <c r="G166" s="88" t="s">
        <v>883</v>
      </c>
      <c r="H166" s="88" t="s">
        <v>591</v>
      </c>
      <c r="I166" s="88" t="s">
        <v>41</v>
      </c>
      <c r="J166" s="89" t="s">
        <v>786</v>
      </c>
      <c r="K166" s="103" t="s">
        <v>1233</v>
      </c>
      <c r="L166" s="403" t="s">
        <v>26</v>
      </c>
      <c r="M166" s="199">
        <v>45412</v>
      </c>
      <c r="N166" s="105">
        <v>44319</v>
      </c>
      <c r="O166" s="105"/>
      <c r="P166" s="203" t="s">
        <v>5557</v>
      </c>
      <c r="Q166" s="203" t="s">
        <v>4395</v>
      </c>
      <c r="R166" s="203"/>
      <c r="S166" s="203"/>
      <c r="T166" s="87" t="s">
        <v>5080</v>
      </c>
      <c r="U166" s="87" t="s">
        <v>1568</v>
      </c>
      <c r="V166" s="87"/>
      <c r="W166" s="88" t="s">
        <v>1568</v>
      </c>
      <c r="X166" s="249" t="s">
        <v>3798</v>
      </c>
      <c r="Y166" s="88"/>
      <c r="Z166" s="250"/>
      <c r="AA166" s="87" t="s">
        <v>2288</v>
      </c>
      <c r="AB166" s="250" t="s">
        <v>2090</v>
      </c>
      <c r="AC166" s="250"/>
      <c r="AD166" s="250"/>
      <c r="AE166" s="87"/>
      <c r="AF166" s="88" t="s">
        <v>786</v>
      </c>
      <c r="AG166" s="88" t="s">
        <v>2104</v>
      </c>
      <c r="AH166" s="88" t="s">
        <v>2105</v>
      </c>
      <c r="AI166" s="224" t="s">
        <v>2248</v>
      </c>
      <c r="AJ166" s="225">
        <v>1</v>
      </c>
      <c r="AK166" s="224" t="s">
        <v>2107</v>
      </c>
      <c r="AL166" s="224" t="s">
        <v>2289</v>
      </c>
      <c r="AM166" s="224" t="s">
        <v>2217</v>
      </c>
      <c r="AN166" s="224" t="s">
        <v>4219</v>
      </c>
    </row>
    <row r="167" spans="1:40" s="86" customFormat="1" ht="59.25" customHeight="1">
      <c r="A167" s="402">
        <v>197643</v>
      </c>
      <c r="B167" s="89" t="s">
        <v>1242</v>
      </c>
      <c r="C167" s="89" t="s">
        <v>1243</v>
      </c>
      <c r="D167" s="88">
        <v>819831</v>
      </c>
      <c r="E167" s="88" t="s">
        <v>336</v>
      </c>
      <c r="F167" s="88" t="s">
        <v>337</v>
      </c>
      <c r="G167" s="88" t="s">
        <v>883</v>
      </c>
      <c r="H167" s="88" t="s">
        <v>591</v>
      </c>
      <c r="I167" s="88" t="s">
        <v>40</v>
      </c>
      <c r="J167" s="89" t="s">
        <v>786</v>
      </c>
      <c r="K167" s="103" t="s">
        <v>1233</v>
      </c>
      <c r="L167" s="403" t="s">
        <v>26</v>
      </c>
      <c r="M167" s="199">
        <v>45290</v>
      </c>
      <c r="N167" s="105">
        <v>44379</v>
      </c>
      <c r="O167" s="105"/>
      <c r="P167" s="203" t="s">
        <v>5557</v>
      </c>
      <c r="Q167" s="203" t="s">
        <v>4395</v>
      </c>
      <c r="R167" s="203"/>
      <c r="S167" s="203"/>
      <c r="T167" s="87" t="s">
        <v>5080</v>
      </c>
      <c r="U167" s="87" t="s">
        <v>1568</v>
      </c>
      <c r="V167" s="87"/>
      <c r="W167" s="88" t="s">
        <v>1568</v>
      </c>
      <c r="X167" s="249" t="s">
        <v>3798</v>
      </c>
      <c r="Y167" s="88"/>
      <c r="Z167" s="250"/>
      <c r="AA167" s="87" t="s">
        <v>2288</v>
      </c>
      <c r="AB167" s="250" t="s">
        <v>2090</v>
      </c>
      <c r="AC167" s="250"/>
      <c r="AD167" s="250"/>
      <c r="AE167" s="87"/>
      <c r="AF167" s="88" t="s">
        <v>786</v>
      </c>
      <c r="AG167" s="88" t="s">
        <v>2090</v>
      </c>
      <c r="AH167" s="88" t="s">
        <v>2105</v>
      </c>
      <c r="AI167" s="224" t="s">
        <v>2122</v>
      </c>
      <c r="AJ167" s="225">
        <v>3</v>
      </c>
      <c r="AK167" s="224" t="s">
        <v>2133</v>
      </c>
      <c r="AL167" s="224" t="s">
        <v>2290</v>
      </c>
      <c r="AM167" s="224" t="s">
        <v>2099</v>
      </c>
      <c r="AN167" s="224" t="s">
        <v>2291</v>
      </c>
    </row>
    <row r="168" spans="1:40" s="86" customFormat="1" ht="59.25" customHeight="1">
      <c r="A168" s="402">
        <v>197643</v>
      </c>
      <c r="B168" s="89" t="s">
        <v>1242</v>
      </c>
      <c r="C168" s="89" t="s">
        <v>1243</v>
      </c>
      <c r="D168" s="88">
        <v>819831</v>
      </c>
      <c r="E168" s="88" t="s">
        <v>336</v>
      </c>
      <c r="F168" s="88" t="s">
        <v>337</v>
      </c>
      <c r="G168" s="88" t="s">
        <v>883</v>
      </c>
      <c r="H168" s="88" t="s">
        <v>591</v>
      </c>
      <c r="I168" s="88" t="s">
        <v>685</v>
      </c>
      <c r="J168" s="89" t="s">
        <v>786</v>
      </c>
      <c r="K168" s="103" t="s">
        <v>1233</v>
      </c>
      <c r="L168" s="403" t="s">
        <v>26</v>
      </c>
      <c r="M168" s="199">
        <v>45291</v>
      </c>
      <c r="N168" s="105">
        <v>44540</v>
      </c>
      <c r="O168" s="105"/>
      <c r="P168" s="203" t="s">
        <v>5557</v>
      </c>
      <c r="Q168" s="203" t="s">
        <v>4395</v>
      </c>
      <c r="R168" s="203"/>
      <c r="S168" s="203"/>
      <c r="T168" s="87" t="s">
        <v>5080</v>
      </c>
      <c r="U168" s="87" t="s">
        <v>1568</v>
      </c>
      <c r="V168" s="87"/>
      <c r="W168" s="88" t="s">
        <v>1568</v>
      </c>
      <c r="X168" s="249" t="s">
        <v>3798</v>
      </c>
      <c r="Y168" s="88"/>
      <c r="Z168" s="250"/>
      <c r="AA168" s="87" t="s">
        <v>2292</v>
      </c>
      <c r="AB168" s="250" t="s">
        <v>2120</v>
      </c>
      <c r="AC168" s="250" t="s">
        <v>2293</v>
      </c>
      <c r="AD168" s="250"/>
      <c r="AE168" s="87"/>
      <c r="AF168" s="88" t="s">
        <v>786</v>
      </c>
      <c r="AG168" s="88" t="s">
        <v>2120</v>
      </c>
      <c r="AH168" s="88"/>
      <c r="AI168" s="224"/>
      <c r="AJ168" s="225">
        <v>2</v>
      </c>
      <c r="AK168" s="224" t="s">
        <v>2107</v>
      </c>
      <c r="AL168" s="224" t="s">
        <v>2294</v>
      </c>
      <c r="AM168" s="224" t="s">
        <v>2082</v>
      </c>
      <c r="AN168" s="224" t="s">
        <v>2295</v>
      </c>
    </row>
    <row r="169" spans="1:40" s="86" customFormat="1" ht="59.25" customHeight="1">
      <c r="A169" s="402">
        <v>198164</v>
      </c>
      <c r="B169" s="89" t="s">
        <v>884</v>
      </c>
      <c r="C169" s="89" t="s">
        <v>402</v>
      </c>
      <c r="D169" s="88" t="s">
        <v>885</v>
      </c>
      <c r="E169" s="88" t="s">
        <v>403</v>
      </c>
      <c r="F169" s="88" t="s">
        <v>51</v>
      </c>
      <c r="G169" s="88"/>
      <c r="H169" s="88" t="s">
        <v>591</v>
      </c>
      <c r="I169" s="88" t="s">
        <v>40</v>
      </c>
      <c r="J169" s="89" t="s">
        <v>5282</v>
      </c>
      <c r="K169" s="103" t="s">
        <v>1402</v>
      </c>
      <c r="L169" s="403" t="s">
        <v>26</v>
      </c>
      <c r="M169" s="199">
        <v>45473</v>
      </c>
      <c r="N169" s="105">
        <v>44735</v>
      </c>
      <c r="O169" s="105"/>
      <c r="P169" s="203" t="s">
        <v>6038</v>
      </c>
      <c r="Q169" s="203" t="s">
        <v>1714</v>
      </c>
      <c r="R169" s="203"/>
      <c r="S169" s="203"/>
      <c r="T169" s="87" t="s">
        <v>5763</v>
      </c>
      <c r="U169" s="87" t="s">
        <v>1568</v>
      </c>
      <c r="V169" s="87"/>
      <c r="W169" s="88" t="s">
        <v>1568</v>
      </c>
      <c r="X169" s="249" t="s">
        <v>3799</v>
      </c>
      <c r="Y169" s="88"/>
      <c r="Z169" s="250"/>
      <c r="AA169" s="87" t="s">
        <v>2296</v>
      </c>
      <c r="AB169" s="250" t="s">
        <v>2072</v>
      </c>
      <c r="AC169" s="250"/>
      <c r="AD169" s="250"/>
      <c r="AE169" s="87"/>
      <c r="AF169" s="88" t="s">
        <v>4441</v>
      </c>
      <c r="AG169" s="88" t="s">
        <v>2073</v>
      </c>
      <c r="AH169" s="88" t="s">
        <v>2074</v>
      </c>
      <c r="AI169" s="224" t="s">
        <v>2075</v>
      </c>
      <c r="AJ169" s="225">
        <v>3</v>
      </c>
      <c r="AK169" s="224" t="s">
        <v>2076</v>
      </c>
      <c r="AL169" s="224" t="s">
        <v>2221</v>
      </c>
      <c r="AM169" s="224" t="s">
        <v>2077</v>
      </c>
      <c r="AN169" s="224"/>
    </row>
    <row r="170" spans="1:40" s="86" customFormat="1" ht="59.25" customHeight="1">
      <c r="A170" s="402">
        <v>198305</v>
      </c>
      <c r="B170" s="89" t="s">
        <v>886</v>
      </c>
      <c r="C170" s="89" t="s">
        <v>887</v>
      </c>
      <c r="D170" s="88">
        <v>52025</v>
      </c>
      <c r="E170" s="88" t="s">
        <v>656</v>
      </c>
      <c r="F170" s="88" t="s">
        <v>98</v>
      </c>
      <c r="G170" s="88" t="s">
        <v>888</v>
      </c>
      <c r="H170" s="88" t="s">
        <v>591</v>
      </c>
      <c r="I170" s="88" t="s">
        <v>40</v>
      </c>
      <c r="J170" s="89" t="s">
        <v>5449</v>
      </c>
      <c r="K170" s="103" t="s">
        <v>1402</v>
      </c>
      <c r="L170" s="403" t="s">
        <v>26</v>
      </c>
      <c r="M170" s="199">
        <v>44985</v>
      </c>
      <c r="N170" s="105">
        <v>43868</v>
      </c>
      <c r="O170" s="105"/>
      <c r="P170" s="203" t="s">
        <v>4785</v>
      </c>
      <c r="Q170" s="203" t="s">
        <v>1715</v>
      </c>
      <c r="R170" s="203" t="s">
        <v>1958</v>
      </c>
      <c r="S170" s="203"/>
      <c r="T170" s="87" t="s">
        <v>5764</v>
      </c>
      <c r="U170" s="87" t="s">
        <v>1569</v>
      </c>
      <c r="V170" s="87"/>
      <c r="W170" s="88" t="s">
        <v>1568</v>
      </c>
      <c r="X170" s="249" t="s">
        <v>3801</v>
      </c>
      <c r="Y170" s="88"/>
      <c r="Z170" s="250"/>
      <c r="AA170" s="87" t="s">
        <v>2297</v>
      </c>
      <c r="AB170" s="250" t="s">
        <v>2072</v>
      </c>
      <c r="AC170" s="250"/>
      <c r="AD170" s="250"/>
      <c r="AE170" s="87"/>
      <c r="AF170" s="88" t="s">
        <v>5516</v>
      </c>
      <c r="AG170" s="88" t="s">
        <v>2073</v>
      </c>
      <c r="AH170" s="88" t="s">
        <v>2116</v>
      </c>
      <c r="AI170" s="224"/>
      <c r="AJ170" s="225">
        <v>4</v>
      </c>
      <c r="AK170" s="224" t="s">
        <v>2076</v>
      </c>
      <c r="AL170" s="224" t="s">
        <v>2298</v>
      </c>
      <c r="AM170" s="224" t="s">
        <v>2099</v>
      </c>
      <c r="AN170" s="224" t="s">
        <v>2299</v>
      </c>
    </row>
    <row r="171" spans="1:40" s="86" customFormat="1" ht="59.25" customHeight="1">
      <c r="A171" s="402">
        <v>198312</v>
      </c>
      <c r="B171" s="89" t="s">
        <v>687</v>
      </c>
      <c r="C171" s="89" t="s">
        <v>688</v>
      </c>
      <c r="D171" s="88" t="s">
        <v>689</v>
      </c>
      <c r="E171" s="88" t="s">
        <v>690</v>
      </c>
      <c r="F171" s="88" t="s">
        <v>45</v>
      </c>
      <c r="G171" s="88" t="s">
        <v>889</v>
      </c>
      <c r="H171" s="88" t="s">
        <v>591</v>
      </c>
      <c r="I171" s="88" t="s">
        <v>40</v>
      </c>
      <c r="J171" s="89" t="s">
        <v>1277</v>
      </c>
      <c r="K171" s="103" t="s">
        <v>5218</v>
      </c>
      <c r="L171" s="403" t="s">
        <v>26</v>
      </c>
      <c r="M171" s="199">
        <v>45596</v>
      </c>
      <c r="N171" s="105">
        <v>44510</v>
      </c>
      <c r="O171" s="105"/>
      <c r="P171" s="203" t="s">
        <v>4594</v>
      </c>
      <c r="Q171" s="203" t="s">
        <v>1716</v>
      </c>
      <c r="R171" s="203" t="s">
        <v>1959</v>
      </c>
      <c r="S171" s="203"/>
      <c r="T171" s="87" t="s">
        <v>5765</v>
      </c>
      <c r="U171" s="87" t="s">
        <v>1568</v>
      </c>
      <c r="V171" s="87"/>
      <c r="W171" s="88" t="s">
        <v>1568</v>
      </c>
      <c r="X171" s="249" t="s">
        <v>4779</v>
      </c>
      <c r="Y171" s="88"/>
      <c r="Z171" s="250"/>
      <c r="AA171" s="87" t="s">
        <v>687</v>
      </c>
      <c r="AB171" s="250" t="s">
        <v>2072</v>
      </c>
      <c r="AC171" s="250"/>
      <c r="AD171" s="250"/>
      <c r="AE171" s="87"/>
      <c r="AF171" s="88" t="s">
        <v>1277</v>
      </c>
      <c r="AG171" s="88" t="s">
        <v>2073</v>
      </c>
      <c r="AH171" s="88" t="s">
        <v>2093</v>
      </c>
      <c r="AI171" s="224"/>
      <c r="AJ171" s="225">
        <v>4</v>
      </c>
      <c r="AK171" s="224" t="s">
        <v>2085</v>
      </c>
      <c r="AL171" s="224" t="s">
        <v>2300</v>
      </c>
      <c r="AM171" s="224" t="s">
        <v>2087</v>
      </c>
      <c r="AN171" s="224"/>
    </row>
    <row r="172" spans="1:40" s="86" customFormat="1" ht="59.25" customHeight="1">
      <c r="A172" s="402">
        <v>198342</v>
      </c>
      <c r="B172" s="89" t="s">
        <v>338</v>
      </c>
      <c r="C172" s="89" t="s">
        <v>339</v>
      </c>
      <c r="D172" s="88">
        <v>83646</v>
      </c>
      <c r="E172" s="88" t="s">
        <v>340</v>
      </c>
      <c r="F172" s="88" t="s">
        <v>55</v>
      </c>
      <c r="G172" s="88" t="s">
        <v>890</v>
      </c>
      <c r="H172" s="88" t="s">
        <v>591</v>
      </c>
      <c r="I172" s="88" t="s">
        <v>40</v>
      </c>
      <c r="J172" s="89" t="s">
        <v>5279</v>
      </c>
      <c r="K172" s="103" t="s">
        <v>1402</v>
      </c>
      <c r="L172" s="403" t="s">
        <v>26</v>
      </c>
      <c r="M172" s="199">
        <v>45565</v>
      </c>
      <c r="N172" s="105">
        <v>44462</v>
      </c>
      <c r="O172" s="105"/>
      <c r="P172" s="203" t="s">
        <v>4462</v>
      </c>
      <c r="Q172" s="203" t="s">
        <v>1717</v>
      </c>
      <c r="R172" s="203" t="s">
        <v>1960</v>
      </c>
      <c r="S172" s="203"/>
      <c r="T172" s="87" t="s">
        <v>5766</v>
      </c>
      <c r="U172" s="87" t="s">
        <v>1568</v>
      </c>
      <c r="V172" s="87"/>
      <c r="W172" s="88" t="s">
        <v>1568</v>
      </c>
      <c r="X172" s="249" t="s">
        <v>3803</v>
      </c>
      <c r="Y172" s="88"/>
      <c r="Z172" s="250"/>
      <c r="AA172" s="87" t="s">
        <v>338</v>
      </c>
      <c r="AB172" s="250" t="s">
        <v>2072</v>
      </c>
      <c r="AC172" s="250"/>
      <c r="AD172" s="250"/>
      <c r="AE172" s="87"/>
      <c r="AF172" s="88" t="s">
        <v>5279</v>
      </c>
      <c r="AG172" s="88" t="s">
        <v>2073</v>
      </c>
      <c r="AH172" s="88" t="s">
        <v>2116</v>
      </c>
      <c r="AI172" s="224" t="s">
        <v>2301</v>
      </c>
      <c r="AJ172" s="225">
        <v>3</v>
      </c>
      <c r="AK172" s="224" t="s">
        <v>2076</v>
      </c>
      <c r="AL172" s="224" t="s">
        <v>2302</v>
      </c>
      <c r="AM172" s="224" t="s">
        <v>2077</v>
      </c>
      <c r="AN172" s="224" t="s">
        <v>2303</v>
      </c>
    </row>
    <row r="173" spans="1:40" s="86" customFormat="1" ht="59.25" customHeight="1">
      <c r="A173" s="402">
        <v>198586</v>
      </c>
      <c r="B173" s="89" t="s">
        <v>341</v>
      </c>
      <c r="C173" s="89" t="s">
        <v>342</v>
      </c>
      <c r="D173" s="88" t="s">
        <v>343</v>
      </c>
      <c r="E173" s="88" t="s">
        <v>226</v>
      </c>
      <c r="F173" s="88" t="s">
        <v>45</v>
      </c>
      <c r="G173" s="88" t="s">
        <v>891</v>
      </c>
      <c r="H173" s="88" t="s">
        <v>591</v>
      </c>
      <c r="I173" s="88" t="s">
        <v>40</v>
      </c>
      <c r="J173" s="89" t="s">
        <v>5279</v>
      </c>
      <c r="K173" s="103" t="s">
        <v>1402</v>
      </c>
      <c r="L173" s="403" t="s">
        <v>26</v>
      </c>
      <c r="M173" s="199">
        <v>45473</v>
      </c>
      <c r="N173" s="105">
        <v>44364</v>
      </c>
      <c r="O173" s="105"/>
      <c r="P173" s="203" t="s">
        <v>5293</v>
      </c>
      <c r="Q173" s="203" t="s">
        <v>1718</v>
      </c>
      <c r="R173" s="203" t="s">
        <v>1961</v>
      </c>
      <c r="S173" s="203"/>
      <c r="T173" s="87" t="s">
        <v>5767</v>
      </c>
      <c r="U173" s="87" t="s">
        <v>1568</v>
      </c>
      <c r="V173" s="87"/>
      <c r="W173" s="88" t="s">
        <v>1568</v>
      </c>
      <c r="X173" s="249" t="s">
        <v>4722</v>
      </c>
      <c r="Y173" s="88" t="s">
        <v>2030</v>
      </c>
      <c r="Z173" s="250"/>
      <c r="AA173" s="87" t="s">
        <v>2263</v>
      </c>
      <c r="AB173" s="250" t="s">
        <v>2072</v>
      </c>
      <c r="AC173" s="250"/>
      <c r="AD173" s="250"/>
      <c r="AE173" s="87"/>
      <c r="AF173" s="88" t="s">
        <v>5279</v>
      </c>
      <c r="AG173" s="88" t="s">
        <v>2073</v>
      </c>
      <c r="AH173" s="88" t="s">
        <v>2074</v>
      </c>
      <c r="AI173" s="224" t="s">
        <v>2075</v>
      </c>
      <c r="AJ173" s="225">
        <v>3</v>
      </c>
      <c r="AK173" s="224" t="s">
        <v>2076</v>
      </c>
      <c r="AL173" s="224" t="s">
        <v>2264</v>
      </c>
      <c r="AM173" s="224" t="s">
        <v>2077</v>
      </c>
      <c r="AN173" s="224"/>
    </row>
    <row r="174" spans="1:40" s="86" customFormat="1" ht="59.25" customHeight="1">
      <c r="A174" s="402">
        <v>198587</v>
      </c>
      <c r="B174" s="89" t="s">
        <v>732</v>
      </c>
      <c r="C174" s="89" t="s">
        <v>344</v>
      </c>
      <c r="D174" s="88">
        <v>98903</v>
      </c>
      <c r="E174" s="88" t="s">
        <v>345</v>
      </c>
      <c r="F174" s="88" t="s">
        <v>51</v>
      </c>
      <c r="G174" s="88"/>
      <c r="H174" s="88" t="s">
        <v>591</v>
      </c>
      <c r="I174" s="88" t="s">
        <v>40</v>
      </c>
      <c r="J174" s="89" t="s">
        <v>786</v>
      </c>
      <c r="K174" s="103" t="s">
        <v>1402</v>
      </c>
      <c r="L174" s="403" t="s">
        <v>26</v>
      </c>
      <c r="M174" s="199">
        <v>45412</v>
      </c>
      <c r="N174" s="105">
        <v>44316</v>
      </c>
      <c r="O174" s="105"/>
      <c r="P174" s="203" t="s">
        <v>6039</v>
      </c>
      <c r="Q174" s="203" t="s">
        <v>1719</v>
      </c>
      <c r="R174" s="203"/>
      <c r="S174" s="203"/>
      <c r="T174" s="87" t="s">
        <v>5081</v>
      </c>
      <c r="U174" s="87" t="s">
        <v>1571</v>
      </c>
      <c r="V174" s="87"/>
      <c r="W174" s="88" t="s">
        <v>1571</v>
      </c>
      <c r="X174" s="249" t="s">
        <v>4414</v>
      </c>
      <c r="Y174" s="88"/>
      <c r="Z174" s="250"/>
      <c r="AA174" s="87" t="s">
        <v>2304</v>
      </c>
      <c r="AB174" s="250" t="s">
        <v>2072</v>
      </c>
      <c r="AC174" s="250"/>
      <c r="AD174" s="250"/>
      <c r="AE174" s="87"/>
      <c r="AF174" s="88" t="s">
        <v>786</v>
      </c>
      <c r="AG174" s="88" t="s">
        <v>2073</v>
      </c>
      <c r="AH174" s="88" t="s">
        <v>2116</v>
      </c>
      <c r="AI174" s="224" t="s">
        <v>2075</v>
      </c>
      <c r="AJ174" s="225">
        <v>3</v>
      </c>
      <c r="AK174" s="224" t="s">
        <v>2076</v>
      </c>
      <c r="AL174" s="224" t="s">
        <v>2305</v>
      </c>
      <c r="AM174" s="224" t="s">
        <v>2099</v>
      </c>
      <c r="AN174" s="224" t="s">
        <v>2306</v>
      </c>
    </row>
    <row r="175" spans="1:40" s="86" customFormat="1" ht="59.25" customHeight="1">
      <c r="A175" s="402">
        <v>198590</v>
      </c>
      <c r="B175" s="89" t="s">
        <v>346</v>
      </c>
      <c r="C175" s="89" t="s">
        <v>629</v>
      </c>
      <c r="D175" s="88" t="s">
        <v>347</v>
      </c>
      <c r="E175" s="88" t="s">
        <v>348</v>
      </c>
      <c r="F175" s="88" t="s">
        <v>45</v>
      </c>
      <c r="G175" s="88" t="s">
        <v>892</v>
      </c>
      <c r="H175" s="88" t="s">
        <v>591</v>
      </c>
      <c r="I175" s="88" t="s">
        <v>40</v>
      </c>
      <c r="J175" s="89" t="s">
        <v>5280</v>
      </c>
      <c r="K175" s="103" t="s">
        <v>1233</v>
      </c>
      <c r="L175" s="403" t="s">
        <v>26</v>
      </c>
      <c r="M175" s="199">
        <v>45838</v>
      </c>
      <c r="N175" s="105">
        <v>44742</v>
      </c>
      <c r="O175" s="105"/>
      <c r="P175" s="203" t="s">
        <v>5458</v>
      </c>
      <c r="Q175" s="203" t="s">
        <v>1720</v>
      </c>
      <c r="R175" s="203" t="s">
        <v>1962</v>
      </c>
      <c r="S175" s="203"/>
      <c r="T175" s="87" t="s">
        <v>5493</v>
      </c>
      <c r="U175" s="87" t="s">
        <v>1572</v>
      </c>
      <c r="V175" s="87"/>
      <c r="W175" s="88" t="s">
        <v>1571</v>
      </c>
      <c r="X175" s="249" t="s">
        <v>3806</v>
      </c>
      <c r="Y175" s="88"/>
      <c r="Z175" s="250"/>
      <c r="AA175" s="87" t="s">
        <v>346</v>
      </c>
      <c r="AB175" s="250" t="s">
        <v>2072</v>
      </c>
      <c r="AC175" s="250"/>
      <c r="AD175" s="250"/>
      <c r="AE175" s="87"/>
      <c r="AF175" s="88" t="s">
        <v>5280</v>
      </c>
      <c r="AG175" s="88" t="s">
        <v>2073</v>
      </c>
      <c r="AH175" s="88" t="s">
        <v>2074</v>
      </c>
      <c r="AI175" s="224" t="s">
        <v>2301</v>
      </c>
      <c r="AJ175" s="225">
        <v>3</v>
      </c>
      <c r="AK175" s="224" t="s">
        <v>2076</v>
      </c>
      <c r="AL175" s="224" t="s">
        <v>2307</v>
      </c>
      <c r="AM175" s="224" t="s">
        <v>2099</v>
      </c>
      <c r="AN175" s="224" t="s">
        <v>2308</v>
      </c>
    </row>
    <row r="176" spans="1:40" s="86" customFormat="1" ht="59.25" customHeight="1">
      <c r="A176" s="402">
        <v>198697</v>
      </c>
      <c r="B176" s="89" t="s">
        <v>4444</v>
      </c>
      <c r="C176" s="89" t="s">
        <v>4445</v>
      </c>
      <c r="D176" s="88">
        <v>78771</v>
      </c>
      <c r="E176" s="88" t="s">
        <v>4446</v>
      </c>
      <c r="F176" s="88" t="s">
        <v>47</v>
      </c>
      <c r="G176" s="88"/>
      <c r="H176" s="88" t="s">
        <v>591</v>
      </c>
      <c r="I176" s="88" t="s">
        <v>40</v>
      </c>
      <c r="J176" s="89" t="s">
        <v>5280</v>
      </c>
      <c r="K176" s="103" t="s">
        <v>1402</v>
      </c>
      <c r="L176" s="403" t="s">
        <v>26</v>
      </c>
      <c r="M176" s="199">
        <v>45473</v>
      </c>
      <c r="N176" s="105">
        <v>44728</v>
      </c>
      <c r="O176" s="105"/>
      <c r="P176" s="203" t="s">
        <v>5558</v>
      </c>
      <c r="Q176" s="203" t="s">
        <v>1721</v>
      </c>
      <c r="R176" s="203"/>
      <c r="S176" s="203"/>
      <c r="T176" s="87" t="s">
        <v>4687</v>
      </c>
      <c r="U176" s="87" t="s">
        <v>1571</v>
      </c>
      <c r="V176" s="87"/>
      <c r="W176" s="88" t="s">
        <v>1571</v>
      </c>
      <c r="X176" s="249"/>
      <c r="Y176" s="88"/>
      <c r="Z176" s="250" t="s">
        <v>5406</v>
      </c>
      <c r="AA176" s="87" t="s">
        <v>2309</v>
      </c>
      <c r="AB176" s="250" t="s">
        <v>2072</v>
      </c>
      <c r="AC176" s="250" t="s">
        <v>5407</v>
      </c>
      <c r="AD176" s="250"/>
      <c r="AE176" s="87" t="s">
        <v>5406</v>
      </c>
      <c r="AF176" s="88" t="s">
        <v>5280</v>
      </c>
      <c r="AG176" s="88" t="s">
        <v>2283</v>
      </c>
      <c r="AH176" s="88" t="s">
        <v>2093</v>
      </c>
      <c r="AI176" s="224"/>
      <c r="AJ176" s="225">
        <v>3</v>
      </c>
      <c r="AK176" s="224" t="s">
        <v>2094</v>
      </c>
      <c r="AL176" s="224" t="s">
        <v>2311</v>
      </c>
      <c r="AM176" s="224" t="s">
        <v>2087</v>
      </c>
      <c r="AN176" s="224"/>
    </row>
    <row r="177" spans="1:40" s="86" customFormat="1" ht="59.25" customHeight="1">
      <c r="A177" s="402">
        <v>198701</v>
      </c>
      <c r="B177" s="89" t="s">
        <v>1475</v>
      </c>
      <c r="C177" s="89" t="s">
        <v>1476</v>
      </c>
      <c r="D177" s="88">
        <v>77550</v>
      </c>
      <c r="E177" s="88" t="s">
        <v>1477</v>
      </c>
      <c r="F177" s="88" t="s">
        <v>47</v>
      </c>
      <c r="G177" s="88"/>
      <c r="H177" s="88" t="s">
        <v>591</v>
      </c>
      <c r="I177" s="88" t="s">
        <v>40</v>
      </c>
      <c r="J177" s="89" t="s">
        <v>5280</v>
      </c>
      <c r="K177" s="103" t="s">
        <v>1402</v>
      </c>
      <c r="L177" s="403" t="s">
        <v>26</v>
      </c>
      <c r="M177" s="199">
        <v>45473</v>
      </c>
      <c r="N177" s="105">
        <v>44728</v>
      </c>
      <c r="O177" s="105"/>
      <c r="P177" s="203" t="s">
        <v>5559</v>
      </c>
      <c r="Q177" s="203" t="s">
        <v>1721</v>
      </c>
      <c r="R177" s="203"/>
      <c r="S177" s="203"/>
      <c r="T177" s="87" t="s">
        <v>5768</v>
      </c>
      <c r="U177" s="87" t="s">
        <v>1571</v>
      </c>
      <c r="V177" s="87"/>
      <c r="W177" s="88" t="s">
        <v>1571</v>
      </c>
      <c r="X177" s="249"/>
      <c r="Y177" s="88"/>
      <c r="Z177" s="250" t="s">
        <v>2039</v>
      </c>
      <c r="AA177" s="87" t="s">
        <v>2309</v>
      </c>
      <c r="AB177" s="250" t="s">
        <v>2072</v>
      </c>
      <c r="AC177" s="250" t="s">
        <v>2310</v>
      </c>
      <c r="AD177" s="250"/>
      <c r="AE177" s="87" t="s">
        <v>2039</v>
      </c>
      <c r="AF177" s="88" t="s">
        <v>5280</v>
      </c>
      <c r="AG177" s="88" t="s">
        <v>2283</v>
      </c>
      <c r="AH177" s="88" t="s">
        <v>2093</v>
      </c>
      <c r="AI177" s="224"/>
      <c r="AJ177" s="225">
        <v>3</v>
      </c>
      <c r="AK177" s="224" t="s">
        <v>2094</v>
      </c>
      <c r="AL177" s="224" t="s">
        <v>2311</v>
      </c>
      <c r="AM177" s="224" t="s">
        <v>2087</v>
      </c>
      <c r="AN177" s="224"/>
    </row>
    <row r="178" spans="1:40" s="86" customFormat="1" ht="59.25" customHeight="1">
      <c r="A178" s="402">
        <v>198770</v>
      </c>
      <c r="B178" s="89" t="s">
        <v>893</v>
      </c>
      <c r="C178" s="89" t="s">
        <v>894</v>
      </c>
      <c r="D178" s="88">
        <v>93290</v>
      </c>
      <c r="E178" s="88" t="s">
        <v>895</v>
      </c>
      <c r="F178" s="88" t="s">
        <v>47</v>
      </c>
      <c r="G178" s="88"/>
      <c r="H178" s="88" t="s">
        <v>591</v>
      </c>
      <c r="I178" s="88" t="s">
        <v>749</v>
      </c>
      <c r="J178" s="89" t="s">
        <v>1421</v>
      </c>
      <c r="K178" s="103" t="s">
        <v>1402</v>
      </c>
      <c r="L178" s="403" t="s">
        <v>26</v>
      </c>
      <c r="M178" s="199">
        <v>44895</v>
      </c>
      <c r="N178" s="105">
        <v>44519</v>
      </c>
      <c r="O178" s="105"/>
      <c r="P178" s="203"/>
      <c r="Q178" s="203"/>
      <c r="R178" s="203"/>
      <c r="S178" s="203"/>
      <c r="T178" s="87"/>
      <c r="U178" s="87"/>
      <c r="V178" s="87" t="s">
        <v>1571</v>
      </c>
      <c r="W178" s="88"/>
      <c r="X178" s="249"/>
      <c r="Y178" s="88"/>
      <c r="Z178" s="250"/>
      <c r="AA178" s="87"/>
      <c r="AB178" s="250"/>
      <c r="AC178" s="250"/>
      <c r="AD178" s="250"/>
      <c r="AE178" s="87"/>
      <c r="AF178" s="88"/>
      <c r="AG178" s="88"/>
      <c r="AH178" s="88"/>
      <c r="AI178" s="224"/>
      <c r="AJ178" s="225"/>
      <c r="AK178" s="224"/>
      <c r="AL178" s="224"/>
      <c r="AM178" s="224"/>
      <c r="AN178" s="224"/>
    </row>
    <row r="179" spans="1:40" s="86" customFormat="1" ht="59.25" customHeight="1">
      <c r="A179" s="402">
        <v>198967</v>
      </c>
      <c r="B179" s="89" t="s">
        <v>350</v>
      </c>
      <c r="C179" s="89" t="s">
        <v>351</v>
      </c>
      <c r="D179" s="88">
        <v>6041</v>
      </c>
      <c r="E179" s="88" t="s">
        <v>352</v>
      </c>
      <c r="F179" s="88" t="s">
        <v>118</v>
      </c>
      <c r="G179" s="88" t="s">
        <v>896</v>
      </c>
      <c r="H179" s="88" t="s">
        <v>591</v>
      </c>
      <c r="I179" s="88" t="s">
        <v>40</v>
      </c>
      <c r="J179" s="89" t="s">
        <v>1510</v>
      </c>
      <c r="K179" s="103" t="s">
        <v>1402</v>
      </c>
      <c r="L179" s="403" t="s">
        <v>26</v>
      </c>
      <c r="M179" s="199">
        <v>45868</v>
      </c>
      <c r="N179" s="105">
        <v>44740</v>
      </c>
      <c r="O179" s="105"/>
      <c r="P179" s="203" t="s">
        <v>4556</v>
      </c>
      <c r="Q179" s="203" t="s">
        <v>1722</v>
      </c>
      <c r="R179" s="203" t="s">
        <v>1963</v>
      </c>
      <c r="S179" s="203"/>
      <c r="T179" s="87" t="s">
        <v>5769</v>
      </c>
      <c r="U179" s="87" t="s">
        <v>1569</v>
      </c>
      <c r="V179" s="87"/>
      <c r="W179" s="88" t="s">
        <v>1568</v>
      </c>
      <c r="X179" s="249" t="s">
        <v>3808</v>
      </c>
      <c r="Y179" s="88"/>
      <c r="Z179" s="250"/>
      <c r="AA179" s="87" t="s">
        <v>350</v>
      </c>
      <c r="AB179" s="250" t="s">
        <v>2072</v>
      </c>
      <c r="AC179" s="250"/>
      <c r="AD179" s="250"/>
      <c r="AE179" s="87"/>
      <c r="AF179" s="88" t="s">
        <v>1510</v>
      </c>
      <c r="AG179" s="88" t="s">
        <v>2143</v>
      </c>
      <c r="AH179" s="88" t="s">
        <v>2137</v>
      </c>
      <c r="AI179" s="224"/>
      <c r="AJ179" s="225">
        <v>3</v>
      </c>
      <c r="AK179" s="224" t="s">
        <v>2144</v>
      </c>
      <c r="AL179" s="224"/>
      <c r="AM179" s="224"/>
      <c r="AN179" s="224"/>
    </row>
    <row r="180" spans="1:40" s="86" customFormat="1" ht="59.25" customHeight="1">
      <c r="A180" s="402">
        <v>199184</v>
      </c>
      <c r="B180" s="89" t="s">
        <v>1227</v>
      </c>
      <c r="C180" s="89" t="s">
        <v>1228</v>
      </c>
      <c r="D180" s="88">
        <v>87800</v>
      </c>
      <c r="E180" s="88" t="s">
        <v>1229</v>
      </c>
      <c r="F180" s="88" t="s">
        <v>47</v>
      </c>
      <c r="G180" s="88" t="s">
        <v>1230</v>
      </c>
      <c r="H180" s="88" t="s">
        <v>591</v>
      </c>
      <c r="I180" s="88" t="s">
        <v>737</v>
      </c>
      <c r="J180" s="89" t="s">
        <v>5280</v>
      </c>
      <c r="K180" s="103" t="s">
        <v>1233</v>
      </c>
      <c r="L180" s="403" t="s">
        <v>26</v>
      </c>
      <c r="M180" s="199">
        <v>45716</v>
      </c>
      <c r="N180" s="105">
        <v>44616</v>
      </c>
      <c r="O180" s="105"/>
      <c r="P180" s="203" t="s">
        <v>1231</v>
      </c>
      <c r="Q180" s="203"/>
      <c r="R180" s="203" t="s">
        <v>1964</v>
      </c>
      <c r="S180" s="203"/>
      <c r="T180" s="87" t="s">
        <v>5770</v>
      </c>
      <c r="U180" s="87" t="s">
        <v>1574</v>
      </c>
      <c r="V180" s="87"/>
      <c r="W180" s="88" t="s">
        <v>1568</v>
      </c>
      <c r="X180" s="249" t="s">
        <v>4749</v>
      </c>
      <c r="Y180" s="88"/>
      <c r="Z180" s="250"/>
      <c r="AA180" s="87"/>
      <c r="AB180" s="250"/>
      <c r="AC180" s="250"/>
      <c r="AD180" s="250"/>
      <c r="AE180" s="87"/>
      <c r="AF180" s="88"/>
      <c r="AG180" s="88"/>
      <c r="AH180" s="88"/>
      <c r="AI180" s="224"/>
      <c r="AJ180" s="225"/>
      <c r="AK180" s="224"/>
      <c r="AL180" s="224"/>
      <c r="AM180" s="224"/>
      <c r="AN180" s="224"/>
    </row>
    <row r="181" spans="1:40" s="86" customFormat="1" ht="59.25" customHeight="1">
      <c r="A181" s="402">
        <v>199281</v>
      </c>
      <c r="B181" s="89" t="s">
        <v>5025</v>
      </c>
      <c r="C181" s="89" t="s">
        <v>1129</v>
      </c>
      <c r="D181" s="88">
        <v>17300</v>
      </c>
      <c r="E181" s="88" t="s">
        <v>353</v>
      </c>
      <c r="F181" s="88" t="s">
        <v>47</v>
      </c>
      <c r="G181" s="88" t="s">
        <v>897</v>
      </c>
      <c r="H181" s="88" t="s">
        <v>591</v>
      </c>
      <c r="I181" s="88" t="s">
        <v>40</v>
      </c>
      <c r="J181" s="89" t="s">
        <v>4638</v>
      </c>
      <c r="K181" s="103" t="s">
        <v>1233</v>
      </c>
      <c r="L181" s="403" t="s">
        <v>26</v>
      </c>
      <c r="M181" s="199">
        <v>45504</v>
      </c>
      <c r="N181" s="105">
        <v>44404</v>
      </c>
      <c r="O181" s="105"/>
      <c r="P181" s="203" t="s">
        <v>4643</v>
      </c>
      <c r="Q181" s="203" t="s">
        <v>1723</v>
      </c>
      <c r="R181" s="203" t="s">
        <v>4644</v>
      </c>
      <c r="S181" s="203"/>
      <c r="T181" s="87" t="s">
        <v>6074</v>
      </c>
      <c r="U181" s="87" t="s">
        <v>1578</v>
      </c>
      <c r="V181" s="87"/>
      <c r="W181" s="88" t="s">
        <v>1568</v>
      </c>
      <c r="X181" s="249" t="s">
        <v>5196</v>
      </c>
      <c r="Y181" s="88"/>
      <c r="Z181" s="250"/>
      <c r="AA181" s="87" t="s">
        <v>1440</v>
      </c>
      <c r="AB181" s="250" t="s">
        <v>2072</v>
      </c>
      <c r="AC181" s="250"/>
      <c r="AD181" s="250"/>
      <c r="AE181" s="87"/>
      <c r="AF181" s="88" t="s">
        <v>4638</v>
      </c>
      <c r="AG181" s="88" t="s">
        <v>2073</v>
      </c>
      <c r="AH181" s="88" t="s">
        <v>2116</v>
      </c>
      <c r="AI181" s="224"/>
      <c r="AJ181" s="225">
        <v>3</v>
      </c>
      <c r="AK181" s="224" t="s">
        <v>2085</v>
      </c>
      <c r="AL181" s="224" t="s">
        <v>2312</v>
      </c>
      <c r="AM181" s="224" t="s">
        <v>2087</v>
      </c>
      <c r="AN181" s="224"/>
    </row>
    <row r="182" spans="1:40" s="86" customFormat="1" ht="59.25" customHeight="1">
      <c r="A182" s="402">
        <v>201000</v>
      </c>
      <c r="B182" s="89" t="s">
        <v>354</v>
      </c>
      <c r="C182" s="89" t="s">
        <v>355</v>
      </c>
      <c r="D182" s="88">
        <v>90039</v>
      </c>
      <c r="E182" s="88" t="s">
        <v>356</v>
      </c>
      <c r="F182" s="88" t="s">
        <v>51</v>
      </c>
      <c r="G182" s="88">
        <v>99643</v>
      </c>
      <c r="H182" s="88" t="s">
        <v>591</v>
      </c>
      <c r="I182" s="88" t="s">
        <v>40</v>
      </c>
      <c r="J182" s="89" t="s">
        <v>5279</v>
      </c>
      <c r="K182" s="103" t="s">
        <v>1402</v>
      </c>
      <c r="L182" s="403" t="s">
        <v>26</v>
      </c>
      <c r="M182" s="199">
        <v>45291</v>
      </c>
      <c r="N182" s="105">
        <v>44547</v>
      </c>
      <c r="O182" s="105"/>
      <c r="P182" s="203" t="s">
        <v>6040</v>
      </c>
      <c r="Q182" s="203" t="s">
        <v>1724</v>
      </c>
      <c r="R182" s="203" t="s">
        <v>1965</v>
      </c>
      <c r="S182" s="203"/>
      <c r="T182" s="87" t="s">
        <v>5771</v>
      </c>
      <c r="U182" s="87" t="s">
        <v>1569</v>
      </c>
      <c r="V182" s="87"/>
      <c r="W182" s="88" t="s">
        <v>1568</v>
      </c>
      <c r="X182" s="249" t="s">
        <v>3811</v>
      </c>
      <c r="Y182" s="88"/>
      <c r="Z182" s="250"/>
      <c r="AA182" s="87" t="s">
        <v>2100</v>
      </c>
      <c r="AB182" s="250" t="s">
        <v>2072</v>
      </c>
      <c r="AC182" s="250"/>
      <c r="AD182" s="250"/>
      <c r="AE182" s="87"/>
      <c r="AF182" s="88" t="s">
        <v>5279</v>
      </c>
      <c r="AG182" s="88" t="s">
        <v>2073</v>
      </c>
      <c r="AH182" s="88" t="s">
        <v>2074</v>
      </c>
      <c r="AI182" s="224" t="s">
        <v>2075</v>
      </c>
      <c r="AJ182" s="225">
        <v>2</v>
      </c>
      <c r="AK182" s="224" t="s">
        <v>2076</v>
      </c>
      <c r="AL182" s="224" t="s">
        <v>2101</v>
      </c>
      <c r="AM182" s="224" t="s">
        <v>2099</v>
      </c>
      <c r="AN182" s="224"/>
    </row>
    <row r="183" spans="1:40" s="86" customFormat="1" ht="59.25" customHeight="1">
      <c r="A183" s="402">
        <v>201798</v>
      </c>
      <c r="B183" s="89" t="s">
        <v>357</v>
      </c>
      <c r="C183" s="89" t="s">
        <v>358</v>
      </c>
      <c r="D183" s="88" t="s">
        <v>359</v>
      </c>
      <c r="E183" s="88" t="s">
        <v>360</v>
      </c>
      <c r="F183" s="88" t="s">
        <v>246</v>
      </c>
      <c r="G183" s="88" t="s">
        <v>898</v>
      </c>
      <c r="H183" s="88" t="s">
        <v>591</v>
      </c>
      <c r="I183" s="88" t="s">
        <v>40</v>
      </c>
      <c r="J183" s="89" t="s">
        <v>1277</v>
      </c>
      <c r="K183" s="103" t="s">
        <v>1162</v>
      </c>
      <c r="L183" s="403" t="s">
        <v>26</v>
      </c>
      <c r="M183" s="199">
        <v>45138</v>
      </c>
      <c r="N183" s="105">
        <v>44012</v>
      </c>
      <c r="O183" s="105"/>
      <c r="P183" s="203" t="s">
        <v>5677</v>
      </c>
      <c r="Q183" s="203" t="s">
        <v>4802</v>
      </c>
      <c r="R183" s="203"/>
      <c r="S183" s="203"/>
      <c r="T183" s="87" t="s">
        <v>4359</v>
      </c>
      <c r="U183" s="87" t="s">
        <v>1569</v>
      </c>
      <c r="V183" s="87"/>
      <c r="W183" s="88" t="s">
        <v>1568</v>
      </c>
      <c r="X183" s="249" t="s">
        <v>4348</v>
      </c>
      <c r="Y183" s="88"/>
      <c r="Z183" s="250"/>
      <c r="AA183" s="87" t="s">
        <v>357</v>
      </c>
      <c r="AB183" s="250" t="s">
        <v>2072</v>
      </c>
      <c r="AC183" s="250"/>
      <c r="AD183" s="250"/>
      <c r="AE183" s="87"/>
      <c r="AF183" s="88" t="s">
        <v>1277</v>
      </c>
      <c r="AG183" s="88" t="s">
        <v>2073</v>
      </c>
      <c r="AH183" s="88" t="s">
        <v>2093</v>
      </c>
      <c r="AI183" s="224"/>
      <c r="AJ183" s="225">
        <v>4</v>
      </c>
      <c r="AK183" s="224" t="s">
        <v>2085</v>
      </c>
      <c r="AL183" s="224" t="s">
        <v>2313</v>
      </c>
      <c r="AM183" s="224"/>
      <c r="AN183" s="224"/>
    </row>
    <row r="184" spans="1:40" s="86" customFormat="1" ht="59.25" customHeight="1">
      <c r="A184" s="402">
        <v>202699</v>
      </c>
      <c r="B184" s="89" t="s">
        <v>362</v>
      </c>
      <c r="C184" s="89" t="s">
        <v>899</v>
      </c>
      <c r="D184" s="88">
        <v>94563</v>
      </c>
      <c r="E184" s="88" t="s">
        <v>900</v>
      </c>
      <c r="F184" s="88" t="s">
        <v>47</v>
      </c>
      <c r="G184" s="88" t="s">
        <v>901</v>
      </c>
      <c r="H184" s="88" t="s">
        <v>591</v>
      </c>
      <c r="I184" s="88" t="s">
        <v>737</v>
      </c>
      <c r="J184" s="89" t="s">
        <v>1336</v>
      </c>
      <c r="K184" s="103" t="s">
        <v>1233</v>
      </c>
      <c r="L184" s="403" t="s">
        <v>26</v>
      </c>
      <c r="M184" s="199">
        <v>45716</v>
      </c>
      <c r="N184" s="105">
        <v>44616</v>
      </c>
      <c r="O184" s="105"/>
      <c r="P184" s="203" t="s">
        <v>4846</v>
      </c>
      <c r="Q184" s="203" t="s">
        <v>1725</v>
      </c>
      <c r="R184" s="203" t="s">
        <v>1966</v>
      </c>
      <c r="S184" s="203"/>
      <c r="T184" s="87" t="s">
        <v>4923</v>
      </c>
      <c r="U184" s="87" t="s">
        <v>1569</v>
      </c>
      <c r="V184" s="87"/>
      <c r="W184" s="88" t="s">
        <v>1568</v>
      </c>
      <c r="X184" s="249" t="s">
        <v>5059</v>
      </c>
      <c r="Y184" s="88"/>
      <c r="Z184" s="250"/>
      <c r="AA184" s="87"/>
      <c r="AB184" s="250"/>
      <c r="AC184" s="250"/>
      <c r="AD184" s="250"/>
      <c r="AE184" s="87"/>
      <c r="AF184" s="88"/>
      <c r="AG184" s="88"/>
      <c r="AH184" s="88"/>
      <c r="AI184" s="224"/>
      <c r="AJ184" s="225"/>
      <c r="AK184" s="224"/>
      <c r="AL184" s="224"/>
      <c r="AM184" s="224"/>
      <c r="AN184" s="224"/>
    </row>
    <row r="185" spans="1:40" s="86" customFormat="1" ht="59.25" customHeight="1">
      <c r="A185" s="402">
        <v>202981</v>
      </c>
      <c r="B185" s="89" t="s">
        <v>902</v>
      </c>
      <c r="C185" s="89" t="s">
        <v>363</v>
      </c>
      <c r="D185" s="88">
        <v>31700</v>
      </c>
      <c r="E185" s="88" t="s">
        <v>151</v>
      </c>
      <c r="F185" s="88" t="s">
        <v>47</v>
      </c>
      <c r="G185" s="88" t="s">
        <v>903</v>
      </c>
      <c r="H185" s="88" t="s">
        <v>591</v>
      </c>
      <c r="I185" s="88" t="s">
        <v>40</v>
      </c>
      <c r="J185" s="89" t="s">
        <v>5280</v>
      </c>
      <c r="K185" s="103" t="s">
        <v>1402</v>
      </c>
      <c r="L185" s="403" t="s">
        <v>26</v>
      </c>
      <c r="M185" s="199">
        <v>45016</v>
      </c>
      <c r="N185" s="105">
        <v>44280</v>
      </c>
      <c r="O185" s="105"/>
      <c r="P185" s="203" t="s">
        <v>5560</v>
      </c>
      <c r="Q185" s="203" t="s">
        <v>1726</v>
      </c>
      <c r="R185" s="203" t="s">
        <v>1967</v>
      </c>
      <c r="S185" s="203"/>
      <c r="T185" s="87" t="s">
        <v>5772</v>
      </c>
      <c r="U185" s="87" t="s">
        <v>1574</v>
      </c>
      <c r="V185" s="87"/>
      <c r="W185" s="88" t="s">
        <v>1568</v>
      </c>
      <c r="X185" s="249" t="s">
        <v>4630</v>
      </c>
      <c r="Y185" s="88"/>
      <c r="Z185" s="250"/>
      <c r="AA185" s="87" t="s">
        <v>2314</v>
      </c>
      <c r="AB185" s="250" t="s">
        <v>2072</v>
      </c>
      <c r="AC185" s="250"/>
      <c r="AD185" s="250"/>
      <c r="AE185" s="87"/>
      <c r="AF185" s="88" t="s">
        <v>5280</v>
      </c>
      <c r="AG185" s="88" t="s">
        <v>2073</v>
      </c>
      <c r="AH185" s="88" t="s">
        <v>2074</v>
      </c>
      <c r="AI185" s="224" t="s">
        <v>2075</v>
      </c>
      <c r="AJ185" s="225">
        <v>3</v>
      </c>
      <c r="AK185" s="224" t="s">
        <v>2076</v>
      </c>
      <c r="AL185" s="224" t="s">
        <v>2315</v>
      </c>
      <c r="AM185" s="224" t="s">
        <v>2077</v>
      </c>
      <c r="AN185" s="224"/>
    </row>
    <row r="186" spans="1:40" s="86" customFormat="1" ht="59.25" customHeight="1">
      <c r="A186" s="402">
        <v>203035</v>
      </c>
      <c r="B186" s="89" t="s">
        <v>744</v>
      </c>
      <c r="C186" s="89" t="s">
        <v>364</v>
      </c>
      <c r="D186" s="88">
        <v>4041</v>
      </c>
      <c r="E186" s="88" t="s">
        <v>365</v>
      </c>
      <c r="F186" s="88" t="s">
        <v>118</v>
      </c>
      <c r="G186" s="88" t="s">
        <v>904</v>
      </c>
      <c r="H186" s="88" t="s">
        <v>591</v>
      </c>
      <c r="I186" s="88" t="s">
        <v>40</v>
      </c>
      <c r="J186" s="89" t="s">
        <v>5280</v>
      </c>
      <c r="K186" s="103" t="s">
        <v>1233</v>
      </c>
      <c r="L186" s="403" t="s">
        <v>26</v>
      </c>
      <c r="M186" s="199">
        <v>45412</v>
      </c>
      <c r="N186" s="105">
        <v>44316</v>
      </c>
      <c r="O186" s="105"/>
      <c r="P186" s="203" t="s">
        <v>4391</v>
      </c>
      <c r="Q186" s="203" t="s">
        <v>1727</v>
      </c>
      <c r="R186" s="203" t="s">
        <v>1968</v>
      </c>
      <c r="S186" s="203"/>
      <c r="T186" s="87" t="s">
        <v>5773</v>
      </c>
      <c r="U186" s="87" t="s">
        <v>1568</v>
      </c>
      <c r="V186" s="87"/>
      <c r="W186" s="88" t="s">
        <v>1568</v>
      </c>
      <c r="X186" s="249" t="s">
        <v>5161</v>
      </c>
      <c r="Y186" s="88"/>
      <c r="Z186" s="250"/>
      <c r="AA186" s="87" t="s">
        <v>744</v>
      </c>
      <c r="AB186" s="250" t="s">
        <v>2072</v>
      </c>
      <c r="AC186" s="250"/>
      <c r="AD186" s="250"/>
      <c r="AE186" s="87"/>
      <c r="AF186" s="88" t="s">
        <v>5280</v>
      </c>
      <c r="AG186" s="88" t="s">
        <v>2073</v>
      </c>
      <c r="AH186" s="88" t="s">
        <v>2093</v>
      </c>
      <c r="AI186" s="224"/>
      <c r="AJ186" s="225">
        <v>4</v>
      </c>
      <c r="AK186" s="224" t="s">
        <v>2085</v>
      </c>
      <c r="AL186" s="224" t="s">
        <v>2316</v>
      </c>
      <c r="AM186" s="224" t="s">
        <v>2087</v>
      </c>
      <c r="AN186" s="224"/>
    </row>
    <row r="187" spans="1:40" s="86" customFormat="1" ht="59.25" customHeight="1">
      <c r="A187" s="402">
        <v>203249</v>
      </c>
      <c r="B187" s="89" t="s">
        <v>366</v>
      </c>
      <c r="C187" s="89" t="s">
        <v>367</v>
      </c>
      <c r="D187" s="88" t="s">
        <v>368</v>
      </c>
      <c r="E187" s="88" t="s">
        <v>369</v>
      </c>
      <c r="F187" s="88" t="s">
        <v>45</v>
      </c>
      <c r="G187" s="88" t="s">
        <v>905</v>
      </c>
      <c r="H187" s="88" t="s">
        <v>591</v>
      </c>
      <c r="I187" s="88" t="s">
        <v>40</v>
      </c>
      <c r="J187" s="89" t="s">
        <v>5281</v>
      </c>
      <c r="K187" s="103" t="s">
        <v>5218</v>
      </c>
      <c r="L187" s="403" t="s">
        <v>26</v>
      </c>
      <c r="M187" s="199">
        <v>45443</v>
      </c>
      <c r="N187" s="105">
        <v>44694</v>
      </c>
      <c r="O187" s="105"/>
      <c r="P187" s="203" t="s">
        <v>5418</v>
      </c>
      <c r="Q187" s="203" t="s">
        <v>5009</v>
      </c>
      <c r="R187" s="203" t="s">
        <v>4915</v>
      </c>
      <c r="S187" s="203"/>
      <c r="T187" s="87" t="s">
        <v>5774</v>
      </c>
      <c r="U187" s="87" t="s">
        <v>1573</v>
      </c>
      <c r="V187" s="87"/>
      <c r="W187" s="88" t="s">
        <v>1571</v>
      </c>
      <c r="X187" s="249" t="s">
        <v>3815</v>
      </c>
      <c r="Y187" s="88"/>
      <c r="Z187" s="250"/>
      <c r="AA187" s="87" t="s">
        <v>2317</v>
      </c>
      <c r="AB187" s="250" t="s">
        <v>2072</v>
      </c>
      <c r="AC187" s="250"/>
      <c r="AD187" s="250"/>
      <c r="AE187" s="87"/>
      <c r="AF187" s="88" t="s">
        <v>5281</v>
      </c>
      <c r="AG187" s="88" t="s">
        <v>2073</v>
      </c>
      <c r="AH187" s="88" t="s">
        <v>2113</v>
      </c>
      <c r="AI187" s="224"/>
      <c r="AJ187" s="225">
        <v>3</v>
      </c>
      <c r="AK187" s="224" t="s">
        <v>2085</v>
      </c>
      <c r="AL187" s="224" t="s">
        <v>2318</v>
      </c>
      <c r="AM187" s="224" t="s">
        <v>2087</v>
      </c>
      <c r="AN187" s="224" t="s">
        <v>2168</v>
      </c>
    </row>
    <row r="188" spans="1:40" s="86" customFormat="1" ht="59.25" customHeight="1">
      <c r="A188" s="402">
        <v>203252</v>
      </c>
      <c r="B188" s="89" t="s">
        <v>906</v>
      </c>
      <c r="C188" s="89" t="s">
        <v>370</v>
      </c>
      <c r="D188" s="88" t="s">
        <v>371</v>
      </c>
      <c r="E188" s="88" t="s">
        <v>372</v>
      </c>
      <c r="F188" s="88" t="s">
        <v>51</v>
      </c>
      <c r="G188" s="88">
        <v>98571</v>
      </c>
      <c r="H188" s="88" t="s">
        <v>591</v>
      </c>
      <c r="I188" s="88" t="s">
        <v>40</v>
      </c>
      <c r="J188" s="89" t="s">
        <v>5281</v>
      </c>
      <c r="K188" s="103" t="s">
        <v>5218</v>
      </c>
      <c r="L188" s="403" t="s">
        <v>26</v>
      </c>
      <c r="M188" s="199">
        <v>45443</v>
      </c>
      <c r="N188" s="105">
        <v>44694</v>
      </c>
      <c r="O188" s="105"/>
      <c r="P188" s="203" t="s">
        <v>6041</v>
      </c>
      <c r="Q188" s="203" t="s">
        <v>1728</v>
      </c>
      <c r="R188" s="203" t="s">
        <v>1969</v>
      </c>
      <c r="S188" s="203"/>
      <c r="T188" s="87" t="s">
        <v>5775</v>
      </c>
      <c r="U188" s="87" t="s">
        <v>1568</v>
      </c>
      <c r="V188" s="87"/>
      <c r="W188" s="88" t="s">
        <v>1568</v>
      </c>
      <c r="X188" s="249" t="s">
        <v>3817</v>
      </c>
      <c r="Y188" s="88"/>
      <c r="Z188" s="250"/>
      <c r="AA188" s="87" t="s">
        <v>2317</v>
      </c>
      <c r="AB188" s="250" t="s">
        <v>2072</v>
      </c>
      <c r="AC188" s="250"/>
      <c r="AD188" s="250"/>
      <c r="AE188" s="87"/>
      <c r="AF188" s="88" t="s">
        <v>5281</v>
      </c>
      <c r="AG188" s="88" t="s">
        <v>2073</v>
      </c>
      <c r="AH188" s="88" t="s">
        <v>2113</v>
      </c>
      <c r="AI188" s="224"/>
      <c r="AJ188" s="225">
        <v>3</v>
      </c>
      <c r="AK188" s="224" t="s">
        <v>2085</v>
      </c>
      <c r="AL188" s="224" t="s">
        <v>2318</v>
      </c>
      <c r="AM188" s="224" t="s">
        <v>2087</v>
      </c>
      <c r="AN188" s="224" t="s">
        <v>2168</v>
      </c>
    </row>
    <row r="189" spans="1:40" s="86" customFormat="1" ht="59.25" customHeight="1">
      <c r="A189" s="402">
        <v>203617</v>
      </c>
      <c r="B189" s="89" t="s">
        <v>666</v>
      </c>
      <c r="C189" s="89" t="s">
        <v>667</v>
      </c>
      <c r="D189" s="88">
        <v>60110</v>
      </c>
      <c r="E189" s="88" t="s">
        <v>668</v>
      </c>
      <c r="F189" s="88" t="s">
        <v>47</v>
      </c>
      <c r="G189" s="88"/>
      <c r="H189" s="88" t="s">
        <v>591</v>
      </c>
      <c r="I189" s="88" t="s">
        <v>40</v>
      </c>
      <c r="J189" s="89" t="s">
        <v>5283</v>
      </c>
      <c r="K189" s="103" t="s">
        <v>1233</v>
      </c>
      <c r="L189" s="403" t="s">
        <v>26</v>
      </c>
      <c r="M189" s="199">
        <v>45230</v>
      </c>
      <c r="N189" s="105">
        <v>44470</v>
      </c>
      <c r="O189" s="105"/>
      <c r="P189" s="203" t="s">
        <v>4601</v>
      </c>
      <c r="Q189" s="203" t="s">
        <v>1729</v>
      </c>
      <c r="R189" s="203" t="s">
        <v>1970</v>
      </c>
      <c r="S189" s="203"/>
      <c r="T189" s="87" t="s">
        <v>5776</v>
      </c>
      <c r="U189" s="87" t="s">
        <v>1569</v>
      </c>
      <c r="V189" s="87"/>
      <c r="W189" s="88" t="s">
        <v>1568</v>
      </c>
      <c r="X189" s="249" t="s">
        <v>5102</v>
      </c>
      <c r="Y189" s="88"/>
      <c r="Z189" s="250"/>
      <c r="AA189" s="87" t="s">
        <v>2319</v>
      </c>
      <c r="AB189" s="250" t="s">
        <v>2072</v>
      </c>
      <c r="AC189" s="250"/>
      <c r="AD189" s="250"/>
      <c r="AE189" s="87"/>
      <c r="AF189" s="88" t="s">
        <v>5283</v>
      </c>
      <c r="AG189" s="88" t="s">
        <v>2073</v>
      </c>
      <c r="AH189" s="88" t="s">
        <v>2074</v>
      </c>
      <c r="AI189" s="224" t="s">
        <v>2075</v>
      </c>
      <c r="AJ189" s="225">
        <v>2</v>
      </c>
      <c r="AK189" s="224" t="s">
        <v>2076</v>
      </c>
      <c r="AL189" s="224" t="s">
        <v>2320</v>
      </c>
      <c r="AM189" s="224" t="s">
        <v>2099</v>
      </c>
      <c r="AN189" s="224" t="s">
        <v>2321</v>
      </c>
    </row>
    <row r="190" spans="1:40" s="86" customFormat="1" ht="59.25" customHeight="1">
      <c r="A190" s="402">
        <v>203630</v>
      </c>
      <c r="B190" s="89" t="s">
        <v>1178</v>
      </c>
      <c r="C190" s="89" t="s">
        <v>373</v>
      </c>
      <c r="D190" s="88">
        <v>86101</v>
      </c>
      <c r="E190" s="88" t="s">
        <v>374</v>
      </c>
      <c r="F190" s="88" t="s">
        <v>47</v>
      </c>
      <c r="G190" s="88" t="s">
        <v>375</v>
      </c>
      <c r="H190" s="88" t="s">
        <v>591</v>
      </c>
      <c r="I190" s="88" t="s">
        <v>40</v>
      </c>
      <c r="J190" s="89" t="s">
        <v>5283</v>
      </c>
      <c r="K190" s="103" t="s">
        <v>1233</v>
      </c>
      <c r="L190" s="403" t="s">
        <v>26</v>
      </c>
      <c r="M190" s="199">
        <v>45230</v>
      </c>
      <c r="N190" s="105">
        <v>44470</v>
      </c>
      <c r="O190" s="105"/>
      <c r="P190" s="203" t="s">
        <v>5561</v>
      </c>
      <c r="Q190" s="203" t="s">
        <v>1730</v>
      </c>
      <c r="R190" s="203"/>
      <c r="S190" s="203"/>
      <c r="T190" s="87" t="s">
        <v>5777</v>
      </c>
      <c r="U190" s="87" t="s">
        <v>1578</v>
      </c>
      <c r="V190" s="87"/>
      <c r="W190" s="88" t="s">
        <v>1568</v>
      </c>
      <c r="X190" s="249" t="s">
        <v>4212</v>
      </c>
      <c r="Y190" s="88"/>
      <c r="Z190" s="250"/>
      <c r="AA190" s="87" t="s">
        <v>2319</v>
      </c>
      <c r="AB190" s="250" t="s">
        <v>2072</v>
      </c>
      <c r="AC190" s="250"/>
      <c r="AD190" s="250"/>
      <c r="AE190" s="87"/>
      <c r="AF190" s="88" t="s">
        <v>5283</v>
      </c>
      <c r="AG190" s="88" t="s">
        <v>2073</v>
      </c>
      <c r="AH190" s="88" t="s">
        <v>2074</v>
      </c>
      <c r="AI190" s="224" t="s">
        <v>2075</v>
      </c>
      <c r="AJ190" s="225">
        <v>2</v>
      </c>
      <c r="AK190" s="224" t="s">
        <v>2076</v>
      </c>
      <c r="AL190" s="224" t="s">
        <v>2320</v>
      </c>
      <c r="AM190" s="224" t="s">
        <v>2099</v>
      </c>
      <c r="AN190" s="224" t="s">
        <v>2321</v>
      </c>
    </row>
    <row r="191" spans="1:40" s="86" customFormat="1" ht="59.25" customHeight="1">
      <c r="A191" s="402">
        <v>206126</v>
      </c>
      <c r="B191" s="89" t="s">
        <v>1067</v>
      </c>
      <c r="C191" s="89" t="s">
        <v>5536</v>
      </c>
      <c r="D191" s="88" t="s">
        <v>5537</v>
      </c>
      <c r="E191" s="88" t="s">
        <v>348</v>
      </c>
      <c r="F191" s="88" t="s">
        <v>45</v>
      </c>
      <c r="G191" s="88" t="s">
        <v>5538</v>
      </c>
      <c r="H191" s="88" t="s">
        <v>591</v>
      </c>
      <c r="I191" s="88" t="s">
        <v>40</v>
      </c>
      <c r="J191" s="89" t="s">
        <v>1277</v>
      </c>
      <c r="K191" s="103" t="s">
        <v>1402</v>
      </c>
      <c r="L191" s="403" t="s">
        <v>26</v>
      </c>
      <c r="M191" s="199">
        <v>45838</v>
      </c>
      <c r="N191" s="105">
        <v>44725</v>
      </c>
      <c r="O191" s="105"/>
      <c r="P191" s="203" t="s">
        <v>5562</v>
      </c>
      <c r="Q191" s="203" t="s">
        <v>5574</v>
      </c>
      <c r="R191" s="203" t="s">
        <v>5576</v>
      </c>
      <c r="S191" s="203"/>
      <c r="T191" s="87" t="s">
        <v>5778</v>
      </c>
      <c r="U191" s="87" t="s">
        <v>1569</v>
      </c>
      <c r="V191" s="87"/>
      <c r="W191" s="88" t="s">
        <v>1568</v>
      </c>
      <c r="X191" s="249" t="s">
        <v>4620</v>
      </c>
      <c r="Y191" s="88"/>
      <c r="Z191" s="250"/>
      <c r="AA191" s="87" t="s">
        <v>2333</v>
      </c>
      <c r="AB191" s="250" t="s">
        <v>2072</v>
      </c>
      <c r="AC191" s="250"/>
      <c r="AD191" s="250"/>
      <c r="AE191" s="87"/>
      <c r="AF191" s="88" t="s">
        <v>1277</v>
      </c>
      <c r="AG191" s="88" t="s">
        <v>2073</v>
      </c>
      <c r="AH191" s="88" t="s">
        <v>2116</v>
      </c>
      <c r="AI191" s="224"/>
      <c r="AJ191" s="225">
        <v>4</v>
      </c>
      <c r="AK191" s="224" t="s">
        <v>2133</v>
      </c>
      <c r="AL191" s="224" t="s">
        <v>2334</v>
      </c>
      <c r="AM191" s="224" t="s">
        <v>2335</v>
      </c>
      <c r="AN191" s="224"/>
    </row>
    <row r="192" spans="1:40" s="86" customFormat="1" ht="59.25" customHeight="1">
      <c r="A192" s="402">
        <v>206359</v>
      </c>
      <c r="B192" s="89" t="s">
        <v>376</v>
      </c>
      <c r="C192" s="89" t="s">
        <v>377</v>
      </c>
      <c r="D192" s="88" t="s">
        <v>378</v>
      </c>
      <c r="E192" s="88" t="s">
        <v>379</v>
      </c>
      <c r="F192" s="88" t="s">
        <v>51</v>
      </c>
      <c r="G192" s="88">
        <v>59501</v>
      </c>
      <c r="H192" s="88" t="s">
        <v>591</v>
      </c>
      <c r="I192" s="88" t="s">
        <v>40</v>
      </c>
      <c r="J192" s="89" t="s">
        <v>1277</v>
      </c>
      <c r="K192" s="103" t="s">
        <v>1233</v>
      </c>
      <c r="L192" s="403" t="s">
        <v>26</v>
      </c>
      <c r="M192" s="199">
        <v>45322</v>
      </c>
      <c r="N192" s="105">
        <v>44693</v>
      </c>
      <c r="O192" s="105"/>
      <c r="P192" s="203" t="s">
        <v>6042</v>
      </c>
      <c r="Q192" s="203" t="s">
        <v>1731</v>
      </c>
      <c r="R192" s="203"/>
      <c r="S192" s="203"/>
      <c r="T192" s="87" t="s">
        <v>4573</v>
      </c>
      <c r="U192" s="87" t="s">
        <v>1568</v>
      </c>
      <c r="V192" s="87"/>
      <c r="W192" s="88" t="s">
        <v>1568</v>
      </c>
      <c r="X192" s="249" t="s">
        <v>3819</v>
      </c>
      <c r="Y192" s="88"/>
      <c r="Z192" s="250" t="s">
        <v>4311</v>
      </c>
      <c r="AA192" s="87" t="s">
        <v>2322</v>
      </c>
      <c r="AB192" s="250" t="s">
        <v>2072</v>
      </c>
      <c r="AC192" s="250" t="s">
        <v>5186</v>
      </c>
      <c r="AD192" s="250"/>
      <c r="AE192" s="87" t="s">
        <v>4311</v>
      </c>
      <c r="AF192" s="88" t="s">
        <v>1277</v>
      </c>
      <c r="AG192" s="88" t="s">
        <v>2283</v>
      </c>
      <c r="AH192" s="88"/>
      <c r="AI192" s="224"/>
      <c r="AJ192" s="225">
        <v>4</v>
      </c>
      <c r="AK192" s="224" t="s">
        <v>2094</v>
      </c>
      <c r="AL192" s="224" t="s">
        <v>2323</v>
      </c>
      <c r="AM192" s="224" t="s">
        <v>2087</v>
      </c>
      <c r="AN192" s="224"/>
    </row>
    <row r="193" spans="1:40" s="86" customFormat="1" ht="59.25" customHeight="1">
      <c r="A193" s="402">
        <v>207509</v>
      </c>
      <c r="B193" s="89" t="s">
        <v>382</v>
      </c>
      <c r="C193" s="89" t="s">
        <v>383</v>
      </c>
      <c r="D193" s="88">
        <v>1752</v>
      </c>
      <c r="E193" s="88" t="s">
        <v>4457</v>
      </c>
      <c r="F193" s="88" t="s">
        <v>66</v>
      </c>
      <c r="G193" s="88" t="s">
        <v>907</v>
      </c>
      <c r="H193" s="88" t="s">
        <v>591</v>
      </c>
      <c r="I193" s="88" t="s">
        <v>40</v>
      </c>
      <c r="J193" s="89" t="s">
        <v>5283</v>
      </c>
      <c r="K193" s="103" t="s">
        <v>1233</v>
      </c>
      <c r="L193" s="403" t="s">
        <v>26</v>
      </c>
      <c r="M193" s="199">
        <v>45230</v>
      </c>
      <c r="N193" s="105">
        <v>44316</v>
      </c>
      <c r="O193" s="105"/>
      <c r="P193" s="203" t="s">
        <v>5563</v>
      </c>
      <c r="Q193" s="203" t="s">
        <v>1732</v>
      </c>
      <c r="R193" s="203" t="s">
        <v>1971</v>
      </c>
      <c r="S193" s="203"/>
      <c r="T193" s="87" t="s">
        <v>5779</v>
      </c>
      <c r="U193" s="87" t="s">
        <v>1578</v>
      </c>
      <c r="V193" s="87"/>
      <c r="W193" s="88" t="s">
        <v>1568</v>
      </c>
      <c r="X193" s="249" t="s">
        <v>5328</v>
      </c>
      <c r="Y193" s="88"/>
      <c r="Z193" s="250"/>
      <c r="AA193" s="87" t="s">
        <v>2141</v>
      </c>
      <c r="AB193" s="250" t="s">
        <v>2072</v>
      </c>
      <c r="AC193" s="250"/>
      <c r="AD193" s="250"/>
      <c r="AE193" s="87"/>
      <c r="AF193" s="88" t="s">
        <v>5283</v>
      </c>
      <c r="AG193" s="88" t="s">
        <v>2073</v>
      </c>
      <c r="AH193" s="88" t="s">
        <v>2074</v>
      </c>
      <c r="AI193" s="224"/>
      <c r="AJ193" s="225">
        <v>2</v>
      </c>
      <c r="AK193" s="224" t="s">
        <v>2076</v>
      </c>
      <c r="AL193" s="224" t="s">
        <v>2496</v>
      </c>
      <c r="AM193" s="224" t="s">
        <v>2099</v>
      </c>
      <c r="AN193" s="224" t="s">
        <v>2142</v>
      </c>
    </row>
    <row r="194" spans="1:40" s="86" customFormat="1" ht="59.25" customHeight="1">
      <c r="A194" s="402">
        <v>209435</v>
      </c>
      <c r="B194" s="89" t="s">
        <v>384</v>
      </c>
      <c r="C194" s="89" t="s">
        <v>385</v>
      </c>
      <c r="D194" s="88">
        <v>91605</v>
      </c>
      <c r="E194" s="88" t="s">
        <v>386</v>
      </c>
      <c r="F194" s="88" t="s">
        <v>51</v>
      </c>
      <c r="G194" s="88">
        <v>79318</v>
      </c>
      <c r="H194" s="88" t="s">
        <v>591</v>
      </c>
      <c r="I194" s="88" t="s">
        <v>40</v>
      </c>
      <c r="J194" s="89" t="s">
        <v>5283</v>
      </c>
      <c r="K194" s="103" t="s">
        <v>1233</v>
      </c>
      <c r="L194" s="403" t="s">
        <v>26</v>
      </c>
      <c r="M194" s="199">
        <v>45230</v>
      </c>
      <c r="N194" s="105">
        <v>44316</v>
      </c>
      <c r="O194" s="105"/>
      <c r="P194" s="203" t="s">
        <v>6043</v>
      </c>
      <c r="Q194" s="203" t="s">
        <v>1733</v>
      </c>
      <c r="R194" s="203"/>
      <c r="S194" s="203"/>
      <c r="T194" s="87" t="s">
        <v>5780</v>
      </c>
      <c r="U194" s="87" t="s">
        <v>1568</v>
      </c>
      <c r="V194" s="87"/>
      <c r="W194" s="88" t="s">
        <v>1568</v>
      </c>
      <c r="X194" s="249" t="s">
        <v>5314</v>
      </c>
      <c r="Y194" s="88"/>
      <c r="Z194" s="250"/>
      <c r="AA194" s="87" t="s">
        <v>2141</v>
      </c>
      <c r="AB194" s="250" t="s">
        <v>2072</v>
      </c>
      <c r="AC194" s="250"/>
      <c r="AD194" s="250"/>
      <c r="AE194" s="87"/>
      <c r="AF194" s="88" t="s">
        <v>5283</v>
      </c>
      <c r="AG194" s="88" t="s">
        <v>2073</v>
      </c>
      <c r="AH194" s="88" t="s">
        <v>2074</v>
      </c>
      <c r="AI194" s="224"/>
      <c r="AJ194" s="225">
        <v>2</v>
      </c>
      <c r="AK194" s="224" t="s">
        <v>2076</v>
      </c>
      <c r="AL194" s="224" t="s">
        <v>2496</v>
      </c>
      <c r="AM194" s="224" t="s">
        <v>2099</v>
      </c>
      <c r="AN194" s="224" t="s">
        <v>2142</v>
      </c>
    </row>
    <row r="195" spans="1:40" s="86" customFormat="1" ht="59.25" customHeight="1">
      <c r="A195" s="402">
        <v>217495</v>
      </c>
      <c r="B195" s="89" t="s">
        <v>600</v>
      </c>
      <c r="C195" s="89" t="s">
        <v>387</v>
      </c>
      <c r="D195" s="88" t="s">
        <v>388</v>
      </c>
      <c r="E195" s="88" t="s">
        <v>601</v>
      </c>
      <c r="F195" s="88" t="s">
        <v>45</v>
      </c>
      <c r="G195" s="88" t="s">
        <v>908</v>
      </c>
      <c r="H195" s="88" t="s">
        <v>591</v>
      </c>
      <c r="I195" s="88" t="s">
        <v>40</v>
      </c>
      <c r="J195" s="89" t="s">
        <v>5279</v>
      </c>
      <c r="K195" s="103" t="s">
        <v>1402</v>
      </c>
      <c r="L195" s="403" t="s">
        <v>26</v>
      </c>
      <c r="M195" s="199">
        <v>45291</v>
      </c>
      <c r="N195" s="105">
        <v>44547</v>
      </c>
      <c r="O195" s="105"/>
      <c r="P195" s="203" t="s">
        <v>6044</v>
      </c>
      <c r="Q195" s="203" t="s">
        <v>1734</v>
      </c>
      <c r="R195" s="203" t="s">
        <v>1972</v>
      </c>
      <c r="S195" s="203"/>
      <c r="T195" s="87" t="s">
        <v>5781</v>
      </c>
      <c r="U195" s="87" t="s">
        <v>1569</v>
      </c>
      <c r="V195" s="87"/>
      <c r="W195" s="88" t="s">
        <v>1568</v>
      </c>
      <c r="X195" s="249" t="s">
        <v>3821</v>
      </c>
      <c r="Y195" s="88"/>
      <c r="Z195" s="250"/>
      <c r="AA195" s="87" t="s">
        <v>2100</v>
      </c>
      <c r="AB195" s="250" t="s">
        <v>2072</v>
      </c>
      <c r="AC195" s="250"/>
      <c r="AD195" s="250"/>
      <c r="AE195" s="87"/>
      <c r="AF195" s="88" t="s">
        <v>5279</v>
      </c>
      <c r="AG195" s="88" t="s">
        <v>2073</v>
      </c>
      <c r="AH195" s="88" t="s">
        <v>2074</v>
      </c>
      <c r="AI195" s="224" t="s">
        <v>2075</v>
      </c>
      <c r="AJ195" s="225">
        <v>2</v>
      </c>
      <c r="AK195" s="224" t="s">
        <v>2076</v>
      </c>
      <c r="AL195" s="224" t="s">
        <v>2101</v>
      </c>
      <c r="AM195" s="224" t="s">
        <v>2099</v>
      </c>
      <c r="AN195" s="224"/>
    </row>
    <row r="196" spans="1:40" s="86" customFormat="1" ht="59.25" customHeight="1">
      <c r="A196" s="402">
        <v>217647</v>
      </c>
      <c r="B196" s="89" t="s">
        <v>909</v>
      </c>
      <c r="C196" s="89" t="s">
        <v>1258</v>
      </c>
      <c r="D196" s="88">
        <v>31700</v>
      </c>
      <c r="E196" s="88" t="s">
        <v>68</v>
      </c>
      <c r="F196" s="88" t="s">
        <v>47</v>
      </c>
      <c r="G196" s="88" t="s">
        <v>910</v>
      </c>
      <c r="H196" s="88" t="s">
        <v>591</v>
      </c>
      <c r="I196" s="88" t="s">
        <v>43</v>
      </c>
      <c r="J196" s="89" t="s">
        <v>1336</v>
      </c>
      <c r="K196" s="103" t="s">
        <v>1402</v>
      </c>
      <c r="L196" s="403" t="s">
        <v>26</v>
      </c>
      <c r="M196" s="199">
        <v>44957</v>
      </c>
      <c r="N196" s="105">
        <v>44225</v>
      </c>
      <c r="O196" s="105"/>
      <c r="P196" s="203" t="s">
        <v>4855</v>
      </c>
      <c r="Q196" s="203" t="s">
        <v>1735</v>
      </c>
      <c r="R196" s="203" t="s">
        <v>1973</v>
      </c>
      <c r="S196" s="203" t="s">
        <v>4856</v>
      </c>
      <c r="T196" s="87" t="s">
        <v>4581</v>
      </c>
      <c r="U196" s="87" t="s">
        <v>1568</v>
      </c>
      <c r="V196" s="87"/>
      <c r="W196" s="88" t="s">
        <v>1568</v>
      </c>
      <c r="X196" s="249" t="s">
        <v>5498</v>
      </c>
      <c r="Y196" s="88"/>
      <c r="Z196" s="250"/>
      <c r="AA196" s="87" t="s">
        <v>2324</v>
      </c>
      <c r="AB196" s="250" t="s">
        <v>2090</v>
      </c>
      <c r="AC196" s="250"/>
      <c r="AD196" s="250"/>
      <c r="AE196" s="87"/>
      <c r="AF196" s="88" t="s">
        <v>1336</v>
      </c>
      <c r="AG196" s="88" t="s">
        <v>2269</v>
      </c>
      <c r="AH196" s="88"/>
      <c r="AI196" s="224" t="s">
        <v>2194</v>
      </c>
      <c r="AJ196" s="225">
        <v>3</v>
      </c>
      <c r="AK196" s="224" t="s">
        <v>2107</v>
      </c>
      <c r="AL196" s="224" t="s">
        <v>2325</v>
      </c>
      <c r="AM196" s="224" t="s">
        <v>2326</v>
      </c>
      <c r="AN196" s="224"/>
    </row>
    <row r="197" spans="1:40" s="86" customFormat="1" ht="59.25" customHeight="1">
      <c r="A197" s="402">
        <v>217647</v>
      </c>
      <c r="B197" s="89" t="s">
        <v>909</v>
      </c>
      <c r="C197" s="89" t="s">
        <v>1258</v>
      </c>
      <c r="D197" s="88">
        <v>31700</v>
      </c>
      <c r="E197" s="88" t="s">
        <v>68</v>
      </c>
      <c r="F197" s="88" t="s">
        <v>47</v>
      </c>
      <c r="G197" s="88" t="s">
        <v>910</v>
      </c>
      <c r="H197" s="88" t="s">
        <v>591</v>
      </c>
      <c r="I197" s="88" t="s">
        <v>1100</v>
      </c>
      <c r="J197" s="89" t="s">
        <v>1336</v>
      </c>
      <c r="K197" s="103" t="s">
        <v>1402</v>
      </c>
      <c r="L197" s="403" t="s">
        <v>26</v>
      </c>
      <c r="M197" s="199">
        <v>44957</v>
      </c>
      <c r="N197" s="105">
        <v>44225</v>
      </c>
      <c r="O197" s="105"/>
      <c r="P197" s="203" t="s">
        <v>4855</v>
      </c>
      <c r="Q197" s="203" t="s">
        <v>1735</v>
      </c>
      <c r="R197" s="203" t="s">
        <v>1973</v>
      </c>
      <c r="S197" s="203" t="s">
        <v>4856</v>
      </c>
      <c r="T197" s="87" t="s">
        <v>4581</v>
      </c>
      <c r="U197" s="87" t="s">
        <v>1568</v>
      </c>
      <c r="V197" s="87"/>
      <c r="W197" s="88" t="s">
        <v>1568</v>
      </c>
      <c r="X197" s="249" t="s">
        <v>5498</v>
      </c>
      <c r="Y197" s="88"/>
      <c r="Z197" s="250"/>
      <c r="AA197" s="87" t="s">
        <v>909</v>
      </c>
      <c r="AB197" s="250" t="s">
        <v>2120</v>
      </c>
      <c r="AC197" s="250"/>
      <c r="AD197" s="250"/>
      <c r="AE197" s="87"/>
      <c r="AF197" s="88" t="s">
        <v>1336</v>
      </c>
      <c r="AG197" s="88" t="s">
        <v>2120</v>
      </c>
      <c r="AH197" s="88"/>
      <c r="AI197" s="224"/>
      <c r="AJ197" s="225">
        <v>1</v>
      </c>
      <c r="AK197" s="224" t="s">
        <v>2107</v>
      </c>
      <c r="AL197" s="224" t="s">
        <v>2327</v>
      </c>
      <c r="AM197" s="224" t="s">
        <v>2213</v>
      </c>
      <c r="AN197" s="224" t="s">
        <v>2328</v>
      </c>
    </row>
    <row r="198" spans="1:40" s="86" customFormat="1" ht="59.25" customHeight="1">
      <c r="A198" s="402">
        <v>217647</v>
      </c>
      <c r="B198" s="89" t="s">
        <v>909</v>
      </c>
      <c r="C198" s="89" t="s">
        <v>1258</v>
      </c>
      <c r="D198" s="88">
        <v>31700</v>
      </c>
      <c r="E198" s="88" t="s">
        <v>68</v>
      </c>
      <c r="F198" s="88" t="s">
        <v>47</v>
      </c>
      <c r="G198" s="88" t="s">
        <v>910</v>
      </c>
      <c r="H198" s="88" t="s">
        <v>591</v>
      </c>
      <c r="I198" s="88" t="s">
        <v>685</v>
      </c>
      <c r="J198" s="89" t="s">
        <v>1336</v>
      </c>
      <c r="K198" s="103" t="s">
        <v>1402</v>
      </c>
      <c r="L198" s="403" t="s">
        <v>26</v>
      </c>
      <c r="M198" s="199">
        <v>44957</v>
      </c>
      <c r="N198" s="105">
        <v>44225</v>
      </c>
      <c r="O198" s="105"/>
      <c r="P198" s="203" t="s">
        <v>4855</v>
      </c>
      <c r="Q198" s="203" t="s">
        <v>1735</v>
      </c>
      <c r="R198" s="203" t="s">
        <v>1973</v>
      </c>
      <c r="S198" s="203" t="s">
        <v>4856</v>
      </c>
      <c r="T198" s="87" t="s">
        <v>4581</v>
      </c>
      <c r="U198" s="87" t="s">
        <v>1568</v>
      </c>
      <c r="V198" s="87"/>
      <c r="W198" s="88" t="s">
        <v>1568</v>
      </c>
      <c r="X198" s="249" t="s">
        <v>5498</v>
      </c>
      <c r="Y198" s="88"/>
      <c r="Z198" s="250"/>
      <c r="AA198" s="87" t="s">
        <v>909</v>
      </c>
      <c r="AB198" s="250" t="s">
        <v>2120</v>
      </c>
      <c r="AC198" s="250" t="s">
        <v>2329</v>
      </c>
      <c r="AD198" s="250"/>
      <c r="AE198" s="87"/>
      <c r="AF198" s="88" t="s">
        <v>1336</v>
      </c>
      <c r="AG198" s="88" t="s">
        <v>2120</v>
      </c>
      <c r="AH198" s="88"/>
      <c r="AI198" s="224" t="s">
        <v>2125</v>
      </c>
      <c r="AJ198" s="225">
        <v>1</v>
      </c>
      <c r="AK198" s="224" t="s">
        <v>2107</v>
      </c>
      <c r="AL198" s="224" t="s">
        <v>2330</v>
      </c>
      <c r="AM198" s="224" t="s">
        <v>2152</v>
      </c>
      <c r="AN198" s="224" t="s">
        <v>2331</v>
      </c>
    </row>
    <row r="199" spans="1:40" s="86" customFormat="1" ht="59.25" customHeight="1">
      <c r="A199" s="402">
        <v>217725</v>
      </c>
      <c r="B199" s="89" t="s">
        <v>389</v>
      </c>
      <c r="C199" s="89" t="s">
        <v>390</v>
      </c>
      <c r="D199" s="88" t="s">
        <v>391</v>
      </c>
      <c r="E199" s="88" t="s">
        <v>226</v>
      </c>
      <c r="F199" s="88" t="s">
        <v>45</v>
      </c>
      <c r="G199" s="88" t="s">
        <v>911</v>
      </c>
      <c r="H199" s="88" t="s">
        <v>591</v>
      </c>
      <c r="I199" s="88" t="s">
        <v>40</v>
      </c>
      <c r="J199" s="89" t="s">
        <v>5282</v>
      </c>
      <c r="K199" s="103" t="s">
        <v>1233</v>
      </c>
      <c r="L199" s="403" t="s">
        <v>26</v>
      </c>
      <c r="M199" s="199">
        <v>45412</v>
      </c>
      <c r="N199" s="105">
        <v>44672</v>
      </c>
      <c r="O199" s="105"/>
      <c r="P199" s="203" t="s">
        <v>5564</v>
      </c>
      <c r="Q199" s="203" t="s">
        <v>4448</v>
      </c>
      <c r="R199" s="203" t="s">
        <v>1974</v>
      </c>
      <c r="S199" s="203"/>
      <c r="T199" s="87" t="s">
        <v>5782</v>
      </c>
      <c r="U199" s="87" t="s">
        <v>1569</v>
      </c>
      <c r="V199" s="87"/>
      <c r="W199" s="88" t="s">
        <v>1568</v>
      </c>
      <c r="X199" s="249" t="s">
        <v>3823</v>
      </c>
      <c r="Y199" s="88"/>
      <c r="Z199" s="250"/>
      <c r="AA199" s="87" t="s">
        <v>2171</v>
      </c>
      <c r="AB199" s="250" t="s">
        <v>2072</v>
      </c>
      <c r="AC199" s="250"/>
      <c r="AD199" s="250"/>
      <c r="AE199" s="87"/>
      <c r="AF199" s="88" t="s">
        <v>5282</v>
      </c>
      <c r="AG199" s="88" t="s">
        <v>2073</v>
      </c>
      <c r="AH199" s="88" t="s">
        <v>2093</v>
      </c>
      <c r="AI199" s="224"/>
      <c r="AJ199" s="225">
        <v>2</v>
      </c>
      <c r="AK199" s="224" t="s">
        <v>2076</v>
      </c>
      <c r="AL199" s="224" t="s">
        <v>2172</v>
      </c>
      <c r="AM199" s="224" t="s">
        <v>2077</v>
      </c>
      <c r="AN199" s="224"/>
    </row>
    <row r="200" spans="1:40" s="86" customFormat="1" ht="59.25" customHeight="1">
      <c r="A200" s="402">
        <v>217762</v>
      </c>
      <c r="B200" s="89" t="s">
        <v>738</v>
      </c>
      <c r="C200" s="89" t="s">
        <v>739</v>
      </c>
      <c r="D200" s="88">
        <v>98034</v>
      </c>
      <c r="E200" s="88" t="s">
        <v>740</v>
      </c>
      <c r="F200" s="88" t="s">
        <v>51</v>
      </c>
      <c r="G200" s="88" t="s">
        <v>912</v>
      </c>
      <c r="H200" s="88" t="s">
        <v>591</v>
      </c>
      <c r="I200" s="88" t="s">
        <v>40</v>
      </c>
      <c r="J200" s="89" t="s">
        <v>4608</v>
      </c>
      <c r="K200" s="103" t="s">
        <v>5218</v>
      </c>
      <c r="L200" s="403" t="s">
        <v>26</v>
      </c>
      <c r="M200" s="199">
        <v>45777</v>
      </c>
      <c r="N200" s="105">
        <v>44699</v>
      </c>
      <c r="O200" s="105"/>
      <c r="P200" s="203" t="s">
        <v>6045</v>
      </c>
      <c r="Q200" s="203" t="s">
        <v>5472</v>
      </c>
      <c r="R200" s="203" t="s">
        <v>1975</v>
      </c>
      <c r="S200" s="203"/>
      <c r="T200" s="87" t="s">
        <v>5783</v>
      </c>
      <c r="U200" s="87" t="s">
        <v>1568</v>
      </c>
      <c r="V200" s="87"/>
      <c r="W200" s="88" t="s">
        <v>1568</v>
      </c>
      <c r="X200" s="249" t="s">
        <v>3825</v>
      </c>
      <c r="Y200" s="88"/>
      <c r="Z200" s="250"/>
      <c r="AA200" s="87" t="s">
        <v>2260</v>
      </c>
      <c r="AB200" s="250" t="s">
        <v>2072</v>
      </c>
      <c r="AC200" s="250"/>
      <c r="AD200" s="250"/>
      <c r="AE200" s="87"/>
      <c r="AF200" s="88" t="s">
        <v>4608</v>
      </c>
      <c r="AG200" s="88" t="s">
        <v>2073</v>
      </c>
      <c r="AH200" s="88"/>
      <c r="AI200" s="224"/>
      <c r="AJ200" s="225">
        <v>4</v>
      </c>
      <c r="AK200" s="224" t="s">
        <v>2085</v>
      </c>
      <c r="AL200" s="224" t="s">
        <v>2261</v>
      </c>
      <c r="AM200" s="224"/>
      <c r="AN200" s="224"/>
    </row>
    <row r="201" spans="1:40" s="86" customFormat="1" ht="59.25" customHeight="1">
      <c r="A201" s="402">
        <v>217815</v>
      </c>
      <c r="B201" s="89" t="s">
        <v>670</v>
      </c>
      <c r="C201" s="89" t="s">
        <v>671</v>
      </c>
      <c r="D201" s="88">
        <v>82205</v>
      </c>
      <c r="E201" s="88" t="s">
        <v>88</v>
      </c>
      <c r="F201" s="88" t="s">
        <v>55</v>
      </c>
      <c r="G201" s="88" t="s">
        <v>913</v>
      </c>
      <c r="H201" s="88" t="s">
        <v>591</v>
      </c>
      <c r="I201" s="88" t="s">
        <v>40</v>
      </c>
      <c r="J201" s="89" t="s">
        <v>1510</v>
      </c>
      <c r="K201" s="103" t="s">
        <v>1402</v>
      </c>
      <c r="L201" s="403" t="s">
        <v>26</v>
      </c>
      <c r="M201" s="199">
        <v>45260</v>
      </c>
      <c r="N201" s="105">
        <v>44158</v>
      </c>
      <c r="O201" s="105"/>
      <c r="P201" s="203" t="s">
        <v>1428</v>
      </c>
      <c r="Q201" s="203" t="s">
        <v>1736</v>
      </c>
      <c r="R201" s="203" t="s">
        <v>1976</v>
      </c>
      <c r="S201" s="203"/>
      <c r="T201" s="87" t="s">
        <v>4764</v>
      </c>
      <c r="U201" s="87" t="s">
        <v>1568</v>
      </c>
      <c r="V201" s="87"/>
      <c r="W201" s="88" t="s">
        <v>1568</v>
      </c>
      <c r="X201" s="249" t="s">
        <v>3827</v>
      </c>
      <c r="Y201" s="88"/>
      <c r="Z201" s="250"/>
      <c r="AA201" s="87" t="s">
        <v>670</v>
      </c>
      <c r="AB201" s="250" t="s">
        <v>2072</v>
      </c>
      <c r="AC201" s="250"/>
      <c r="AD201" s="250"/>
      <c r="AE201" s="87"/>
      <c r="AF201" s="88" t="s">
        <v>1510</v>
      </c>
      <c r="AG201" s="88" t="s">
        <v>2143</v>
      </c>
      <c r="AH201" s="88" t="s">
        <v>2137</v>
      </c>
      <c r="AI201" s="224"/>
      <c r="AJ201" s="225">
        <v>3</v>
      </c>
      <c r="AK201" s="224" t="s">
        <v>2144</v>
      </c>
      <c r="AL201" s="224" t="s">
        <v>2332</v>
      </c>
      <c r="AM201" s="224" t="s">
        <v>2186</v>
      </c>
      <c r="AN201" s="224"/>
    </row>
    <row r="202" spans="1:40" s="86" customFormat="1" ht="59.25" customHeight="1">
      <c r="A202" s="402">
        <v>219523</v>
      </c>
      <c r="B202" s="89" t="s">
        <v>1067</v>
      </c>
      <c r="C202" s="89" t="s">
        <v>392</v>
      </c>
      <c r="D202" s="88" t="s">
        <v>393</v>
      </c>
      <c r="E202" s="88" t="s">
        <v>394</v>
      </c>
      <c r="F202" s="88" t="s">
        <v>45</v>
      </c>
      <c r="G202" s="88" t="s">
        <v>914</v>
      </c>
      <c r="H202" s="88" t="s">
        <v>591</v>
      </c>
      <c r="I202" s="88" t="s">
        <v>40</v>
      </c>
      <c r="J202" s="89" t="s">
        <v>1277</v>
      </c>
      <c r="K202" s="103"/>
      <c r="L202" s="403" t="s">
        <v>26</v>
      </c>
      <c r="M202" s="199">
        <v>45107</v>
      </c>
      <c r="N202" s="105">
        <v>44014</v>
      </c>
      <c r="O202" s="105"/>
      <c r="P202" s="203" t="s">
        <v>5346</v>
      </c>
      <c r="Q202" s="203" t="s">
        <v>1737</v>
      </c>
      <c r="R202" s="203" t="s">
        <v>4916</v>
      </c>
      <c r="S202" s="203"/>
      <c r="T202" s="87" t="s">
        <v>5341</v>
      </c>
      <c r="U202" s="87" t="s">
        <v>1569</v>
      </c>
      <c r="V202" s="87"/>
      <c r="W202" s="88" t="s">
        <v>1568</v>
      </c>
      <c r="X202" s="249" t="s">
        <v>4620</v>
      </c>
      <c r="Y202" s="88"/>
      <c r="Z202" s="250"/>
      <c r="AA202" s="87" t="s">
        <v>2333</v>
      </c>
      <c r="AB202" s="250" t="s">
        <v>2072</v>
      </c>
      <c r="AC202" s="250"/>
      <c r="AD202" s="250"/>
      <c r="AE202" s="87"/>
      <c r="AF202" s="88" t="s">
        <v>1277</v>
      </c>
      <c r="AG202" s="88" t="s">
        <v>2073</v>
      </c>
      <c r="AH202" s="88" t="s">
        <v>2116</v>
      </c>
      <c r="AI202" s="224"/>
      <c r="AJ202" s="225">
        <v>4</v>
      </c>
      <c r="AK202" s="224" t="s">
        <v>2133</v>
      </c>
      <c r="AL202" s="224" t="s">
        <v>2334</v>
      </c>
      <c r="AM202" s="224" t="s">
        <v>2335</v>
      </c>
      <c r="AN202" s="224"/>
    </row>
    <row r="203" spans="1:40" s="86" customFormat="1" ht="59.25" customHeight="1">
      <c r="A203" s="402">
        <v>219552</v>
      </c>
      <c r="B203" s="89" t="s">
        <v>395</v>
      </c>
      <c r="C203" s="89" t="s">
        <v>396</v>
      </c>
      <c r="D203" s="88">
        <v>90451</v>
      </c>
      <c r="E203" s="88" t="s">
        <v>397</v>
      </c>
      <c r="F203" s="88" t="s">
        <v>55</v>
      </c>
      <c r="G203" s="88" t="s">
        <v>915</v>
      </c>
      <c r="H203" s="88" t="s">
        <v>591</v>
      </c>
      <c r="I203" s="88" t="s">
        <v>40</v>
      </c>
      <c r="J203" s="89" t="s">
        <v>5278</v>
      </c>
      <c r="K203" s="103" t="s">
        <v>1233</v>
      </c>
      <c r="L203" s="403" t="s">
        <v>26</v>
      </c>
      <c r="M203" s="199">
        <v>44985</v>
      </c>
      <c r="N203" s="105">
        <v>44250</v>
      </c>
      <c r="O203" s="105"/>
      <c r="P203" s="203" t="s">
        <v>5193</v>
      </c>
      <c r="Q203" s="203" t="s">
        <v>1738</v>
      </c>
      <c r="R203" s="203" t="s">
        <v>1977</v>
      </c>
      <c r="S203" s="203"/>
      <c r="T203" s="87" t="s">
        <v>5784</v>
      </c>
      <c r="U203" s="87" t="s">
        <v>1569</v>
      </c>
      <c r="V203" s="87"/>
      <c r="W203" s="88" t="s">
        <v>1568</v>
      </c>
      <c r="X203" s="249" t="s">
        <v>3699</v>
      </c>
      <c r="Y203" s="88"/>
      <c r="Z203" s="250"/>
      <c r="AA203" s="87" t="s">
        <v>1168</v>
      </c>
      <c r="AB203" s="250" t="s">
        <v>2072</v>
      </c>
      <c r="AC203" s="250"/>
      <c r="AD203" s="250"/>
      <c r="AE203" s="87"/>
      <c r="AF203" s="88" t="s">
        <v>5278</v>
      </c>
      <c r="AG203" s="88" t="s">
        <v>2073</v>
      </c>
      <c r="AH203" s="88" t="s">
        <v>2074</v>
      </c>
      <c r="AI203" s="224" t="s">
        <v>2075</v>
      </c>
      <c r="AJ203" s="225">
        <v>2</v>
      </c>
      <c r="AK203" s="224" t="s">
        <v>2076</v>
      </c>
      <c r="AL203" s="224" t="s">
        <v>2139</v>
      </c>
      <c r="AM203" s="224" t="s">
        <v>2099</v>
      </c>
      <c r="AN203" s="224" t="s">
        <v>2140</v>
      </c>
    </row>
    <row r="204" spans="1:40" s="86" customFormat="1" ht="59.25" customHeight="1">
      <c r="A204" s="402">
        <v>220816</v>
      </c>
      <c r="B204" s="89" t="s">
        <v>398</v>
      </c>
      <c r="C204" s="89" t="s">
        <v>399</v>
      </c>
      <c r="D204" s="88">
        <v>88161</v>
      </c>
      <c r="E204" s="88" t="s">
        <v>400</v>
      </c>
      <c r="F204" s="88" t="s">
        <v>55</v>
      </c>
      <c r="G204" s="88" t="s">
        <v>401</v>
      </c>
      <c r="H204" s="88" t="s">
        <v>591</v>
      </c>
      <c r="I204" s="88" t="s">
        <v>40</v>
      </c>
      <c r="J204" s="89" t="s">
        <v>5279</v>
      </c>
      <c r="K204" s="103" t="s">
        <v>1233</v>
      </c>
      <c r="L204" s="403" t="s">
        <v>26</v>
      </c>
      <c r="M204" s="199">
        <v>45229</v>
      </c>
      <c r="N204" s="105">
        <v>44679</v>
      </c>
      <c r="O204" s="105"/>
      <c r="P204" s="203" t="s">
        <v>5565</v>
      </c>
      <c r="Q204" s="203" t="s">
        <v>1739</v>
      </c>
      <c r="R204" s="203" t="s">
        <v>1978</v>
      </c>
      <c r="S204" s="203"/>
      <c r="T204" s="87" t="s">
        <v>5785</v>
      </c>
      <c r="U204" s="87" t="s">
        <v>1569</v>
      </c>
      <c r="V204" s="87"/>
      <c r="W204" s="88" t="s">
        <v>1568</v>
      </c>
      <c r="X204" s="249" t="s">
        <v>3830</v>
      </c>
      <c r="Y204" s="88"/>
      <c r="Z204" s="250"/>
      <c r="AA204" s="87" t="s">
        <v>2161</v>
      </c>
      <c r="AB204" s="250" t="s">
        <v>2072</v>
      </c>
      <c r="AC204" s="250"/>
      <c r="AD204" s="250"/>
      <c r="AE204" s="87"/>
      <c r="AF204" s="88" t="s">
        <v>5279</v>
      </c>
      <c r="AG204" s="88" t="s">
        <v>2073</v>
      </c>
      <c r="AH204" s="88" t="s">
        <v>2074</v>
      </c>
      <c r="AI204" s="224" t="s">
        <v>2075</v>
      </c>
      <c r="AJ204" s="225">
        <v>2</v>
      </c>
      <c r="AK204" s="224" t="s">
        <v>2076</v>
      </c>
      <c r="AL204" s="224" t="s">
        <v>2162</v>
      </c>
      <c r="AM204" s="224" t="s">
        <v>2099</v>
      </c>
      <c r="AN204" s="224" t="s">
        <v>2163</v>
      </c>
    </row>
    <row r="205" spans="1:40" s="86" customFormat="1" ht="59.25" customHeight="1">
      <c r="A205" s="402">
        <v>222739</v>
      </c>
      <c r="B205" s="89" t="s">
        <v>916</v>
      </c>
      <c r="C205" s="89" t="s">
        <v>917</v>
      </c>
      <c r="D205" s="88">
        <v>38118</v>
      </c>
      <c r="E205" s="88" t="s">
        <v>918</v>
      </c>
      <c r="F205" s="88" t="s">
        <v>51</v>
      </c>
      <c r="G205" s="88" t="s">
        <v>919</v>
      </c>
      <c r="H205" s="88" t="s">
        <v>591</v>
      </c>
      <c r="I205" s="88" t="s">
        <v>1114</v>
      </c>
      <c r="J205" s="89" t="s">
        <v>4608</v>
      </c>
      <c r="K205" s="103" t="s">
        <v>1402</v>
      </c>
      <c r="L205" s="403" t="s">
        <v>26</v>
      </c>
      <c r="M205" s="199">
        <v>44864</v>
      </c>
      <c r="N205" s="105">
        <v>44386</v>
      </c>
      <c r="O205" s="105"/>
      <c r="P205" s="203"/>
      <c r="Q205" s="203"/>
      <c r="R205" s="203"/>
      <c r="S205" s="203"/>
      <c r="T205" s="87" t="s">
        <v>2026</v>
      </c>
      <c r="U205" s="87" t="s">
        <v>1576</v>
      </c>
      <c r="V205" s="87"/>
      <c r="W205" s="88" t="s">
        <v>1576</v>
      </c>
      <c r="X205" s="249" t="s">
        <v>3832</v>
      </c>
      <c r="Y205" s="88"/>
      <c r="Z205" s="250"/>
      <c r="AA205" s="87" t="s">
        <v>2336</v>
      </c>
      <c r="AB205" s="250" t="s">
        <v>2128</v>
      </c>
      <c r="AC205" s="250" t="s">
        <v>2337</v>
      </c>
      <c r="AD205" s="250"/>
      <c r="AE205" s="87"/>
      <c r="AF205" s="88" t="s">
        <v>4608</v>
      </c>
      <c r="AG205" s="88" t="s">
        <v>2128</v>
      </c>
      <c r="AH205" s="88"/>
      <c r="AI205" s="224"/>
      <c r="AJ205" s="225">
        <v>1</v>
      </c>
      <c r="AK205" s="224" t="s">
        <v>2107</v>
      </c>
      <c r="AL205" s="224" t="s">
        <v>2338</v>
      </c>
      <c r="AM205" s="224" t="s">
        <v>2339</v>
      </c>
      <c r="AN205" s="224" t="s">
        <v>2340</v>
      </c>
    </row>
    <row r="206" spans="1:40" s="86" customFormat="1" ht="59.25" customHeight="1">
      <c r="A206" s="402">
        <v>224029</v>
      </c>
      <c r="B206" s="89" t="s">
        <v>920</v>
      </c>
      <c r="C206" s="89" t="s">
        <v>921</v>
      </c>
      <c r="D206" s="88">
        <v>33487</v>
      </c>
      <c r="E206" s="88" t="s">
        <v>922</v>
      </c>
      <c r="F206" s="88" t="s">
        <v>51</v>
      </c>
      <c r="G206" s="88" t="s">
        <v>923</v>
      </c>
      <c r="H206" s="88" t="s">
        <v>591</v>
      </c>
      <c r="I206" s="88" t="s">
        <v>1114</v>
      </c>
      <c r="J206" s="89" t="s">
        <v>1288</v>
      </c>
      <c r="K206" s="103" t="s">
        <v>1402</v>
      </c>
      <c r="L206" s="403" t="s">
        <v>26</v>
      </c>
      <c r="M206" s="199">
        <v>45077</v>
      </c>
      <c r="N206" s="105">
        <v>44350</v>
      </c>
      <c r="O206" s="105"/>
      <c r="P206" s="203"/>
      <c r="Q206" s="203"/>
      <c r="R206" s="203"/>
      <c r="S206" s="203"/>
      <c r="T206" s="87" t="s">
        <v>1545</v>
      </c>
      <c r="U206" s="87" t="s">
        <v>1576</v>
      </c>
      <c r="V206" s="87"/>
      <c r="W206" s="88" t="s">
        <v>1576</v>
      </c>
      <c r="X206" s="249" t="s">
        <v>4614</v>
      </c>
      <c r="Y206" s="88"/>
      <c r="Z206" s="250"/>
      <c r="AA206" s="87" t="s">
        <v>2341</v>
      </c>
      <c r="AB206" s="250" t="s">
        <v>2128</v>
      </c>
      <c r="AC206" s="250" t="s">
        <v>2129</v>
      </c>
      <c r="AD206" s="250"/>
      <c r="AE206" s="87"/>
      <c r="AF206" s="88" t="s">
        <v>1288</v>
      </c>
      <c r="AG206" s="88" t="s">
        <v>2128</v>
      </c>
      <c r="AH206" s="88"/>
      <c r="AI206" s="224"/>
      <c r="AJ206" s="225">
        <v>1</v>
      </c>
      <c r="AK206" s="224" t="s">
        <v>2107</v>
      </c>
      <c r="AL206" s="224" t="s">
        <v>2342</v>
      </c>
      <c r="AM206" s="224" t="s">
        <v>2131</v>
      </c>
      <c r="AN206" s="224"/>
    </row>
    <row r="207" spans="1:40" s="86" customFormat="1" ht="59.25" customHeight="1">
      <c r="A207" s="402">
        <v>225159</v>
      </c>
      <c r="B207" s="89" t="s">
        <v>404</v>
      </c>
      <c r="C207" s="89" t="s">
        <v>405</v>
      </c>
      <c r="D207" s="88">
        <v>23560</v>
      </c>
      <c r="E207" s="88" t="s">
        <v>406</v>
      </c>
      <c r="F207" s="88" t="s">
        <v>55</v>
      </c>
      <c r="G207" s="88" t="s">
        <v>924</v>
      </c>
      <c r="H207" s="88" t="s">
        <v>591</v>
      </c>
      <c r="I207" s="88" t="s">
        <v>40</v>
      </c>
      <c r="J207" s="89" t="s">
        <v>5282</v>
      </c>
      <c r="K207" s="103" t="s">
        <v>1402</v>
      </c>
      <c r="L207" s="403" t="s">
        <v>26</v>
      </c>
      <c r="M207" s="199">
        <v>45382</v>
      </c>
      <c r="N207" s="105">
        <v>44651</v>
      </c>
      <c r="O207" s="105"/>
      <c r="P207" s="203" t="s">
        <v>4757</v>
      </c>
      <c r="Q207" s="203" t="s">
        <v>1741</v>
      </c>
      <c r="R207" s="203" t="s">
        <v>1979</v>
      </c>
      <c r="S207" s="203"/>
      <c r="T207" s="87" t="s">
        <v>5786</v>
      </c>
      <c r="U207" s="87" t="s">
        <v>1578</v>
      </c>
      <c r="V207" s="87"/>
      <c r="W207" s="88" t="s">
        <v>1568</v>
      </c>
      <c r="X207" s="249" t="s">
        <v>3838</v>
      </c>
      <c r="Y207" s="88"/>
      <c r="Z207" s="250"/>
      <c r="AA207" s="87" t="s">
        <v>2159</v>
      </c>
      <c r="AB207" s="250" t="s">
        <v>2072</v>
      </c>
      <c r="AC207" s="250"/>
      <c r="AD207" s="250"/>
      <c r="AE207" s="87"/>
      <c r="AF207" s="88" t="s">
        <v>5282</v>
      </c>
      <c r="AG207" s="88" t="s">
        <v>2073</v>
      </c>
      <c r="AH207" s="88" t="s">
        <v>2113</v>
      </c>
      <c r="AI207" s="224" t="s">
        <v>2075</v>
      </c>
      <c r="AJ207" s="225">
        <v>3</v>
      </c>
      <c r="AK207" s="224" t="s">
        <v>2085</v>
      </c>
      <c r="AL207" s="224" t="s">
        <v>2160</v>
      </c>
      <c r="AM207" s="224"/>
      <c r="AN207" s="224"/>
    </row>
    <row r="208" spans="1:40" s="86" customFormat="1" ht="59.25" customHeight="1">
      <c r="A208" s="402">
        <v>225190</v>
      </c>
      <c r="B208" s="89" t="s">
        <v>1253</v>
      </c>
      <c r="C208" s="89" t="s">
        <v>1254</v>
      </c>
      <c r="D208" s="88">
        <v>31024</v>
      </c>
      <c r="E208" s="88" t="s">
        <v>93</v>
      </c>
      <c r="F208" s="88" t="s">
        <v>47</v>
      </c>
      <c r="G208" s="88" t="s">
        <v>925</v>
      </c>
      <c r="H208" s="88" t="s">
        <v>591</v>
      </c>
      <c r="I208" s="88" t="s">
        <v>40</v>
      </c>
      <c r="J208" s="89" t="s">
        <v>5281</v>
      </c>
      <c r="K208" s="103" t="s">
        <v>1233</v>
      </c>
      <c r="L208" s="403" t="s">
        <v>26</v>
      </c>
      <c r="M208" s="199">
        <v>45077</v>
      </c>
      <c r="N208" s="105">
        <v>44705</v>
      </c>
      <c r="O208" s="105"/>
      <c r="P208" s="203" t="s">
        <v>4941</v>
      </c>
      <c r="Q208" s="203" t="s">
        <v>4373</v>
      </c>
      <c r="R208" s="203"/>
      <c r="S208" s="203"/>
      <c r="T208" s="87" t="s">
        <v>5730</v>
      </c>
      <c r="U208" s="87" t="s">
        <v>1568</v>
      </c>
      <c r="V208" s="87"/>
      <c r="W208" s="88" t="s">
        <v>1568</v>
      </c>
      <c r="X208" s="249" t="s">
        <v>4690</v>
      </c>
      <c r="Y208" s="88"/>
      <c r="Z208" s="250"/>
      <c r="AA208" s="87" t="s">
        <v>2132</v>
      </c>
      <c r="AB208" s="250" t="s">
        <v>2072</v>
      </c>
      <c r="AC208" s="250"/>
      <c r="AD208" s="250"/>
      <c r="AE208" s="87"/>
      <c r="AF208" s="88" t="s">
        <v>5517</v>
      </c>
      <c r="AG208" s="88" t="s">
        <v>2073</v>
      </c>
      <c r="AH208" s="88" t="s">
        <v>2074</v>
      </c>
      <c r="AI208" s="224" t="s">
        <v>2075</v>
      </c>
      <c r="AJ208" s="225">
        <v>2</v>
      </c>
      <c r="AK208" s="224" t="s">
        <v>2133</v>
      </c>
      <c r="AL208" s="224" t="s">
        <v>2134</v>
      </c>
      <c r="AM208" s="224" t="s">
        <v>2099</v>
      </c>
      <c r="AN208" s="224" t="s">
        <v>2135</v>
      </c>
    </row>
    <row r="209" spans="1:40" s="86" customFormat="1" ht="59.25" customHeight="1">
      <c r="A209" s="402">
        <v>225218</v>
      </c>
      <c r="B209" s="89" t="s">
        <v>1132</v>
      </c>
      <c r="C209" s="89" t="s">
        <v>1195</v>
      </c>
      <c r="D209" s="88" t="s">
        <v>1196</v>
      </c>
      <c r="E209" s="88" t="s">
        <v>422</v>
      </c>
      <c r="F209" s="88" t="s">
        <v>51</v>
      </c>
      <c r="G209" s="88">
        <v>25583</v>
      </c>
      <c r="H209" s="88" t="s">
        <v>591</v>
      </c>
      <c r="I209" s="88" t="s">
        <v>40</v>
      </c>
      <c r="J209" s="89" t="s">
        <v>5283</v>
      </c>
      <c r="K209" s="103" t="s">
        <v>1233</v>
      </c>
      <c r="L209" s="403" t="s">
        <v>26</v>
      </c>
      <c r="M209" s="199">
        <v>45688</v>
      </c>
      <c r="N209" s="105">
        <v>44748</v>
      </c>
      <c r="O209" s="105"/>
      <c r="P209" s="203" t="s">
        <v>6046</v>
      </c>
      <c r="Q209" s="203" t="s">
        <v>5473</v>
      </c>
      <c r="R209" s="203" t="s">
        <v>1980</v>
      </c>
      <c r="S209" s="203"/>
      <c r="T209" s="87" t="s">
        <v>4270</v>
      </c>
      <c r="U209" s="87" t="s">
        <v>1583</v>
      </c>
      <c r="V209" s="87"/>
      <c r="W209" s="88" t="s">
        <v>1571</v>
      </c>
      <c r="X209" s="249" t="s">
        <v>3840</v>
      </c>
      <c r="Y209" s="88"/>
      <c r="Z209" s="250"/>
      <c r="AA209" s="87" t="s">
        <v>1132</v>
      </c>
      <c r="AB209" s="250" t="s">
        <v>2072</v>
      </c>
      <c r="AC209" s="250"/>
      <c r="AD209" s="250"/>
      <c r="AE209" s="87"/>
      <c r="AF209" s="88" t="s">
        <v>5283</v>
      </c>
      <c r="AG209" s="88" t="s">
        <v>2073</v>
      </c>
      <c r="AH209" s="88" t="s">
        <v>2116</v>
      </c>
      <c r="AI209" s="224"/>
      <c r="AJ209" s="225">
        <v>3</v>
      </c>
      <c r="AK209" s="224" t="s">
        <v>2085</v>
      </c>
      <c r="AL209" s="224" t="s">
        <v>2343</v>
      </c>
      <c r="AM209" s="224" t="s">
        <v>2087</v>
      </c>
      <c r="AN209" s="224" t="s">
        <v>2168</v>
      </c>
    </row>
    <row r="210" spans="1:40" s="86" customFormat="1" ht="59.25" customHeight="1">
      <c r="A210" s="402">
        <v>226247</v>
      </c>
      <c r="B210" s="89" t="s">
        <v>926</v>
      </c>
      <c r="C210" s="89" t="s">
        <v>408</v>
      </c>
      <c r="D210" s="88" t="s">
        <v>409</v>
      </c>
      <c r="E210" s="88" t="s">
        <v>410</v>
      </c>
      <c r="F210" s="88" t="s">
        <v>45</v>
      </c>
      <c r="G210" s="88" t="s">
        <v>927</v>
      </c>
      <c r="H210" s="88" t="s">
        <v>591</v>
      </c>
      <c r="I210" s="88" t="s">
        <v>40</v>
      </c>
      <c r="J210" s="89" t="s">
        <v>5280</v>
      </c>
      <c r="K210" s="103" t="s">
        <v>5218</v>
      </c>
      <c r="L210" s="403" t="s">
        <v>26</v>
      </c>
      <c r="M210" s="199">
        <v>45382</v>
      </c>
      <c r="N210" s="105">
        <v>44649</v>
      </c>
      <c r="O210" s="105"/>
      <c r="P210" s="203" t="s">
        <v>5366</v>
      </c>
      <c r="Q210" s="203" t="s">
        <v>1742</v>
      </c>
      <c r="R210" s="203" t="s">
        <v>1981</v>
      </c>
      <c r="S210" s="203"/>
      <c r="T210" s="87" t="s">
        <v>6075</v>
      </c>
      <c r="U210" s="87" t="s">
        <v>1574</v>
      </c>
      <c r="V210" s="87"/>
      <c r="W210" s="88" t="s">
        <v>1568</v>
      </c>
      <c r="X210" s="249" t="s">
        <v>4619</v>
      </c>
      <c r="Y210" s="88"/>
      <c r="Z210" s="250"/>
      <c r="AA210" s="87" t="s">
        <v>1468</v>
      </c>
      <c r="AB210" s="250" t="s">
        <v>2072</v>
      </c>
      <c r="AC210" s="250"/>
      <c r="AD210" s="250"/>
      <c r="AE210" s="87"/>
      <c r="AF210" s="88" t="s">
        <v>5280</v>
      </c>
      <c r="AG210" s="88" t="s">
        <v>2073</v>
      </c>
      <c r="AH210" s="88"/>
      <c r="AI210" s="224" t="s">
        <v>2075</v>
      </c>
      <c r="AJ210" s="225">
        <v>3</v>
      </c>
      <c r="AK210" s="224" t="s">
        <v>2076</v>
      </c>
      <c r="AL210" s="224" t="s">
        <v>2203</v>
      </c>
      <c r="AM210" s="224" t="s">
        <v>2099</v>
      </c>
      <c r="AN210" s="224"/>
    </row>
    <row r="211" spans="1:40" s="86" customFormat="1" ht="59.25" customHeight="1">
      <c r="A211" s="402">
        <v>226516</v>
      </c>
      <c r="B211" s="89" t="s">
        <v>745</v>
      </c>
      <c r="C211" s="89" t="s">
        <v>783</v>
      </c>
      <c r="D211" s="88">
        <v>78140</v>
      </c>
      <c r="E211" s="88" t="s">
        <v>272</v>
      </c>
      <c r="F211" s="88" t="s">
        <v>47</v>
      </c>
      <c r="G211" s="88" t="s">
        <v>411</v>
      </c>
      <c r="H211" s="88" t="s">
        <v>591</v>
      </c>
      <c r="I211" s="88" t="s">
        <v>40</v>
      </c>
      <c r="J211" s="89" t="s">
        <v>5280</v>
      </c>
      <c r="K211" s="103" t="s">
        <v>1233</v>
      </c>
      <c r="L211" s="403" t="s">
        <v>26</v>
      </c>
      <c r="M211" s="199">
        <v>45230</v>
      </c>
      <c r="N211" s="105">
        <v>44319</v>
      </c>
      <c r="O211" s="105"/>
      <c r="P211" s="203" t="s">
        <v>5003</v>
      </c>
      <c r="Q211" s="203" t="s">
        <v>1686</v>
      </c>
      <c r="R211" s="203" t="s">
        <v>1941</v>
      </c>
      <c r="S211" s="203"/>
      <c r="T211" s="87" t="s">
        <v>5787</v>
      </c>
      <c r="U211" s="87" t="s">
        <v>1568</v>
      </c>
      <c r="V211" s="87"/>
      <c r="W211" s="88" t="s">
        <v>1568</v>
      </c>
      <c r="X211" s="249" t="s">
        <v>3759</v>
      </c>
      <c r="Y211" s="88" t="s">
        <v>2034</v>
      </c>
      <c r="Z211" s="250"/>
      <c r="AA211" s="87" t="s">
        <v>743</v>
      </c>
      <c r="AB211" s="250" t="s">
        <v>2072</v>
      </c>
      <c r="AC211" s="250"/>
      <c r="AD211" s="250"/>
      <c r="AE211" s="87"/>
      <c r="AF211" s="88" t="s">
        <v>5280</v>
      </c>
      <c r="AG211" s="88" t="s">
        <v>2073</v>
      </c>
      <c r="AH211" s="88" t="s">
        <v>2074</v>
      </c>
      <c r="AI211" s="224" t="s">
        <v>2075</v>
      </c>
      <c r="AJ211" s="225">
        <v>2</v>
      </c>
      <c r="AK211" s="224" t="s">
        <v>2076</v>
      </c>
      <c r="AL211" s="224" t="s">
        <v>2096</v>
      </c>
      <c r="AM211" s="224" t="s">
        <v>2077</v>
      </c>
      <c r="AN211" s="224"/>
    </row>
    <row r="212" spans="1:40" s="86" customFormat="1" ht="59.25" customHeight="1">
      <c r="A212" s="402">
        <v>226917</v>
      </c>
      <c r="B212" s="89" t="s">
        <v>412</v>
      </c>
      <c r="C212" s="89" t="s">
        <v>413</v>
      </c>
      <c r="D212" s="88">
        <v>98052</v>
      </c>
      <c r="E212" s="88" t="s">
        <v>414</v>
      </c>
      <c r="F212" s="88" t="s">
        <v>51</v>
      </c>
      <c r="G212" s="88">
        <v>5617</v>
      </c>
      <c r="H212" s="88" t="s">
        <v>591</v>
      </c>
      <c r="I212" s="88" t="s">
        <v>40</v>
      </c>
      <c r="J212" s="89" t="s">
        <v>5450</v>
      </c>
      <c r="K212" s="103" t="s">
        <v>1233</v>
      </c>
      <c r="L212" s="403" t="s">
        <v>26</v>
      </c>
      <c r="M212" s="199">
        <v>45077</v>
      </c>
      <c r="N212" s="105">
        <v>44705</v>
      </c>
      <c r="O212" s="105"/>
      <c r="P212" s="203" t="s">
        <v>6047</v>
      </c>
      <c r="Q212" s="203" t="s">
        <v>1743</v>
      </c>
      <c r="R212" s="203"/>
      <c r="S212" s="203"/>
      <c r="T212" s="87" t="s">
        <v>4776</v>
      </c>
      <c r="U212" s="87" t="s">
        <v>1568</v>
      </c>
      <c r="V212" s="87"/>
      <c r="W212" s="88" t="s">
        <v>1568</v>
      </c>
      <c r="X212" s="249" t="s">
        <v>3841</v>
      </c>
      <c r="Y212" s="88"/>
      <c r="Z212" s="250" t="s">
        <v>2040</v>
      </c>
      <c r="AA212" s="87" t="s">
        <v>2132</v>
      </c>
      <c r="AB212" s="250" t="s">
        <v>2079</v>
      </c>
      <c r="AC212" s="250" t="s">
        <v>2344</v>
      </c>
      <c r="AD212" s="250"/>
      <c r="AE212" s="87" t="s">
        <v>2040</v>
      </c>
      <c r="AF212" s="88" t="s">
        <v>5517</v>
      </c>
      <c r="AG212" s="88" t="s">
        <v>2073</v>
      </c>
      <c r="AH212" s="88" t="s">
        <v>2074</v>
      </c>
      <c r="AI212" s="224" t="s">
        <v>2075</v>
      </c>
      <c r="AJ212" s="225">
        <v>2</v>
      </c>
      <c r="AK212" s="224" t="s">
        <v>2133</v>
      </c>
      <c r="AL212" s="224" t="s">
        <v>2134</v>
      </c>
      <c r="AM212" s="224" t="s">
        <v>2099</v>
      </c>
      <c r="AN212" s="224" t="s">
        <v>2135</v>
      </c>
    </row>
    <row r="213" spans="1:40" s="86" customFormat="1" ht="59.25" customHeight="1">
      <c r="A213" s="402">
        <v>226961</v>
      </c>
      <c r="B213" s="89" t="s">
        <v>4807</v>
      </c>
      <c r="C213" s="89" t="s">
        <v>4756</v>
      </c>
      <c r="D213" s="88">
        <v>44475</v>
      </c>
      <c r="E213" s="88" t="s">
        <v>4808</v>
      </c>
      <c r="F213" s="88" t="s">
        <v>47</v>
      </c>
      <c r="G213" s="88" t="s">
        <v>4809</v>
      </c>
      <c r="H213" s="88" t="s">
        <v>591</v>
      </c>
      <c r="I213" s="88" t="s">
        <v>42</v>
      </c>
      <c r="J213" s="89" t="s">
        <v>1510</v>
      </c>
      <c r="K213" s="103" t="s">
        <v>5218</v>
      </c>
      <c r="L213" s="403" t="s">
        <v>26</v>
      </c>
      <c r="M213" s="199">
        <v>45412</v>
      </c>
      <c r="N213" s="105">
        <v>44504</v>
      </c>
      <c r="O213" s="105"/>
      <c r="P213" s="203" t="s">
        <v>4812</v>
      </c>
      <c r="Q213" s="203"/>
      <c r="R213" s="203" t="s">
        <v>4814</v>
      </c>
      <c r="S213" s="203"/>
      <c r="T213" s="87" t="s">
        <v>4817</v>
      </c>
      <c r="U213" s="87" t="s">
        <v>1581</v>
      </c>
      <c r="V213" s="87"/>
      <c r="W213" s="88" t="s">
        <v>1581</v>
      </c>
      <c r="X213" s="249"/>
      <c r="Y213" s="88"/>
      <c r="Z213" s="250"/>
      <c r="AA213" s="87" t="s">
        <v>4860</v>
      </c>
      <c r="AB213" s="250" t="s">
        <v>4861</v>
      </c>
      <c r="AC213" s="250"/>
      <c r="AD213" s="250"/>
      <c r="AE213" s="87"/>
      <c r="AF213" s="88" t="s">
        <v>1510</v>
      </c>
      <c r="AG213" s="88" t="s">
        <v>4861</v>
      </c>
      <c r="AH213" s="88"/>
      <c r="AI213" s="224"/>
      <c r="AJ213" s="225" t="s">
        <v>2168</v>
      </c>
      <c r="AK213" s="224"/>
      <c r="AL213" s="224"/>
      <c r="AM213" s="224"/>
      <c r="AN213" s="224"/>
    </row>
    <row r="214" spans="1:40" s="86" customFormat="1" ht="59.25" customHeight="1">
      <c r="A214" s="402">
        <v>227939</v>
      </c>
      <c r="B214" s="89" t="s">
        <v>415</v>
      </c>
      <c r="C214" s="89" t="s">
        <v>5451</v>
      </c>
      <c r="D214" s="88" t="s">
        <v>416</v>
      </c>
      <c r="E214" s="88" t="s">
        <v>195</v>
      </c>
      <c r="F214" s="88" t="s">
        <v>51</v>
      </c>
      <c r="G214" s="88" t="s">
        <v>928</v>
      </c>
      <c r="H214" s="88" t="s">
        <v>591</v>
      </c>
      <c r="I214" s="88" t="s">
        <v>40</v>
      </c>
      <c r="J214" s="89" t="s">
        <v>5283</v>
      </c>
      <c r="K214" s="103" t="s">
        <v>1233</v>
      </c>
      <c r="L214" s="403" t="s">
        <v>26</v>
      </c>
      <c r="M214" s="199">
        <v>45412</v>
      </c>
      <c r="N214" s="105">
        <v>44315</v>
      </c>
      <c r="O214" s="105"/>
      <c r="P214" s="203" t="s">
        <v>5294</v>
      </c>
      <c r="Q214" s="203" t="s">
        <v>1744</v>
      </c>
      <c r="R214" s="203"/>
      <c r="S214" s="203"/>
      <c r="T214" s="87" t="s">
        <v>5922</v>
      </c>
      <c r="U214" s="87" t="s">
        <v>1574</v>
      </c>
      <c r="V214" s="87"/>
      <c r="W214" s="88" t="s">
        <v>1568</v>
      </c>
      <c r="X214" s="249" t="s">
        <v>3843</v>
      </c>
      <c r="Y214" s="88"/>
      <c r="Z214" s="250"/>
      <c r="AA214" s="87" t="s">
        <v>2345</v>
      </c>
      <c r="AB214" s="250" t="s">
        <v>2072</v>
      </c>
      <c r="AC214" s="250"/>
      <c r="AD214" s="250"/>
      <c r="AE214" s="87"/>
      <c r="AF214" s="88" t="s">
        <v>5283</v>
      </c>
      <c r="AG214" s="88" t="s">
        <v>2073</v>
      </c>
      <c r="AH214" s="88"/>
      <c r="AI214" s="224"/>
      <c r="AJ214" s="225">
        <v>4</v>
      </c>
      <c r="AK214" s="224" t="s">
        <v>4183</v>
      </c>
      <c r="AL214" s="224" t="s">
        <v>4184</v>
      </c>
      <c r="AM214" s="224"/>
      <c r="AN214" s="224"/>
    </row>
    <row r="215" spans="1:40" s="86" customFormat="1" ht="59.25" customHeight="1">
      <c r="A215" s="402">
        <v>228180</v>
      </c>
      <c r="B215" s="89" t="s">
        <v>622</v>
      </c>
      <c r="C215" s="89" t="s">
        <v>623</v>
      </c>
      <c r="D215" s="88">
        <v>31700</v>
      </c>
      <c r="E215" s="88" t="s">
        <v>311</v>
      </c>
      <c r="F215" s="88" t="s">
        <v>47</v>
      </c>
      <c r="G215" s="88" t="s">
        <v>929</v>
      </c>
      <c r="H215" s="88" t="s">
        <v>591</v>
      </c>
      <c r="I215" s="88" t="s">
        <v>40</v>
      </c>
      <c r="J215" s="89" t="s">
        <v>1277</v>
      </c>
      <c r="K215" s="103" t="s">
        <v>5218</v>
      </c>
      <c r="L215" s="403" t="s">
        <v>26</v>
      </c>
      <c r="M215" s="199">
        <v>45412</v>
      </c>
      <c r="N215" s="105">
        <v>44665</v>
      </c>
      <c r="O215" s="105"/>
      <c r="P215" s="203" t="s">
        <v>5566</v>
      </c>
      <c r="Q215" s="203" t="s">
        <v>1745</v>
      </c>
      <c r="R215" s="203" t="s">
        <v>1982</v>
      </c>
      <c r="S215" s="203"/>
      <c r="T215" s="87" t="s">
        <v>5788</v>
      </c>
      <c r="U215" s="87" t="s">
        <v>1578</v>
      </c>
      <c r="V215" s="87"/>
      <c r="W215" s="88" t="s">
        <v>1568</v>
      </c>
      <c r="X215" s="249" t="s">
        <v>4452</v>
      </c>
      <c r="Y215" s="88"/>
      <c r="Z215" s="250"/>
      <c r="AA215" s="87" t="s">
        <v>622</v>
      </c>
      <c r="AB215" s="250" t="s">
        <v>2072</v>
      </c>
      <c r="AC215" s="250"/>
      <c r="AD215" s="250"/>
      <c r="AE215" s="87"/>
      <c r="AF215" s="88" t="s">
        <v>1277</v>
      </c>
      <c r="AG215" s="88" t="s">
        <v>2073</v>
      </c>
      <c r="AH215" s="88" t="s">
        <v>2093</v>
      </c>
      <c r="AI215" s="224"/>
      <c r="AJ215" s="225">
        <v>3</v>
      </c>
      <c r="AK215" s="224" t="s">
        <v>2085</v>
      </c>
      <c r="AL215" s="224" t="s">
        <v>2346</v>
      </c>
      <c r="AM215" s="224"/>
      <c r="AN215" s="224"/>
    </row>
    <row r="216" spans="1:40" s="86" customFormat="1" ht="59.25" customHeight="1">
      <c r="A216" s="402">
        <v>228866</v>
      </c>
      <c r="B216" s="89" t="s">
        <v>1262</v>
      </c>
      <c r="C216" s="89" t="s">
        <v>1263</v>
      </c>
      <c r="D216" s="88">
        <v>45373</v>
      </c>
      <c r="E216" s="88" t="s">
        <v>417</v>
      </c>
      <c r="F216" s="88" t="s">
        <v>51</v>
      </c>
      <c r="G216" s="88" t="s">
        <v>1264</v>
      </c>
      <c r="H216" s="88" t="s">
        <v>591</v>
      </c>
      <c r="I216" s="88" t="s">
        <v>737</v>
      </c>
      <c r="J216" s="89" t="s">
        <v>5282</v>
      </c>
      <c r="K216" s="103" t="s">
        <v>1233</v>
      </c>
      <c r="L216" s="403" t="s">
        <v>26</v>
      </c>
      <c r="M216" s="199">
        <v>45412</v>
      </c>
      <c r="N216" s="105">
        <v>44672</v>
      </c>
      <c r="O216" s="105"/>
      <c r="P216" s="203"/>
      <c r="Q216" s="203"/>
      <c r="R216" s="203"/>
      <c r="S216" s="203"/>
      <c r="T216" s="87" t="s">
        <v>5789</v>
      </c>
      <c r="U216" s="87" t="s">
        <v>1568</v>
      </c>
      <c r="V216" s="87"/>
      <c r="W216" s="88" t="s">
        <v>1568</v>
      </c>
      <c r="X216" s="249" t="s">
        <v>3844</v>
      </c>
      <c r="Y216" s="88"/>
      <c r="Z216" s="250"/>
      <c r="AA216" s="87"/>
      <c r="AB216" s="250"/>
      <c r="AC216" s="250"/>
      <c r="AD216" s="250"/>
      <c r="AE216" s="87"/>
      <c r="AF216" s="88"/>
      <c r="AG216" s="88"/>
      <c r="AH216" s="88"/>
      <c r="AI216" s="224"/>
      <c r="AJ216" s="225"/>
      <c r="AK216" s="224"/>
      <c r="AL216" s="224"/>
      <c r="AM216" s="224"/>
      <c r="AN216" s="224"/>
    </row>
    <row r="217" spans="1:40" s="86" customFormat="1" ht="59.25" customHeight="1">
      <c r="A217" s="402">
        <v>232717</v>
      </c>
      <c r="B217" s="89" t="s">
        <v>5106</v>
      </c>
      <c r="C217" s="89" t="s">
        <v>5107</v>
      </c>
      <c r="D217" s="88">
        <v>33431</v>
      </c>
      <c r="E217" s="88" t="s">
        <v>922</v>
      </c>
      <c r="F217" s="88" t="s">
        <v>51</v>
      </c>
      <c r="G217" s="88" t="s">
        <v>5108</v>
      </c>
      <c r="H217" s="88" t="s">
        <v>591</v>
      </c>
      <c r="I217" s="88" t="s">
        <v>737</v>
      </c>
      <c r="J217" s="89" t="s">
        <v>786</v>
      </c>
      <c r="K217" s="103" t="s">
        <v>1402</v>
      </c>
      <c r="L217" s="403" t="s">
        <v>26</v>
      </c>
      <c r="M217" s="199">
        <v>45716</v>
      </c>
      <c r="N217" s="105">
        <v>44603</v>
      </c>
      <c r="O217" s="105"/>
      <c r="P217" s="203" t="s">
        <v>1070</v>
      </c>
      <c r="Q217" s="203"/>
      <c r="R217" s="203"/>
      <c r="S217" s="203"/>
      <c r="T217" s="87" t="s">
        <v>5494</v>
      </c>
      <c r="U217" s="87" t="s">
        <v>1568</v>
      </c>
      <c r="V217" s="87"/>
      <c r="W217" s="88" t="s">
        <v>1568</v>
      </c>
      <c r="X217" s="249" t="s">
        <v>5113</v>
      </c>
      <c r="Y217" s="88"/>
      <c r="Z217" s="250"/>
      <c r="AA217" s="87"/>
      <c r="AB217" s="250"/>
      <c r="AC217" s="250"/>
      <c r="AD217" s="250"/>
      <c r="AE217" s="87"/>
      <c r="AF217" s="88"/>
      <c r="AG217" s="88"/>
      <c r="AH217" s="88"/>
      <c r="AI217" s="224"/>
      <c r="AJ217" s="225"/>
      <c r="AK217" s="224"/>
      <c r="AL217" s="224"/>
      <c r="AM217" s="224"/>
      <c r="AN217" s="224"/>
    </row>
    <row r="218" spans="1:40" s="86" customFormat="1" ht="59.25" customHeight="1">
      <c r="A218" s="402">
        <v>235918</v>
      </c>
      <c r="B218" s="89" t="s">
        <v>346</v>
      </c>
      <c r="C218" s="89" t="s">
        <v>420</v>
      </c>
      <c r="D218" s="88" t="s">
        <v>421</v>
      </c>
      <c r="E218" s="88" t="s">
        <v>422</v>
      </c>
      <c r="F218" s="88" t="s">
        <v>51</v>
      </c>
      <c r="G218" s="88">
        <v>35351</v>
      </c>
      <c r="H218" s="88" t="s">
        <v>591</v>
      </c>
      <c r="I218" s="88" t="s">
        <v>40</v>
      </c>
      <c r="J218" s="89" t="s">
        <v>5280</v>
      </c>
      <c r="K218" s="103" t="s">
        <v>1233</v>
      </c>
      <c r="L218" s="403" t="s">
        <v>26</v>
      </c>
      <c r="M218" s="199">
        <v>45838</v>
      </c>
      <c r="N218" s="105">
        <v>44742</v>
      </c>
      <c r="O218" s="105"/>
      <c r="P218" s="203" t="s">
        <v>5419</v>
      </c>
      <c r="Q218" s="203" t="s">
        <v>1746</v>
      </c>
      <c r="R218" s="203"/>
      <c r="S218" s="203"/>
      <c r="T218" s="87" t="s">
        <v>5790</v>
      </c>
      <c r="U218" s="87" t="s">
        <v>1572</v>
      </c>
      <c r="V218" s="87"/>
      <c r="W218" s="88" t="s">
        <v>1571</v>
      </c>
      <c r="X218" s="249" t="s">
        <v>3849</v>
      </c>
      <c r="Y218" s="88"/>
      <c r="Z218" s="250"/>
      <c r="AA218" s="87" t="s">
        <v>346</v>
      </c>
      <c r="AB218" s="250" t="s">
        <v>2072</v>
      </c>
      <c r="AC218" s="250"/>
      <c r="AD218" s="250"/>
      <c r="AE218" s="87"/>
      <c r="AF218" s="88" t="s">
        <v>5280</v>
      </c>
      <c r="AG218" s="88" t="s">
        <v>2073</v>
      </c>
      <c r="AH218" s="88" t="s">
        <v>2074</v>
      </c>
      <c r="AI218" s="224" t="s">
        <v>2301</v>
      </c>
      <c r="AJ218" s="225">
        <v>3</v>
      </c>
      <c r="AK218" s="224" t="s">
        <v>2076</v>
      </c>
      <c r="AL218" s="224" t="s">
        <v>2307</v>
      </c>
      <c r="AM218" s="224" t="s">
        <v>2099</v>
      </c>
      <c r="AN218" s="224" t="s">
        <v>2308</v>
      </c>
    </row>
    <row r="219" spans="1:40" s="86" customFormat="1" ht="59.25" customHeight="1">
      <c r="A219" s="402">
        <v>235978</v>
      </c>
      <c r="B219" s="89" t="s">
        <v>2529</v>
      </c>
      <c r="C219" s="89" t="s">
        <v>423</v>
      </c>
      <c r="D219" s="88" t="s">
        <v>424</v>
      </c>
      <c r="E219" s="88" t="s">
        <v>425</v>
      </c>
      <c r="F219" s="88" t="s">
        <v>51</v>
      </c>
      <c r="G219" s="88">
        <v>29780</v>
      </c>
      <c r="H219" s="88" t="s">
        <v>591</v>
      </c>
      <c r="I219" s="88" t="s">
        <v>40</v>
      </c>
      <c r="J219" s="89" t="s">
        <v>5449</v>
      </c>
      <c r="K219" s="103" t="s">
        <v>1402</v>
      </c>
      <c r="L219" s="403" t="s">
        <v>26</v>
      </c>
      <c r="M219" s="199">
        <v>45350</v>
      </c>
      <c r="N219" s="105">
        <v>44434</v>
      </c>
      <c r="O219" s="105"/>
      <c r="P219" s="203" t="s">
        <v>5152</v>
      </c>
      <c r="Q219" s="203" t="s">
        <v>1747</v>
      </c>
      <c r="R219" s="203" t="s">
        <v>1983</v>
      </c>
      <c r="S219" s="203"/>
      <c r="T219" s="87" t="s">
        <v>5791</v>
      </c>
      <c r="U219" s="87" t="s">
        <v>1568</v>
      </c>
      <c r="V219" s="87" t="s">
        <v>1575</v>
      </c>
      <c r="W219" s="88" t="s">
        <v>1568</v>
      </c>
      <c r="X219" s="249" t="s">
        <v>3850</v>
      </c>
      <c r="Y219" s="88"/>
      <c r="Z219" s="250"/>
      <c r="AA219" s="87" t="s">
        <v>2097</v>
      </c>
      <c r="AB219" s="250" t="s">
        <v>2072</v>
      </c>
      <c r="AC219" s="250"/>
      <c r="AD219" s="250"/>
      <c r="AE219" s="87"/>
      <c r="AF219" s="88" t="s">
        <v>5449</v>
      </c>
      <c r="AG219" s="88" t="s">
        <v>2073</v>
      </c>
      <c r="AH219" s="88" t="s">
        <v>2074</v>
      </c>
      <c r="AI219" s="224" t="s">
        <v>2075</v>
      </c>
      <c r="AJ219" s="225">
        <v>2</v>
      </c>
      <c r="AK219" s="224" t="s">
        <v>2076</v>
      </c>
      <c r="AL219" s="224" t="s">
        <v>2098</v>
      </c>
      <c r="AM219" s="224" t="s">
        <v>2099</v>
      </c>
      <c r="AN219" s="224"/>
    </row>
    <row r="220" spans="1:40" s="86" customFormat="1" ht="59.25" customHeight="1">
      <c r="A220" s="402">
        <v>236359</v>
      </c>
      <c r="B220" s="89" t="s">
        <v>426</v>
      </c>
      <c r="C220" s="89" t="s">
        <v>427</v>
      </c>
      <c r="D220" s="88" t="s">
        <v>428</v>
      </c>
      <c r="E220" s="88" t="s">
        <v>429</v>
      </c>
      <c r="F220" s="88" t="s">
        <v>51</v>
      </c>
      <c r="G220" s="88">
        <v>6481</v>
      </c>
      <c r="H220" s="88" t="s">
        <v>591</v>
      </c>
      <c r="I220" s="88" t="s">
        <v>40</v>
      </c>
      <c r="J220" s="89" t="s">
        <v>5278</v>
      </c>
      <c r="K220" s="103" t="s">
        <v>1233</v>
      </c>
      <c r="L220" s="403" t="s">
        <v>26</v>
      </c>
      <c r="M220" s="199">
        <v>45076</v>
      </c>
      <c r="N220" s="105">
        <v>44014</v>
      </c>
      <c r="O220" s="105"/>
      <c r="P220" s="203" t="s">
        <v>6048</v>
      </c>
      <c r="Q220" s="203" t="s">
        <v>1748</v>
      </c>
      <c r="R220" s="203"/>
      <c r="S220" s="203"/>
      <c r="T220" s="87" t="s">
        <v>5220</v>
      </c>
      <c r="U220" s="87" t="s">
        <v>1568</v>
      </c>
      <c r="V220" s="87"/>
      <c r="W220" s="88" t="s">
        <v>1568</v>
      </c>
      <c r="X220" s="249" t="s">
        <v>3851</v>
      </c>
      <c r="Y220" s="88"/>
      <c r="Z220" s="250"/>
      <c r="AA220" s="87" t="s">
        <v>2244</v>
      </c>
      <c r="AB220" s="250" t="s">
        <v>2072</v>
      </c>
      <c r="AC220" s="250"/>
      <c r="AD220" s="250"/>
      <c r="AE220" s="87"/>
      <c r="AF220" s="88" t="s">
        <v>5278</v>
      </c>
      <c r="AG220" s="88" t="s">
        <v>2073</v>
      </c>
      <c r="AH220" s="88" t="s">
        <v>2113</v>
      </c>
      <c r="AI220" s="224" t="s">
        <v>2122</v>
      </c>
      <c r="AJ220" s="225">
        <v>3</v>
      </c>
      <c r="AK220" s="224" t="s">
        <v>2085</v>
      </c>
      <c r="AL220" s="224" t="s">
        <v>2245</v>
      </c>
      <c r="AM220" s="224"/>
      <c r="AN220" s="224"/>
    </row>
    <row r="221" spans="1:40" s="86" customFormat="1" ht="59.25" customHeight="1">
      <c r="A221" s="402">
        <v>239712</v>
      </c>
      <c r="B221" s="89" t="s">
        <v>4335</v>
      </c>
      <c r="C221" s="89" t="s">
        <v>4336</v>
      </c>
      <c r="D221" s="88" t="s">
        <v>4337</v>
      </c>
      <c r="E221" s="88" t="s">
        <v>4338</v>
      </c>
      <c r="F221" s="88" t="s">
        <v>45</v>
      </c>
      <c r="G221" s="88" t="s">
        <v>4339</v>
      </c>
      <c r="H221" s="88" t="s">
        <v>591</v>
      </c>
      <c r="I221" s="88" t="s">
        <v>40</v>
      </c>
      <c r="J221" s="89" t="s">
        <v>5449</v>
      </c>
      <c r="K221" s="103" t="s">
        <v>1402</v>
      </c>
      <c r="L221" s="403" t="s">
        <v>26</v>
      </c>
      <c r="M221" s="199">
        <v>45350</v>
      </c>
      <c r="N221" s="105">
        <v>44434</v>
      </c>
      <c r="O221" s="105"/>
      <c r="P221" s="203" t="s">
        <v>4910</v>
      </c>
      <c r="Q221" s="203" t="s">
        <v>4346</v>
      </c>
      <c r="R221" s="203" t="s">
        <v>4917</v>
      </c>
      <c r="S221" s="203"/>
      <c r="T221" s="87" t="s">
        <v>5792</v>
      </c>
      <c r="U221" s="87" t="s">
        <v>1569</v>
      </c>
      <c r="V221" s="87"/>
      <c r="W221" s="88" t="s">
        <v>1568</v>
      </c>
      <c r="X221" s="249" t="s">
        <v>5162</v>
      </c>
      <c r="Y221" s="88"/>
      <c r="Z221" s="250"/>
      <c r="AA221" s="87" t="s">
        <v>2097</v>
      </c>
      <c r="AB221" s="250" t="s">
        <v>2072</v>
      </c>
      <c r="AC221" s="250"/>
      <c r="AD221" s="250"/>
      <c r="AE221" s="87"/>
      <c r="AF221" s="88" t="s">
        <v>5449</v>
      </c>
      <c r="AG221" s="88" t="s">
        <v>2073</v>
      </c>
      <c r="AH221" s="88" t="s">
        <v>2074</v>
      </c>
      <c r="AI221" s="224" t="s">
        <v>2075</v>
      </c>
      <c r="AJ221" s="225">
        <v>2</v>
      </c>
      <c r="AK221" s="224" t="s">
        <v>2076</v>
      </c>
      <c r="AL221" s="224" t="s">
        <v>2098</v>
      </c>
      <c r="AM221" s="224" t="s">
        <v>2099</v>
      </c>
      <c r="AN221" s="224"/>
    </row>
    <row r="222" spans="1:40" s="86" customFormat="1" ht="59.25" customHeight="1">
      <c r="A222" s="402">
        <v>248068</v>
      </c>
      <c r="B222" s="89" t="s">
        <v>4458</v>
      </c>
      <c r="C222" s="89" t="s">
        <v>4459</v>
      </c>
      <c r="D222" s="88" t="s">
        <v>4460</v>
      </c>
      <c r="E222" s="88" t="s">
        <v>418</v>
      </c>
      <c r="F222" s="88" t="s">
        <v>45</v>
      </c>
      <c r="G222" s="88" t="s">
        <v>4461</v>
      </c>
      <c r="H222" s="88" t="s">
        <v>591</v>
      </c>
      <c r="I222" s="88" t="s">
        <v>40</v>
      </c>
      <c r="J222" s="89" t="s">
        <v>5282</v>
      </c>
      <c r="K222" s="103" t="s">
        <v>1402</v>
      </c>
      <c r="L222" s="403" t="s">
        <v>26</v>
      </c>
      <c r="M222" s="199">
        <v>45412</v>
      </c>
      <c r="N222" s="105">
        <v>44673</v>
      </c>
      <c r="O222" s="105"/>
      <c r="P222" s="203" t="s">
        <v>5567</v>
      </c>
      <c r="Q222" s="203" t="s">
        <v>4464</v>
      </c>
      <c r="R222" s="203"/>
      <c r="S222" s="203"/>
      <c r="T222" s="87" t="s">
        <v>5793</v>
      </c>
      <c r="U222" s="87" t="s">
        <v>1571</v>
      </c>
      <c r="V222" s="87"/>
      <c r="W222" s="88" t="s">
        <v>1571</v>
      </c>
      <c r="X222" s="249" t="s">
        <v>3846</v>
      </c>
      <c r="Y222" s="88"/>
      <c r="Z222" s="250"/>
      <c r="AA222" s="87" t="s">
        <v>2220</v>
      </c>
      <c r="AB222" s="250" t="s">
        <v>2072</v>
      </c>
      <c r="AC222" s="250"/>
      <c r="AD222" s="250"/>
      <c r="AE222" s="87"/>
      <c r="AF222" s="88" t="s">
        <v>5282</v>
      </c>
      <c r="AG222" s="88" t="s">
        <v>2073</v>
      </c>
      <c r="AH222" s="88" t="s">
        <v>2074</v>
      </c>
      <c r="AI222" s="224"/>
      <c r="AJ222" s="225">
        <v>2</v>
      </c>
      <c r="AK222" s="224" t="s">
        <v>2076</v>
      </c>
      <c r="AL222" s="224" t="s">
        <v>2221</v>
      </c>
      <c r="AM222" s="224" t="s">
        <v>2077</v>
      </c>
      <c r="AN222" s="224"/>
    </row>
    <row r="223" spans="1:40" s="86" customFormat="1" ht="59.25" customHeight="1">
      <c r="A223" s="402">
        <v>248123</v>
      </c>
      <c r="B223" s="89" t="s">
        <v>430</v>
      </c>
      <c r="C223" s="89" t="s">
        <v>5978</v>
      </c>
      <c r="D223" s="88" t="s">
        <v>4390</v>
      </c>
      <c r="E223" s="88" t="s">
        <v>140</v>
      </c>
      <c r="F223" s="88" t="s">
        <v>45</v>
      </c>
      <c r="G223" s="88" t="s">
        <v>930</v>
      </c>
      <c r="H223" s="88" t="s">
        <v>591</v>
      </c>
      <c r="I223" s="88" t="s">
        <v>40</v>
      </c>
      <c r="J223" s="89" t="s">
        <v>5283</v>
      </c>
      <c r="K223" s="103" t="s">
        <v>1233</v>
      </c>
      <c r="L223" s="403" t="s">
        <v>26</v>
      </c>
      <c r="M223" s="199">
        <v>45230</v>
      </c>
      <c r="N223" s="105">
        <v>44762</v>
      </c>
      <c r="O223" s="105"/>
      <c r="P223" s="203" t="s">
        <v>5260</v>
      </c>
      <c r="Q223" s="203" t="s">
        <v>4302</v>
      </c>
      <c r="R223" s="203" t="s">
        <v>1902</v>
      </c>
      <c r="S223" s="203"/>
      <c r="T223" s="87" t="s">
        <v>5794</v>
      </c>
      <c r="U223" s="87" t="s">
        <v>1572</v>
      </c>
      <c r="V223" s="87"/>
      <c r="W223" s="88" t="s">
        <v>1571</v>
      </c>
      <c r="X223" s="249"/>
      <c r="Y223" s="88"/>
      <c r="Z223" s="250"/>
      <c r="AA223" s="87" t="s">
        <v>2141</v>
      </c>
      <c r="AB223" s="250" t="s">
        <v>2072</v>
      </c>
      <c r="AC223" s="250"/>
      <c r="AD223" s="250"/>
      <c r="AE223" s="87"/>
      <c r="AF223" s="88" t="s">
        <v>5283</v>
      </c>
      <c r="AG223" s="88" t="s">
        <v>2073</v>
      </c>
      <c r="AH223" s="88" t="s">
        <v>2074</v>
      </c>
      <c r="AI223" s="224"/>
      <c r="AJ223" s="225">
        <v>2</v>
      </c>
      <c r="AK223" s="224" t="s">
        <v>2076</v>
      </c>
      <c r="AL223" s="224" t="s">
        <v>2496</v>
      </c>
      <c r="AM223" s="224" t="s">
        <v>2099</v>
      </c>
      <c r="AN223" s="224" t="s">
        <v>2142</v>
      </c>
    </row>
    <row r="224" spans="1:40" s="86" customFormat="1" ht="59.25" customHeight="1">
      <c r="A224" s="402">
        <v>249210</v>
      </c>
      <c r="B224" s="89" t="s">
        <v>764</v>
      </c>
      <c r="C224" s="89" t="s">
        <v>765</v>
      </c>
      <c r="D224" s="88"/>
      <c r="E224" s="88" t="s">
        <v>766</v>
      </c>
      <c r="F224" s="88" t="s">
        <v>526</v>
      </c>
      <c r="G224" s="88"/>
      <c r="H224" s="88" t="s">
        <v>591</v>
      </c>
      <c r="I224" s="88" t="s">
        <v>40</v>
      </c>
      <c r="J224" s="89" t="s">
        <v>1510</v>
      </c>
      <c r="K224" s="103" t="s">
        <v>1402</v>
      </c>
      <c r="L224" s="403" t="s">
        <v>26</v>
      </c>
      <c r="M224" s="199">
        <v>45350</v>
      </c>
      <c r="N224" s="105">
        <v>44424</v>
      </c>
      <c r="O224" s="105"/>
      <c r="P224" s="203" t="s">
        <v>4800</v>
      </c>
      <c r="Q224" s="203" t="s">
        <v>1749</v>
      </c>
      <c r="R224" s="203"/>
      <c r="S224" s="203"/>
      <c r="T224" s="87" t="s">
        <v>5082</v>
      </c>
      <c r="U224" s="87" t="s">
        <v>1571</v>
      </c>
      <c r="V224" s="87"/>
      <c r="W224" s="88" t="s">
        <v>1571</v>
      </c>
      <c r="X224" s="249" t="s">
        <v>3853</v>
      </c>
      <c r="Y224" s="88"/>
      <c r="Z224" s="250"/>
      <c r="AA224" s="87" t="s">
        <v>2348</v>
      </c>
      <c r="AB224" s="250" t="s">
        <v>2090</v>
      </c>
      <c r="AC224" s="250"/>
      <c r="AD224" s="250"/>
      <c r="AE224" s="87"/>
      <c r="AF224" s="88" t="s">
        <v>1510</v>
      </c>
      <c r="AG224" s="88" t="s">
        <v>2090</v>
      </c>
      <c r="AH224" s="88" t="s">
        <v>2105</v>
      </c>
      <c r="AI224" s="224"/>
      <c r="AJ224" s="225">
        <v>2</v>
      </c>
      <c r="AK224" s="224" t="s">
        <v>2085</v>
      </c>
      <c r="AL224" s="224" t="s">
        <v>2349</v>
      </c>
      <c r="AM224" s="224" t="s">
        <v>2099</v>
      </c>
      <c r="AN224" s="224" t="s">
        <v>2350</v>
      </c>
    </row>
    <row r="225" spans="1:40" s="86" customFormat="1" ht="59.25" customHeight="1">
      <c r="A225" s="402">
        <v>249853</v>
      </c>
      <c r="B225" s="89" t="s">
        <v>931</v>
      </c>
      <c r="C225" s="89" t="s">
        <v>1110</v>
      </c>
      <c r="D225" s="88">
        <v>361006</v>
      </c>
      <c r="E225" s="88" t="s">
        <v>488</v>
      </c>
      <c r="F225" s="88" t="s">
        <v>175</v>
      </c>
      <c r="G225" s="88" t="s">
        <v>1111</v>
      </c>
      <c r="H225" s="88" t="s">
        <v>591</v>
      </c>
      <c r="I225" s="88" t="s">
        <v>41</v>
      </c>
      <c r="J225" s="89" t="s">
        <v>1510</v>
      </c>
      <c r="K225" s="103" t="s">
        <v>1402</v>
      </c>
      <c r="L225" s="403" t="s">
        <v>26</v>
      </c>
      <c r="M225" s="199">
        <v>45046</v>
      </c>
      <c r="N225" s="105">
        <v>44214</v>
      </c>
      <c r="O225" s="105"/>
      <c r="P225" s="203" t="s">
        <v>5903</v>
      </c>
      <c r="Q225" s="203" t="s">
        <v>1750</v>
      </c>
      <c r="R225" s="203" t="s">
        <v>1984</v>
      </c>
      <c r="S225" s="203"/>
      <c r="T225" s="87" t="s">
        <v>5952</v>
      </c>
      <c r="U225" s="87" t="s">
        <v>1573</v>
      </c>
      <c r="V225" s="87"/>
      <c r="W225" s="88" t="s">
        <v>1571</v>
      </c>
      <c r="X225" s="249" t="s">
        <v>3855</v>
      </c>
      <c r="Y225" s="88"/>
      <c r="Z225" s="250"/>
      <c r="AA225" s="87" t="s">
        <v>2348</v>
      </c>
      <c r="AB225" s="250" t="s">
        <v>2090</v>
      </c>
      <c r="AC225" s="250"/>
      <c r="AD225" s="250"/>
      <c r="AE225" s="87"/>
      <c r="AF225" s="88" t="s">
        <v>1510</v>
      </c>
      <c r="AG225" s="88" t="s">
        <v>2104</v>
      </c>
      <c r="AH225" s="88"/>
      <c r="AI225" s="224" t="s">
        <v>2194</v>
      </c>
      <c r="AJ225" s="225">
        <v>2</v>
      </c>
      <c r="AK225" s="224" t="s">
        <v>2107</v>
      </c>
      <c r="AL225" s="224" t="s">
        <v>2351</v>
      </c>
      <c r="AM225" s="224" t="s">
        <v>2217</v>
      </c>
      <c r="AN225" s="224" t="s">
        <v>4220</v>
      </c>
    </row>
    <row r="226" spans="1:40" s="86" customFormat="1" ht="59.25" customHeight="1">
      <c r="A226" s="402">
        <v>249853</v>
      </c>
      <c r="B226" s="89" t="s">
        <v>931</v>
      </c>
      <c r="C226" s="89" t="s">
        <v>1110</v>
      </c>
      <c r="D226" s="88">
        <v>361006</v>
      </c>
      <c r="E226" s="88" t="s">
        <v>488</v>
      </c>
      <c r="F226" s="88" t="s">
        <v>175</v>
      </c>
      <c r="G226" s="88" t="s">
        <v>1111</v>
      </c>
      <c r="H226" s="88" t="s">
        <v>591</v>
      </c>
      <c r="I226" s="88" t="s">
        <v>784</v>
      </c>
      <c r="J226" s="89" t="s">
        <v>1336</v>
      </c>
      <c r="K226" s="103" t="s">
        <v>1402</v>
      </c>
      <c r="L226" s="403" t="s">
        <v>26</v>
      </c>
      <c r="M226" s="199">
        <v>45046</v>
      </c>
      <c r="N226" s="105">
        <v>44211</v>
      </c>
      <c r="O226" s="105"/>
      <c r="P226" s="203" t="s">
        <v>5903</v>
      </c>
      <c r="Q226" s="203" t="s">
        <v>1750</v>
      </c>
      <c r="R226" s="203" t="s">
        <v>1984</v>
      </c>
      <c r="S226" s="203"/>
      <c r="T226" s="87" t="s">
        <v>5952</v>
      </c>
      <c r="U226" s="87" t="s">
        <v>1577</v>
      </c>
      <c r="V226" s="87"/>
      <c r="W226" s="88" t="s">
        <v>1568</v>
      </c>
      <c r="X226" s="249" t="s">
        <v>4984</v>
      </c>
      <c r="Y226" s="88"/>
      <c r="Z226" s="250"/>
      <c r="AA226" s="87" t="s">
        <v>931</v>
      </c>
      <c r="AB226" s="250" t="s">
        <v>2229</v>
      </c>
      <c r="AC226" s="250" t="s">
        <v>2352</v>
      </c>
      <c r="AD226" s="250"/>
      <c r="AE226" s="87"/>
      <c r="AF226" s="88" t="s">
        <v>1336</v>
      </c>
      <c r="AG226" s="88" t="s">
        <v>2231</v>
      </c>
      <c r="AH226" s="88" t="s">
        <v>2105</v>
      </c>
      <c r="AI226" s="224" t="s">
        <v>2353</v>
      </c>
      <c r="AJ226" s="225">
        <v>3</v>
      </c>
      <c r="AK226" s="224" t="s">
        <v>2107</v>
      </c>
      <c r="AL226" s="224" t="s">
        <v>2354</v>
      </c>
      <c r="AM226" s="224" t="s">
        <v>2233</v>
      </c>
      <c r="AN226" s="224" t="s">
        <v>2355</v>
      </c>
    </row>
    <row r="227" spans="1:40" s="86" customFormat="1" ht="59.25" customHeight="1">
      <c r="A227" s="402">
        <v>249853</v>
      </c>
      <c r="B227" s="89" t="s">
        <v>931</v>
      </c>
      <c r="C227" s="89" t="s">
        <v>1110</v>
      </c>
      <c r="D227" s="88">
        <v>361006</v>
      </c>
      <c r="E227" s="88" t="s">
        <v>488</v>
      </c>
      <c r="F227" s="88" t="s">
        <v>175</v>
      </c>
      <c r="G227" s="88" t="s">
        <v>1111</v>
      </c>
      <c r="H227" s="88" t="s">
        <v>591</v>
      </c>
      <c r="I227" s="88" t="s">
        <v>787</v>
      </c>
      <c r="J227" s="89" t="s">
        <v>1336</v>
      </c>
      <c r="K227" s="103" t="s">
        <v>1402</v>
      </c>
      <c r="L227" s="403" t="s">
        <v>26</v>
      </c>
      <c r="M227" s="199">
        <v>45046</v>
      </c>
      <c r="N227" s="105">
        <v>44214</v>
      </c>
      <c r="O227" s="105"/>
      <c r="P227" s="203" t="s">
        <v>5903</v>
      </c>
      <c r="Q227" s="203" t="s">
        <v>1750</v>
      </c>
      <c r="R227" s="203" t="s">
        <v>1984</v>
      </c>
      <c r="S227" s="203"/>
      <c r="T227" s="87" t="s">
        <v>5952</v>
      </c>
      <c r="U227" s="87" t="s">
        <v>1573</v>
      </c>
      <c r="V227" s="87"/>
      <c r="W227" s="88" t="s">
        <v>1571</v>
      </c>
      <c r="X227" s="249" t="s">
        <v>3855</v>
      </c>
      <c r="Y227" s="88"/>
      <c r="Z227" s="250"/>
      <c r="AA227" s="87" t="s">
        <v>2356</v>
      </c>
      <c r="AB227" s="250" t="s">
        <v>2234</v>
      </c>
      <c r="AC227" s="250" t="s">
        <v>2235</v>
      </c>
      <c r="AD227" s="250"/>
      <c r="AE227" s="87"/>
      <c r="AF227" s="88" t="s">
        <v>1336</v>
      </c>
      <c r="AG227" s="88" t="s">
        <v>2104</v>
      </c>
      <c r="AH227" s="88" t="s">
        <v>2105</v>
      </c>
      <c r="AI227" s="224" t="s">
        <v>2194</v>
      </c>
      <c r="AJ227" s="225">
        <v>3</v>
      </c>
      <c r="AK227" s="224" t="s">
        <v>2107</v>
      </c>
      <c r="AL227" s="224" t="s">
        <v>2357</v>
      </c>
      <c r="AM227" s="224"/>
      <c r="AN227" s="224" t="s">
        <v>2358</v>
      </c>
    </row>
    <row r="228" spans="1:40" s="86" customFormat="1" ht="59.25" customHeight="1">
      <c r="A228" s="402">
        <v>250404</v>
      </c>
      <c r="B228" s="89" t="s">
        <v>1115</v>
      </c>
      <c r="C228" s="89" t="s">
        <v>1116</v>
      </c>
      <c r="D228" s="88">
        <v>1510</v>
      </c>
      <c r="E228" s="88" t="s">
        <v>431</v>
      </c>
      <c r="F228" s="88" t="s">
        <v>126</v>
      </c>
      <c r="G228" s="88" t="s">
        <v>932</v>
      </c>
      <c r="H228" s="88" t="s">
        <v>591</v>
      </c>
      <c r="I228" s="88" t="s">
        <v>40</v>
      </c>
      <c r="J228" s="89" t="s">
        <v>1510</v>
      </c>
      <c r="K228" s="103" t="s">
        <v>1402</v>
      </c>
      <c r="L228" s="403" t="s">
        <v>26</v>
      </c>
      <c r="M228" s="199">
        <v>45260</v>
      </c>
      <c r="N228" s="105">
        <v>44153</v>
      </c>
      <c r="O228" s="105"/>
      <c r="P228" s="203" t="s">
        <v>4233</v>
      </c>
      <c r="Q228" s="203" t="s">
        <v>1751</v>
      </c>
      <c r="R228" s="203" t="s">
        <v>1985</v>
      </c>
      <c r="S228" s="203"/>
      <c r="T228" s="87" t="s">
        <v>5795</v>
      </c>
      <c r="U228" s="87" t="s">
        <v>1572</v>
      </c>
      <c r="V228" s="87"/>
      <c r="W228" s="88" t="s">
        <v>1571</v>
      </c>
      <c r="X228" s="249" t="s">
        <v>3857</v>
      </c>
      <c r="Y228" s="88"/>
      <c r="Z228" s="250"/>
      <c r="AA228" s="87" t="s">
        <v>2359</v>
      </c>
      <c r="AB228" s="250" t="s">
        <v>2072</v>
      </c>
      <c r="AC228" s="250"/>
      <c r="AD228" s="250"/>
      <c r="AE228" s="87"/>
      <c r="AF228" s="88" t="s">
        <v>1510</v>
      </c>
      <c r="AG228" s="88" t="s">
        <v>2143</v>
      </c>
      <c r="AH228" s="88" t="s">
        <v>2137</v>
      </c>
      <c r="AI228" s="224"/>
      <c r="AJ228" s="225">
        <v>3</v>
      </c>
      <c r="AK228" s="224" t="s">
        <v>2144</v>
      </c>
      <c r="AL228" s="224" t="s">
        <v>2360</v>
      </c>
      <c r="AM228" s="224"/>
      <c r="AN228" s="224"/>
    </row>
    <row r="229" spans="1:40" s="86" customFormat="1" ht="59.25" customHeight="1">
      <c r="A229" s="402">
        <v>250555</v>
      </c>
      <c r="B229" s="89" t="s">
        <v>933</v>
      </c>
      <c r="C229" s="89" t="s">
        <v>432</v>
      </c>
      <c r="D229" s="88" t="s">
        <v>433</v>
      </c>
      <c r="E229" s="88" t="s">
        <v>419</v>
      </c>
      <c r="F229" s="88" t="s">
        <v>45</v>
      </c>
      <c r="G229" s="88" t="s">
        <v>934</v>
      </c>
      <c r="H229" s="88" t="s">
        <v>591</v>
      </c>
      <c r="I229" s="88" t="s">
        <v>40</v>
      </c>
      <c r="J229" s="89" t="s">
        <v>5281</v>
      </c>
      <c r="K229" s="103" t="s">
        <v>1233</v>
      </c>
      <c r="L229" s="403" t="s">
        <v>26</v>
      </c>
      <c r="M229" s="199">
        <v>45077</v>
      </c>
      <c r="N229" s="105">
        <v>44705</v>
      </c>
      <c r="O229" s="105"/>
      <c r="P229" s="203" t="s">
        <v>4888</v>
      </c>
      <c r="Q229" s="203" t="s">
        <v>1752</v>
      </c>
      <c r="R229" s="203"/>
      <c r="S229" s="203"/>
      <c r="T229" s="87" t="s">
        <v>5732</v>
      </c>
      <c r="U229" s="87" t="s">
        <v>1568</v>
      </c>
      <c r="V229" s="87"/>
      <c r="W229" s="88" t="s">
        <v>1568</v>
      </c>
      <c r="X229" s="249" t="s">
        <v>4689</v>
      </c>
      <c r="Y229" s="88"/>
      <c r="Z229" s="250"/>
      <c r="AA229" s="87" t="s">
        <v>2132</v>
      </c>
      <c r="AB229" s="250" t="s">
        <v>2072</v>
      </c>
      <c r="AC229" s="250"/>
      <c r="AD229" s="250"/>
      <c r="AE229" s="87"/>
      <c r="AF229" s="88" t="s">
        <v>5517</v>
      </c>
      <c r="AG229" s="88" t="s">
        <v>2073</v>
      </c>
      <c r="AH229" s="88" t="s">
        <v>2074</v>
      </c>
      <c r="AI229" s="224" t="s">
        <v>2075</v>
      </c>
      <c r="AJ229" s="225">
        <v>2</v>
      </c>
      <c r="AK229" s="224" t="s">
        <v>2133</v>
      </c>
      <c r="AL229" s="224" t="s">
        <v>2134</v>
      </c>
      <c r="AM229" s="224" t="s">
        <v>2099</v>
      </c>
      <c r="AN229" s="224" t="s">
        <v>2135</v>
      </c>
    </row>
    <row r="230" spans="1:40" s="86" customFormat="1" ht="59.25" customHeight="1">
      <c r="A230" s="402">
        <v>251277</v>
      </c>
      <c r="B230" s="89" t="s">
        <v>435</v>
      </c>
      <c r="C230" s="89" t="s">
        <v>436</v>
      </c>
      <c r="D230" s="88">
        <v>83714</v>
      </c>
      <c r="E230" s="88" t="s">
        <v>437</v>
      </c>
      <c r="F230" s="88" t="s">
        <v>55</v>
      </c>
      <c r="G230" s="88" t="s">
        <v>935</v>
      </c>
      <c r="H230" s="88" t="s">
        <v>591</v>
      </c>
      <c r="I230" s="88" t="s">
        <v>40</v>
      </c>
      <c r="J230" s="89" t="s">
        <v>4638</v>
      </c>
      <c r="K230" s="103" t="s">
        <v>1233</v>
      </c>
      <c r="L230" s="403" t="s">
        <v>26</v>
      </c>
      <c r="M230" s="199">
        <v>45199</v>
      </c>
      <c r="N230" s="105">
        <v>44256</v>
      </c>
      <c r="O230" s="105"/>
      <c r="P230" s="203" t="s">
        <v>5153</v>
      </c>
      <c r="Q230" s="203" t="s">
        <v>1754</v>
      </c>
      <c r="R230" s="203" t="s">
        <v>5156</v>
      </c>
      <c r="S230" s="203"/>
      <c r="T230" s="87" t="s">
        <v>5796</v>
      </c>
      <c r="U230" s="87" t="s">
        <v>1568</v>
      </c>
      <c r="V230" s="87" t="s">
        <v>1575</v>
      </c>
      <c r="W230" s="88" t="s">
        <v>1568</v>
      </c>
      <c r="X230" s="249" t="s">
        <v>3859</v>
      </c>
      <c r="Y230" s="88"/>
      <c r="Z230" s="250"/>
      <c r="AA230" s="87" t="s">
        <v>2361</v>
      </c>
      <c r="AB230" s="250" t="s">
        <v>2072</v>
      </c>
      <c r="AC230" s="250"/>
      <c r="AD230" s="250"/>
      <c r="AE230" s="87"/>
      <c r="AF230" s="88" t="s">
        <v>4638</v>
      </c>
      <c r="AG230" s="88" t="s">
        <v>2073</v>
      </c>
      <c r="AH230" s="88" t="s">
        <v>2116</v>
      </c>
      <c r="AI230" s="224" t="s">
        <v>2075</v>
      </c>
      <c r="AJ230" s="225">
        <v>3</v>
      </c>
      <c r="AK230" s="224" t="s">
        <v>2076</v>
      </c>
      <c r="AL230" s="224" t="s">
        <v>2362</v>
      </c>
      <c r="AM230" s="224" t="s">
        <v>2077</v>
      </c>
      <c r="AN230" s="224" t="s">
        <v>2363</v>
      </c>
    </row>
    <row r="231" spans="1:40" s="86" customFormat="1" ht="59.25" customHeight="1">
      <c r="A231" s="402">
        <v>251321</v>
      </c>
      <c r="B231" s="89" t="s">
        <v>1255</v>
      </c>
      <c r="C231" s="89" t="s">
        <v>741</v>
      </c>
      <c r="D231" s="88">
        <v>92841</v>
      </c>
      <c r="E231" s="88" t="s">
        <v>742</v>
      </c>
      <c r="F231" s="88" t="s">
        <v>51</v>
      </c>
      <c r="G231" s="88" t="s">
        <v>936</v>
      </c>
      <c r="H231" s="88" t="s">
        <v>591</v>
      </c>
      <c r="I231" s="88" t="s">
        <v>40</v>
      </c>
      <c r="J231" s="89" t="s">
        <v>5449</v>
      </c>
      <c r="K231" s="103" t="s">
        <v>1402</v>
      </c>
      <c r="L231" s="403" t="s">
        <v>26</v>
      </c>
      <c r="M231" s="199">
        <v>45350</v>
      </c>
      <c r="N231" s="105">
        <v>44434</v>
      </c>
      <c r="O231" s="105"/>
      <c r="P231" s="203" t="s">
        <v>1503</v>
      </c>
      <c r="Q231" s="203" t="s">
        <v>1755</v>
      </c>
      <c r="R231" s="203"/>
      <c r="S231" s="203"/>
      <c r="T231" s="87" t="s">
        <v>5797</v>
      </c>
      <c r="U231" s="87" t="s">
        <v>1568</v>
      </c>
      <c r="V231" s="87"/>
      <c r="W231" s="88" t="s">
        <v>1568</v>
      </c>
      <c r="X231" s="249" t="s">
        <v>4213</v>
      </c>
      <c r="Y231" s="88"/>
      <c r="Z231" s="250"/>
      <c r="AA231" s="87" t="s">
        <v>2097</v>
      </c>
      <c r="AB231" s="250" t="s">
        <v>2072</v>
      </c>
      <c r="AC231" s="250"/>
      <c r="AD231" s="250"/>
      <c r="AE231" s="87"/>
      <c r="AF231" s="88" t="s">
        <v>5449</v>
      </c>
      <c r="AG231" s="88" t="s">
        <v>2073</v>
      </c>
      <c r="AH231" s="88" t="s">
        <v>2074</v>
      </c>
      <c r="AI231" s="224" t="s">
        <v>2075</v>
      </c>
      <c r="AJ231" s="225">
        <v>2</v>
      </c>
      <c r="AK231" s="224" t="s">
        <v>2076</v>
      </c>
      <c r="AL231" s="224" t="s">
        <v>2098</v>
      </c>
      <c r="AM231" s="224" t="s">
        <v>2099</v>
      </c>
      <c r="AN231" s="224"/>
    </row>
    <row r="232" spans="1:40" s="86" customFormat="1" ht="59.25" customHeight="1">
      <c r="A232" s="402">
        <v>251706</v>
      </c>
      <c r="B232" s="89" t="s">
        <v>1083</v>
      </c>
      <c r="C232" s="89" t="s">
        <v>438</v>
      </c>
      <c r="D232" s="88">
        <v>85755</v>
      </c>
      <c r="E232" s="88" t="s">
        <v>439</v>
      </c>
      <c r="F232" s="88" t="s">
        <v>51</v>
      </c>
      <c r="G232" s="88" t="s">
        <v>937</v>
      </c>
      <c r="H232" s="88" t="s">
        <v>591</v>
      </c>
      <c r="I232" s="88" t="s">
        <v>40</v>
      </c>
      <c r="J232" s="89" t="s">
        <v>5283</v>
      </c>
      <c r="K232" s="103" t="s">
        <v>1233</v>
      </c>
      <c r="L232" s="403" t="s">
        <v>26</v>
      </c>
      <c r="M232" s="199">
        <v>45230</v>
      </c>
      <c r="N232" s="105">
        <v>44316</v>
      </c>
      <c r="O232" s="105"/>
      <c r="P232" s="203" t="s">
        <v>4313</v>
      </c>
      <c r="Q232" s="203" t="s">
        <v>1756</v>
      </c>
      <c r="R232" s="203" t="s">
        <v>1986</v>
      </c>
      <c r="S232" s="203"/>
      <c r="T232" s="87" t="s">
        <v>5798</v>
      </c>
      <c r="U232" s="87" t="s">
        <v>1569</v>
      </c>
      <c r="V232" s="87"/>
      <c r="W232" s="88" t="s">
        <v>1568</v>
      </c>
      <c r="X232" s="249" t="s">
        <v>3861</v>
      </c>
      <c r="Y232" s="88"/>
      <c r="Z232" s="250"/>
      <c r="AA232" s="87" t="s">
        <v>2141</v>
      </c>
      <c r="AB232" s="250" t="s">
        <v>2072</v>
      </c>
      <c r="AC232" s="250"/>
      <c r="AD232" s="250"/>
      <c r="AE232" s="87"/>
      <c r="AF232" s="88" t="s">
        <v>5283</v>
      </c>
      <c r="AG232" s="88" t="s">
        <v>2073</v>
      </c>
      <c r="AH232" s="88" t="s">
        <v>2074</v>
      </c>
      <c r="AI232" s="224"/>
      <c r="AJ232" s="225">
        <v>2</v>
      </c>
      <c r="AK232" s="224" t="s">
        <v>2076</v>
      </c>
      <c r="AL232" s="224" t="s">
        <v>2496</v>
      </c>
      <c r="AM232" s="224" t="s">
        <v>2099</v>
      </c>
      <c r="AN232" s="224" t="s">
        <v>2142</v>
      </c>
    </row>
    <row r="233" spans="1:40" s="86" customFormat="1" ht="59.25" customHeight="1">
      <c r="A233" s="402">
        <v>251933</v>
      </c>
      <c r="B233" s="89" t="s">
        <v>296</v>
      </c>
      <c r="C233" s="89" t="s">
        <v>440</v>
      </c>
      <c r="D233" s="88" t="s">
        <v>441</v>
      </c>
      <c r="E233" s="88" t="s">
        <v>295</v>
      </c>
      <c r="F233" s="88" t="s">
        <v>51</v>
      </c>
      <c r="G233" s="88" t="s">
        <v>938</v>
      </c>
      <c r="H233" s="88" t="s">
        <v>591</v>
      </c>
      <c r="I233" s="88" t="s">
        <v>40</v>
      </c>
      <c r="J233" s="89" t="s">
        <v>5278</v>
      </c>
      <c r="K233" s="103" t="s">
        <v>1402</v>
      </c>
      <c r="L233" s="403" t="s">
        <v>26</v>
      </c>
      <c r="M233" s="199">
        <v>45199</v>
      </c>
      <c r="N233" s="105">
        <v>44648</v>
      </c>
      <c r="O233" s="105"/>
      <c r="P233" s="203" t="s">
        <v>4889</v>
      </c>
      <c r="Q233" s="203" t="s">
        <v>1757</v>
      </c>
      <c r="R233" s="203" t="s">
        <v>1987</v>
      </c>
      <c r="S233" s="203"/>
      <c r="T233" s="87" t="s">
        <v>5799</v>
      </c>
      <c r="U233" s="87" t="s">
        <v>1569</v>
      </c>
      <c r="V233" s="87"/>
      <c r="W233" s="88" t="s">
        <v>1568</v>
      </c>
      <c r="X233" s="249" t="s">
        <v>3863</v>
      </c>
      <c r="Y233" s="88"/>
      <c r="Z233" s="250"/>
      <c r="AA233" s="87" t="s">
        <v>2071</v>
      </c>
      <c r="AB233" s="250" t="s">
        <v>2072</v>
      </c>
      <c r="AC233" s="250"/>
      <c r="AD233" s="250"/>
      <c r="AE233" s="87"/>
      <c r="AF233" s="88" t="s">
        <v>1336</v>
      </c>
      <c r="AG233" s="88" t="s">
        <v>2079</v>
      </c>
      <c r="AH233" s="88" t="s">
        <v>2074</v>
      </c>
      <c r="AI233" s="224" t="s">
        <v>2075</v>
      </c>
      <c r="AJ233" s="225">
        <v>2</v>
      </c>
      <c r="AK233" s="224" t="s">
        <v>2076</v>
      </c>
      <c r="AL233" s="224" t="s">
        <v>2495</v>
      </c>
      <c r="AM233" s="224" t="s">
        <v>2077</v>
      </c>
      <c r="AN233" s="224"/>
    </row>
    <row r="234" spans="1:40" s="86" customFormat="1" ht="59.25" customHeight="1">
      <c r="A234" s="402">
        <v>255340</v>
      </c>
      <c r="B234" s="89" t="s">
        <v>442</v>
      </c>
      <c r="C234" s="89" t="s">
        <v>443</v>
      </c>
      <c r="D234" s="88">
        <v>97999</v>
      </c>
      <c r="E234" s="88" t="s">
        <v>444</v>
      </c>
      <c r="F234" s="88" t="s">
        <v>55</v>
      </c>
      <c r="G234" s="88" t="s">
        <v>445</v>
      </c>
      <c r="H234" s="88" t="s">
        <v>591</v>
      </c>
      <c r="I234" s="88" t="s">
        <v>40</v>
      </c>
      <c r="J234" s="89" t="s">
        <v>5280</v>
      </c>
      <c r="K234" s="103" t="s">
        <v>1402</v>
      </c>
      <c r="L234" s="403" t="s">
        <v>26</v>
      </c>
      <c r="M234" s="199">
        <v>45838</v>
      </c>
      <c r="N234" s="105">
        <v>44726</v>
      </c>
      <c r="O234" s="105"/>
      <c r="P234" s="203" t="s">
        <v>5459</v>
      </c>
      <c r="Q234" s="203" t="s">
        <v>5474</v>
      </c>
      <c r="R234" s="203" t="s">
        <v>1988</v>
      </c>
      <c r="S234" s="203"/>
      <c r="T234" s="87" t="s">
        <v>4818</v>
      </c>
      <c r="U234" s="87" t="s">
        <v>1568</v>
      </c>
      <c r="V234" s="87" t="s">
        <v>1575</v>
      </c>
      <c r="W234" s="88" t="s">
        <v>1568</v>
      </c>
      <c r="X234" s="249" t="s">
        <v>4363</v>
      </c>
      <c r="Y234" s="88"/>
      <c r="Z234" s="250"/>
      <c r="AA234" s="87" t="s">
        <v>442</v>
      </c>
      <c r="AB234" s="250" t="s">
        <v>2072</v>
      </c>
      <c r="AC234" s="250"/>
      <c r="AD234" s="250"/>
      <c r="AE234" s="87"/>
      <c r="AF234" s="88" t="s">
        <v>5280</v>
      </c>
      <c r="AG234" s="88" t="s">
        <v>2092</v>
      </c>
      <c r="AH234" s="88" t="s">
        <v>2113</v>
      </c>
      <c r="AI234" s="224" t="s">
        <v>2301</v>
      </c>
      <c r="AJ234" s="225">
        <v>3</v>
      </c>
      <c r="AK234" s="224" t="s">
        <v>2085</v>
      </c>
      <c r="AL234" s="224" t="s">
        <v>2364</v>
      </c>
      <c r="AM234" s="224"/>
      <c r="AN234" s="224"/>
    </row>
    <row r="235" spans="1:40" s="86" customFormat="1" ht="59.25" customHeight="1">
      <c r="A235" s="402">
        <v>256985</v>
      </c>
      <c r="B235" s="89" t="s">
        <v>446</v>
      </c>
      <c r="C235" s="89" t="s">
        <v>447</v>
      </c>
      <c r="D235" s="88" t="s">
        <v>448</v>
      </c>
      <c r="E235" s="88" t="s">
        <v>449</v>
      </c>
      <c r="F235" s="88" t="s">
        <v>51</v>
      </c>
      <c r="G235" s="88" t="s">
        <v>939</v>
      </c>
      <c r="H235" s="88" t="s">
        <v>591</v>
      </c>
      <c r="I235" s="88" t="s">
        <v>40</v>
      </c>
      <c r="J235" s="89" t="s">
        <v>5282</v>
      </c>
      <c r="K235" s="103" t="s">
        <v>1233</v>
      </c>
      <c r="L235" s="403" t="s">
        <v>26</v>
      </c>
      <c r="M235" s="199">
        <v>45412</v>
      </c>
      <c r="N235" s="105">
        <v>44672</v>
      </c>
      <c r="O235" s="105"/>
      <c r="P235" s="203" t="s">
        <v>5295</v>
      </c>
      <c r="Q235" s="203" t="s">
        <v>1758</v>
      </c>
      <c r="R235" s="203"/>
      <c r="S235" s="203"/>
      <c r="T235" s="87" t="s">
        <v>5800</v>
      </c>
      <c r="U235" s="87" t="s">
        <v>1571</v>
      </c>
      <c r="V235" s="87"/>
      <c r="W235" s="88" t="s">
        <v>1571</v>
      </c>
      <c r="X235" s="249" t="s">
        <v>4469</v>
      </c>
      <c r="Y235" s="88"/>
      <c r="Z235" s="250"/>
      <c r="AA235" s="87" t="s">
        <v>2171</v>
      </c>
      <c r="AB235" s="250" t="s">
        <v>2072</v>
      </c>
      <c r="AC235" s="250"/>
      <c r="AD235" s="250"/>
      <c r="AE235" s="87"/>
      <c r="AF235" s="88" t="s">
        <v>5282</v>
      </c>
      <c r="AG235" s="88" t="s">
        <v>2073</v>
      </c>
      <c r="AH235" s="88" t="s">
        <v>2093</v>
      </c>
      <c r="AI235" s="224"/>
      <c r="AJ235" s="225">
        <v>2</v>
      </c>
      <c r="AK235" s="224" t="s">
        <v>2076</v>
      </c>
      <c r="AL235" s="224" t="s">
        <v>2172</v>
      </c>
      <c r="AM235" s="224" t="s">
        <v>2077</v>
      </c>
      <c r="AN235" s="224"/>
    </row>
    <row r="236" spans="1:40" s="86" customFormat="1" ht="59.25" customHeight="1">
      <c r="A236" s="402">
        <v>258509</v>
      </c>
      <c r="B236" s="89" t="s">
        <v>1240</v>
      </c>
      <c r="C236" s="89" t="s">
        <v>314</v>
      </c>
      <c r="D236" s="88">
        <v>76490</v>
      </c>
      <c r="E236" s="88" t="s">
        <v>315</v>
      </c>
      <c r="F236" s="88" t="s">
        <v>47</v>
      </c>
      <c r="G236" s="88" t="s">
        <v>940</v>
      </c>
      <c r="H236" s="88" t="s">
        <v>591</v>
      </c>
      <c r="I236" s="88" t="s">
        <v>40</v>
      </c>
      <c r="J236" s="89" t="s">
        <v>5281</v>
      </c>
      <c r="K236" s="103" t="s">
        <v>1233</v>
      </c>
      <c r="L236" s="403" t="s">
        <v>26</v>
      </c>
      <c r="M236" s="199">
        <v>45077</v>
      </c>
      <c r="N236" s="105">
        <v>44754</v>
      </c>
      <c r="O236" s="105"/>
      <c r="P236" s="203" t="s">
        <v>5568</v>
      </c>
      <c r="Q236" s="203" t="s">
        <v>1759</v>
      </c>
      <c r="R236" s="203"/>
      <c r="S236" s="203"/>
      <c r="T236" s="87"/>
      <c r="U236" s="87"/>
      <c r="V236" s="87"/>
      <c r="W236" s="88"/>
      <c r="X236" s="249"/>
      <c r="Y236" s="88"/>
      <c r="Z236" s="250" t="s">
        <v>2041</v>
      </c>
      <c r="AA236" s="87" t="s">
        <v>2365</v>
      </c>
      <c r="AB236" s="250" t="s">
        <v>2079</v>
      </c>
      <c r="AC236" s="250" t="s">
        <v>2366</v>
      </c>
      <c r="AD236" s="250"/>
      <c r="AE236" s="87" t="s">
        <v>2041</v>
      </c>
      <c r="AF236" s="88" t="s">
        <v>5281</v>
      </c>
      <c r="AG236" s="88" t="s">
        <v>2367</v>
      </c>
      <c r="AH236" s="88" t="s">
        <v>2116</v>
      </c>
      <c r="AI236" s="224"/>
      <c r="AJ236" s="225">
        <v>3</v>
      </c>
      <c r="AK236" s="224" t="s">
        <v>2133</v>
      </c>
      <c r="AL236" s="224" t="s">
        <v>2368</v>
      </c>
      <c r="AM236" s="224" t="s">
        <v>2087</v>
      </c>
      <c r="AN236" s="224" t="s">
        <v>2369</v>
      </c>
    </row>
    <row r="237" spans="1:40" s="86" customFormat="1" ht="59.25" customHeight="1">
      <c r="A237" s="402">
        <v>260328</v>
      </c>
      <c r="B237" s="89" t="s">
        <v>450</v>
      </c>
      <c r="C237" s="89" t="s">
        <v>451</v>
      </c>
      <c r="D237" s="88">
        <v>31060</v>
      </c>
      <c r="E237" s="88" t="s">
        <v>1112</v>
      </c>
      <c r="F237" s="88" t="s">
        <v>47</v>
      </c>
      <c r="G237" s="88" t="s">
        <v>941</v>
      </c>
      <c r="H237" s="88" t="s">
        <v>591</v>
      </c>
      <c r="I237" s="88" t="s">
        <v>40</v>
      </c>
      <c r="J237" s="89" t="s">
        <v>5278</v>
      </c>
      <c r="K237" s="103" t="s">
        <v>1233</v>
      </c>
      <c r="L237" s="403" t="s">
        <v>26</v>
      </c>
      <c r="M237" s="199">
        <v>45596</v>
      </c>
      <c r="N237" s="105">
        <v>44629</v>
      </c>
      <c r="O237" s="105"/>
      <c r="P237" s="203" t="s">
        <v>5569</v>
      </c>
      <c r="Q237" s="203" t="s">
        <v>1760</v>
      </c>
      <c r="R237" s="203" t="s">
        <v>1989</v>
      </c>
      <c r="S237" s="203"/>
      <c r="T237" s="87" t="s">
        <v>5801</v>
      </c>
      <c r="U237" s="87" t="s">
        <v>1572</v>
      </c>
      <c r="V237" s="87"/>
      <c r="W237" s="88" t="s">
        <v>1571</v>
      </c>
      <c r="X237" s="249" t="s">
        <v>3661</v>
      </c>
      <c r="Y237" s="88"/>
      <c r="Z237" s="250"/>
      <c r="AA237" s="87" t="s">
        <v>2078</v>
      </c>
      <c r="AB237" s="250" t="s">
        <v>2072</v>
      </c>
      <c r="AC237" s="250"/>
      <c r="AD237" s="250"/>
      <c r="AE237" s="87"/>
      <c r="AF237" s="88" t="s">
        <v>5278</v>
      </c>
      <c r="AG237" s="88" t="s">
        <v>4417</v>
      </c>
      <c r="AH237" s="88"/>
      <c r="AI237" s="224"/>
      <c r="AJ237" s="225">
        <v>4</v>
      </c>
      <c r="AK237" s="224" t="s">
        <v>2080</v>
      </c>
      <c r="AL237" s="224" t="s">
        <v>2081</v>
      </c>
      <c r="AM237" s="224" t="s">
        <v>2082</v>
      </c>
      <c r="AN237" s="224" t="s">
        <v>2083</v>
      </c>
    </row>
    <row r="238" spans="1:40" s="86" customFormat="1" ht="59.25" customHeight="1">
      <c r="A238" s="402">
        <v>260431</v>
      </c>
      <c r="B238" s="89" t="s">
        <v>676</v>
      </c>
      <c r="C238" s="89" t="s">
        <v>677</v>
      </c>
      <c r="D238" s="88">
        <v>22547</v>
      </c>
      <c r="E238" s="88" t="s">
        <v>74</v>
      </c>
      <c r="F238" s="88" t="s">
        <v>55</v>
      </c>
      <c r="G238" s="88" t="s">
        <v>942</v>
      </c>
      <c r="H238" s="88" t="s">
        <v>591</v>
      </c>
      <c r="I238" s="88" t="s">
        <v>40</v>
      </c>
      <c r="J238" s="89" t="s">
        <v>5449</v>
      </c>
      <c r="K238" s="103" t="s">
        <v>1402</v>
      </c>
      <c r="L238" s="403" t="s">
        <v>26</v>
      </c>
      <c r="M238" s="199">
        <v>45350</v>
      </c>
      <c r="N238" s="105">
        <v>44434</v>
      </c>
      <c r="O238" s="105"/>
      <c r="P238" s="203" t="s">
        <v>4510</v>
      </c>
      <c r="Q238" s="203" t="s">
        <v>4512</v>
      </c>
      <c r="R238" s="203" t="s">
        <v>1990</v>
      </c>
      <c r="S238" s="203"/>
      <c r="T238" s="87" t="s">
        <v>5802</v>
      </c>
      <c r="U238" s="87" t="s">
        <v>1568</v>
      </c>
      <c r="V238" s="87" t="s">
        <v>1575</v>
      </c>
      <c r="W238" s="88" t="s">
        <v>1568</v>
      </c>
      <c r="X238" s="249" t="s">
        <v>3866</v>
      </c>
      <c r="Y238" s="88"/>
      <c r="Z238" s="250"/>
      <c r="AA238" s="87" t="s">
        <v>2097</v>
      </c>
      <c r="AB238" s="250" t="s">
        <v>2072</v>
      </c>
      <c r="AC238" s="250"/>
      <c r="AD238" s="250"/>
      <c r="AE238" s="87"/>
      <c r="AF238" s="88" t="s">
        <v>5449</v>
      </c>
      <c r="AG238" s="88" t="s">
        <v>2073</v>
      </c>
      <c r="AH238" s="88" t="s">
        <v>2074</v>
      </c>
      <c r="AI238" s="224" t="s">
        <v>2075</v>
      </c>
      <c r="AJ238" s="225">
        <v>2</v>
      </c>
      <c r="AK238" s="224" t="s">
        <v>2076</v>
      </c>
      <c r="AL238" s="224" t="s">
        <v>2098</v>
      </c>
      <c r="AM238" s="224" t="s">
        <v>2099</v>
      </c>
      <c r="AN238" s="224"/>
    </row>
    <row r="239" spans="1:40" s="86" customFormat="1" ht="59.25" customHeight="1">
      <c r="A239" s="402">
        <v>261526</v>
      </c>
      <c r="B239" s="89" t="s">
        <v>1344</v>
      </c>
      <c r="C239" s="89" t="s">
        <v>1345</v>
      </c>
      <c r="D239" s="88">
        <v>88131</v>
      </c>
      <c r="E239" s="88" t="s">
        <v>1346</v>
      </c>
      <c r="F239" s="88" t="s">
        <v>55</v>
      </c>
      <c r="G239" s="88" t="s">
        <v>1347</v>
      </c>
      <c r="H239" s="88" t="s">
        <v>591</v>
      </c>
      <c r="I239" s="88" t="s">
        <v>40</v>
      </c>
      <c r="J239" s="89" t="s">
        <v>5279</v>
      </c>
      <c r="K239" s="103" t="s">
        <v>1233</v>
      </c>
      <c r="L239" s="403" t="s">
        <v>26</v>
      </c>
      <c r="M239" s="199">
        <v>45229</v>
      </c>
      <c r="N239" s="105">
        <v>44679</v>
      </c>
      <c r="O239" s="105"/>
      <c r="P239" s="203" t="s">
        <v>5678</v>
      </c>
      <c r="Q239" s="203" t="s">
        <v>4234</v>
      </c>
      <c r="R239" s="203" t="s">
        <v>1991</v>
      </c>
      <c r="S239" s="203"/>
      <c r="T239" s="87" t="s">
        <v>5083</v>
      </c>
      <c r="U239" s="87" t="s">
        <v>1568</v>
      </c>
      <c r="V239" s="87"/>
      <c r="W239" s="88" t="s">
        <v>1568</v>
      </c>
      <c r="X239" s="249" t="s">
        <v>3867</v>
      </c>
      <c r="Y239" s="88"/>
      <c r="Z239" s="250"/>
      <c r="AA239" s="87" t="s">
        <v>2161</v>
      </c>
      <c r="AB239" s="250" t="s">
        <v>2072</v>
      </c>
      <c r="AC239" s="250"/>
      <c r="AD239" s="250"/>
      <c r="AE239" s="87"/>
      <c r="AF239" s="88" t="s">
        <v>5279</v>
      </c>
      <c r="AG239" s="88" t="s">
        <v>2073</v>
      </c>
      <c r="AH239" s="88" t="s">
        <v>2074</v>
      </c>
      <c r="AI239" s="224" t="s">
        <v>2075</v>
      </c>
      <c r="AJ239" s="225">
        <v>2</v>
      </c>
      <c r="AK239" s="224" t="s">
        <v>2076</v>
      </c>
      <c r="AL239" s="224" t="s">
        <v>2162</v>
      </c>
      <c r="AM239" s="224" t="s">
        <v>2099</v>
      </c>
      <c r="AN239" s="224" t="s">
        <v>2163</v>
      </c>
    </row>
    <row r="240" spans="1:40" s="86" customFormat="1" ht="59.25" customHeight="1">
      <c r="A240" s="402">
        <v>261563</v>
      </c>
      <c r="B240" s="89" t="s">
        <v>691</v>
      </c>
      <c r="C240" s="89" t="s">
        <v>943</v>
      </c>
      <c r="D240" s="88">
        <v>74160</v>
      </c>
      <c r="E240" s="88" t="s">
        <v>692</v>
      </c>
      <c r="F240" s="88" t="s">
        <v>47</v>
      </c>
      <c r="G240" s="88" t="s">
        <v>944</v>
      </c>
      <c r="H240" s="88" t="s">
        <v>591</v>
      </c>
      <c r="I240" s="88" t="s">
        <v>40</v>
      </c>
      <c r="J240" s="89" t="s">
        <v>5283</v>
      </c>
      <c r="K240" s="103" t="s">
        <v>1233</v>
      </c>
      <c r="L240" s="403" t="s">
        <v>26</v>
      </c>
      <c r="M240" s="199">
        <v>45230</v>
      </c>
      <c r="N240" s="105">
        <v>44316</v>
      </c>
      <c r="O240" s="105"/>
      <c r="P240" s="203" t="s">
        <v>1410</v>
      </c>
      <c r="Q240" s="203" t="s">
        <v>1761</v>
      </c>
      <c r="R240" s="203" t="s">
        <v>1992</v>
      </c>
      <c r="S240" s="203"/>
      <c r="T240" s="87" t="s">
        <v>5803</v>
      </c>
      <c r="U240" s="87" t="s">
        <v>1578</v>
      </c>
      <c r="V240" s="87"/>
      <c r="W240" s="88" t="s">
        <v>1568</v>
      </c>
      <c r="X240" s="249" t="s">
        <v>3869</v>
      </c>
      <c r="Y240" s="88"/>
      <c r="Z240" s="250"/>
      <c r="AA240" s="87" t="s">
        <v>2141</v>
      </c>
      <c r="AB240" s="250" t="s">
        <v>2072</v>
      </c>
      <c r="AC240" s="250"/>
      <c r="AD240" s="250"/>
      <c r="AE240" s="87"/>
      <c r="AF240" s="88" t="s">
        <v>5283</v>
      </c>
      <c r="AG240" s="88" t="s">
        <v>2073</v>
      </c>
      <c r="AH240" s="88" t="s">
        <v>2074</v>
      </c>
      <c r="AI240" s="224"/>
      <c r="AJ240" s="225">
        <v>2</v>
      </c>
      <c r="AK240" s="224" t="s">
        <v>2076</v>
      </c>
      <c r="AL240" s="224" t="s">
        <v>2496</v>
      </c>
      <c r="AM240" s="224" t="s">
        <v>2099</v>
      </c>
      <c r="AN240" s="224" t="s">
        <v>2142</v>
      </c>
    </row>
    <row r="241" spans="1:40" s="86" customFormat="1" ht="59.25" customHeight="1">
      <c r="A241" s="402">
        <v>262821</v>
      </c>
      <c r="B241" s="89" t="s">
        <v>1497</v>
      </c>
      <c r="C241" s="89" t="s">
        <v>758</v>
      </c>
      <c r="D241" s="88">
        <v>53051</v>
      </c>
      <c r="E241" s="88" t="s">
        <v>759</v>
      </c>
      <c r="F241" s="88" t="s">
        <v>51</v>
      </c>
      <c r="G241" s="88" t="s">
        <v>945</v>
      </c>
      <c r="H241" s="88" t="s">
        <v>591</v>
      </c>
      <c r="I241" s="88" t="s">
        <v>40</v>
      </c>
      <c r="J241" s="89" t="s">
        <v>5449</v>
      </c>
      <c r="K241" s="103" t="s">
        <v>1402</v>
      </c>
      <c r="L241" s="403" t="s">
        <v>26</v>
      </c>
      <c r="M241" s="199">
        <v>45350</v>
      </c>
      <c r="N241" s="105">
        <v>44434</v>
      </c>
      <c r="O241" s="105"/>
      <c r="P241" s="203" t="s">
        <v>5068</v>
      </c>
      <c r="Q241" s="203" t="s">
        <v>1762</v>
      </c>
      <c r="R241" s="203"/>
      <c r="S241" s="203"/>
      <c r="T241" s="87" t="s">
        <v>1546</v>
      </c>
      <c r="U241" s="87" t="s">
        <v>1571</v>
      </c>
      <c r="V241" s="87"/>
      <c r="W241" s="88" t="s">
        <v>1571</v>
      </c>
      <c r="X241" s="249" t="s">
        <v>5955</v>
      </c>
      <c r="Y241" s="88"/>
      <c r="Z241" s="250"/>
      <c r="AA241" s="87" t="s">
        <v>2097</v>
      </c>
      <c r="AB241" s="250" t="s">
        <v>2072</v>
      </c>
      <c r="AC241" s="250"/>
      <c r="AD241" s="250"/>
      <c r="AE241" s="87"/>
      <c r="AF241" s="88" t="s">
        <v>5449</v>
      </c>
      <c r="AG241" s="88" t="s">
        <v>2073</v>
      </c>
      <c r="AH241" s="88" t="s">
        <v>2074</v>
      </c>
      <c r="AI241" s="224" t="s">
        <v>2075</v>
      </c>
      <c r="AJ241" s="225">
        <v>2</v>
      </c>
      <c r="AK241" s="224" t="s">
        <v>2076</v>
      </c>
      <c r="AL241" s="224" t="s">
        <v>2098</v>
      </c>
      <c r="AM241" s="224" t="s">
        <v>2099</v>
      </c>
      <c r="AN241" s="224"/>
    </row>
    <row r="242" spans="1:40" s="86" customFormat="1" ht="59.25" customHeight="1">
      <c r="A242" s="402">
        <v>265355</v>
      </c>
      <c r="B242" s="89" t="s">
        <v>946</v>
      </c>
      <c r="C242" s="89" t="s">
        <v>453</v>
      </c>
      <c r="D242" s="88">
        <v>508985</v>
      </c>
      <c r="E242" s="88" t="s">
        <v>336</v>
      </c>
      <c r="F242" s="88" t="s">
        <v>337</v>
      </c>
      <c r="G242" s="88" t="s">
        <v>947</v>
      </c>
      <c r="H242" s="88" t="s">
        <v>591</v>
      </c>
      <c r="I242" s="88" t="s">
        <v>40</v>
      </c>
      <c r="J242" s="89" t="s">
        <v>5280</v>
      </c>
      <c r="K242" s="103" t="s">
        <v>1233</v>
      </c>
      <c r="L242" s="403" t="s">
        <v>26</v>
      </c>
      <c r="M242" s="199">
        <v>45230</v>
      </c>
      <c r="N242" s="105">
        <v>44319</v>
      </c>
      <c r="O242" s="105"/>
      <c r="P242" s="203" t="s">
        <v>5679</v>
      </c>
      <c r="Q242" s="203" t="s">
        <v>4773</v>
      </c>
      <c r="R242" s="203"/>
      <c r="S242" s="203"/>
      <c r="T242" s="87" t="s">
        <v>5746</v>
      </c>
      <c r="U242" s="87" t="s">
        <v>1568</v>
      </c>
      <c r="V242" s="87"/>
      <c r="W242" s="88" t="s">
        <v>1568</v>
      </c>
      <c r="X242" s="249" t="s">
        <v>3759</v>
      </c>
      <c r="Y242" s="88"/>
      <c r="Z242" s="250"/>
      <c r="AA242" s="87" t="s">
        <v>743</v>
      </c>
      <c r="AB242" s="250" t="s">
        <v>2072</v>
      </c>
      <c r="AC242" s="250"/>
      <c r="AD242" s="250"/>
      <c r="AE242" s="87"/>
      <c r="AF242" s="88" t="s">
        <v>5280</v>
      </c>
      <c r="AG242" s="88" t="s">
        <v>2073</v>
      </c>
      <c r="AH242" s="88" t="s">
        <v>2074</v>
      </c>
      <c r="AI242" s="224" t="s">
        <v>2075</v>
      </c>
      <c r="AJ242" s="225">
        <v>2</v>
      </c>
      <c r="AK242" s="224" t="s">
        <v>2076</v>
      </c>
      <c r="AL242" s="224" t="s">
        <v>2096</v>
      </c>
      <c r="AM242" s="224" t="s">
        <v>2077</v>
      </c>
      <c r="AN242" s="224"/>
    </row>
    <row r="243" spans="1:40" s="86" customFormat="1" ht="59.25" customHeight="1">
      <c r="A243" s="402">
        <v>266317</v>
      </c>
      <c r="B243" s="89" t="s">
        <v>1179</v>
      </c>
      <c r="C243" s="89" t="s">
        <v>1156</v>
      </c>
      <c r="D243" s="88">
        <v>78216</v>
      </c>
      <c r="E243" s="88" t="s">
        <v>1157</v>
      </c>
      <c r="F243" s="88" t="s">
        <v>51</v>
      </c>
      <c r="G243" s="88" t="s">
        <v>1158</v>
      </c>
      <c r="H243" s="88" t="s">
        <v>591</v>
      </c>
      <c r="I243" s="88" t="s">
        <v>41</v>
      </c>
      <c r="J243" s="89" t="s">
        <v>786</v>
      </c>
      <c r="K243" s="103" t="s">
        <v>1233</v>
      </c>
      <c r="L243" s="403" t="s">
        <v>26</v>
      </c>
      <c r="M243" s="199">
        <v>45199</v>
      </c>
      <c r="N243" s="105">
        <v>44441</v>
      </c>
      <c r="O243" s="105"/>
      <c r="P243" s="203" t="s">
        <v>1504</v>
      </c>
      <c r="Q243" s="203" t="s">
        <v>1763</v>
      </c>
      <c r="R243" s="203"/>
      <c r="S243" s="203"/>
      <c r="T243" s="87" t="s">
        <v>2535</v>
      </c>
      <c r="U243" s="87" t="s">
        <v>1571</v>
      </c>
      <c r="V243" s="87"/>
      <c r="W243" s="88" t="s">
        <v>1571</v>
      </c>
      <c r="X243" s="249" t="s">
        <v>3872</v>
      </c>
      <c r="Y243" s="88"/>
      <c r="Z243" s="250"/>
      <c r="AA243" s="87" t="s">
        <v>2370</v>
      </c>
      <c r="AB243" s="250" t="s">
        <v>2090</v>
      </c>
      <c r="AC243" s="250"/>
      <c r="AD243" s="250"/>
      <c r="AE243" s="87"/>
      <c r="AF243" s="88" t="s">
        <v>786</v>
      </c>
      <c r="AG243" s="88" t="s">
        <v>2104</v>
      </c>
      <c r="AH243" s="88"/>
      <c r="AI243" s="224" t="s">
        <v>2194</v>
      </c>
      <c r="AJ243" s="225">
        <v>2</v>
      </c>
      <c r="AK243" s="224" t="s">
        <v>2107</v>
      </c>
      <c r="AL243" s="224" t="s">
        <v>2371</v>
      </c>
      <c r="AM243" s="224" t="s">
        <v>2217</v>
      </c>
      <c r="AN243" s="224" t="s">
        <v>4221</v>
      </c>
    </row>
    <row r="244" spans="1:40" s="86" customFormat="1" ht="59.25" customHeight="1">
      <c r="A244" s="402">
        <v>266318</v>
      </c>
      <c r="B244" s="89" t="s">
        <v>1384</v>
      </c>
      <c r="C244" s="89" t="s">
        <v>948</v>
      </c>
      <c r="D244" s="88">
        <v>499611</v>
      </c>
      <c r="E244" s="88" t="s">
        <v>336</v>
      </c>
      <c r="F244" s="88" t="s">
        <v>337</v>
      </c>
      <c r="G244" s="88" t="s">
        <v>949</v>
      </c>
      <c r="H244" s="88" t="s">
        <v>591</v>
      </c>
      <c r="I244" s="88" t="s">
        <v>41</v>
      </c>
      <c r="J244" s="89" t="s">
        <v>786</v>
      </c>
      <c r="K244" s="103" t="s">
        <v>1162</v>
      </c>
      <c r="L244" s="403" t="s">
        <v>26</v>
      </c>
      <c r="M244" s="199">
        <v>44895</v>
      </c>
      <c r="N244" s="105">
        <v>44181</v>
      </c>
      <c r="O244" s="105"/>
      <c r="P244" s="203" t="s">
        <v>5021</v>
      </c>
      <c r="Q244" s="203" t="s">
        <v>1764</v>
      </c>
      <c r="R244" s="203"/>
      <c r="S244" s="203"/>
      <c r="T244" s="87" t="s">
        <v>5144</v>
      </c>
      <c r="U244" s="87" t="s">
        <v>1571</v>
      </c>
      <c r="V244" s="87"/>
      <c r="W244" s="88" t="s">
        <v>1571</v>
      </c>
      <c r="X244" s="249" t="s">
        <v>5135</v>
      </c>
      <c r="Y244" s="88"/>
      <c r="Z244" s="250"/>
      <c r="AA244" s="87" t="s">
        <v>2372</v>
      </c>
      <c r="AB244" s="250" t="s">
        <v>2090</v>
      </c>
      <c r="AC244" s="250"/>
      <c r="AD244" s="250"/>
      <c r="AE244" s="87"/>
      <c r="AF244" s="88" t="s">
        <v>786</v>
      </c>
      <c r="AG244" s="88" t="s">
        <v>2104</v>
      </c>
      <c r="AH244" s="88"/>
      <c r="AI244" s="224" t="s">
        <v>2106</v>
      </c>
      <c r="AJ244" s="225">
        <v>1</v>
      </c>
      <c r="AK244" s="224" t="s">
        <v>2107</v>
      </c>
      <c r="AL244" s="224" t="s">
        <v>4222</v>
      </c>
      <c r="AM244" s="224" t="s">
        <v>2217</v>
      </c>
      <c r="AN244" s="224" t="s">
        <v>4223</v>
      </c>
    </row>
    <row r="245" spans="1:40" s="86" customFormat="1" ht="59.25" customHeight="1">
      <c r="A245" s="402">
        <v>266728</v>
      </c>
      <c r="B245" s="89" t="s">
        <v>4738</v>
      </c>
      <c r="C245" s="89" t="s">
        <v>4739</v>
      </c>
      <c r="D245" s="88">
        <v>518128</v>
      </c>
      <c r="E245" s="88" t="s">
        <v>4740</v>
      </c>
      <c r="F245" s="88" t="s">
        <v>175</v>
      </c>
      <c r="G245" s="88" t="s">
        <v>4741</v>
      </c>
      <c r="H245" s="88" t="s">
        <v>591</v>
      </c>
      <c r="I245" s="88" t="s">
        <v>40</v>
      </c>
      <c r="J245" s="89" t="s">
        <v>5450</v>
      </c>
      <c r="K245" s="103" t="s">
        <v>1402</v>
      </c>
      <c r="L245" s="403" t="s">
        <v>26</v>
      </c>
      <c r="M245" s="199">
        <v>45077</v>
      </c>
      <c r="N245" s="105">
        <v>44712</v>
      </c>
      <c r="O245" s="105"/>
      <c r="P245" s="203" t="s">
        <v>6049</v>
      </c>
      <c r="Q245" s="203" t="s">
        <v>4743</v>
      </c>
      <c r="R245" s="203"/>
      <c r="S245" s="203"/>
      <c r="T245" s="87" t="s">
        <v>4980</v>
      </c>
      <c r="U245" s="87" t="s">
        <v>1571</v>
      </c>
      <c r="V245" s="87"/>
      <c r="W245" s="88" t="s">
        <v>1571</v>
      </c>
      <c r="X245" s="249" t="s">
        <v>4981</v>
      </c>
      <c r="Y245" s="88"/>
      <c r="Z245" s="250" t="s">
        <v>4751</v>
      </c>
      <c r="AA245" s="87" t="s">
        <v>2132</v>
      </c>
      <c r="AB245" s="250" t="s">
        <v>4805</v>
      </c>
      <c r="AC245" s="250" t="s">
        <v>4822</v>
      </c>
      <c r="AD245" s="250"/>
      <c r="AE245" s="87" t="s">
        <v>4751</v>
      </c>
      <c r="AF245" s="88" t="s">
        <v>5517</v>
      </c>
      <c r="AG245" s="88" t="s">
        <v>2073</v>
      </c>
      <c r="AH245" s="88" t="s">
        <v>2074</v>
      </c>
      <c r="AI245" s="224" t="s">
        <v>2075</v>
      </c>
      <c r="AJ245" s="225">
        <v>2</v>
      </c>
      <c r="AK245" s="224" t="s">
        <v>2133</v>
      </c>
      <c r="AL245" s="224" t="s">
        <v>2134</v>
      </c>
      <c r="AM245" s="224" t="s">
        <v>2099</v>
      </c>
      <c r="AN245" s="224" t="s">
        <v>2135</v>
      </c>
    </row>
    <row r="246" spans="1:40" s="86" customFormat="1" ht="59.25" customHeight="1">
      <c r="A246" s="402">
        <v>267008</v>
      </c>
      <c r="B246" s="89" t="s">
        <v>1068</v>
      </c>
      <c r="C246" s="89" t="s">
        <v>454</v>
      </c>
      <c r="D246" s="88">
        <v>27500</v>
      </c>
      <c r="E246" s="88" t="s">
        <v>455</v>
      </c>
      <c r="F246" s="88" t="s">
        <v>47</v>
      </c>
      <c r="G246" s="88" t="s">
        <v>950</v>
      </c>
      <c r="H246" s="88" t="s">
        <v>591</v>
      </c>
      <c r="I246" s="88" t="s">
        <v>40</v>
      </c>
      <c r="J246" s="89" t="s">
        <v>5280</v>
      </c>
      <c r="K246" s="103" t="s">
        <v>1233</v>
      </c>
      <c r="L246" s="403" t="s">
        <v>26</v>
      </c>
      <c r="M246" s="199">
        <v>45229</v>
      </c>
      <c r="N246" s="105">
        <v>44375</v>
      </c>
      <c r="O246" s="105"/>
      <c r="P246" s="203" t="s">
        <v>5570</v>
      </c>
      <c r="Q246" s="203" t="s">
        <v>1765</v>
      </c>
      <c r="R246" s="203"/>
      <c r="S246" s="203"/>
      <c r="T246" s="87" t="s">
        <v>5804</v>
      </c>
      <c r="U246" s="87" t="s">
        <v>1568</v>
      </c>
      <c r="V246" s="87"/>
      <c r="W246" s="88" t="s">
        <v>1568</v>
      </c>
      <c r="X246" s="249" t="s">
        <v>3874</v>
      </c>
      <c r="Y246" s="88"/>
      <c r="Z246" s="250"/>
      <c r="AA246" s="87" t="s">
        <v>1068</v>
      </c>
      <c r="AB246" s="250" t="s">
        <v>2072</v>
      </c>
      <c r="AC246" s="250"/>
      <c r="AD246" s="250"/>
      <c r="AE246" s="87"/>
      <c r="AF246" s="88" t="s">
        <v>5280</v>
      </c>
      <c r="AG246" s="88" t="s">
        <v>2143</v>
      </c>
      <c r="AH246" s="88" t="s">
        <v>2074</v>
      </c>
      <c r="AI246" s="224"/>
      <c r="AJ246" s="225">
        <v>3</v>
      </c>
      <c r="AK246" s="224" t="s">
        <v>2085</v>
      </c>
      <c r="AL246" s="224" t="s">
        <v>2373</v>
      </c>
      <c r="AM246" s="224" t="s">
        <v>2099</v>
      </c>
      <c r="AN246" s="224"/>
    </row>
    <row r="247" spans="1:40" s="86" customFormat="1" ht="59.25" customHeight="1">
      <c r="A247" s="402">
        <v>267698</v>
      </c>
      <c r="B247" s="89" t="s">
        <v>4245</v>
      </c>
      <c r="C247" s="89" t="s">
        <v>1203</v>
      </c>
      <c r="D247" s="88">
        <v>66280</v>
      </c>
      <c r="E247" s="88" t="s">
        <v>456</v>
      </c>
      <c r="F247" s="88" t="s">
        <v>55</v>
      </c>
      <c r="G247" s="88" t="s">
        <v>1332</v>
      </c>
      <c r="H247" s="88" t="s">
        <v>591</v>
      </c>
      <c r="I247" s="88" t="s">
        <v>737</v>
      </c>
      <c r="J247" s="89" t="s">
        <v>1277</v>
      </c>
      <c r="K247" s="103" t="s">
        <v>5218</v>
      </c>
      <c r="L247" s="403" t="s">
        <v>26</v>
      </c>
      <c r="M247" s="199">
        <v>45443</v>
      </c>
      <c r="N247" s="105">
        <v>44700</v>
      </c>
      <c r="O247" s="105"/>
      <c r="P247" s="203" t="s">
        <v>4758</v>
      </c>
      <c r="Q247" s="203" t="s">
        <v>1766</v>
      </c>
      <c r="R247" s="203" t="s">
        <v>4761</v>
      </c>
      <c r="S247" s="203"/>
      <c r="T247" s="87" t="s">
        <v>4605</v>
      </c>
      <c r="U247" s="87" t="s">
        <v>1581</v>
      </c>
      <c r="V247" s="87"/>
      <c r="W247" s="88" t="s">
        <v>1581</v>
      </c>
      <c r="X247" s="249"/>
      <c r="Y247" s="88"/>
      <c r="Z247" s="250"/>
      <c r="AA247" s="87"/>
      <c r="AB247" s="250"/>
      <c r="AC247" s="250"/>
      <c r="AD247" s="250"/>
      <c r="AE247" s="87"/>
      <c r="AF247" s="88"/>
      <c r="AG247" s="88"/>
      <c r="AH247" s="88"/>
      <c r="AI247" s="224"/>
      <c r="AJ247" s="225"/>
      <c r="AK247" s="224"/>
      <c r="AL247" s="224"/>
      <c r="AM247" s="224"/>
      <c r="AN247" s="224"/>
    </row>
    <row r="248" spans="1:40" s="86" customFormat="1" ht="59.25" customHeight="1">
      <c r="A248" s="402">
        <v>268930</v>
      </c>
      <c r="B248" s="89" t="s">
        <v>457</v>
      </c>
      <c r="C248" s="89" t="s">
        <v>4972</v>
      </c>
      <c r="D248" s="88">
        <v>498788</v>
      </c>
      <c r="E248" s="88" t="s">
        <v>336</v>
      </c>
      <c r="F248" s="88" t="s">
        <v>337</v>
      </c>
      <c r="G248" s="88" t="s">
        <v>951</v>
      </c>
      <c r="H248" s="88" t="s">
        <v>591</v>
      </c>
      <c r="I248" s="88" t="s">
        <v>40</v>
      </c>
      <c r="J248" s="89" t="s">
        <v>5283</v>
      </c>
      <c r="K248" s="103" t="s">
        <v>1233</v>
      </c>
      <c r="L248" s="403" t="s">
        <v>26</v>
      </c>
      <c r="M248" s="199">
        <v>45230</v>
      </c>
      <c r="N248" s="105">
        <v>44470</v>
      </c>
      <c r="O248" s="105"/>
      <c r="P248" s="203" t="s">
        <v>5004</v>
      </c>
      <c r="Q248" s="203" t="s">
        <v>1767</v>
      </c>
      <c r="R248" s="203"/>
      <c r="S248" s="203"/>
      <c r="T248" s="87" t="s">
        <v>5805</v>
      </c>
      <c r="U248" s="87" t="s">
        <v>1571</v>
      </c>
      <c r="V248" s="87"/>
      <c r="W248" s="88" t="s">
        <v>1571</v>
      </c>
      <c r="X248" s="249" t="s">
        <v>3875</v>
      </c>
      <c r="Y248" s="88"/>
      <c r="Z248" s="250"/>
      <c r="AA248" s="87" t="s">
        <v>2319</v>
      </c>
      <c r="AB248" s="250" t="s">
        <v>2072</v>
      </c>
      <c r="AC248" s="250"/>
      <c r="AD248" s="250"/>
      <c r="AE248" s="87"/>
      <c r="AF248" s="88" t="s">
        <v>5283</v>
      </c>
      <c r="AG248" s="88" t="s">
        <v>2073</v>
      </c>
      <c r="AH248" s="88" t="s">
        <v>2074</v>
      </c>
      <c r="AI248" s="224" t="s">
        <v>2075</v>
      </c>
      <c r="AJ248" s="225">
        <v>2</v>
      </c>
      <c r="AK248" s="224" t="s">
        <v>2076</v>
      </c>
      <c r="AL248" s="224" t="s">
        <v>2320</v>
      </c>
      <c r="AM248" s="224" t="s">
        <v>2099</v>
      </c>
      <c r="AN248" s="224" t="s">
        <v>2321</v>
      </c>
    </row>
    <row r="249" spans="1:40" s="86" customFormat="1" ht="59.25" customHeight="1">
      <c r="A249" s="402">
        <v>269036</v>
      </c>
      <c r="B249" s="89" t="s">
        <v>296</v>
      </c>
      <c r="C249" s="89" t="s">
        <v>458</v>
      </c>
      <c r="D249" s="88" t="s">
        <v>459</v>
      </c>
      <c r="E249" s="88" t="s">
        <v>255</v>
      </c>
      <c r="F249" s="88" t="s">
        <v>51</v>
      </c>
      <c r="G249" s="88">
        <v>26433</v>
      </c>
      <c r="H249" s="88" t="s">
        <v>591</v>
      </c>
      <c r="I249" s="88" t="s">
        <v>40</v>
      </c>
      <c r="J249" s="89" t="s">
        <v>5278</v>
      </c>
      <c r="K249" s="103" t="s">
        <v>1402</v>
      </c>
      <c r="L249" s="403" t="s">
        <v>26</v>
      </c>
      <c r="M249" s="199">
        <v>45199</v>
      </c>
      <c r="N249" s="105">
        <v>44648</v>
      </c>
      <c r="O249" s="105"/>
      <c r="P249" s="203" t="s">
        <v>4182</v>
      </c>
      <c r="Q249" s="203" t="s">
        <v>1768</v>
      </c>
      <c r="R249" s="203" t="s">
        <v>1993</v>
      </c>
      <c r="S249" s="203"/>
      <c r="T249" s="87" t="s">
        <v>5806</v>
      </c>
      <c r="U249" s="87" t="s">
        <v>1569</v>
      </c>
      <c r="V249" s="87"/>
      <c r="W249" s="88" t="s">
        <v>1568</v>
      </c>
      <c r="X249" s="249" t="s">
        <v>3877</v>
      </c>
      <c r="Y249" s="88"/>
      <c r="Z249" s="250"/>
      <c r="AA249" s="87" t="s">
        <v>2071</v>
      </c>
      <c r="AB249" s="250" t="s">
        <v>2072</v>
      </c>
      <c r="AC249" s="250"/>
      <c r="AD249" s="250"/>
      <c r="AE249" s="87"/>
      <c r="AF249" s="88" t="s">
        <v>1336</v>
      </c>
      <c r="AG249" s="88" t="s">
        <v>2079</v>
      </c>
      <c r="AH249" s="88" t="s">
        <v>2074</v>
      </c>
      <c r="AI249" s="224" t="s">
        <v>2075</v>
      </c>
      <c r="AJ249" s="225">
        <v>2</v>
      </c>
      <c r="AK249" s="224" t="s">
        <v>2076</v>
      </c>
      <c r="AL249" s="224" t="s">
        <v>2495</v>
      </c>
      <c r="AM249" s="224" t="s">
        <v>2077</v>
      </c>
      <c r="AN249" s="224"/>
    </row>
    <row r="250" spans="1:40" s="86" customFormat="1" ht="59.25" customHeight="1">
      <c r="A250" s="402">
        <v>270438</v>
      </c>
      <c r="B250" s="89" t="s">
        <v>5430</v>
      </c>
      <c r="C250" s="89" t="s">
        <v>460</v>
      </c>
      <c r="D250" s="88">
        <v>629619</v>
      </c>
      <c r="E250" s="88" t="s">
        <v>336</v>
      </c>
      <c r="F250" s="88" t="s">
        <v>337</v>
      </c>
      <c r="G250" s="88" t="s">
        <v>952</v>
      </c>
      <c r="H250" s="88" t="s">
        <v>591</v>
      </c>
      <c r="I250" s="88" t="s">
        <v>40</v>
      </c>
      <c r="J250" s="89" t="s">
        <v>5281</v>
      </c>
      <c r="K250" s="103" t="s">
        <v>1233</v>
      </c>
      <c r="L250" s="403" t="s">
        <v>26</v>
      </c>
      <c r="M250" s="199">
        <v>45077</v>
      </c>
      <c r="N250" s="105">
        <v>44705</v>
      </c>
      <c r="O250" s="105"/>
      <c r="P250" s="203" t="s">
        <v>5571</v>
      </c>
      <c r="Q250" s="203" t="s">
        <v>1769</v>
      </c>
      <c r="R250" s="203"/>
      <c r="S250" s="203"/>
      <c r="T250" s="87" t="s">
        <v>5732</v>
      </c>
      <c r="U250" s="87" t="s">
        <v>1568</v>
      </c>
      <c r="V250" s="87"/>
      <c r="W250" s="88" t="s">
        <v>1568</v>
      </c>
      <c r="X250" s="249" t="s">
        <v>4689</v>
      </c>
      <c r="Y250" s="88"/>
      <c r="Z250" s="250"/>
      <c r="AA250" s="87" t="s">
        <v>2132</v>
      </c>
      <c r="AB250" s="250" t="s">
        <v>2072</v>
      </c>
      <c r="AC250" s="250"/>
      <c r="AD250" s="250"/>
      <c r="AE250" s="87"/>
      <c r="AF250" s="88" t="s">
        <v>5517</v>
      </c>
      <c r="AG250" s="88" t="s">
        <v>2073</v>
      </c>
      <c r="AH250" s="88" t="s">
        <v>2074</v>
      </c>
      <c r="AI250" s="224" t="s">
        <v>2075</v>
      </c>
      <c r="AJ250" s="225">
        <v>2</v>
      </c>
      <c r="AK250" s="224" t="s">
        <v>2133</v>
      </c>
      <c r="AL250" s="224" t="s">
        <v>2134</v>
      </c>
      <c r="AM250" s="224" t="s">
        <v>2099</v>
      </c>
      <c r="AN250" s="224" t="s">
        <v>2135</v>
      </c>
    </row>
    <row r="251" spans="1:40" s="86" customFormat="1" ht="59.25" customHeight="1">
      <c r="A251" s="402">
        <v>271203</v>
      </c>
      <c r="B251" s="89" t="s">
        <v>461</v>
      </c>
      <c r="C251" s="89" t="s">
        <v>4340</v>
      </c>
      <c r="D251" s="88">
        <v>34070</v>
      </c>
      <c r="E251" s="88" t="s">
        <v>4341</v>
      </c>
      <c r="F251" s="88" t="s">
        <v>47</v>
      </c>
      <c r="G251" s="88" t="s">
        <v>953</v>
      </c>
      <c r="H251" s="88" t="s">
        <v>591</v>
      </c>
      <c r="I251" s="88" t="s">
        <v>40</v>
      </c>
      <c r="J251" s="89" t="s">
        <v>4638</v>
      </c>
      <c r="K251" s="103" t="s">
        <v>5218</v>
      </c>
      <c r="L251" s="403" t="s">
        <v>26</v>
      </c>
      <c r="M251" s="199">
        <v>45260</v>
      </c>
      <c r="N251" s="105">
        <v>44712</v>
      </c>
      <c r="O251" s="105"/>
      <c r="P251" s="203" t="s">
        <v>4551</v>
      </c>
      <c r="Q251" s="203" t="s">
        <v>1770</v>
      </c>
      <c r="R251" s="203" t="s">
        <v>1994</v>
      </c>
      <c r="S251" s="203"/>
      <c r="T251" s="87" t="s">
        <v>5084</v>
      </c>
      <c r="U251" s="87" t="s">
        <v>1571</v>
      </c>
      <c r="V251" s="87"/>
      <c r="W251" s="88" t="s">
        <v>1571</v>
      </c>
      <c r="X251" s="249" t="s">
        <v>3879</v>
      </c>
      <c r="Y251" s="88"/>
      <c r="Z251" s="250"/>
      <c r="AA251" s="87" t="s">
        <v>461</v>
      </c>
      <c r="AB251" s="250" t="s">
        <v>2090</v>
      </c>
      <c r="AC251" s="250"/>
      <c r="AD251" s="250"/>
      <c r="AE251" s="87"/>
      <c r="AF251" s="88" t="s">
        <v>4638</v>
      </c>
      <c r="AG251" s="88" t="s">
        <v>2090</v>
      </c>
      <c r="AH251" s="88" t="s">
        <v>2137</v>
      </c>
      <c r="AI251" s="224" t="s">
        <v>2179</v>
      </c>
      <c r="AJ251" s="225">
        <v>2</v>
      </c>
      <c r="AK251" s="224" t="s">
        <v>2374</v>
      </c>
      <c r="AL251" s="224" t="s">
        <v>2375</v>
      </c>
      <c r="AM251" s="224" t="s">
        <v>2099</v>
      </c>
      <c r="AN251" s="224" t="s">
        <v>2376</v>
      </c>
    </row>
    <row r="252" spans="1:40" s="86" customFormat="1" ht="59.25" customHeight="1">
      <c r="A252" s="402">
        <v>271309</v>
      </c>
      <c r="B252" s="89" t="s">
        <v>462</v>
      </c>
      <c r="C252" s="89" t="s">
        <v>463</v>
      </c>
      <c r="D252" s="88">
        <v>2600</v>
      </c>
      <c r="E252" s="88" t="s">
        <v>464</v>
      </c>
      <c r="F252" s="88" t="s">
        <v>465</v>
      </c>
      <c r="G252" s="88" t="s">
        <v>954</v>
      </c>
      <c r="H252" s="88" t="s">
        <v>591</v>
      </c>
      <c r="I252" s="88" t="s">
        <v>40</v>
      </c>
      <c r="J252" s="89" t="s">
        <v>5279</v>
      </c>
      <c r="K252" s="103" t="s">
        <v>1402</v>
      </c>
      <c r="L252" s="403" t="s">
        <v>26</v>
      </c>
      <c r="M252" s="199">
        <v>45473</v>
      </c>
      <c r="N252" s="105">
        <v>44364</v>
      </c>
      <c r="O252" s="105"/>
      <c r="P252" s="203" t="s">
        <v>5347</v>
      </c>
      <c r="Q252" s="203" t="s">
        <v>2542</v>
      </c>
      <c r="R252" s="203"/>
      <c r="S252" s="203"/>
      <c r="T252" s="87" t="s">
        <v>5807</v>
      </c>
      <c r="U252" s="87" t="s">
        <v>1568</v>
      </c>
      <c r="V252" s="87"/>
      <c r="W252" s="88" t="s">
        <v>1568</v>
      </c>
      <c r="X252" s="249" t="s">
        <v>3882</v>
      </c>
      <c r="Y252" s="88" t="s">
        <v>2030</v>
      </c>
      <c r="Z252" s="250"/>
      <c r="AA252" s="87" t="s">
        <v>2263</v>
      </c>
      <c r="AB252" s="250" t="s">
        <v>2072</v>
      </c>
      <c r="AC252" s="250"/>
      <c r="AD252" s="250"/>
      <c r="AE252" s="87"/>
      <c r="AF252" s="88" t="s">
        <v>5279</v>
      </c>
      <c r="AG252" s="88" t="s">
        <v>2073</v>
      </c>
      <c r="AH252" s="88" t="s">
        <v>2074</v>
      </c>
      <c r="AI252" s="224" t="s">
        <v>2075</v>
      </c>
      <c r="AJ252" s="225">
        <v>3</v>
      </c>
      <c r="AK252" s="224" t="s">
        <v>2076</v>
      </c>
      <c r="AL252" s="224" t="s">
        <v>2264</v>
      </c>
      <c r="AM252" s="224" t="s">
        <v>2077</v>
      </c>
      <c r="AN252" s="224"/>
    </row>
    <row r="253" spans="1:40" s="86" customFormat="1" ht="59.25" customHeight="1">
      <c r="A253" s="402">
        <v>273158</v>
      </c>
      <c r="B253" s="89" t="s">
        <v>466</v>
      </c>
      <c r="C253" s="89" t="s">
        <v>467</v>
      </c>
      <c r="D253" s="88">
        <v>32901</v>
      </c>
      <c r="E253" s="88" t="s">
        <v>468</v>
      </c>
      <c r="F253" s="88" t="s">
        <v>51</v>
      </c>
      <c r="G253" s="88" t="s">
        <v>955</v>
      </c>
      <c r="H253" s="88" t="s">
        <v>591</v>
      </c>
      <c r="I253" s="88" t="s">
        <v>40</v>
      </c>
      <c r="J253" s="89" t="s">
        <v>5282</v>
      </c>
      <c r="K253" s="103" t="s">
        <v>1233</v>
      </c>
      <c r="L253" s="403" t="s">
        <v>26</v>
      </c>
      <c r="M253" s="199">
        <v>45077</v>
      </c>
      <c r="N253" s="105">
        <v>44347</v>
      </c>
      <c r="O253" s="105"/>
      <c r="P253" s="203" t="s">
        <v>5239</v>
      </c>
      <c r="Q253" s="203" t="s">
        <v>1771</v>
      </c>
      <c r="R253" s="203" t="s">
        <v>1995</v>
      </c>
      <c r="S253" s="203"/>
      <c r="T253" s="87" t="s">
        <v>4541</v>
      </c>
      <c r="U253" s="87" t="s">
        <v>1574</v>
      </c>
      <c r="V253" s="87"/>
      <c r="W253" s="88" t="s">
        <v>1568</v>
      </c>
      <c r="X253" s="249" t="s">
        <v>5228</v>
      </c>
      <c r="Y253" s="88"/>
      <c r="Z253" s="250"/>
      <c r="AA253" s="87" t="s">
        <v>2280</v>
      </c>
      <c r="AB253" s="250" t="s">
        <v>2072</v>
      </c>
      <c r="AC253" s="250"/>
      <c r="AD253" s="250"/>
      <c r="AE253" s="87"/>
      <c r="AF253" s="88" t="s">
        <v>4441</v>
      </c>
      <c r="AG253" s="88" t="s">
        <v>2073</v>
      </c>
      <c r="AH253" s="88" t="s">
        <v>2074</v>
      </c>
      <c r="AI253" s="224" t="s">
        <v>2075</v>
      </c>
      <c r="AJ253" s="225">
        <v>2</v>
      </c>
      <c r="AK253" s="224" t="s">
        <v>2076</v>
      </c>
      <c r="AL253" s="224" t="s">
        <v>2498</v>
      </c>
      <c r="AM253" s="224" t="s">
        <v>2077</v>
      </c>
      <c r="AN253" s="224" t="s">
        <v>2281</v>
      </c>
    </row>
    <row r="254" spans="1:40" s="86" customFormat="1" ht="59.25" customHeight="1">
      <c r="A254" s="402">
        <v>273520</v>
      </c>
      <c r="B254" s="89" t="s">
        <v>746</v>
      </c>
      <c r="C254" s="89" t="s">
        <v>2509</v>
      </c>
      <c r="D254" s="88">
        <v>71711</v>
      </c>
      <c r="E254" s="88" t="s">
        <v>2510</v>
      </c>
      <c r="F254" s="88" t="s">
        <v>55</v>
      </c>
      <c r="G254" s="88" t="s">
        <v>2511</v>
      </c>
      <c r="H254" s="88" t="s">
        <v>591</v>
      </c>
      <c r="I254" s="88" t="s">
        <v>40</v>
      </c>
      <c r="J254" s="89" t="s">
        <v>5283</v>
      </c>
      <c r="K254" s="103" t="s">
        <v>1233</v>
      </c>
      <c r="L254" s="403" t="s">
        <v>26</v>
      </c>
      <c r="M254" s="199">
        <v>45230</v>
      </c>
      <c r="N254" s="105">
        <v>44490</v>
      </c>
      <c r="O254" s="105"/>
      <c r="P254" s="203" t="s">
        <v>4942</v>
      </c>
      <c r="Q254" s="203" t="s">
        <v>2514</v>
      </c>
      <c r="R254" s="203"/>
      <c r="S254" s="203"/>
      <c r="T254" s="87" t="s">
        <v>2518</v>
      </c>
      <c r="U254" s="87" t="s">
        <v>1568</v>
      </c>
      <c r="V254" s="87"/>
      <c r="W254" s="88" t="s">
        <v>1568</v>
      </c>
      <c r="X254" s="249" t="s">
        <v>3883</v>
      </c>
      <c r="Y254" s="88"/>
      <c r="Z254" s="250" t="s">
        <v>2521</v>
      </c>
      <c r="AA254" s="87" t="s">
        <v>2319</v>
      </c>
      <c r="AB254" s="250" t="s">
        <v>2079</v>
      </c>
      <c r="AC254" s="250" t="s">
        <v>2524</v>
      </c>
      <c r="AD254" s="250"/>
      <c r="AE254" s="87" t="s">
        <v>2521</v>
      </c>
      <c r="AF254" s="88" t="s">
        <v>5283</v>
      </c>
      <c r="AG254" s="88" t="s">
        <v>2073</v>
      </c>
      <c r="AH254" s="88" t="s">
        <v>2074</v>
      </c>
      <c r="AI254" s="224" t="s">
        <v>2075</v>
      </c>
      <c r="AJ254" s="225">
        <v>2</v>
      </c>
      <c r="AK254" s="224" t="s">
        <v>2076</v>
      </c>
      <c r="AL254" s="224" t="s">
        <v>2320</v>
      </c>
      <c r="AM254" s="224" t="s">
        <v>2099</v>
      </c>
      <c r="AN254" s="224" t="s">
        <v>2321</v>
      </c>
    </row>
    <row r="255" spans="1:40" s="86" customFormat="1" ht="59.25" customHeight="1">
      <c r="A255" s="402">
        <v>273521</v>
      </c>
      <c r="B255" s="89" t="s">
        <v>1235</v>
      </c>
      <c r="C255" s="89" t="s">
        <v>469</v>
      </c>
      <c r="D255" s="88">
        <v>19311</v>
      </c>
      <c r="E255" s="88" t="s">
        <v>470</v>
      </c>
      <c r="F255" s="88" t="s">
        <v>47</v>
      </c>
      <c r="G255" s="88" t="s">
        <v>1244</v>
      </c>
      <c r="H255" s="88" t="s">
        <v>591</v>
      </c>
      <c r="I255" s="88" t="s">
        <v>40</v>
      </c>
      <c r="J255" s="89" t="s">
        <v>5283</v>
      </c>
      <c r="K255" s="103" t="s">
        <v>1233</v>
      </c>
      <c r="L255" s="403" t="s">
        <v>26</v>
      </c>
      <c r="M255" s="199">
        <v>45230</v>
      </c>
      <c r="N255" s="105">
        <v>44470</v>
      </c>
      <c r="O255" s="105"/>
      <c r="P255" s="203" t="s">
        <v>5037</v>
      </c>
      <c r="Q255" s="203" t="s">
        <v>1772</v>
      </c>
      <c r="R255" s="203" t="s">
        <v>1996</v>
      </c>
      <c r="S255" s="203"/>
      <c r="T255" s="87" t="s">
        <v>5808</v>
      </c>
      <c r="U255" s="87" t="s">
        <v>1578</v>
      </c>
      <c r="V255" s="87"/>
      <c r="W255" s="88" t="s">
        <v>1568</v>
      </c>
      <c r="X255" s="249" t="s">
        <v>4955</v>
      </c>
      <c r="Y255" s="88"/>
      <c r="Z255" s="250"/>
      <c r="AA255" s="87" t="s">
        <v>2319</v>
      </c>
      <c r="AB255" s="250" t="s">
        <v>2072</v>
      </c>
      <c r="AC255" s="250"/>
      <c r="AD255" s="250"/>
      <c r="AE255" s="87"/>
      <c r="AF255" s="88" t="s">
        <v>5283</v>
      </c>
      <c r="AG255" s="88" t="s">
        <v>2073</v>
      </c>
      <c r="AH255" s="88" t="s">
        <v>2074</v>
      </c>
      <c r="AI255" s="224" t="s">
        <v>2075</v>
      </c>
      <c r="AJ255" s="225">
        <v>2</v>
      </c>
      <c r="AK255" s="224" t="s">
        <v>2076</v>
      </c>
      <c r="AL255" s="224" t="s">
        <v>2320</v>
      </c>
      <c r="AM255" s="224" t="s">
        <v>2099</v>
      </c>
      <c r="AN255" s="224" t="s">
        <v>2321</v>
      </c>
    </row>
    <row r="256" spans="1:40" s="86" customFormat="1" ht="59.25" customHeight="1">
      <c r="A256" s="402">
        <v>273986</v>
      </c>
      <c r="B256" s="89" t="s">
        <v>4649</v>
      </c>
      <c r="C256" s="89" t="s">
        <v>4650</v>
      </c>
      <c r="D256" s="88">
        <v>54341</v>
      </c>
      <c r="E256" s="88" t="s">
        <v>380</v>
      </c>
      <c r="F256" s="88" t="s">
        <v>381</v>
      </c>
      <c r="G256" s="88"/>
      <c r="H256" s="88" t="s">
        <v>591</v>
      </c>
      <c r="I256" s="88" t="s">
        <v>40</v>
      </c>
      <c r="J256" s="89" t="s">
        <v>1421</v>
      </c>
      <c r="K256" s="103" t="s">
        <v>1402</v>
      </c>
      <c r="L256" s="403" t="s">
        <v>26</v>
      </c>
      <c r="M256" s="199">
        <v>45533</v>
      </c>
      <c r="N256" s="105">
        <v>44439</v>
      </c>
      <c r="O256" s="105"/>
      <c r="P256" s="203" t="s">
        <v>5194</v>
      </c>
      <c r="Q256" s="203" t="s">
        <v>4655</v>
      </c>
      <c r="R256" s="203"/>
      <c r="S256" s="203"/>
      <c r="T256" s="87" t="s">
        <v>4663</v>
      </c>
      <c r="U256" s="87"/>
      <c r="V256" s="87"/>
      <c r="W256" s="88"/>
      <c r="X256" s="249"/>
      <c r="Y256" s="88"/>
      <c r="Z256" s="250"/>
      <c r="AA256" s="87" t="s">
        <v>2240</v>
      </c>
      <c r="AB256" s="250" t="s">
        <v>2072</v>
      </c>
      <c r="AC256" s="250"/>
      <c r="AD256" s="250"/>
      <c r="AE256" s="87"/>
      <c r="AF256" s="88" t="s">
        <v>1421</v>
      </c>
      <c r="AG256" s="88" t="s">
        <v>2092</v>
      </c>
      <c r="AH256" s="88"/>
      <c r="AI256" s="224"/>
      <c r="AJ256" s="225">
        <v>4</v>
      </c>
      <c r="AK256" s="224"/>
      <c r="AL256" s="224"/>
      <c r="AM256" s="224" t="s">
        <v>2087</v>
      </c>
      <c r="AN256" s="224"/>
    </row>
    <row r="257" spans="1:40" s="86" customFormat="1" ht="59.25" customHeight="1">
      <c r="A257" s="402">
        <v>274446</v>
      </c>
      <c r="B257" s="89" t="s">
        <v>471</v>
      </c>
      <c r="C257" s="89" t="s">
        <v>472</v>
      </c>
      <c r="D257" s="88">
        <v>33693</v>
      </c>
      <c r="E257" s="88" t="s">
        <v>473</v>
      </c>
      <c r="F257" s="88" t="s">
        <v>47</v>
      </c>
      <c r="G257" s="88" t="s">
        <v>956</v>
      </c>
      <c r="H257" s="88" t="s">
        <v>591</v>
      </c>
      <c r="I257" s="88" t="s">
        <v>41</v>
      </c>
      <c r="J257" s="89" t="s">
        <v>1336</v>
      </c>
      <c r="K257" s="103" t="s">
        <v>1233</v>
      </c>
      <c r="L257" s="403" t="s">
        <v>26</v>
      </c>
      <c r="M257" s="199">
        <v>45260</v>
      </c>
      <c r="N257" s="105">
        <v>44397</v>
      </c>
      <c r="O257" s="105"/>
      <c r="P257" s="203" t="s">
        <v>5572</v>
      </c>
      <c r="Q257" s="203" t="s">
        <v>1773</v>
      </c>
      <c r="R257" s="203" t="s">
        <v>1997</v>
      </c>
      <c r="S257" s="203"/>
      <c r="T257" s="87" t="s">
        <v>5495</v>
      </c>
      <c r="U257" s="87" t="s">
        <v>1572</v>
      </c>
      <c r="V257" s="87"/>
      <c r="W257" s="88" t="s">
        <v>1571</v>
      </c>
      <c r="X257" s="249" t="s">
        <v>5499</v>
      </c>
      <c r="Y257" s="88"/>
      <c r="Z257" s="250"/>
      <c r="AA257" s="87" t="s">
        <v>2377</v>
      </c>
      <c r="AB257" s="250" t="s">
        <v>2090</v>
      </c>
      <c r="AC257" s="250"/>
      <c r="AD257" s="250"/>
      <c r="AE257" s="87"/>
      <c r="AF257" s="88" t="s">
        <v>1336</v>
      </c>
      <c r="AG257" s="88" t="s">
        <v>2104</v>
      </c>
      <c r="AH257" s="88"/>
      <c r="AI257" s="224" t="s">
        <v>2248</v>
      </c>
      <c r="AJ257" s="225">
        <v>1</v>
      </c>
      <c r="AK257" s="224" t="s">
        <v>2107</v>
      </c>
      <c r="AL257" s="224" t="s">
        <v>2378</v>
      </c>
      <c r="AM257" s="224" t="s">
        <v>2217</v>
      </c>
      <c r="AN257" s="224" t="s">
        <v>2379</v>
      </c>
    </row>
    <row r="258" spans="1:40" s="86" customFormat="1" ht="59.25" customHeight="1">
      <c r="A258" s="402">
        <v>274446</v>
      </c>
      <c r="B258" s="89" t="s">
        <v>471</v>
      </c>
      <c r="C258" s="89" t="s">
        <v>472</v>
      </c>
      <c r="D258" s="88">
        <v>33693</v>
      </c>
      <c r="E258" s="88" t="s">
        <v>473</v>
      </c>
      <c r="F258" s="88" t="s">
        <v>47</v>
      </c>
      <c r="G258" s="88" t="s">
        <v>956</v>
      </c>
      <c r="H258" s="88" t="s">
        <v>591</v>
      </c>
      <c r="I258" s="88" t="s">
        <v>40</v>
      </c>
      <c r="J258" s="89" t="s">
        <v>1336</v>
      </c>
      <c r="K258" s="103" t="s">
        <v>1402</v>
      </c>
      <c r="L258" s="403" t="s">
        <v>26</v>
      </c>
      <c r="M258" s="199">
        <v>45351</v>
      </c>
      <c r="N258" s="105">
        <v>44620</v>
      </c>
      <c r="O258" s="105"/>
      <c r="P258" s="203" t="s">
        <v>5572</v>
      </c>
      <c r="Q258" s="203" t="s">
        <v>1773</v>
      </c>
      <c r="R258" s="203" t="s">
        <v>1997</v>
      </c>
      <c r="S258" s="203"/>
      <c r="T258" s="87" t="s">
        <v>5495</v>
      </c>
      <c r="U258" s="87" t="s">
        <v>1572</v>
      </c>
      <c r="V258" s="87"/>
      <c r="W258" s="88" t="s">
        <v>1571</v>
      </c>
      <c r="X258" s="249" t="s">
        <v>5499</v>
      </c>
      <c r="Y258" s="88"/>
      <c r="Z258" s="250"/>
      <c r="AA258" s="87" t="s">
        <v>2377</v>
      </c>
      <c r="AB258" s="250" t="s">
        <v>2090</v>
      </c>
      <c r="AC258" s="250"/>
      <c r="AD258" s="250"/>
      <c r="AE258" s="87"/>
      <c r="AF258" s="88" t="s">
        <v>1336</v>
      </c>
      <c r="AG258" s="88" t="s">
        <v>2090</v>
      </c>
      <c r="AH258" s="88" t="s">
        <v>2105</v>
      </c>
      <c r="AI258" s="224" t="s">
        <v>2380</v>
      </c>
      <c r="AJ258" s="225">
        <v>2</v>
      </c>
      <c r="AK258" s="224" t="s">
        <v>2107</v>
      </c>
      <c r="AL258" s="224" t="s">
        <v>2381</v>
      </c>
      <c r="AM258" s="224" t="s">
        <v>2099</v>
      </c>
      <c r="AN258" s="224" t="s">
        <v>2382</v>
      </c>
    </row>
    <row r="259" spans="1:40" s="86" customFormat="1" ht="59.25" customHeight="1">
      <c r="A259" s="402">
        <v>274446</v>
      </c>
      <c r="B259" s="89" t="s">
        <v>471</v>
      </c>
      <c r="C259" s="89" t="s">
        <v>472</v>
      </c>
      <c r="D259" s="88">
        <v>33693</v>
      </c>
      <c r="E259" s="88" t="s">
        <v>473</v>
      </c>
      <c r="F259" s="88" t="s">
        <v>47</v>
      </c>
      <c r="G259" s="88" t="s">
        <v>956</v>
      </c>
      <c r="H259" s="88" t="s">
        <v>591</v>
      </c>
      <c r="I259" s="88" t="s">
        <v>1100</v>
      </c>
      <c r="J259" s="89" t="s">
        <v>1336</v>
      </c>
      <c r="K259" s="103" t="s">
        <v>1233</v>
      </c>
      <c r="L259" s="403" t="s">
        <v>26</v>
      </c>
      <c r="M259" s="199">
        <v>45260</v>
      </c>
      <c r="N259" s="105">
        <v>44746</v>
      </c>
      <c r="O259" s="105"/>
      <c r="P259" s="203" t="s">
        <v>5572</v>
      </c>
      <c r="Q259" s="203" t="s">
        <v>1773</v>
      </c>
      <c r="R259" s="203" t="s">
        <v>1997</v>
      </c>
      <c r="S259" s="203"/>
      <c r="T259" s="87" t="s">
        <v>5495</v>
      </c>
      <c r="U259" s="87" t="s">
        <v>1579</v>
      </c>
      <c r="V259" s="87"/>
      <c r="W259" s="88" t="s">
        <v>1568</v>
      </c>
      <c r="X259" s="249" t="s">
        <v>5500</v>
      </c>
      <c r="Y259" s="88"/>
      <c r="Z259" s="250"/>
      <c r="AA259" s="87" t="s">
        <v>5020</v>
      </c>
      <c r="AB259" s="250" t="s">
        <v>2120</v>
      </c>
      <c r="AC259" s="250"/>
      <c r="AD259" s="250"/>
      <c r="AE259" s="87"/>
      <c r="AF259" s="88" t="s">
        <v>1336</v>
      </c>
      <c r="AG259" s="88" t="s">
        <v>2258</v>
      </c>
      <c r="AH259" s="88"/>
      <c r="AI259" s="224"/>
      <c r="AJ259" s="225">
        <v>1</v>
      </c>
      <c r="AK259" s="224"/>
      <c r="AL259" s="224"/>
      <c r="AM259" s="224"/>
      <c r="AN259" s="224"/>
    </row>
    <row r="260" spans="1:40" s="86" customFormat="1" ht="59.25" customHeight="1">
      <c r="A260" s="402">
        <v>274446</v>
      </c>
      <c r="B260" s="89" t="s">
        <v>471</v>
      </c>
      <c r="C260" s="89" t="s">
        <v>472</v>
      </c>
      <c r="D260" s="88">
        <v>33693</v>
      </c>
      <c r="E260" s="88" t="s">
        <v>473</v>
      </c>
      <c r="F260" s="88" t="s">
        <v>47</v>
      </c>
      <c r="G260" s="88" t="s">
        <v>956</v>
      </c>
      <c r="H260" s="88" t="s">
        <v>591</v>
      </c>
      <c r="I260" s="88" t="s">
        <v>685</v>
      </c>
      <c r="J260" s="89" t="s">
        <v>1336</v>
      </c>
      <c r="K260" s="103" t="s">
        <v>1233</v>
      </c>
      <c r="L260" s="403" t="s">
        <v>26</v>
      </c>
      <c r="M260" s="199">
        <v>45260</v>
      </c>
      <c r="N260" s="105">
        <v>44746</v>
      </c>
      <c r="O260" s="105"/>
      <c r="P260" s="203" t="s">
        <v>5572</v>
      </c>
      <c r="Q260" s="203" t="s">
        <v>1773</v>
      </c>
      <c r="R260" s="203" t="s">
        <v>1997</v>
      </c>
      <c r="S260" s="203"/>
      <c r="T260" s="87" t="s">
        <v>5495</v>
      </c>
      <c r="U260" s="87" t="s">
        <v>1579</v>
      </c>
      <c r="V260" s="87"/>
      <c r="W260" s="88" t="s">
        <v>1568</v>
      </c>
      <c r="X260" s="249" t="s">
        <v>5500</v>
      </c>
      <c r="Y260" s="88"/>
      <c r="Z260" s="250"/>
      <c r="AA260" s="87" t="s">
        <v>5020</v>
      </c>
      <c r="AB260" s="250" t="s">
        <v>2120</v>
      </c>
      <c r="AC260" s="250"/>
      <c r="AD260" s="250"/>
      <c r="AE260" s="87"/>
      <c r="AF260" s="88" t="s">
        <v>1336</v>
      </c>
      <c r="AG260" s="88" t="s">
        <v>2258</v>
      </c>
      <c r="AH260" s="88"/>
      <c r="AI260" s="224"/>
      <c r="AJ260" s="225">
        <v>1</v>
      </c>
      <c r="AK260" s="224"/>
      <c r="AL260" s="224"/>
      <c r="AM260" s="224"/>
      <c r="AN260" s="224"/>
    </row>
    <row r="261" spans="1:40" s="86" customFormat="1" ht="59.25" customHeight="1">
      <c r="A261" s="402">
        <v>274888</v>
      </c>
      <c r="B261" s="89" t="s">
        <v>1250</v>
      </c>
      <c r="C261" s="89" t="s">
        <v>474</v>
      </c>
      <c r="D261" s="88">
        <v>36100</v>
      </c>
      <c r="E261" s="88" t="s">
        <v>475</v>
      </c>
      <c r="F261" s="88" t="s">
        <v>47</v>
      </c>
      <c r="G261" s="88" t="s">
        <v>957</v>
      </c>
      <c r="H261" s="88" t="s">
        <v>591</v>
      </c>
      <c r="I261" s="88" t="s">
        <v>40</v>
      </c>
      <c r="J261" s="89" t="s">
        <v>5449</v>
      </c>
      <c r="K261" s="103" t="s">
        <v>1402</v>
      </c>
      <c r="L261" s="403" t="s">
        <v>26</v>
      </c>
      <c r="M261" s="199">
        <v>45350</v>
      </c>
      <c r="N261" s="105">
        <v>44434</v>
      </c>
      <c r="O261" s="105"/>
      <c r="P261" s="203" t="s">
        <v>4602</v>
      </c>
      <c r="Q261" s="203" t="s">
        <v>1774</v>
      </c>
      <c r="R261" s="203" t="s">
        <v>1998</v>
      </c>
      <c r="S261" s="203"/>
      <c r="T261" s="87" t="s">
        <v>5809</v>
      </c>
      <c r="U261" s="87" t="s">
        <v>1569</v>
      </c>
      <c r="V261" s="87"/>
      <c r="W261" s="88" t="s">
        <v>1568</v>
      </c>
      <c r="X261" s="249" t="s">
        <v>4927</v>
      </c>
      <c r="Y261" s="88"/>
      <c r="Z261" s="250"/>
      <c r="AA261" s="87" t="s">
        <v>2097</v>
      </c>
      <c r="AB261" s="250" t="s">
        <v>2072</v>
      </c>
      <c r="AC261" s="250"/>
      <c r="AD261" s="250"/>
      <c r="AE261" s="87"/>
      <c r="AF261" s="88" t="s">
        <v>5449</v>
      </c>
      <c r="AG261" s="88" t="s">
        <v>2073</v>
      </c>
      <c r="AH261" s="88" t="s">
        <v>2074</v>
      </c>
      <c r="AI261" s="224" t="s">
        <v>2075</v>
      </c>
      <c r="AJ261" s="225">
        <v>2</v>
      </c>
      <c r="AK261" s="224" t="s">
        <v>2076</v>
      </c>
      <c r="AL261" s="224" t="s">
        <v>2098</v>
      </c>
      <c r="AM261" s="224" t="s">
        <v>2099</v>
      </c>
      <c r="AN261" s="224"/>
    </row>
    <row r="262" spans="1:40" s="86" customFormat="1" ht="59.25" customHeight="1">
      <c r="A262" s="402">
        <v>275410</v>
      </c>
      <c r="B262" s="89" t="s">
        <v>1133</v>
      </c>
      <c r="C262" s="89" t="s">
        <v>958</v>
      </c>
      <c r="D262" s="88">
        <v>195</v>
      </c>
      <c r="E262" s="88" t="s">
        <v>959</v>
      </c>
      <c r="F262" s="88" t="s">
        <v>98</v>
      </c>
      <c r="G262" s="88" t="s">
        <v>4385</v>
      </c>
      <c r="H262" s="88" t="s">
        <v>591</v>
      </c>
      <c r="I262" s="88" t="s">
        <v>737</v>
      </c>
      <c r="J262" s="89" t="s">
        <v>5449</v>
      </c>
      <c r="K262" s="103" t="s">
        <v>1402</v>
      </c>
      <c r="L262" s="403" t="s">
        <v>26</v>
      </c>
      <c r="M262" s="199">
        <v>44985</v>
      </c>
      <c r="N262" s="105">
        <v>43868</v>
      </c>
      <c r="O262" s="105"/>
      <c r="P262" s="203"/>
      <c r="Q262" s="203"/>
      <c r="R262" s="203"/>
      <c r="S262" s="203"/>
      <c r="T262" s="87" t="s">
        <v>5810</v>
      </c>
      <c r="U262" s="87"/>
      <c r="V262" s="87"/>
      <c r="W262" s="88"/>
      <c r="X262" s="249"/>
      <c r="Y262" s="88"/>
      <c r="Z262" s="250"/>
      <c r="AA262" s="87"/>
      <c r="AB262" s="250"/>
      <c r="AC262" s="250"/>
      <c r="AD262" s="250"/>
      <c r="AE262" s="87"/>
      <c r="AF262" s="88"/>
      <c r="AG262" s="88"/>
      <c r="AH262" s="88"/>
      <c r="AI262" s="224"/>
      <c r="AJ262" s="225"/>
      <c r="AK262" s="224"/>
      <c r="AL262" s="224"/>
      <c r="AM262" s="224"/>
      <c r="AN262" s="224"/>
    </row>
    <row r="263" spans="1:40" s="86" customFormat="1" ht="59.25" customHeight="1">
      <c r="A263" s="402">
        <v>275809</v>
      </c>
      <c r="B263" s="89" t="s">
        <v>5894</v>
      </c>
      <c r="C263" s="89" t="s">
        <v>5895</v>
      </c>
      <c r="D263" s="88">
        <v>17462</v>
      </c>
      <c r="E263" s="88" t="s">
        <v>380</v>
      </c>
      <c r="F263" s="88" t="s">
        <v>381</v>
      </c>
      <c r="G263" s="88" t="s">
        <v>5896</v>
      </c>
      <c r="H263" s="88" t="s">
        <v>591</v>
      </c>
      <c r="I263" s="88" t="s">
        <v>40</v>
      </c>
      <c r="J263" s="89" t="s">
        <v>1277</v>
      </c>
      <c r="K263" s="103" t="s">
        <v>1402</v>
      </c>
      <c r="L263" s="403" t="s">
        <v>26</v>
      </c>
      <c r="M263" s="199">
        <v>45716</v>
      </c>
      <c r="N263" s="105">
        <v>44603</v>
      </c>
      <c r="O263" s="105"/>
      <c r="P263" s="203" t="s">
        <v>5038</v>
      </c>
      <c r="Q263" s="203" t="s">
        <v>5042</v>
      </c>
      <c r="R263" s="203"/>
      <c r="S263" s="203"/>
      <c r="T263" s="87" t="s">
        <v>5085</v>
      </c>
      <c r="U263" s="87" t="s">
        <v>1571</v>
      </c>
      <c r="V263" s="87"/>
      <c r="W263" s="88" t="s">
        <v>1571</v>
      </c>
      <c r="X263" s="249" t="s">
        <v>3885</v>
      </c>
      <c r="Y263" s="88"/>
      <c r="Z263" s="250" t="s">
        <v>2042</v>
      </c>
      <c r="AA263" s="87" t="s">
        <v>2383</v>
      </c>
      <c r="AB263" s="250" t="s">
        <v>2079</v>
      </c>
      <c r="AC263" s="250" t="s">
        <v>2384</v>
      </c>
      <c r="AD263" s="250"/>
      <c r="AE263" s="87" t="s">
        <v>2042</v>
      </c>
      <c r="AF263" s="88" t="s">
        <v>1277</v>
      </c>
      <c r="AG263" s="88" t="s">
        <v>2079</v>
      </c>
      <c r="AH263" s="88" t="s">
        <v>2113</v>
      </c>
      <c r="AI263" s="224"/>
      <c r="AJ263" s="225">
        <v>4</v>
      </c>
      <c r="AK263" s="224" t="s">
        <v>2085</v>
      </c>
      <c r="AL263" s="224" t="s">
        <v>2385</v>
      </c>
      <c r="AM263" s="224" t="s">
        <v>2087</v>
      </c>
      <c r="AN263" s="224"/>
    </row>
    <row r="264" spans="1:40" s="86" customFormat="1" ht="59.25" customHeight="1">
      <c r="A264" s="402">
        <v>277046</v>
      </c>
      <c r="B264" s="89" t="s">
        <v>476</v>
      </c>
      <c r="C264" s="89" t="s">
        <v>477</v>
      </c>
      <c r="D264" s="88">
        <v>35801</v>
      </c>
      <c r="E264" s="88" t="s">
        <v>478</v>
      </c>
      <c r="F264" s="88" t="s">
        <v>47</v>
      </c>
      <c r="G264" s="88" t="s">
        <v>960</v>
      </c>
      <c r="H264" s="88" t="s">
        <v>591</v>
      </c>
      <c r="I264" s="88" t="s">
        <v>40</v>
      </c>
      <c r="J264" s="89" t="s">
        <v>1336</v>
      </c>
      <c r="K264" s="103" t="s">
        <v>1402</v>
      </c>
      <c r="L264" s="403" t="s">
        <v>26</v>
      </c>
      <c r="M264" s="199">
        <v>45351</v>
      </c>
      <c r="N264" s="105">
        <v>44616</v>
      </c>
      <c r="O264" s="105"/>
      <c r="P264" s="203" t="s">
        <v>5420</v>
      </c>
      <c r="Q264" s="203" t="s">
        <v>1775</v>
      </c>
      <c r="R264" s="203"/>
      <c r="S264" s="203"/>
      <c r="T264" s="87" t="s">
        <v>5086</v>
      </c>
      <c r="U264" s="87" t="s">
        <v>1571</v>
      </c>
      <c r="V264" s="87"/>
      <c r="W264" s="88" t="s">
        <v>1571</v>
      </c>
      <c r="X264" s="249" t="s">
        <v>4896</v>
      </c>
      <c r="Y264" s="88"/>
      <c r="Z264" s="250"/>
      <c r="AA264" s="87" t="s">
        <v>2377</v>
      </c>
      <c r="AB264" s="250" t="s">
        <v>2090</v>
      </c>
      <c r="AC264" s="250"/>
      <c r="AD264" s="250"/>
      <c r="AE264" s="87"/>
      <c r="AF264" s="88" t="s">
        <v>1336</v>
      </c>
      <c r="AG264" s="88" t="s">
        <v>2090</v>
      </c>
      <c r="AH264" s="88" t="s">
        <v>2105</v>
      </c>
      <c r="AI264" s="224" t="s">
        <v>2380</v>
      </c>
      <c r="AJ264" s="225">
        <v>2</v>
      </c>
      <c r="AK264" s="224" t="s">
        <v>2107</v>
      </c>
      <c r="AL264" s="224" t="s">
        <v>2381</v>
      </c>
      <c r="AM264" s="224" t="s">
        <v>2099</v>
      </c>
      <c r="AN264" s="224" t="s">
        <v>2382</v>
      </c>
    </row>
    <row r="265" spans="1:40" s="86" customFormat="1" ht="59.25" customHeight="1">
      <c r="A265" s="402">
        <v>278127</v>
      </c>
      <c r="B265" s="89" t="s">
        <v>1424</v>
      </c>
      <c r="C265" s="89" t="s">
        <v>1425</v>
      </c>
      <c r="D265" s="88">
        <v>201203</v>
      </c>
      <c r="E265" s="88" t="s">
        <v>1426</v>
      </c>
      <c r="F265" s="88" t="s">
        <v>175</v>
      </c>
      <c r="G265" s="88" t="s">
        <v>1427</v>
      </c>
      <c r="H265" s="88" t="s">
        <v>591</v>
      </c>
      <c r="I265" s="88" t="s">
        <v>737</v>
      </c>
      <c r="J265" s="89" t="s">
        <v>5281</v>
      </c>
      <c r="K265" s="103" t="s">
        <v>1233</v>
      </c>
      <c r="L265" s="403" t="s">
        <v>26</v>
      </c>
      <c r="M265" s="199">
        <v>45077</v>
      </c>
      <c r="N265" s="105">
        <v>44705</v>
      </c>
      <c r="O265" s="105"/>
      <c r="P265" s="203"/>
      <c r="Q265" s="203"/>
      <c r="R265" s="203"/>
      <c r="S265" s="203"/>
      <c r="T265" s="87" t="s">
        <v>4717</v>
      </c>
      <c r="U265" s="87" t="s">
        <v>1568</v>
      </c>
      <c r="V265" s="87"/>
      <c r="W265" s="88" t="s">
        <v>1568</v>
      </c>
      <c r="X265" s="249" t="s">
        <v>4690</v>
      </c>
      <c r="Y265" s="88"/>
      <c r="Z265" s="250"/>
      <c r="AA265" s="87"/>
      <c r="AB265" s="250"/>
      <c r="AC265" s="250"/>
      <c r="AD265" s="250"/>
      <c r="AE265" s="87"/>
      <c r="AF265" s="88"/>
      <c r="AG265" s="88"/>
      <c r="AH265" s="88"/>
      <c r="AI265" s="224"/>
      <c r="AJ265" s="225"/>
      <c r="AK265" s="224"/>
      <c r="AL265" s="224"/>
      <c r="AM265" s="224"/>
      <c r="AN265" s="224"/>
    </row>
    <row r="266" spans="1:40" s="86" customFormat="1" ht="59.25" customHeight="1">
      <c r="A266" s="402">
        <v>284291</v>
      </c>
      <c r="B266" s="89" t="s">
        <v>479</v>
      </c>
      <c r="C266" s="89" t="s">
        <v>480</v>
      </c>
      <c r="D266" s="88" t="s">
        <v>481</v>
      </c>
      <c r="E266" s="88" t="s">
        <v>380</v>
      </c>
      <c r="F266" s="88" t="s">
        <v>381</v>
      </c>
      <c r="G266" s="88" t="s">
        <v>961</v>
      </c>
      <c r="H266" s="88" t="s">
        <v>591</v>
      </c>
      <c r="I266" s="88" t="s">
        <v>40</v>
      </c>
      <c r="J266" s="89" t="s">
        <v>5282</v>
      </c>
      <c r="K266" s="103" t="s">
        <v>1233</v>
      </c>
      <c r="L266" s="403" t="s">
        <v>26</v>
      </c>
      <c r="M266" s="199">
        <v>45412</v>
      </c>
      <c r="N266" s="105">
        <v>44672</v>
      </c>
      <c r="O266" s="105"/>
      <c r="P266" s="203" t="s">
        <v>4700</v>
      </c>
      <c r="Q266" s="203" t="s">
        <v>1776</v>
      </c>
      <c r="R266" s="203"/>
      <c r="S266" s="203"/>
      <c r="T266" s="87" t="s">
        <v>4628</v>
      </c>
      <c r="U266" s="87" t="s">
        <v>1571</v>
      </c>
      <c r="V266" s="87"/>
      <c r="W266" s="88" t="s">
        <v>1571</v>
      </c>
      <c r="X266" s="249" t="s">
        <v>4615</v>
      </c>
      <c r="Y266" s="88"/>
      <c r="Z266" s="250"/>
      <c r="AA266" s="87" t="s">
        <v>2171</v>
      </c>
      <c r="AB266" s="250" t="s">
        <v>2072</v>
      </c>
      <c r="AC266" s="250"/>
      <c r="AD266" s="250"/>
      <c r="AE266" s="87"/>
      <c r="AF266" s="88" t="s">
        <v>5282</v>
      </c>
      <c r="AG266" s="88" t="s">
        <v>2073</v>
      </c>
      <c r="AH266" s="88" t="s">
        <v>2093</v>
      </c>
      <c r="AI266" s="224"/>
      <c r="AJ266" s="225">
        <v>2</v>
      </c>
      <c r="AK266" s="224" t="s">
        <v>2076</v>
      </c>
      <c r="AL266" s="224" t="s">
        <v>2172</v>
      </c>
      <c r="AM266" s="224" t="s">
        <v>2077</v>
      </c>
      <c r="AN266" s="224"/>
    </row>
    <row r="267" spans="1:40" s="86" customFormat="1" ht="59.25" customHeight="1">
      <c r="A267" s="402">
        <v>284316</v>
      </c>
      <c r="B267" s="89" t="s">
        <v>634</v>
      </c>
      <c r="C267" s="89" t="s">
        <v>635</v>
      </c>
      <c r="D267" s="88">
        <v>49441</v>
      </c>
      <c r="E267" s="88" t="s">
        <v>636</v>
      </c>
      <c r="F267" s="88" t="s">
        <v>51</v>
      </c>
      <c r="G267" s="88" t="s">
        <v>637</v>
      </c>
      <c r="H267" s="88" t="s">
        <v>591</v>
      </c>
      <c r="I267" s="88" t="s">
        <v>737</v>
      </c>
      <c r="J267" s="89" t="s">
        <v>5281</v>
      </c>
      <c r="K267" s="103" t="s">
        <v>1233</v>
      </c>
      <c r="L267" s="403" t="s">
        <v>26</v>
      </c>
      <c r="M267" s="199">
        <v>45657</v>
      </c>
      <c r="N267" s="105">
        <v>44754</v>
      </c>
      <c r="O267" s="105"/>
      <c r="P267" s="203"/>
      <c r="Q267" s="203"/>
      <c r="R267" s="203"/>
      <c r="S267" s="203"/>
      <c r="T267" s="87" t="s">
        <v>1547</v>
      </c>
      <c r="U267" s="87" t="s">
        <v>1567</v>
      </c>
      <c r="V267" s="87"/>
      <c r="W267" s="88" t="s">
        <v>1576</v>
      </c>
      <c r="X267" s="249" t="s">
        <v>3887</v>
      </c>
      <c r="Y267" s="88"/>
      <c r="Z267" s="250"/>
      <c r="AA267" s="87"/>
      <c r="AB267" s="250"/>
      <c r="AC267" s="250"/>
      <c r="AD267" s="250"/>
      <c r="AE267" s="87"/>
      <c r="AF267" s="88"/>
      <c r="AG267" s="88"/>
      <c r="AH267" s="88"/>
      <c r="AI267" s="224"/>
      <c r="AJ267" s="225"/>
      <c r="AK267" s="224"/>
      <c r="AL267" s="224"/>
      <c r="AM267" s="224"/>
      <c r="AN267" s="224"/>
    </row>
    <row r="268" spans="1:40" s="86" customFormat="1" ht="59.25" customHeight="1">
      <c r="A268" s="402">
        <v>284407</v>
      </c>
      <c r="B268" s="89" t="s">
        <v>1380</v>
      </c>
      <c r="C268" s="89" t="s">
        <v>1381</v>
      </c>
      <c r="D268" s="88" t="s">
        <v>1382</v>
      </c>
      <c r="E268" s="88" t="s">
        <v>1383</v>
      </c>
      <c r="F268" s="88" t="s">
        <v>45</v>
      </c>
      <c r="G268" s="88"/>
      <c r="H268" s="88" t="s">
        <v>591</v>
      </c>
      <c r="I268" s="88" t="s">
        <v>1114</v>
      </c>
      <c r="J268" s="89" t="s">
        <v>1510</v>
      </c>
      <c r="K268" s="103" t="s">
        <v>1233</v>
      </c>
      <c r="L268" s="403" t="s">
        <v>26</v>
      </c>
      <c r="M268" s="199">
        <v>44895</v>
      </c>
      <c r="N268" s="105">
        <v>44160</v>
      </c>
      <c r="O268" s="105"/>
      <c r="P268" s="203"/>
      <c r="Q268" s="203"/>
      <c r="R268" s="203"/>
      <c r="S268" s="203"/>
      <c r="T268" s="87" t="s">
        <v>4833</v>
      </c>
      <c r="U268" s="87" t="s">
        <v>1576</v>
      </c>
      <c r="V268" s="87"/>
      <c r="W268" s="88" t="s">
        <v>1576</v>
      </c>
      <c r="X268" s="249" t="s">
        <v>4364</v>
      </c>
      <c r="Y268" s="88"/>
      <c r="Z268" s="250"/>
      <c r="AA268" s="87" t="s">
        <v>2386</v>
      </c>
      <c r="AB268" s="250" t="s">
        <v>2128</v>
      </c>
      <c r="AC268" s="250" t="s">
        <v>2129</v>
      </c>
      <c r="AD268" s="250"/>
      <c r="AE268" s="87"/>
      <c r="AF268" s="88" t="s">
        <v>1510</v>
      </c>
      <c r="AG268" s="88" t="s">
        <v>2128</v>
      </c>
      <c r="AH268" s="88"/>
      <c r="AI268" s="224"/>
      <c r="AJ268" s="225">
        <v>1</v>
      </c>
      <c r="AK268" s="224" t="s">
        <v>2107</v>
      </c>
      <c r="AL268" s="224" t="s">
        <v>2387</v>
      </c>
      <c r="AM268" s="224" t="s">
        <v>2131</v>
      </c>
      <c r="AN268" s="224"/>
    </row>
    <row r="269" spans="1:40" s="86" customFormat="1" ht="59.25" customHeight="1">
      <c r="A269" s="402">
        <v>284672</v>
      </c>
      <c r="B269" s="89" t="s">
        <v>1348</v>
      </c>
      <c r="C269" s="89" t="s">
        <v>1349</v>
      </c>
      <c r="D269" s="88">
        <v>80524</v>
      </c>
      <c r="E269" s="88" t="s">
        <v>1350</v>
      </c>
      <c r="F269" s="88" t="s">
        <v>51</v>
      </c>
      <c r="G269" s="88">
        <v>60029</v>
      </c>
      <c r="H269" s="88" t="s">
        <v>591</v>
      </c>
      <c r="I269" s="88" t="s">
        <v>40</v>
      </c>
      <c r="J269" s="89" t="s">
        <v>5280</v>
      </c>
      <c r="K269" s="103" t="s">
        <v>1233</v>
      </c>
      <c r="L269" s="403" t="s">
        <v>26</v>
      </c>
      <c r="M269" s="199">
        <v>45229</v>
      </c>
      <c r="N269" s="105">
        <v>44375</v>
      </c>
      <c r="O269" s="105"/>
      <c r="P269" s="203" t="s">
        <v>5460</v>
      </c>
      <c r="Q269" s="203" t="s">
        <v>5475</v>
      </c>
      <c r="R269" s="203"/>
      <c r="S269" s="203"/>
      <c r="T269" s="87" t="s">
        <v>5243</v>
      </c>
      <c r="U269" s="87" t="s">
        <v>1568</v>
      </c>
      <c r="V269" s="87"/>
      <c r="W269" s="88" t="s">
        <v>1568</v>
      </c>
      <c r="X269" s="249" t="s">
        <v>4432</v>
      </c>
      <c r="Y269" s="88"/>
      <c r="Z269" s="250" t="s">
        <v>2043</v>
      </c>
      <c r="AA269" s="87" t="s">
        <v>1068</v>
      </c>
      <c r="AB269" s="250" t="s">
        <v>2079</v>
      </c>
      <c r="AC269" s="250" t="s">
        <v>2388</v>
      </c>
      <c r="AD269" s="250"/>
      <c r="AE269" s="87" t="s">
        <v>2043</v>
      </c>
      <c r="AF269" s="88" t="s">
        <v>5280</v>
      </c>
      <c r="AG269" s="88" t="s">
        <v>2143</v>
      </c>
      <c r="AH269" s="88" t="s">
        <v>2074</v>
      </c>
      <c r="AI269" s="224"/>
      <c r="AJ269" s="225">
        <v>3</v>
      </c>
      <c r="AK269" s="224" t="s">
        <v>2085</v>
      </c>
      <c r="AL269" s="224" t="s">
        <v>2373</v>
      </c>
      <c r="AM269" s="224" t="s">
        <v>2099</v>
      </c>
      <c r="AN269" s="224"/>
    </row>
    <row r="270" spans="1:40" s="86" customFormat="1" ht="59.25" customHeight="1">
      <c r="A270" s="402">
        <v>284673</v>
      </c>
      <c r="B270" s="89" t="s">
        <v>1318</v>
      </c>
      <c r="C270" s="89" t="s">
        <v>1319</v>
      </c>
      <c r="D270" s="88">
        <v>61132</v>
      </c>
      <c r="E270" s="88" t="s">
        <v>565</v>
      </c>
      <c r="F270" s="88" t="s">
        <v>51</v>
      </c>
      <c r="G270" s="88">
        <v>5624</v>
      </c>
      <c r="H270" s="88" t="s">
        <v>591</v>
      </c>
      <c r="I270" s="88" t="s">
        <v>40</v>
      </c>
      <c r="J270" s="89" t="s">
        <v>5280</v>
      </c>
      <c r="K270" s="103" t="s">
        <v>1233</v>
      </c>
      <c r="L270" s="403" t="s">
        <v>26</v>
      </c>
      <c r="M270" s="199">
        <v>45229</v>
      </c>
      <c r="N270" s="105">
        <v>44375</v>
      </c>
      <c r="O270" s="105"/>
      <c r="P270" s="203" t="s">
        <v>6050</v>
      </c>
      <c r="Q270" s="203" t="s">
        <v>5476</v>
      </c>
      <c r="R270" s="203"/>
      <c r="S270" s="203"/>
      <c r="T270" s="87" t="s">
        <v>4347</v>
      </c>
      <c r="U270" s="87" t="s">
        <v>1571</v>
      </c>
      <c r="V270" s="87"/>
      <c r="W270" s="88" t="s">
        <v>1571</v>
      </c>
      <c r="X270" s="249" t="s">
        <v>3890</v>
      </c>
      <c r="Y270" s="88"/>
      <c r="Z270" s="250" t="s">
        <v>5352</v>
      </c>
      <c r="AA270" s="87" t="s">
        <v>1068</v>
      </c>
      <c r="AB270" s="250" t="s">
        <v>2079</v>
      </c>
      <c r="AC270" s="250" t="s">
        <v>2389</v>
      </c>
      <c r="AD270" s="250"/>
      <c r="AE270" s="87" t="s">
        <v>5352</v>
      </c>
      <c r="AF270" s="88" t="s">
        <v>5280</v>
      </c>
      <c r="AG270" s="88" t="s">
        <v>2143</v>
      </c>
      <c r="AH270" s="88" t="s">
        <v>2074</v>
      </c>
      <c r="AI270" s="224"/>
      <c r="AJ270" s="225">
        <v>3</v>
      </c>
      <c r="AK270" s="224" t="s">
        <v>2085</v>
      </c>
      <c r="AL270" s="224" t="s">
        <v>2373</v>
      </c>
      <c r="AM270" s="224" t="s">
        <v>2099</v>
      </c>
      <c r="AN270" s="224"/>
    </row>
    <row r="271" spans="1:40" s="86" customFormat="1" ht="59.25" customHeight="1">
      <c r="A271" s="402">
        <v>284674</v>
      </c>
      <c r="B271" s="89" t="s">
        <v>482</v>
      </c>
      <c r="C271" s="89" t="s">
        <v>483</v>
      </c>
      <c r="D271" s="88" t="s">
        <v>484</v>
      </c>
      <c r="E271" s="88" t="s">
        <v>485</v>
      </c>
      <c r="F271" s="88" t="s">
        <v>51</v>
      </c>
      <c r="G271" s="88">
        <v>81039</v>
      </c>
      <c r="H271" s="88" t="s">
        <v>591</v>
      </c>
      <c r="I271" s="88" t="s">
        <v>40</v>
      </c>
      <c r="J271" s="89" t="s">
        <v>786</v>
      </c>
      <c r="K271" s="103" t="s">
        <v>1233</v>
      </c>
      <c r="L271" s="403" t="s">
        <v>26</v>
      </c>
      <c r="M271" s="199">
        <v>45688</v>
      </c>
      <c r="N271" s="105">
        <v>44587</v>
      </c>
      <c r="O271" s="105"/>
      <c r="P271" s="203" t="s">
        <v>4772</v>
      </c>
      <c r="Q271" s="203" t="s">
        <v>1777</v>
      </c>
      <c r="R271" s="203"/>
      <c r="S271" s="203"/>
      <c r="T271" s="87" t="s">
        <v>5405</v>
      </c>
      <c r="U271" s="87" t="s">
        <v>1571</v>
      </c>
      <c r="V271" s="87"/>
      <c r="W271" s="88" t="s">
        <v>1571</v>
      </c>
      <c r="X271" s="249" t="s">
        <v>3891</v>
      </c>
      <c r="Y271" s="88"/>
      <c r="Z271" s="250" t="s">
        <v>5140</v>
      </c>
      <c r="AA271" s="87" t="s">
        <v>2304</v>
      </c>
      <c r="AB271" s="250" t="s">
        <v>2072</v>
      </c>
      <c r="AC271" s="250" t="s">
        <v>5187</v>
      </c>
      <c r="AD271" s="250"/>
      <c r="AE271" s="87" t="s">
        <v>5140</v>
      </c>
      <c r="AF271" s="88" t="s">
        <v>786</v>
      </c>
      <c r="AG271" s="88" t="s">
        <v>2079</v>
      </c>
      <c r="AH271" s="88" t="s">
        <v>2116</v>
      </c>
      <c r="AI271" s="224" t="s">
        <v>2075</v>
      </c>
      <c r="AJ271" s="225">
        <v>4</v>
      </c>
      <c r="AK271" s="224" t="s">
        <v>2076</v>
      </c>
      <c r="AL271" s="224" t="s">
        <v>2305</v>
      </c>
      <c r="AM271" s="224" t="s">
        <v>2099</v>
      </c>
      <c r="AN271" s="224" t="s">
        <v>2306</v>
      </c>
    </row>
    <row r="272" spans="1:40" s="86" customFormat="1" ht="59.25" customHeight="1">
      <c r="A272" s="402">
        <v>285021</v>
      </c>
      <c r="B272" s="89" t="s">
        <v>486</v>
      </c>
      <c r="C272" s="89" t="s">
        <v>487</v>
      </c>
      <c r="D272" s="88">
        <v>361006</v>
      </c>
      <c r="E272" s="88" t="s">
        <v>488</v>
      </c>
      <c r="F272" s="88" t="s">
        <v>175</v>
      </c>
      <c r="G272" s="88" t="s">
        <v>962</v>
      </c>
      <c r="H272" s="88" t="s">
        <v>591</v>
      </c>
      <c r="I272" s="88" t="s">
        <v>40</v>
      </c>
      <c r="J272" s="89" t="s">
        <v>5282</v>
      </c>
      <c r="K272" s="103" t="s">
        <v>1402</v>
      </c>
      <c r="L272" s="403" t="s">
        <v>26</v>
      </c>
      <c r="M272" s="199">
        <v>45412</v>
      </c>
      <c r="N272" s="105">
        <v>44673</v>
      </c>
      <c r="O272" s="105"/>
      <c r="P272" s="203" t="s">
        <v>4911</v>
      </c>
      <c r="Q272" s="203" t="s">
        <v>1778</v>
      </c>
      <c r="R272" s="203"/>
      <c r="S272" s="203"/>
      <c r="T272" s="87" t="s">
        <v>5811</v>
      </c>
      <c r="U272" s="87" t="s">
        <v>1571</v>
      </c>
      <c r="V272" s="87"/>
      <c r="W272" s="88" t="s">
        <v>1571</v>
      </c>
      <c r="X272" s="249" t="s">
        <v>3892</v>
      </c>
      <c r="Y272" s="88"/>
      <c r="Z272" s="250"/>
      <c r="AA272" s="87" t="s">
        <v>2220</v>
      </c>
      <c r="AB272" s="250" t="s">
        <v>2072</v>
      </c>
      <c r="AC272" s="250"/>
      <c r="AD272" s="250"/>
      <c r="AE272" s="87"/>
      <c r="AF272" s="88" t="s">
        <v>5282</v>
      </c>
      <c r="AG272" s="88" t="s">
        <v>2073</v>
      </c>
      <c r="AH272" s="88" t="s">
        <v>2074</v>
      </c>
      <c r="AI272" s="224"/>
      <c r="AJ272" s="225">
        <v>2</v>
      </c>
      <c r="AK272" s="224" t="s">
        <v>2076</v>
      </c>
      <c r="AL272" s="224" t="s">
        <v>2221</v>
      </c>
      <c r="AM272" s="224" t="s">
        <v>2077</v>
      </c>
      <c r="AN272" s="224"/>
    </row>
    <row r="273" spans="1:40" s="86" customFormat="1" ht="59.25" customHeight="1">
      <c r="A273" s="402">
        <v>285038</v>
      </c>
      <c r="B273" s="89" t="s">
        <v>963</v>
      </c>
      <c r="C273" s="89" t="s">
        <v>489</v>
      </c>
      <c r="D273" s="88">
        <v>67129</v>
      </c>
      <c r="E273" s="88" t="s">
        <v>270</v>
      </c>
      <c r="F273" s="88" t="s">
        <v>47</v>
      </c>
      <c r="G273" s="88"/>
      <c r="H273" s="88" t="s">
        <v>591</v>
      </c>
      <c r="I273" s="88" t="s">
        <v>40</v>
      </c>
      <c r="J273" s="89" t="s">
        <v>5280</v>
      </c>
      <c r="K273" s="103" t="s">
        <v>1233</v>
      </c>
      <c r="L273" s="403" t="s">
        <v>26</v>
      </c>
      <c r="M273" s="199">
        <v>45230</v>
      </c>
      <c r="N273" s="105">
        <v>44319</v>
      </c>
      <c r="O273" s="105"/>
      <c r="P273" s="203" t="s">
        <v>5005</v>
      </c>
      <c r="Q273" s="203" t="s">
        <v>1686</v>
      </c>
      <c r="R273" s="203"/>
      <c r="S273" s="203"/>
      <c r="T273" s="87" t="s">
        <v>5746</v>
      </c>
      <c r="U273" s="87" t="s">
        <v>1568</v>
      </c>
      <c r="V273" s="87"/>
      <c r="W273" s="88" t="s">
        <v>1568</v>
      </c>
      <c r="X273" s="249" t="s">
        <v>3759</v>
      </c>
      <c r="Y273" s="88"/>
      <c r="Z273" s="250"/>
      <c r="AA273" s="87" t="s">
        <v>743</v>
      </c>
      <c r="AB273" s="250" t="s">
        <v>2072</v>
      </c>
      <c r="AC273" s="250"/>
      <c r="AD273" s="250"/>
      <c r="AE273" s="87"/>
      <c r="AF273" s="88" t="s">
        <v>5280</v>
      </c>
      <c r="AG273" s="88" t="s">
        <v>2073</v>
      </c>
      <c r="AH273" s="88" t="s">
        <v>2074</v>
      </c>
      <c r="AI273" s="224" t="s">
        <v>2075</v>
      </c>
      <c r="AJ273" s="225">
        <v>2</v>
      </c>
      <c r="AK273" s="224" t="s">
        <v>2076</v>
      </c>
      <c r="AL273" s="224" t="s">
        <v>2096</v>
      </c>
      <c r="AM273" s="224" t="s">
        <v>2077</v>
      </c>
      <c r="AN273" s="224"/>
    </row>
    <row r="274" spans="1:40" s="86" customFormat="1" ht="59.25" customHeight="1">
      <c r="A274" s="402">
        <v>285200</v>
      </c>
      <c r="B274" s="89" t="s">
        <v>4187</v>
      </c>
      <c r="C274" s="89" t="s">
        <v>4188</v>
      </c>
      <c r="D274" s="88">
        <v>84404</v>
      </c>
      <c r="E274" s="88" t="s">
        <v>4189</v>
      </c>
      <c r="F274" s="88" t="s">
        <v>51</v>
      </c>
      <c r="G274" s="88"/>
      <c r="H274" s="88" t="s">
        <v>591</v>
      </c>
      <c r="I274" s="88" t="s">
        <v>40</v>
      </c>
      <c r="J274" s="89" t="s">
        <v>1336</v>
      </c>
      <c r="K274" s="103" t="s">
        <v>1402</v>
      </c>
      <c r="L274" s="403" t="s">
        <v>26</v>
      </c>
      <c r="M274" s="199">
        <v>45199</v>
      </c>
      <c r="N274" s="105">
        <v>44648</v>
      </c>
      <c r="O274" s="105"/>
      <c r="P274" s="203" t="s">
        <v>4890</v>
      </c>
      <c r="Q274" s="203" t="s">
        <v>4190</v>
      </c>
      <c r="R274" s="203"/>
      <c r="S274" s="203"/>
      <c r="T274" s="87" t="s">
        <v>4408</v>
      </c>
      <c r="U274" s="87" t="s">
        <v>1568</v>
      </c>
      <c r="V274" s="87"/>
      <c r="W274" s="88" t="s">
        <v>1568</v>
      </c>
      <c r="X274" s="249" t="s">
        <v>4416</v>
      </c>
      <c r="Y274" s="88"/>
      <c r="Z274" s="250" t="s">
        <v>4196</v>
      </c>
      <c r="AA274" s="87" t="s">
        <v>2071</v>
      </c>
      <c r="AB274" s="250" t="s">
        <v>2072</v>
      </c>
      <c r="AC274" s="250" t="s">
        <v>2544</v>
      </c>
      <c r="AD274" s="250"/>
      <c r="AE274" s="87" t="s">
        <v>4196</v>
      </c>
      <c r="AF274" s="88" t="s">
        <v>1336</v>
      </c>
      <c r="AG274" s="88" t="s">
        <v>2079</v>
      </c>
      <c r="AH274" s="88" t="s">
        <v>2074</v>
      </c>
      <c r="AI274" s="224" t="s">
        <v>2075</v>
      </c>
      <c r="AJ274" s="225">
        <v>2</v>
      </c>
      <c r="AK274" s="224" t="s">
        <v>2076</v>
      </c>
      <c r="AL274" s="224" t="s">
        <v>2495</v>
      </c>
      <c r="AM274" s="224" t="s">
        <v>2077</v>
      </c>
      <c r="AN274" s="224"/>
    </row>
    <row r="275" spans="1:40" s="86" customFormat="1" ht="59.25" customHeight="1">
      <c r="A275" s="402">
        <v>285440</v>
      </c>
      <c r="B275" s="89" t="s">
        <v>490</v>
      </c>
      <c r="C275" s="89" t="s">
        <v>491</v>
      </c>
      <c r="D275" s="88">
        <v>101312</v>
      </c>
      <c r="E275" s="88" t="s">
        <v>492</v>
      </c>
      <c r="F275" s="88" t="s">
        <v>175</v>
      </c>
      <c r="G275" s="88" t="s">
        <v>964</v>
      </c>
      <c r="H275" s="88" t="s">
        <v>591</v>
      </c>
      <c r="I275" s="88" t="s">
        <v>40</v>
      </c>
      <c r="J275" s="89" t="s">
        <v>1510</v>
      </c>
      <c r="K275" s="103" t="s">
        <v>1402</v>
      </c>
      <c r="L275" s="403" t="s">
        <v>26</v>
      </c>
      <c r="M275" s="199">
        <v>44985</v>
      </c>
      <c r="N275" s="105">
        <v>44255</v>
      </c>
      <c r="O275" s="105"/>
      <c r="P275" s="203" t="s">
        <v>4786</v>
      </c>
      <c r="Q275" s="203" t="s">
        <v>4397</v>
      </c>
      <c r="R275" s="203"/>
      <c r="S275" s="203"/>
      <c r="T275" s="87" t="s">
        <v>1548</v>
      </c>
      <c r="U275" s="87" t="s">
        <v>1571</v>
      </c>
      <c r="V275" s="87"/>
      <c r="W275" s="88" t="s">
        <v>1571</v>
      </c>
      <c r="X275" s="249" t="s">
        <v>3894</v>
      </c>
      <c r="Y275" s="88"/>
      <c r="Z275" s="250"/>
      <c r="AA275" s="87" t="s">
        <v>2390</v>
      </c>
      <c r="AB275" s="250" t="s">
        <v>2090</v>
      </c>
      <c r="AC275" s="250"/>
      <c r="AD275" s="250"/>
      <c r="AE275" s="87"/>
      <c r="AF275" s="88" t="s">
        <v>1510</v>
      </c>
      <c r="AG275" s="88" t="s">
        <v>4417</v>
      </c>
      <c r="AH275" s="88"/>
      <c r="AI275" s="224"/>
      <c r="AJ275" s="225">
        <v>3</v>
      </c>
      <c r="AK275" s="224" t="s">
        <v>2080</v>
      </c>
      <c r="AL275" s="224" t="s">
        <v>2080</v>
      </c>
      <c r="AM275" s="224"/>
      <c r="AN275" s="224"/>
    </row>
    <row r="276" spans="1:40" s="86" customFormat="1" ht="59.25" customHeight="1">
      <c r="A276" s="402">
        <v>286796</v>
      </c>
      <c r="B276" s="89" t="s">
        <v>494</v>
      </c>
      <c r="C276" s="89" t="s">
        <v>495</v>
      </c>
      <c r="D276" s="88">
        <v>45600</v>
      </c>
      <c r="E276" s="88" t="s">
        <v>330</v>
      </c>
      <c r="F276" s="88" t="s">
        <v>47</v>
      </c>
      <c r="G276" s="88" t="s">
        <v>496</v>
      </c>
      <c r="H276" s="88" t="s">
        <v>591</v>
      </c>
      <c r="I276" s="88" t="s">
        <v>40</v>
      </c>
      <c r="J276" s="89" t="s">
        <v>5279</v>
      </c>
      <c r="K276" s="103" t="s">
        <v>1233</v>
      </c>
      <c r="L276" s="403" t="s">
        <v>26</v>
      </c>
      <c r="M276" s="199">
        <v>45229</v>
      </c>
      <c r="N276" s="105">
        <v>44679</v>
      </c>
      <c r="O276" s="105"/>
      <c r="P276" s="203" t="s">
        <v>4654</v>
      </c>
      <c r="Q276" s="203" t="s">
        <v>1779</v>
      </c>
      <c r="R276" s="203"/>
      <c r="S276" s="203"/>
      <c r="T276" s="87" t="s">
        <v>1549</v>
      </c>
      <c r="U276" s="87" t="s">
        <v>1568</v>
      </c>
      <c r="V276" s="87"/>
      <c r="W276" s="88" t="s">
        <v>1568</v>
      </c>
      <c r="X276" s="249" t="s">
        <v>3896</v>
      </c>
      <c r="Y276" s="88"/>
      <c r="Z276" s="250" t="s">
        <v>2044</v>
      </c>
      <c r="AA276" s="87" t="s">
        <v>2161</v>
      </c>
      <c r="AB276" s="250" t="s">
        <v>2079</v>
      </c>
      <c r="AC276" s="250" t="s">
        <v>2391</v>
      </c>
      <c r="AD276" s="250"/>
      <c r="AE276" s="87" t="s">
        <v>2044</v>
      </c>
      <c r="AF276" s="88" t="s">
        <v>5279</v>
      </c>
      <c r="AG276" s="88" t="s">
        <v>2073</v>
      </c>
      <c r="AH276" s="88" t="s">
        <v>2074</v>
      </c>
      <c r="AI276" s="224" t="s">
        <v>2075</v>
      </c>
      <c r="AJ276" s="225">
        <v>2</v>
      </c>
      <c r="AK276" s="224" t="s">
        <v>2076</v>
      </c>
      <c r="AL276" s="224" t="s">
        <v>2162</v>
      </c>
      <c r="AM276" s="224" t="s">
        <v>2099</v>
      </c>
      <c r="AN276" s="224" t="s">
        <v>2163</v>
      </c>
    </row>
    <row r="277" spans="1:40" s="86" customFormat="1" ht="59.25" customHeight="1">
      <c r="A277" s="402">
        <v>287067</v>
      </c>
      <c r="B277" s="89" t="s">
        <v>965</v>
      </c>
      <c r="C277" s="89" t="s">
        <v>966</v>
      </c>
      <c r="D277" s="88">
        <v>65380</v>
      </c>
      <c r="E277" s="88" t="s">
        <v>967</v>
      </c>
      <c r="F277" s="88" t="s">
        <v>47</v>
      </c>
      <c r="G277" s="88" t="s">
        <v>968</v>
      </c>
      <c r="H277" s="88" t="s">
        <v>591</v>
      </c>
      <c r="I277" s="88" t="s">
        <v>41</v>
      </c>
      <c r="J277" s="89" t="s">
        <v>786</v>
      </c>
      <c r="K277" s="103" t="s">
        <v>1402</v>
      </c>
      <c r="L277" s="403" t="s">
        <v>26</v>
      </c>
      <c r="M277" s="199">
        <v>44957</v>
      </c>
      <c r="N277" s="105">
        <v>44579</v>
      </c>
      <c r="O277" s="105"/>
      <c r="P277" s="203" t="s">
        <v>5296</v>
      </c>
      <c r="Q277" s="203" t="s">
        <v>1780</v>
      </c>
      <c r="R277" s="203"/>
      <c r="S277" s="203"/>
      <c r="T277" s="87" t="s">
        <v>5054</v>
      </c>
      <c r="U277" s="87" t="s">
        <v>1584</v>
      </c>
      <c r="V277" s="87"/>
      <c r="W277" s="88" t="s">
        <v>1571</v>
      </c>
      <c r="X277" s="249" t="s">
        <v>4771</v>
      </c>
      <c r="Y277" s="88"/>
      <c r="Z277" s="250"/>
      <c r="AA277" s="87" t="s">
        <v>2392</v>
      </c>
      <c r="AB277" s="250" t="s">
        <v>2090</v>
      </c>
      <c r="AC277" s="250"/>
      <c r="AD277" s="250"/>
      <c r="AE277" s="87"/>
      <c r="AF277" s="88" t="s">
        <v>786</v>
      </c>
      <c r="AG277" s="88" t="s">
        <v>2104</v>
      </c>
      <c r="AH277" s="88"/>
      <c r="AI277" s="224" t="s">
        <v>2248</v>
      </c>
      <c r="AJ277" s="225">
        <v>1</v>
      </c>
      <c r="AK277" s="224" t="s">
        <v>2107</v>
      </c>
      <c r="AL277" s="224" t="s">
        <v>2393</v>
      </c>
      <c r="AM277" s="224" t="s">
        <v>2217</v>
      </c>
      <c r="AN277" s="224" t="s">
        <v>2394</v>
      </c>
    </row>
    <row r="278" spans="1:40" s="86" customFormat="1" ht="59.25" customHeight="1">
      <c r="A278" s="402">
        <v>287463</v>
      </c>
      <c r="B278" s="89" t="s">
        <v>1166</v>
      </c>
      <c r="C278" s="89" t="s">
        <v>498</v>
      </c>
      <c r="D278" s="88">
        <v>88471</v>
      </c>
      <c r="E278" s="88" t="s">
        <v>499</v>
      </c>
      <c r="F278" s="88" t="s">
        <v>55</v>
      </c>
      <c r="G278" s="88" t="s">
        <v>969</v>
      </c>
      <c r="H278" s="88" t="s">
        <v>591</v>
      </c>
      <c r="I278" s="88" t="s">
        <v>40</v>
      </c>
      <c r="J278" s="89" t="s">
        <v>4608</v>
      </c>
      <c r="K278" s="103" t="s">
        <v>1233</v>
      </c>
      <c r="L278" s="403" t="s">
        <v>26</v>
      </c>
      <c r="M278" s="199">
        <v>44985</v>
      </c>
      <c r="N278" s="105">
        <v>44250</v>
      </c>
      <c r="O278" s="105"/>
      <c r="P278" s="203" t="s">
        <v>5195</v>
      </c>
      <c r="Q278" s="203" t="s">
        <v>1781</v>
      </c>
      <c r="R278" s="203" t="s">
        <v>1882</v>
      </c>
      <c r="S278" s="203"/>
      <c r="T278" s="87" t="s">
        <v>5812</v>
      </c>
      <c r="U278" s="87" t="s">
        <v>1569</v>
      </c>
      <c r="V278" s="87"/>
      <c r="W278" s="88" t="s">
        <v>1568</v>
      </c>
      <c r="X278" s="249" t="s">
        <v>4208</v>
      </c>
      <c r="Y278" s="88"/>
      <c r="Z278" s="250"/>
      <c r="AA278" s="87" t="s">
        <v>1168</v>
      </c>
      <c r="AB278" s="250" t="s">
        <v>2072</v>
      </c>
      <c r="AC278" s="250"/>
      <c r="AD278" s="250"/>
      <c r="AE278" s="87"/>
      <c r="AF278" s="88" t="s">
        <v>5278</v>
      </c>
      <c r="AG278" s="88" t="s">
        <v>2073</v>
      </c>
      <c r="AH278" s="88" t="s">
        <v>2074</v>
      </c>
      <c r="AI278" s="224" t="s">
        <v>2075</v>
      </c>
      <c r="AJ278" s="225">
        <v>2</v>
      </c>
      <c r="AK278" s="224" t="s">
        <v>2076</v>
      </c>
      <c r="AL278" s="224" t="s">
        <v>2139</v>
      </c>
      <c r="AM278" s="224" t="s">
        <v>2099</v>
      </c>
      <c r="AN278" s="224" t="s">
        <v>2140</v>
      </c>
    </row>
    <row r="279" spans="1:40" s="86" customFormat="1" ht="59.25" customHeight="1">
      <c r="A279" s="402">
        <v>287466</v>
      </c>
      <c r="B279" s="89" t="s">
        <v>500</v>
      </c>
      <c r="C279" s="89" t="s">
        <v>501</v>
      </c>
      <c r="D279" s="88">
        <v>508918</v>
      </c>
      <c r="E279" s="88" t="s">
        <v>336</v>
      </c>
      <c r="F279" s="88" t="s">
        <v>337</v>
      </c>
      <c r="G279" s="88" t="s">
        <v>970</v>
      </c>
      <c r="H279" s="88" t="s">
        <v>591</v>
      </c>
      <c r="I279" s="88" t="s">
        <v>40</v>
      </c>
      <c r="J279" s="89" t="s">
        <v>5282</v>
      </c>
      <c r="K279" s="103" t="s">
        <v>1233</v>
      </c>
      <c r="L279" s="403" t="s">
        <v>26</v>
      </c>
      <c r="M279" s="199">
        <v>45077</v>
      </c>
      <c r="N279" s="105">
        <v>44347</v>
      </c>
      <c r="O279" s="105"/>
      <c r="P279" s="203" t="s">
        <v>5680</v>
      </c>
      <c r="Q279" s="203" t="s">
        <v>1782</v>
      </c>
      <c r="R279" s="203"/>
      <c r="S279" s="203"/>
      <c r="T279" s="87" t="s">
        <v>5813</v>
      </c>
      <c r="U279" s="87" t="s">
        <v>1568</v>
      </c>
      <c r="V279" s="87"/>
      <c r="W279" s="88" t="s">
        <v>1568</v>
      </c>
      <c r="X279" s="249" t="s">
        <v>3898</v>
      </c>
      <c r="Y279" s="88"/>
      <c r="Z279" s="250"/>
      <c r="AA279" s="87" t="s">
        <v>2280</v>
      </c>
      <c r="AB279" s="250" t="s">
        <v>2072</v>
      </c>
      <c r="AC279" s="250"/>
      <c r="AD279" s="250"/>
      <c r="AE279" s="87"/>
      <c r="AF279" s="88" t="s">
        <v>4441</v>
      </c>
      <c r="AG279" s="88" t="s">
        <v>2073</v>
      </c>
      <c r="AH279" s="88" t="s">
        <v>2074</v>
      </c>
      <c r="AI279" s="224" t="s">
        <v>2075</v>
      </c>
      <c r="AJ279" s="225">
        <v>2</v>
      </c>
      <c r="AK279" s="224" t="s">
        <v>2076</v>
      </c>
      <c r="AL279" s="224" t="s">
        <v>2498</v>
      </c>
      <c r="AM279" s="224" t="s">
        <v>2077</v>
      </c>
      <c r="AN279" s="224" t="s">
        <v>2281</v>
      </c>
    </row>
    <row r="280" spans="1:40" s="86" customFormat="1" ht="59.25" customHeight="1">
      <c r="A280" s="402">
        <v>287479</v>
      </c>
      <c r="B280" s="89" t="s">
        <v>502</v>
      </c>
      <c r="C280" s="89" t="s">
        <v>1189</v>
      </c>
      <c r="D280" s="88">
        <v>93290</v>
      </c>
      <c r="E280" s="88" t="s">
        <v>1190</v>
      </c>
      <c r="F280" s="88" t="s">
        <v>47</v>
      </c>
      <c r="G280" s="88" t="s">
        <v>503</v>
      </c>
      <c r="H280" s="88" t="s">
        <v>591</v>
      </c>
      <c r="I280" s="88" t="s">
        <v>737</v>
      </c>
      <c r="J280" s="89" t="s">
        <v>1421</v>
      </c>
      <c r="K280" s="103" t="s">
        <v>1233</v>
      </c>
      <c r="L280" s="403" t="s">
        <v>26</v>
      </c>
      <c r="M280" s="199">
        <v>45230</v>
      </c>
      <c r="N280" s="105">
        <v>44490</v>
      </c>
      <c r="O280" s="105"/>
      <c r="P280" s="203" t="s">
        <v>1070</v>
      </c>
      <c r="Q280" s="203"/>
      <c r="R280" s="203"/>
      <c r="S280" s="203"/>
      <c r="T280" s="87" t="s">
        <v>1550</v>
      </c>
      <c r="U280" s="87" t="s">
        <v>1567</v>
      </c>
      <c r="V280" s="87"/>
      <c r="W280" s="88" t="s">
        <v>1576</v>
      </c>
      <c r="X280" s="249" t="s">
        <v>3900</v>
      </c>
      <c r="Y280" s="88"/>
      <c r="Z280" s="250"/>
      <c r="AA280" s="87"/>
      <c r="AB280" s="250"/>
      <c r="AC280" s="250"/>
      <c r="AD280" s="250"/>
      <c r="AE280" s="87"/>
      <c r="AF280" s="88"/>
      <c r="AG280" s="88"/>
      <c r="AH280" s="88"/>
      <c r="AI280" s="224"/>
      <c r="AJ280" s="225"/>
      <c r="AK280" s="224"/>
      <c r="AL280" s="224"/>
      <c r="AM280" s="224"/>
      <c r="AN280" s="224"/>
    </row>
    <row r="281" spans="1:40" s="86" customFormat="1" ht="59.25" customHeight="1">
      <c r="A281" s="402">
        <v>287490</v>
      </c>
      <c r="B281" s="89" t="s">
        <v>504</v>
      </c>
      <c r="C281" s="89" t="s">
        <v>505</v>
      </c>
      <c r="D281" s="88">
        <v>32600</v>
      </c>
      <c r="E281" s="88" t="s">
        <v>46</v>
      </c>
      <c r="F281" s="88" t="s">
        <v>47</v>
      </c>
      <c r="G281" s="88" t="s">
        <v>971</v>
      </c>
      <c r="H281" s="88" t="s">
        <v>591</v>
      </c>
      <c r="I281" s="88" t="s">
        <v>40</v>
      </c>
      <c r="J281" s="89" t="s">
        <v>1336</v>
      </c>
      <c r="K281" s="103" t="s">
        <v>1402</v>
      </c>
      <c r="L281" s="403" t="s">
        <v>26</v>
      </c>
      <c r="M281" s="199">
        <v>45169</v>
      </c>
      <c r="N281" s="105">
        <v>44053</v>
      </c>
      <c r="O281" s="105"/>
      <c r="P281" s="203" t="s">
        <v>5609</v>
      </c>
      <c r="Q281" s="203" t="s">
        <v>1783</v>
      </c>
      <c r="R281" s="203"/>
      <c r="S281" s="203"/>
      <c r="T281" s="87" t="s">
        <v>5087</v>
      </c>
      <c r="U281" s="87" t="s">
        <v>1571</v>
      </c>
      <c r="V281" s="87"/>
      <c r="W281" s="88" t="s">
        <v>1571</v>
      </c>
      <c r="X281" s="249" t="s">
        <v>4434</v>
      </c>
      <c r="Y281" s="88"/>
      <c r="Z281" s="250"/>
      <c r="AA281" s="87" t="s">
        <v>504</v>
      </c>
      <c r="AB281" s="250" t="s">
        <v>2072</v>
      </c>
      <c r="AC281" s="250"/>
      <c r="AD281" s="250"/>
      <c r="AE281" s="87"/>
      <c r="AF281" s="88" t="s">
        <v>1336</v>
      </c>
      <c r="AG281" s="88" t="s">
        <v>2073</v>
      </c>
      <c r="AH281" s="88" t="s">
        <v>2113</v>
      </c>
      <c r="AI281" s="224"/>
      <c r="AJ281" s="225">
        <v>4</v>
      </c>
      <c r="AK281" s="224" t="s">
        <v>2085</v>
      </c>
      <c r="AL281" s="224" t="s">
        <v>2395</v>
      </c>
      <c r="AM281" s="224"/>
      <c r="AN281" s="224"/>
    </row>
    <row r="282" spans="1:40" s="86" customFormat="1" ht="59.25" customHeight="1">
      <c r="A282" s="402">
        <v>287523</v>
      </c>
      <c r="B282" s="89" t="s">
        <v>506</v>
      </c>
      <c r="C282" s="89" t="s">
        <v>507</v>
      </c>
      <c r="D282" s="88">
        <v>797553</v>
      </c>
      <c r="E282" s="88" t="s">
        <v>336</v>
      </c>
      <c r="F282" s="88" t="s">
        <v>337</v>
      </c>
      <c r="G282" s="88" t="s">
        <v>508</v>
      </c>
      <c r="H282" s="88" t="s">
        <v>591</v>
      </c>
      <c r="I282" s="88" t="s">
        <v>40</v>
      </c>
      <c r="J282" s="89" t="s">
        <v>4608</v>
      </c>
      <c r="K282" s="103" t="s">
        <v>1233</v>
      </c>
      <c r="L282" s="403" t="s">
        <v>26</v>
      </c>
      <c r="M282" s="199">
        <v>45777</v>
      </c>
      <c r="N282" s="105">
        <v>44656</v>
      </c>
      <c r="O282" s="105"/>
      <c r="P282" s="203" t="s">
        <v>5610</v>
      </c>
      <c r="Q282" s="203" t="s">
        <v>4399</v>
      </c>
      <c r="R282" s="203" t="s">
        <v>1885</v>
      </c>
      <c r="S282" s="203"/>
      <c r="T282" s="87" t="s">
        <v>5088</v>
      </c>
      <c r="U282" s="87" t="s">
        <v>1571</v>
      </c>
      <c r="V282" s="87"/>
      <c r="W282" s="88" t="s">
        <v>1571</v>
      </c>
      <c r="X282" s="249" t="s">
        <v>3902</v>
      </c>
      <c r="Y282" s="88"/>
      <c r="Z282" s="250"/>
      <c r="AA282" s="87" t="s">
        <v>5353</v>
      </c>
      <c r="AB282" s="250" t="s">
        <v>2090</v>
      </c>
      <c r="AC282" s="250"/>
      <c r="AD282" s="250"/>
      <c r="AE282" s="87"/>
      <c r="AF282" s="88" t="s">
        <v>4608</v>
      </c>
      <c r="AG282" s="88" t="s">
        <v>4417</v>
      </c>
      <c r="AH282" s="88"/>
      <c r="AI282" s="224"/>
      <c r="AJ282" s="225">
        <v>4</v>
      </c>
      <c r="AK282" s="224" t="s">
        <v>2080</v>
      </c>
      <c r="AL282" s="224" t="s">
        <v>2080</v>
      </c>
      <c r="AM282" s="224"/>
      <c r="AN282" s="224"/>
    </row>
    <row r="283" spans="1:40" s="86" customFormat="1" ht="59.25" customHeight="1">
      <c r="A283" s="402">
        <v>287718</v>
      </c>
      <c r="B283" s="89" t="s">
        <v>407</v>
      </c>
      <c r="C283" s="89" t="s">
        <v>972</v>
      </c>
      <c r="D283" s="88">
        <v>1180</v>
      </c>
      <c r="E283" s="88" t="s">
        <v>973</v>
      </c>
      <c r="F283" s="88" t="s">
        <v>66</v>
      </c>
      <c r="G283" s="88" t="s">
        <v>974</v>
      </c>
      <c r="H283" s="88" t="s">
        <v>591</v>
      </c>
      <c r="I283" s="88" t="s">
        <v>737</v>
      </c>
      <c r="J283" s="89" t="s">
        <v>5281</v>
      </c>
      <c r="K283" s="103" t="s">
        <v>1233</v>
      </c>
      <c r="L283" s="403" t="s">
        <v>26</v>
      </c>
      <c r="M283" s="199">
        <v>45077</v>
      </c>
      <c r="N283" s="105">
        <v>44705</v>
      </c>
      <c r="O283" s="105"/>
      <c r="P283" s="203"/>
      <c r="Q283" s="203"/>
      <c r="R283" s="203"/>
      <c r="S283" s="203"/>
      <c r="T283" s="87" t="s">
        <v>5814</v>
      </c>
      <c r="U283" s="87"/>
      <c r="V283" s="87"/>
      <c r="W283" s="88"/>
      <c r="X283" s="249"/>
      <c r="Y283" s="88"/>
      <c r="Z283" s="250"/>
      <c r="AA283" s="87"/>
      <c r="AB283" s="250"/>
      <c r="AC283" s="250"/>
      <c r="AD283" s="250"/>
      <c r="AE283" s="87"/>
      <c r="AF283" s="88"/>
      <c r="AG283" s="88"/>
      <c r="AH283" s="88"/>
      <c r="AI283" s="224"/>
      <c r="AJ283" s="225"/>
      <c r="AK283" s="224"/>
      <c r="AL283" s="224"/>
      <c r="AM283" s="224"/>
      <c r="AN283" s="224"/>
    </row>
    <row r="284" spans="1:40" s="86" customFormat="1" ht="59.25" customHeight="1">
      <c r="A284" s="402">
        <v>287722</v>
      </c>
      <c r="B284" s="89" t="s">
        <v>743</v>
      </c>
      <c r="C284" s="89" t="s">
        <v>1418</v>
      </c>
      <c r="D284" s="88">
        <v>76220</v>
      </c>
      <c r="E284" s="88" t="s">
        <v>1419</v>
      </c>
      <c r="F284" s="88" t="s">
        <v>1088</v>
      </c>
      <c r="G284" s="88" t="s">
        <v>1420</v>
      </c>
      <c r="H284" s="88" t="s">
        <v>591</v>
      </c>
      <c r="I284" s="88" t="s">
        <v>737</v>
      </c>
      <c r="J284" s="89" t="s">
        <v>5280</v>
      </c>
      <c r="K284" s="103" t="s">
        <v>1233</v>
      </c>
      <c r="L284" s="403" t="s">
        <v>26</v>
      </c>
      <c r="M284" s="199">
        <v>45230</v>
      </c>
      <c r="N284" s="105">
        <v>44319</v>
      </c>
      <c r="O284" s="105"/>
      <c r="P284" s="203" t="s">
        <v>4912</v>
      </c>
      <c r="Q284" s="203" t="s">
        <v>1784</v>
      </c>
      <c r="R284" s="203"/>
      <c r="S284" s="203"/>
      <c r="T284" s="87" t="s">
        <v>4675</v>
      </c>
      <c r="U284" s="87" t="s">
        <v>1568</v>
      </c>
      <c r="V284" s="87"/>
      <c r="W284" s="88" t="s">
        <v>1568</v>
      </c>
      <c r="X284" s="249" t="s">
        <v>3759</v>
      </c>
      <c r="Y284" s="88"/>
      <c r="Z284" s="250"/>
      <c r="AA284" s="87"/>
      <c r="AB284" s="250"/>
      <c r="AC284" s="250"/>
      <c r="AD284" s="250"/>
      <c r="AE284" s="87"/>
      <c r="AF284" s="88"/>
      <c r="AG284" s="88"/>
      <c r="AH284" s="88"/>
      <c r="AI284" s="224"/>
      <c r="AJ284" s="225"/>
      <c r="AK284" s="224"/>
      <c r="AL284" s="224"/>
      <c r="AM284" s="224"/>
      <c r="AN284" s="224"/>
    </row>
    <row r="285" spans="1:40" s="86" customFormat="1" ht="59.25" customHeight="1">
      <c r="A285" s="402">
        <v>287746</v>
      </c>
      <c r="B285" s="89" t="s">
        <v>1101</v>
      </c>
      <c r="C285" s="89" t="s">
        <v>1102</v>
      </c>
      <c r="D285" s="88">
        <v>26316</v>
      </c>
      <c r="E285" s="88" t="s">
        <v>1103</v>
      </c>
      <c r="F285" s="88" t="s">
        <v>55</v>
      </c>
      <c r="G285" s="88" t="s">
        <v>1104</v>
      </c>
      <c r="H285" s="88" t="s">
        <v>591</v>
      </c>
      <c r="I285" s="88" t="s">
        <v>40</v>
      </c>
      <c r="J285" s="89" t="s">
        <v>1336</v>
      </c>
      <c r="K285" s="103" t="s">
        <v>1233</v>
      </c>
      <c r="L285" s="403" t="s">
        <v>26</v>
      </c>
      <c r="M285" s="199">
        <v>45747</v>
      </c>
      <c r="N285" s="105">
        <v>44651</v>
      </c>
      <c r="O285" s="105"/>
      <c r="P285" s="203" t="s">
        <v>1082</v>
      </c>
      <c r="Q285" s="203" t="s">
        <v>1785</v>
      </c>
      <c r="R285" s="203" t="s">
        <v>2000</v>
      </c>
      <c r="S285" s="203"/>
      <c r="T285" s="87" t="s">
        <v>1551</v>
      </c>
      <c r="U285" s="87" t="s">
        <v>1569</v>
      </c>
      <c r="V285" s="87"/>
      <c r="W285" s="88" t="s">
        <v>1568</v>
      </c>
      <c r="X285" s="249" t="s">
        <v>3904</v>
      </c>
      <c r="Y285" s="88"/>
      <c r="Z285" s="250"/>
      <c r="AA285" s="87" t="s">
        <v>509</v>
      </c>
      <c r="AB285" s="250" t="s">
        <v>2072</v>
      </c>
      <c r="AC285" s="250"/>
      <c r="AD285" s="250"/>
      <c r="AE285" s="87"/>
      <c r="AF285" s="88" t="s">
        <v>1336</v>
      </c>
      <c r="AG285" s="88" t="s">
        <v>2143</v>
      </c>
      <c r="AH285" s="88" t="s">
        <v>2137</v>
      </c>
      <c r="AI285" s="224"/>
      <c r="AJ285" s="225">
        <v>3</v>
      </c>
      <c r="AK285" s="224"/>
      <c r="AL285" s="224"/>
      <c r="AM285" s="224"/>
      <c r="AN285" s="224"/>
    </row>
    <row r="286" spans="1:40" s="86" customFormat="1" ht="59.25" customHeight="1">
      <c r="A286" s="402">
        <v>287747</v>
      </c>
      <c r="B286" s="89" t="s">
        <v>509</v>
      </c>
      <c r="C286" s="89" t="s">
        <v>510</v>
      </c>
      <c r="D286" s="88">
        <v>86179</v>
      </c>
      <c r="E286" s="88" t="s">
        <v>511</v>
      </c>
      <c r="F286" s="88" t="s">
        <v>55</v>
      </c>
      <c r="G286" s="88" t="s">
        <v>975</v>
      </c>
      <c r="H286" s="88" t="s">
        <v>591</v>
      </c>
      <c r="I286" s="88" t="s">
        <v>737</v>
      </c>
      <c r="J286" s="89" t="s">
        <v>1336</v>
      </c>
      <c r="K286" s="103" t="s">
        <v>1233</v>
      </c>
      <c r="L286" s="403" t="s">
        <v>26</v>
      </c>
      <c r="M286" s="199">
        <v>45747</v>
      </c>
      <c r="N286" s="105">
        <v>44651</v>
      </c>
      <c r="O286" s="105"/>
      <c r="P286" s="203" t="s">
        <v>2541</v>
      </c>
      <c r="Q286" s="203"/>
      <c r="R286" s="203" t="s">
        <v>2000</v>
      </c>
      <c r="S286" s="203"/>
      <c r="T286" s="87" t="s">
        <v>1551</v>
      </c>
      <c r="U286" s="87" t="s">
        <v>1569</v>
      </c>
      <c r="V286" s="87"/>
      <c r="W286" s="88" t="s">
        <v>1568</v>
      </c>
      <c r="X286" s="249" t="s">
        <v>3904</v>
      </c>
      <c r="Y286" s="88"/>
      <c r="Z286" s="250"/>
      <c r="AA286" s="87"/>
      <c r="AB286" s="250"/>
      <c r="AC286" s="250"/>
      <c r="AD286" s="250"/>
      <c r="AE286" s="87"/>
      <c r="AF286" s="88"/>
      <c r="AG286" s="88"/>
      <c r="AH286" s="88"/>
      <c r="AI286" s="224"/>
      <c r="AJ286" s="225"/>
      <c r="AK286" s="224"/>
      <c r="AL286" s="224"/>
      <c r="AM286" s="224"/>
      <c r="AN286" s="224"/>
    </row>
    <row r="287" spans="1:40" s="86" customFormat="1" ht="59.25" customHeight="1">
      <c r="A287" s="402">
        <v>287941</v>
      </c>
      <c r="B287" s="89" t="s">
        <v>5363</v>
      </c>
      <c r="C287" s="89" t="s">
        <v>4936</v>
      </c>
      <c r="D287" s="88">
        <v>87700</v>
      </c>
      <c r="E287" s="88" t="s">
        <v>4937</v>
      </c>
      <c r="F287" s="88" t="s">
        <v>55</v>
      </c>
      <c r="G287" s="88" t="s">
        <v>4938</v>
      </c>
      <c r="H287" s="88" t="s">
        <v>591</v>
      </c>
      <c r="I287" s="88" t="s">
        <v>40</v>
      </c>
      <c r="J287" s="89" t="s">
        <v>1277</v>
      </c>
      <c r="K287" s="103" t="s">
        <v>5218</v>
      </c>
      <c r="L287" s="403" t="s">
        <v>26</v>
      </c>
      <c r="M287" s="199">
        <v>45656</v>
      </c>
      <c r="N287" s="105">
        <v>44544</v>
      </c>
      <c r="O287" s="105"/>
      <c r="P287" s="203" t="s">
        <v>4943</v>
      </c>
      <c r="Q287" s="203" t="s">
        <v>4947</v>
      </c>
      <c r="R287" s="203"/>
      <c r="S287" s="203"/>
      <c r="T287" s="87" t="s">
        <v>5055</v>
      </c>
      <c r="U287" s="87" t="s">
        <v>1581</v>
      </c>
      <c r="V287" s="87" t="s">
        <v>1571</v>
      </c>
      <c r="W287" s="88" t="s">
        <v>1581</v>
      </c>
      <c r="X287" s="249"/>
      <c r="Y287" s="88"/>
      <c r="Z287" s="250"/>
      <c r="AA287" s="87" t="s">
        <v>4961</v>
      </c>
      <c r="AB287" s="250" t="s">
        <v>4805</v>
      </c>
      <c r="AC287" s="250"/>
      <c r="AD287" s="250"/>
      <c r="AE287" s="87"/>
      <c r="AF287" s="88" t="s">
        <v>1277</v>
      </c>
      <c r="AG287" s="88" t="s">
        <v>4805</v>
      </c>
      <c r="AH287" s="88"/>
      <c r="AI287" s="224"/>
      <c r="AJ287" s="225">
        <v>2</v>
      </c>
      <c r="AK287" s="224"/>
      <c r="AL287" s="224"/>
      <c r="AM287" s="224"/>
      <c r="AN287" s="224"/>
    </row>
    <row r="288" spans="1:40" s="86" customFormat="1" ht="59.25" customHeight="1">
      <c r="A288" s="402">
        <v>287980</v>
      </c>
      <c r="B288" s="89" t="s">
        <v>767</v>
      </c>
      <c r="C288" s="89" t="s">
        <v>768</v>
      </c>
      <c r="D288" s="88"/>
      <c r="E288" s="88" t="s">
        <v>769</v>
      </c>
      <c r="F288" s="88" t="s">
        <v>526</v>
      </c>
      <c r="G288" s="88" t="s">
        <v>4180</v>
      </c>
      <c r="H288" s="88" t="s">
        <v>591</v>
      </c>
      <c r="I288" s="88" t="s">
        <v>40</v>
      </c>
      <c r="J288" s="89" t="s">
        <v>1510</v>
      </c>
      <c r="K288" s="103" t="s">
        <v>1402</v>
      </c>
      <c r="L288" s="403" t="s">
        <v>26</v>
      </c>
      <c r="M288" s="199">
        <v>45350</v>
      </c>
      <c r="N288" s="105">
        <v>44424</v>
      </c>
      <c r="O288" s="105"/>
      <c r="P288" s="203" t="s">
        <v>4800</v>
      </c>
      <c r="Q288" s="203" t="s">
        <v>1749</v>
      </c>
      <c r="R288" s="203"/>
      <c r="S288" s="203"/>
      <c r="T288" s="87" t="s">
        <v>5082</v>
      </c>
      <c r="U288" s="87" t="s">
        <v>1571</v>
      </c>
      <c r="V288" s="87"/>
      <c r="W288" s="88" t="s">
        <v>1571</v>
      </c>
      <c r="X288" s="249" t="s">
        <v>3853</v>
      </c>
      <c r="Y288" s="88"/>
      <c r="Z288" s="250"/>
      <c r="AA288" s="87" t="s">
        <v>2348</v>
      </c>
      <c r="AB288" s="250" t="s">
        <v>2090</v>
      </c>
      <c r="AC288" s="250"/>
      <c r="AD288" s="250"/>
      <c r="AE288" s="87"/>
      <c r="AF288" s="88" t="s">
        <v>1510</v>
      </c>
      <c r="AG288" s="88" t="s">
        <v>2090</v>
      </c>
      <c r="AH288" s="88" t="s">
        <v>2105</v>
      </c>
      <c r="AI288" s="224"/>
      <c r="AJ288" s="225">
        <v>2</v>
      </c>
      <c r="AK288" s="224" t="s">
        <v>2085</v>
      </c>
      <c r="AL288" s="224" t="s">
        <v>2349</v>
      </c>
      <c r="AM288" s="224" t="s">
        <v>2099</v>
      </c>
      <c r="AN288" s="224" t="s">
        <v>2350</v>
      </c>
    </row>
    <row r="289" spans="1:40" s="86" customFormat="1" ht="59.25" customHeight="1">
      <c r="A289" s="402">
        <v>288222</v>
      </c>
      <c r="B289" s="89" t="s">
        <v>512</v>
      </c>
      <c r="C289" s="89" t="s">
        <v>513</v>
      </c>
      <c r="D289" s="88">
        <v>499642</v>
      </c>
      <c r="E289" s="88" t="s">
        <v>336</v>
      </c>
      <c r="F289" s="88" t="s">
        <v>337</v>
      </c>
      <c r="G289" s="88" t="s">
        <v>976</v>
      </c>
      <c r="H289" s="88" t="s">
        <v>591</v>
      </c>
      <c r="I289" s="88" t="s">
        <v>40</v>
      </c>
      <c r="J289" s="89" t="s">
        <v>5282</v>
      </c>
      <c r="K289" s="103" t="s">
        <v>1233</v>
      </c>
      <c r="L289" s="403" t="s">
        <v>26</v>
      </c>
      <c r="M289" s="199">
        <v>45412</v>
      </c>
      <c r="N289" s="105">
        <v>44673</v>
      </c>
      <c r="O289" s="105"/>
      <c r="P289" s="203" t="s">
        <v>5662</v>
      </c>
      <c r="Q289" s="203" t="s">
        <v>4682</v>
      </c>
      <c r="R289" s="203"/>
      <c r="S289" s="203"/>
      <c r="T289" s="87" t="s">
        <v>5815</v>
      </c>
      <c r="U289" s="87" t="s">
        <v>1571</v>
      </c>
      <c r="V289" s="87"/>
      <c r="W289" s="88" t="s">
        <v>1571</v>
      </c>
      <c r="X289" s="249" t="s">
        <v>3906</v>
      </c>
      <c r="Y289" s="88"/>
      <c r="Z289" s="250"/>
      <c r="AA289" s="87" t="s">
        <v>2220</v>
      </c>
      <c r="AB289" s="250" t="s">
        <v>2072</v>
      </c>
      <c r="AC289" s="250"/>
      <c r="AD289" s="250"/>
      <c r="AE289" s="87"/>
      <c r="AF289" s="88" t="s">
        <v>5282</v>
      </c>
      <c r="AG289" s="88" t="s">
        <v>2073</v>
      </c>
      <c r="AH289" s="88" t="s">
        <v>2074</v>
      </c>
      <c r="AI289" s="224"/>
      <c r="AJ289" s="225">
        <v>2</v>
      </c>
      <c r="AK289" s="224" t="s">
        <v>2076</v>
      </c>
      <c r="AL289" s="224" t="s">
        <v>2221</v>
      </c>
      <c r="AM289" s="224" t="s">
        <v>2077</v>
      </c>
      <c r="AN289" s="224"/>
    </row>
    <row r="290" spans="1:40" s="86" customFormat="1" ht="59.25" customHeight="1">
      <c r="A290" s="402">
        <v>288401</v>
      </c>
      <c r="B290" s="89" t="s">
        <v>514</v>
      </c>
      <c r="C290" s="89" t="s">
        <v>515</v>
      </c>
      <c r="D290" s="88">
        <v>11803</v>
      </c>
      <c r="E290" s="88" t="s">
        <v>516</v>
      </c>
      <c r="F290" s="88" t="s">
        <v>51</v>
      </c>
      <c r="G290" s="88">
        <v>98085</v>
      </c>
      <c r="H290" s="88" t="s">
        <v>591</v>
      </c>
      <c r="I290" s="88" t="s">
        <v>40</v>
      </c>
      <c r="J290" s="89" t="s">
        <v>1336</v>
      </c>
      <c r="K290" s="103" t="s">
        <v>1402</v>
      </c>
      <c r="L290" s="403" t="s">
        <v>26</v>
      </c>
      <c r="M290" s="199">
        <v>45412</v>
      </c>
      <c r="N290" s="105">
        <v>44295</v>
      </c>
      <c r="O290" s="105"/>
      <c r="P290" s="203" t="s">
        <v>4300</v>
      </c>
      <c r="Q290" s="203" t="s">
        <v>1786</v>
      </c>
      <c r="R290" s="203"/>
      <c r="S290" s="203"/>
      <c r="T290" s="87" t="s">
        <v>5923</v>
      </c>
      <c r="U290" s="87" t="s">
        <v>1568</v>
      </c>
      <c r="V290" s="87" t="s">
        <v>1575</v>
      </c>
      <c r="W290" s="88" t="s">
        <v>1568</v>
      </c>
      <c r="X290" s="249" t="s">
        <v>3908</v>
      </c>
      <c r="Y290" s="88" t="s">
        <v>2034</v>
      </c>
      <c r="Z290" s="250"/>
      <c r="AA290" s="87" t="s">
        <v>514</v>
      </c>
      <c r="AB290" s="250" t="s">
        <v>2072</v>
      </c>
      <c r="AC290" s="250"/>
      <c r="AD290" s="250"/>
      <c r="AE290" s="87"/>
      <c r="AF290" s="88" t="s">
        <v>1336</v>
      </c>
      <c r="AG290" s="88" t="s">
        <v>2073</v>
      </c>
      <c r="AH290" s="88" t="s">
        <v>2113</v>
      </c>
      <c r="AI290" s="224"/>
      <c r="AJ290" s="225">
        <v>4</v>
      </c>
      <c r="AK290" s="224" t="s">
        <v>2085</v>
      </c>
      <c r="AL290" s="224" t="s">
        <v>2396</v>
      </c>
      <c r="AM290" s="224"/>
      <c r="AN290" s="224"/>
    </row>
    <row r="291" spans="1:40" s="86" customFormat="1" ht="59.25" customHeight="1">
      <c r="A291" s="402">
        <v>288403</v>
      </c>
      <c r="B291" s="89" t="s">
        <v>4386</v>
      </c>
      <c r="C291" s="89" t="s">
        <v>517</v>
      </c>
      <c r="D291" s="88">
        <v>609384</v>
      </c>
      <c r="E291" s="88" t="s">
        <v>336</v>
      </c>
      <c r="F291" s="88" t="s">
        <v>337</v>
      </c>
      <c r="G291" s="88" t="s">
        <v>977</v>
      </c>
      <c r="H291" s="88" t="s">
        <v>591</v>
      </c>
      <c r="I291" s="88" t="s">
        <v>40</v>
      </c>
      <c r="J291" s="89" t="s">
        <v>5279</v>
      </c>
      <c r="K291" s="103" t="s">
        <v>1233</v>
      </c>
      <c r="L291" s="403" t="s">
        <v>26</v>
      </c>
      <c r="M291" s="199">
        <v>45229</v>
      </c>
      <c r="N291" s="105">
        <v>44679</v>
      </c>
      <c r="O291" s="105"/>
      <c r="P291" s="203" t="s">
        <v>5461</v>
      </c>
      <c r="Q291" s="203" t="s">
        <v>1787</v>
      </c>
      <c r="R291" s="203"/>
      <c r="S291" s="203"/>
      <c r="T291" s="87" t="s">
        <v>4558</v>
      </c>
      <c r="U291" s="87" t="s">
        <v>1571</v>
      </c>
      <c r="V291" s="87"/>
      <c r="W291" s="88" t="s">
        <v>1571</v>
      </c>
      <c r="X291" s="249" t="s">
        <v>3910</v>
      </c>
      <c r="Y291" s="88"/>
      <c r="Z291" s="250"/>
      <c r="AA291" s="87" t="s">
        <v>2161</v>
      </c>
      <c r="AB291" s="250" t="s">
        <v>2072</v>
      </c>
      <c r="AC291" s="250"/>
      <c r="AD291" s="250"/>
      <c r="AE291" s="87"/>
      <c r="AF291" s="88" t="s">
        <v>5279</v>
      </c>
      <c r="AG291" s="88" t="s">
        <v>2073</v>
      </c>
      <c r="AH291" s="88" t="s">
        <v>2074</v>
      </c>
      <c r="AI291" s="224" t="s">
        <v>2075</v>
      </c>
      <c r="AJ291" s="225">
        <v>2</v>
      </c>
      <c r="AK291" s="224" t="s">
        <v>2076</v>
      </c>
      <c r="AL291" s="224" t="s">
        <v>2162</v>
      </c>
      <c r="AM291" s="224" t="s">
        <v>2099</v>
      </c>
      <c r="AN291" s="224" t="s">
        <v>2163</v>
      </c>
    </row>
    <row r="292" spans="1:40" s="86" customFormat="1" ht="59.25" customHeight="1">
      <c r="A292" s="402">
        <v>288404</v>
      </c>
      <c r="B292" s="89" t="s">
        <v>1497</v>
      </c>
      <c r="C292" s="89" t="s">
        <v>518</v>
      </c>
      <c r="D292" s="88">
        <v>91406</v>
      </c>
      <c r="E292" s="88" t="s">
        <v>493</v>
      </c>
      <c r="F292" s="88" t="s">
        <v>51</v>
      </c>
      <c r="G292" s="88"/>
      <c r="H292" s="88" t="s">
        <v>591</v>
      </c>
      <c r="I292" s="88" t="s">
        <v>40</v>
      </c>
      <c r="J292" s="89" t="s">
        <v>5449</v>
      </c>
      <c r="K292" s="103" t="s">
        <v>1402</v>
      </c>
      <c r="L292" s="403" t="s">
        <v>26</v>
      </c>
      <c r="M292" s="199">
        <v>45350</v>
      </c>
      <c r="N292" s="105">
        <v>44434</v>
      </c>
      <c r="O292" s="105"/>
      <c r="P292" s="203" t="s">
        <v>1492</v>
      </c>
      <c r="Q292" s="203" t="s">
        <v>1788</v>
      </c>
      <c r="R292" s="203"/>
      <c r="S292" s="203"/>
      <c r="T292" s="87" t="s">
        <v>1546</v>
      </c>
      <c r="U292" s="87" t="s">
        <v>1571</v>
      </c>
      <c r="V292" s="87"/>
      <c r="W292" s="88" t="s">
        <v>1571</v>
      </c>
      <c r="X292" s="249" t="s">
        <v>5955</v>
      </c>
      <c r="Y292" s="88"/>
      <c r="Z292" s="250"/>
      <c r="AA292" s="87" t="s">
        <v>2097</v>
      </c>
      <c r="AB292" s="250" t="s">
        <v>2072</v>
      </c>
      <c r="AC292" s="250"/>
      <c r="AD292" s="250"/>
      <c r="AE292" s="87"/>
      <c r="AF292" s="88" t="s">
        <v>5449</v>
      </c>
      <c r="AG292" s="88" t="s">
        <v>2073</v>
      </c>
      <c r="AH292" s="88" t="s">
        <v>2074</v>
      </c>
      <c r="AI292" s="224" t="s">
        <v>2075</v>
      </c>
      <c r="AJ292" s="225">
        <v>2</v>
      </c>
      <c r="AK292" s="224" t="s">
        <v>2076</v>
      </c>
      <c r="AL292" s="224" t="s">
        <v>2098</v>
      </c>
      <c r="AM292" s="224" t="s">
        <v>2099</v>
      </c>
      <c r="AN292" s="224"/>
    </row>
    <row r="293" spans="1:40" s="86" customFormat="1" ht="59.25" customHeight="1">
      <c r="A293" s="402">
        <v>288412</v>
      </c>
      <c r="B293" s="89" t="s">
        <v>519</v>
      </c>
      <c r="C293" s="89" t="s">
        <v>520</v>
      </c>
      <c r="D293" s="88">
        <v>33027</v>
      </c>
      <c r="E293" s="88" t="s">
        <v>236</v>
      </c>
      <c r="F293" s="88" t="s">
        <v>51</v>
      </c>
      <c r="G293" s="88" t="s">
        <v>978</v>
      </c>
      <c r="H293" s="88" t="s">
        <v>591</v>
      </c>
      <c r="I293" s="88" t="s">
        <v>40</v>
      </c>
      <c r="J293" s="89" t="s">
        <v>5282</v>
      </c>
      <c r="K293" s="103" t="s">
        <v>1402</v>
      </c>
      <c r="L293" s="403" t="s">
        <v>26</v>
      </c>
      <c r="M293" s="199">
        <v>45412</v>
      </c>
      <c r="N293" s="105">
        <v>44673</v>
      </c>
      <c r="O293" s="105"/>
      <c r="P293" s="203" t="s">
        <v>5611</v>
      </c>
      <c r="Q293" s="203" t="s">
        <v>1789</v>
      </c>
      <c r="R293" s="203"/>
      <c r="S293" s="203"/>
      <c r="T293" s="87" t="s">
        <v>5816</v>
      </c>
      <c r="U293" s="87" t="s">
        <v>1571</v>
      </c>
      <c r="V293" s="87"/>
      <c r="W293" s="88" t="s">
        <v>1571</v>
      </c>
      <c r="X293" s="249" t="s">
        <v>3912</v>
      </c>
      <c r="Y293" s="88"/>
      <c r="Z293" s="250"/>
      <c r="AA293" s="87" t="s">
        <v>2220</v>
      </c>
      <c r="AB293" s="250" t="s">
        <v>2072</v>
      </c>
      <c r="AC293" s="250"/>
      <c r="AD293" s="250"/>
      <c r="AE293" s="87"/>
      <c r="AF293" s="88" t="s">
        <v>5282</v>
      </c>
      <c r="AG293" s="88" t="s">
        <v>2073</v>
      </c>
      <c r="AH293" s="88" t="s">
        <v>2074</v>
      </c>
      <c r="AI293" s="224"/>
      <c r="AJ293" s="225">
        <v>2</v>
      </c>
      <c r="AK293" s="224" t="s">
        <v>2076</v>
      </c>
      <c r="AL293" s="224" t="s">
        <v>2221</v>
      </c>
      <c r="AM293" s="224" t="s">
        <v>2077</v>
      </c>
      <c r="AN293" s="224"/>
    </row>
    <row r="294" spans="1:40" s="86" customFormat="1" ht="59.25" customHeight="1">
      <c r="A294" s="402">
        <v>288414</v>
      </c>
      <c r="B294" s="89" t="s">
        <v>522</v>
      </c>
      <c r="C294" s="89" t="s">
        <v>780</v>
      </c>
      <c r="D294" s="88" t="s">
        <v>781</v>
      </c>
      <c r="E294" s="88" t="s">
        <v>782</v>
      </c>
      <c r="F294" s="88" t="s">
        <v>51</v>
      </c>
      <c r="G294" s="88" t="s">
        <v>979</v>
      </c>
      <c r="H294" s="88" t="s">
        <v>591</v>
      </c>
      <c r="I294" s="88" t="s">
        <v>40</v>
      </c>
      <c r="J294" s="89" t="s">
        <v>5282</v>
      </c>
      <c r="K294" s="103" t="s">
        <v>1233</v>
      </c>
      <c r="L294" s="403" t="s">
        <v>26</v>
      </c>
      <c r="M294" s="199">
        <v>45077</v>
      </c>
      <c r="N294" s="105">
        <v>44347</v>
      </c>
      <c r="O294" s="105"/>
      <c r="P294" s="203" t="s">
        <v>6051</v>
      </c>
      <c r="Q294" s="203" t="s">
        <v>1790</v>
      </c>
      <c r="R294" s="203"/>
      <c r="S294" s="203"/>
      <c r="T294" s="87" t="s">
        <v>5817</v>
      </c>
      <c r="U294" s="87" t="s">
        <v>1568</v>
      </c>
      <c r="V294" s="87"/>
      <c r="W294" s="88" t="s">
        <v>1568</v>
      </c>
      <c r="X294" s="249" t="s">
        <v>5501</v>
      </c>
      <c r="Y294" s="88"/>
      <c r="Z294" s="250"/>
      <c r="AA294" s="87" t="s">
        <v>2280</v>
      </c>
      <c r="AB294" s="250" t="s">
        <v>2072</v>
      </c>
      <c r="AC294" s="250"/>
      <c r="AD294" s="250"/>
      <c r="AE294" s="87"/>
      <c r="AF294" s="88" t="s">
        <v>4441</v>
      </c>
      <c r="AG294" s="88" t="s">
        <v>2073</v>
      </c>
      <c r="AH294" s="88" t="s">
        <v>2074</v>
      </c>
      <c r="AI294" s="224" t="s">
        <v>2075</v>
      </c>
      <c r="AJ294" s="225">
        <v>2</v>
      </c>
      <c r="AK294" s="224" t="s">
        <v>2076</v>
      </c>
      <c r="AL294" s="224" t="s">
        <v>2498</v>
      </c>
      <c r="AM294" s="224" t="s">
        <v>2077</v>
      </c>
      <c r="AN294" s="224" t="s">
        <v>2281</v>
      </c>
    </row>
    <row r="295" spans="1:40" s="86" customFormat="1" ht="59.25" customHeight="1">
      <c r="A295" s="402">
        <v>288415</v>
      </c>
      <c r="B295" s="89" t="s">
        <v>4387</v>
      </c>
      <c r="C295" s="89" t="s">
        <v>4388</v>
      </c>
      <c r="D295" s="88">
        <v>508949</v>
      </c>
      <c r="E295" s="88" t="s">
        <v>336</v>
      </c>
      <c r="F295" s="88" t="s">
        <v>337</v>
      </c>
      <c r="G295" s="88" t="s">
        <v>521</v>
      </c>
      <c r="H295" s="88" t="s">
        <v>591</v>
      </c>
      <c r="I295" s="88" t="s">
        <v>40</v>
      </c>
      <c r="J295" s="89" t="s">
        <v>5449</v>
      </c>
      <c r="K295" s="103" t="s">
        <v>1402</v>
      </c>
      <c r="L295" s="403" t="s">
        <v>26</v>
      </c>
      <c r="M295" s="199">
        <v>45350</v>
      </c>
      <c r="N295" s="105">
        <v>44434</v>
      </c>
      <c r="O295" s="105"/>
      <c r="P295" s="203" t="s">
        <v>5462</v>
      </c>
      <c r="Q295" s="203" t="s">
        <v>1791</v>
      </c>
      <c r="R295" s="203"/>
      <c r="S295" s="203"/>
      <c r="T295" s="87" t="s">
        <v>5953</v>
      </c>
      <c r="U295" s="87" t="s">
        <v>1571</v>
      </c>
      <c r="V295" s="87"/>
      <c r="W295" s="88" t="s">
        <v>1571</v>
      </c>
      <c r="X295" s="249" t="s">
        <v>5955</v>
      </c>
      <c r="Y295" s="88"/>
      <c r="Z295" s="250"/>
      <c r="AA295" s="87" t="s">
        <v>2097</v>
      </c>
      <c r="AB295" s="250" t="s">
        <v>2072</v>
      </c>
      <c r="AC295" s="250"/>
      <c r="AD295" s="250"/>
      <c r="AE295" s="87"/>
      <c r="AF295" s="88" t="s">
        <v>5449</v>
      </c>
      <c r="AG295" s="88" t="s">
        <v>2073</v>
      </c>
      <c r="AH295" s="88" t="s">
        <v>2074</v>
      </c>
      <c r="AI295" s="224" t="s">
        <v>2075</v>
      </c>
      <c r="AJ295" s="225">
        <v>2</v>
      </c>
      <c r="AK295" s="224" t="s">
        <v>2076</v>
      </c>
      <c r="AL295" s="224" t="s">
        <v>2098</v>
      </c>
      <c r="AM295" s="224" t="s">
        <v>2099</v>
      </c>
      <c r="AN295" s="224"/>
    </row>
    <row r="296" spans="1:40" s="86" customFormat="1" ht="59.25" customHeight="1">
      <c r="A296" s="402">
        <v>288416</v>
      </c>
      <c r="B296" s="89" t="s">
        <v>522</v>
      </c>
      <c r="C296" s="89" t="s">
        <v>523</v>
      </c>
      <c r="D296" s="88" t="s">
        <v>524</v>
      </c>
      <c r="E296" s="88" t="s">
        <v>331</v>
      </c>
      <c r="F296" s="88" t="s">
        <v>51</v>
      </c>
      <c r="G296" s="88" t="s">
        <v>980</v>
      </c>
      <c r="H296" s="88" t="s">
        <v>591</v>
      </c>
      <c r="I296" s="88" t="s">
        <v>40</v>
      </c>
      <c r="J296" s="89" t="s">
        <v>5282</v>
      </c>
      <c r="K296" s="103" t="s">
        <v>1233</v>
      </c>
      <c r="L296" s="403" t="s">
        <v>26</v>
      </c>
      <c r="M296" s="199">
        <v>45077</v>
      </c>
      <c r="N296" s="105">
        <v>44347</v>
      </c>
      <c r="O296" s="105"/>
      <c r="P296" s="203" t="s">
        <v>6052</v>
      </c>
      <c r="Q296" s="203" t="s">
        <v>1792</v>
      </c>
      <c r="R296" s="203"/>
      <c r="S296" s="203"/>
      <c r="T296" s="87" t="s">
        <v>5817</v>
      </c>
      <c r="U296" s="87" t="s">
        <v>1568</v>
      </c>
      <c r="V296" s="87"/>
      <c r="W296" s="88" t="s">
        <v>1568</v>
      </c>
      <c r="X296" s="249" t="s">
        <v>5501</v>
      </c>
      <c r="Y296" s="88"/>
      <c r="Z296" s="250"/>
      <c r="AA296" s="87" t="s">
        <v>2280</v>
      </c>
      <c r="AB296" s="250" t="s">
        <v>2072</v>
      </c>
      <c r="AC296" s="250"/>
      <c r="AD296" s="250"/>
      <c r="AE296" s="87"/>
      <c r="AF296" s="88" t="s">
        <v>4441</v>
      </c>
      <c r="AG296" s="88" t="s">
        <v>2073</v>
      </c>
      <c r="AH296" s="88" t="s">
        <v>2074</v>
      </c>
      <c r="AI296" s="224" t="s">
        <v>2075</v>
      </c>
      <c r="AJ296" s="225">
        <v>2</v>
      </c>
      <c r="AK296" s="224" t="s">
        <v>2076</v>
      </c>
      <c r="AL296" s="224" t="s">
        <v>2498</v>
      </c>
      <c r="AM296" s="224" t="s">
        <v>2077</v>
      </c>
      <c r="AN296" s="224" t="s">
        <v>2281</v>
      </c>
    </row>
    <row r="297" spans="1:40" s="86" customFormat="1" ht="59.25" customHeight="1">
      <c r="A297" s="402">
        <v>288429</v>
      </c>
      <c r="B297" s="89" t="s">
        <v>525</v>
      </c>
      <c r="C297" s="89" t="s">
        <v>981</v>
      </c>
      <c r="D297" s="88"/>
      <c r="E297" s="88" t="s">
        <v>566</v>
      </c>
      <c r="F297" s="88" t="s">
        <v>526</v>
      </c>
      <c r="G297" s="88" t="s">
        <v>982</v>
      </c>
      <c r="H297" s="88" t="s">
        <v>591</v>
      </c>
      <c r="I297" s="88" t="s">
        <v>40</v>
      </c>
      <c r="J297" s="89" t="s">
        <v>5282</v>
      </c>
      <c r="K297" s="103" t="s">
        <v>1233</v>
      </c>
      <c r="L297" s="403" t="s">
        <v>26</v>
      </c>
      <c r="M297" s="199">
        <v>45412</v>
      </c>
      <c r="N297" s="105">
        <v>44672</v>
      </c>
      <c r="O297" s="105"/>
      <c r="P297" s="203" t="s">
        <v>4839</v>
      </c>
      <c r="Q297" s="203" t="s">
        <v>1793</v>
      </c>
      <c r="R297" s="203"/>
      <c r="S297" s="203"/>
      <c r="T297" s="87" t="s">
        <v>5089</v>
      </c>
      <c r="U297" s="87" t="s">
        <v>1571</v>
      </c>
      <c r="V297" s="87"/>
      <c r="W297" s="88" t="s">
        <v>1571</v>
      </c>
      <c r="X297" s="249" t="s">
        <v>3915</v>
      </c>
      <c r="Y297" s="88"/>
      <c r="Z297" s="250"/>
      <c r="AA297" s="87" t="s">
        <v>2171</v>
      </c>
      <c r="AB297" s="250" t="s">
        <v>2072</v>
      </c>
      <c r="AC297" s="250"/>
      <c r="AD297" s="250"/>
      <c r="AE297" s="87"/>
      <c r="AF297" s="88" t="s">
        <v>5282</v>
      </c>
      <c r="AG297" s="88" t="s">
        <v>2073</v>
      </c>
      <c r="AH297" s="88" t="s">
        <v>2093</v>
      </c>
      <c r="AI297" s="224"/>
      <c r="AJ297" s="225">
        <v>2</v>
      </c>
      <c r="AK297" s="224" t="s">
        <v>2076</v>
      </c>
      <c r="AL297" s="224" t="s">
        <v>2172</v>
      </c>
      <c r="AM297" s="224" t="s">
        <v>2077</v>
      </c>
      <c r="AN297" s="224"/>
    </row>
    <row r="298" spans="1:40" s="86" customFormat="1" ht="59.25" customHeight="1">
      <c r="A298" s="402">
        <v>288457</v>
      </c>
      <c r="B298" s="89" t="s">
        <v>527</v>
      </c>
      <c r="C298" s="89" t="s">
        <v>983</v>
      </c>
      <c r="D298" s="88" t="s">
        <v>984</v>
      </c>
      <c r="E298" s="88" t="s">
        <v>660</v>
      </c>
      <c r="F298" s="88" t="s">
        <v>45</v>
      </c>
      <c r="G298" s="88" t="s">
        <v>985</v>
      </c>
      <c r="H298" s="88" t="s">
        <v>591</v>
      </c>
      <c r="I298" s="88" t="s">
        <v>40</v>
      </c>
      <c r="J298" s="89" t="s">
        <v>5282</v>
      </c>
      <c r="K298" s="103" t="s">
        <v>1233</v>
      </c>
      <c r="L298" s="403" t="s">
        <v>26</v>
      </c>
      <c r="M298" s="199">
        <v>45412</v>
      </c>
      <c r="N298" s="105">
        <v>44672</v>
      </c>
      <c r="O298" s="105"/>
      <c r="P298" s="203" t="s">
        <v>6053</v>
      </c>
      <c r="Q298" s="203" t="s">
        <v>1794</v>
      </c>
      <c r="R298" s="203"/>
      <c r="S298" s="203"/>
      <c r="T298" s="87" t="s">
        <v>1552</v>
      </c>
      <c r="U298" s="87" t="s">
        <v>1571</v>
      </c>
      <c r="V298" s="87"/>
      <c r="W298" s="88" t="s">
        <v>1571</v>
      </c>
      <c r="X298" s="249" t="s">
        <v>3917</v>
      </c>
      <c r="Y298" s="88"/>
      <c r="Z298" s="250"/>
      <c r="AA298" s="87" t="s">
        <v>2171</v>
      </c>
      <c r="AB298" s="250" t="s">
        <v>2072</v>
      </c>
      <c r="AC298" s="250"/>
      <c r="AD298" s="250"/>
      <c r="AE298" s="87"/>
      <c r="AF298" s="88" t="s">
        <v>5282</v>
      </c>
      <c r="AG298" s="88" t="s">
        <v>2073</v>
      </c>
      <c r="AH298" s="88" t="s">
        <v>2093</v>
      </c>
      <c r="AI298" s="224"/>
      <c r="AJ298" s="225">
        <v>2</v>
      </c>
      <c r="AK298" s="224" t="s">
        <v>2076</v>
      </c>
      <c r="AL298" s="224" t="s">
        <v>2172</v>
      </c>
      <c r="AM298" s="224" t="s">
        <v>2077</v>
      </c>
      <c r="AN298" s="224"/>
    </row>
    <row r="299" spans="1:40" s="86" customFormat="1" ht="59.25" customHeight="1">
      <c r="A299" s="402">
        <v>288653</v>
      </c>
      <c r="B299" s="89" t="s">
        <v>750</v>
      </c>
      <c r="C299" s="89" t="s">
        <v>751</v>
      </c>
      <c r="D299" s="88" t="s">
        <v>752</v>
      </c>
      <c r="E299" s="88" t="s">
        <v>753</v>
      </c>
      <c r="F299" s="88" t="s">
        <v>51</v>
      </c>
      <c r="G299" s="88">
        <v>31196</v>
      </c>
      <c r="H299" s="88" t="s">
        <v>591</v>
      </c>
      <c r="I299" s="88" t="s">
        <v>40</v>
      </c>
      <c r="J299" s="89" t="s">
        <v>4441</v>
      </c>
      <c r="K299" s="103" t="s">
        <v>1233</v>
      </c>
      <c r="L299" s="403" t="s">
        <v>26</v>
      </c>
      <c r="M299" s="199">
        <v>45077</v>
      </c>
      <c r="N299" s="105">
        <v>44347</v>
      </c>
      <c r="O299" s="105"/>
      <c r="P299" s="203" t="s">
        <v>1516</v>
      </c>
      <c r="Q299" s="203" t="s">
        <v>1795</v>
      </c>
      <c r="R299" s="203"/>
      <c r="S299" s="203"/>
      <c r="T299" s="87" t="s">
        <v>5954</v>
      </c>
      <c r="U299" s="87" t="s">
        <v>1568</v>
      </c>
      <c r="V299" s="87"/>
      <c r="W299" s="88" t="s">
        <v>1568</v>
      </c>
      <c r="X299" s="249" t="s">
        <v>5958</v>
      </c>
      <c r="Y299" s="88"/>
      <c r="Z299" s="250" t="s">
        <v>2045</v>
      </c>
      <c r="AA299" s="87" t="s">
        <v>2280</v>
      </c>
      <c r="AB299" s="250" t="s">
        <v>2079</v>
      </c>
      <c r="AC299" s="250" t="s">
        <v>2397</v>
      </c>
      <c r="AD299" s="250"/>
      <c r="AE299" s="87" t="s">
        <v>2045</v>
      </c>
      <c r="AF299" s="88" t="s">
        <v>4441</v>
      </c>
      <c r="AG299" s="88" t="s">
        <v>2073</v>
      </c>
      <c r="AH299" s="88" t="s">
        <v>2074</v>
      </c>
      <c r="AI299" s="224" t="s">
        <v>2075</v>
      </c>
      <c r="AJ299" s="225">
        <v>2</v>
      </c>
      <c r="AK299" s="224" t="s">
        <v>2076</v>
      </c>
      <c r="AL299" s="224" t="s">
        <v>2498</v>
      </c>
      <c r="AM299" s="224" t="s">
        <v>2077</v>
      </c>
      <c r="AN299" s="224" t="s">
        <v>2281</v>
      </c>
    </row>
    <row r="300" spans="1:40" s="86" customFormat="1" ht="59.25" customHeight="1">
      <c r="A300" s="402">
        <v>289048</v>
      </c>
      <c r="B300" s="89" t="s">
        <v>1385</v>
      </c>
      <c r="C300" s="89" t="s">
        <v>1386</v>
      </c>
      <c r="D300" s="88">
        <v>33309</v>
      </c>
      <c r="E300" s="88" t="s">
        <v>1387</v>
      </c>
      <c r="F300" s="88" t="s">
        <v>51</v>
      </c>
      <c r="G300" s="88" t="s">
        <v>1388</v>
      </c>
      <c r="H300" s="88" t="s">
        <v>591</v>
      </c>
      <c r="I300" s="88" t="s">
        <v>1114</v>
      </c>
      <c r="J300" s="89" t="s">
        <v>4608</v>
      </c>
      <c r="K300" s="103" t="s">
        <v>1233</v>
      </c>
      <c r="L300" s="403" t="s">
        <v>26</v>
      </c>
      <c r="M300" s="199">
        <v>44895</v>
      </c>
      <c r="N300" s="105">
        <v>44160</v>
      </c>
      <c r="O300" s="105"/>
      <c r="P300" s="203"/>
      <c r="Q300" s="203"/>
      <c r="R300" s="203"/>
      <c r="S300" s="203"/>
      <c r="T300" s="87" t="s">
        <v>4924</v>
      </c>
      <c r="U300" s="87" t="s">
        <v>1576</v>
      </c>
      <c r="V300" s="87"/>
      <c r="W300" s="88" t="s">
        <v>1576</v>
      </c>
      <c r="X300" s="249" t="s">
        <v>4691</v>
      </c>
      <c r="Y300" s="88"/>
      <c r="Z300" s="250"/>
      <c r="AA300" s="87" t="s">
        <v>2398</v>
      </c>
      <c r="AB300" s="250" t="s">
        <v>2128</v>
      </c>
      <c r="AC300" s="250" t="s">
        <v>2129</v>
      </c>
      <c r="AD300" s="250"/>
      <c r="AE300" s="87"/>
      <c r="AF300" s="88" t="s">
        <v>4608</v>
      </c>
      <c r="AG300" s="88" t="s">
        <v>2128</v>
      </c>
      <c r="AH300" s="88"/>
      <c r="AI300" s="224"/>
      <c r="AJ300" s="225">
        <v>1</v>
      </c>
      <c r="AK300" s="224" t="s">
        <v>2107</v>
      </c>
      <c r="AL300" s="224" t="s">
        <v>2399</v>
      </c>
      <c r="AM300" s="224" t="s">
        <v>2131</v>
      </c>
      <c r="AN300" s="224"/>
    </row>
    <row r="301" spans="1:40" s="86" customFormat="1" ht="59.25" customHeight="1">
      <c r="A301" s="402">
        <v>289064</v>
      </c>
      <c r="B301" s="89" t="s">
        <v>760</v>
      </c>
      <c r="C301" s="89" t="s">
        <v>761</v>
      </c>
      <c r="D301" s="88" t="s">
        <v>762</v>
      </c>
      <c r="E301" s="88" t="s">
        <v>763</v>
      </c>
      <c r="F301" s="88" t="s">
        <v>107</v>
      </c>
      <c r="G301" s="88">
        <v>38473</v>
      </c>
      <c r="H301" s="88" t="s">
        <v>591</v>
      </c>
      <c r="I301" s="88" t="s">
        <v>40</v>
      </c>
      <c r="J301" s="89" t="s">
        <v>4441</v>
      </c>
      <c r="K301" s="103" t="s">
        <v>1233</v>
      </c>
      <c r="L301" s="403" t="s">
        <v>26</v>
      </c>
      <c r="M301" s="199">
        <v>45077</v>
      </c>
      <c r="N301" s="105">
        <v>44705</v>
      </c>
      <c r="O301" s="105"/>
      <c r="P301" s="203" t="s">
        <v>5612</v>
      </c>
      <c r="Q301" s="203" t="s">
        <v>1796</v>
      </c>
      <c r="R301" s="203"/>
      <c r="S301" s="203"/>
      <c r="T301" s="87" t="s">
        <v>4717</v>
      </c>
      <c r="U301" s="87" t="s">
        <v>1568</v>
      </c>
      <c r="V301" s="87"/>
      <c r="W301" s="88" t="s">
        <v>1568</v>
      </c>
      <c r="X301" s="249" t="s">
        <v>4690</v>
      </c>
      <c r="Y301" s="88"/>
      <c r="Z301" s="250" t="s">
        <v>2046</v>
      </c>
      <c r="AA301" s="87" t="s">
        <v>2280</v>
      </c>
      <c r="AB301" s="250" t="s">
        <v>2079</v>
      </c>
      <c r="AC301" s="250" t="s">
        <v>2400</v>
      </c>
      <c r="AD301" s="250"/>
      <c r="AE301" s="87" t="s">
        <v>2046</v>
      </c>
      <c r="AF301" s="88" t="s">
        <v>4441</v>
      </c>
      <c r="AG301" s="88" t="s">
        <v>2073</v>
      </c>
      <c r="AH301" s="88" t="s">
        <v>2074</v>
      </c>
      <c r="AI301" s="224" t="s">
        <v>2075</v>
      </c>
      <c r="AJ301" s="225">
        <v>2</v>
      </c>
      <c r="AK301" s="224" t="s">
        <v>2076</v>
      </c>
      <c r="AL301" s="224" t="s">
        <v>2498</v>
      </c>
      <c r="AM301" s="224" t="s">
        <v>2077</v>
      </c>
      <c r="AN301" s="224" t="s">
        <v>2281</v>
      </c>
    </row>
    <row r="302" spans="1:40" s="86" customFormat="1" ht="59.25" customHeight="1">
      <c r="A302" s="402">
        <v>289087</v>
      </c>
      <c r="B302" s="89" t="s">
        <v>5284</v>
      </c>
      <c r="C302" s="89" t="s">
        <v>5285</v>
      </c>
      <c r="D302" s="88">
        <v>21395</v>
      </c>
      <c r="E302" s="88" t="s">
        <v>5286</v>
      </c>
      <c r="F302" s="88" t="s">
        <v>1088</v>
      </c>
      <c r="G302" s="88" t="s">
        <v>5287</v>
      </c>
      <c r="H302" s="88" t="s">
        <v>591</v>
      </c>
      <c r="I302" s="88" t="s">
        <v>40</v>
      </c>
      <c r="J302" s="89" t="s">
        <v>5281</v>
      </c>
      <c r="K302" s="103" t="s">
        <v>1233</v>
      </c>
      <c r="L302" s="403" t="s">
        <v>26</v>
      </c>
      <c r="M302" s="199">
        <v>45077</v>
      </c>
      <c r="N302" s="105">
        <v>44711</v>
      </c>
      <c r="O302" s="105"/>
      <c r="P302" s="203" t="s">
        <v>5297</v>
      </c>
      <c r="Q302" s="203" t="s">
        <v>5303</v>
      </c>
      <c r="R302" s="203"/>
      <c r="S302" s="203"/>
      <c r="T302" s="87" t="s">
        <v>5311</v>
      </c>
      <c r="U302" s="87" t="s">
        <v>1568</v>
      </c>
      <c r="V302" s="87"/>
      <c r="W302" s="88" t="s">
        <v>1568</v>
      </c>
      <c r="X302" s="249" t="s">
        <v>4689</v>
      </c>
      <c r="Y302" s="88"/>
      <c r="Z302" s="250"/>
      <c r="AA302" s="87" t="s">
        <v>2132</v>
      </c>
      <c r="AB302" s="250" t="s">
        <v>2072</v>
      </c>
      <c r="AC302" s="250"/>
      <c r="AD302" s="250"/>
      <c r="AE302" s="87"/>
      <c r="AF302" s="88" t="s">
        <v>5517</v>
      </c>
      <c r="AG302" s="88" t="s">
        <v>2073</v>
      </c>
      <c r="AH302" s="88" t="s">
        <v>2074</v>
      </c>
      <c r="AI302" s="224" t="s">
        <v>2075</v>
      </c>
      <c r="AJ302" s="225">
        <v>2</v>
      </c>
      <c r="AK302" s="224" t="s">
        <v>2133</v>
      </c>
      <c r="AL302" s="224" t="s">
        <v>2134</v>
      </c>
      <c r="AM302" s="224" t="s">
        <v>2099</v>
      </c>
      <c r="AN302" s="224" t="s">
        <v>2135</v>
      </c>
    </row>
    <row r="303" spans="1:40" s="86" customFormat="1" ht="59.25" customHeight="1">
      <c r="A303" s="402">
        <v>289129</v>
      </c>
      <c r="B303" s="89" t="s">
        <v>528</v>
      </c>
      <c r="C303" s="89" t="s">
        <v>529</v>
      </c>
      <c r="D303" s="88">
        <v>31300</v>
      </c>
      <c r="E303" s="88" t="s">
        <v>93</v>
      </c>
      <c r="F303" s="88" t="s">
        <v>47</v>
      </c>
      <c r="G303" s="88" t="s">
        <v>986</v>
      </c>
      <c r="H303" s="88" t="s">
        <v>591</v>
      </c>
      <c r="I303" s="88" t="s">
        <v>40</v>
      </c>
      <c r="J303" s="89" t="s">
        <v>5278</v>
      </c>
      <c r="K303" s="103" t="s">
        <v>1233</v>
      </c>
      <c r="L303" s="403" t="s">
        <v>26</v>
      </c>
      <c r="M303" s="199">
        <v>44985</v>
      </c>
      <c r="N303" s="105">
        <v>44250</v>
      </c>
      <c r="O303" s="105"/>
      <c r="P303" s="203" t="s">
        <v>5681</v>
      </c>
      <c r="Q303" s="203" t="s">
        <v>1797</v>
      </c>
      <c r="R303" s="203" t="s">
        <v>1977</v>
      </c>
      <c r="S303" s="203"/>
      <c r="T303" s="87" t="s">
        <v>5818</v>
      </c>
      <c r="U303" s="87" t="s">
        <v>1568</v>
      </c>
      <c r="V303" s="87"/>
      <c r="W303" s="88" t="s">
        <v>1568</v>
      </c>
      <c r="X303" s="249" t="s">
        <v>3699</v>
      </c>
      <c r="Y303" s="88"/>
      <c r="Z303" s="250"/>
      <c r="AA303" s="87" t="s">
        <v>1168</v>
      </c>
      <c r="AB303" s="250" t="s">
        <v>2072</v>
      </c>
      <c r="AC303" s="250"/>
      <c r="AD303" s="250"/>
      <c r="AE303" s="87"/>
      <c r="AF303" s="88" t="s">
        <v>5278</v>
      </c>
      <c r="AG303" s="88" t="s">
        <v>2073</v>
      </c>
      <c r="AH303" s="88" t="s">
        <v>2074</v>
      </c>
      <c r="AI303" s="224" t="s">
        <v>2075</v>
      </c>
      <c r="AJ303" s="225">
        <v>2</v>
      </c>
      <c r="AK303" s="224" t="s">
        <v>2076</v>
      </c>
      <c r="AL303" s="224" t="s">
        <v>2139</v>
      </c>
      <c r="AM303" s="224" t="s">
        <v>2099</v>
      </c>
      <c r="AN303" s="224" t="s">
        <v>2140</v>
      </c>
    </row>
    <row r="304" spans="1:40" s="86" customFormat="1" ht="59.25" customHeight="1">
      <c r="A304" s="402">
        <v>290257</v>
      </c>
      <c r="B304" s="89" t="s">
        <v>530</v>
      </c>
      <c r="C304" s="89" t="s">
        <v>531</v>
      </c>
      <c r="D304" s="88" t="s">
        <v>532</v>
      </c>
      <c r="E304" s="88" t="s">
        <v>119</v>
      </c>
      <c r="F304" s="88" t="s">
        <v>51</v>
      </c>
      <c r="G304" s="88">
        <v>63389</v>
      </c>
      <c r="H304" s="88" t="s">
        <v>591</v>
      </c>
      <c r="I304" s="88" t="s">
        <v>40</v>
      </c>
      <c r="J304" s="89" t="s">
        <v>5450</v>
      </c>
      <c r="K304" s="103" t="s">
        <v>1233</v>
      </c>
      <c r="L304" s="403" t="s">
        <v>26</v>
      </c>
      <c r="M304" s="199">
        <v>45077</v>
      </c>
      <c r="N304" s="105">
        <v>44705</v>
      </c>
      <c r="O304" s="105"/>
      <c r="P304" s="203" t="s">
        <v>4891</v>
      </c>
      <c r="Q304" s="203" t="s">
        <v>1798</v>
      </c>
      <c r="R304" s="203"/>
      <c r="S304" s="203"/>
      <c r="T304" s="87" t="s">
        <v>5732</v>
      </c>
      <c r="U304" s="87" t="s">
        <v>1568</v>
      </c>
      <c r="V304" s="87"/>
      <c r="W304" s="88" t="s">
        <v>1568</v>
      </c>
      <c r="X304" s="249" t="s">
        <v>4689</v>
      </c>
      <c r="Y304" s="88"/>
      <c r="Z304" s="250"/>
      <c r="AA304" s="87" t="s">
        <v>2132</v>
      </c>
      <c r="AB304" s="250" t="s">
        <v>2072</v>
      </c>
      <c r="AC304" s="250"/>
      <c r="AD304" s="250"/>
      <c r="AE304" s="87"/>
      <c r="AF304" s="88" t="s">
        <v>5517</v>
      </c>
      <c r="AG304" s="88" t="s">
        <v>2073</v>
      </c>
      <c r="AH304" s="88" t="s">
        <v>2074</v>
      </c>
      <c r="AI304" s="224" t="s">
        <v>2075</v>
      </c>
      <c r="AJ304" s="225">
        <v>2</v>
      </c>
      <c r="AK304" s="224" t="s">
        <v>2133</v>
      </c>
      <c r="AL304" s="224" t="s">
        <v>2134</v>
      </c>
      <c r="AM304" s="224" t="s">
        <v>2099</v>
      </c>
      <c r="AN304" s="224" t="s">
        <v>2135</v>
      </c>
    </row>
    <row r="305" spans="1:40" s="86" customFormat="1" ht="59.25" customHeight="1">
      <c r="A305" s="402">
        <v>291012</v>
      </c>
      <c r="B305" s="89" t="s">
        <v>533</v>
      </c>
      <c r="C305" s="89" t="s">
        <v>534</v>
      </c>
      <c r="D305" s="88" t="s">
        <v>535</v>
      </c>
      <c r="E305" s="88" t="s">
        <v>536</v>
      </c>
      <c r="F305" s="88" t="s">
        <v>51</v>
      </c>
      <c r="G305" s="88">
        <v>81873</v>
      </c>
      <c r="H305" s="88" t="s">
        <v>591</v>
      </c>
      <c r="I305" s="88" t="s">
        <v>40</v>
      </c>
      <c r="J305" s="89" t="s">
        <v>5449</v>
      </c>
      <c r="K305" s="103"/>
      <c r="L305" s="403" t="s">
        <v>26</v>
      </c>
      <c r="M305" s="199">
        <v>45199</v>
      </c>
      <c r="N305" s="105">
        <v>44074</v>
      </c>
      <c r="O305" s="105"/>
      <c r="P305" s="203" t="s">
        <v>1499</v>
      </c>
      <c r="Q305" s="203" t="s">
        <v>1799</v>
      </c>
      <c r="R305" s="203"/>
      <c r="S305" s="203"/>
      <c r="T305" s="87" t="s">
        <v>1553</v>
      </c>
      <c r="U305" s="87" t="s">
        <v>1568</v>
      </c>
      <c r="V305" s="87"/>
      <c r="W305" s="88" t="s">
        <v>1568</v>
      </c>
      <c r="X305" s="249" t="s">
        <v>3920</v>
      </c>
      <c r="Y305" s="88"/>
      <c r="Z305" s="250" t="s">
        <v>5317</v>
      </c>
      <c r="AA305" s="87" t="s">
        <v>2401</v>
      </c>
      <c r="AB305" s="250" t="s">
        <v>2072</v>
      </c>
      <c r="AC305" s="250" t="s">
        <v>5317</v>
      </c>
      <c r="AD305" s="250"/>
      <c r="AE305" s="87" t="s">
        <v>5317</v>
      </c>
      <c r="AF305" s="88" t="s">
        <v>5449</v>
      </c>
      <c r="AG305" s="88" t="s">
        <v>2283</v>
      </c>
      <c r="AH305" s="88" t="s">
        <v>2113</v>
      </c>
      <c r="AI305" s="224"/>
      <c r="AJ305" s="225">
        <v>4</v>
      </c>
      <c r="AK305" s="224" t="s">
        <v>2087</v>
      </c>
      <c r="AL305" s="224" t="s">
        <v>2499</v>
      </c>
      <c r="AM305" s="224" t="s">
        <v>2087</v>
      </c>
      <c r="AN305" s="224"/>
    </row>
    <row r="306" spans="1:40" s="86" customFormat="1" ht="59.25" customHeight="1">
      <c r="A306" s="402">
        <v>291146</v>
      </c>
      <c r="B306" s="89" t="s">
        <v>1134</v>
      </c>
      <c r="C306" s="89" t="s">
        <v>1135</v>
      </c>
      <c r="D306" s="88">
        <v>98204</v>
      </c>
      <c r="E306" s="88" t="s">
        <v>1136</v>
      </c>
      <c r="F306" s="88" t="s">
        <v>51</v>
      </c>
      <c r="G306" s="88">
        <v>81590</v>
      </c>
      <c r="H306" s="88" t="s">
        <v>591</v>
      </c>
      <c r="I306" s="88" t="s">
        <v>40</v>
      </c>
      <c r="J306" s="89" t="s">
        <v>5450</v>
      </c>
      <c r="K306" s="103" t="s">
        <v>1233</v>
      </c>
      <c r="L306" s="403" t="s">
        <v>26</v>
      </c>
      <c r="M306" s="199">
        <v>45077</v>
      </c>
      <c r="N306" s="105">
        <v>44705</v>
      </c>
      <c r="O306" s="105"/>
      <c r="P306" s="203" t="s">
        <v>6054</v>
      </c>
      <c r="Q306" s="203" t="s">
        <v>1800</v>
      </c>
      <c r="R306" s="203"/>
      <c r="S306" s="203"/>
      <c r="T306" s="87" t="s">
        <v>5819</v>
      </c>
      <c r="U306" s="87" t="s">
        <v>1568</v>
      </c>
      <c r="V306" s="87"/>
      <c r="W306" s="88" t="s">
        <v>1568</v>
      </c>
      <c r="X306" s="249" t="s">
        <v>3921</v>
      </c>
      <c r="Y306" s="88"/>
      <c r="Z306" s="250" t="s">
        <v>4216</v>
      </c>
      <c r="AA306" s="87" t="s">
        <v>1134</v>
      </c>
      <c r="AB306" s="250" t="s">
        <v>2072</v>
      </c>
      <c r="AC306" s="250" t="s">
        <v>2500</v>
      </c>
      <c r="AD306" s="250"/>
      <c r="AE306" s="87" t="s">
        <v>4216</v>
      </c>
      <c r="AF306" s="88" t="s">
        <v>5517</v>
      </c>
      <c r="AG306" s="88" t="s">
        <v>2073</v>
      </c>
      <c r="AH306" s="88" t="s">
        <v>2074</v>
      </c>
      <c r="AI306" s="224" t="s">
        <v>2179</v>
      </c>
      <c r="AJ306" s="225">
        <v>3</v>
      </c>
      <c r="AK306" s="224" t="s">
        <v>2107</v>
      </c>
      <c r="AL306" s="224" t="s">
        <v>2501</v>
      </c>
      <c r="AM306" s="224"/>
      <c r="AN306" s="224"/>
    </row>
    <row r="307" spans="1:40" s="86" customFormat="1" ht="59.25" customHeight="1">
      <c r="A307" s="402">
        <v>292561</v>
      </c>
      <c r="B307" s="89" t="s">
        <v>537</v>
      </c>
      <c r="C307" s="89" t="s">
        <v>538</v>
      </c>
      <c r="D307" s="88">
        <v>10126</v>
      </c>
      <c r="E307" s="88" t="s">
        <v>539</v>
      </c>
      <c r="F307" s="88" t="s">
        <v>98</v>
      </c>
      <c r="G307" s="88"/>
      <c r="H307" s="88" t="s">
        <v>591</v>
      </c>
      <c r="I307" s="88" t="s">
        <v>40</v>
      </c>
      <c r="J307" s="89" t="s">
        <v>5282</v>
      </c>
      <c r="K307" s="103" t="s">
        <v>1233</v>
      </c>
      <c r="L307" s="403" t="s">
        <v>26</v>
      </c>
      <c r="M307" s="199">
        <v>45412</v>
      </c>
      <c r="N307" s="105">
        <v>44672</v>
      </c>
      <c r="O307" s="105"/>
      <c r="P307" s="203" t="s">
        <v>4866</v>
      </c>
      <c r="Q307" s="203" t="s">
        <v>1801</v>
      </c>
      <c r="R307" s="203" t="s">
        <v>1943</v>
      </c>
      <c r="S307" s="203"/>
      <c r="T307" s="87" t="s">
        <v>5820</v>
      </c>
      <c r="U307" s="87" t="s">
        <v>1568</v>
      </c>
      <c r="V307" s="87"/>
      <c r="W307" s="88" t="s">
        <v>1568</v>
      </c>
      <c r="X307" s="249" t="s">
        <v>3760</v>
      </c>
      <c r="Y307" s="88"/>
      <c r="Z307" s="250" t="s">
        <v>2047</v>
      </c>
      <c r="AA307" s="87" t="s">
        <v>2171</v>
      </c>
      <c r="AB307" s="250" t="s">
        <v>2072</v>
      </c>
      <c r="AC307" s="250" t="s">
        <v>2402</v>
      </c>
      <c r="AD307" s="250"/>
      <c r="AE307" s="87" t="s">
        <v>2047</v>
      </c>
      <c r="AF307" s="88" t="s">
        <v>5282</v>
      </c>
      <c r="AG307" s="88" t="s">
        <v>2073</v>
      </c>
      <c r="AH307" s="88" t="s">
        <v>2093</v>
      </c>
      <c r="AI307" s="224"/>
      <c r="AJ307" s="225">
        <v>2</v>
      </c>
      <c r="AK307" s="224" t="s">
        <v>2076</v>
      </c>
      <c r="AL307" s="224" t="s">
        <v>2172</v>
      </c>
      <c r="AM307" s="224" t="s">
        <v>2077</v>
      </c>
      <c r="AN307" s="224"/>
    </row>
    <row r="308" spans="1:40" s="86" customFormat="1" ht="59.25" customHeight="1">
      <c r="A308" s="402">
        <v>292565</v>
      </c>
      <c r="B308" s="89" t="s">
        <v>1389</v>
      </c>
      <c r="C308" s="89" t="s">
        <v>1390</v>
      </c>
      <c r="D308" s="88" t="s">
        <v>1391</v>
      </c>
      <c r="E308" s="88" t="s">
        <v>1392</v>
      </c>
      <c r="F308" s="88" t="s">
        <v>246</v>
      </c>
      <c r="G308" s="88"/>
      <c r="H308" s="88" t="s">
        <v>591</v>
      </c>
      <c r="I308" s="88" t="s">
        <v>40</v>
      </c>
      <c r="J308" s="89" t="s">
        <v>1277</v>
      </c>
      <c r="K308" s="103" t="s">
        <v>1233</v>
      </c>
      <c r="L308" s="403" t="s">
        <v>26</v>
      </c>
      <c r="M308" s="199">
        <v>45626</v>
      </c>
      <c r="N308" s="105">
        <v>44536</v>
      </c>
      <c r="O308" s="105"/>
      <c r="P308" s="203" t="s">
        <v>5613</v>
      </c>
      <c r="Q308" s="203" t="s">
        <v>4483</v>
      </c>
      <c r="R308" s="203"/>
      <c r="S308" s="203"/>
      <c r="T308" s="87" t="s">
        <v>4249</v>
      </c>
      <c r="U308" s="87" t="s">
        <v>1568</v>
      </c>
      <c r="V308" s="87"/>
      <c r="W308" s="88" t="s">
        <v>1568</v>
      </c>
      <c r="X308" s="249" t="s">
        <v>3922</v>
      </c>
      <c r="Y308" s="88"/>
      <c r="Z308" s="250" t="s">
        <v>2048</v>
      </c>
      <c r="AA308" s="87" t="s">
        <v>1389</v>
      </c>
      <c r="AB308" s="250" t="s">
        <v>2072</v>
      </c>
      <c r="AC308" s="250" t="s">
        <v>2403</v>
      </c>
      <c r="AD308" s="250"/>
      <c r="AE308" s="87" t="s">
        <v>2048</v>
      </c>
      <c r="AF308" s="88" t="s">
        <v>1277</v>
      </c>
      <c r="AG308" s="88" t="s">
        <v>2283</v>
      </c>
      <c r="AH308" s="88" t="s">
        <v>2093</v>
      </c>
      <c r="AI308" s="224"/>
      <c r="AJ308" s="225">
        <v>3</v>
      </c>
      <c r="AK308" s="224" t="s">
        <v>2094</v>
      </c>
      <c r="AL308" s="224" t="s">
        <v>2404</v>
      </c>
      <c r="AM308" s="224" t="s">
        <v>2087</v>
      </c>
      <c r="AN308" s="224"/>
    </row>
    <row r="309" spans="1:40" s="86" customFormat="1" ht="59.25" customHeight="1">
      <c r="A309" s="402">
        <v>292673</v>
      </c>
      <c r="B309" s="89" t="s">
        <v>1137</v>
      </c>
      <c r="C309" s="89" t="s">
        <v>1138</v>
      </c>
      <c r="D309" s="88">
        <v>4051</v>
      </c>
      <c r="E309" s="88" t="s">
        <v>987</v>
      </c>
      <c r="F309" s="88" t="s">
        <v>66</v>
      </c>
      <c r="G309" s="88" t="s">
        <v>1139</v>
      </c>
      <c r="H309" s="88" t="s">
        <v>591</v>
      </c>
      <c r="I309" s="88" t="s">
        <v>784</v>
      </c>
      <c r="J309" s="89" t="s">
        <v>4638</v>
      </c>
      <c r="K309" s="103" t="s">
        <v>1402</v>
      </c>
      <c r="L309" s="403" t="s">
        <v>26</v>
      </c>
      <c r="M309" s="199">
        <v>45443</v>
      </c>
      <c r="N309" s="105">
        <v>44690</v>
      </c>
      <c r="O309" s="105"/>
      <c r="P309" s="203" t="s">
        <v>1316</v>
      </c>
      <c r="Q309" s="203" t="s">
        <v>1802</v>
      </c>
      <c r="R309" s="203" t="s">
        <v>2001</v>
      </c>
      <c r="S309" s="203"/>
      <c r="T309" s="87" t="s">
        <v>4952</v>
      </c>
      <c r="U309" s="87" t="s">
        <v>1581</v>
      </c>
      <c r="V309" s="87"/>
      <c r="W309" s="88" t="s">
        <v>1581</v>
      </c>
      <c r="X309" s="249"/>
      <c r="Y309" s="88"/>
      <c r="Z309" s="250"/>
      <c r="AA309" s="87" t="s">
        <v>1137</v>
      </c>
      <c r="AB309" s="250" t="s">
        <v>2229</v>
      </c>
      <c r="AC309" s="250" t="s">
        <v>2230</v>
      </c>
      <c r="AD309" s="250"/>
      <c r="AE309" s="87"/>
      <c r="AF309" s="88" t="s">
        <v>4638</v>
      </c>
      <c r="AG309" s="88" t="s">
        <v>2231</v>
      </c>
      <c r="AH309" s="88"/>
      <c r="AI309" s="224" t="s">
        <v>2232</v>
      </c>
      <c r="AJ309" s="225">
        <v>2</v>
      </c>
      <c r="AK309" s="224" t="s">
        <v>2107</v>
      </c>
      <c r="AL309" s="224" t="s">
        <v>2405</v>
      </c>
      <c r="AM309" s="224" t="s">
        <v>2233</v>
      </c>
      <c r="AN309" s="224" t="s">
        <v>2406</v>
      </c>
    </row>
    <row r="310" spans="1:40" s="86" customFormat="1" ht="59.25" customHeight="1">
      <c r="A310" s="402">
        <v>293442</v>
      </c>
      <c r="B310" s="89" t="s">
        <v>1140</v>
      </c>
      <c r="C310" s="89" t="s">
        <v>1141</v>
      </c>
      <c r="D310" s="88">
        <v>60714</v>
      </c>
      <c r="E310" s="88" t="s">
        <v>1142</v>
      </c>
      <c r="F310" s="88" t="s">
        <v>51</v>
      </c>
      <c r="G310" s="88">
        <v>78388</v>
      </c>
      <c r="H310" s="88" t="s">
        <v>591</v>
      </c>
      <c r="I310" s="88" t="s">
        <v>40</v>
      </c>
      <c r="J310" s="89" t="s">
        <v>5449</v>
      </c>
      <c r="K310" s="103" t="s">
        <v>1233</v>
      </c>
      <c r="L310" s="403" t="s">
        <v>26</v>
      </c>
      <c r="M310" s="199">
        <v>45199</v>
      </c>
      <c r="N310" s="105">
        <v>44250</v>
      </c>
      <c r="O310" s="105"/>
      <c r="P310" s="203" t="s">
        <v>4314</v>
      </c>
      <c r="Q310" s="203" t="s">
        <v>1803</v>
      </c>
      <c r="R310" s="203"/>
      <c r="S310" s="203"/>
      <c r="T310" s="87" t="s">
        <v>5924</v>
      </c>
      <c r="U310" s="87" t="s">
        <v>1568</v>
      </c>
      <c r="V310" s="87"/>
      <c r="W310" s="88" t="s">
        <v>1568</v>
      </c>
      <c r="X310" s="249" t="s">
        <v>3924</v>
      </c>
      <c r="Y310" s="88"/>
      <c r="Z310" s="250" t="s">
        <v>5318</v>
      </c>
      <c r="AA310" s="87" t="s">
        <v>2401</v>
      </c>
      <c r="AB310" s="250" t="s">
        <v>2079</v>
      </c>
      <c r="AC310" s="250" t="s">
        <v>2502</v>
      </c>
      <c r="AD310" s="250"/>
      <c r="AE310" s="87" t="s">
        <v>5318</v>
      </c>
      <c r="AF310" s="88" t="s">
        <v>5449</v>
      </c>
      <c r="AG310" s="88" t="s">
        <v>2283</v>
      </c>
      <c r="AH310" s="88" t="s">
        <v>2113</v>
      </c>
      <c r="AI310" s="224"/>
      <c r="AJ310" s="225">
        <v>4</v>
      </c>
      <c r="AK310" s="224" t="s">
        <v>2087</v>
      </c>
      <c r="AL310" s="224" t="s">
        <v>2499</v>
      </c>
      <c r="AM310" s="224" t="s">
        <v>2087</v>
      </c>
      <c r="AN310" s="224"/>
    </row>
    <row r="311" spans="1:40" s="86" customFormat="1" ht="59.25" customHeight="1">
      <c r="A311" s="402">
        <v>294094</v>
      </c>
      <c r="B311" s="89" t="s">
        <v>684</v>
      </c>
      <c r="C311" s="89" t="s">
        <v>613</v>
      </c>
      <c r="D311" s="88">
        <v>41050</v>
      </c>
      <c r="E311" s="88" t="s">
        <v>614</v>
      </c>
      <c r="F311" s="88" t="s">
        <v>558</v>
      </c>
      <c r="G311" s="88" t="s">
        <v>988</v>
      </c>
      <c r="H311" s="88" t="s">
        <v>591</v>
      </c>
      <c r="I311" s="88" t="s">
        <v>40</v>
      </c>
      <c r="J311" s="89" t="s">
        <v>5282</v>
      </c>
      <c r="K311" s="103" t="s">
        <v>1402</v>
      </c>
      <c r="L311" s="403" t="s">
        <v>26</v>
      </c>
      <c r="M311" s="199">
        <v>45412</v>
      </c>
      <c r="N311" s="105">
        <v>44673</v>
      </c>
      <c r="O311" s="105"/>
      <c r="P311" s="203" t="s">
        <v>5663</v>
      </c>
      <c r="Q311" s="203" t="s">
        <v>4673</v>
      </c>
      <c r="R311" s="203"/>
      <c r="S311" s="203"/>
      <c r="T311" s="87" t="s">
        <v>5821</v>
      </c>
      <c r="U311" s="87" t="s">
        <v>1571</v>
      </c>
      <c r="V311" s="87"/>
      <c r="W311" s="88" t="s">
        <v>1571</v>
      </c>
      <c r="X311" s="249" t="s">
        <v>3925</v>
      </c>
      <c r="Y311" s="88"/>
      <c r="Z311" s="250"/>
      <c r="AA311" s="87" t="s">
        <v>2220</v>
      </c>
      <c r="AB311" s="250" t="s">
        <v>2072</v>
      </c>
      <c r="AC311" s="250"/>
      <c r="AD311" s="250"/>
      <c r="AE311" s="87"/>
      <c r="AF311" s="88" t="s">
        <v>5282</v>
      </c>
      <c r="AG311" s="88" t="s">
        <v>2073</v>
      </c>
      <c r="AH311" s="88" t="s">
        <v>2074</v>
      </c>
      <c r="AI311" s="224"/>
      <c r="AJ311" s="225">
        <v>2</v>
      </c>
      <c r="AK311" s="224" t="s">
        <v>2076</v>
      </c>
      <c r="AL311" s="224" t="s">
        <v>2221</v>
      </c>
      <c r="AM311" s="224" t="s">
        <v>2077</v>
      </c>
      <c r="AN311" s="224"/>
    </row>
    <row r="312" spans="1:40" s="86" customFormat="1" ht="59.25" customHeight="1">
      <c r="A312" s="402">
        <v>294096</v>
      </c>
      <c r="B312" s="89" t="s">
        <v>989</v>
      </c>
      <c r="C312" s="89" t="s">
        <v>990</v>
      </c>
      <c r="D312" s="88"/>
      <c r="E312" s="88" t="s">
        <v>991</v>
      </c>
      <c r="F312" s="88" t="s">
        <v>381</v>
      </c>
      <c r="G312" s="88" t="s">
        <v>992</v>
      </c>
      <c r="H312" s="88" t="s">
        <v>591</v>
      </c>
      <c r="I312" s="88" t="s">
        <v>41</v>
      </c>
      <c r="J312" s="89" t="s">
        <v>786</v>
      </c>
      <c r="K312" s="103" t="s">
        <v>1233</v>
      </c>
      <c r="L312" s="403" t="s">
        <v>26</v>
      </c>
      <c r="M312" s="199">
        <v>45199</v>
      </c>
      <c r="N312" s="105">
        <v>44441</v>
      </c>
      <c r="O312" s="105"/>
      <c r="P312" s="203" t="s">
        <v>4787</v>
      </c>
      <c r="Q312" s="203" t="s">
        <v>4449</v>
      </c>
      <c r="R312" s="203"/>
      <c r="S312" s="203"/>
      <c r="T312" s="87" t="s">
        <v>1554</v>
      </c>
      <c r="U312" s="87" t="s">
        <v>1571</v>
      </c>
      <c r="V312" s="87"/>
      <c r="W312" s="88" t="s">
        <v>1571</v>
      </c>
      <c r="X312" s="249" t="s">
        <v>3927</v>
      </c>
      <c r="Y312" s="88"/>
      <c r="Z312" s="250"/>
      <c r="AA312" s="87" t="s">
        <v>2407</v>
      </c>
      <c r="AB312" s="250" t="s">
        <v>2090</v>
      </c>
      <c r="AC312" s="250"/>
      <c r="AD312" s="250"/>
      <c r="AE312" s="87"/>
      <c r="AF312" s="88" t="s">
        <v>786</v>
      </c>
      <c r="AG312" s="88" t="s">
        <v>2104</v>
      </c>
      <c r="AH312" s="88"/>
      <c r="AI312" s="224" t="s">
        <v>2194</v>
      </c>
      <c r="AJ312" s="225">
        <v>2</v>
      </c>
      <c r="AK312" s="224" t="s">
        <v>2107</v>
      </c>
      <c r="AL312" s="224" t="s">
        <v>2408</v>
      </c>
      <c r="AM312" s="224" t="s">
        <v>2217</v>
      </c>
      <c r="AN312" s="224" t="s">
        <v>4224</v>
      </c>
    </row>
    <row r="313" spans="1:40" s="86" customFormat="1" ht="59.25" customHeight="1">
      <c r="A313" s="402">
        <v>295409</v>
      </c>
      <c r="B313" s="89" t="s">
        <v>540</v>
      </c>
      <c r="C313" s="89" t="s">
        <v>541</v>
      </c>
      <c r="D313" s="88">
        <v>47588</v>
      </c>
      <c r="E313" s="88" t="s">
        <v>417</v>
      </c>
      <c r="F313" s="88" t="s">
        <v>51</v>
      </c>
      <c r="G313" s="88">
        <v>78385</v>
      </c>
      <c r="H313" s="88" t="s">
        <v>591</v>
      </c>
      <c r="I313" s="88" t="s">
        <v>40</v>
      </c>
      <c r="J313" s="89" t="s">
        <v>5281</v>
      </c>
      <c r="K313" s="103" t="s">
        <v>1233</v>
      </c>
      <c r="L313" s="403" t="s">
        <v>26</v>
      </c>
      <c r="M313" s="199">
        <v>45657</v>
      </c>
      <c r="N313" s="105">
        <v>44754</v>
      </c>
      <c r="O313" s="105"/>
      <c r="P313" s="203" t="s">
        <v>5298</v>
      </c>
      <c r="Q313" s="203" t="s">
        <v>1804</v>
      </c>
      <c r="R313" s="203"/>
      <c r="S313" s="203"/>
      <c r="T313" s="87" t="s">
        <v>5090</v>
      </c>
      <c r="U313" s="87" t="s">
        <v>1568</v>
      </c>
      <c r="V313" s="87"/>
      <c r="W313" s="88" t="s">
        <v>1568</v>
      </c>
      <c r="X313" s="249" t="s">
        <v>3928</v>
      </c>
      <c r="Y313" s="88"/>
      <c r="Z313" s="250" t="s">
        <v>2049</v>
      </c>
      <c r="AA313" s="87" t="s">
        <v>2365</v>
      </c>
      <c r="AB313" s="250" t="s">
        <v>2079</v>
      </c>
      <c r="AC313" s="250" t="s">
        <v>2409</v>
      </c>
      <c r="AD313" s="250"/>
      <c r="AE313" s="87" t="s">
        <v>2049</v>
      </c>
      <c r="AF313" s="88" t="s">
        <v>5281</v>
      </c>
      <c r="AG313" s="88" t="s">
        <v>2367</v>
      </c>
      <c r="AH313" s="88" t="s">
        <v>2116</v>
      </c>
      <c r="AI313" s="224"/>
      <c r="AJ313" s="225">
        <v>3</v>
      </c>
      <c r="AK313" s="224" t="s">
        <v>2133</v>
      </c>
      <c r="AL313" s="224" t="s">
        <v>2368</v>
      </c>
      <c r="AM313" s="224" t="s">
        <v>2087</v>
      </c>
      <c r="AN313" s="224" t="s">
        <v>2369</v>
      </c>
    </row>
    <row r="314" spans="1:40" s="86" customFormat="1" ht="59.25" customHeight="1">
      <c r="A314" s="402">
        <v>295568</v>
      </c>
      <c r="B314" s="89" t="s">
        <v>5026</v>
      </c>
      <c r="C314" s="89" t="s">
        <v>5027</v>
      </c>
      <c r="D314" s="88" t="s">
        <v>5028</v>
      </c>
      <c r="E314" s="88" t="s">
        <v>1136</v>
      </c>
      <c r="F314" s="88" t="s">
        <v>51</v>
      </c>
      <c r="G314" s="88" t="s">
        <v>5029</v>
      </c>
      <c r="H314" s="88" t="s">
        <v>591</v>
      </c>
      <c r="I314" s="88" t="s">
        <v>40</v>
      </c>
      <c r="J314" s="89" t="s">
        <v>1336</v>
      </c>
      <c r="K314" s="103" t="s">
        <v>1402</v>
      </c>
      <c r="L314" s="403" t="s">
        <v>26</v>
      </c>
      <c r="M314" s="199">
        <v>45199</v>
      </c>
      <c r="N314" s="105">
        <v>44648</v>
      </c>
      <c r="O314" s="105"/>
      <c r="P314" s="203" t="s">
        <v>5069</v>
      </c>
      <c r="Q314" s="203" t="s">
        <v>5043</v>
      </c>
      <c r="R314" s="203"/>
      <c r="S314" s="203"/>
      <c r="T314" s="87" t="s">
        <v>5091</v>
      </c>
      <c r="U314" s="87" t="s">
        <v>1568</v>
      </c>
      <c r="V314" s="87"/>
      <c r="W314" s="88" t="s">
        <v>1568</v>
      </c>
      <c r="X314" s="249" t="s">
        <v>5060</v>
      </c>
      <c r="Y314" s="88" t="s">
        <v>2032</v>
      </c>
      <c r="Z314" s="250" t="s">
        <v>5063</v>
      </c>
      <c r="AA314" s="87" t="s">
        <v>2071</v>
      </c>
      <c r="AB314" s="250" t="s">
        <v>2079</v>
      </c>
      <c r="AC314" s="250" t="s">
        <v>5063</v>
      </c>
      <c r="AD314" s="250"/>
      <c r="AE314" s="87" t="s">
        <v>5063</v>
      </c>
      <c r="AF314" s="88" t="s">
        <v>1336</v>
      </c>
      <c r="AG314" s="88" t="s">
        <v>2079</v>
      </c>
      <c r="AH314" s="88" t="s">
        <v>2074</v>
      </c>
      <c r="AI314" s="224" t="s">
        <v>2075</v>
      </c>
      <c r="AJ314" s="225">
        <v>2</v>
      </c>
      <c r="AK314" s="224" t="s">
        <v>2076</v>
      </c>
      <c r="AL314" s="224" t="s">
        <v>2495</v>
      </c>
      <c r="AM314" s="224" t="s">
        <v>2077</v>
      </c>
      <c r="AN314" s="224"/>
    </row>
    <row r="315" spans="1:40" s="86" customFormat="1" ht="59.25" customHeight="1">
      <c r="A315" s="402">
        <v>295609</v>
      </c>
      <c r="B315" s="89" t="s">
        <v>1312</v>
      </c>
      <c r="C315" s="89" t="s">
        <v>542</v>
      </c>
      <c r="D315" s="88">
        <v>31770</v>
      </c>
      <c r="E315" s="88" t="s">
        <v>349</v>
      </c>
      <c r="F315" s="88" t="s">
        <v>47</v>
      </c>
      <c r="G315" s="88" t="s">
        <v>993</v>
      </c>
      <c r="H315" s="88" t="s">
        <v>591</v>
      </c>
      <c r="I315" s="88" t="s">
        <v>40</v>
      </c>
      <c r="J315" s="89" t="s">
        <v>5449</v>
      </c>
      <c r="K315" s="103" t="s">
        <v>1402</v>
      </c>
      <c r="L315" s="403" t="s">
        <v>26</v>
      </c>
      <c r="M315" s="199">
        <v>45350</v>
      </c>
      <c r="N315" s="105">
        <v>44434</v>
      </c>
      <c r="O315" s="105"/>
      <c r="P315" s="203" t="s">
        <v>1338</v>
      </c>
      <c r="Q315" s="203" t="s">
        <v>1805</v>
      </c>
      <c r="R315" s="203" t="s">
        <v>2002</v>
      </c>
      <c r="S315" s="203"/>
      <c r="T315" s="87" t="s">
        <v>5822</v>
      </c>
      <c r="U315" s="87" t="s">
        <v>1568</v>
      </c>
      <c r="V315" s="87"/>
      <c r="W315" s="88" t="s">
        <v>1568</v>
      </c>
      <c r="X315" s="249" t="s">
        <v>4307</v>
      </c>
      <c r="Y315" s="88"/>
      <c r="Z315" s="250"/>
      <c r="AA315" s="87" t="s">
        <v>2097</v>
      </c>
      <c r="AB315" s="250" t="s">
        <v>2072</v>
      </c>
      <c r="AC315" s="250"/>
      <c r="AD315" s="250"/>
      <c r="AE315" s="87"/>
      <c r="AF315" s="88" t="s">
        <v>5449</v>
      </c>
      <c r="AG315" s="88" t="s">
        <v>2073</v>
      </c>
      <c r="AH315" s="88" t="s">
        <v>2074</v>
      </c>
      <c r="AI315" s="224" t="s">
        <v>2075</v>
      </c>
      <c r="AJ315" s="225">
        <v>2</v>
      </c>
      <c r="AK315" s="224" t="s">
        <v>2076</v>
      </c>
      <c r="AL315" s="224" t="s">
        <v>2098</v>
      </c>
      <c r="AM315" s="224" t="s">
        <v>2099</v>
      </c>
      <c r="AN315" s="224"/>
    </row>
    <row r="316" spans="1:40" s="86" customFormat="1" ht="59.25" customHeight="1">
      <c r="A316" s="402">
        <v>296146</v>
      </c>
      <c r="B316" s="89" t="s">
        <v>543</v>
      </c>
      <c r="C316" s="89" t="s">
        <v>544</v>
      </c>
      <c r="D316" s="88">
        <v>92618</v>
      </c>
      <c r="E316" s="88" t="s">
        <v>295</v>
      </c>
      <c r="F316" s="88" t="s">
        <v>51</v>
      </c>
      <c r="G316" s="88">
        <v>86090</v>
      </c>
      <c r="H316" s="88" t="s">
        <v>591</v>
      </c>
      <c r="I316" s="88" t="s">
        <v>40</v>
      </c>
      <c r="J316" s="89" t="s">
        <v>5279</v>
      </c>
      <c r="K316" s="103" t="s">
        <v>1402</v>
      </c>
      <c r="L316" s="403" t="s">
        <v>26</v>
      </c>
      <c r="M316" s="199">
        <v>45291</v>
      </c>
      <c r="N316" s="105">
        <v>44547</v>
      </c>
      <c r="O316" s="105"/>
      <c r="P316" s="203" t="s">
        <v>6055</v>
      </c>
      <c r="Q316" s="203" t="s">
        <v>1806</v>
      </c>
      <c r="R316" s="203" t="s">
        <v>2003</v>
      </c>
      <c r="S316" s="203"/>
      <c r="T316" s="87" t="s">
        <v>4360</v>
      </c>
      <c r="U316" s="87" t="s">
        <v>1568</v>
      </c>
      <c r="V316" s="87"/>
      <c r="W316" s="88" t="s">
        <v>1568</v>
      </c>
      <c r="X316" s="249" t="s">
        <v>3931</v>
      </c>
      <c r="Y316" s="88"/>
      <c r="Z316" s="250"/>
      <c r="AA316" s="87" t="s">
        <v>2100</v>
      </c>
      <c r="AB316" s="250" t="s">
        <v>2072</v>
      </c>
      <c r="AC316" s="250"/>
      <c r="AD316" s="250"/>
      <c r="AE316" s="87"/>
      <c r="AF316" s="88" t="s">
        <v>5279</v>
      </c>
      <c r="AG316" s="88" t="s">
        <v>2073</v>
      </c>
      <c r="AH316" s="88" t="s">
        <v>2074</v>
      </c>
      <c r="AI316" s="224" t="s">
        <v>2075</v>
      </c>
      <c r="AJ316" s="225">
        <v>2</v>
      </c>
      <c r="AK316" s="224" t="s">
        <v>2076</v>
      </c>
      <c r="AL316" s="224" t="s">
        <v>2101</v>
      </c>
      <c r="AM316" s="224" t="s">
        <v>2099</v>
      </c>
      <c r="AN316" s="224"/>
    </row>
    <row r="317" spans="1:40" s="86" customFormat="1" ht="59.25" customHeight="1">
      <c r="A317" s="402">
        <v>296322</v>
      </c>
      <c r="B317" s="89" t="s">
        <v>994</v>
      </c>
      <c r="C317" s="89" t="s">
        <v>545</v>
      </c>
      <c r="D317" s="88">
        <v>498756</v>
      </c>
      <c r="E317" s="88" t="s">
        <v>336</v>
      </c>
      <c r="F317" s="88" t="s">
        <v>337</v>
      </c>
      <c r="G317" s="88" t="s">
        <v>995</v>
      </c>
      <c r="H317" s="88" t="s">
        <v>591</v>
      </c>
      <c r="I317" s="88" t="s">
        <v>40</v>
      </c>
      <c r="J317" s="89" t="s">
        <v>4608</v>
      </c>
      <c r="K317" s="103" t="s">
        <v>1233</v>
      </c>
      <c r="L317" s="403" t="s">
        <v>26</v>
      </c>
      <c r="M317" s="199">
        <v>45382</v>
      </c>
      <c r="N317" s="105">
        <v>44467</v>
      </c>
      <c r="O317" s="105"/>
      <c r="P317" s="203" t="s">
        <v>5614</v>
      </c>
      <c r="Q317" s="203" t="s">
        <v>4401</v>
      </c>
      <c r="R317" s="203"/>
      <c r="S317" s="203"/>
      <c r="T317" s="87" t="s">
        <v>5823</v>
      </c>
      <c r="U317" s="87" t="s">
        <v>1571</v>
      </c>
      <c r="V317" s="87"/>
      <c r="W317" s="88" t="s">
        <v>1571</v>
      </c>
      <c r="X317" s="249" t="s">
        <v>3933</v>
      </c>
      <c r="Y317" s="88"/>
      <c r="Z317" s="250"/>
      <c r="AA317" s="87" t="s">
        <v>1265</v>
      </c>
      <c r="AB317" s="250" t="s">
        <v>2090</v>
      </c>
      <c r="AC317" s="250"/>
      <c r="AD317" s="250"/>
      <c r="AE317" s="87"/>
      <c r="AF317" s="88" t="s">
        <v>5280</v>
      </c>
      <c r="AG317" s="88" t="s">
        <v>2073</v>
      </c>
      <c r="AH317" s="88" t="s">
        <v>2074</v>
      </c>
      <c r="AI317" s="224"/>
      <c r="AJ317" s="225">
        <v>3</v>
      </c>
      <c r="AK317" s="224" t="s">
        <v>2076</v>
      </c>
      <c r="AL317" s="224" t="s">
        <v>4875</v>
      </c>
      <c r="AM317" s="224" t="s">
        <v>2077</v>
      </c>
      <c r="AN317" s="224"/>
    </row>
    <row r="318" spans="1:40" s="86" customFormat="1" ht="59.25" customHeight="1">
      <c r="A318" s="402">
        <v>296804</v>
      </c>
      <c r="B318" s="89" t="s">
        <v>546</v>
      </c>
      <c r="C318" s="89" t="s">
        <v>547</v>
      </c>
      <c r="D318" s="88">
        <v>33320</v>
      </c>
      <c r="E318" s="88" t="s">
        <v>548</v>
      </c>
      <c r="F318" s="88" t="s">
        <v>47</v>
      </c>
      <c r="G318" s="88" t="s">
        <v>996</v>
      </c>
      <c r="H318" s="88" t="s">
        <v>591</v>
      </c>
      <c r="I318" s="88" t="s">
        <v>40</v>
      </c>
      <c r="J318" s="89" t="s">
        <v>1277</v>
      </c>
      <c r="K318" s="103" t="s">
        <v>1402</v>
      </c>
      <c r="L318" s="403" t="s">
        <v>26</v>
      </c>
      <c r="M318" s="199">
        <v>45565</v>
      </c>
      <c r="N318" s="105">
        <v>44455</v>
      </c>
      <c r="O318" s="105"/>
      <c r="P318" s="203" t="s">
        <v>2021</v>
      </c>
      <c r="Q318" s="203" t="s">
        <v>2023</v>
      </c>
      <c r="R318" s="203"/>
      <c r="S318" s="203"/>
      <c r="T318" s="87" t="s">
        <v>5987</v>
      </c>
      <c r="U318" s="87" t="s">
        <v>1571</v>
      </c>
      <c r="V318" s="87"/>
      <c r="W318" s="88" t="s">
        <v>1571</v>
      </c>
      <c r="X318" s="249" t="s">
        <v>5989</v>
      </c>
      <c r="Y318" s="88"/>
      <c r="Z318" s="250"/>
      <c r="AA318" s="87" t="s">
        <v>546</v>
      </c>
      <c r="AB318" s="250" t="s">
        <v>2090</v>
      </c>
      <c r="AC318" s="250"/>
      <c r="AD318" s="250"/>
      <c r="AE318" s="87"/>
      <c r="AF318" s="88" t="s">
        <v>1277</v>
      </c>
      <c r="AG318" s="88" t="s">
        <v>2090</v>
      </c>
      <c r="AH318" s="88" t="s">
        <v>2410</v>
      </c>
      <c r="AI318" s="224" t="s">
        <v>2122</v>
      </c>
      <c r="AJ318" s="225">
        <v>3</v>
      </c>
      <c r="AK318" s="224" t="s">
        <v>2107</v>
      </c>
      <c r="AL318" s="224" t="s">
        <v>2411</v>
      </c>
      <c r="AM318" s="224" t="s">
        <v>2099</v>
      </c>
      <c r="AN318" s="224"/>
    </row>
    <row r="319" spans="1:40" s="86" customFormat="1" ht="59.25" customHeight="1">
      <c r="A319" s="404">
        <v>296804</v>
      </c>
      <c r="B319" s="89" t="s">
        <v>546</v>
      </c>
      <c r="C319" s="89" t="s">
        <v>547</v>
      </c>
      <c r="D319" s="88">
        <v>33320</v>
      </c>
      <c r="E319" s="88" t="s">
        <v>548</v>
      </c>
      <c r="F319" s="88" t="s">
        <v>47</v>
      </c>
      <c r="G319" s="88" t="s">
        <v>996</v>
      </c>
      <c r="H319" s="88" t="s">
        <v>591</v>
      </c>
      <c r="I319" s="88" t="s">
        <v>1114</v>
      </c>
      <c r="J319" s="89" t="s">
        <v>1421</v>
      </c>
      <c r="K319" s="103" t="s">
        <v>1162</v>
      </c>
      <c r="L319" s="405" t="s">
        <v>27</v>
      </c>
      <c r="M319" s="199">
        <v>44834</v>
      </c>
      <c r="N319" s="105">
        <v>44102</v>
      </c>
      <c r="O319" s="105"/>
      <c r="P319" s="203" t="s">
        <v>2021</v>
      </c>
      <c r="Q319" s="203" t="s">
        <v>2023</v>
      </c>
      <c r="R319" s="203"/>
      <c r="S319" s="203"/>
      <c r="T319" s="87" t="s">
        <v>5987</v>
      </c>
      <c r="U319" s="87" t="s">
        <v>1585</v>
      </c>
      <c r="V319" s="87"/>
      <c r="W319" s="88" t="s">
        <v>1576</v>
      </c>
      <c r="X319" s="249" t="s">
        <v>5990</v>
      </c>
      <c r="Y319" s="88"/>
      <c r="Z319" s="250"/>
      <c r="AA319" s="87" t="s">
        <v>546</v>
      </c>
      <c r="AB319" s="250" t="s">
        <v>2128</v>
      </c>
      <c r="AC319" s="250" t="s">
        <v>2129</v>
      </c>
      <c r="AD319" s="250"/>
      <c r="AE319" s="87"/>
      <c r="AF319" s="88" t="s">
        <v>1421</v>
      </c>
      <c r="AG319" s="88" t="s">
        <v>2128</v>
      </c>
      <c r="AH319" s="88"/>
      <c r="AI319" s="224"/>
      <c r="AJ319" s="225">
        <v>1</v>
      </c>
      <c r="AK319" s="224" t="s">
        <v>2107</v>
      </c>
      <c r="AL319" s="224" t="s">
        <v>2412</v>
      </c>
      <c r="AM319" s="224" t="s">
        <v>2131</v>
      </c>
      <c r="AN319" s="224"/>
    </row>
    <row r="320" spans="1:40" s="86" customFormat="1" ht="59.25" customHeight="1">
      <c r="A320" s="402">
        <v>297471</v>
      </c>
      <c r="B320" s="89" t="s">
        <v>776</v>
      </c>
      <c r="C320" s="89" t="s">
        <v>997</v>
      </c>
      <c r="D320" s="88" t="s">
        <v>778</v>
      </c>
      <c r="E320" s="88" t="s">
        <v>777</v>
      </c>
      <c r="F320" s="88" t="s">
        <v>779</v>
      </c>
      <c r="G320" s="88" t="s">
        <v>998</v>
      </c>
      <c r="H320" s="88" t="s">
        <v>591</v>
      </c>
      <c r="I320" s="88" t="s">
        <v>40</v>
      </c>
      <c r="J320" s="89" t="s">
        <v>5281</v>
      </c>
      <c r="K320" s="103" t="s">
        <v>1233</v>
      </c>
      <c r="L320" s="403" t="s">
        <v>26</v>
      </c>
      <c r="M320" s="199">
        <v>45657</v>
      </c>
      <c r="N320" s="105">
        <v>44754</v>
      </c>
      <c r="O320" s="105"/>
      <c r="P320" s="203" t="s">
        <v>5904</v>
      </c>
      <c r="Q320" s="203" t="s">
        <v>1807</v>
      </c>
      <c r="R320" s="203" t="s">
        <v>5911</v>
      </c>
      <c r="S320" s="203"/>
      <c r="T320" s="87" t="s">
        <v>4271</v>
      </c>
      <c r="U320" s="87" t="s">
        <v>1578</v>
      </c>
      <c r="V320" s="87"/>
      <c r="W320" s="88" t="s">
        <v>1568</v>
      </c>
      <c r="X320" s="249" t="s">
        <v>4928</v>
      </c>
      <c r="Y320" s="88"/>
      <c r="Z320" s="250" t="s">
        <v>5515</v>
      </c>
      <c r="AA320" s="87" t="s">
        <v>2365</v>
      </c>
      <c r="AB320" s="250" t="s">
        <v>2079</v>
      </c>
      <c r="AC320" s="250" t="s">
        <v>5519</v>
      </c>
      <c r="AD320" s="250"/>
      <c r="AE320" s="87" t="s">
        <v>5515</v>
      </c>
      <c r="AF320" s="88" t="s">
        <v>5281</v>
      </c>
      <c r="AG320" s="88" t="s">
        <v>2367</v>
      </c>
      <c r="AH320" s="88" t="s">
        <v>2116</v>
      </c>
      <c r="AI320" s="224"/>
      <c r="AJ320" s="225">
        <v>3</v>
      </c>
      <c r="AK320" s="224" t="s">
        <v>2133</v>
      </c>
      <c r="AL320" s="224" t="s">
        <v>2368</v>
      </c>
      <c r="AM320" s="224" t="s">
        <v>2087</v>
      </c>
      <c r="AN320" s="224" t="s">
        <v>2369</v>
      </c>
    </row>
    <row r="321" spans="1:40" s="86" customFormat="1" ht="59.25" customHeight="1">
      <c r="A321" s="402">
        <v>297951</v>
      </c>
      <c r="B321" s="89" t="s">
        <v>999</v>
      </c>
      <c r="C321" s="89" t="s">
        <v>1000</v>
      </c>
      <c r="D321" s="88">
        <v>499638</v>
      </c>
      <c r="E321" s="88" t="s">
        <v>336</v>
      </c>
      <c r="F321" s="88" t="s">
        <v>337</v>
      </c>
      <c r="G321" s="88" t="s">
        <v>1001</v>
      </c>
      <c r="H321" s="88" t="s">
        <v>591</v>
      </c>
      <c r="I321" s="88" t="s">
        <v>40</v>
      </c>
      <c r="J321" s="89" t="s">
        <v>5282</v>
      </c>
      <c r="K321" s="103" t="s">
        <v>1402</v>
      </c>
      <c r="L321" s="403" t="s">
        <v>26</v>
      </c>
      <c r="M321" s="199">
        <v>45473</v>
      </c>
      <c r="N321" s="105">
        <v>44735</v>
      </c>
      <c r="O321" s="105"/>
      <c r="P321" s="203" t="s">
        <v>5393</v>
      </c>
      <c r="Q321" s="203" t="s">
        <v>5395</v>
      </c>
      <c r="R321" s="203"/>
      <c r="S321" s="203"/>
      <c r="T321" s="87" t="s">
        <v>5824</v>
      </c>
      <c r="U321" s="87" t="s">
        <v>1573</v>
      </c>
      <c r="V321" s="87"/>
      <c r="W321" s="88" t="s">
        <v>1571</v>
      </c>
      <c r="X321" s="249" t="s">
        <v>3936</v>
      </c>
      <c r="Y321" s="88"/>
      <c r="Z321" s="250"/>
      <c r="AA321" s="87" t="s">
        <v>2282</v>
      </c>
      <c r="AB321" s="250" t="s">
        <v>2072</v>
      </c>
      <c r="AC321" s="250"/>
      <c r="AD321" s="250"/>
      <c r="AE321" s="87"/>
      <c r="AF321" s="88" t="s">
        <v>4441</v>
      </c>
      <c r="AG321" s="88" t="s">
        <v>2283</v>
      </c>
      <c r="AH321" s="88"/>
      <c r="AI321" s="224"/>
      <c r="AJ321" s="225">
        <v>3</v>
      </c>
      <c r="AK321" s="224" t="s">
        <v>2076</v>
      </c>
      <c r="AL321" s="224" t="s">
        <v>2284</v>
      </c>
      <c r="AM321" s="224" t="s">
        <v>2077</v>
      </c>
      <c r="AN321" s="224"/>
    </row>
    <row r="322" spans="1:40" s="86" customFormat="1" ht="59.25" customHeight="1">
      <c r="A322" s="402">
        <v>298128</v>
      </c>
      <c r="B322" s="89" t="s">
        <v>1002</v>
      </c>
      <c r="C322" s="89" t="s">
        <v>1003</v>
      </c>
      <c r="D322" s="88">
        <v>91761</v>
      </c>
      <c r="E322" s="88" t="s">
        <v>550</v>
      </c>
      <c r="F322" s="88" t="s">
        <v>51</v>
      </c>
      <c r="G322" s="88" t="s">
        <v>1004</v>
      </c>
      <c r="H322" s="88" t="s">
        <v>591</v>
      </c>
      <c r="I322" s="88" t="s">
        <v>41</v>
      </c>
      <c r="J322" s="89" t="s">
        <v>786</v>
      </c>
      <c r="K322" s="103" t="s">
        <v>1402</v>
      </c>
      <c r="L322" s="403" t="s">
        <v>26</v>
      </c>
      <c r="M322" s="199">
        <v>45199</v>
      </c>
      <c r="N322" s="105">
        <v>44448</v>
      </c>
      <c r="O322" s="105"/>
      <c r="P322" s="203" t="s">
        <v>5070</v>
      </c>
      <c r="Q322" s="203" t="s">
        <v>1808</v>
      </c>
      <c r="R322" s="203"/>
      <c r="S322" s="203"/>
      <c r="T322" s="87" t="s">
        <v>1555</v>
      </c>
      <c r="U322" s="87" t="s">
        <v>1571</v>
      </c>
      <c r="V322" s="87"/>
      <c r="W322" s="88" t="s">
        <v>1571</v>
      </c>
      <c r="X322" s="249" t="s">
        <v>3938</v>
      </c>
      <c r="Y322" s="88"/>
      <c r="Z322" s="250"/>
      <c r="AA322" s="87" t="s">
        <v>2413</v>
      </c>
      <c r="AB322" s="250" t="s">
        <v>2090</v>
      </c>
      <c r="AC322" s="250"/>
      <c r="AD322" s="250"/>
      <c r="AE322" s="87"/>
      <c r="AF322" s="88" t="s">
        <v>786</v>
      </c>
      <c r="AG322" s="88" t="s">
        <v>2104</v>
      </c>
      <c r="AH322" s="88"/>
      <c r="AI322" s="224" t="s">
        <v>2106</v>
      </c>
      <c r="AJ322" s="225">
        <v>1</v>
      </c>
      <c r="AK322" s="224" t="s">
        <v>2107</v>
      </c>
      <c r="AL322" s="224" t="s">
        <v>2414</v>
      </c>
      <c r="AM322" s="224" t="s">
        <v>2217</v>
      </c>
      <c r="AN322" s="224" t="s">
        <v>2415</v>
      </c>
    </row>
    <row r="323" spans="1:40" s="86" customFormat="1" ht="59.25" customHeight="1">
      <c r="A323" s="402">
        <v>298364</v>
      </c>
      <c r="B323" s="89" t="s">
        <v>551</v>
      </c>
      <c r="C323" s="89" t="s">
        <v>552</v>
      </c>
      <c r="D323" s="88" t="s">
        <v>553</v>
      </c>
      <c r="E323" s="88" t="s">
        <v>348</v>
      </c>
      <c r="F323" s="88" t="s">
        <v>45</v>
      </c>
      <c r="G323" s="88" t="s">
        <v>1005</v>
      </c>
      <c r="H323" s="88" t="s">
        <v>591</v>
      </c>
      <c r="I323" s="88" t="s">
        <v>40</v>
      </c>
      <c r="J323" s="89" t="s">
        <v>786</v>
      </c>
      <c r="K323" s="103" t="s">
        <v>1402</v>
      </c>
      <c r="L323" s="403" t="s">
        <v>26</v>
      </c>
      <c r="M323" s="199">
        <v>45565</v>
      </c>
      <c r="N323" s="105">
        <v>44467</v>
      </c>
      <c r="O323" s="105"/>
      <c r="P323" s="203" t="s">
        <v>4944</v>
      </c>
      <c r="Q323" s="203" t="s">
        <v>4774</v>
      </c>
      <c r="R323" s="203" t="s">
        <v>2004</v>
      </c>
      <c r="S323" s="203"/>
      <c r="T323" s="87" t="s">
        <v>4765</v>
      </c>
      <c r="U323" s="87" t="s">
        <v>1568</v>
      </c>
      <c r="V323" s="87"/>
      <c r="W323" s="88" t="s">
        <v>1568</v>
      </c>
      <c r="X323" s="249" t="s">
        <v>3940</v>
      </c>
      <c r="Y323" s="88"/>
      <c r="Z323" s="250"/>
      <c r="AA323" s="87" t="s">
        <v>2416</v>
      </c>
      <c r="AB323" s="250" t="s">
        <v>2072</v>
      </c>
      <c r="AC323" s="250"/>
      <c r="AD323" s="250"/>
      <c r="AE323" s="87"/>
      <c r="AF323" s="88" t="s">
        <v>786</v>
      </c>
      <c r="AG323" s="88" t="s">
        <v>2073</v>
      </c>
      <c r="AH323" s="88" t="s">
        <v>2116</v>
      </c>
      <c r="AI323" s="224"/>
      <c r="AJ323" s="225">
        <v>3</v>
      </c>
      <c r="AK323" s="224" t="s">
        <v>2085</v>
      </c>
      <c r="AL323" s="224" t="s">
        <v>2417</v>
      </c>
      <c r="AM323" s="224"/>
      <c r="AN323" s="224"/>
    </row>
    <row r="324" spans="1:40" s="86" customFormat="1" ht="59.25" customHeight="1">
      <c r="A324" s="404">
        <v>298473</v>
      </c>
      <c r="B324" s="89" t="s">
        <v>5288</v>
      </c>
      <c r="C324" s="89" t="s">
        <v>5289</v>
      </c>
      <c r="D324" s="88" t="s">
        <v>5290</v>
      </c>
      <c r="E324" s="88" t="s">
        <v>5291</v>
      </c>
      <c r="F324" s="88" t="s">
        <v>45</v>
      </c>
      <c r="G324" s="88"/>
      <c r="H324" s="88" t="s">
        <v>591</v>
      </c>
      <c r="I324" s="88" t="s">
        <v>41</v>
      </c>
      <c r="J324" s="89" t="s">
        <v>1421</v>
      </c>
      <c r="K324" s="103" t="s">
        <v>1233</v>
      </c>
      <c r="L324" s="405" t="s">
        <v>27</v>
      </c>
      <c r="M324" s="199">
        <v>44834</v>
      </c>
      <c r="N324" s="105">
        <v>44643</v>
      </c>
      <c r="O324" s="105"/>
      <c r="P324" s="203" t="s">
        <v>5299</v>
      </c>
      <c r="Q324" s="203" t="s">
        <v>5304</v>
      </c>
      <c r="R324" s="203"/>
      <c r="S324" s="203"/>
      <c r="T324" s="87"/>
      <c r="U324" s="87"/>
      <c r="V324" s="87">
        <v>9110</v>
      </c>
      <c r="W324" s="88"/>
      <c r="X324" s="249"/>
      <c r="Y324" s="88" t="s">
        <v>5331</v>
      </c>
      <c r="Z324" s="250" t="s">
        <v>5319</v>
      </c>
      <c r="AA324" s="87" t="s">
        <v>5335</v>
      </c>
      <c r="AB324" s="250" t="s">
        <v>2090</v>
      </c>
      <c r="AC324" s="250" t="s">
        <v>5336</v>
      </c>
      <c r="AD324" s="250"/>
      <c r="AE324" s="87" t="s">
        <v>5319</v>
      </c>
      <c r="AF324" s="88" t="s">
        <v>1421</v>
      </c>
      <c r="AG324" s="88" t="s">
        <v>2104</v>
      </c>
      <c r="AH324" s="88"/>
      <c r="AI324" s="224"/>
      <c r="AJ324" s="225">
        <v>1</v>
      </c>
      <c r="AK324" s="224"/>
      <c r="AL324" s="224"/>
      <c r="AM324" s="224"/>
      <c r="AN324" s="224"/>
    </row>
    <row r="325" spans="1:40" s="86" customFormat="1" ht="59.25" customHeight="1">
      <c r="A325" s="402">
        <v>298528</v>
      </c>
      <c r="B325" s="89" t="s">
        <v>1461</v>
      </c>
      <c r="C325" s="89" t="s">
        <v>1462</v>
      </c>
      <c r="D325" s="88">
        <v>13600</v>
      </c>
      <c r="E325" s="88" t="s">
        <v>1463</v>
      </c>
      <c r="F325" s="88" t="s">
        <v>558</v>
      </c>
      <c r="G325" s="88" t="s">
        <v>1464</v>
      </c>
      <c r="H325" s="88" t="s">
        <v>591</v>
      </c>
      <c r="I325" s="88" t="s">
        <v>40</v>
      </c>
      <c r="J325" s="89" t="s">
        <v>5281</v>
      </c>
      <c r="K325" s="103" t="s">
        <v>1233</v>
      </c>
      <c r="L325" s="403" t="s">
        <v>26</v>
      </c>
      <c r="M325" s="199">
        <v>45077</v>
      </c>
      <c r="N325" s="105">
        <v>44705</v>
      </c>
      <c r="O325" s="105"/>
      <c r="P325" s="203" t="s">
        <v>5905</v>
      </c>
      <c r="Q325" s="203" t="s">
        <v>1809</v>
      </c>
      <c r="R325" s="203"/>
      <c r="S325" s="203"/>
      <c r="T325" s="87" t="s">
        <v>5052</v>
      </c>
      <c r="U325" s="87" t="s">
        <v>1574</v>
      </c>
      <c r="V325" s="87"/>
      <c r="W325" s="88" t="s">
        <v>1568</v>
      </c>
      <c r="X325" s="249" t="s">
        <v>4690</v>
      </c>
      <c r="Y325" s="88"/>
      <c r="Z325" s="250" t="s">
        <v>5332</v>
      </c>
      <c r="AA325" s="87" t="s">
        <v>2132</v>
      </c>
      <c r="AB325" s="250" t="s">
        <v>2072</v>
      </c>
      <c r="AC325" s="250" t="s">
        <v>2050</v>
      </c>
      <c r="AD325" s="250"/>
      <c r="AE325" s="87" t="s">
        <v>5332</v>
      </c>
      <c r="AF325" s="88" t="s">
        <v>5517</v>
      </c>
      <c r="AG325" s="88" t="s">
        <v>2073</v>
      </c>
      <c r="AH325" s="88" t="s">
        <v>2074</v>
      </c>
      <c r="AI325" s="224" t="s">
        <v>2075</v>
      </c>
      <c r="AJ325" s="225">
        <v>2</v>
      </c>
      <c r="AK325" s="224" t="s">
        <v>2133</v>
      </c>
      <c r="AL325" s="224" t="s">
        <v>2134</v>
      </c>
      <c r="AM325" s="224" t="s">
        <v>2099</v>
      </c>
      <c r="AN325" s="224" t="s">
        <v>2135</v>
      </c>
    </row>
    <row r="326" spans="1:40" s="86" customFormat="1" ht="59.25" customHeight="1">
      <c r="A326" s="402">
        <v>298721</v>
      </c>
      <c r="B326" s="89" t="s">
        <v>362</v>
      </c>
      <c r="C326" s="89" t="s">
        <v>554</v>
      </c>
      <c r="D326" s="88">
        <v>10000</v>
      </c>
      <c r="E326" s="88" t="s">
        <v>555</v>
      </c>
      <c r="F326" s="88" t="s">
        <v>47</v>
      </c>
      <c r="G326" s="88"/>
      <c r="H326" s="88" t="s">
        <v>591</v>
      </c>
      <c r="I326" s="88" t="s">
        <v>40</v>
      </c>
      <c r="J326" s="89" t="s">
        <v>1336</v>
      </c>
      <c r="K326" s="103" t="s">
        <v>1233</v>
      </c>
      <c r="L326" s="403" t="s">
        <v>26</v>
      </c>
      <c r="M326" s="199">
        <v>45716</v>
      </c>
      <c r="N326" s="105">
        <v>44616</v>
      </c>
      <c r="O326" s="105"/>
      <c r="P326" s="203" t="s">
        <v>5615</v>
      </c>
      <c r="Q326" s="203" t="s">
        <v>1810</v>
      </c>
      <c r="R326" s="203" t="s">
        <v>1966</v>
      </c>
      <c r="S326" s="203"/>
      <c r="T326" s="87" t="s">
        <v>4925</v>
      </c>
      <c r="U326" s="87" t="s">
        <v>1569</v>
      </c>
      <c r="V326" s="87"/>
      <c r="W326" s="88" t="s">
        <v>1568</v>
      </c>
      <c r="X326" s="249" t="s">
        <v>5059</v>
      </c>
      <c r="Y326" s="88"/>
      <c r="Z326" s="250"/>
      <c r="AA326" s="87" t="s">
        <v>2115</v>
      </c>
      <c r="AB326" s="250" t="s">
        <v>2072</v>
      </c>
      <c r="AC326" s="250"/>
      <c r="AD326" s="250"/>
      <c r="AE326" s="87"/>
      <c r="AF326" s="88" t="s">
        <v>1336</v>
      </c>
      <c r="AG326" s="88" t="s">
        <v>2073</v>
      </c>
      <c r="AH326" s="88" t="s">
        <v>2116</v>
      </c>
      <c r="AI326" s="224" t="s">
        <v>2075</v>
      </c>
      <c r="AJ326" s="225">
        <v>3</v>
      </c>
      <c r="AK326" s="224" t="s">
        <v>2076</v>
      </c>
      <c r="AL326" s="224" t="s">
        <v>5177</v>
      </c>
      <c r="AM326" s="224" t="s">
        <v>2099</v>
      </c>
      <c r="AN326" s="224" t="s">
        <v>2117</v>
      </c>
    </row>
    <row r="327" spans="1:40" s="86" customFormat="1" ht="59.25" customHeight="1">
      <c r="A327" s="402">
        <v>298788</v>
      </c>
      <c r="B327" s="89" t="s">
        <v>556</v>
      </c>
      <c r="C327" s="89" t="s">
        <v>557</v>
      </c>
      <c r="D327" s="88">
        <v>64000</v>
      </c>
      <c r="E327" s="88" t="s">
        <v>693</v>
      </c>
      <c r="F327" s="88" t="s">
        <v>558</v>
      </c>
      <c r="G327" s="88" t="s">
        <v>1006</v>
      </c>
      <c r="H327" s="88" t="s">
        <v>591</v>
      </c>
      <c r="I327" s="88" t="s">
        <v>41</v>
      </c>
      <c r="J327" s="89" t="s">
        <v>1421</v>
      </c>
      <c r="K327" s="103" t="s">
        <v>1402</v>
      </c>
      <c r="L327" s="403" t="s">
        <v>26</v>
      </c>
      <c r="M327" s="199">
        <v>45077</v>
      </c>
      <c r="N327" s="105">
        <v>44687</v>
      </c>
      <c r="O327" s="105"/>
      <c r="P327" s="203" t="s">
        <v>5616</v>
      </c>
      <c r="Q327" s="203" t="s">
        <v>4791</v>
      </c>
      <c r="R327" s="203"/>
      <c r="S327" s="203"/>
      <c r="T327" s="87" t="s">
        <v>5312</v>
      </c>
      <c r="U327" s="87" t="s">
        <v>1571</v>
      </c>
      <c r="V327" s="87"/>
      <c r="W327" s="88" t="s">
        <v>1571</v>
      </c>
      <c r="X327" s="249" t="s">
        <v>3942</v>
      </c>
      <c r="Y327" s="88"/>
      <c r="Z327" s="250" t="s">
        <v>2051</v>
      </c>
      <c r="AA327" s="87" t="s">
        <v>2418</v>
      </c>
      <c r="AB327" s="250" t="s">
        <v>2090</v>
      </c>
      <c r="AC327" s="250"/>
      <c r="AD327" s="250"/>
      <c r="AE327" s="87" t="s">
        <v>2051</v>
      </c>
      <c r="AF327" s="88" t="s">
        <v>1421</v>
      </c>
      <c r="AG327" s="88" t="s">
        <v>2104</v>
      </c>
      <c r="AH327" s="88"/>
      <c r="AI327" s="224" t="s">
        <v>2106</v>
      </c>
      <c r="AJ327" s="225">
        <v>1</v>
      </c>
      <c r="AK327" s="224" t="s">
        <v>2107</v>
      </c>
      <c r="AL327" s="224" t="s">
        <v>2419</v>
      </c>
      <c r="AM327" s="224" t="s">
        <v>2217</v>
      </c>
      <c r="AN327" s="224"/>
    </row>
    <row r="328" spans="1:40" s="86" customFormat="1" ht="59.25" customHeight="1">
      <c r="A328" s="402">
        <v>298788</v>
      </c>
      <c r="B328" s="89" t="s">
        <v>556</v>
      </c>
      <c r="C328" s="89" t="s">
        <v>557</v>
      </c>
      <c r="D328" s="88">
        <v>64000</v>
      </c>
      <c r="E328" s="88" t="s">
        <v>693</v>
      </c>
      <c r="F328" s="88" t="s">
        <v>558</v>
      </c>
      <c r="G328" s="88" t="s">
        <v>1006</v>
      </c>
      <c r="H328" s="88" t="s">
        <v>591</v>
      </c>
      <c r="I328" s="88" t="s">
        <v>40</v>
      </c>
      <c r="J328" s="89" t="s">
        <v>1421</v>
      </c>
      <c r="K328" s="103" t="s">
        <v>1233</v>
      </c>
      <c r="L328" s="403" t="s">
        <v>26</v>
      </c>
      <c r="M328" s="199">
        <v>45443</v>
      </c>
      <c r="N328" s="105">
        <v>44384</v>
      </c>
      <c r="O328" s="105"/>
      <c r="P328" s="203" t="s">
        <v>5616</v>
      </c>
      <c r="Q328" s="203" t="s">
        <v>4791</v>
      </c>
      <c r="R328" s="203"/>
      <c r="S328" s="203"/>
      <c r="T328" s="87" t="s">
        <v>5312</v>
      </c>
      <c r="U328" s="87" t="s">
        <v>1571</v>
      </c>
      <c r="V328" s="87"/>
      <c r="W328" s="88" t="s">
        <v>1571</v>
      </c>
      <c r="X328" s="249" t="s">
        <v>3942</v>
      </c>
      <c r="Y328" s="88"/>
      <c r="Z328" s="250"/>
      <c r="AA328" s="87" t="s">
        <v>2420</v>
      </c>
      <c r="AB328" s="250" t="s">
        <v>2090</v>
      </c>
      <c r="AC328" s="250"/>
      <c r="AD328" s="250"/>
      <c r="AE328" s="87"/>
      <c r="AF328" s="88" t="s">
        <v>1421</v>
      </c>
      <c r="AG328" s="88" t="s">
        <v>2090</v>
      </c>
      <c r="AH328" s="88"/>
      <c r="AI328" s="224" t="s">
        <v>2194</v>
      </c>
      <c r="AJ328" s="225">
        <v>3</v>
      </c>
      <c r="AK328" s="224" t="s">
        <v>2107</v>
      </c>
      <c r="AL328" s="224" t="s">
        <v>2421</v>
      </c>
      <c r="AM328" s="224" t="s">
        <v>2099</v>
      </c>
      <c r="AN328" s="224"/>
    </row>
    <row r="329" spans="1:40" s="86" customFormat="1" ht="59.25" customHeight="1">
      <c r="A329" s="402">
        <v>298953</v>
      </c>
      <c r="B329" s="89" t="s">
        <v>649</v>
      </c>
      <c r="C329" s="89" t="s">
        <v>633</v>
      </c>
      <c r="D329" s="88">
        <v>13905</v>
      </c>
      <c r="E329" s="88" t="s">
        <v>650</v>
      </c>
      <c r="F329" s="88" t="s">
        <v>51</v>
      </c>
      <c r="G329" s="88" t="s">
        <v>1007</v>
      </c>
      <c r="H329" s="88" t="s">
        <v>591</v>
      </c>
      <c r="I329" s="88" t="s">
        <v>40</v>
      </c>
      <c r="J329" s="89" t="s">
        <v>5450</v>
      </c>
      <c r="K329" s="103" t="s">
        <v>1233</v>
      </c>
      <c r="L329" s="403" t="s">
        <v>26</v>
      </c>
      <c r="M329" s="199">
        <v>45077</v>
      </c>
      <c r="N329" s="105">
        <v>44705</v>
      </c>
      <c r="O329" s="105"/>
      <c r="P329" s="203" t="s">
        <v>4315</v>
      </c>
      <c r="Q329" s="203" t="s">
        <v>1811</v>
      </c>
      <c r="R329" s="203"/>
      <c r="S329" s="203"/>
      <c r="T329" s="87" t="s">
        <v>4559</v>
      </c>
      <c r="U329" s="87" t="s">
        <v>1568</v>
      </c>
      <c r="V329" s="87"/>
      <c r="W329" s="88" t="s">
        <v>1568</v>
      </c>
      <c r="X329" s="249" t="s">
        <v>5221</v>
      </c>
      <c r="Y329" s="88"/>
      <c r="Z329" s="250" t="s">
        <v>2052</v>
      </c>
      <c r="AA329" s="87" t="s">
        <v>2132</v>
      </c>
      <c r="AB329" s="250" t="s">
        <v>2079</v>
      </c>
      <c r="AC329" s="250" t="s">
        <v>2422</v>
      </c>
      <c r="AD329" s="250"/>
      <c r="AE329" s="87" t="s">
        <v>2052</v>
      </c>
      <c r="AF329" s="88" t="s">
        <v>5517</v>
      </c>
      <c r="AG329" s="88" t="s">
        <v>2073</v>
      </c>
      <c r="AH329" s="88" t="s">
        <v>2074</v>
      </c>
      <c r="AI329" s="224" t="s">
        <v>2075</v>
      </c>
      <c r="AJ329" s="225">
        <v>2</v>
      </c>
      <c r="AK329" s="224" t="s">
        <v>2133</v>
      </c>
      <c r="AL329" s="224" t="s">
        <v>2134</v>
      </c>
      <c r="AM329" s="224" t="s">
        <v>2099</v>
      </c>
      <c r="AN329" s="224" t="s">
        <v>2135</v>
      </c>
    </row>
    <row r="330" spans="1:40" s="86" customFormat="1" ht="59.25" customHeight="1">
      <c r="A330" s="402">
        <v>299072</v>
      </c>
      <c r="B330" s="89" t="s">
        <v>1008</v>
      </c>
      <c r="C330" s="89" t="s">
        <v>1009</v>
      </c>
      <c r="D330" s="88">
        <v>46241</v>
      </c>
      <c r="E330" s="88" t="s">
        <v>1010</v>
      </c>
      <c r="F330" s="88" t="s">
        <v>51</v>
      </c>
      <c r="G330" s="88"/>
      <c r="H330" s="88" t="s">
        <v>591</v>
      </c>
      <c r="I330" s="88" t="s">
        <v>784</v>
      </c>
      <c r="J330" s="89" t="s">
        <v>1336</v>
      </c>
      <c r="K330" s="103" t="s">
        <v>1233</v>
      </c>
      <c r="L330" s="403" t="s">
        <v>26</v>
      </c>
      <c r="M330" s="199">
        <v>45260</v>
      </c>
      <c r="N330" s="105">
        <v>44748</v>
      </c>
      <c r="O330" s="105"/>
      <c r="P330" s="203" t="s">
        <v>4316</v>
      </c>
      <c r="Q330" s="203" t="s">
        <v>1812</v>
      </c>
      <c r="R330" s="203"/>
      <c r="S330" s="203"/>
      <c r="T330" s="87" t="s">
        <v>5313</v>
      </c>
      <c r="U330" s="87" t="s">
        <v>1577</v>
      </c>
      <c r="V330" s="87"/>
      <c r="W330" s="88" t="s">
        <v>1568</v>
      </c>
      <c r="X330" s="249" t="s">
        <v>3945</v>
      </c>
      <c r="Y330" s="88"/>
      <c r="Z330" s="250"/>
      <c r="AA330" s="87" t="s">
        <v>1008</v>
      </c>
      <c r="AB330" s="250" t="s">
        <v>2229</v>
      </c>
      <c r="AC330" s="250" t="s">
        <v>2352</v>
      </c>
      <c r="AD330" s="250"/>
      <c r="AE330" s="87"/>
      <c r="AF330" s="88" t="s">
        <v>1336</v>
      </c>
      <c r="AG330" s="88" t="s">
        <v>2231</v>
      </c>
      <c r="AH330" s="88" t="s">
        <v>2105</v>
      </c>
      <c r="AI330" s="224" t="s">
        <v>2253</v>
      </c>
      <c r="AJ330" s="225">
        <v>1</v>
      </c>
      <c r="AK330" s="224" t="s">
        <v>2107</v>
      </c>
      <c r="AL330" s="224" t="s">
        <v>2423</v>
      </c>
      <c r="AM330" s="224" t="s">
        <v>2233</v>
      </c>
      <c r="AN330" s="224" t="s">
        <v>2424</v>
      </c>
    </row>
    <row r="331" spans="1:40" s="86" customFormat="1" ht="59.25" customHeight="1">
      <c r="A331" s="402">
        <v>299072</v>
      </c>
      <c r="B331" s="89" t="s">
        <v>1008</v>
      </c>
      <c r="C331" s="89" t="s">
        <v>1009</v>
      </c>
      <c r="D331" s="88">
        <v>46241</v>
      </c>
      <c r="E331" s="88" t="s">
        <v>1010</v>
      </c>
      <c r="F331" s="88" t="s">
        <v>51</v>
      </c>
      <c r="G331" s="88"/>
      <c r="H331" s="88" t="s">
        <v>591</v>
      </c>
      <c r="I331" s="88" t="s">
        <v>787</v>
      </c>
      <c r="J331" s="89" t="s">
        <v>1336</v>
      </c>
      <c r="K331" s="103" t="s">
        <v>1233</v>
      </c>
      <c r="L331" s="403" t="s">
        <v>26</v>
      </c>
      <c r="M331" s="199">
        <v>45260</v>
      </c>
      <c r="N331" s="105">
        <v>44748</v>
      </c>
      <c r="O331" s="105"/>
      <c r="P331" s="203" t="s">
        <v>4316</v>
      </c>
      <c r="Q331" s="203" t="s">
        <v>1812</v>
      </c>
      <c r="R331" s="203"/>
      <c r="S331" s="203"/>
      <c r="T331" s="87" t="s">
        <v>5313</v>
      </c>
      <c r="U331" s="87" t="s">
        <v>1573</v>
      </c>
      <c r="V331" s="87"/>
      <c r="W331" s="88" t="s">
        <v>1571</v>
      </c>
      <c r="X331" s="249" t="s">
        <v>3945</v>
      </c>
      <c r="Y331" s="88"/>
      <c r="Z331" s="250"/>
      <c r="AA331" s="87" t="s">
        <v>2425</v>
      </c>
      <c r="AB331" s="250" t="s">
        <v>2234</v>
      </c>
      <c r="AC331" s="250" t="s">
        <v>2235</v>
      </c>
      <c r="AD331" s="250"/>
      <c r="AE331" s="87"/>
      <c r="AF331" s="88" t="s">
        <v>1336</v>
      </c>
      <c r="AG331" s="88" t="s">
        <v>2258</v>
      </c>
      <c r="AH331" s="88"/>
      <c r="AI331" s="224"/>
      <c r="AJ331" s="225">
        <v>2</v>
      </c>
      <c r="AK331" s="224" t="s">
        <v>2107</v>
      </c>
      <c r="AL331" s="224" t="s">
        <v>2426</v>
      </c>
      <c r="AM331" s="224"/>
      <c r="AN331" s="224" t="s">
        <v>2427</v>
      </c>
    </row>
    <row r="332" spans="1:40" s="86" customFormat="1" ht="59.25" customHeight="1">
      <c r="A332" s="402">
        <v>299640</v>
      </c>
      <c r="B332" s="89" t="s">
        <v>4475</v>
      </c>
      <c r="C332" s="89" t="s">
        <v>4476</v>
      </c>
      <c r="D332" s="88">
        <v>510663</v>
      </c>
      <c r="E332" s="88" t="s">
        <v>174</v>
      </c>
      <c r="F332" s="88" t="s">
        <v>175</v>
      </c>
      <c r="G332" s="88" t="s">
        <v>4477</v>
      </c>
      <c r="H332" s="88" t="s">
        <v>591</v>
      </c>
      <c r="I332" s="88" t="s">
        <v>40</v>
      </c>
      <c r="J332" s="89" t="s">
        <v>1510</v>
      </c>
      <c r="K332" s="103" t="s">
        <v>1402</v>
      </c>
      <c r="L332" s="403" t="s">
        <v>26</v>
      </c>
      <c r="M332" s="199">
        <v>44926</v>
      </c>
      <c r="N332" s="105">
        <v>44571</v>
      </c>
      <c r="O332" s="105"/>
      <c r="P332" s="203" t="s">
        <v>4482</v>
      </c>
      <c r="Q332" s="203" t="s">
        <v>4484</v>
      </c>
      <c r="R332" s="203"/>
      <c r="S332" s="203"/>
      <c r="T332" s="87" t="s">
        <v>4893</v>
      </c>
      <c r="U332" s="87" t="s">
        <v>1573</v>
      </c>
      <c r="V332" s="87"/>
      <c r="W332" s="88" t="s">
        <v>1571</v>
      </c>
      <c r="X332" s="249" t="s">
        <v>4897</v>
      </c>
      <c r="Y332" s="88"/>
      <c r="Z332" s="250" t="s">
        <v>5181</v>
      </c>
      <c r="AA332" s="87" t="s">
        <v>4502</v>
      </c>
      <c r="AB332" s="250" t="s">
        <v>2090</v>
      </c>
      <c r="AC332" s="250" t="s">
        <v>5188</v>
      </c>
      <c r="AD332" s="250"/>
      <c r="AE332" s="87" t="s">
        <v>5181</v>
      </c>
      <c r="AF332" s="88" t="s">
        <v>1510</v>
      </c>
      <c r="AG332" s="88" t="s">
        <v>2090</v>
      </c>
      <c r="AH332" s="88" t="s">
        <v>2214</v>
      </c>
      <c r="AI332" s="224"/>
      <c r="AJ332" s="225">
        <v>3</v>
      </c>
      <c r="AK332" s="224" t="s">
        <v>2133</v>
      </c>
      <c r="AL332" s="224" t="s">
        <v>4504</v>
      </c>
      <c r="AM332" s="224" t="s">
        <v>2099</v>
      </c>
      <c r="AN332" s="224" t="s">
        <v>4505</v>
      </c>
    </row>
    <row r="333" spans="1:40" s="86" customFormat="1" ht="59.25" customHeight="1">
      <c r="A333" s="402">
        <v>300205</v>
      </c>
      <c r="B333" s="89" t="s">
        <v>1011</v>
      </c>
      <c r="C333" s="89" t="s">
        <v>1505</v>
      </c>
      <c r="D333" s="88">
        <v>82000</v>
      </c>
      <c r="E333" s="88" t="s">
        <v>1193</v>
      </c>
      <c r="F333" s="88" t="s">
        <v>47</v>
      </c>
      <c r="G333" s="88"/>
      <c r="H333" s="88" t="s">
        <v>591</v>
      </c>
      <c r="I333" s="88" t="s">
        <v>1100</v>
      </c>
      <c r="J333" s="89" t="s">
        <v>4638</v>
      </c>
      <c r="K333" s="103" t="s">
        <v>1402</v>
      </c>
      <c r="L333" s="403" t="s">
        <v>26</v>
      </c>
      <c r="M333" s="199">
        <v>44926</v>
      </c>
      <c r="N333" s="105">
        <v>44533</v>
      </c>
      <c r="O333" s="105"/>
      <c r="P333" s="203" t="s">
        <v>1317</v>
      </c>
      <c r="Q333" s="203"/>
      <c r="R333" s="203" t="s">
        <v>2005</v>
      </c>
      <c r="S333" s="203"/>
      <c r="T333" s="87" t="s">
        <v>1556</v>
      </c>
      <c r="U333" s="87" t="s">
        <v>1568</v>
      </c>
      <c r="V333" s="87"/>
      <c r="W333" s="88" t="s">
        <v>1568</v>
      </c>
      <c r="X333" s="249" t="s">
        <v>3948</v>
      </c>
      <c r="Y333" s="88"/>
      <c r="Z333" s="250"/>
      <c r="AA333" s="87" t="s">
        <v>1011</v>
      </c>
      <c r="AB333" s="250" t="s">
        <v>2120</v>
      </c>
      <c r="AC333" s="250"/>
      <c r="AD333" s="250"/>
      <c r="AE333" s="87"/>
      <c r="AF333" s="88" t="s">
        <v>4638</v>
      </c>
      <c r="AG333" s="88" t="s">
        <v>2120</v>
      </c>
      <c r="AH333" s="88"/>
      <c r="AI333" s="224"/>
      <c r="AJ333" s="225">
        <v>1</v>
      </c>
      <c r="AK333" s="224" t="s">
        <v>2107</v>
      </c>
      <c r="AL333" s="224" t="s">
        <v>2428</v>
      </c>
      <c r="AM333" s="224" t="s">
        <v>2213</v>
      </c>
      <c r="AN333" s="224" t="s">
        <v>2429</v>
      </c>
    </row>
    <row r="334" spans="1:40" s="86" customFormat="1" ht="59.25" customHeight="1">
      <c r="A334" s="402">
        <v>300583</v>
      </c>
      <c r="B334" s="89" t="s">
        <v>1077</v>
      </c>
      <c r="C334" s="89" t="s">
        <v>273</v>
      </c>
      <c r="D334" s="88" t="s">
        <v>1078</v>
      </c>
      <c r="E334" s="88" t="s">
        <v>275</v>
      </c>
      <c r="F334" s="88" t="s">
        <v>45</v>
      </c>
      <c r="G334" s="88" t="s">
        <v>1079</v>
      </c>
      <c r="H334" s="88" t="s">
        <v>591</v>
      </c>
      <c r="I334" s="88" t="s">
        <v>40</v>
      </c>
      <c r="J334" s="89" t="s">
        <v>786</v>
      </c>
      <c r="K334" s="103" t="s">
        <v>1402</v>
      </c>
      <c r="L334" s="403" t="s">
        <v>26</v>
      </c>
      <c r="M334" s="199">
        <v>45412</v>
      </c>
      <c r="N334" s="105">
        <v>44316</v>
      </c>
      <c r="O334" s="105"/>
      <c r="P334" s="203" t="s">
        <v>5348</v>
      </c>
      <c r="Q334" s="203" t="s">
        <v>1813</v>
      </c>
      <c r="R334" s="203" t="s">
        <v>1962</v>
      </c>
      <c r="S334" s="203"/>
      <c r="T334" s="87" t="s">
        <v>1557</v>
      </c>
      <c r="U334" s="87" t="s">
        <v>1568</v>
      </c>
      <c r="V334" s="87"/>
      <c r="W334" s="88" t="s">
        <v>1568</v>
      </c>
      <c r="X334" s="249"/>
      <c r="Y334" s="88"/>
      <c r="Z334" s="250"/>
      <c r="AA334" s="87" t="s">
        <v>2304</v>
      </c>
      <c r="AB334" s="250" t="s">
        <v>2072</v>
      </c>
      <c r="AC334" s="250"/>
      <c r="AD334" s="250"/>
      <c r="AE334" s="87"/>
      <c r="AF334" s="88" t="s">
        <v>786</v>
      </c>
      <c r="AG334" s="88" t="s">
        <v>2073</v>
      </c>
      <c r="AH334" s="88" t="s">
        <v>2116</v>
      </c>
      <c r="AI334" s="224" t="s">
        <v>2075</v>
      </c>
      <c r="AJ334" s="225">
        <v>3</v>
      </c>
      <c r="AK334" s="224" t="s">
        <v>2076</v>
      </c>
      <c r="AL334" s="224" t="s">
        <v>2305</v>
      </c>
      <c r="AM334" s="224" t="s">
        <v>2099</v>
      </c>
      <c r="AN334" s="224" t="s">
        <v>2306</v>
      </c>
    </row>
    <row r="335" spans="1:40" s="86" customFormat="1" ht="59.25" customHeight="1">
      <c r="A335" s="402">
        <v>300812</v>
      </c>
      <c r="B335" s="89" t="s">
        <v>1441</v>
      </c>
      <c r="C335" s="89" t="s">
        <v>1442</v>
      </c>
      <c r="D335" s="88">
        <v>31771</v>
      </c>
      <c r="E335" s="88" t="s">
        <v>1443</v>
      </c>
      <c r="F335" s="88" t="s">
        <v>47</v>
      </c>
      <c r="G335" s="88" t="s">
        <v>1444</v>
      </c>
      <c r="H335" s="88" t="s">
        <v>591</v>
      </c>
      <c r="I335" s="88" t="s">
        <v>40</v>
      </c>
      <c r="J335" s="89" t="s">
        <v>1277</v>
      </c>
      <c r="K335" s="103" t="s">
        <v>1402</v>
      </c>
      <c r="L335" s="403" t="s">
        <v>26</v>
      </c>
      <c r="M335" s="199">
        <v>45350</v>
      </c>
      <c r="N335" s="105">
        <v>44255</v>
      </c>
      <c r="O335" s="105"/>
      <c r="P335" s="203" t="s">
        <v>4759</v>
      </c>
      <c r="Q335" s="203" t="s">
        <v>4760</v>
      </c>
      <c r="R335" s="203" t="s">
        <v>2006</v>
      </c>
      <c r="S335" s="203"/>
      <c r="T335" s="87" t="s">
        <v>5825</v>
      </c>
      <c r="U335" s="87" t="s">
        <v>1574</v>
      </c>
      <c r="V335" s="87"/>
      <c r="W335" s="88" t="s">
        <v>1568</v>
      </c>
      <c r="X335" s="249" t="s">
        <v>3952</v>
      </c>
      <c r="Y335" s="88"/>
      <c r="Z335" s="250" t="s">
        <v>4196</v>
      </c>
      <c r="AA335" s="87" t="s">
        <v>4197</v>
      </c>
      <c r="AB335" s="250" t="s">
        <v>2072</v>
      </c>
      <c r="AC335" s="250" t="s">
        <v>2544</v>
      </c>
      <c r="AD335" s="250"/>
      <c r="AE335" s="87" t="s">
        <v>4196</v>
      </c>
      <c r="AF335" s="88" t="s">
        <v>1277</v>
      </c>
      <c r="AG335" s="88" t="s">
        <v>2073</v>
      </c>
      <c r="AH335" s="88" t="s">
        <v>2113</v>
      </c>
      <c r="AI335" s="224" t="s">
        <v>2122</v>
      </c>
      <c r="AJ335" s="225">
        <v>4</v>
      </c>
      <c r="AK335" s="224" t="s">
        <v>2107</v>
      </c>
      <c r="AL335" s="224" t="s">
        <v>4198</v>
      </c>
      <c r="AM335" s="224" t="s">
        <v>2087</v>
      </c>
      <c r="AN335" s="224"/>
    </row>
    <row r="336" spans="1:40" s="86" customFormat="1" ht="59.25" customHeight="1">
      <c r="A336" s="402">
        <v>301127</v>
      </c>
      <c r="B336" s="89" t="s">
        <v>1411</v>
      </c>
      <c r="C336" s="89" t="s">
        <v>1469</v>
      </c>
      <c r="D336" s="88">
        <v>30337</v>
      </c>
      <c r="E336" s="88" t="s">
        <v>1080</v>
      </c>
      <c r="F336" s="88" t="s">
        <v>51</v>
      </c>
      <c r="G336" s="88" t="s">
        <v>1081</v>
      </c>
      <c r="H336" s="88" t="s">
        <v>591</v>
      </c>
      <c r="I336" s="88" t="s">
        <v>40</v>
      </c>
      <c r="J336" s="89" t="s">
        <v>5449</v>
      </c>
      <c r="K336" s="103" t="s">
        <v>1402</v>
      </c>
      <c r="L336" s="403" t="s">
        <v>26</v>
      </c>
      <c r="M336" s="199">
        <v>45350</v>
      </c>
      <c r="N336" s="105">
        <v>44434</v>
      </c>
      <c r="O336" s="105"/>
      <c r="P336" s="203" t="s">
        <v>4892</v>
      </c>
      <c r="Q336" s="203" t="s">
        <v>1814</v>
      </c>
      <c r="R336" s="203"/>
      <c r="S336" s="203"/>
      <c r="T336" s="87" t="s">
        <v>5826</v>
      </c>
      <c r="U336" s="87" t="s">
        <v>1571</v>
      </c>
      <c r="V336" s="87"/>
      <c r="W336" s="88" t="s">
        <v>1571</v>
      </c>
      <c r="X336" s="249" t="s">
        <v>5955</v>
      </c>
      <c r="Y336" s="88"/>
      <c r="Z336" s="250"/>
      <c r="AA336" s="87" t="s">
        <v>2097</v>
      </c>
      <c r="AB336" s="250" t="s">
        <v>2072</v>
      </c>
      <c r="AC336" s="250"/>
      <c r="AD336" s="250"/>
      <c r="AE336" s="87"/>
      <c r="AF336" s="88" t="s">
        <v>5449</v>
      </c>
      <c r="AG336" s="88" t="s">
        <v>2073</v>
      </c>
      <c r="AH336" s="88" t="s">
        <v>2074</v>
      </c>
      <c r="AI336" s="224" t="s">
        <v>2075</v>
      </c>
      <c r="AJ336" s="225">
        <v>2</v>
      </c>
      <c r="AK336" s="224" t="s">
        <v>2076</v>
      </c>
      <c r="AL336" s="224" t="s">
        <v>2098</v>
      </c>
      <c r="AM336" s="224" t="s">
        <v>2099</v>
      </c>
      <c r="AN336" s="224"/>
    </row>
    <row r="337" spans="1:40" s="86" customFormat="1" ht="59.25" customHeight="1">
      <c r="A337" s="402">
        <v>301185</v>
      </c>
      <c r="B337" s="89" t="s">
        <v>1151</v>
      </c>
      <c r="C337" s="89" t="s">
        <v>1320</v>
      </c>
      <c r="D337" s="88">
        <v>66540</v>
      </c>
      <c r="E337" s="88" t="s">
        <v>1321</v>
      </c>
      <c r="F337" s="88" t="s">
        <v>55</v>
      </c>
      <c r="G337" s="88"/>
      <c r="H337" s="88" t="s">
        <v>591</v>
      </c>
      <c r="I337" s="88" t="s">
        <v>40</v>
      </c>
      <c r="J337" s="89" t="s">
        <v>1277</v>
      </c>
      <c r="K337" s="103" t="s">
        <v>5218</v>
      </c>
      <c r="L337" s="403" t="s">
        <v>26</v>
      </c>
      <c r="M337" s="199">
        <v>45443</v>
      </c>
      <c r="N337" s="105">
        <v>44700</v>
      </c>
      <c r="O337" s="105"/>
      <c r="P337" s="203" t="s">
        <v>1327</v>
      </c>
      <c r="Q337" s="203" t="s">
        <v>1766</v>
      </c>
      <c r="R337" s="203"/>
      <c r="S337" s="203"/>
      <c r="T337" s="87" t="s">
        <v>4606</v>
      </c>
      <c r="U337" s="87" t="s">
        <v>1581</v>
      </c>
      <c r="V337" s="87"/>
      <c r="W337" s="88" t="s">
        <v>1581</v>
      </c>
      <c r="X337" s="249"/>
      <c r="Y337" s="88"/>
      <c r="Z337" s="250" t="s">
        <v>2053</v>
      </c>
      <c r="AA337" s="87" t="s">
        <v>1151</v>
      </c>
      <c r="AB337" s="250" t="s">
        <v>2072</v>
      </c>
      <c r="AC337" s="250" t="s">
        <v>2430</v>
      </c>
      <c r="AD337" s="250"/>
      <c r="AE337" s="87" t="s">
        <v>2053</v>
      </c>
      <c r="AF337" s="88" t="s">
        <v>1277</v>
      </c>
      <c r="AG337" s="88" t="s">
        <v>2073</v>
      </c>
      <c r="AH337" s="88" t="s">
        <v>2113</v>
      </c>
      <c r="AI337" s="224"/>
      <c r="AJ337" s="225">
        <v>4</v>
      </c>
      <c r="AK337" s="224" t="s">
        <v>2085</v>
      </c>
      <c r="AL337" s="224" t="s">
        <v>2431</v>
      </c>
      <c r="AM337" s="224" t="s">
        <v>2087</v>
      </c>
      <c r="AN337" s="224"/>
    </row>
    <row r="338" spans="1:40" s="86" customFormat="1" ht="59.25" customHeight="1">
      <c r="A338" s="402">
        <v>301672</v>
      </c>
      <c r="B338" s="89" t="s">
        <v>624</v>
      </c>
      <c r="C338" s="89" t="s">
        <v>2015</v>
      </c>
      <c r="D338" s="88">
        <v>28199</v>
      </c>
      <c r="E338" s="88" t="s">
        <v>559</v>
      </c>
      <c r="F338" s="88" t="s">
        <v>55</v>
      </c>
      <c r="G338" s="88" t="s">
        <v>1012</v>
      </c>
      <c r="H338" s="88" t="s">
        <v>591</v>
      </c>
      <c r="I338" s="88" t="s">
        <v>40</v>
      </c>
      <c r="J338" s="89" t="s">
        <v>1421</v>
      </c>
      <c r="K338" s="103" t="s">
        <v>1402</v>
      </c>
      <c r="L338" s="403" t="s">
        <v>26</v>
      </c>
      <c r="M338" s="199">
        <v>45596</v>
      </c>
      <c r="N338" s="105">
        <v>44491</v>
      </c>
      <c r="O338" s="105"/>
      <c r="P338" s="203" t="s">
        <v>4788</v>
      </c>
      <c r="Q338" s="203" t="s">
        <v>4792</v>
      </c>
      <c r="R338" s="203" t="s">
        <v>2007</v>
      </c>
      <c r="S338" s="203"/>
      <c r="T338" s="87" t="s">
        <v>1558</v>
      </c>
      <c r="U338" s="87" t="s">
        <v>1568</v>
      </c>
      <c r="V338" s="87"/>
      <c r="W338" s="88" t="s">
        <v>1568</v>
      </c>
      <c r="X338" s="249" t="s">
        <v>3953</v>
      </c>
      <c r="Y338" s="88"/>
      <c r="Z338" s="250"/>
      <c r="AA338" s="87" t="s">
        <v>2432</v>
      </c>
      <c r="AB338" s="250" t="s">
        <v>2072</v>
      </c>
      <c r="AC338" s="250"/>
      <c r="AD338" s="250"/>
      <c r="AE338" s="87"/>
      <c r="AF338" s="88" t="s">
        <v>1421</v>
      </c>
      <c r="AG338" s="88" t="s">
        <v>2073</v>
      </c>
      <c r="AH338" s="88"/>
      <c r="AI338" s="224"/>
      <c r="AJ338" s="225">
        <v>4</v>
      </c>
      <c r="AK338" s="224" t="s">
        <v>2085</v>
      </c>
      <c r="AL338" s="224" t="s">
        <v>4372</v>
      </c>
      <c r="AM338" s="224" t="s">
        <v>2087</v>
      </c>
      <c r="AN338" s="224"/>
    </row>
    <row r="339" spans="1:40" s="86" customFormat="1" ht="59.25" customHeight="1">
      <c r="A339" s="402">
        <v>301799</v>
      </c>
      <c r="B339" s="89" t="s">
        <v>1013</v>
      </c>
      <c r="C339" s="89" t="s">
        <v>1014</v>
      </c>
      <c r="D339" s="88">
        <v>2893</v>
      </c>
      <c r="E339" s="88" t="s">
        <v>1015</v>
      </c>
      <c r="F339" s="88" t="s">
        <v>51</v>
      </c>
      <c r="G339" s="88">
        <v>54318</v>
      </c>
      <c r="H339" s="88" t="s">
        <v>591</v>
      </c>
      <c r="I339" s="88" t="s">
        <v>40</v>
      </c>
      <c r="J339" s="89" t="s">
        <v>1277</v>
      </c>
      <c r="K339" s="103" t="s">
        <v>1233</v>
      </c>
      <c r="L339" s="403" t="s">
        <v>26</v>
      </c>
      <c r="M339" s="199">
        <v>45412</v>
      </c>
      <c r="N339" s="105">
        <v>44705</v>
      </c>
      <c r="O339" s="105"/>
      <c r="P339" s="203" t="s">
        <v>5463</v>
      </c>
      <c r="Q339" s="203" t="s">
        <v>5477</v>
      </c>
      <c r="R339" s="203"/>
      <c r="S339" s="203"/>
      <c r="T339" s="87" t="s">
        <v>4645</v>
      </c>
      <c r="U339" s="87" t="s">
        <v>1568</v>
      </c>
      <c r="V339" s="87"/>
      <c r="W339" s="88" t="s">
        <v>1568</v>
      </c>
      <c r="X339" s="249" t="s">
        <v>4635</v>
      </c>
      <c r="Y339" s="88"/>
      <c r="Z339" s="250"/>
      <c r="AA339" s="87" t="s">
        <v>1013</v>
      </c>
      <c r="AB339" s="250" t="s">
        <v>2072</v>
      </c>
      <c r="AC339" s="250"/>
      <c r="AD339" s="250"/>
      <c r="AE339" s="87"/>
      <c r="AF339" s="88" t="s">
        <v>1277</v>
      </c>
      <c r="AG339" s="88" t="s">
        <v>2073</v>
      </c>
      <c r="AH339" s="88"/>
      <c r="AI339" s="224"/>
      <c r="AJ339" s="225">
        <v>3</v>
      </c>
      <c r="AK339" s="224" t="s">
        <v>2085</v>
      </c>
      <c r="AL339" s="224"/>
      <c r="AM339" s="224" t="s">
        <v>2099</v>
      </c>
      <c r="AN339" s="224"/>
    </row>
    <row r="340" spans="1:40" s="86" customFormat="1" ht="59.25" customHeight="1">
      <c r="A340" s="402">
        <v>301805</v>
      </c>
      <c r="B340" s="89" t="s">
        <v>560</v>
      </c>
      <c r="C340" s="89" t="s">
        <v>561</v>
      </c>
      <c r="D340" s="88"/>
      <c r="E340" s="88" t="s">
        <v>562</v>
      </c>
      <c r="F340" s="88" t="s">
        <v>549</v>
      </c>
      <c r="G340" s="88" t="s">
        <v>1016</v>
      </c>
      <c r="H340" s="88" t="s">
        <v>591</v>
      </c>
      <c r="I340" s="88" t="s">
        <v>40</v>
      </c>
      <c r="J340" s="89" t="s">
        <v>5282</v>
      </c>
      <c r="K340" s="103" t="s">
        <v>1233</v>
      </c>
      <c r="L340" s="403" t="s">
        <v>26</v>
      </c>
      <c r="M340" s="199">
        <v>45412</v>
      </c>
      <c r="N340" s="105">
        <v>44672</v>
      </c>
      <c r="O340" s="105"/>
      <c r="P340" s="203" t="s">
        <v>4301</v>
      </c>
      <c r="Q340" s="203" t="s">
        <v>1815</v>
      </c>
      <c r="R340" s="203" t="s">
        <v>2008</v>
      </c>
      <c r="S340" s="203"/>
      <c r="T340" s="87" t="s">
        <v>5092</v>
      </c>
      <c r="U340" s="87" t="s">
        <v>1571</v>
      </c>
      <c r="V340" s="87"/>
      <c r="W340" s="88" t="s">
        <v>1571</v>
      </c>
      <c r="X340" s="249" t="s">
        <v>3955</v>
      </c>
      <c r="Y340" s="88"/>
      <c r="Z340" s="250"/>
      <c r="AA340" s="87" t="s">
        <v>2171</v>
      </c>
      <c r="AB340" s="250" t="s">
        <v>2072</v>
      </c>
      <c r="AC340" s="250"/>
      <c r="AD340" s="250"/>
      <c r="AE340" s="87"/>
      <c r="AF340" s="88" t="s">
        <v>5282</v>
      </c>
      <c r="AG340" s="88" t="s">
        <v>2073</v>
      </c>
      <c r="AH340" s="88" t="s">
        <v>2093</v>
      </c>
      <c r="AI340" s="224"/>
      <c r="AJ340" s="225">
        <v>2</v>
      </c>
      <c r="AK340" s="224" t="s">
        <v>2076</v>
      </c>
      <c r="AL340" s="224" t="s">
        <v>2172</v>
      </c>
      <c r="AM340" s="224" t="s">
        <v>2077</v>
      </c>
      <c r="AN340" s="224"/>
    </row>
    <row r="341" spans="1:40" s="86" customFormat="1" ht="59.25" customHeight="1">
      <c r="A341" s="402">
        <v>302146</v>
      </c>
      <c r="B341" s="89" t="s">
        <v>563</v>
      </c>
      <c r="C341" s="89" t="s">
        <v>564</v>
      </c>
      <c r="D341" s="88">
        <v>61111</v>
      </c>
      <c r="E341" s="88" t="s">
        <v>565</v>
      </c>
      <c r="F341" s="88" t="s">
        <v>51</v>
      </c>
      <c r="G341" s="88">
        <v>66503</v>
      </c>
      <c r="H341" s="88" t="s">
        <v>591</v>
      </c>
      <c r="I341" s="88" t="s">
        <v>40</v>
      </c>
      <c r="J341" s="89" t="s">
        <v>5449</v>
      </c>
      <c r="K341" s="103"/>
      <c r="L341" s="403" t="s">
        <v>26</v>
      </c>
      <c r="M341" s="199">
        <v>45199</v>
      </c>
      <c r="N341" s="105">
        <v>44074</v>
      </c>
      <c r="O341" s="105"/>
      <c r="P341" s="203" t="s">
        <v>6056</v>
      </c>
      <c r="Q341" s="203" t="s">
        <v>1816</v>
      </c>
      <c r="R341" s="203"/>
      <c r="S341" s="203"/>
      <c r="T341" s="87" t="s">
        <v>5093</v>
      </c>
      <c r="U341" s="87" t="s">
        <v>1568</v>
      </c>
      <c r="V341" s="87"/>
      <c r="W341" s="88" t="s">
        <v>1568</v>
      </c>
      <c r="X341" s="249" t="s">
        <v>3957</v>
      </c>
      <c r="Y341" s="88"/>
      <c r="Z341" s="250" t="s">
        <v>5320</v>
      </c>
      <c r="AA341" s="87" t="s">
        <v>1068</v>
      </c>
      <c r="AB341" s="250" t="s">
        <v>2072</v>
      </c>
      <c r="AC341" s="250" t="s">
        <v>5320</v>
      </c>
      <c r="AD341" s="250"/>
      <c r="AE341" s="87" t="s">
        <v>5320</v>
      </c>
      <c r="AF341" s="88" t="s">
        <v>5280</v>
      </c>
      <c r="AG341" s="88" t="s">
        <v>2143</v>
      </c>
      <c r="AH341" s="88" t="s">
        <v>2074</v>
      </c>
      <c r="AI341" s="224"/>
      <c r="AJ341" s="225">
        <v>3</v>
      </c>
      <c r="AK341" s="224" t="s">
        <v>2085</v>
      </c>
      <c r="AL341" s="224" t="s">
        <v>2373</v>
      </c>
      <c r="AM341" s="224" t="s">
        <v>2099</v>
      </c>
      <c r="AN341" s="224"/>
    </row>
    <row r="342" spans="1:40" s="86" customFormat="1" ht="59.25" customHeight="1">
      <c r="A342" s="402">
        <v>302236</v>
      </c>
      <c r="B342" s="89" t="s">
        <v>733</v>
      </c>
      <c r="C342" s="89" t="s">
        <v>734</v>
      </c>
      <c r="D342" s="88">
        <v>11530</v>
      </c>
      <c r="E342" s="88" t="s">
        <v>735</v>
      </c>
      <c r="F342" s="88" t="s">
        <v>51</v>
      </c>
      <c r="G342" s="88">
        <v>12536</v>
      </c>
      <c r="H342" s="88" t="s">
        <v>591</v>
      </c>
      <c r="I342" s="88" t="s">
        <v>40</v>
      </c>
      <c r="J342" s="89" t="s">
        <v>5450</v>
      </c>
      <c r="K342" s="103"/>
      <c r="L342" s="403" t="s">
        <v>26</v>
      </c>
      <c r="M342" s="199">
        <v>44926</v>
      </c>
      <c r="N342" s="105">
        <v>44186</v>
      </c>
      <c r="O342" s="105"/>
      <c r="P342" s="203" t="s">
        <v>4511</v>
      </c>
      <c r="Q342" s="203" t="s">
        <v>1817</v>
      </c>
      <c r="R342" s="203"/>
      <c r="S342" s="203"/>
      <c r="T342" s="87" t="s">
        <v>4560</v>
      </c>
      <c r="U342" s="87" t="s">
        <v>1568</v>
      </c>
      <c r="V342" s="87"/>
      <c r="W342" s="88" t="s">
        <v>1568</v>
      </c>
      <c r="X342" s="249" t="s">
        <v>3958</v>
      </c>
      <c r="Y342" s="88"/>
      <c r="Z342" s="250"/>
      <c r="AA342" s="87" t="s">
        <v>2124</v>
      </c>
      <c r="AB342" s="250" t="s">
        <v>2072</v>
      </c>
      <c r="AC342" s="250"/>
      <c r="AD342" s="250"/>
      <c r="AE342" s="87"/>
      <c r="AF342" s="88" t="s">
        <v>5517</v>
      </c>
      <c r="AG342" s="88" t="s">
        <v>2073</v>
      </c>
      <c r="AH342" s="88" t="s">
        <v>2116</v>
      </c>
      <c r="AI342" s="224" t="s">
        <v>2125</v>
      </c>
      <c r="AJ342" s="225">
        <v>3</v>
      </c>
      <c r="AK342" s="224" t="s">
        <v>2085</v>
      </c>
      <c r="AL342" s="224" t="s">
        <v>2126</v>
      </c>
      <c r="AM342" s="224" t="s">
        <v>2087</v>
      </c>
      <c r="AN342" s="224"/>
    </row>
    <row r="343" spans="1:40" s="86" customFormat="1" ht="59.25" customHeight="1">
      <c r="A343" s="402">
        <v>302643</v>
      </c>
      <c r="B343" s="89" t="s">
        <v>1017</v>
      </c>
      <c r="C343" s="89" t="s">
        <v>4854</v>
      </c>
      <c r="D343" s="88">
        <v>60546</v>
      </c>
      <c r="E343" s="88" t="s">
        <v>137</v>
      </c>
      <c r="F343" s="88" t="s">
        <v>55</v>
      </c>
      <c r="G343" s="88"/>
      <c r="H343" s="88" t="s">
        <v>591</v>
      </c>
      <c r="I343" s="88" t="s">
        <v>41</v>
      </c>
      <c r="J343" s="89" t="s">
        <v>4638</v>
      </c>
      <c r="K343" s="103" t="s">
        <v>1402</v>
      </c>
      <c r="L343" s="403" t="s">
        <v>26</v>
      </c>
      <c r="M343" s="199">
        <v>44895</v>
      </c>
      <c r="N343" s="105">
        <v>44676</v>
      </c>
      <c r="O343" s="105"/>
      <c r="P343" s="203" t="s">
        <v>5617</v>
      </c>
      <c r="Q343" s="203" t="s">
        <v>1818</v>
      </c>
      <c r="R343" s="203"/>
      <c r="S343" s="203"/>
      <c r="T343" s="87" t="s">
        <v>4980</v>
      </c>
      <c r="U343" s="87" t="s">
        <v>1571</v>
      </c>
      <c r="V343" s="87"/>
      <c r="W343" s="88" t="s">
        <v>1571</v>
      </c>
      <c r="X343" s="249" t="s">
        <v>4981</v>
      </c>
      <c r="Y343" s="88"/>
      <c r="Z343" s="250"/>
      <c r="AA343" s="87" t="s">
        <v>2247</v>
      </c>
      <c r="AB343" s="250" t="s">
        <v>2090</v>
      </c>
      <c r="AC343" s="250"/>
      <c r="AD343" s="250"/>
      <c r="AE343" s="87"/>
      <c r="AF343" s="88" t="s">
        <v>4638</v>
      </c>
      <c r="AG343" s="88" t="s">
        <v>2104</v>
      </c>
      <c r="AH343" s="88"/>
      <c r="AI343" s="224" t="s">
        <v>2248</v>
      </c>
      <c r="AJ343" s="225">
        <v>1</v>
      </c>
      <c r="AK343" s="224" t="s">
        <v>2107</v>
      </c>
      <c r="AL343" s="224" t="s">
        <v>2249</v>
      </c>
      <c r="AM343" s="224" t="s">
        <v>2217</v>
      </c>
      <c r="AN343" s="224" t="s">
        <v>2250</v>
      </c>
    </row>
    <row r="344" spans="1:40" s="86" customFormat="1" ht="59.25" customHeight="1">
      <c r="A344" s="402">
        <v>302784</v>
      </c>
      <c r="B344" s="89" t="s">
        <v>1376</v>
      </c>
      <c r="C344" s="89" t="s">
        <v>1377</v>
      </c>
      <c r="D344" s="88">
        <v>1540</v>
      </c>
      <c r="E344" s="88" t="s">
        <v>1378</v>
      </c>
      <c r="F344" s="88" t="s">
        <v>1379</v>
      </c>
      <c r="G344" s="88"/>
      <c r="H344" s="88" t="s">
        <v>591</v>
      </c>
      <c r="I344" s="88" t="s">
        <v>41</v>
      </c>
      <c r="J344" s="89" t="s">
        <v>4638</v>
      </c>
      <c r="K344" s="103" t="s">
        <v>1402</v>
      </c>
      <c r="L344" s="403" t="s">
        <v>26</v>
      </c>
      <c r="M344" s="199">
        <v>44895</v>
      </c>
      <c r="N344" s="105">
        <v>44676</v>
      </c>
      <c r="O344" s="105"/>
      <c r="P344" s="203" t="s">
        <v>4701</v>
      </c>
      <c r="Q344" s="203" t="s">
        <v>4707</v>
      </c>
      <c r="R344" s="203"/>
      <c r="S344" s="203"/>
      <c r="T344" s="87" t="s">
        <v>4980</v>
      </c>
      <c r="U344" s="87" t="s">
        <v>1571</v>
      </c>
      <c r="V344" s="87"/>
      <c r="W344" s="88" t="s">
        <v>1571</v>
      </c>
      <c r="X344" s="249" t="s">
        <v>4981</v>
      </c>
      <c r="Y344" s="88"/>
      <c r="Z344" s="250"/>
      <c r="AA344" s="87" t="s">
        <v>2247</v>
      </c>
      <c r="AB344" s="250" t="s">
        <v>2090</v>
      </c>
      <c r="AC344" s="250"/>
      <c r="AD344" s="250"/>
      <c r="AE344" s="87"/>
      <c r="AF344" s="88" t="s">
        <v>4638</v>
      </c>
      <c r="AG344" s="88" t="s">
        <v>2104</v>
      </c>
      <c r="AH344" s="88"/>
      <c r="AI344" s="224" t="s">
        <v>2248</v>
      </c>
      <c r="AJ344" s="225">
        <v>1</v>
      </c>
      <c r="AK344" s="224" t="s">
        <v>2107</v>
      </c>
      <c r="AL344" s="224" t="s">
        <v>2249</v>
      </c>
      <c r="AM344" s="224" t="s">
        <v>2217</v>
      </c>
      <c r="AN344" s="224" t="s">
        <v>2250</v>
      </c>
    </row>
    <row r="345" spans="1:40" s="86" customFormat="1" ht="59.25" customHeight="1">
      <c r="A345" s="402">
        <v>302792</v>
      </c>
      <c r="B345" s="89" t="s">
        <v>1018</v>
      </c>
      <c r="C345" s="89" t="s">
        <v>1019</v>
      </c>
      <c r="D345" s="88">
        <v>1309</v>
      </c>
      <c r="E345" s="88" t="s">
        <v>1020</v>
      </c>
      <c r="F345" s="88" t="s">
        <v>465</v>
      </c>
      <c r="G345" s="88"/>
      <c r="H345" s="88" t="s">
        <v>591</v>
      </c>
      <c r="I345" s="88" t="s">
        <v>41</v>
      </c>
      <c r="J345" s="89" t="s">
        <v>4638</v>
      </c>
      <c r="K345" s="103" t="s">
        <v>1402</v>
      </c>
      <c r="L345" s="403" t="s">
        <v>26</v>
      </c>
      <c r="M345" s="199">
        <v>44895</v>
      </c>
      <c r="N345" s="105">
        <v>44676</v>
      </c>
      <c r="O345" s="105"/>
      <c r="P345" s="203" t="s">
        <v>1509</v>
      </c>
      <c r="Q345" s="203" t="s">
        <v>1819</v>
      </c>
      <c r="R345" s="203"/>
      <c r="S345" s="203"/>
      <c r="T345" s="87" t="s">
        <v>5226</v>
      </c>
      <c r="U345" s="87" t="s">
        <v>1571</v>
      </c>
      <c r="V345" s="87"/>
      <c r="W345" s="88" t="s">
        <v>1571</v>
      </c>
      <c r="X345" s="249" t="s">
        <v>4851</v>
      </c>
      <c r="Y345" s="88"/>
      <c r="Z345" s="250"/>
      <c r="AA345" s="87" t="s">
        <v>2247</v>
      </c>
      <c r="AB345" s="250" t="s">
        <v>2090</v>
      </c>
      <c r="AC345" s="250"/>
      <c r="AD345" s="250"/>
      <c r="AE345" s="87"/>
      <c r="AF345" s="88" t="s">
        <v>4638</v>
      </c>
      <c r="AG345" s="88" t="s">
        <v>2104</v>
      </c>
      <c r="AH345" s="88"/>
      <c r="AI345" s="224" t="s">
        <v>2248</v>
      </c>
      <c r="AJ345" s="225">
        <v>1</v>
      </c>
      <c r="AK345" s="224" t="s">
        <v>2107</v>
      </c>
      <c r="AL345" s="224" t="s">
        <v>2249</v>
      </c>
      <c r="AM345" s="224" t="s">
        <v>2217</v>
      </c>
      <c r="AN345" s="224" t="s">
        <v>2250</v>
      </c>
    </row>
    <row r="346" spans="1:40" s="86" customFormat="1" ht="59.25" customHeight="1">
      <c r="A346" s="402">
        <v>302825</v>
      </c>
      <c r="B346" s="89" t="s">
        <v>730</v>
      </c>
      <c r="C346" s="89" t="s">
        <v>361</v>
      </c>
      <c r="D346" s="88">
        <v>21604</v>
      </c>
      <c r="E346" s="88" t="s">
        <v>731</v>
      </c>
      <c r="F346" s="88" t="s">
        <v>47</v>
      </c>
      <c r="G346" s="88"/>
      <c r="H346" s="88" t="s">
        <v>591</v>
      </c>
      <c r="I346" s="88" t="s">
        <v>40</v>
      </c>
      <c r="J346" s="89" t="s">
        <v>5282</v>
      </c>
      <c r="K346" s="103" t="s">
        <v>1402</v>
      </c>
      <c r="L346" s="403" t="s">
        <v>26</v>
      </c>
      <c r="M346" s="199">
        <v>45412</v>
      </c>
      <c r="N346" s="105">
        <v>44673</v>
      </c>
      <c r="O346" s="105"/>
      <c r="P346" s="203" t="s">
        <v>4204</v>
      </c>
      <c r="Q346" s="203" t="s">
        <v>1820</v>
      </c>
      <c r="R346" s="203"/>
      <c r="S346" s="203"/>
      <c r="T346" s="87" t="s">
        <v>4532</v>
      </c>
      <c r="U346" s="87" t="s">
        <v>1571</v>
      </c>
      <c r="V346" s="87"/>
      <c r="W346" s="88" t="s">
        <v>1571</v>
      </c>
      <c r="X346" s="249" t="s">
        <v>3960</v>
      </c>
      <c r="Y346" s="88"/>
      <c r="Z346" s="250"/>
      <c r="AA346" s="87" t="s">
        <v>2220</v>
      </c>
      <c r="AB346" s="250" t="s">
        <v>2072</v>
      </c>
      <c r="AC346" s="250"/>
      <c r="AD346" s="250"/>
      <c r="AE346" s="87"/>
      <c r="AF346" s="88" t="s">
        <v>5282</v>
      </c>
      <c r="AG346" s="88" t="s">
        <v>2073</v>
      </c>
      <c r="AH346" s="88" t="s">
        <v>2074</v>
      </c>
      <c r="AI346" s="224"/>
      <c r="AJ346" s="225">
        <v>2</v>
      </c>
      <c r="AK346" s="224" t="s">
        <v>2076</v>
      </c>
      <c r="AL346" s="224" t="s">
        <v>2221</v>
      </c>
      <c r="AM346" s="224" t="s">
        <v>2077</v>
      </c>
      <c r="AN346" s="224"/>
    </row>
    <row r="347" spans="1:40" s="86" customFormat="1" ht="59.25" customHeight="1">
      <c r="A347" s="402">
        <v>302990</v>
      </c>
      <c r="B347" s="89" t="s">
        <v>1269</v>
      </c>
      <c r="C347" s="89" t="s">
        <v>1270</v>
      </c>
      <c r="D347" s="88">
        <v>1480</v>
      </c>
      <c r="E347" s="88" t="s">
        <v>1271</v>
      </c>
      <c r="F347" s="88" t="s">
        <v>47</v>
      </c>
      <c r="G347" s="88"/>
      <c r="H347" s="88" t="s">
        <v>591</v>
      </c>
      <c r="I347" s="88" t="s">
        <v>685</v>
      </c>
      <c r="J347" s="89" t="s">
        <v>1421</v>
      </c>
      <c r="K347" s="103" t="s">
        <v>1233</v>
      </c>
      <c r="L347" s="403" t="s">
        <v>26</v>
      </c>
      <c r="M347" s="199">
        <v>45291</v>
      </c>
      <c r="N347" s="105">
        <v>44551</v>
      </c>
      <c r="O347" s="105"/>
      <c r="P347" s="203" t="s">
        <v>1272</v>
      </c>
      <c r="Q347" s="203"/>
      <c r="R347" s="203"/>
      <c r="S347" s="203" t="s">
        <v>4379</v>
      </c>
      <c r="T347" s="87" t="s">
        <v>1559</v>
      </c>
      <c r="U347" s="87" t="s">
        <v>1574</v>
      </c>
      <c r="V347" s="87"/>
      <c r="W347" s="88" t="s">
        <v>1568</v>
      </c>
      <c r="X347" s="249" t="s">
        <v>3962</v>
      </c>
      <c r="Y347" s="88"/>
      <c r="Z347" s="250"/>
      <c r="AA347" s="87" t="s">
        <v>1269</v>
      </c>
      <c r="AB347" s="250" t="s">
        <v>2120</v>
      </c>
      <c r="AC347" s="250" t="s">
        <v>2150</v>
      </c>
      <c r="AD347" s="250"/>
      <c r="AE347" s="87"/>
      <c r="AF347" s="88" t="s">
        <v>1421</v>
      </c>
      <c r="AG347" s="88" t="s">
        <v>2120</v>
      </c>
      <c r="AH347" s="88"/>
      <c r="AI347" s="224"/>
      <c r="AJ347" s="225">
        <v>2</v>
      </c>
      <c r="AK347" s="224" t="s">
        <v>2107</v>
      </c>
      <c r="AL347" s="224" t="s">
        <v>2433</v>
      </c>
      <c r="AM347" s="224" t="s">
        <v>2152</v>
      </c>
      <c r="AN347" s="224" t="s">
        <v>2434</v>
      </c>
    </row>
    <row r="348" spans="1:40" s="86" customFormat="1" ht="59.25" customHeight="1">
      <c r="A348" s="404">
        <v>303127</v>
      </c>
      <c r="B348" s="89" t="s">
        <v>1130</v>
      </c>
      <c r="C348" s="89" t="s">
        <v>1093</v>
      </c>
      <c r="D348" s="88" t="s">
        <v>1092</v>
      </c>
      <c r="E348" s="88" t="s">
        <v>1131</v>
      </c>
      <c r="F348" s="88" t="s">
        <v>45</v>
      </c>
      <c r="G348" s="88"/>
      <c r="H348" s="88" t="s">
        <v>591</v>
      </c>
      <c r="I348" s="88" t="s">
        <v>43</v>
      </c>
      <c r="J348" s="89" t="s">
        <v>1421</v>
      </c>
      <c r="K348" s="103" t="s">
        <v>1233</v>
      </c>
      <c r="L348" s="405" t="s">
        <v>27</v>
      </c>
      <c r="M348" s="199">
        <v>44834</v>
      </c>
      <c r="N348" s="105">
        <v>44650</v>
      </c>
      <c r="O348" s="105"/>
      <c r="P348" s="203" t="s">
        <v>4913</v>
      </c>
      <c r="Q348" s="203" t="s">
        <v>1821</v>
      </c>
      <c r="R348" s="203"/>
      <c r="S348" s="203"/>
      <c r="T348" s="87"/>
      <c r="U348" s="87"/>
      <c r="V348" s="87"/>
      <c r="W348" s="88"/>
      <c r="X348" s="249"/>
      <c r="Y348" s="88"/>
      <c r="Z348" s="250"/>
      <c r="AA348" s="87" t="s">
        <v>2435</v>
      </c>
      <c r="AB348" s="250" t="s">
        <v>2090</v>
      </c>
      <c r="AC348" s="250"/>
      <c r="AD348" s="250"/>
      <c r="AE348" s="87"/>
      <c r="AF348" s="88" t="s">
        <v>1421</v>
      </c>
      <c r="AG348" s="88" t="s">
        <v>2269</v>
      </c>
      <c r="AH348" s="88"/>
      <c r="AI348" s="224"/>
      <c r="AJ348" s="225">
        <v>3</v>
      </c>
      <c r="AK348" s="224" t="s">
        <v>2107</v>
      </c>
      <c r="AL348" s="224" t="s">
        <v>2436</v>
      </c>
      <c r="AM348" s="224" t="s">
        <v>2326</v>
      </c>
      <c r="AN348" s="224" t="s">
        <v>2437</v>
      </c>
    </row>
    <row r="349" spans="1:40" s="86" customFormat="1" ht="59.25" customHeight="1">
      <c r="A349" s="402">
        <v>303386</v>
      </c>
      <c r="B349" s="89" t="s">
        <v>567</v>
      </c>
      <c r="C349" s="89" t="s">
        <v>568</v>
      </c>
      <c r="D349" s="88">
        <v>91311</v>
      </c>
      <c r="E349" s="88" t="s">
        <v>569</v>
      </c>
      <c r="F349" s="88" t="s">
        <v>51</v>
      </c>
      <c r="G349" s="88">
        <v>45934</v>
      </c>
      <c r="H349" s="88" t="s">
        <v>591</v>
      </c>
      <c r="I349" s="88" t="s">
        <v>40</v>
      </c>
      <c r="J349" s="89" t="s">
        <v>786</v>
      </c>
      <c r="K349" s="103" t="s">
        <v>1402</v>
      </c>
      <c r="L349" s="403" t="s">
        <v>26</v>
      </c>
      <c r="M349" s="199">
        <v>45565</v>
      </c>
      <c r="N349" s="105">
        <v>44467</v>
      </c>
      <c r="O349" s="105"/>
      <c r="P349" s="203" t="s">
        <v>5618</v>
      </c>
      <c r="Q349" s="203" t="s">
        <v>4585</v>
      </c>
      <c r="R349" s="203"/>
      <c r="S349" s="203"/>
      <c r="T349" s="87" t="s">
        <v>5094</v>
      </c>
      <c r="U349" s="87" t="s">
        <v>1571</v>
      </c>
      <c r="V349" s="87"/>
      <c r="W349" s="88" t="s">
        <v>1571</v>
      </c>
      <c r="X349" s="249" t="s">
        <v>3964</v>
      </c>
      <c r="Y349" s="88"/>
      <c r="Z349" s="250"/>
      <c r="AA349" s="87" t="s">
        <v>2416</v>
      </c>
      <c r="AB349" s="250" t="s">
        <v>2072</v>
      </c>
      <c r="AC349" s="250"/>
      <c r="AD349" s="250"/>
      <c r="AE349" s="87"/>
      <c r="AF349" s="88" t="s">
        <v>786</v>
      </c>
      <c r="AG349" s="88" t="s">
        <v>2073</v>
      </c>
      <c r="AH349" s="88" t="s">
        <v>2116</v>
      </c>
      <c r="AI349" s="224"/>
      <c r="AJ349" s="225">
        <v>4</v>
      </c>
      <c r="AK349" s="224" t="s">
        <v>2085</v>
      </c>
      <c r="AL349" s="224" t="s">
        <v>2417</v>
      </c>
      <c r="AM349" s="224"/>
      <c r="AN349" s="224"/>
    </row>
    <row r="350" spans="1:40" s="86" customFormat="1" ht="59.25" customHeight="1">
      <c r="A350" s="402">
        <v>303561</v>
      </c>
      <c r="B350" s="89" t="s">
        <v>1212</v>
      </c>
      <c r="C350" s="89" t="s">
        <v>1213</v>
      </c>
      <c r="D350" s="88">
        <v>26600</v>
      </c>
      <c r="E350" s="88" t="s">
        <v>1214</v>
      </c>
      <c r="F350" s="88" t="s">
        <v>47</v>
      </c>
      <c r="G350" s="88" t="s">
        <v>1021</v>
      </c>
      <c r="H350" s="88" t="s">
        <v>591</v>
      </c>
      <c r="I350" s="88" t="s">
        <v>40</v>
      </c>
      <c r="J350" s="89" t="s">
        <v>5281</v>
      </c>
      <c r="K350" s="103" t="s">
        <v>1402</v>
      </c>
      <c r="L350" s="403" t="s">
        <v>26</v>
      </c>
      <c r="M350" s="199">
        <v>45443</v>
      </c>
      <c r="N350" s="105">
        <v>44697</v>
      </c>
      <c r="O350" s="105"/>
      <c r="P350" s="203" t="s">
        <v>4317</v>
      </c>
      <c r="Q350" s="203" t="s">
        <v>1822</v>
      </c>
      <c r="R350" s="203" t="s">
        <v>2009</v>
      </c>
      <c r="S350" s="203"/>
      <c r="T350" s="87" t="s">
        <v>5827</v>
      </c>
      <c r="U350" s="87" t="s">
        <v>1569</v>
      </c>
      <c r="V350" s="87"/>
      <c r="W350" s="88" t="s">
        <v>1568</v>
      </c>
      <c r="X350" s="249" t="s">
        <v>3966</v>
      </c>
      <c r="Y350" s="88"/>
      <c r="Z350" s="250"/>
      <c r="AA350" s="87" t="s">
        <v>2438</v>
      </c>
      <c r="AB350" s="250" t="s">
        <v>2072</v>
      </c>
      <c r="AC350" s="250"/>
      <c r="AD350" s="250"/>
      <c r="AE350" s="87"/>
      <c r="AF350" s="88" t="s">
        <v>5281</v>
      </c>
      <c r="AG350" s="88" t="s">
        <v>2073</v>
      </c>
      <c r="AH350" s="88" t="s">
        <v>2093</v>
      </c>
      <c r="AI350" s="224"/>
      <c r="AJ350" s="225">
        <v>3</v>
      </c>
      <c r="AK350" s="224" t="s">
        <v>2085</v>
      </c>
      <c r="AL350" s="224" t="s">
        <v>2439</v>
      </c>
      <c r="AM350" s="224"/>
      <c r="AN350" s="224"/>
    </row>
    <row r="351" spans="1:40" s="86" customFormat="1" ht="59.25" customHeight="1">
      <c r="A351" s="402">
        <v>304445</v>
      </c>
      <c r="B351" s="89" t="s">
        <v>1297</v>
      </c>
      <c r="C351" s="89" t="s">
        <v>1298</v>
      </c>
      <c r="D351" s="88" t="s">
        <v>1299</v>
      </c>
      <c r="E351" s="88" t="s">
        <v>1300</v>
      </c>
      <c r="F351" s="88" t="s">
        <v>779</v>
      </c>
      <c r="G351" s="88" t="s">
        <v>1301</v>
      </c>
      <c r="H351" s="88" t="s">
        <v>591</v>
      </c>
      <c r="I351" s="88" t="s">
        <v>40</v>
      </c>
      <c r="J351" s="89" t="s">
        <v>5282</v>
      </c>
      <c r="K351" s="103" t="s">
        <v>1402</v>
      </c>
      <c r="L351" s="403" t="s">
        <v>26</v>
      </c>
      <c r="M351" s="199">
        <v>45382</v>
      </c>
      <c r="N351" s="105">
        <v>44735</v>
      </c>
      <c r="O351" s="105"/>
      <c r="P351" s="203" t="s">
        <v>5464</v>
      </c>
      <c r="Q351" s="203" t="s">
        <v>1823</v>
      </c>
      <c r="R351" s="203" t="s">
        <v>2010</v>
      </c>
      <c r="S351" s="203"/>
      <c r="T351" s="87" t="s">
        <v>5828</v>
      </c>
      <c r="U351" s="87" t="s">
        <v>1573</v>
      </c>
      <c r="V351" s="87"/>
      <c r="W351" s="88" t="s">
        <v>1571</v>
      </c>
      <c r="X351" s="249" t="s">
        <v>4639</v>
      </c>
      <c r="Y351" s="88"/>
      <c r="Z351" s="250"/>
      <c r="AA351" s="87" t="s">
        <v>2218</v>
      </c>
      <c r="AB351" s="250" t="s">
        <v>2072</v>
      </c>
      <c r="AC351" s="250"/>
      <c r="AD351" s="250"/>
      <c r="AE351" s="87"/>
      <c r="AF351" s="88" t="s">
        <v>4441</v>
      </c>
      <c r="AG351" s="88" t="s">
        <v>2073</v>
      </c>
      <c r="AH351" s="88" t="s">
        <v>2074</v>
      </c>
      <c r="AI351" s="224" t="s">
        <v>2075</v>
      </c>
      <c r="AJ351" s="225">
        <v>3</v>
      </c>
      <c r="AK351" s="224" t="s">
        <v>2076</v>
      </c>
      <c r="AL351" s="224" t="s">
        <v>2219</v>
      </c>
      <c r="AM351" s="224" t="s">
        <v>2077</v>
      </c>
      <c r="AN351" s="224"/>
    </row>
    <row r="352" spans="1:40" s="86" customFormat="1" ht="59.25" customHeight="1">
      <c r="A352" s="402">
        <v>304473</v>
      </c>
      <c r="B352" s="89" t="s">
        <v>1364</v>
      </c>
      <c r="C352" s="89" t="s">
        <v>1365</v>
      </c>
      <c r="D352" s="88" t="s">
        <v>1366</v>
      </c>
      <c r="E352" s="88" t="s">
        <v>1367</v>
      </c>
      <c r="F352" s="88" t="s">
        <v>51</v>
      </c>
      <c r="G352" s="88" t="s">
        <v>1368</v>
      </c>
      <c r="H352" s="88" t="s">
        <v>591</v>
      </c>
      <c r="I352" s="88" t="s">
        <v>40</v>
      </c>
      <c r="J352" s="89" t="s">
        <v>5279</v>
      </c>
      <c r="K352" s="103" t="s">
        <v>1233</v>
      </c>
      <c r="L352" s="403" t="s">
        <v>26</v>
      </c>
      <c r="M352" s="199">
        <v>45229</v>
      </c>
      <c r="N352" s="105">
        <v>44679</v>
      </c>
      <c r="O352" s="105"/>
      <c r="P352" s="203" t="s">
        <v>6057</v>
      </c>
      <c r="Q352" s="203" t="s">
        <v>1824</v>
      </c>
      <c r="R352" s="203"/>
      <c r="S352" s="203"/>
      <c r="T352" s="87" t="s">
        <v>1560</v>
      </c>
      <c r="U352" s="87" t="s">
        <v>1568</v>
      </c>
      <c r="V352" s="87"/>
      <c r="W352" s="88" t="s">
        <v>1568</v>
      </c>
      <c r="X352" s="249" t="s">
        <v>3968</v>
      </c>
      <c r="Y352" s="88"/>
      <c r="Z352" s="250" t="s">
        <v>2054</v>
      </c>
      <c r="AA352" s="87" t="s">
        <v>2161</v>
      </c>
      <c r="AB352" s="250" t="s">
        <v>2079</v>
      </c>
      <c r="AC352" s="250" t="s">
        <v>2440</v>
      </c>
      <c r="AD352" s="250"/>
      <c r="AE352" s="87" t="s">
        <v>2054</v>
      </c>
      <c r="AF352" s="88" t="s">
        <v>5279</v>
      </c>
      <c r="AG352" s="88" t="s">
        <v>2073</v>
      </c>
      <c r="AH352" s="88" t="s">
        <v>2074</v>
      </c>
      <c r="AI352" s="224" t="s">
        <v>2075</v>
      </c>
      <c r="AJ352" s="225">
        <v>2</v>
      </c>
      <c r="AK352" s="224" t="s">
        <v>2076</v>
      </c>
      <c r="AL352" s="224" t="s">
        <v>2162</v>
      </c>
      <c r="AM352" s="224" t="s">
        <v>2099</v>
      </c>
      <c r="AN352" s="224" t="s">
        <v>2163</v>
      </c>
    </row>
    <row r="353" spans="1:40" s="86" customFormat="1" ht="59.25" customHeight="1">
      <c r="A353" s="402">
        <v>305007</v>
      </c>
      <c r="B353" s="89" t="s">
        <v>570</v>
      </c>
      <c r="C353" s="89" t="s">
        <v>571</v>
      </c>
      <c r="D353" s="88" t="s">
        <v>572</v>
      </c>
      <c r="E353" s="88" t="s">
        <v>265</v>
      </c>
      <c r="F353" s="88" t="s">
        <v>107</v>
      </c>
      <c r="G353" s="88">
        <v>38101</v>
      </c>
      <c r="H353" s="88" t="s">
        <v>591</v>
      </c>
      <c r="I353" s="88" t="s">
        <v>40</v>
      </c>
      <c r="J353" s="89" t="s">
        <v>1277</v>
      </c>
      <c r="K353" s="103" t="s">
        <v>1233</v>
      </c>
      <c r="L353" s="403" t="s">
        <v>26</v>
      </c>
      <c r="M353" s="199">
        <v>45504</v>
      </c>
      <c r="N353" s="105">
        <v>44404</v>
      </c>
      <c r="O353" s="105"/>
      <c r="P353" s="203" t="s">
        <v>4595</v>
      </c>
      <c r="Q353" s="203" t="s">
        <v>4596</v>
      </c>
      <c r="R353" s="203"/>
      <c r="S353" s="203"/>
      <c r="T353" s="87" t="s">
        <v>4717</v>
      </c>
      <c r="U353" s="87" t="s">
        <v>1568</v>
      </c>
      <c r="V353" s="87"/>
      <c r="W353" s="88" t="s">
        <v>1568</v>
      </c>
      <c r="X353" s="249" t="s">
        <v>4690</v>
      </c>
      <c r="Y353" s="88"/>
      <c r="Z353" s="250" t="s">
        <v>2055</v>
      </c>
      <c r="AA353" s="87" t="s">
        <v>2164</v>
      </c>
      <c r="AB353" s="250" t="s">
        <v>2079</v>
      </c>
      <c r="AC353" s="250" t="s">
        <v>2441</v>
      </c>
      <c r="AD353" s="250"/>
      <c r="AE353" s="87" t="s">
        <v>2055</v>
      </c>
      <c r="AF353" s="88" t="s">
        <v>1277</v>
      </c>
      <c r="AG353" s="88" t="s">
        <v>2073</v>
      </c>
      <c r="AH353" s="88" t="s">
        <v>2093</v>
      </c>
      <c r="AI353" s="224"/>
      <c r="AJ353" s="225">
        <v>4</v>
      </c>
      <c r="AK353" s="224" t="s">
        <v>2085</v>
      </c>
      <c r="AL353" s="224" t="s">
        <v>2165</v>
      </c>
      <c r="AM353" s="224" t="s">
        <v>2087</v>
      </c>
      <c r="AN353" s="224"/>
    </row>
    <row r="354" spans="1:40" s="86" customFormat="1" ht="59.25" customHeight="1">
      <c r="A354" s="402">
        <v>305015</v>
      </c>
      <c r="B354" s="89" t="s">
        <v>4553</v>
      </c>
      <c r="C354" s="89" t="s">
        <v>4554</v>
      </c>
      <c r="D354" s="88">
        <v>92231</v>
      </c>
      <c r="E354" s="88" t="s">
        <v>4538</v>
      </c>
      <c r="F354" s="88" t="s">
        <v>51</v>
      </c>
      <c r="G354" s="88"/>
      <c r="H354" s="88" t="s">
        <v>591</v>
      </c>
      <c r="I354" s="88" t="s">
        <v>737</v>
      </c>
      <c r="J354" s="89" t="s">
        <v>5280</v>
      </c>
      <c r="K354" s="103" t="s">
        <v>1233</v>
      </c>
      <c r="L354" s="403" t="s">
        <v>26</v>
      </c>
      <c r="M354" s="199">
        <v>45382</v>
      </c>
      <c r="N354" s="105">
        <v>44467</v>
      </c>
      <c r="O354" s="105"/>
      <c r="P354" s="203"/>
      <c r="Q354" s="203"/>
      <c r="R354" s="203"/>
      <c r="S354" s="203"/>
      <c r="T354" s="87" t="s">
        <v>4719</v>
      </c>
      <c r="U354" s="87" t="s">
        <v>1568</v>
      </c>
      <c r="V354" s="87"/>
      <c r="W354" s="88" t="s">
        <v>1568</v>
      </c>
      <c r="X354" s="249" t="s">
        <v>4723</v>
      </c>
      <c r="Y354" s="88"/>
      <c r="Z354" s="250"/>
      <c r="AA354" s="87"/>
      <c r="AB354" s="250"/>
      <c r="AC354" s="250"/>
      <c r="AD354" s="250"/>
      <c r="AE354" s="87"/>
      <c r="AF354" s="88"/>
      <c r="AG354" s="88"/>
      <c r="AH354" s="88"/>
      <c r="AI354" s="224"/>
      <c r="AJ354" s="225"/>
      <c r="AK354" s="224"/>
      <c r="AL354" s="224"/>
      <c r="AM354" s="224"/>
      <c r="AN354" s="224"/>
    </row>
    <row r="355" spans="1:40" s="86" customFormat="1" ht="59.25" customHeight="1">
      <c r="A355" s="402">
        <v>305252</v>
      </c>
      <c r="B355" s="89" t="s">
        <v>1460</v>
      </c>
      <c r="C355" s="89" t="s">
        <v>573</v>
      </c>
      <c r="D355" s="88">
        <v>797552</v>
      </c>
      <c r="E355" s="88" t="s">
        <v>336</v>
      </c>
      <c r="F355" s="88" t="s">
        <v>337</v>
      </c>
      <c r="G355" s="88" t="s">
        <v>1417</v>
      </c>
      <c r="H355" s="88" t="s">
        <v>591</v>
      </c>
      <c r="I355" s="88" t="s">
        <v>40</v>
      </c>
      <c r="J355" s="89" t="s">
        <v>5283</v>
      </c>
      <c r="K355" s="103" t="s">
        <v>1233</v>
      </c>
      <c r="L355" s="403" t="s">
        <v>26</v>
      </c>
      <c r="M355" s="199">
        <v>45230</v>
      </c>
      <c r="N355" s="105">
        <v>44316</v>
      </c>
      <c r="O355" s="105"/>
      <c r="P355" s="203" t="s">
        <v>5619</v>
      </c>
      <c r="Q355" s="203" t="s">
        <v>1825</v>
      </c>
      <c r="R355" s="203"/>
      <c r="S355" s="203"/>
      <c r="T355" s="87" t="s">
        <v>5829</v>
      </c>
      <c r="U355" s="87" t="s">
        <v>1571</v>
      </c>
      <c r="V355" s="87"/>
      <c r="W355" s="88" t="s">
        <v>1571</v>
      </c>
      <c r="X355" s="249" t="s">
        <v>3969</v>
      </c>
      <c r="Y355" s="88"/>
      <c r="Z355" s="250"/>
      <c r="AA355" s="87" t="s">
        <v>2141</v>
      </c>
      <c r="AB355" s="250" t="s">
        <v>2072</v>
      </c>
      <c r="AC355" s="250"/>
      <c r="AD355" s="250"/>
      <c r="AE355" s="87"/>
      <c r="AF355" s="88" t="s">
        <v>5283</v>
      </c>
      <c r="AG355" s="88" t="s">
        <v>2073</v>
      </c>
      <c r="AH355" s="88" t="s">
        <v>2074</v>
      </c>
      <c r="AI355" s="224"/>
      <c r="AJ355" s="225">
        <v>2</v>
      </c>
      <c r="AK355" s="224" t="s">
        <v>2076</v>
      </c>
      <c r="AL355" s="224" t="s">
        <v>2496</v>
      </c>
      <c r="AM355" s="224" t="s">
        <v>2099</v>
      </c>
      <c r="AN355" s="224" t="s">
        <v>2142</v>
      </c>
    </row>
    <row r="356" spans="1:40" s="86" customFormat="1" ht="59.25" customHeight="1">
      <c r="A356" s="402">
        <v>306044</v>
      </c>
      <c r="B356" s="89" t="s">
        <v>574</v>
      </c>
      <c r="C356" s="89" t="s">
        <v>575</v>
      </c>
      <c r="D356" s="88">
        <v>499622</v>
      </c>
      <c r="E356" s="88" t="s">
        <v>336</v>
      </c>
      <c r="F356" s="88" t="s">
        <v>337</v>
      </c>
      <c r="G356" s="88" t="s">
        <v>1023</v>
      </c>
      <c r="H356" s="88" t="s">
        <v>591</v>
      </c>
      <c r="I356" s="88" t="s">
        <v>40</v>
      </c>
      <c r="J356" s="89" t="s">
        <v>5278</v>
      </c>
      <c r="K356" s="103" t="s">
        <v>1402</v>
      </c>
      <c r="L356" s="403" t="s">
        <v>26</v>
      </c>
      <c r="M356" s="199">
        <v>45199</v>
      </c>
      <c r="N356" s="105">
        <v>44648</v>
      </c>
      <c r="O356" s="105"/>
      <c r="P356" s="203" t="s">
        <v>5071</v>
      </c>
      <c r="Q356" s="203" t="s">
        <v>1826</v>
      </c>
      <c r="R356" s="203"/>
      <c r="S356" s="203"/>
      <c r="T356" s="87" t="s">
        <v>1561</v>
      </c>
      <c r="U356" s="87" t="s">
        <v>1571</v>
      </c>
      <c r="V356" s="87"/>
      <c r="W356" s="88" t="s">
        <v>1571</v>
      </c>
      <c r="X356" s="249" t="s">
        <v>3971</v>
      </c>
      <c r="Y356" s="88"/>
      <c r="Z356" s="250" t="s">
        <v>2056</v>
      </c>
      <c r="AA356" s="87" t="s">
        <v>2071</v>
      </c>
      <c r="AB356" s="250" t="s">
        <v>2079</v>
      </c>
      <c r="AC356" s="250" t="s">
        <v>2442</v>
      </c>
      <c r="AD356" s="250"/>
      <c r="AE356" s="87" t="s">
        <v>2056</v>
      </c>
      <c r="AF356" s="88" t="s">
        <v>1336</v>
      </c>
      <c r="AG356" s="88" t="s">
        <v>2079</v>
      </c>
      <c r="AH356" s="88" t="s">
        <v>2074</v>
      </c>
      <c r="AI356" s="224" t="s">
        <v>2075</v>
      </c>
      <c r="AJ356" s="225">
        <v>2</v>
      </c>
      <c r="AK356" s="224" t="s">
        <v>2076</v>
      </c>
      <c r="AL356" s="224" t="s">
        <v>2495</v>
      </c>
      <c r="AM356" s="224" t="s">
        <v>2077</v>
      </c>
      <c r="AN356" s="224"/>
    </row>
    <row r="357" spans="1:40" s="86" customFormat="1" ht="59.25" customHeight="1">
      <c r="A357" s="402">
        <v>306131</v>
      </c>
      <c r="B357" s="89" t="s">
        <v>576</v>
      </c>
      <c r="C357" s="89" t="s">
        <v>577</v>
      </c>
      <c r="D357" s="88">
        <v>20160</v>
      </c>
      <c r="E357" s="88" t="s">
        <v>578</v>
      </c>
      <c r="F357" s="88" t="s">
        <v>452</v>
      </c>
      <c r="G357" s="88" t="s">
        <v>1024</v>
      </c>
      <c r="H357" s="88" t="s">
        <v>591</v>
      </c>
      <c r="I357" s="88" t="s">
        <v>40</v>
      </c>
      <c r="J357" s="89" t="s">
        <v>1288</v>
      </c>
      <c r="K357" s="103" t="s">
        <v>1402</v>
      </c>
      <c r="L357" s="403" t="s">
        <v>26</v>
      </c>
      <c r="M357" s="199">
        <v>45230</v>
      </c>
      <c r="N357" s="105">
        <v>44490</v>
      </c>
      <c r="O357" s="105"/>
      <c r="P357" s="203" t="s">
        <v>5620</v>
      </c>
      <c r="Q357" s="203" t="s">
        <v>1827</v>
      </c>
      <c r="R357" s="203"/>
      <c r="S357" s="203"/>
      <c r="T357" s="87" t="s">
        <v>5830</v>
      </c>
      <c r="U357" s="87" t="s">
        <v>1571</v>
      </c>
      <c r="V357" s="87"/>
      <c r="W357" s="88" t="s">
        <v>1571</v>
      </c>
      <c r="X357" s="249" t="s">
        <v>3973</v>
      </c>
      <c r="Y357" s="88"/>
      <c r="Z357" s="250"/>
      <c r="AA357" s="87" t="s">
        <v>2443</v>
      </c>
      <c r="AB357" s="250" t="s">
        <v>2090</v>
      </c>
      <c r="AC357" s="250"/>
      <c r="AD357" s="250"/>
      <c r="AE357" s="87"/>
      <c r="AF357" s="88" t="s">
        <v>1288</v>
      </c>
      <c r="AG357" s="88" t="s">
        <v>2090</v>
      </c>
      <c r="AH357" s="88" t="s">
        <v>2137</v>
      </c>
      <c r="AI357" s="224"/>
      <c r="AJ357" s="225">
        <v>2</v>
      </c>
      <c r="AK357" s="224" t="s">
        <v>2107</v>
      </c>
      <c r="AL357" s="224" t="s">
        <v>2444</v>
      </c>
      <c r="AM357" s="224" t="s">
        <v>2099</v>
      </c>
      <c r="AN357" s="224"/>
    </row>
    <row r="358" spans="1:40" s="86" customFormat="1" ht="59.25" customHeight="1">
      <c r="A358" s="402">
        <v>306148</v>
      </c>
      <c r="B358" s="89" t="s">
        <v>1326</v>
      </c>
      <c r="C358" s="89" t="s">
        <v>579</v>
      </c>
      <c r="D358" s="88">
        <v>16730</v>
      </c>
      <c r="E358" s="88" t="s">
        <v>580</v>
      </c>
      <c r="F358" s="88" t="s">
        <v>47</v>
      </c>
      <c r="G358" s="88" t="s">
        <v>1025</v>
      </c>
      <c r="H358" s="88" t="s">
        <v>591</v>
      </c>
      <c r="I358" s="88" t="s">
        <v>40</v>
      </c>
      <c r="J358" s="89" t="s">
        <v>5280</v>
      </c>
      <c r="K358" s="103" t="s">
        <v>1233</v>
      </c>
      <c r="L358" s="403" t="s">
        <v>26</v>
      </c>
      <c r="M358" s="199">
        <v>45382</v>
      </c>
      <c r="N358" s="105">
        <v>44467</v>
      </c>
      <c r="O358" s="105"/>
      <c r="P358" s="203" t="s">
        <v>5465</v>
      </c>
      <c r="Q358" s="203" t="s">
        <v>1828</v>
      </c>
      <c r="R358" s="203"/>
      <c r="S358" s="203"/>
      <c r="T358" s="87" t="s">
        <v>4574</v>
      </c>
      <c r="U358" s="87" t="s">
        <v>1568</v>
      </c>
      <c r="V358" s="87"/>
      <c r="W358" s="88" t="s">
        <v>1568</v>
      </c>
      <c r="X358" s="249" t="s">
        <v>3975</v>
      </c>
      <c r="Y358" s="88"/>
      <c r="Z358" s="250" t="s">
        <v>4752</v>
      </c>
      <c r="AA358" s="87" t="s">
        <v>1265</v>
      </c>
      <c r="AB358" s="250" t="s">
        <v>2079</v>
      </c>
      <c r="AC358" s="250" t="s">
        <v>2445</v>
      </c>
      <c r="AD358" s="250"/>
      <c r="AE358" s="87" t="s">
        <v>4752</v>
      </c>
      <c r="AF358" s="88" t="s">
        <v>5280</v>
      </c>
      <c r="AG358" s="88" t="s">
        <v>2073</v>
      </c>
      <c r="AH358" s="88" t="s">
        <v>2074</v>
      </c>
      <c r="AI358" s="224"/>
      <c r="AJ358" s="225">
        <v>3</v>
      </c>
      <c r="AK358" s="224" t="s">
        <v>2076</v>
      </c>
      <c r="AL358" s="224" t="s">
        <v>4875</v>
      </c>
      <c r="AM358" s="224" t="s">
        <v>2077</v>
      </c>
      <c r="AN358" s="224"/>
    </row>
    <row r="359" spans="1:40" s="86" customFormat="1" ht="59.25" customHeight="1">
      <c r="A359" s="402">
        <v>306307</v>
      </c>
      <c r="B359" s="89" t="s">
        <v>1184</v>
      </c>
      <c r="C359" s="89" t="s">
        <v>1185</v>
      </c>
      <c r="D359" s="88">
        <v>91355</v>
      </c>
      <c r="E359" s="88" t="s">
        <v>1186</v>
      </c>
      <c r="F359" s="88" t="s">
        <v>51</v>
      </c>
      <c r="G359" s="88">
        <v>99240</v>
      </c>
      <c r="H359" s="88" t="s">
        <v>591</v>
      </c>
      <c r="I359" s="88" t="s">
        <v>40</v>
      </c>
      <c r="J359" s="89" t="s">
        <v>1277</v>
      </c>
      <c r="K359" s="103" t="s">
        <v>1233</v>
      </c>
      <c r="L359" s="403" t="s">
        <v>26</v>
      </c>
      <c r="M359" s="199">
        <v>45473</v>
      </c>
      <c r="N359" s="105">
        <v>44363</v>
      </c>
      <c r="O359" s="105"/>
      <c r="P359" s="203" t="s">
        <v>5466</v>
      </c>
      <c r="Q359" s="203" t="s">
        <v>1829</v>
      </c>
      <c r="R359" s="203" t="s">
        <v>2011</v>
      </c>
      <c r="S359" s="203"/>
      <c r="T359" s="87" t="s">
        <v>4368</v>
      </c>
      <c r="U359" s="87" t="s">
        <v>1569</v>
      </c>
      <c r="V359" s="87"/>
      <c r="W359" s="88" t="s">
        <v>1568</v>
      </c>
      <c r="X359" s="249" t="s">
        <v>3976</v>
      </c>
      <c r="Y359" s="88" t="s">
        <v>2034</v>
      </c>
      <c r="Z359" s="250"/>
      <c r="AA359" s="87" t="s">
        <v>1184</v>
      </c>
      <c r="AB359" s="250" t="s">
        <v>2072</v>
      </c>
      <c r="AC359" s="250"/>
      <c r="AD359" s="250"/>
      <c r="AE359" s="87"/>
      <c r="AF359" s="88" t="s">
        <v>1277</v>
      </c>
      <c r="AG359" s="88" t="s">
        <v>2073</v>
      </c>
      <c r="AH359" s="88"/>
      <c r="AI359" s="224"/>
      <c r="AJ359" s="225">
        <v>4</v>
      </c>
      <c r="AK359" s="224" t="s">
        <v>2085</v>
      </c>
      <c r="AL359" s="224" t="s">
        <v>2446</v>
      </c>
      <c r="AM359" s="224" t="s">
        <v>2087</v>
      </c>
      <c r="AN359" s="224" t="s">
        <v>2168</v>
      </c>
    </row>
    <row r="360" spans="1:40" s="86" customFormat="1" ht="59.25" customHeight="1">
      <c r="A360" s="402">
        <v>306387</v>
      </c>
      <c r="B360" s="89" t="s">
        <v>581</v>
      </c>
      <c r="C360" s="89" t="s">
        <v>507</v>
      </c>
      <c r="D360" s="88">
        <v>797553</v>
      </c>
      <c r="E360" s="88" t="s">
        <v>336</v>
      </c>
      <c r="F360" s="88" t="s">
        <v>337</v>
      </c>
      <c r="G360" s="88" t="s">
        <v>1026</v>
      </c>
      <c r="H360" s="88" t="s">
        <v>591</v>
      </c>
      <c r="I360" s="88" t="s">
        <v>40</v>
      </c>
      <c r="J360" s="89" t="s">
        <v>4638</v>
      </c>
      <c r="K360" s="103" t="s">
        <v>1233</v>
      </c>
      <c r="L360" s="403" t="s">
        <v>26</v>
      </c>
      <c r="M360" s="199">
        <v>45199</v>
      </c>
      <c r="N360" s="105">
        <v>44256</v>
      </c>
      <c r="O360" s="105"/>
      <c r="P360" s="203" t="s">
        <v>5621</v>
      </c>
      <c r="Q360" s="203" t="s">
        <v>1830</v>
      </c>
      <c r="R360" s="203"/>
      <c r="S360" s="203"/>
      <c r="T360" s="87" t="s">
        <v>4777</v>
      </c>
      <c r="U360" s="87" t="s">
        <v>1571</v>
      </c>
      <c r="V360" s="87"/>
      <c r="W360" s="88" t="s">
        <v>1571</v>
      </c>
      <c r="X360" s="249" t="s">
        <v>3977</v>
      </c>
      <c r="Y360" s="88"/>
      <c r="Z360" s="250"/>
      <c r="AA360" s="87" t="s">
        <v>2361</v>
      </c>
      <c r="AB360" s="250" t="s">
        <v>2072</v>
      </c>
      <c r="AC360" s="250"/>
      <c r="AD360" s="250"/>
      <c r="AE360" s="87"/>
      <c r="AF360" s="88" t="s">
        <v>4638</v>
      </c>
      <c r="AG360" s="88" t="s">
        <v>2073</v>
      </c>
      <c r="AH360" s="88" t="s">
        <v>2116</v>
      </c>
      <c r="AI360" s="224" t="s">
        <v>2075</v>
      </c>
      <c r="AJ360" s="225">
        <v>3</v>
      </c>
      <c r="AK360" s="224" t="s">
        <v>2076</v>
      </c>
      <c r="AL360" s="224" t="s">
        <v>2362</v>
      </c>
      <c r="AM360" s="224" t="s">
        <v>2077</v>
      </c>
      <c r="AN360" s="224" t="s">
        <v>2363</v>
      </c>
    </row>
    <row r="361" spans="1:40" s="86" customFormat="1" ht="59.25" customHeight="1">
      <c r="A361" s="402">
        <v>306393</v>
      </c>
      <c r="B361" s="89" t="s">
        <v>1027</v>
      </c>
      <c r="C361" s="89" t="s">
        <v>1028</v>
      </c>
      <c r="D361" s="88" t="s">
        <v>1029</v>
      </c>
      <c r="E361" s="88" t="s">
        <v>1030</v>
      </c>
      <c r="F361" s="88" t="s">
        <v>45</v>
      </c>
      <c r="G361" s="88" t="s">
        <v>1031</v>
      </c>
      <c r="H361" s="88" t="s">
        <v>591</v>
      </c>
      <c r="I361" s="88" t="s">
        <v>1114</v>
      </c>
      <c r="J361" s="89" t="s">
        <v>1288</v>
      </c>
      <c r="K361" s="103" t="s">
        <v>1402</v>
      </c>
      <c r="L361" s="403" t="s">
        <v>26</v>
      </c>
      <c r="M361" s="199">
        <v>45199</v>
      </c>
      <c r="N361" s="105">
        <v>44469</v>
      </c>
      <c r="O361" s="105"/>
      <c r="P361" s="203"/>
      <c r="Q361" s="203"/>
      <c r="R361" s="203"/>
      <c r="S361" s="203"/>
      <c r="T361" s="87" t="s">
        <v>5095</v>
      </c>
      <c r="U361" s="87" t="s">
        <v>1576</v>
      </c>
      <c r="V361" s="87"/>
      <c r="W361" s="88" t="s">
        <v>1576</v>
      </c>
      <c r="X361" s="249" t="s">
        <v>3979</v>
      </c>
      <c r="Y361" s="88"/>
      <c r="Z361" s="250"/>
      <c r="AA361" s="87" t="s">
        <v>2447</v>
      </c>
      <c r="AB361" s="250" t="s">
        <v>2128</v>
      </c>
      <c r="AC361" s="250" t="s">
        <v>2129</v>
      </c>
      <c r="AD361" s="250"/>
      <c r="AE361" s="87"/>
      <c r="AF361" s="88" t="s">
        <v>1288</v>
      </c>
      <c r="AG361" s="88" t="s">
        <v>2128</v>
      </c>
      <c r="AH361" s="88"/>
      <c r="AI361" s="224"/>
      <c r="AJ361" s="225">
        <v>1</v>
      </c>
      <c r="AK361" s="224" t="s">
        <v>2107</v>
      </c>
      <c r="AL361" s="224" t="s">
        <v>2448</v>
      </c>
      <c r="AM361" s="224" t="s">
        <v>2131</v>
      </c>
      <c r="AN361" s="224"/>
    </row>
    <row r="362" spans="1:40" s="86" customFormat="1" ht="59.25" customHeight="1">
      <c r="A362" s="402">
        <v>306704</v>
      </c>
      <c r="B362" s="89" t="s">
        <v>4670</v>
      </c>
      <c r="C362" s="89" t="s">
        <v>4671</v>
      </c>
      <c r="D362" s="88">
        <v>34070</v>
      </c>
      <c r="E362" s="88" t="s">
        <v>4341</v>
      </c>
      <c r="F362" s="88" t="s">
        <v>47</v>
      </c>
      <c r="G362" s="88" t="s">
        <v>4672</v>
      </c>
      <c r="H362" s="88" t="s">
        <v>591</v>
      </c>
      <c r="I362" s="88" t="s">
        <v>737</v>
      </c>
      <c r="J362" s="89" t="s">
        <v>4638</v>
      </c>
      <c r="K362" s="103" t="s">
        <v>5218</v>
      </c>
      <c r="L362" s="403" t="s">
        <v>26</v>
      </c>
      <c r="M362" s="199">
        <v>45260</v>
      </c>
      <c r="N362" s="105">
        <v>44712</v>
      </c>
      <c r="O362" s="105"/>
      <c r="P362" s="203"/>
      <c r="Q362" s="203"/>
      <c r="R362" s="203"/>
      <c r="S362" s="203"/>
      <c r="T362" s="87" t="s">
        <v>4778</v>
      </c>
      <c r="U362" s="87" t="s">
        <v>1571</v>
      </c>
      <c r="V362" s="87"/>
      <c r="W362" s="88" t="s">
        <v>1571</v>
      </c>
      <c r="X362" s="249" t="s">
        <v>3879</v>
      </c>
      <c r="Y362" s="88"/>
      <c r="Z362" s="250" t="s">
        <v>4680</v>
      </c>
      <c r="AA362" s="87"/>
      <c r="AB362" s="250"/>
      <c r="AC362" s="250"/>
      <c r="AD362" s="250"/>
      <c r="AE362" s="87"/>
      <c r="AF362" s="88"/>
      <c r="AG362" s="88"/>
      <c r="AH362" s="88"/>
      <c r="AI362" s="224"/>
      <c r="AJ362" s="225"/>
      <c r="AK362" s="224"/>
      <c r="AL362" s="224"/>
      <c r="AM362" s="224"/>
      <c r="AN362" s="224"/>
    </row>
    <row r="363" spans="1:40" s="86" customFormat="1" ht="59.25" customHeight="1">
      <c r="A363" s="402">
        <v>306731</v>
      </c>
      <c r="B363" s="89" t="s">
        <v>582</v>
      </c>
      <c r="C363" s="89" t="s">
        <v>583</v>
      </c>
      <c r="D363" s="88">
        <v>91761</v>
      </c>
      <c r="E363" s="88" t="s">
        <v>550</v>
      </c>
      <c r="F363" s="88" t="s">
        <v>51</v>
      </c>
      <c r="G363" s="88" t="s">
        <v>1032</v>
      </c>
      <c r="H363" s="88" t="s">
        <v>591</v>
      </c>
      <c r="I363" s="88" t="s">
        <v>40</v>
      </c>
      <c r="J363" s="89" t="s">
        <v>5450</v>
      </c>
      <c r="K363" s="103" t="s">
        <v>1233</v>
      </c>
      <c r="L363" s="403" t="s">
        <v>26</v>
      </c>
      <c r="M363" s="199">
        <v>45077</v>
      </c>
      <c r="N363" s="105">
        <v>44705</v>
      </c>
      <c r="O363" s="105"/>
      <c r="P363" s="203" t="s">
        <v>6058</v>
      </c>
      <c r="Q363" s="203" t="s">
        <v>1831</v>
      </c>
      <c r="R363" s="203"/>
      <c r="S363" s="203"/>
      <c r="T363" s="87" t="s">
        <v>5096</v>
      </c>
      <c r="U363" s="87" t="s">
        <v>1571</v>
      </c>
      <c r="V363" s="87"/>
      <c r="W363" s="88" t="s">
        <v>1571</v>
      </c>
      <c r="X363" s="249" t="s">
        <v>3982</v>
      </c>
      <c r="Y363" s="88"/>
      <c r="Z363" s="250" t="s">
        <v>2057</v>
      </c>
      <c r="AA363" s="87" t="s">
        <v>2132</v>
      </c>
      <c r="AB363" s="250" t="s">
        <v>2079</v>
      </c>
      <c r="AC363" s="250" t="s">
        <v>2449</v>
      </c>
      <c r="AD363" s="250"/>
      <c r="AE363" s="87" t="s">
        <v>2057</v>
      </c>
      <c r="AF363" s="88" t="s">
        <v>5517</v>
      </c>
      <c r="AG363" s="88" t="s">
        <v>2073</v>
      </c>
      <c r="AH363" s="88" t="s">
        <v>2074</v>
      </c>
      <c r="AI363" s="224" t="s">
        <v>2075</v>
      </c>
      <c r="AJ363" s="225">
        <v>2</v>
      </c>
      <c r="AK363" s="224" t="s">
        <v>2133</v>
      </c>
      <c r="AL363" s="224" t="s">
        <v>2134</v>
      </c>
      <c r="AM363" s="224" t="s">
        <v>2099</v>
      </c>
      <c r="AN363" s="224" t="s">
        <v>2135</v>
      </c>
    </row>
    <row r="364" spans="1:40" s="86" customFormat="1" ht="59.25" customHeight="1">
      <c r="A364" s="402">
        <v>306925</v>
      </c>
      <c r="B364" s="89" t="s">
        <v>746</v>
      </c>
      <c r="C364" s="89" t="s">
        <v>5897</v>
      </c>
      <c r="D364" s="88">
        <v>95700</v>
      </c>
      <c r="E364" s="88" t="s">
        <v>5898</v>
      </c>
      <c r="F364" s="88" t="s">
        <v>47</v>
      </c>
      <c r="G364" s="88"/>
      <c r="H364" s="88" t="s">
        <v>591</v>
      </c>
      <c r="I364" s="88" t="s">
        <v>40</v>
      </c>
      <c r="J364" s="89" t="s">
        <v>5280</v>
      </c>
      <c r="K364" s="103" t="s">
        <v>1402</v>
      </c>
      <c r="L364" s="403" t="s">
        <v>26</v>
      </c>
      <c r="M364" s="199">
        <v>45381</v>
      </c>
      <c r="N364" s="105">
        <v>44747</v>
      </c>
      <c r="O364" s="105"/>
      <c r="P364" s="203" t="s">
        <v>5906</v>
      </c>
      <c r="Q364" s="203" t="s">
        <v>5909</v>
      </c>
      <c r="R364" s="203"/>
      <c r="S364" s="203"/>
      <c r="T364" s="87" t="s">
        <v>5925</v>
      </c>
      <c r="U364" s="87"/>
      <c r="V364" s="87" t="s">
        <v>1571</v>
      </c>
      <c r="W364" s="88"/>
      <c r="X364" s="249"/>
      <c r="Y364" s="88"/>
      <c r="Z364" s="250"/>
      <c r="AA364" s="87" t="s">
        <v>1265</v>
      </c>
      <c r="AB364" s="250" t="s">
        <v>2072</v>
      </c>
      <c r="AC364" s="250"/>
      <c r="AD364" s="250"/>
      <c r="AE364" s="87"/>
      <c r="AF364" s="88" t="s">
        <v>5280</v>
      </c>
      <c r="AG364" s="88" t="s">
        <v>2073</v>
      </c>
      <c r="AH364" s="88" t="s">
        <v>2074</v>
      </c>
      <c r="AI364" s="224"/>
      <c r="AJ364" s="225">
        <v>3</v>
      </c>
      <c r="AK364" s="224" t="s">
        <v>2076</v>
      </c>
      <c r="AL364" s="224" t="s">
        <v>4875</v>
      </c>
      <c r="AM364" s="224" t="s">
        <v>2077</v>
      </c>
      <c r="AN364" s="224"/>
    </row>
    <row r="365" spans="1:40" s="86" customFormat="1" ht="59.25" customHeight="1">
      <c r="A365" s="402">
        <v>307050</v>
      </c>
      <c r="B365" s="89" t="s">
        <v>655</v>
      </c>
      <c r="C365" s="89" t="s">
        <v>584</v>
      </c>
      <c r="D365" s="88" t="s">
        <v>585</v>
      </c>
      <c r="E365" s="88" t="s">
        <v>586</v>
      </c>
      <c r="F365" s="88" t="s">
        <v>107</v>
      </c>
      <c r="G365" s="88" t="s">
        <v>1033</v>
      </c>
      <c r="H365" s="88" t="s">
        <v>591</v>
      </c>
      <c r="I365" s="88" t="s">
        <v>40</v>
      </c>
      <c r="J365" s="89" t="s">
        <v>5450</v>
      </c>
      <c r="K365" s="103" t="s">
        <v>1233</v>
      </c>
      <c r="L365" s="403" t="s">
        <v>26</v>
      </c>
      <c r="M365" s="199">
        <v>45077</v>
      </c>
      <c r="N365" s="105">
        <v>44705</v>
      </c>
      <c r="O365" s="105"/>
      <c r="P365" s="203" t="s">
        <v>5006</v>
      </c>
      <c r="Q365" s="203" t="s">
        <v>1832</v>
      </c>
      <c r="R365" s="203"/>
      <c r="S365" s="203"/>
      <c r="T365" s="87" t="s">
        <v>4686</v>
      </c>
      <c r="U365" s="87" t="s">
        <v>1568</v>
      </c>
      <c r="V365" s="87"/>
      <c r="W365" s="88" t="s">
        <v>1568</v>
      </c>
      <c r="X365" s="249" t="s">
        <v>4689</v>
      </c>
      <c r="Y365" s="88"/>
      <c r="Z365" s="250"/>
      <c r="AA365" s="87" t="s">
        <v>2132</v>
      </c>
      <c r="AB365" s="250" t="s">
        <v>2072</v>
      </c>
      <c r="AC365" s="250"/>
      <c r="AD365" s="250"/>
      <c r="AE365" s="87"/>
      <c r="AF365" s="88" t="s">
        <v>5517</v>
      </c>
      <c r="AG365" s="88" t="s">
        <v>2073</v>
      </c>
      <c r="AH365" s="88" t="s">
        <v>2074</v>
      </c>
      <c r="AI365" s="224" t="s">
        <v>2075</v>
      </c>
      <c r="AJ365" s="225">
        <v>2</v>
      </c>
      <c r="AK365" s="224" t="s">
        <v>2133</v>
      </c>
      <c r="AL365" s="224" t="s">
        <v>2134</v>
      </c>
      <c r="AM365" s="224" t="s">
        <v>2099</v>
      </c>
      <c r="AN365" s="224" t="s">
        <v>2135</v>
      </c>
    </row>
    <row r="366" spans="1:40" s="86" customFormat="1" ht="59.25" customHeight="1">
      <c r="A366" s="404">
        <v>307055</v>
      </c>
      <c r="B366" s="89" t="s">
        <v>5941</v>
      </c>
      <c r="C366" s="89" t="s">
        <v>5942</v>
      </c>
      <c r="D366" s="88" t="s">
        <v>5943</v>
      </c>
      <c r="E366" s="88" t="s">
        <v>5944</v>
      </c>
      <c r="F366" s="88" t="s">
        <v>45</v>
      </c>
      <c r="G366" s="88" t="s">
        <v>5945</v>
      </c>
      <c r="H366" s="88" t="s">
        <v>1194</v>
      </c>
      <c r="I366" s="88" t="s">
        <v>40</v>
      </c>
      <c r="J366" s="89" t="s">
        <v>1336</v>
      </c>
      <c r="K366" s="103"/>
      <c r="L366" s="405" t="s">
        <v>27</v>
      </c>
      <c r="M366" s="199">
        <v>44816</v>
      </c>
      <c r="N366" s="105" t="s">
        <v>5946</v>
      </c>
      <c r="O366" s="105">
        <v>44816</v>
      </c>
      <c r="P366" s="203"/>
      <c r="Q366" s="203" t="s">
        <v>5947</v>
      </c>
      <c r="R366" s="203"/>
      <c r="S366" s="203"/>
      <c r="T366" s="87"/>
      <c r="U366" s="87"/>
      <c r="V366" s="87"/>
      <c r="W366" s="88"/>
      <c r="X366" s="249"/>
      <c r="Y366" s="88"/>
      <c r="Z366" s="250"/>
      <c r="AA366" s="87" t="s">
        <v>5996</v>
      </c>
      <c r="AB366" s="250"/>
      <c r="AC366" s="250"/>
      <c r="AD366" s="250"/>
      <c r="AE366" s="87"/>
      <c r="AF366" s="88" t="s">
        <v>1336</v>
      </c>
      <c r="AG366" s="88" t="s">
        <v>2258</v>
      </c>
      <c r="AH366" s="88" t="s">
        <v>2214</v>
      </c>
      <c r="AI366" s="224"/>
      <c r="AJ366" s="225">
        <v>2</v>
      </c>
      <c r="AK366" s="224" t="s">
        <v>2133</v>
      </c>
      <c r="AL366" s="224" t="s">
        <v>5997</v>
      </c>
      <c r="AM366" s="224" t="s">
        <v>2099</v>
      </c>
      <c r="AN366" s="224"/>
    </row>
    <row r="367" spans="1:40" s="86" customFormat="1" ht="59.25" customHeight="1">
      <c r="A367" s="402">
        <v>307127</v>
      </c>
      <c r="B367" s="89" t="s">
        <v>587</v>
      </c>
      <c r="C367" s="89" t="s">
        <v>588</v>
      </c>
      <c r="D367" s="88" t="s">
        <v>589</v>
      </c>
      <c r="E367" s="88" t="s">
        <v>590</v>
      </c>
      <c r="F367" s="88" t="s">
        <v>107</v>
      </c>
      <c r="G367" s="88" t="s">
        <v>1034</v>
      </c>
      <c r="H367" s="88" t="s">
        <v>591</v>
      </c>
      <c r="I367" s="88" t="s">
        <v>40</v>
      </c>
      <c r="J367" s="89" t="s">
        <v>5281</v>
      </c>
      <c r="K367" s="103" t="s">
        <v>1233</v>
      </c>
      <c r="L367" s="403" t="s">
        <v>26</v>
      </c>
      <c r="M367" s="199">
        <v>45657</v>
      </c>
      <c r="N367" s="105">
        <v>44754</v>
      </c>
      <c r="O367" s="105"/>
      <c r="P367" s="203" t="s">
        <v>5622</v>
      </c>
      <c r="Q367" s="203" t="s">
        <v>1833</v>
      </c>
      <c r="R367" s="203"/>
      <c r="S367" s="203"/>
      <c r="T367" s="87" t="s">
        <v>4561</v>
      </c>
      <c r="U367" s="87" t="s">
        <v>1571</v>
      </c>
      <c r="V367" s="87"/>
      <c r="W367" s="88" t="s">
        <v>1571</v>
      </c>
      <c r="X367" s="249" t="s">
        <v>3984</v>
      </c>
      <c r="Y367" s="88"/>
      <c r="Z367" s="250"/>
      <c r="AA367" s="87" t="s">
        <v>2365</v>
      </c>
      <c r="AB367" s="250" t="s">
        <v>2072</v>
      </c>
      <c r="AC367" s="250"/>
      <c r="AD367" s="250"/>
      <c r="AE367" s="87"/>
      <c r="AF367" s="88" t="s">
        <v>5281</v>
      </c>
      <c r="AG367" s="88" t="s">
        <v>2367</v>
      </c>
      <c r="AH367" s="88" t="s">
        <v>2116</v>
      </c>
      <c r="AI367" s="224"/>
      <c r="AJ367" s="225">
        <v>3</v>
      </c>
      <c r="AK367" s="224" t="s">
        <v>2133</v>
      </c>
      <c r="AL367" s="224" t="s">
        <v>2368</v>
      </c>
      <c r="AM367" s="224" t="s">
        <v>2087</v>
      </c>
      <c r="AN367" s="224" t="s">
        <v>2369</v>
      </c>
    </row>
    <row r="368" spans="1:40" s="86" customFormat="1" ht="59.25" customHeight="1">
      <c r="A368" s="402">
        <v>307680</v>
      </c>
      <c r="B368" s="89" t="s">
        <v>592</v>
      </c>
      <c r="C368" s="89" t="s">
        <v>593</v>
      </c>
      <c r="D368" s="88">
        <v>13815</v>
      </c>
      <c r="E368" s="88" t="s">
        <v>594</v>
      </c>
      <c r="F368" s="88" t="s">
        <v>51</v>
      </c>
      <c r="G368" s="88">
        <v>83311</v>
      </c>
      <c r="H368" s="88" t="s">
        <v>591</v>
      </c>
      <c r="I368" s="88" t="s">
        <v>40</v>
      </c>
      <c r="J368" s="89" t="s">
        <v>1277</v>
      </c>
      <c r="K368" s="103" t="s">
        <v>1233</v>
      </c>
      <c r="L368" s="403" t="s">
        <v>26</v>
      </c>
      <c r="M368" s="199">
        <v>45322</v>
      </c>
      <c r="N368" s="105">
        <v>44224</v>
      </c>
      <c r="O368" s="105"/>
      <c r="P368" s="203" t="s">
        <v>6059</v>
      </c>
      <c r="Q368" s="203" t="s">
        <v>1834</v>
      </c>
      <c r="R368" s="203"/>
      <c r="S368" s="203"/>
      <c r="T368" s="87" t="s">
        <v>4573</v>
      </c>
      <c r="U368" s="87" t="s">
        <v>1568</v>
      </c>
      <c r="V368" s="87"/>
      <c r="W368" s="88" t="s">
        <v>1568</v>
      </c>
      <c r="X368" s="249" t="s">
        <v>3819</v>
      </c>
      <c r="Y368" s="88"/>
      <c r="Z368" s="250" t="s">
        <v>2058</v>
      </c>
      <c r="AA368" s="87" t="s">
        <v>2322</v>
      </c>
      <c r="AB368" s="250" t="s">
        <v>2072</v>
      </c>
      <c r="AC368" s="250" t="s">
        <v>2450</v>
      </c>
      <c r="AD368" s="250"/>
      <c r="AE368" s="87" t="s">
        <v>2058</v>
      </c>
      <c r="AF368" s="88" t="s">
        <v>1277</v>
      </c>
      <c r="AG368" s="88" t="s">
        <v>2283</v>
      </c>
      <c r="AH368" s="88"/>
      <c r="AI368" s="224"/>
      <c r="AJ368" s="225">
        <v>4</v>
      </c>
      <c r="AK368" s="224" t="s">
        <v>2094</v>
      </c>
      <c r="AL368" s="224" t="s">
        <v>2323</v>
      </c>
      <c r="AM368" s="224" t="s">
        <v>2087</v>
      </c>
      <c r="AN368" s="224"/>
    </row>
    <row r="369" spans="1:40" s="86" customFormat="1" ht="59.25" customHeight="1">
      <c r="A369" s="402">
        <v>307687</v>
      </c>
      <c r="B369" s="89" t="s">
        <v>1404</v>
      </c>
      <c r="C369" s="89" t="s">
        <v>1405</v>
      </c>
      <c r="D369" s="88">
        <v>44396</v>
      </c>
      <c r="E369" s="88" t="s">
        <v>1406</v>
      </c>
      <c r="F369" s="88" t="s">
        <v>126</v>
      </c>
      <c r="G369" s="88"/>
      <c r="H369" s="88" t="s">
        <v>591</v>
      </c>
      <c r="I369" s="88" t="s">
        <v>41</v>
      </c>
      <c r="J369" s="89" t="s">
        <v>786</v>
      </c>
      <c r="K369" s="103" t="s">
        <v>1402</v>
      </c>
      <c r="L369" s="403" t="s">
        <v>26</v>
      </c>
      <c r="M369" s="199">
        <v>44957</v>
      </c>
      <c r="N369" s="105">
        <v>44579</v>
      </c>
      <c r="O369" s="105"/>
      <c r="P369" s="203" t="s">
        <v>5300</v>
      </c>
      <c r="Q369" s="203" t="s">
        <v>1780</v>
      </c>
      <c r="R369" s="203" t="s">
        <v>1999</v>
      </c>
      <c r="S369" s="203"/>
      <c r="T369" s="87" t="s">
        <v>4894</v>
      </c>
      <c r="U369" s="87" t="s">
        <v>1571</v>
      </c>
      <c r="V369" s="87"/>
      <c r="W369" s="88" t="s">
        <v>1571</v>
      </c>
      <c r="X369" s="249" t="s">
        <v>4771</v>
      </c>
      <c r="Y369" s="88"/>
      <c r="Z369" s="250"/>
      <c r="AA369" s="87" t="s">
        <v>2392</v>
      </c>
      <c r="AB369" s="250" t="s">
        <v>2090</v>
      </c>
      <c r="AC369" s="250"/>
      <c r="AD369" s="250"/>
      <c r="AE369" s="87"/>
      <c r="AF369" s="88" t="s">
        <v>786</v>
      </c>
      <c r="AG369" s="88" t="s">
        <v>2104</v>
      </c>
      <c r="AH369" s="88"/>
      <c r="AI369" s="224" t="s">
        <v>2248</v>
      </c>
      <c r="AJ369" s="225">
        <v>1</v>
      </c>
      <c r="AK369" s="224" t="s">
        <v>2107</v>
      </c>
      <c r="AL369" s="224" t="s">
        <v>2393</v>
      </c>
      <c r="AM369" s="224" t="s">
        <v>2217</v>
      </c>
      <c r="AN369" s="224" t="s">
        <v>2394</v>
      </c>
    </row>
    <row r="370" spans="1:40" s="86" customFormat="1" ht="59.25" customHeight="1">
      <c r="A370" s="402">
        <v>307766</v>
      </c>
      <c r="B370" s="89" t="s">
        <v>595</v>
      </c>
      <c r="C370" s="89" t="s">
        <v>596</v>
      </c>
      <c r="D370" s="88" t="s">
        <v>597</v>
      </c>
      <c r="E370" s="88" t="s">
        <v>598</v>
      </c>
      <c r="F370" s="88" t="s">
        <v>51</v>
      </c>
      <c r="G370" s="88" t="s">
        <v>599</v>
      </c>
      <c r="H370" s="88" t="s">
        <v>591</v>
      </c>
      <c r="I370" s="88" t="s">
        <v>40</v>
      </c>
      <c r="J370" s="89" t="s">
        <v>5283</v>
      </c>
      <c r="K370" s="103" t="s">
        <v>1233</v>
      </c>
      <c r="L370" s="403" t="s">
        <v>26</v>
      </c>
      <c r="M370" s="199">
        <v>45230</v>
      </c>
      <c r="N370" s="105">
        <v>44470</v>
      </c>
      <c r="O370" s="105"/>
      <c r="P370" s="203" t="s">
        <v>5007</v>
      </c>
      <c r="Q370" s="203" t="s">
        <v>1835</v>
      </c>
      <c r="R370" s="203"/>
      <c r="S370" s="203"/>
      <c r="T370" s="87" t="s">
        <v>5831</v>
      </c>
      <c r="U370" s="87" t="s">
        <v>1568</v>
      </c>
      <c r="V370" s="87"/>
      <c r="W370" s="88" t="s">
        <v>1568</v>
      </c>
      <c r="X370" s="249" t="s">
        <v>3986</v>
      </c>
      <c r="Y370" s="88"/>
      <c r="Z370" s="250"/>
      <c r="AA370" s="87" t="s">
        <v>2319</v>
      </c>
      <c r="AB370" s="250" t="s">
        <v>2072</v>
      </c>
      <c r="AC370" s="250"/>
      <c r="AD370" s="250"/>
      <c r="AE370" s="87"/>
      <c r="AF370" s="88" t="s">
        <v>5283</v>
      </c>
      <c r="AG370" s="88" t="s">
        <v>2073</v>
      </c>
      <c r="AH370" s="88" t="s">
        <v>2074</v>
      </c>
      <c r="AI370" s="224" t="s">
        <v>2075</v>
      </c>
      <c r="AJ370" s="225">
        <v>2</v>
      </c>
      <c r="AK370" s="224" t="s">
        <v>2076</v>
      </c>
      <c r="AL370" s="224" t="s">
        <v>2320</v>
      </c>
      <c r="AM370" s="224" t="s">
        <v>2099</v>
      </c>
      <c r="AN370" s="224" t="s">
        <v>2321</v>
      </c>
    </row>
    <row r="371" spans="1:40" s="86" customFormat="1" ht="59.25" customHeight="1">
      <c r="A371" s="402">
        <v>307918</v>
      </c>
      <c r="B371" s="89" t="s">
        <v>615</v>
      </c>
      <c r="C371" s="89" t="s">
        <v>616</v>
      </c>
      <c r="D371" s="88">
        <v>85282</v>
      </c>
      <c r="E371" s="88" t="s">
        <v>213</v>
      </c>
      <c r="F371" s="88" t="s">
        <v>51</v>
      </c>
      <c r="G371" s="88" t="s">
        <v>1035</v>
      </c>
      <c r="H371" s="88" t="s">
        <v>591</v>
      </c>
      <c r="I371" s="88" t="s">
        <v>40</v>
      </c>
      <c r="J371" s="89" t="s">
        <v>5281</v>
      </c>
      <c r="K371" s="103" t="s">
        <v>1233</v>
      </c>
      <c r="L371" s="403" t="s">
        <v>26</v>
      </c>
      <c r="M371" s="199">
        <v>45657</v>
      </c>
      <c r="N371" s="105">
        <v>44754</v>
      </c>
      <c r="O371" s="105"/>
      <c r="P371" s="203" t="s">
        <v>5907</v>
      </c>
      <c r="Q371" s="203" t="s">
        <v>1836</v>
      </c>
      <c r="R371" s="203"/>
      <c r="S371" s="203"/>
      <c r="T371" s="87" t="s">
        <v>5376</v>
      </c>
      <c r="U371" s="87" t="s">
        <v>1568</v>
      </c>
      <c r="V371" s="87"/>
      <c r="W371" s="88" t="s">
        <v>1568</v>
      </c>
      <c r="X371" s="249" t="s">
        <v>3987</v>
      </c>
      <c r="Y371" s="88"/>
      <c r="Z371" s="250" t="s">
        <v>2059</v>
      </c>
      <c r="AA371" s="87" t="s">
        <v>2365</v>
      </c>
      <c r="AB371" s="250" t="s">
        <v>2079</v>
      </c>
      <c r="AC371" s="250" t="s">
        <v>2451</v>
      </c>
      <c r="AD371" s="250"/>
      <c r="AE371" s="87" t="s">
        <v>2059</v>
      </c>
      <c r="AF371" s="88" t="s">
        <v>5281</v>
      </c>
      <c r="AG371" s="88" t="s">
        <v>2367</v>
      </c>
      <c r="AH371" s="88" t="s">
        <v>2116</v>
      </c>
      <c r="AI371" s="224"/>
      <c r="AJ371" s="225">
        <v>3</v>
      </c>
      <c r="AK371" s="224" t="s">
        <v>2133</v>
      </c>
      <c r="AL371" s="224" t="s">
        <v>2368</v>
      </c>
      <c r="AM371" s="224" t="s">
        <v>2087</v>
      </c>
      <c r="AN371" s="224" t="s">
        <v>2369</v>
      </c>
    </row>
    <row r="372" spans="1:40" s="86" customFormat="1" ht="59.25" customHeight="1">
      <c r="A372" s="402">
        <v>308105</v>
      </c>
      <c r="B372" s="89" t="s">
        <v>617</v>
      </c>
      <c r="C372" s="89" t="s">
        <v>618</v>
      </c>
      <c r="D372" s="88" t="s">
        <v>619</v>
      </c>
      <c r="E372" s="88" t="s">
        <v>620</v>
      </c>
      <c r="F372" s="88" t="s">
        <v>107</v>
      </c>
      <c r="G372" s="88">
        <v>33463</v>
      </c>
      <c r="H372" s="88" t="s">
        <v>591</v>
      </c>
      <c r="I372" s="88" t="s">
        <v>40</v>
      </c>
      <c r="J372" s="89" t="s">
        <v>5282</v>
      </c>
      <c r="K372" s="103" t="s">
        <v>1233</v>
      </c>
      <c r="L372" s="403" t="s">
        <v>26</v>
      </c>
      <c r="M372" s="199">
        <v>45412</v>
      </c>
      <c r="N372" s="105">
        <v>44672</v>
      </c>
      <c r="O372" s="105"/>
      <c r="P372" s="203" t="s">
        <v>4264</v>
      </c>
      <c r="Q372" s="203" t="s">
        <v>1837</v>
      </c>
      <c r="R372" s="203"/>
      <c r="S372" s="203"/>
      <c r="T372" s="87" t="s">
        <v>5097</v>
      </c>
      <c r="U372" s="87" t="s">
        <v>1568</v>
      </c>
      <c r="V372" s="87"/>
      <c r="W372" s="88" t="s">
        <v>1568</v>
      </c>
      <c r="X372" s="249" t="s">
        <v>3989</v>
      </c>
      <c r="Y372" s="88"/>
      <c r="Z372" s="250" t="s">
        <v>5248</v>
      </c>
      <c r="AA372" s="87" t="s">
        <v>2171</v>
      </c>
      <c r="AB372" s="250" t="s">
        <v>2079</v>
      </c>
      <c r="AC372" s="250" t="s">
        <v>5249</v>
      </c>
      <c r="AD372" s="250"/>
      <c r="AE372" s="87" t="s">
        <v>5248</v>
      </c>
      <c r="AF372" s="88" t="s">
        <v>5282</v>
      </c>
      <c r="AG372" s="88" t="s">
        <v>2073</v>
      </c>
      <c r="AH372" s="88" t="s">
        <v>2093</v>
      </c>
      <c r="AI372" s="224"/>
      <c r="AJ372" s="225">
        <v>2</v>
      </c>
      <c r="AK372" s="224" t="s">
        <v>2076</v>
      </c>
      <c r="AL372" s="224" t="s">
        <v>2172</v>
      </c>
      <c r="AM372" s="224" t="s">
        <v>2077</v>
      </c>
      <c r="AN372" s="224"/>
    </row>
    <row r="373" spans="1:40" s="86" customFormat="1" ht="59.25" customHeight="1">
      <c r="A373" s="402">
        <v>308229</v>
      </c>
      <c r="B373" s="89" t="s">
        <v>1328</v>
      </c>
      <c r="C373" s="89" t="s">
        <v>1329</v>
      </c>
      <c r="D373" s="88">
        <v>31300</v>
      </c>
      <c r="E373" s="88" t="s">
        <v>93</v>
      </c>
      <c r="F373" s="88" t="s">
        <v>47</v>
      </c>
      <c r="G373" s="88" t="s">
        <v>1337</v>
      </c>
      <c r="H373" s="88" t="s">
        <v>591</v>
      </c>
      <c r="I373" s="88" t="s">
        <v>40</v>
      </c>
      <c r="J373" s="89" t="s">
        <v>1421</v>
      </c>
      <c r="K373" s="103"/>
      <c r="L373" s="403" t="s">
        <v>26</v>
      </c>
      <c r="M373" s="199">
        <v>45291</v>
      </c>
      <c r="N373" s="105">
        <v>43856</v>
      </c>
      <c r="O373" s="105"/>
      <c r="P373" s="203" t="s">
        <v>1483</v>
      </c>
      <c r="Q373" s="203" t="s">
        <v>1838</v>
      </c>
      <c r="R373" s="203" t="s">
        <v>2012</v>
      </c>
      <c r="S373" s="203"/>
      <c r="T373" s="87" t="s">
        <v>1562</v>
      </c>
      <c r="U373" s="87" t="s">
        <v>1574</v>
      </c>
      <c r="V373" s="87"/>
      <c r="W373" s="88" t="s">
        <v>1568</v>
      </c>
      <c r="X373" s="249" t="s">
        <v>4956</v>
      </c>
      <c r="Y373" s="88"/>
      <c r="Z373" s="250"/>
      <c r="AA373" s="87" t="s">
        <v>1328</v>
      </c>
      <c r="AB373" s="250" t="s">
        <v>2072</v>
      </c>
      <c r="AC373" s="250"/>
      <c r="AD373" s="250"/>
      <c r="AE373" s="87"/>
      <c r="AF373" s="88" t="s">
        <v>1421</v>
      </c>
      <c r="AG373" s="88" t="s">
        <v>2073</v>
      </c>
      <c r="AH373" s="88" t="s">
        <v>2113</v>
      </c>
      <c r="AI373" s="224"/>
      <c r="AJ373" s="225">
        <v>4</v>
      </c>
      <c r="AK373" s="224" t="s">
        <v>2085</v>
      </c>
      <c r="AL373" s="224" t="s">
        <v>2452</v>
      </c>
      <c r="AM373" s="224"/>
      <c r="AN373" s="224"/>
    </row>
    <row r="374" spans="1:40" s="86" customFormat="1" ht="59.25" customHeight="1">
      <c r="A374" s="402">
        <v>308383</v>
      </c>
      <c r="B374" s="89" t="s">
        <v>1478</v>
      </c>
      <c r="C374" s="89" t="s">
        <v>625</v>
      </c>
      <c r="D374" s="88">
        <v>539934</v>
      </c>
      <c r="E374" s="88" t="s">
        <v>336</v>
      </c>
      <c r="F374" s="88" t="s">
        <v>337</v>
      </c>
      <c r="G374" s="88" t="s">
        <v>1036</v>
      </c>
      <c r="H374" s="88" t="s">
        <v>591</v>
      </c>
      <c r="I374" s="88" t="s">
        <v>40</v>
      </c>
      <c r="J374" s="89" t="s">
        <v>1288</v>
      </c>
      <c r="K374" s="103" t="s">
        <v>1402</v>
      </c>
      <c r="L374" s="403" t="s">
        <v>26</v>
      </c>
      <c r="M374" s="199">
        <v>45077</v>
      </c>
      <c r="N374" s="105">
        <v>44337</v>
      </c>
      <c r="O374" s="105"/>
      <c r="P374" s="203" t="s">
        <v>5981</v>
      </c>
      <c r="Q374" s="203" t="s">
        <v>4403</v>
      </c>
      <c r="R374" s="203"/>
      <c r="S374" s="203"/>
      <c r="T374" s="87" t="s">
        <v>4803</v>
      </c>
      <c r="U374" s="87" t="s">
        <v>1573</v>
      </c>
      <c r="V374" s="87"/>
      <c r="W374" s="88" t="s">
        <v>1571</v>
      </c>
      <c r="X374" s="249" t="s">
        <v>4621</v>
      </c>
      <c r="Y374" s="88"/>
      <c r="Z374" s="250"/>
      <c r="AA374" s="87" t="s">
        <v>2453</v>
      </c>
      <c r="AB374" s="250" t="s">
        <v>2090</v>
      </c>
      <c r="AC374" s="250"/>
      <c r="AD374" s="250"/>
      <c r="AE374" s="87"/>
      <c r="AF374" s="88" t="s">
        <v>1288</v>
      </c>
      <c r="AG374" s="88" t="s">
        <v>2090</v>
      </c>
      <c r="AH374" s="88" t="s">
        <v>2214</v>
      </c>
      <c r="AI374" s="224"/>
      <c r="AJ374" s="225">
        <v>2</v>
      </c>
      <c r="AK374" s="224" t="s">
        <v>2133</v>
      </c>
      <c r="AL374" s="224" t="s">
        <v>2454</v>
      </c>
      <c r="AM374" s="224" t="s">
        <v>2099</v>
      </c>
      <c r="AN374" s="224" t="s">
        <v>2455</v>
      </c>
    </row>
    <row r="375" spans="1:40" s="86" customFormat="1" ht="59.25" customHeight="1">
      <c r="A375" s="402">
        <v>308413</v>
      </c>
      <c r="B375" s="89" t="s">
        <v>626</v>
      </c>
      <c r="C375" s="89" t="s">
        <v>627</v>
      </c>
      <c r="D375" s="88">
        <v>33056</v>
      </c>
      <c r="E375" s="88" t="s">
        <v>628</v>
      </c>
      <c r="F375" s="88" t="s">
        <v>51</v>
      </c>
      <c r="G375" s="88" t="s">
        <v>1037</v>
      </c>
      <c r="H375" s="88" t="s">
        <v>591</v>
      </c>
      <c r="I375" s="88" t="s">
        <v>40</v>
      </c>
      <c r="J375" s="89" t="s">
        <v>5282</v>
      </c>
      <c r="K375" s="103" t="s">
        <v>1233</v>
      </c>
      <c r="L375" s="403" t="s">
        <v>26</v>
      </c>
      <c r="M375" s="199">
        <v>45412</v>
      </c>
      <c r="N375" s="105">
        <v>44672</v>
      </c>
      <c r="O375" s="105"/>
      <c r="P375" s="203" t="s">
        <v>6060</v>
      </c>
      <c r="Q375" s="203" t="s">
        <v>1839</v>
      </c>
      <c r="R375" s="203"/>
      <c r="S375" s="203"/>
      <c r="T375" s="87" t="s">
        <v>5832</v>
      </c>
      <c r="U375" s="87" t="s">
        <v>1571</v>
      </c>
      <c r="V375" s="87"/>
      <c r="W375" s="88" t="s">
        <v>1571</v>
      </c>
      <c r="X375" s="249" t="s">
        <v>3991</v>
      </c>
      <c r="Y375" s="88"/>
      <c r="Z375" s="250"/>
      <c r="AA375" s="87" t="s">
        <v>2171</v>
      </c>
      <c r="AB375" s="250" t="s">
        <v>2090</v>
      </c>
      <c r="AC375" s="250"/>
      <c r="AD375" s="250"/>
      <c r="AE375" s="87"/>
      <c r="AF375" s="88" t="s">
        <v>5282</v>
      </c>
      <c r="AG375" s="88" t="s">
        <v>2073</v>
      </c>
      <c r="AH375" s="88" t="s">
        <v>2093</v>
      </c>
      <c r="AI375" s="224"/>
      <c r="AJ375" s="225">
        <v>2</v>
      </c>
      <c r="AK375" s="224" t="s">
        <v>2076</v>
      </c>
      <c r="AL375" s="224" t="s">
        <v>2172</v>
      </c>
      <c r="AM375" s="224" t="s">
        <v>2077</v>
      </c>
      <c r="AN375" s="224"/>
    </row>
    <row r="376" spans="1:40" s="86" customFormat="1" ht="59.25" customHeight="1">
      <c r="A376" s="402">
        <v>308573</v>
      </c>
      <c r="B376" s="89" t="s">
        <v>1245</v>
      </c>
      <c r="C376" s="89" t="s">
        <v>638</v>
      </c>
      <c r="D376" s="88">
        <v>6405</v>
      </c>
      <c r="E376" s="88" t="s">
        <v>639</v>
      </c>
      <c r="F376" s="88" t="s">
        <v>51</v>
      </c>
      <c r="G376" s="88">
        <v>60</v>
      </c>
      <c r="H376" s="88" t="s">
        <v>591</v>
      </c>
      <c r="I376" s="88" t="s">
        <v>40</v>
      </c>
      <c r="J376" s="89" t="s">
        <v>1277</v>
      </c>
      <c r="K376" s="103" t="s">
        <v>1233</v>
      </c>
      <c r="L376" s="403" t="s">
        <v>26</v>
      </c>
      <c r="M376" s="199">
        <v>45473</v>
      </c>
      <c r="N376" s="105">
        <v>44375</v>
      </c>
      <c r="O376" s="105"/>
      <c r="P376" s="203" t="s">
        <v>1493</v>
      </c>
      <c r="Q376" s="203" t="s">
        <v>1840</v>
      </c>
      <c r="R376" s="203"/>
      <c r="S376" s="203"/>
      <c r="T376" s="87" t="s">
        <v>4451</v>
      </c>
      <c r="U376" s="87" t="s">
        <v>1568</v>
      </c>
      <c r="V376" s="87"/>
      <c r="W376" s="88" t="s">
        <v>1568</v>
      </c>
      <c r="X376" s="249" t="s">
        <v>3993</v>
      </c>
      <c r="Y376" s="88"/>
      <c r="Z376" s="250" t="s">
        <v>2060</v>
      </c>
      <c r="AA376" s="87" t="s">
        <v>1245</v>
      </c>
      <c r="AB376" s="250" t="s">
        <v>2072</v>
      </c>
      <c r="AC376" s="250" t="s">
        <v>2456</v>
      </c>
      <c r="AD376" s="250"/>
      <c r="AE376" s="87" t="s">
        <v>2060</v>
      </c>
      <c r="AF376" s="88" t="s">
        <v>1277</v>
      </c>
      <c r="AG376" s="88" t="s">
        <v>2283</v>
      </c>
      <c r="AH376" s="88" t="s">
        <v>2113</v>
      </c>
      <c r="AI376" s="224"/>
      <c r="AJ376" s="225">
        <v>4</v>
      </c>
      <c r="AK376" s="224" t="s">
        <v>2094</v>
      </c>
      <c r="AL376" s="224" t="s">
        <v>2457</v>
      </c>
      <c r="AM376" s="224" t="s">
        <v>2087</v>
      </c>
      <c r="AN376" s="224"/>
    </row>
    <row r="377" spans="1:40" s="86" customFormat="1" ht="59.25" customHeight="1">
      <c r="A377" s="402">
        <v>308735</v>
      </c>
      <c r="B377" s="89" t="s">
        <v>662</v>
      </c>
      <c r="C377" s="89" t="s">
        <v>663</v>
      </c>
      <c r="D377" s="88" t="s">
        <v>664</v>
      </c>
      <c r="E377" s="88" t="s">
        <v>665</v>
      </c>
      <c r="F377" s="88" t="s">
        <v>107</v>
      </c>
      <c r="G377" s="88" t="s">
        <v>1038</v>
      </c>
      <c r="H377" s="88" t="s">
        <v>591</v>
      </c>
      <c r="I377" s="88" t="s">
        <v>40</v>
      </c>
      <c r="J377" s="89" t="s">
        <v>5282</v>
      </c>
      <c r="K377" s="103" t="s">
        <v>1233</v>
      </c>
      <c r="L377" s="403" t="s">
        <v>26</v>
      </c>
      <c r="M377" s="199">
        <v>45412</v>
      </c>
      <c r="N377" s="105">
        <v>44672</v>
      </c>
      <c r="O377" s="105"/>
      <c r="P377" s="203" t="s">
        <v>1331</v>
      </c>
      <c r="Q377" s="203" t="s">
        <v>1841</v>
      </c>
      <c r="R377" s="203"/>
      <c r="S377" s="203"/>
      <c r="T377" s="87" t="s">
        <v>5056</v>
      </c>
      <c r="U377" s="87" t="s">
        <v>1568</v>
      </c>
      <c r="V377" s="87"/>
      <c r="W377" s="88" t="s">
        <v>1568</v>
      </c>
      <c r="X377" s="249" t="s">
        <v>3995</v>
      </c>
      <c r="Y377" s="88"/>
      <c r="Z377" s="250" t="s">
        <v>2061</v>
      </c>
      <c r="AA377" s="87" t="s">
        <v>2171</v>
      </c>
      <c r="AB377" s="250" t="s">
        <v>2079</v>
      </c>
      <c r="AC377" s="250" t="s">
        <v>2458</v>
      </c>
      <c r="AD377" s="250"/>
      <c r="AE377" s="87" t="s">
        <v>2061</v>
      </c>
      <c r="AF377" s="88" t="s">
        <v>5282</v>
      </c>
      <c r="AG377" s="88" t="s">
        <v>2073</v>
      </c>
      <c r="AH377" s="88" t="s">
        <v>2093</v>
      </c>
      <c r="AI377" s="224"/>
      <c r="AJ377" s="225">
        <v>2</v>
      </c>
      <c r="AK377" s="224" t="s">
        <v>2076</v>
      </c>
      <c r="AL377" s="224" t="s">
        <v>2172</v>
      </c>
      <c r="AM377" s="224" t="s">
        <v>2077</v>
      </c>
      <c r="AN377" s="224"/>
    </row>
    <row r="378" spans="1:40" s="86" customFormat="1" ht="59.25" customHeight="1">
      <c r="A378" s="402">
        <v>308773</v>
      </c>
      <c r="B378" s="89" t="s">
        <v>657</v>
      </c>
      <c r="C378" s="89" t="s">
        <v>658</v>
      </c>
      <c r="D378" s="88">
        <v>27804</v>
      </c>
      <c r="E378" s="88" t="s">
        <v>659</v>
      </c>
      <c r="F378" s="88" t="s">
        <v>51</v>
      </c>
      <c r="G378" s="88" t="s">
        <v>1039</v>
      </c>
      <c r="H378" s="88" t="s">
        <v>591</v>
      </c>
      <c r="I378" s="88" t="s">
        <v>40</v>
      </c>
      <c r="J378" s="89" t="s">
        <v>5281</v>
      </c>
      <c r="K378" s="103" t="s">
        <v>1233</v>
      </c>
      <c r="L378" s="403" t="s">
        <v>26</v>
      </c>
      <c r="M378" s="199">
        <v>45077</v>
      </c>
      <c r="N378" s="105">
        <v>44705</v>
      </c>
      <c r="O378" s="105"/>
      <c r="P378" s="203" t="s">
        <v>6061</v>
      </c>
      <c r="Q378" s="203" t="s">
        <v>1842</v>
      </c>
      <c r="R378" s="203"/>
      <c r="S378" s="203"/>
      <c r="T378" s="87" t="s">
        <v>4686</v>
      </c>
      <c r="U378" s="87" t="s">
        <v>1568</v>
      </c>
      <c r="V378" s="87"/>
      <c r="W378" s="88" t="s">
        <v>1568</v>
      </c>
      <c r="X378" s="249" t="s">
        <v>4689</v>
      </c>
      <c r="Y378" s="88"/>
      <c r="Z378" s="250"/>
      <c r="AA378" s="87" t="s">
        <v>2132</v>
      </c>
      <c r="AB378" s="250" t="s">
        <v>2072</v>
      </c>
      <c r="AC378" s="250"/>
      <c r="AD378" s="250"/>
      <c r="AE378" s="87"/>
      <c r="AF378" s="88" t="s">
        <v>5517</v>
      </c>
      <c r="AG378" s="88" t="s">
        <v>2073</v>
      </c>
      <c r="AH378" s="88" t="s">
        <v>2074</v>
      </c>
      <c r="AI378" s="224" t="s">
        <v>2075</v>
      </c>
      <c r="AJ378" s="225">
        <v>2</v>
      </c>
      <c r="AK378" s="224" t="s">
        <v>2133</v>
      </c>
      <c r="AL378" s="224" t="s">
        <v>2134</v>
      </c>
      <c r="AM378" s="224" t="s">
        <v>2099</v>
      </c>
      <c r="AN378" s="224" t="s">
        <v>2135</v>
      </c>
    </row>
    <row r="379" spans="1:40" s="86" customFormat="1" ht="59.25" customHeight="1">
      <c r="A379" s="402">
        <v>309281</v>
      </c>
      <c r="B379" s="89" t="s">
        <v>2016</v>
      </c>
      <c r="C379" s="89" t="s">
        <v>2017</v>
      </c>
      <c r="D379" s="88" t="s">
        <v>2018</v>
      </c>
      <c r="E379" s="88" t="s">
        <v>1395</v>
      </c>
      <c r="F379" s="88" t="s">
        <v>51</v>
      </c>
      <c r="G379" s="88" t="s">
        <v>1396</v>
      </c>
      <c r="H379" s="88" t="s">
        <v>591</v>
      </c>
      <c r="I379" s="88" t="s">
        <v>40</v>
      </c>
      <c r="J379" s="89" t="s">
        <v>1277</v>
      </c>
      <c r="K379" s="103" t="s">
        <v>1233</v>
      </c>
      <c r="L379" s="403" t="s">
        <v>26</v>
      </c>
      <c r="M379" s="199">
        <v>44864</v>
      </c>
      <c r="N379" s="105">
        <v>44117</v>
      </c>
      <c r="O379" s="105"/>
      <c r="P379" s="203" t="s">
        <v>6062</v>
      </c>
      <c r="Q379" s="203" t="s">
        <v>1740</v>
      </c>
      <c r="R379" s="203"/>
      <c r="S379" s="203"/>
      <c r="T379" s="87" t="s">
        <v>2027</v>
      </c>
      <c r="U379" s="87" t="s">
        <v>1568</v>
      </c>
      <c r="V379" s="87"/>
      <c r="W379" s="88" t="s">
        <v>1568</v>
      </c>
      <c r="X379" s="249" t="s">
        <v>3834</v>
      </c>
      <c r="Y379" s="88"/>
      <c r="Z379" s="250"/>
      <c r="AA379" s="87" t="s">
        <v>2459</v>
      </c>
      <c r="AB379" s="250" t="s">
        <v>2072</v>
      </c>
      <c r="AC379" s="250"/>
      <c r="AD379" s="250"/>
      <c r="AE379" s="87"/>
      <c r="AF379" s="88" t="s">
        <v>1277</v>
      </c>
      <c r="AG379" s="88" t="s">
        <v>2460</v>
      </c>
      <c r="AH379" s="88" t="s">
        <v>2116</v>
      </c>
      <c r="AI379" s="224"/>
      <c r="AJ379" s="225">
        <v>3</v>
      </c>
      <c r="AK379" s="224" t="s">
        <v>2076</v>
      </c>
      <c r="AL379" s="224" t="s">
        <v>2503</v>
      </c>
      <c r="AM379" s="224" t="s">
        <v>2099</v>
      </c>
      <c r="AN379" s="224" t="s">
        <v>2461</v>
      </c>
    </row>
    <row r="380" spans="1:40" s="86" customFormat="1" ht="59.25" customHeight="1">
      <c r="A380" s="406">
        <v>309537</v>
      </c>
      <c r="B380" s="89" t="s">
        <v>5120</v>
      </c>
      <c r="C380" s="89" t="s">
        <v>5121</v>
      </c>
      <c r="D380" s="88">
        <v>2035</v>
      </c>
      <c r="E380" s="88" t="s">
        <v>5122</v>
      </c>
      <c r="F380" s="88" t="s">
        <v>5123</v>
      </c>
      <c r="G380" s="88" t="s">
        <v>5124</v>
      </c>
      <c r="H380" s="88" t="s">
        <v>1194</v>
      </c>
      <c r="I380" s="88" t="s">
        <v>41</v>
      </c>
      <c r="J380" s="89" t="s">
        <v>1421</v>
      </c>
      <c r="K380" s="103"/>
      <c r="L380" s="407" t="s">
        <v>5</v>
      </c>
      <c r="M380" s="199">
        <v>44773</v>
      </c>
      <c r="N380" s="105"/>
      <c r="O380" s="105">
        <v>44773</v>
      </c>
      <c r="P380" s="203" t="s">
        <v>5127</v>
      </c>
      <c r="Q380" s="203" t="s">
        <v>5129</v>
      </c>
      <c r="R380" s="203"/>
      <c r="S380" s="203"/>
      <c r="T380" s="87"/>
      <c r="U380" s="87"/>
      <c r="V380" s="87"/>
      <c r="W380" s="88"/>
      <c r="X380" s="249"/>
      <c r="Y380" s="88"/>
      <c r="Z380" s="250"/>
      <c r="AA380" s="87" t="s">
        <v>5120</v>
      </c>
      <c r="AB380" s="250" t="s">
        <v>2090</v>
      </c>
      <c r="AC380" s="250"/>
      <c r="AD380" s="250"/>
      <c r="AE380" s="87"/>
      <c r="AF380" s="88" t="s">
        <v>1421</v>
      </c>
      <c r="AG380" s="88" t="s">
        <v>2104</v>
      </c>
      <c r="AH380" s="88"/>
      <c r="AI380" s="224"/>
      <c r="AJ380" s="225" t="s">
        <v>2258</v>
      </c>
      <c r="AK380" s="224"/>
      <c r="AL380" s="224"/>
      <c r="AM380" s="224"/>
      <c r="AN380" s="224"/>
    </row>
    <row r="381" spans="1:40" s="86" customFormat="1" ht="59.25" customHeight="1">
      <c r="A381" s="402">
        <v>309838</v>
      </c>
      <c r="B381" s="89" t="s">
        <v>1246</v>
      </c>
      <c r="C381" s="89" t="s">
        <v>1247</v>
      </c>
      <c r="D381" s="88">
        <v>87477</v>
      </c>
      <c r="E381" s="88" t="s">
        <v>1248</v>
      </c>
      <c r="F381" s="88" t="s">
        <v>55</v>
      </c>
      <c r="G381" s="88" t="s">
        <v>1249</v>
      </c>
      <c r="H381" s="88" t="s">
        <v>591</v>
      </c>
      <c r="I381" s="88" t="s">
        <v>40</v>
      </c>
      <c r="J381" s="89" t="s">
        <v>1277</v>
      </c>
      <c r="K381" s="103" t="s">
        <v>1233</v>
      </c>
      <c r="L381" s="403" t="s">
        <v>26</v>
      </c>
      <c r="M381" s="199">
        <v>45657</v>
      </c>
      <c r="N381" s="105">
        <v>44536</v>
      </c>
      <c r="O381" s="105"/>
      <c r="P381" s="203" t="s">
        <v>1339</v>
      </c>
      <c r="Q381" s="203" t="s">
        <v>1843</v>
      </c>
      <c r="R381" s="203" t="s">
        <v>2013</v>
      </c>
      <c r="S381" s="203"/>
      <c r="T381" s="87" t="s">
        <v>5833</v>
      </c>
      <c r="U381" s="87" t="s">
        <v>1568</v>
      </c>
      <c r="V381" s="87"/>
      <c r="W381" s="88" t="s">
        <v>1568</v>
      </c>
      <c r="X381" s="249" t="s">
        <v>3996</v>
      </c>
      <c r="Y381" s="88"/>
      <c r="Z381" s="250"/>
      <c r="AA381" s="87" t="s">
        <v>1246</v>
      </c>
      <c r="AB381" s="250" t="s">
        <v>2072</v>
      </c>
      <c r="AC381" s="250"/>
      <c r="AD381" s="250"/>
      <c r="AE381" s="87"/>
      <c r="AF381" s="88" t="s">
        <v>1277</v>
      </c>
      <c r="AG381" s="88" t="s">
        <v>2073</v>
      </c>
      <c r="AH381" s="88"/>
      <c r="AI381" s="224"/>
      <c r="AJ381" s="225">
        <v>4</v>
      </c>
      <c r="AK381" s="224" t="s">
        <v>2076</v>
      </c>
      <c r="AL381" s="224" t="s">
        <v>2462</v>
      </c>
      <c r="AM381" s="224" t="s">
        <v>2099</v>
      </c>
      <c r="AN381" s="224" t="s">
        <v>2463</v>
      </c>
    </row>
    <row r="382" spans="1:40" s="86" customFormat="1" ht="59.25" customHeight="1">
      <c r="A382" s="402">
        <v>310055</v>
      </c>
      <c r="B382" s="89" t="s">
        <v>706</v>
      </c>
      <c r="C382" s="89" t="s">
        <v>707</v>
      </c>
      <c r="D382" s="88">
        <v>75050</v>
      </c>
      <c r="E382" s="88" t="s">
        <v>86</v>
      </c>
      <c r="F382" s="88" t="s">
        <v>51</v>
      </c>
      <c r="G382" s="88" t="s">
        <v>1040</v>
      </c>
      <c r="H382" s="88" t="s">
        <v>591</v>
      </c>
      <c r="I382" s="88" t="s">
        <v>40</v>
      </c>
      <c r="J382" s="89" t="s">
        <v>1288</v>
      </c>
      <c r="K382" s="103" t="s">
        <v>1402</v>
      </c>
      <c r="L382" s="403" t="s">
        <v>26</v>
      </c>
      <c r="M382" s="199">
        <v>45230</v>
      </c>
      <c r="N382" s="105">
        <v>44490</v>
      </c>
      <c r="O382" s="105"/>
      <c r="P382" s="203" t="s">
        <v>6063</v>
      </c>
      <c r="Q382" s="203" t="s">
        <v>1844</v>
      </c>
      <c r="R382" s="203"/>
      <c r="S382" s="203"/>
      <c r="T382" s="87" t="s">
        <v>5834</v>
      </c>
      <c r="U382" s="87" t="s">
        <v>1571</v>
      </c>
      <c r="V382" s="87"/>
      <c r="W382" s="88" t="s">
        <v>1571</v>
      </c>
      <c r="X382" s="249" t="s">
        <v>3998</v>
      </c>
      <c r="Y382" s="88"/>
      <c r="Z382" s="250"/>
      <c r="AA382" s="87" t="s">
        <v>2443</v>
      </c>
      <c r="AB382" s="250" t="s">
        <v>2090</v>
      </c>
      <c r="AC382" s="250"/>
      <c r="AD382" s="250"/>
      <c r="AE382" s="87"/>
      <c r="AF382" s="88" t="s">
        <v>1288</v>
      </c>
      <c r="AG382" s="88" t="s">
        <v>2090</v>
      </c>
      <c r="AH382" s="88" t="s">
        <v>2137</v>
      </c>
      <c r="AI382" s="224"/>
      <c r="AJ382" s="225">
        <v>2</v>
      </c>
      <c r="AK382" s="224" t="s">
        <v>2107</v>
      </c>
      <c r="AL382" s="224" t="s">
        <v>2444</v>
      </c>
      <c r="AM382" s="224" t="s">
        <v>2099</v>
      </c>
      <c r="AN382" s="224"/>
    </row>
    <row r="383" spans="1:40" s="86" customFormat="1" ht="59.25" customHeight="1">
      <c r="A383" s="402">
        <v>310151</v>
      </c>
      <c r="B383" s="89" t="s">
        <v>1123</v>
      </c>
      <c r="C383" s="89" t="s">
        <v>1124</v>
      </c>
      <c r="D383" s="88">
        <v>36615</v>
      </c>
      <c r="E383" s="88" t="s">
        <v>1125</v>
      </c>
      <c r="F383" s="88" t="s">
        <v>51</v>
      </c>
      <c r="G383" s="88"/>
      <c r="H383" s="88" t="s">
        <v>591</v>
      </c>
      <c r="I383" s="88" t="s">
        <v>41</v>
      </c>
      <c r="J383" s="89" t="s">
        <v>786</v>
      </c>
      <c r="K383" s="103" t="s">
        <v>1233</v>
      </c>
      <c r="L383" s="403" t="s">
        <v>26</v>
      </c>
      <c r="M383" s="199">
        <v>45657</v>
      </c>
      <c r="N383" s="105">
        <v>44536</v>
      </c>
      <c r="O383" s="105"/>
      <c r="P383" s="203" t="s">
        <v>4367</v>
      </c>
      <c r="Q383" s="203" t="s">
        <v>1845</v>
      </c>
      <c r="R383" s="203"/>
      <c r="S383" s="203"/>
      <c r="T383" s="87" t="s">
        <v>5159</v>
      </c>
      <c r="U383" s="87" t="s">
        <v>1571</v>
      </c>
      <c r="V383" s="87"/>
      <c r="W383" s="88" t="s">
        <v>1571</v>
      </c>
      <c r="X383" s="249" t="s">
        <v>5163</v>
      </c>
      <c r="Y383" s="88"/>
      <c r="Z383" s="250"/>
      <c r="AA383" s="87" t="s">
        <v>2464</v>
      </c>
      <c r="AB383" s="250" t="s">
        <v>2090</v>
      </c>
      <c r="AC383" s="250"/>
      <c r="AD383" s="250"/>
      <c r="AE383" s="87"/>
      <c r="AF383" s="88" t="s">
        <v>786</v>
      </c>
      <c r="AG383" s="88" t="s">
        <v>2104</v>
      </c>
      <c r="AH383" s="88"/>
      <c r="AI383" s="224" t="s">
        <v>2194</v>
      </c>
      <c r="AJ383" s="225">
        <v>2</v>
      </c>
      <c r="AK383" s="224" t="s">
        <v>2107</v>
      </c>
      <c r="AL383" s="224" t="s">
        <v>2465</v>
      </c>
      <c r="AM383" s="224" t="s">
        <v>2217</v>
      </c>
      <c r="AN383" s="224" t="s">
        <v>4225</v>
      </c>
    </row>
    <row r="384" spans="1:40" s="86" customFormat="1" ht="59.25" customHeight="1">
      <c r="A384" s="402">
        <v>310514</v>
      </c>
      <c r="B384" s="89" t="s">
        <v>920</v>
      </c>
      <c r="C384" s="89" t="s">
        <v>1041</v>
      </c>
      <c r="D384" s="88" t="s">
        <v>1042</v>
      </c>
      <c r="E384" s="88" t="s">
        <v>1043</v>
      </c>
      <c r="F384" s="88" t="s">
        <v>45</v>
      </c>
      <c r="G384" s="88" t="s">
        <v>1044</v>
      </c>
      <c r="H384" s="88" t="s">
        <v>591</v>
      </c>
      <c r="I384" s="88" t="s">
        <v>1114</v>
      </c>
      <c r="J384" s="89" t="s">
        <v>1288</v>
      </c>
      <c r="K384" s="103" t="s">
        <v>1402</v>
      </c>
      <c r="L384" s="403" t="s">
        <v>26</v>
      </c>
      <c r="M384" s="199">
        <v>45077</v>
      </c>
      <c r="N384" s="105">
        <v>44350</v>
      </c>
      <c r="O384" s="105"/>
      <c r="P384" s="203"/>
      <c r="Q384" s="203"/>
      <c r="R384" s="203"/>
      <c r="S384" s="203"/>
      <c r="T384" s="87" t="s">
        <v>1545</v>
      </c>
      <c r="U384" s="87" t="s">
        <v>1576</v>
      </c>
      <c r="V384" s="87"/>
      <c r="W384" s="88" t="s">
        <v>1576</v>
      </c>
      <c r="X384" s="249" t="s">
        <v>4614</v>
      </c>
      <c r="Y384" s="88"/>
      <c r="Z384" s="250"/>
      <c r="AA384" s="87" t="s">
        <v>2341</v>
      </c>
      <c r="AB384" s="250" t="s">
        <v>2128</v>
      </c>
      <c r="AC384" s="250" t="s">
        <v>2129</v>
      </c>
      <c r="AD384" s="250"/>
      <c r="AE384" s="87"/>
      <c r="AF384" s="88" t="s">
        <v>1288</v>
      </c>
      <c r="AG384" s="88" t="s">
        <v>2128</v>
      </c>
      <c r="AH384" s="88"/>
      <c r="AI384" s="224"/>
      <c r="AJ384" s="225">
        <v>1</v>
      </c>
      <c r="AK384" s="224" t="s">
        <v>2107</v>
      </c>
      <c r="AL384" s="224" t="s">
        <v>2342</v>
      </c>
      <c r="AM384" s="224" t="s">
        <v>2131</v>
      </c>
      <c r="AN384" s="224"/>
    </row>
    <row r="385" spans="1:40" s="86" customFormat="1" ht="59.25" customHeight="1">
      <c r="A385" s="402">
        <v>310756</v>
      </c>
      <c r="B385" s="89" t="s">
        <v>743</v>
      </c>
      <c r="C385" s="89" t="s">
        <v>756</v>
      </c>
      <c r="D385" s="88">
        <v>71950</v>
      </c>
      <c r="E385" s="88" t="s">
        <v>757</v>
      </c>
      <c r="F385" s="88" t="s">
        <v>558</v>
      </c>
      <c r="G385" s="88"/>
      <c r="H385" s="88" t="s">
        <v>591</v>
      </c>
      <c r="I385" s="88" t="s">
        <v>40</v>
      </c>
      <c r="J385" s="89" t="s">
        <v>5280</v>
      </c>
      <c r="K385" s="103" t="s">
        <v>1233</v>
      </c>
      <c r="L385" s="403" t="s">
        <v>26</v>
      </c>
      <c r="M385" s="199">
        <v>45230</v>
      </c>
      <c r="N385" s="105">
        <v>44319</v>
      </c>
      <c r="O385" s="105"/>
      <c r="P385" s="203" t="s">
        <v>1074</v>
      </c>
      <c r="Q385" s="203" t="s">
        <v>1846</v>
      </c>
      <c r="R385" s="203"/>
      <c r="S385" s="203"/>
      <c r="T385" s="87" t="s">
        <v>4675</v>
      </c>
      <c r="U385" s="87" t="s">
        <v>1568</v>
      </c>
      <c r="V385" s="87"/>
      <c r="W385" s="88" t="s">
        <v>1568</v>
      </c>
      <c r="X385" s="249" t="s">
        <v>3759</v>
      </c>
      <c r="Y385" s="88"/>
      <c r="Z385" s="250"/>
      <c r="AA385" s="87" t="s">
        <v>743</v>
      </c>
      <c r="AB385" s="250" t="s">
        <v>2072</v>
      </c>
      <c r="AC385" s="250"/>
      <c r="AD385" s="250"/>
      <c r="AE385" s="87"/>
      <c r="AF385" s="88" t="s">
        <v>5280</v>
      </c>
      <c r="AG385" s="88" t="s">
        <v>2073</v>
      </c>
      <c r="AH385" s="88" t="s">
        <v>2074</v>
      </c>
      <c r="AI385" s="224" t="s">
        <v>2075</v>
      </c>
      <c r="AJ385" s="225">
        <v>2</v>
      </c>
      <c r="AK385" s="224" t="s">
        <v>2076</v>
      </c>
      <c r="AL385" s="224" t="s">
        <v>2096</v>
      </c>
      <c r="AM385" s="224" t="s">
        <v>2077</v>
      </c>
      <c r="AN385" s="224"/>
    </row>
    <row r="386" spans="1:40" s="86" customFormat="1" ht="59.25" customHeight="1">
      <c r="A386" s="402">
        <v>310956</v>
      </c>
      <c r="B386" s="89" t="s">
        <v>771</v>
      </c>
      <c r="C386" s="89" t="s">
        <v>1045</v>
      </c>
      <c r="D386" s="88">
        <v>361006</v>
      </c>
      <c r="E386" s="88" t="s">
        <v>488</v>
      </c>
      <c r="F386" s="88" t="s">
        <v>175</v>
      </c>
      <c r="G386" s="88"/>
      <c r="H386" s="88" t="s">
        <v>591</v>
      </c>
      <c r="I386" s="88" t="s">
        <v>40</v>
      </c>
      <c r="J386" s="89" t="s">
        <v>1510</v>
      </c>
      <c r="K386" s="103" t="s">
        <v>1402</v>
      </c>
      <c r="L386" s="403" t="s">
        <v>26</v>
      </c>
      <c r="M386" s="199">
        <v>45350</v>
      </c>
      <c r="N386" s="105">
        <v>44424</v>
      </c>
      <c r="O386" s="105"/>
      <c r="P386" s="203" t="s">
        <v>4789</v>
      </c>
      <c r="Q386" s="203" t="s">
        <v>1847</v>
      </c>
      <c r="R386" s="203"/>
      <c r="S386" s="203"/>
      <c r="T386" s="87" t="s">
        <v>1563</v>
      </c>
      <c r="U386" s="87" t="s">
        <v>1571</v>
      </c>
      <c r="V386" s="87"/>
      <c r="W386" s="88" t="s">
        <v>1571</v>
      </c>
      <c r="X386" s="249" t="s">
        <v>3999</v>
      </c>
      <c r="Y386" s="88"/>
      <c r="Z386" s="250"/>
      <c r="AA386" s="87" t="s">
        <v>2348</v>
      </c>
      <c r="AB386" s="250" t="s">
        <v>2090</v>
      </c>
      <c r="AC386" s="250"/>
      <c r="AD386" s="250"/>
      <c r="AE386" s="87"/>
      <c r="AF386" s="88" t="s">
        <v>1510</v>
      </c>
      <c r="AG386" s="88" t="s">
        <v>2090</v>
      </c>
      <c r="AH386" s="88" t="s">
        <v>2105</v>
      </c>
      <c r="AI386" s="224"/>
      <c r="AJ386" s="225">
        <v>2</v>
      </c>
      <c r="AK386" s="224" t="s">
        <v>2085</v>
      </c>
      <c r="AL386" s="224" t="s">
        <v>2349</v>
      </c>
      <c r="AM386" s="224" t="s">
        <v>2099</v>
      </c>
      <c r="AN386" s="224" t="s">
        <v>2350</v>
      </c>
    </row>
    <row r="387" spans="1:40" s="86" customFormat="1" ht="59.25" customHeight="1">
      <c r="A387" s="402">
        <v>311186</v>
      </c>
      <c r="B387" s="89" t="s">
        <v>1126</v>
      </c>
      <c r="C387" s="89" t="s">
        <v>1127</v>
      </c>
      <c r="D387" s="88">
        <v>93065</v>
      </c>
      <c r="E387" s="88" t="s">
        <v>159</v>
      </c>
      <c r="F387" s="88" t="s">
        <v>51</v>
      </c>
      <c r="G387" s="88" t="s">
        <v>1128</v>
      </c>
      <c r="H387" s="88" t="s">
        <v>591</v>
      </c>
      <c r="I387" s="88" t="s">
        <v>40</v>
      </c>
      <c r="J387" s="89" t="s">
        <v>4441</v>
      </c>
      <c r="K387" s="103" t="s">
        <v>1233</v>
      </c>
      <c r="L387" s="403" t="s">
        <v>26</v>
      </c>
      <c r="M387" s="199">
        <v>45077</v>
      </c>
      <c r="N387" s="105">
        <v>44347</v>
      </c>
      <c r="O387" s="105"/>
      <c r="P387" s="203" t="s">
        <v>4603</v>
      </c>
      <c r="Q387" s="203" t="s">
        <v>1848</v>
      </c>
      <c r="R387" s="203"/>
      <c r="S387" s="203"/>
      <c r="T387" s="87" t="s">
        <v>4322</v>
      </c>
      <c r="U387" s="87" t="s">
        <v>1568</v>
      </c>
      <c r="V387" s="87"/>
      <c r="W387" s="88" t="s">
        <v>1568</v>
      </c>
      <c r="X387" s="249" t="s">
        <v>4001</v>
      </c>
      <c r="Y387" s="88"/>
      <c r="Z387" s="250" t="s">
        <v>2062</v>
      </c>
      <c r="AA387" s="87" t="s">
        <v>2280</v>
      </c>
      <c r="AB387" s="250" t="s">
        <v>2079</v>
      </c>
      <c r="AC387" s="250" t="s">
        <v>2466</v>
      </c>
      <c r="AD387" s="250"/>
      <c r="AE387" s="87" t="s">
        <v>2062</v>
      </c>
      <c r="AF387" s="88" t="s">
        <v>4441</v>
      </c>
      <c r="AG387" s="88" t="s">
        <v>2073</v>
      </c>
      <c r="AH387" s="88" t="s">
        <v>2074</v>
      </c>
      <c r="AI387" s="224" t="s">
        <v>2075</v>
      </c>
      <c r="AJ387" s="225">
        <v>2</v>
      </c>
      <c r="AK387" s="224" t="s">
        <v>2076</v>
      </c>
      <c r="AL387" s="224" t="s">
        <v>2498</v>
      </c>
      <c r="AM387" s="224" t="s">
        <v>2077</v>
      </c>
      <c r="AN387" s="224" t="s">
        <v>2281</v>
      </c>
    </row>
    <row r="388" spans="1:40" s="86" customFormat="1" ht="59.25" customHeight="1">
      <c r="A388" s="402">
        <v>311530</v>
      </c>
      <c r="B388" s="89" t="s">
        <v>1046</v>
      </c>
      <c r="C388" s="89" t="s">
        <v>1047</v>
      </c>
      <c r="D388" s="88" t="s">
        <v>1069</v>
      </c>
      <c r="E388" s="88" t="s">
        <v>1048</v>
      </c>
      <c r="F388" s="88" t="s">
        <v>1022</v>
      </c>
      <c r="G388" s="88"/>
      <c r="H388" s="88" t="s">
        <v>591</v>
      </c>
      <c r="I388" s="88" t="s">
        <v>40</v>
      </c>
      <c r="J388" s="89" t="s">
        <v>5282</v>
      </c>
      <c r="K388" s="103" t="s">
        <v>1233</v>
      </c>
      <c r="L388" s="403" t="s">
        <v>26</v>
      </c>
      <c r="M388" s="199">
        <v>45077</v>
      </c>
      <c r="N388" s="105">
        <v>44347</v>
      </c>
      <c r="O388" s="105"/>
      <c r="P388" s="203" t="s">
        <v>4702</v>
      </c>
      <c r="Q388" s="203" t="s">
        <v>1849</v>
      </c>
      <c r="R388" s="203"/>
      <c r="S388" s="203"/>
      <c r="T388" s="87" t="s">
        <v>4587</v>
      </c>
      <c r="U388" s="87" t="s">
        <v>1574</v>
      </c>
      <c r="V388" s="87"/>
      <c r="W388" s="88" t="s">
        <v>1568</v>
      </c>
      <c r="X388" s="249" t="s">
        <v>4002</v>
      </c>
      <c r="Y388" s="88"/>
      <c r="Z388" s="250"/>
      <c r="AA388" s="87" t="s">
        <v>2280</v>
      </c>
      <c r="AB388" s="250" t="s">
        <v>2072</v>
      </c>
      <c r="AC388" s="250"/>
      <c r="AD388" s="250"/>
      <c r="AE388" s="87"/>
      <c r="AF388" s="88" t="s">
        <v>4441</v>
      </c>
      <c r="AG388" s="88" t="s">
        <v>2073</v>
      </c>
      <c r="AH388" s="88" t="s">
        <v>2074</v>
      </c>
      <c r="AI388" s="224" t="s">
        <v>2075</v>
      </c>
      <c r="AJ388" s="225">
        <v>2</v>
      </c>
      <c r="AK388" s="224" t="s">
        <v>2076</v>
      </c>
      <c r="AL388" s="224" t="s">
        <v>2498</v>
      </c>
      <c r="AM388" s="224" t="s">
        <v>2077</v>
      </c>
      <c r="AN388" s="224" t="s">
        <v>2281</v>
      </c>
    </row>
    <row r="389" spans="1:40" s="86" customFormat="1" ht="59.25" customHeight="1">
      <c r="A389" s="402">
        <v>311711</v>
      </c>
      <c r="B389" s="89" t="s">
        <v>1265</v>
      </c>
      <c r="C389" s="89" t="s">
        <v>1266</v>
      </c>
      <c r="D389" s="88">
        <v>35306</v>
      </c>
      <c r="E389" s="88" t="s">
        <v>1267</v>
      </c>
      <c r="F389" s="88" t="s">
        <v>47</v>
      </c>
      <c r="G389" s="88" t="s">
        <v>2020</v>
      </c>
      <c r="H389" s="88" t="s">
        <v>591</v>
      </c>
      <c r="I389" s="88" t="s">
        <v>40</v>
      </c>
      <c r="J389" s="89" t="s">
        <v>5280</v>
      </c>
      <c r="K389" s="103" t="s">
        <v>1233</v>
      </c>
      <c r="L389" s="403" t="s">
        <v>26</v>
      </c>
      <c r="M389" s="199">
        <v>45382</v>
      </c>
      <c r="N389" s="105">
        <v>44467</v>
      </c>
      <c r="O389" s="105"/>
      <c r="P389" s="203" t="s">
        <v>5623</v>
      </c>
      <c r="Q389" s="203" t="s">
        <v>1850</v>
      </c>
      <c r="R389" s="203" t="s">
        <v>2014</v>
      </c>
      <c r="S389" s="203"/>
      <c r="T389" s="87" t="s">
        <v>5438</v>
      </c>
      <c r="U389" s="87" t="s">
        <v>1568</v>
      </c>
      <c r="V389" s="87"/>
      <c r="W389" s="88" t="s">
        <v>1568</v>
      </c>
      <c r="X389" s="249" t="s">
        <v>5927</v>
      </c>
      <c r="Y389" s="88"/>
      <c r="Z389" s="250"/>
      <c r="AA389" s="87" t="s">
        <v>1265</v>
      </c>
      <c r="AB389" s="250" t="s">
        <v>2072</v>
      </c>
      <c r="AC389" s="250"/>
      <c r="AD389" s="250"/>
      <c r="AE389" s="87"/>
      <c r="AF389" s="88" t="s">
        <v>5280</v>
      </c>
      <c r="AG389" s="88" t="s">
        <v>2073</v>
      </c>
      <c r="AH389" s="88" t="s">
        <v>2074</v>
      </c>
      <c r="AI389" s="224"/>
      <c r="AJ389" s="225">
        <v>3</v>
      </c>
      <c r="AK389" s="224" t="s">
        <v>2076</v>
      </c>
      <c r="AL389" s="224" t="s">
        <v>4875</v>
      </c>
      <c r="AM389" s="224" t="s">
        <v>2077</v>
      </c>
      <c r="AN389" s="224"/>
    </row>
    <row r="390" spans="1:40" s="86" customFormat="1" ht="59.25" customHeight="1">
      <c r="A390" s="402">
        <v>311796</v>
      </c>
      <c r="B390" s="89" t="s">
        <v>1411</v>
      </c>
      <c r="C390" s="89" t="s">
        <v>1204</v>
      </c>
      <c r="D390" s="88">
        <v>30269</v>
      </c>
      <c r="E390" s="88" t="s">
        <v>1205</v>
      </c>
      <c r="F390" s="88" t="s">
        <v>51</v>
      </c>
      <c r="G390" s="88"/>
      <c r="H390" s="88" t="s">
        <v>591</v>
      </c>
      <c r="I390" s="88" t="s">
        <v>737</v>
      </c>
      <c r="J390" s="89" t="s">
        <v>5449</v>
      </c>
      <c r="K390" s="103" t="s">
        <v>1402</v>
      </c>
      <c r="L390" s="403" t="s">
        <v>26</v>
      </c>
      <c r="M390" s="199">
        <v>45350</v>
      </c>
      <c r="N390" s="105">
        <v>44434</v>
      </c>
      <c r="O390" s="105"/>
      <c r="P390" s="203"/>
      <c r="Q390" s="203"/>
      <c r="R390" s="203"/>
      <c r="S390" s="203"/>
      <c r="T390" s="87" t="s">
        <v>5835</v>
      </c>
      <c r="U390" s="87" t="s">
        <v>1581</v>
      </c>
      <c r="V390" s="87"/>
      <c r="W390" s="88" t="s">
        <v>1581</v>
      </c>
      <c r="X390" s="249"/>
      <c r="Y390" s="88"/>
      <c r="Z390" s="250"/>
      <c r="AA390" s="87"/>
      <c r="AB390" s="250"/>
      <c r="AC390" s="250"/>
      <c r="AD390" s="250"/>
      <c r="AE390" s="87"/>
      <c r="AF390" s="88"/>
      <c r="AG390" s="88"/>
      <c r="AH390" s="88"/>
      <c r="AI390" s="224"/>
      <c r="AJ390" s="225"/>
      <c r="AK390" s="224"/>
      <c r="AL390" s="224"/>
      <c r="AM390" s="224"/>
      <c r="AN390" s="224"/>
    </row>
    <row r="391" spans="1:40" s="86" customFormat="1" ht="59.25" customHeight="1">
      <c r="A391" s="402">
        <v>311876</v>
      </c>
      <c r="B391" s="89" t="s">
        <v>1049</v>
      </c>
      <c r="C391" s="89" t="s">
        <v>1050</v>
      </c>
      <c r="D391" s="88">
        <v>67301</v>
      </c>
      <c r="E391" s="88" t="s">
        <v>1051</v>
      </c>
      <c r="F391" s="88" t="s">
        <v>51</v>
      </c>
      <c r="G391" s="88" t="s">
        <v>1052</v>
      </c>
      <c r="H391" s="88" t="s">
        <v>591</v>
      </c>
      <c r="I391" s="88" t="s">
        <v>40</v>
      </c>
      <c r="J391" s="89" t="s">
        <v>5450</v>
      </c>
      <c r="K391" s="103" t="s">
        <v>1233</v>
      </c>
      <c r="L391" s="403" t="s">
        <v>26</v>
      </c>
      <c r="M391" s="199">
        <v>45077</v>
      </c>
      <c r="N391" s="105">
        <v>44705</v>
      </c>
      <c r="O391" s="105"/>
      <c r="P391" s="203" t="s">
        <v>6064</v>
      </c>
      <c r="Q391" s="203" t="s">
        <v>1851</v>
      </c>
      <c r="R391" s="203"/>
      <c r="S391" s="203"/>
      <c r="T391" s="87" t="s">
        <v>5098</v>
      </c>
      <c r="U391" s="87" t="s">
        <v>1571</v>
      </c>
      <c r="V391" s="87"/>
      <c r="W391" s="88" t="s">
        <v>1571</v>
      </c>
      <c r="X391" s="249" t="s">
        <v>4005</v>
      </c>
      <c r="Y391" s="88"/>
      <c r="Z391" s="250" t="s">
        <v>2063</v>
      </c>
      <c r="AA391" s="87" t="s">
        <v>2132</v>
      </c>
      <c r="AB391" s="250" t="s">
        <v>2079</v>
      </c>
      <c r="AC391" s="250" t="s">
        <v>2467</v>
      </c>
      <c r="AD391" s="250"/>
      <c r="AE391" s="87" t="s">
        <v>2063</v>
      </c>
      <c r="AF391" s="88" t="s">
        <v>5517</v>
      </c>
      <c r="AG391" s="88" t="s">
        <v>2073</v>
      </c>
      <c r="AH391" s="88" t="s">
        <v>2074</v>
      </c>
      <c r="AI391" s="224" t="s">
        <v>2075</v>
      </c>
      <c r="AJ391" s="225">
        <v>2</v>
      </c>
      <c r="AK391" s="224" t="s">
        <v>2133</v>
      </c>
      <c r="AL391" s="224" t="s">
        <v>2134</v>
      </c>
      <c r="AM391" s="224" t="s">
        <v>2099</v>
      </c>
      <c r="AN391" s="224" t="s">
        <v>2135</v>
      </c>
    </row>
    <row r="392" spans="1:40" s="86" customFormat="1" ht="59.25" customHeight="1">
      <c r="A392" s="402">
        <v>311909</v>
      </c>
      <c r="B392" s="89" t="s">
        <v>1053</v>
      </c>
      <c r="C392" s="89" t="s">
        <v>1054</v>
      </c>
      <c r="D392" s="88" t="s">
        <v>1055</v>
      </c>
      <c r="E392" s="88" t="s">
        <v>1056</v>
      </c>
      <c r="F392" s="88" t="s">
        <v>45</v>
      </c>
      <c r="G392" s="88"/>
      <c r="H392" s="88" t="s">
        <v>591</v>
      </c>
      <c r="I392" s="88" t="s">
        <v>685</v>
      </c>
      <c r="J392" s="89" t="s">
        <v>4638</v>
      </c>
      <c r="K392" s="103"/>
      <c r="L392" s="403" t="s">
        <v>26</v>
      </c>
      <c r="M392" s="199">
        <v>45107</v>
      </c>
      <c r="N392" s="105">
        <v>44175</v>
      </c>
      <c r="O392" s="105"/>
      <c r="P392" s="203" t="s">
        <v>4624</v>
      </c>
      <c r="Q392" s="203" t="s">
        <v>2024</v>
      </c>
      <c r="R392" s="203"/>
      <c r="S392" s="203" t="s">
        <v>4381</v>
      </c>
      <c r="T392" s="87" t="s">
        <v>1564</v>
      </c>
      <c r="U392" s="87" t="s">
        <v>1568</v>
      </c>
      <c r="V392" s="87"/>
      <c r="W392" s="88" t="s">
        <v>1568</v>
      </c>
      <c r="X392" s="249" t="s">
        <v>4007</v>
      </c>
      <c r="Y392" s="88"/>
      <c r="Z392" s="250"/>
      <c r="AA392" s="87" t="s">
        <v>1053</v>
      </c>
      <c r="AB392" s="250" t="s">
        <v>2120</v>
      </c>
      <c r="AC392" s="250" t="s">
        <v>2121</v>
      </c>
      <c r="AD392" s="250"/>
      <c r="AE392" s="87"/>
      <c r="AF392" s="88" t="s">
        <v>4638</v>
      </c>
      <c r="AG392" s="88" t="s">
        <v>2120</v>
      </c>
      <c r="AH392" s="88"/>
      <c r="AI392" s="224" t="s">
        <v>2122</v>
      </c>
      <c r="AJ392" s="225">
        <v>3</v>
      </c>
      <c r="AK392" s="224" t="s">
        <v>2107</v>
      </c>
      <c r="AL392" s="224" t="s">
        <v>2468</v>
      </c>
      <c r="AM392" s="224" t="s">
        <v>2152</v>
      </c>
      <c r="AN392" s="224" t="s">
        <v>2469</v>
      </c>
    </row>
    <row r="393" spans="1:40" s="86" customFormat="1" ht="59.25" customHeight="1">
      <c r="A393" s="402">
        <v>312248</v>
      </c>
      <c r="B393" s="89" t="s">
        <v>1422</v>
      </c>
      <c r="C393" s="89" t="s">
        <v>1259</v>
      </c>
      <c r="D393" s="88">
        <v>8500</v>
      </c>
      <c r="E393" s="88" t="s">
        <v>1260</v>
      </c>
      <c r="F393" s="88" t="s">
        <v>118</v>
      </c>
      <c r="G393" s="88"/>
      <c r="H393" s="88" t="s">
        <v>591</v>
      </c>
      <c r="I393" s="88" t="s">
        <v>40</v>
      </c>
      <c r="J393" s="89" t="s">
        <v>5278</v>
      </c>
      <c r="K393" s="103" t="s">
        <v>1233</v>
      </c>
      <c r="L393" s="403" t="s">
        <v>26</v>
      </c>
      <c r="M393" s="199">
        <v>45596</v>
      </c>
      <c r="N393" s="105">
        <v>44629</v>
      </c>
      <c r="O393" s="105"/>
      <c r="P393" s="203" t="s">
        <v>5039</v>
      </c>
      <c r="Q393" s="203" t="s">
        <v>1852</v>
      </c>
      <c r="R393" s="203"/>
      <c r="S393" s="203"/>
      <c r="T393" s="87" t="s">
        <v>5227</v>
      </c>
      <c r="U393" s="87" t="s">
        <v>1568</v>
      </c>
      <c r="V393" s="87"/>
      <c r="W393" s="88" t="s">
        <v>1568</v>
      </c>
      <c r="X393" s="249" t="s">
        <v>4009</v>
      </c>
      <c r="Y393" s="88"/>
      <c r="Z393" s="250" t="s">
        <v>2064</v>
      </c>
      <c r="AA393" s="87" t="s">
        <v>2078</v>
      </c>
      <c r="AB393" s="250" t="s">
        <v>2079</v>
      </c>
      <c r="AC393" s="250" t="s">
        <v>2470</v>
      </c>
      <c r="AD393" s="250"/>
      <c r="AE393" s="87" t="s">
        <v>2064</v>
      </c>
      <c r="AF393" s="88" t="s">
        <v>5278</v>
      </c>
      <c r="AG393" s="88" t="s">
        <v>4417</v>
      </c>
      <c r="AH393" s="88"/>
      <c r="AI393" s="224"/>
      <c r="AJ393" s="225">
        <v>4</v>
      </c>
      <c r="AK393" s="224" t="s">
        <v>2080</v>
      </c>
      <c r="AL393" s="224" t="s">
        <v>2081</v>
      </c>
      <c r="AM393" s="224" t="s">
        <v>2082</v>
      </c>
      <c r="AN393" s="224" t="s">
        <v>2083</v>
      </c>
    </row>
    <row r="394" spans="1:40" s="86" customFormat="1" ht="59.25" customHeight="1">
      <c r="A394" s="402">
        <v>312649</v>
      </c>
      <c r="B394" s="89" t="s">
        <v>5200</v>
      </c>
      <c r="C394" s="89" t="s">
        <v>5201</v>
      </c>
      <c r="D394" s="88">
        <v>11111</v>
      </c>
      <c r="E394" s="88" t="s">
        <v>562</v>
      </c>
      <c r="F394" s="88" t="s">
        <v>549</v>
      </c>
      <c r="G394" s="88" t="s">
        <v>5202</v>
      </c>
      <c r="H394" s="88" t="s">
        <v>591</v>
      </c>
      <c r="I394" s="88" t="s">
        <v>749</v>
      </c>
      <c r="J394" s="89" t="s">
        <v>1510</v>
      </c>
      <c r="K394" s="103" t="s">
        <v>1233</v>
      </c>
      <c r="L394" s="403" t="s">
        <v>26</v>
      </c>
      <c r="M394" s="199">
        <v>45339</v>
      </c>
      <c r="N394" s="105">
        <v>44609</v>
      </c>
      <c r="O394" s="105"/>
      <c r="P394" s="203" t="s">
        <v>5211</v>
      </c>
      <c r="Q394" s="203" t="s">
        <v>5212</v>
      </c>
      <c r="R394" s="203"/>
      <c r="S394" s="203"/>
      <c r="T394" s="87" t="s">
        <v>5214</v>
      </c>
      <c r="U394" s="87" t="s">
        <v>1575</v>
      </c>
      <c r="V394" s="87" t="s">
        <v>1571</v>
      </c>
      <c r="W394" s="88"/>
      <c r="X394" s="249"/>
      <c r="Y394" s="88"/>
      <c r="Z394" s="250"/>
      <c r="AA394" s="87"/>
      <c r="AB394" s="250"/>
      <c r="AC394" s="250"/>
      <c r="AD394" s="250"/>
      <c r="AE394" s="87"/>
      <c r="AF394" s="88"/>
      <c r="AG394" s="88"/>
      <c r="AH394" s="88"/>
      <c r="AI394" s="224"/>
      <c r="AJ394" s="225"/>
      <c r="AK394" s="224"/>
      <c r="AL394" s="224"/>
      <c r="AM394" s="224"/>
      <c r="AN394" s="224"/>
    </row>
    <row r="395" spans="1:40" s="86" customFormat="1" ht="59.25" customHeight="1">
      <c r="A395" s="402">
        <v>313589</v>
      </c>
      <c r="B395" s="89" t="s">
        <v>1393</v>
      </c>
      <c r="C395" s="89" t="s">
        <v>1394</v>
      </c>
      <c r="D395" s="88">
        <v>644324</v>
      </c>
      <c r="E395" s="88" t="s">
        <v>380</v>
      </c>
      <c r="F395" s="88" t="s">
        <v>381</v>
      </c>
      <c r="G395" s="88" t="s">
        <v>2019</v>
      </c>
      <c r="H395" s="88" t="s">
        <v>591</v>
      </c>
      <c r="I395" s="88" t="s">
        <v>40</v>
      </c>
      <c r="J395" s="89" t="s">
        <v>5449</v>
      </c>
      <c r="K395" s="103" t="s">
        <v>1402</v>
      </c>
      <c r="L395" s="403" t="s">
        <v>26</v>
      </c>
      <c r="M395" s="199">
        <v>45350</v>
      </c>
      <c r="N395" s="105">
        <v>44434</v>
      </c>
      <c r="O395" s="105"/>
      <c r="P395" s="203" t="s">
        <v>4703</v>
      </c>
      <c r="Q395" s="203" t="s">
        <v>1853</v>
      </c>
      <c r="R395" s="203"/>
      <c r="S395" s="203"/>
      <c r="T395" s="87" t="s">
        <v>4676</v>
      </c>
      <c r="U395" s="87" t="s">
        <v>1571</v>
      </c>
      <c r="V395" s="87"/>
      <c r="W395" s="88" t="s">
        <v>1571</v>
      </c>
      <c r="X395" s="249" t="s">
        <v>5955</v>
      </c>
      <c r="Y395" s="88"/>
      <c r="Z395" s="250"/>
      <c r="AA395" s="87" t="s">
        <v>2097</v>
      </c>
      <c r="AB395" s="250" t="s">
        <v>2072</v>
      </c>
      <c r="AC395" s="250"/>
      <c r="AD395" s="250"/>
      <c r="AE395" s="87"/>
      <c r="AF395" s="88" t="s">
        <v>5449</v>
      </c>
      <c r="AG395" s="88" t="s">
        <v>2073</v>
      </c>
      <c r="AH395" s="88" t="s">
        <v>2074</v>
      </c>
      <c r="AI395" s="224" t="s">
        <v>2075</v>
      </c>
      <c r="AJ395" s="225">
        <v>2</v>
      </c>
      <c r="AK395" s="224" t="s">
        <v>2076</v>
      </c>
      <c r="AL395" s="224" t="s">
        <v>2098</v>
      </c>
      <c r="AM395" s="224" t="s">
        <v>2099</v>
      </c>
      <c r="AN395" s="224"/>
    </row>
    <row r="396" spans="1:40" s="86" customFormat="1" ht="59.25" customHeight="1">
      <c r="A396" s="402">
        <v>313831</v>
      </c>
      <c r="B396" s="89" t="s">
        <v>1163</v>
      </c>
      <c r="C396" s="89" t="s">
        <v>1164</v>
      </c>
      <c r="D396" s="88">
        <v>486164</v>
      </c>
      <c r="E396" s="88" t="s">
        <v>336</v>
      </c>
      <c r="F396" s="88" t="s">
        <v>337</v>
      </c>
      <c r="G396" s="88" t="s">
        <v>1165</v>
      </c>
      <c r="H396" s="88" t="s">
        <v>591</v>
      </c>
      <c r="I396" s="88" t="s">
        <v>40</v>
      </c>
      <c r="J396" s="89" t="s">
        <v>1288</v>
      </c>
      <c r="K396" s="103" t="s">
        <v>1233</v>
      </c>
      <c r="L396" s="403" t="s">
        <v>26</v>
      </c>
      <c r="M396" s="199">
        <v>45229</v>
      </c>
      <c r="N396" s="105">
        <v>44509</v>
      </c>
      <c r="O396" s="105"/>
      <c r="P396" s="203" t="s">
        <v>5467</v>
      </c>
      <c r="Q396" s="203" t="s">
        <v>4405</v>
      </c>
      <c r="R396" s="203"/>
      <c r="S396" s="203"/>
      <c r="T396" s="87" t="s">
        <v>1565</v>
      </c>
      <c r="U396" s="87" t="s">
        <v>1571</v>
      </c>
      <c r="V396" s="87"/>
      <c r="W396" s="88" t="s">
        <v>1571</v>
      </c>
      <c r="X396" s="249" t="s">
        <v>4011</v>
      </c>
      <c r="Y396" s="88"/>
      <c r="Z396" s="250"/>
      <c r="AA396" s="87" t="s">
        <v>2265</v>
      </c>
      <c r="AB396" s="250" t="s">
        <v>2090</v>
      </c>
      <c r="AC396" s="250"/>
      <c r="AD396" s="250"/>
      <c r="AE396" s="87"/>
      <c r="AF396" s="88" t="s">
        <v>1288</v>
      </c>
      <c r="AG396" s="88" t="s">
        <v>2090</v>
      </c>
      <c r="AH396" s="88" t="s">
        <v>2214</v>
      </c>
      <c r="AI396" s="224" t="s">
        <v>2122</v>
      </c>
      <c r="AJ396" s="225">
        <v>3</v>
      </c>
      <c r="AK396" s="224" t="s">
        <v>2133</v>
      </c>
      <c r="AL396" s="224" t="s">
        <v>2266</v>
      </c>
      <c r="AM396" s="224" t="s">
        <v>2099</v>
      </c>
      <c r="AN396" s="224" t="s">
        <v>2267</v>
      </c>
    </row>
    <row r="397" spans="1:40" s="86" customFormat="1" ht="59.25" customHeight="1">
      <c r="A397" s="402">
        <v>313897</v>
      </c>
      <c r="B397" s="89" t="s">
        <v>1057</v>
      </c>
      <c r="C397" s="89" t="s">
        <v>1058</v>
      </c>
      <c r="D397" s="88" t="s">
        <v>1059</v>
      </c>
      <c r="E397" s="88" t="s">
        <v>788</v>
      </c>
      <c r="F397" s="88" t="s">
        <v>45</v>
      </c>
      <c r="G397" s="88" t="s">
        <v>1060</v>
      </c>
      <c r="H397" s="88" t="s">
        <v>591</v>
      </c>
      <c r="I397" s="88" t="s">
        <v>40</v>
      </c>
      <c r="J397" s="89" t="s">
        <v>5449</v>
      </c>
      <c r="K397" s="103"/>
      <c r="L397" s="403" t="s">
        <v>26</v>
      </c>
      <c r="M397" s="199">
        <v>45199</v>
      </c>
      <c r="N397" s="105">
        <v>44074</v>
      </c>
      <c r="O397" s="105"/>
      <c r="P397" s="203" t="s">
        <v>5072</v>
      </c>
      <c r="Q397" s="203" t="s">
        <v>1854</v>
      </c>
      <c r="R397" s="203"/>
      <c r="S397" s="203"/>
      <c r="T397" s="87" t="s">
        <v>5099</v>
      </c>
      <c r="U397" s="87" t="s">
        <v>1571</v>
      </c>
      <c r="V397" s="87"/>
      <c r="W397" s="88" t="s">
        <v>1571</v>
      </c>
      <c r="X397" s="249" t="s">
        <v>4013</v>
      </c>
      <c r="Y397" s="88"/>
      <c r="Z397" s="250" t="s">
        <v>5333</v>
      </c>
      <c r="AA397" s="87" t="s">
        <v>2401</v>
      </c>
      <c r="AB397" s="250" t="s">
        <v>2072</v>
      </c>
      <c r="AC397" s="250" t="s">
        <v>5333</v>
      </c>
      <c r="AD397" s="250"/>
      <c r="AE397" s="87" t="s">
        <v>5333</v>
      </c>
      <c r="AF397" s="88" t="s">
        <v>5449</v>
      </c>
      <c r="AG397" s="88" t="s">
        <v>2283</v>
      </c>
      <c r="AH397" s="88" t="s">
        <v>2113</v>
      </c>
      <c r="AI397" s="224"/>
      <c r="AJ397" s="225">
        <v>4</v>
      </c>
      <c r="AK397" s="224" t="s">
        <v>2087</v>
      </c>
      <c r="AL397" s="224" t="s">
        <v>2499</v>
      </c>
      <c r="AM397" s="224" t="s">
        <v>2087</v>
      </c>
      <c r="AN397" s="224"/>
    </row>
    <row r="398" spans="1:40" s="86" customFormat="1" ht="59.25" customHeight="1">
      <c r="A398" s="402">
        <v>313936</v>
      </c>
      <c r="B398" s="89" t="s">
        <v>1061</v>
      </c>
      <c r="C398" s="89" t="s">
        <v>1062</v>
      </c>
      <c r="D398" s="88" t="s">
        <v>1063</v>
      </c>
      <c r="E398" s="88" t="s">
        <v>1064</v>
      </c>
      <c r="F398" s="88" t="s">
        <v>45</v>
      </c>
      <c r="G398" s="88" t="s">
        <v>1065</v>
      </c>
      <c r="H398" s="88" t="s">
        <v>591</v>
      </c>
      <c r="I398" s="88" t="s">
        <v>40</v>
      </c>
      <c r="J398" s="89" t="s">
        <v>5450</v>
      </c>
      <c r="K398" s="103" t="s">
        <v>1233</v>
      </c>
      <c r="L398" s="403" t="s">
        <v>26</v>
      </c>
      <c r="M398" s="199">
        <v>45077</v>
      </c>
      <c r="N398" s="105">
        <v>44705</v>
      </c>
      <c r="O398" s="105"/>
      <c r="P398" s="203" t="s">
        <v>4945</v>
      </c>
      <c r="Q398" s="203" t="s">
        <v>1855</v>
      </c>
      <c r="R398" s="203"/>
      <c r="S398" s="203"/>
      <c r="T398" s="87" t="s">
        <v>5023</v>
      </c>
      <c r="U398" s="87" t="s">
        <v>1581</v>
      </c>
      <c r="V398" s="87"/>
      <c r="W398" s="88" t="s">
        <v>1581</v>
      </c>
      <c r="X398" s="249"/>
      <c r="Y398" s="88"/>
      <c r="Z398" s="250" t="s">
        <v>2065</v>
      </c>
      <c r="AA398" s="87" t="s">
        <v>2132</v>
      </c>
      <c r="AB398" s="250" t="s">
        <v>2079</v>
      </c>
      <c r="AC398" s="250" t="s">
        <v>2471</v>
      </c>
      <c r="AD398" s="250"/>
      <c r="AE398" s="87" t="s">
        <v>2065</v>
      </c>
      <c r="AF398" s="88" t="s">
        <v>5517</v>
      </c>
      <c r="AG398" s="88" t="s">
        <v>2073</v>
      </c>
      <c r="AH398" s="88" t="s">
        <v>2074</v>
      </c>
      <c r="AI398" s="224" t="s">
        <v>2075</v>
      </c>
      <c r="AJ398" s="225">
        <v>2</v>
      </c>
      <c r="AK398" s="224" t="s">
        <v>2133</v>
      </c>
      <c r="AL398" s="224" t="s">
        <v>2134</v>
      </c>
      <c r="AM398" s="224" t="s">
        <v>2099</v>
      </c>
      <c r="AN398" s="224" t="s">
        <v>2135</v>
      </c>
    </row>
    <row r="399" spans="1:40" s="86" customFormat="1" ht="59.25" customHeight="1">
      <c r="A399" s="404">
        <v>314059</v>
      </c>
      <c r="B399" s="89" t="s">
        <v>1094</v>
      </c>
      <c r="C399" s="89" t="s">
        <v>1095</v>
      </c>
      <c r="D399" s="88" t="s">
        <v>1096</v>
      </c>
      <c r="E399" s="88" t="s">
        <v>1097</v>
      </c>
      <c r="F399" s="88" t="s">
        <v>45</v>
      </c>
      <c r="G399" s="88" t="s">
        <v>1098</v>
      </c>
      <c r="H399" s="88" t="s">
        <v>591</v>
      </c>
      <c r="I399" s="88" t="s">
        <v>43</v>
      </c>
      <c r="J399" s="89" t="s">
        <v>1421</v>
      </c>
      <c r="K399" s="103" t="s">
        <v>1233</v>
      </c>
      <c r="L399" s="405" t="s">
        <v>27</v>
      </c>
      <c r="M399" s="199">
        <v>44834</v>
      </c>
      <c r="N399" s="105">
        <v>44650</v>
      </c>
      <c r="O399" s="105"/>
      <c r="P399" s="203" t="s">
        <v>6065</v>
      </c>
      <c r="Q399" s="203" t="s">
        <v>1856</v>
      </c>
      <c r="R399" s="203"/>
      <c r="S399" s="203"/>
      <c r="T399" s="87"/>
      <c r="U399" s="87"/>
      <c r="V399" s="87" t="s">
        <v>1571</v>
      </c>
      <c r="W399" s="88"/>
      <c r="X399" s="249"/>
      <c r="Y399" s="88"/>
      <c r="Z399" s="250"/>
      <c r="AA399" s="87" t="s">
        <v>2472</v>
      </c>
      <c r="AB399" s="250" t="s">
        <v>2090</v>
      </c>
      <c r="AC399" s="250"/>
      <c r="AD399" s="250"/>
      <c r="AE399" s="87"/>
      <c r="AF399" s="88" t="s">
        <v>1421</v>
      </c>
      <c r="AG399" s="88" t="s">
        <v>2269</v>
      </c>
      <c r="AH399" s="88"/>
      <c r="AI399" s="224" t="s">
        <v>2194</v>
      </c>
      <c r="AJ399" s="225">
        <v>3</v>
      </c>
      <c r="AK399" s="224" t="s">
        <v>2107</v>
      </c>
      <c r="AL399" s="224"/>
      <c r="AM399" s="224" t="s">
        <v>2326</v>
      </c>
      <c r="AN399" s="224"/>
    </row>
    <row r="400" spans="1:40" s="86" customFormat="1" ht="59.25" customHeight="1">
      <c r="A400" s="402">
        <v>314094</v>
      </c>
      <c r="B400" s="89" t="s">
        <v>1089</v>
      </c>
      <c r="C400" s="89" t="s">
        <v>1090</v>
      </c>
      <c r="D400" s="88">
        <v>1022</v>
      </c>
      <c r="E400" s="88" t="s">
        <v>1091</v>
      </c>
      <c r="F400" s="88" t="s">
        <v>51</v>
      </c>
      <c r="G400" s="88"/>
      <c r="H400" s="88" t="s">
        <v>591</v>
      </c>
      <c r="I400" s="88" t="s">
        <v>43</v>
      </c>
      <c r="J400" s="89" t="s">
        <v>1421</v>
      </c>
      <c r="K400" s="103" t="s">
        <v>1402</v>
      </c>
      <c r="L400" s="403" t="s">
        <v>26</v>
      </c>
      <c r="M400" s="199">
        <v>44895</v>
      </c>
      <c r="N400" s="105">
        <v>44687</v>
      </c>
      <c r="O400" s="105"/>
      <c r="P400" s="203" t="s">
        <v>1500</v>
      </c>
      <c r="Q400" s="203" t="s">
        <v>1857</v>
      </c>
      <c r="R400" s="203"/>
      <c r="S400" s="203"/>
      <c r="T400" s="87"/>
      <c r="U400" s="87"/>
      <c r="V400" s="87"/>
      <c r="W400" s="88"/>
      <c r="X400" s="249"/>
      <c r="Y400" s="88"/>
      <c r="Z400" s="250"/>
      <c r="AA400" s="87" t="s">
        <v>2473</v>
      </c>
      <c r="AB400" s="250" t="s">
        <v>2090</v>
      </c>
      <c r="AC400" s="250"/>
      <c r="AD400" s="250"/>
      <c r="AE400" s="87"/>
      <c r="AF400" s="88" t="s">
        <v>1421</v>
      </c>
      <c r="AG400" s="88" t="s">
        <v>2269</v>
      </c>
      <c r="AH400" s="88"/>
      <c r="AI400" s="224" t="s">
        <v>2194</v>
      </c>
      <c r="AJ400" s="225">
        <v>3</v>
      </c>
      <c r="AK400" s="224" t="s">
        <v>2107</v>
      </c>
      <c r="AL400" s="224"/>
      <c r="AM400" s="224" t="s">
        <v>2326</v>
      </c>
      <c r="AN400" s="224"/>
    </row>
    <row r="401" spans="1:40" s="86" customFormat="1" ht="59.25" customHeight="1">
      <c r="A401" s="402">
        <v>314403</v>
      </c>
      <c r="B401" s="89" t="s">
        <v>1085</v>
      </c>
      <c r="C401" s="89" t="s">
        <v>1086</v>
      </c>
      <c r="D401" s="88"/>
      <c r="E401" s="88" t="s">
        <v>1087</v>
      </c>
      <c r="F401" s="88" t="s">
        <v>1088</v>
      </c>
      <c r="G401" s="88"/>
      <c r="H401" s="88" t="s">
        <v>591</v>
      </c>
      <c r="I401" s="88" t="s">
        <v>40</v>
      </c>
      <c r="J401" s="89" t="s">
        <v>5450</v>
      </c>
      <c r="K401" s="103"/>
      <c r="L401" s="403" t="s">
        <v>26</v>
      </c>
      <c r="M401" s="199">
        <v>44926</v>
      </c>
      <c r="N401" s="105">
        <v>44186</v>
      </c>
      <c r="O401" s="105"/>
      <c r="P401" s="203" t="s">
        <v>5468</v>
      </c>
      <c r="Q401" s="203" t="s">
        <v>1858</v>
      </c>
      <c r="R401" s="203"/>
      <c r="S401" s="203"/>
      <c r="T401" s="87" t="s">
        <v>5100</v>
      </c>
      <c r="U401" s="87" t="s">
        <v>1568</v>
      </c>
      <c r="V401" s="87"/>
      <c r="W401" s="88" t="s">
        <v>1568</v>
      </c>
      <c r="X401" s="249" t="s">
        <v>4015</v>
      </c>
      <c r="Y401" s="88"/>
      <c r="Z401" s="250"/>
      <c r="AA401" s="87" t="s">
        <v>2124</v>
      </c>
      <c r="AB401" s="250" t="s">
        <v>2072</v>
      </c>
      <c r="AC401" s="250"/>
      <c r="AD401" s="250"/>
      <c r="AE401" s="87"/>
      <c r="AF401" s="88" t="s">
        <v>5517</v>
      </c>
      <c r="AG401" s="88" t="s">
        <v>2073</v>
      </c>
      <c r="AH401" s="88" t="s">
        <v>2116</v>
      </c>
      <c r="AI401" s="224" t="s">
        <v>2125</v>
      </c>
      <c r="AJ401" s="225">
        <v>3</v>
      </c>
      <c r="AK401" s="224" t="s">
        <v>2085</v>
      </c>
      <c r="AL401" s="224" t="s">
        <v>2126</v>
      </c>
      <c r="AM401" s="224" t="s">
        <v>2087</v>
      </c>
      <c r="AN401" s="224"/>
    </row>
    <row r="402" spans="1:40" s="86" customFormat="1" ht="59.25" customHeight="1">
      <c r="A402" s="402">
        <v>316391</v>
      </c>
      <c r="B402" s="89" t="s">
        <v>1159</v>
      </c>
      <c r="C402" s="89" t="s">
        <v>1160</v>
      </c>
      <c r="D402" s="88">
        <v>67152</v>
      </c>
      <c r="E402" s="88" t="s">
        <v>1161</v>
      </c>
      <c r="F402" s="88" t="s">
        <v>51</v>
      </c>
      <c r="G402" s="88">
        <v>26101</v>
      </c>
      <c r="H402" s="88" t="s">
        <v>591</v>
      </c>
      <c r="I402" s="88" t="s">
        <v>40</v>
      </c>
      <c r="J402" s="89" t="s">
        <v>1288</v>
      </c>
      <c r="K402" s="103" t="s">
        <v>1402</v>
      </c>
      <c r="L402" s="403" t="s">
        <v>26</v>
      </c>
      <c r="M402" s="199">
        <v>45230</v>
      </c>
      <c r="N402" s="105">
        <v>44490</v>
      </c>
      <c r="O402" s="105"/>
      <c r="P402" s="203" t="s">
        <v>5624</v>
      </c>
      <c r="Q402" s="203" t="s">
        <v>1859</v>
      </c>
      <c r="R402" s="203"/>
      <c r="S402" s="203"/>
      <c r="T402" s="87" t="s">
        <v>5836</v>
      </c>
      <c r="U402" s="87" t="s">
        <v>1571</v>
      </c>
      <c r="V402" s="87"/>
      <c r="W402" s="88" t="s">
        <v>1571</v>
      </c>
      <c r="X402" s="249" t="s">
        <v>4985</v>
      </c>
      <c r="Y402" s="88"/>
      <c r="Z402" s="250"/>
      <c r="AA402" s="87" t="s">
        <v>2443</v>
      </c>
      <c r="AB402" s="250" t="s">
        <v>2090</v>
      </c>
      <c r="AC402" s="250"/>
      <c r="AD402" s="250"/>
      <c r="AE402" s="87"/>
      <c r="AF402" s="88" t="s">
        <v>1288</v>
      </c>
      <c r="AG402" s="88" t="s">
        <v>2090</v>
      </c>
      <c r="AH402" s="88" t="s">
        <v>2137</v>
      </c>
      <c r="AI402" s="224"/>
      <c r="AJ402" s="225">
        <v>2</v>
      </c>
      <c r="AK402" s="224" t="s">
        <v>2107</v>
      </c>
      <c r="AL402" s="224" t="s">
        <v>2444</v>
      </c>
      <c r="AM402" s="224" t="s">
        <v>2099</v>
      </c>
      <c r="AN402" s="224"/>
    </row>
    <row r="403" spans="1:40" s="86" customFormat="1" ht="59.25" customHeight="1">
      <c r="A403" s="402">
        <v>316791</v>
      </c>
      <c r="B403" s="89" t="s">
        <v>1398</v>
      </c>
      <c r="C403" s="89" t="s">
        <v>1399</v>
      </c>
      <c r="D403" s="88">
        <v>13760</v>
      </c>
      <c r="E403" s="88" t="s">
        <v>1400</v>
      </c>
      <c r="F403" s="88" t="s">
        <v>51</v>
      </c>
      <c r="G403" s="88" t="s">
        <v>1401</v>
      </c>
      <c r="H403" s="88" t="s">
        <v>591</v>
      </c>
      <c r="I403" s="88" t="s">
        <v>737</v>
      </c>
      <c r="J403" s="89" t="s">
        <v>1277</v>
      </c>
      <c r="K403" s="103" t="s">
        <v>1233</v>
      </c>
      <c r="L403" s="403" t="s">
        <v>26</v>
      </c>
      <c r="M403" s="199">
        <v>44864</v>
      </c>
      <c r="N403" s="105">
        <v>44510</v>
      </c>
      <c r="O403" s="105"/>
      <c r="P403" s="203"/>
      <c r="Q403" s="203"/>
      <c r="R403" s="203"/>
      <c r="S403" s="203"/>
      <c r="T403" s="87"/>
      <c r="U403" s="87"/>
      <c r="V403" s="87"/>
      <c r="W403" s="88"/>
      <c r="X403" s="249"/>
      <c r="Y403" s="88"/>
      <c r="Z403" s="250"/>
      <c r="AA403" s="87"/>
      <c r="AB403" s="250"/>
      <c r="AC403" s="250"/>
      <c r="AD403" s="250"/>
      <c r="AE403" s="87"/>
      <c r="AF403" s="88"/>
      <c r="AG403" s="88"/>
      <c r="AH403" s="88"/>
      <c r="AI403" s="224"/>
      <c r="AJ403" s="225"/>
      <c r="AK403" s="224"/>
      <c r="AL403" s="224"/>
      <c r="AM403" s="224"/>
      <c r="AN403" s="224"/>
    </row>
    <row r="404" spans="1:40" s="86" customFormat="1" ht="59.25" customHeight="1">
      <c r="A404" s="402">
        <v>316849</v>
      </c>
      <c r="B404" s="89" t="s">
        <v>1143</v>
      </c>
      <c r="C404" s="89" t="s">
        <v>1144</v>
      </c>
      <c r="D404" s="88" t="s">
        <v>1145</v>
      </c>
      <c r="E404" s="88" t="s">
        <v>1146</v>
      </c>
      <c r="F404" s="88" t="s">
        <v>107</v>
      </c>
      <c r="G404" s="88" t="s">
        <v>1147</v>
      </c>
      <c r="H404" s="88" t="s">
        <v>591</v>
      </c>
      <c r="I404" s="88" t="s">
        <v>40</v>
      </c>
      <c r="J404" s="89" t="s">
        <v>4441</v>
      </c>
      <c r="K404" s="103" t="s">
        <v>1233</v>
      </c>
      <c r="L404" s="403" t="s">
        <v>26</v>
      </c>
      <c r="M404" s="199">
        <v>45077</v>
      </c>
      <c r="N404" s="105">
        <v>44347</v>
      </c>
      <c r="O404" s="105"/>
      <c r="P404" s="203" t="s">
        <v>1502</v>
      </c>
      <c r="Q404" s="203" t="s">
        <v>1860</v>
      </c>
      <c r="R404" s="203"/>
      <c r="S404" s="203"/>
      <c r="T404" s="87" t="s">
        <v>4575</v>
      </c>
      <c r="U404" s="87" t="s">
        <v>1568</v>
      </c>
      <c r="V404" s="87"/>
      <c r="W404" s="88" t="s">
        <v>1568</v>
      </c>
      <c r="X404" s="249" t="s">
        <v>4018</v>
      </c>
      <c r="Y404" s="88"/>
      <c r="Z404" s="250" t="s">
        <v>2066</v>
      </c>
      <c r="AA404" s="87" t="s">
        <v>2280</v>
      </c>
      <c r="AB404" s="250" t="s">
        <v>2079</v>
      </c>
      <c r="AC404" s="250" t="s">
        <v>2474</v>
      </c>
      <c r="AD404" s="250"/>
      <c r="AE404" s="87" t="s">
        <v>2066</v>
      </c>
      <c r="AF404" s="88" t="s">
        <v>4441</v>
      </c>
      <c r="AG404" s="88" t="s">
        <v>2073</v>
      </c>
      <c r="AH404" s="88" t="s">
        <v>2074</v>
      </c>
      <c r="AI404" s="224" t="s">
        <v>2075</v>
      </c>
      <c r="AJ404" s="225">
        <v>2</v>
      </c>
      <c r="AK404" s="224" t="s">
        <v>2076</v>
      </c>
      <c r="AL404" s="224" t="s">
        <v>2498</v>
      </c>
      <c r="AM404" s="224" t="s">
        <v>2077</v>
      </c>
      <c r="AN404" s="224" t="s">
        <v>2281</v>
      </c>
    </row>
    <row r="405" spans="1:40" s="86" customFormat="1" ht="59.25" customHeight="1">
      <c r="A405" s="402">
        <v>316979</v>
      </c>
      <c r="B405" s="89" t="s">
        <v>965</v>
      </c>
      <c r="C405" s="89" t="s">
        <v>1407</v>
      </c>
      <c r="D405" s="88">
        <v>31270</v>
      </c>
      <c r="E405" s="88" t="s">
        <v>1408</v>
      </c>
      <c r="F405" s="88" t="s">
        <v>47</v>
      </c>
      <c r="G405" s="88" t="s">
        <v>1409</v>
      </c>
      <c r="H405" s="88" t="s">
        <v>591</v>
      </c>
      <c r="I405" s="88" t="s">
        <v>41</v>
      </c>
      <c r="J405" s="89" t="s">
        <v>786</v>
      </c>
      <c r="K405" s="103" t="s">
        <v>1402</v>
      </c>
      <c r="L405" s="403" t="s">
        <v>26</v>
      </c>
      <c r="M405" s="199">
        <v>44957</v>
      </c>
      <c r="N405" s="105">
        <v>44579</v>
      </c>
      <c r="O405" s="105"/>
      <c r="P405" s="203" t="s">
        <v>5296</v>
      </c>
      <c r="Q405" s="203" t="s">
        <v>1780</v>
      </c>
      <c r="R405" s="203"/>
      <c r="S405" s="203"/>
      <c r="T405" s="87" t="s">
        <v>4894</v>
      </c>
      <c r="U405" s="87" t="s">
        <v>1571</v>
      </c>
      <c r="V405" s="87"/>
      <c r="W405" s="88" t="s">
        <v>1571</v>
      </c>
      <c r="X405" s="249" t="s">
        <v>4771</v>
      </c>
      <c r="Y405" s="88"/>
      <c r="Z405" s="250"/>
      <c r="AA405" s="87" t="s">
        <v>2392</v>
      </c>
      <c r="AB405" s="250" t="s">
        <v>2090</v>
      </c>
      <c r="AC405" s="250"/>
      <c r="AD405" s="250"/>
      <c r="AE405" s="87"/>
      <c r="AF405" s="88" t="s">
        <v>786</v>
      </c>
      <c r="AG405" s="88" t="s">
        <v>2104</v>
      </c>
      <c r="AH405" s="88"/>
      <c r="AI405" s="224" t="s">
        <v>2248</v>
      </c>
      <c r="AJ405" s="225">
        <v>1</v>
      </c>
      <c r="AK405" s="224" t="s">
        <v>2107</v>
      </c>
      <c r="AL405" s="224" t="s">
        <v>2393</v>
      </c>
      <c r="AM405" s="224" t="s">
        <v>2217</v>
      </c>
      <c r="AN405" s="224" t="s">
        <v>2394</v>
      </c>
    </row>
    <row r="406" spans="1:40" s="86" customFormat="1" ht="59.25" customHeight="1">
      <c r="A406" s="402">
        <v>317041</v>
      </c>
      <c r="B406" s="89" t="s">
        <v>1148</v>
      </c>
      <c r="C406" s="89" t="s">
        <v>1149</v>
      </c>
      <c r="D406" s="88">
        <v>93011</v>
      </c>
      <c r="E406" s="88" t="s">
        <v>1150</v>
      </c>
      <c r="F406" s="88" t="s">
        <v>51</v>
      </c>
      <c r="G406" s="88">
        <v>95270</v>
      </c>
      <c r="H406" s="88" t="s">
        <v>591</v>
      </c>
      <c r="I406" s="88" t="s">
        <v>40</v>
      </c>
      <c r="J406" s="89" t="s">
        <v>5449</v>
      </c>
      <c r="K406" s="103" t="s">
        <v>1402</v>
      </c>
      <c r="L406" s="403" t="s">
        <v>26</v>
      </c>
      <c r="M406" s="199">
        <v>45350</v>
      </c>
      <c r="N406" s="105">
        <v>44434</v>
      </c>
      <c r="O406" s="105"/>
      <c r="P406" s="203" t="s">
        <v>5301</v>
      </c>
      <c r="Q406" s="203" t="s">
        <v>1861</v>
      </c>
      <c r="R406" s="203"/>
      <c r="S406" s="203"/>
      <c r="T406" s="87" t="s">
        <v>4542</v>
      </c>
      <c r="U406" s="87" t="s">
        <v>1568</v>
      </c>
      <c r="V406" s="87"/>
      <c r="W406" s="88" t="s">
        <v>1568</v>
      </c>
      <c r="X406" s="249" t="s">
        <v>4019</v>
      </c>
      <c r="Y406" s="88"/>
      <c r="Z406" s="250" t="s">
        <v>2067</v>
      </c>
      <c r="AA406" s="87" t="s">
        <v>2097</v>
      </c>
      <c r="AB406" s="250" t="s">
        <v>2079</v>
      </c>
      <c r="AC406" s="250" t="s">
        <v>2475</v>
      </c>
      <c r="AD406" s="250"/>
      <c r="AE406" s="87" t="s">
        <v>2067</v>
      </c>
      <c r="AF406" s="88" t="s">
        <v>5449</v>
      </c>
      <c r="AG406" s="88" t="s">
        <v>2073</v>
      </c>
      <c r="AH406" s="88" t="s">
        <v>2074</v>
      </c>
      <c r="AI406" s="224" t="s">
        <v>2075</v>
      </c>
      <c r="AJ406" s="225">
        <v>2</v>
      </c>
      <c r="AK406" s="224" t="s">
        <v>2076</v>
      </c>
      <c r="AL406" s="224" t="s">
        <v>2098</v>
      </c>
      <c r="AM406" s="224" t="s">
        <v>2099</v>
      </c>
      <c r="AN406" s="224"/>
    </row>
    <row r="407" spans="1:40" s="86" customFormat="1" ht="59.25" customHeight="1">
      <c r="A407" s="402">
        <v>317124</v>
      </c>
      <c r="B407" s="89" t="s">
        <v>5254</v>
      </c>
      <c r="C407" s="89" t="s">
        <v>5255</v>
      </c>
      <c r="D407" s="88">
        <v>34912</v>
      </c>
      <c r="E407" s="88" t="s">
        <v>5256</v>
      </c>
      <c r="F407" s="88" t="s">
        <v>5257</v>
      </c>
      <c r="G407" s="88" t="s">
        <v>5258</v>
      </c>
      <c r="H407" s="88" t="s">
        <v>591</v>
      </c>
      <c r="I407" s="88" t="s">
        <v>40</v>
      </c>
      <c r="J407" s="89" t="s">
        <v>1288</v>
      </c>
      <c r="K407" s="103" t="s">
        <v>1233</v>
      </c>
      <c r="L407" s="403" t="s">
        <v>26</v>
      </c>
      <c r="M407" s="199">
        <v>45199</v>
      </c>
      <c r="N407" s="105">
        <v>44642</v>
      </c>
      <c r="O407" s="105"/>
      <c r="P407" s="203" t="s">
        <v>5302</v>
      </c>
      <c r="Q407" s="203" t="s">
        <v>5305</v>
      </c>
      <c r="R407" s="203" t="s">
        <v>5262</v>
      </c>
      <c r="S407" s="203"/>
      <c r="T407" s="87" t="s">
        <v>5266</v>
      </c>
      <c r="U407" s="87" t="s">
        <v>1583</v>
      </c>
      <c r="V407" s="87"/>
      <c r="W407" s="88" t="s">
        <v>1571</v>
      </c>
      <c r="X407" s="249" t="s">
        <v>5271</v>
      </c>
      <c r="Y407" s="88"/>
      <c r="Z407" s="250"/>
      <c r="AA407" s="87" t="s">
        <v>5354</v>
      </c>
      <c r="AB407" s="250" t="s">
        <v>4805</v>
      </c>
      <c r="AC407" s="250"/>
      <c r="AD407" s="250"/>
      <c r="AE407" s="87"/>
      <c r="AF407" s="88" t="s">
        <v>1288</v>
      </c>
      <c r="AG407" s="88" t="s">
        <v>2258</v>
      </c>
      <c r="AH407" s="88"/>
      <c r="AI407" s="224"/>
      <c r="AJ407" s="225" t="s">
        <v>2258</v>
      </c>
      <c r="AK407" s="224"/>
      <c r="AL407" s="224"/>
      <c r="AM407" s="224"/>
      <c r="AN407" s="224"/>
    </row>
    <row r="408" spans="1:40" s="86" customFormat="1" ht="59.25" customHeight="1">
      <c r="A408" s="402">
        <v>317378</v>
      </c>
      <c r="B408" s="89" t="s">
        <v>1215</v>
      </c>
      <c r="C408" s="89" t="s">
        <v>1216</v>
      </c>
      <c r="D408" s="88" t="s">
        <v>1217</v>
      </c>
      <c r="E408" s="88" t="s">
        <v>1218</v>
      </c>
      <c r="F408" s="88" t="s">
        <v>45</v>
      </c>
      <c r="G408" s="88" t="s">
        <v>1219</v>
      </c>
      <c r="H408" s="88" t="s">
        <v>591</v>
      </c>
      <c r="I408" s="88" t="s">
        <v>40</v>
      </c>
      <c r="J408" s="89" t="s">
        <v>5278</v>
      </c>
      <c r="K408" s="103" t="s">
        <v>1402</v>
      </c>
      <c r="L408" s="403" t="s">
        <v>26</v>
      </c>
      <c r="M408" s="199">
        <v>45443</v>
      </c>
      <c r="N408" s="105">
        <v>44337</v>
      </c>
      <c r="O408" s="105"/>
      <c r="P408" s="203" t="s">
        <v>5349</v>
      </c>
      <c r="Q408" s="203" t="s">
        <v>1862</v>
      </c>
      <c r="R408" s="203"/>
      <c r="S408" s="203"/>
      <c r="T408" s="87" t="s">
        <v>4878</v>
      </c>
      <c r="U408" s="87" t="s">
        <v>1571</v>
      </c>
      <c r="V408" s="87"/>
      <c r="W408" s="88" t="s">
        <v>1571</v>
      </c>
      <c r="X408" s="249" t="s">
        <v>4021</v>
      </c>
      <c r="Y408" s="88"/>
      <c r="Z408" s="250" t="s">
        <v>5383</v>
      </c>
      <c r="AA408" s="87" t="s">
        <v>325</v>
      </c>
      <c r="AB408" s="250" t="s">
        <v>2079</v>
      </c>
      <c r="AC408" s="250" t="s">
        <v>5385</v>
      </c>
      <c r="AD408" s="250"/>
      <c r="AE408" s="87" t="s">
        <v>5383</v>
      </c>
      <c r="AF408" s="88" t="s">
        <v>5278</v>
      </c>
      <c r="AG408" s="88" t="s">
        <v>2073</v>
      </c>
      <c r="AH408" s="88" t="s">
        <v>2113</v>
      </c>
      <c r="AI408" s="224"/>
      <c r="AJ408" s="225">
        <v>4</v>
      </c>
      <c r="AK408" s="224" t="s">
        <v>2085</v>
      </c>
      <c r="AL408" s="224" t="s">
        <v>2285</v>
      </c>
      <c r="AM408" s="224" t="s">
        <v>2087</v>
      </c>
      <c r="AN408" s="224"/>
    </row>
    <row r="409" spans="1:40" s="86" customFormat="1" ht="59.25" customHeight="1">
      <c r="A409" s="402">
        <v>317423</v>
      </c>
      <c r="B409" s="89" t="s">
        <v>4422</v>
      </c>
      <c r="C409" s="89" t="s">
        <v>1153</v>
      </c>
      <c r="D409" s="88" t="s">
        <v>1154</v>
      </c>
      <c r="E409" s="88" t="s">
        <v>1155</v>
      </c>
      <c r="F409" s="88" t="s">
        <v>45</v>
      </c>
      <c r="G409" s="88"/>
      <c r="H409" s="88" t="s">
        <v>591</v>
      </c>
      <c r="I409" s="88" t="s">
        <v>40</v>
      </c>
      <c r="J409" s="89" t="s">
        <v>5449</v>
      </c>
      <c r="K409" s="103" t="s">
        <v>1402</v>
      </c>
      <c r="L409" s="403" t="s">
        <v>26</v>
      </c>
      <c r="M409" s="199">
        <v>45350</v>
      </c>
      <c r="N409" s="105">
        <v>44434</v>
      </c>
      <c r="O409" s="105"/>
      <c r="P409" s="203" t="s">
        <v>5240</v>
      </c>
      <c r="Q409" s="203" t="s">
        <v>1863</v>
      </c>
      <c r="R409" s="203"/>
      <c r="S409" s="203"/>
      <c r="T409" s="87" t="s">
        <v>4676</v>
      </c>
      <c r="U409" s="87" t="s">
        <v>1571</v>
      </c>
      <c r="V409" s="87"/>
      <c r="W409" s="88" t="s">
        <v>1571</v>
      </c>
      <c r="X409" s="249" t="s">
        <v>5955</v>
      </c>
      <c r="Y409" s="88"/>
      <c r="Z409" s="250"/>
      <c r="AA409" s="87" t="s">
        <v>2097</v>
      </c>
      <c r="AB409" s="250" t="s">
        <v>2072</v>
      </c>
      <c r="AC409" s="250"/>
      <c r="AD409" s="250"/>
      <c r="AE409" s="87"/>
      <c r="AF409" s="88" t="s">
        <v>5449</v>
      </c>
      <c r="AG409" s="88" t="s">
        <v>2073</v>
      </c>
      <c r="AH409" s="88" t="s">
        <v>2074</v>
      </c>
      <c r="AI409" s="224" t="s">
        <v>2075</v>
      </c>
      <c r="AJ409" s="225">
        <v>2</v>
      </c>
      <c r="AK409" s="224" t="s">
        <v>2076</v>
      </c>
      <c r="AL409" s="224" t="s">
        <v>2098</v>
      </c>
      <c r="AM409" s="224" t="s">
        <v>2099</v>
      </c>
      <c r="AN409" s="224"/>
    </row>
    <row r="410" spans="1:40" s="86" customFormat="1" ht="59.25" customHeight="1">
      <c r="A410" s="402">
        <v>317750</v>
      </c>
      <c r="B410" s="89" t="s">
        <v>1180</v>
      </c>
      <c r="C410" s="89" t="s">
        <v>1181</v>
      </c>
      <c r="D410" s="88">
        <v>33166</v>
      </c>
      <c r="E410" s="88" t="s">
        <v>1182</v>
      </c>
      <c r="F410" s="88" t="s">
        <v>51</v>
      </c>
      <c r="G410" s="88" t="s">
        <v>1183</v>
      </c>
      <c r="H410" s="88" t="s">
        <v>591</v>
      </c>
      <c r="I410" s="88" t="s">
        <v>41</v>
      </c>
      <c r="J410" s="89" t="s">
        <v>1510</v>
      </c>
      <c r="K410" s="103" t="s">
        <v>1233</v>
      </c>
      <c r="L410" s="403" t="s">
        <v>26</v>
      </c>
      <c r="M410" s="199">
        <v>45657</v>
      </c>
      <c r="N410" s="105">
        <v>44742</v>
      </c>
      <c r="O410" s="105"/>
      <c r="P410" s="203" t="s">
        <v>4631</v>
      </c>
      <c r="Q410" s="203" t="s">
        <v>4632</v>
      </c>
      <c r="R410" s="203"/>
      <c r="S410" s="203"/>
      <c r="T410" s="87" t="s">
        <v>4634</v>
      </c>
      <c r="U410" s="87" t="s">
        <v>1571</v>
      </c>
      <c r="V410" s="87"/>
      <c r="W410" s="88" t="s">
        <v>1571</v>
      </c>
      <c r="X410" s="249" t="s">
        <v>4724</v>
      </c>
      <c r="Y410" s="88"/>
      <c r="Z410" s="250"/>
      <c r="AA410" s="87" t="s">
        <v>2476</v>
      </c>
      <c r="AB410" s="250" t="s">
        <v>2090</v>
      </c>
      <c r="AC410" s="250"/>
      <c r="AD410" s="250"/>
      <c r="AE410" s="87"/>
      <c r="AF410" s="88" t="s">
        <v>1510</v>
      </c>
      <c r="AG410" s="88" t="s">
        <v>2104</v>
      </c>
      <c r="AH410" s="88"/>
      <c r="AI410" s="224" t="s">
        <v>2122</v>
      </c>
      <c r="AJ410" s="225">
        <v>2</v>
      </c>
      <c r="AK410" s="224" t="s">
        <v>2107</v>
      </c>
      <c r="AL410" s="224" t="s">
        <v>2477</v>
      </c>
      <c r="AM410" s="224" t="s">
        <v>2217</v>
      </c>
      <c r="AN410" s="224" t="s">
        <v>2478</v>
      </c>
    </row>
    <row r="411" spans="1:40" s="86" customFormat="1" ht="59.25" customHeight="1">
      <c r="A411" s="402">
        <v>317753</v>
      </c>
      <c r="B411" s="89" t="s">
        <v>1506</v>
      </c>
      <c r="C411" s="89" t="s">
        <v>1507</v>
      </c>
      <c r="D411" s="88" t="s">
        <v>1508</v>
      </c>
      <c r="E411" s="88" t="s">
        <v>1167</v>
      </c>
      <c r="F411" s="88" t="s">
        <v>45</v>
      </c>
      <c r="G411" s="88"/>
      <c r="H411" s="88" t="s">
        <v>591</v>
      </c>
      <c r="I411" s="88" t="s">
        <v>41</v>
      </c>
      <c r="J411" s="89" t="s">
        <v>1288</v>
      </c>
      <c r="K411" s="103" t="s">
        <v>1402</v>
      </c>
      <c r="L411" s="403" t="s">
        <v>26</v>
      </c>
      <c r="M411" s="199">
        <v>44926</v>
      </c>
      <c r="N411" s="105">
        <v>44547</v>
      </c>
      <c r="O411" s="105"/>
      <c r="P411" s="203" t="s">
        <v>5154</v>
      </c>
      <c r="Q411" s="203" t="s">
        <v>1864</v>
      </c>
      <c r="R411" s="203"/>
      <c r="S411" s="203"/>
      <c r="T411" s="87" t="s">
        <v>2519</v>
      </c>
      <c r="U411" s="87" t="s">
        <v>1571</v>
      </c>
      <c r="V411" s="87"/>
      <c r="W411" s="88" t="s">
        <v>1571</v>
      </c>
      <c r="X411" s="249" t="s">
        <v>4023</v>
      </c>
      <c r="Y411" s="88"/>
      <c r="Z411" s="250"/>
      <c r="AA411" s="87" t="s">
        <v>2479</v>
      </c>
      <c r="AB411" s="250" t="s">
        <v>2090</v>
      </c>
      <c r="AC411" s="250"/>
      <c r="AD411" s="250"/>
      <c r="AE411" s="87"/>
      <c r="AF411" s="88" t="s">
        <v>1288</v>
      </c>
      <c r="AG411" s="88" t="s">
        <v>2104</v>
      </c>
      <c r="AH411" s="88"/>
      <c r="AI411" s="224" t="s">
        <v>2179</v>
      </c>
      <c r="AJ411" s="225">
        <v>1</v>
      </c>
      <c r="AK411" s="224" t="s">
        <v>2107</v>
      </c>
      <c r="AL411" s="224" t="s">
        <v>2480</v>
      </c>
      <c r="AM411" s="224" t="s">
        <v>2217</v>
      </c>
      <c r="AN411" s="224"/>
    </row>
    <row r="412" spans="1:40" s="86" customFormat="1" ht="59.25" customHeight="1">
      <c r="A412" s="402">
        <v>318065</v>
      </c>
      <c r="B412" s="89" t="s">
        <v>1302</v>
      </c>
      <c r="C412" s="89" t="s">
        <v>1303</v>
      </c>
      <c r="D412" s="88">
        <v>67209</v>
      </c>
      <c r="E412" s="88" t="s">
        <v>218</v>
      </c>
      <c r="F412" s="88" t="s">
        <v>51</v>
      </c>
      <c r="G412" s="88" t="s">
        <v>1304</v>
      </c>
      <c r="H412" s="88" t="s">
        <v>591</v>
      </c>
      <c r="I412" s="88" t="s">
        <v>40</v>
      </c>
      <c r="J412" s="89" t="s">
        <v>5282</v>
      </c>
      <c r="K412" s="103" t="s">
        <v>1233</v>
      </c>
      <c r="L412" s="403" t="s">
        <v>26</v>
      </c>
      <c r="M412" s="199">
        <v>45077</v>
      </c>
      <c r="N412" s="105">
        <v>44526</v>
      </c>
      <c r="O412" s="105"/>
      <c r="P412" s="203" t="s">
        <v>6066</v>
      </c>
      <c r="Q412" s="203" t="s">
        <v>1865</v>
      </c>
      <c r="R412" s="203"/>
      <c r="S412" s="203"/>
      <c r="T412" s="87" t="s">
        <v>5817</v>
      </c>
      <c r="U412" s="87" t="s">
        <v>1568</v>
      </c>
      <c r="V412" s="87"/>
      <c r="W412" s="88" t="s">
        <v>1568</v>
      </c>
      <c r="X412" s="249" t="s">
        <v>5501</v>
      </c>
      <c r="Y412" s="88"/>
      <c r="Z412" s="250"/>
      <c r="AA412" s="87" t="s">
        <v>2280</v>
      </c>
      <c r="AB412" s="250" t="s">
        <v>2072</v>
      </c>
      <c r="AC412" s="250"/>
      <c r="AD412" s="250"/>
      <c r="AE412" s="87"/>
      <c r="AF412" s="88" t="s">
        <v>4441</v>
      </c>
      <c r="AG412" s="88" t="s">
        <v>2073</v>
      </c>
      <c r="AH412" s="88" t="s">
        <v>2074</v>
      </c>
      <c r="AI412" s="224" t="s">
        <v>2075</v>
      </c>
      <c r="AJ412" s="225">
        <v>2</v>
      </c>
      <c r="AK412" s="224" t="s">
        <v>2076</v>
      </c>
      <c r="AL412" s="224" t="s">
        <v>2498</v>
      </c>
      <c r="AM412" s="224" t="s">
        <v>2077</v>
      </c>
      <c r="AN412" s="224" t="s">
        <v>2281</v>
      </c>
    </row>
    <row r="413" spans="1:40" s="86" customFormat="1" ht="59.25" customHeight="1">
      <c r="A413" s="402">
        <v>319140</v>
      </c>
      <c r="B413" s="89" t="s">
        <v>4651</v>
      </c>
      <c r="C413" s="89" t="s">
        <v>4652</v>
      </c>
      <c r="D413" s="88">
        <v>32822</v>
      </c>
      <c r="E413" s="88" t="s">
        <v>4653</v>
      </c>
      <c r="F413" s="88" t="s">
        <v>51</v>
      </c>
      <c r="G413" s="88"/>
      <c r="H413" s="88" t="s">
        <v>591</v>
      </c>
      <c r="I413" s="88" t="s">
        <v>40</v>
      </c>
      <c r="J413" s="89" t="s">
        <v>5283</v>
      </c>
      <c r="K413" s="103" t="s">
        <v>1233</v>
      </c>
      <c r="L413" s="403" t="s">
        <v>26</v>
      </c>
      <c r="M413" s="199">
        <v>45229</v>
      </c>
      <c r="N413" s="105">
        <v>44470</v>
      </c>
      <c r="O413" s="105"/>
      <c r="P413" s="203" t="s">
        <v>5223</v>
      </c>
      <c r="Q413" s="203" t="s">
        <v>4656</v>
      </c>
      <c r="R413" s="203"/>
      <c r="S413" s="203"/>
      <c r="T413" s="87" t="s">
        <v>4664</v>
      </c>
      <c r="U413" s="87" t="s">
        <v>1568</v>
      </c>
      <c r="V413" s="87"/>
      <c r="W413" s="88" t="s">
        <v>1568</v>
      </c>
      <c r="X413" s="249" t="s">
        <v>4665</v>
      </c>
      <c r="Y413" s="88"/>
      <c r="Z413" s="250" t="s">
        <v>4668</v>
      </c>
      <c r="AA413" s="87" t="s">
        <v>2319</v>
      </c>
      <c r="AB413" s="250" t="s">
        <v>2072</v>
      </c>
      <c r="AC413" s="250"/>
      <c r="AD413" s="250"/>
      <c r="AE413" s="87" t="s">
        <v>4668</v>
      </c>
      <c r="AF413" s="88" t="s">
        <v>5283</v>
      </c>
      <c r="AG413" s="88" t="s">
        <v>2073</v>
      </c>
      <c r="AH413" s="88" t="s">
        <v>2074</v>
      </c>
      <c r="AI413" s="224" t="s">
        <v>2075</v>
      </c>
      <c r="AJ413" s="225">
        <v>2</v>
      </c>
      <c r="AK413" s="224" t="s">
        <v>2076</v>
      </c>
      <c r="AL413" s="224" t="s">
        <v>2320</v>
      </c>
      <c r="AM413" s="224" t="s">
        <v>2099</v>
      </c>
      <c r="AN413" s="224" t="s">
        <v>2321</v>
      </c>
    </row>
    <row r="414" spans="1:40" s="86" customFormat="1" ht="59.25" customHeight="1">
      <c r="A414" s="402">
        <v>319735</v>
      </c>
      <c r="B414" s="89" t="s">
        <v>5030</v>
      </c>
      <c r="C414" s="89" t="s">
        <v>5031</v>
      </c>
      <c r="D414" s="88">
        <v>27105</v>
      </c>
      <c r="E414" s="88" t="s">
        <v>5032</v>
      </c>
      <c r="F414" s="88" t="s">
        <v>51</v>
      </c>
      <c r="G414" s="88" t="s">
        <v>5033</v>
      </c>
      <c r="H414" s="88" t="s">
        <v>591</v>
      </c>
      <c r="I414" s="88" t="s">
        <v>40</v>
      </c>
      <c r="J414" s="89" t="s">
        <v>5282</v>
      </c>
      <c r="K414" s="103" t="s">
        <v>1402</v>
      </c>
      <c r="L414" s="403" t="s">
        <v>26</v>
      </c>
      <c r="M414" s="199">
        <v>45382</v>
      </c>
      <c r="N414" s="105">
        <v>44651</v>
      </c>
      <c r="O414" s="105"/>
      <c r="P414" s="203" t="s">
        <v>5040</v>
      </c>
      <c r="Q414" s="203" t="s">
        <v>5044</v>
      </c>
      <c r="R414" s="203"/>
      <c r="S414" s="203"/>
      <c r="T414" s="87" t="s">
        <v>5496</v>
      </c>
      <c r="U414" s="87" t="s">
        <v>1568</v>
      </c>
      <c r="V414" s="87"/>
      <c r="W414" s="88" t="s">
        <v>1568</v>
      </c>
      <c r="X414" s="249" t="s">
        <v>5442</v>
      </c>
      <c r="Y414" s="88"/>
      <c r="Z414" s="250"/>
      <c r="AA414" s="87" t="s">
        <v>2159</v>
      </c>
      <c r="AB414" s="250" t="s">
        <v>2072</v>
      </c>
      <c r="AC414" s="250"/>
      <c r="AD414" s="250"/>
      <c r="AE414" s="87"/>
      <c r="AF414" s="88" t="s">
        <v>5282</v>
      </c>
      <c r="AG414" s="88" t="s">
        <v>2073</v>
      </c>
      <c r="AH414" s="88" t="s">
        <v>2113</v>
      </c>
      <c r="AI414" s="224" t="s">
        <v>2075</v>
      </c>
      <c r="AJ414" s="225">
        <v>3</v>
      </c>
      <c r="AK414" s="224" t="s">
        <v>2085</v>
      </c>
      <c r="AL414" s="224" t="s">
        <v>2160</v>
      </c>
      <c r="AM414" s="224"/>
      <c r="AN414" s="224"/>
    </row>
    <row r="415" spans="1:40" s="86" customFormat="1" ht="59.25" customHeight="1">
      <c r="A415" s="402">
        <v>321538</v>
      </c>
      <c r="B415" s="89" t="s">
        <v>1273</v>
      </c>
      <c r="C415" s="89" t="s">
        <v>1274</v>
      </c>
      <c r="D415" s="88">
        <v>4210</v>
      </c>
      <c r="E415" s="88" t="s">
        <v>1511</v>
      </c>
      <c r="F415" s="88" t="s">
        <v>1275</v>
      </c>
      <c r="G415" s="88"/>
      <c r="H415" s="88" t="s">
        <v>591</v>
      </c>
      <c r="I415" s="88" t="s">
        <v>41</v>
      </c>
      <c r="J415" s="89" t="s">
        <v>1510</v>
      </c>
      <c r="K415" s="103"/>
      <c r="L415" s="403" t="s">
        <v>26</v>
      </c>
      <c r="M415" s="199">
        <v>44957</v>
      </c>
      <c r="N415" s="105">
        <v>44218</v>
      </c>
      <c r="O415" s="105"/>
      <c r="P415" s="203" t="s">
        <v>1276</v>
      </c>
      <c r="Q415" s="203" t="s">
        <v>1866</v>
      </c>
      <c r="R415" s="203"/>
      <c r="S415" s="203"/>
      <c r="T415" s="87"/>
      <c r="U415" s="87"/>
      <c r="V415" s="87" t="s">
        <v>1571</v>
      </c>
      <c r="W415" s="88"/>
      <c r="X415" s="249"/>
      <c r="Y415" s="88"/>
      <c r="Z415" s="250"/>
      <c r="AA415" s="87" t="s">
        <v>2481</v>
      </c>
      <c r="AB415" s="250" t="s">
        <v>2090</v>
      </c>
      <c r="AC415" s="250"/>
      <c r="AD415" s="250"/>
      <c r="AE415" s="87"/>
      <c r="AF415" s="88" t="s">
        <v>1510</v>
      </c>
      <c r="AG415" s="88" t="s">
        <v>2104</v>
      </c>
      <c r="AH415" s="88"/>
      <c r="AI415" s="224" t="s">
        <v>2179</v>
      </c>
      <c r="AJ415" s="225">
        <v>1</v>
      </c>
      <c r="AK415" s="224" t="s">
        <v>2107</v>
      </c>
      <c r="AL415" s="224" t="s">
        <v>2482</v>
      </c>
      <c r="AM415" s="224" t="s">
        <v>2217</v>
      </c>
      <c r="AN415" s="224"/>
    </row>
    <row r="416" spans="1:40" s="86" customFormat="1" ht="59.25" customHeight="1">
      <c r="A416" s="402">
        <v>323306</v>
      </c>
      <c r="B416" s="89" t="s">
        <v>1471</v>
      </c>
      <c r="C416" s="89" t="s">
        <v>1472</v>
      </c>
      <c r="D416" s="88" t="s">
        <v>1473</v>
      </c>
      <c r="E416" s="88" t="s">
        <v>1474</v>
      </c>
      <c r="F416" s="88" t="s">
        <v>45</v>
      </c>
      <c r="G416" s="88" t="s">
        <v>1429</v>
      </c>
      <c r="H416" s="88" t="s">
        <v>591</v>
      </c>
      <c r="I416" s="88" t="s">
        <v>1114</v>
      </c>
      <c r="J416" s="89" t="s">
        <v>1288</v>
      </c>
      <c r="K416" s="103"/>
      <c r="L416" s="403" t="s">
        <v>26</v>
      </c>
      <c r="M416" s="199">
        <v>44957</v>
      </c>
      <c r="N416" s="105">
        <v>44221</v>
      </c>
      <c r="O416" s="105"/>
      <c r="P416" s="203"/>
      <c r="Q416" s="203"/>
      <c r="R416" s="203"/>
      <c r="S416" s="203"/>
      <c r="T416" s="87" t="s">
        <v>5101</v>
      </c>
      <c r="U416" s="87" t="s">
        <v>1576</v>
      </c>
      <c r="V416" s="87"/>
      <c r="W416" s="88" t="s">
        <v>1576</v>
      </c>
      <c r="X416" s="249" t="s">
        <v>4025</v>
      </c>
      <c r="Y416" s="88"/>
      <c r="Z416" s="250"/>
      <c r="AA416" s="87" t="s">
        <v>2483</v>
      </c>
      <c r="AB416" s="250" t="s">
        <v>2128</v>
      </c>
      <c r="AC416" s="250" t="s">
        <v>2129</v>
      </c>
      <c r="AD416" s="250"/>
      <c r="AE416" s="87"/>
      <c r="AF416" s="88" t="s">
        <v>1288</v>
      </c>
      <c r="AG416" s="88" t="s">
        <v>2128</v>
      </c>
      <c r="AH416" s="88"/>
      <c r="AI416" s="224"/>
      <c r="AJ416" s="225">
        <v>1</v>
      </c>
      <c r="AK416" s="224" t="s">
        <v>2107</v>
      </c>
      <c r="AL416" s="224" t="s">
        <v>2484</v>
      </c>
      <c r="AM416" s="224" t="s">
        <v>2131</v>
      </c>
      <c r="AN416" s="224"/>
    </row>
    <row r="417" spans="1:40" s="86" customFormat="1" ht="59.25" customHeight="1">
      <c r="A417" s="402">
        <v>323416</v>
      </c>
      <c r="B417" s="89" t="s">
        <v>1333</v>
      </c>
      <c r="C417" s="89" t="s">
        <v>1334</v>
      </c>
      <c r="D417" s="88">
        <v>33025</v>
      </c>
      <c r="E417" s="88" t="s">
        <v>236</v>
      </c>
      <c r="F417" s="88" t="s">
        <v>51</v>
      </c>
      <c r="G417" s="88" t="s">
        <v>1335</v>
      </c>
      <c r="H417" s="88" t="s">
        <v>591</v>
      </c>
      <c r="I417" s="88" t="s">
        <v>40</v>
      </c>
      <c r="J417" s="89" t="s">
        <v>5282</v>
      </c>
      <c r="K417" s="103" t="s">
        <v>1402</v>
      </c>
      <c r="L417" s="403" t="s">
        <v>26</v>
      </c>
      <c r="M417" s="199">
        <v>45412</v>
      </c>
      <c r="N417" s="105">
        <v>44673</v>
      </c>
      <c r="O417" s="105"/>
      <c r="P417" s="203" t="s">
        <v>5625</v>
      </c>
      <c r="Q417" s="203" t="s">
        <v>1867</v>
      </c>
      <c r="R417" s="203"/>
      <c r="S417" s="203"/>
      <c r="T417" s="87" t="s">
        <v>1566</v>
      </c>
      <c r="U417" s="87" t="s">
        <v>1568</v>
      </c>
      <c r="V417" s="87"/>
      <c r="W417" s="88" t="s">
        <v>1568</v>
      </c>
      <c r="X417" s="249" t="s">
        <v>4026</v>
      </c>
      <c r="Y417" s="88"/>
      <c r="Z417" s="250" t="s">
        <v>2068</v>
      </c>
      <c r="AA417" s="87" t="s">
        <v>2220</v>
      </c>
      <c r="AB417" s="250" t="s">
        <v>2079</v>
      </c>
      <c r="AC417" s="250" t="s">
        <v>2485</v>
      </c>
      <c r="AD417" s="250"/>
      <c r="AE417" s="87" t="s">
        <v>2068</v>
      </c>
      <c r="AF417" s="88" t="s">
        <v>5282</v>
      </c>
      <c r="AG417" s="88" t="s">
        <v>2073</v>
      </c>
      <c r="AH417" s="88" t="s">
        <v>2074</v>
      </c>
      <c r="AI417" s="224"/>
      <c r="AJ417" s="225">
        <v>2</v>
      </c>
      <c r="AK417" s="224" t="s">
        <v>2076</v>
      </c>
      <c r="AL417" s="224" t="s">
        <v>2221</v>
      </c>
      <c r="AM417" s="224" t="s">
        <v>2077</v>
      </c>
      <c r="AN417" s="224"/>
    </row>
    <row r="418" spans="1:40" s="86" customFormat="1" ht="59.25" customHeight="1">
      <c r="A418" s="402">
        <v>323974</v>
      </c>
      <c r="B418" s="89" t="s">
        <v>1356</v>
      </c>
      <c r="C418" s="89" t="s">
        <v>1357</v>
      </c>
      <c r="D418" s="88">
        <v>40200</v>
      </c>
      <c r="E418" s="88" t="s">
        <v>1358</v>
      </c>
      <c r="F418" s="88" t="s">
        <v>558</v>
      </c>
      <c r="G418" s="88" t="s">
        <v>1359</v>
      </c>
      <c r="H418" s="88" t="s">
        <v>591</v>
      </c>
      <c r="I418" s="88" t="s">
        <v>40</v>
      </c>
      <c r="J418" s="89" t="s">
        <v>1510</v>
      </c>
      <c r="K418" s="103" t="s">
        <v>1233</v>
      </c>
      <c r="L418" s="403" t="s">
        <v>26</v>
      </c>
      <c r="M418" s="199">
        <v>45229</v>
      </c>
      <c r="N418" s="105">
        <v>44585</v>
      </c>
      <c r="O418" s="105"/>
      <c r="P418" s="203" t="s">
        <v>5626</v>
      </c>
      <c r="Q418" s="203" t="s">
        <v>1868</v>
      </c>
      <c r="R418" s="203"/>
      <c r="S418" s="203"/>
      <c r="T418" s="87" t="s">
        <v>2520</v>
      </c>
      <c r="U418" s="87" t="s">
        <v>1571</v>
      </c>
      <c r="V418" s="87"/>
      <c r="W418" s="88" t="s">
        <v>1571</v>
      </c>
      <c r="X418" s="249" t="s">
        <v>4029</v>
      </c>
      <c r="Y418" s="88"/>
      <c r="Z418" s="250" t="s">
        <v>5182</v>
      </c>
      <c r="AA418" s="87" t="s">
        <v>4447</v>
      </c>
      <c r="AB418" s="250" t="s">
        <v>2090</v>
      </c>
      <c r="AC418" s="250" t="s">
        <v>5189</v>
      </c>
      <c r="AD418" s="250"/>
      <c r="AE418" s="87" t="s">
        <v>5182</v>
      </c>
      <c r="AF418" s="88" t="s">
        <v>1510</v>
      </c>
      <c r="AG418" s="88" t="s">
        <v>2090</v>
      </c>
      <c r="AH418" s="88" t="s">
        <v>2214</v>
      </c>
      <c r="AI418" s="224"/>
      <c r="AJ418" s="225">
        <v>2</v>
      </c>
      <c r="AK418" s="224" t="s">
        <v>2107</v>
      </c>
      <c r="AL418" s="224" t="s">
        <v>4474</v>
      </c>
      <c r="AM418" s="224" t="s">
        <v>2099</v>
      </c>
      <c r="AN418" s="224"/>
    </row>
    <row r="419" spans="1:40" s="86" customFormat="1" ht="59.25" customHeight="1">
      <c r="A419" s="402">
        <v>324051</v>
      </c>
      <c r="B419" s="89" t="s">
        <v>1369</v>
      </c>
      <c r="C419" s="89" t="s">
        <v>1360</v>
      </c>
      <c r="D419" s="88">
        <v>3079</v>
      </c>
      <c r="E419" s="88" t="s">
        <v>1361</v>
      </c>
      <c r="F419" s="88" t="s">
        <v>1362</v>
      </c>
      <c r="G419" s="88"/>
      <c r="H419" s="88" t="s">
        <v>591</v>
      </c>
      <c r="I419" s="88" t="s">
        <v>41</v>
      </c>
      <c r="J419" s="89" t="s">
        <v>4638</v>
      </c>
      <c r="K419" s="103" t="s">
        <v>1402</v>
      </c>
      <c r="L419" s="403" t="s">
        <v>26</v>
      </c>
      <c r="M419" s="199">
        <v>44895</v>
      </c>
      <c r="N419" s="105">
        <v>44676</v>
      </c>
      <c r="O419" s="105"/>
      <c r="P419" s="203" t="s">
        <v>4704</v>
      </c>
      <c r="Q419" s="203" t="s">
        <v>4708</v>
      </c>
      <c r="R419" s="203"/>
      <c r="S419" s="203"/>
      <c r="T419" s="87" t="s">
        <v>4980</v>
      </c>
      <c r="U419" s="87" t="s">
        <v>1571</v>
      </c>
      <c r="V419" s="87"/>
      <c r="W419" s="88" t="s">
        <v>1571</v>
      </c>
      <c r="X419" s="249" t="s">
        <v>4981</v>
      </c>
      <c r="Y419" s="88"/>
      <c r="Z419" s="250"/>
      <c r="AA419" s="87" t="s">
        <v>2247</v>
      </c>
      <c r="AB419" s="250" t="s">
        <v>2090</v>
      </c>
      <c r="AC419" s="250"/>
      <c r="AD419" s="250"/>
      <c r="AE419" s="87"/>
      <c r="AF419" s="88" t="s">
        <v>4638</v>
      </c>
      <c r="AG419" s="88" t="s">
        <v>2104</v>
      </c>
      <c r="AH419" s="88"/>
      <c r="AI419" s="224" t="s">
        <v>2248</v>
      </c>
      <c r="AJ419" s="225">
        <v>1</v>
      </c>
      <c r="AK419" s="224" t="s">
        <v>2107</v>
      </c>
      <c r="AL419" s="224" t="s">
        <v>2249</v>
      </c>
      <c r="AM419" s="224" t="s">
        <v>2217</v>
      </c>
      <c r="AN419" s="224" t="s">
        <v>2250</v>
      </c>
    </row>
    <row r="420" spans="1:40" s="86" customFormat="1" ht="59.25" customHeight="1">
      <c r="A420" s="402">
        <v>324140</v>
      </c>
      <c r="B420" s="89" t="s">
        <v>1370</v>
      </c>
      <c r="C420" s="89" t="s">
        <v>1371</v>
      </c>
      <c r="D420" s="88">
        <v>1185</v>
      </c>
      <c r="E420" s="88" t="s">
        <v>1372</v>
      </c>
      <c r="F420" s="88" t="s">
        <v>1373</v>
      </c>
      <c r="G420" s="88"/>
      <c r="H420" s="88" t="s">
        <v>591</v>
      </c>
      <c r="I420" s="88" t="s">
        <v>41</v>
      </c>
      <c r="J420" s="89" t="s">
        <v>4638</v>
      </c>
      <c r="K420" s="103" t="s">
        <v>1402</v>
      </c>
      <c r="L420" s="403" t="s">
        <v>26</v>
      </c>
      <c r="M420" s="199">
        <v>44895</v>
      </c>
      <c r="N420" s="105">
        <v>44676</v>
      </c>
      <c r="O420" s="105"/>
      <c r="P420" s="203" t="s">
        <v>2022</v>
      </c>
      <c r="Q420" s="203" t="s">
        <v>1869</v>
      </c>
      <c r="R420" s="203"/>
      <c r="S420" s="203"/>
      <c r="T420" s="87" t="s">
        <v>4980</v>
      </c>
      <c r="U420" s="87" t="s">
        <v>1571</v>
      </c>
      <c r="V420" s="87"/>
      <c r="W420" s="88" t="s">
        <v>1571</v>
      </c>
      <c r="X420" s="249" t="s">
        <v>4981</v>
      </c>
      <c r="Y420" s="88"/>
      <c r="Z420" s="250"/>
      <c r="AA420" s="87" t="s">
        <v>2247</v>
      </c>
      <c r="AB420" s="250" t="s">
        <v>2090</v>
      </c>
      <c r="AC420" s="250"/>
      <c r="AD420" s="250"/>
      <c r="AE420" s="87"/>
      <c r="AF420" s="88" t="s">
        <v>4638</v>
      </c>
      <c r="AG420" s="88" t="s">
        <v>2104</v>
      </c>
      <c r="AH420" s="88"/>
      <c r="AI420" s="224" t="s">
        <v>2248</v>
      </c>
      <c r="AJ420" s="225">
        <v>1</v>
      </c>
      <c r="AK420" s="224" t="s">
        <v>2107</v>
      </c>
      <c r="AL420" s="224" t="s">
        <v>2249</v>
      </c>
      <c r="AM420" s="224" t="s">
        <v>2217</v>
      </c>
      <c r="AN420" s="224" t="s">
        <v>2250</v>
      </c>
    </row>
    <row r="421" spans="1:40" s="86" customFormat="1" ht="59.25" customHeight="1">
      <c r="A421" s="402">
        <v>325267</v>
      </c>
      <c r="B421" s="89" t="s">
        <v>1412</v>
      </c>
      <c r="C421" s="89" t="s">
        <v>1467</v>
      </c>
      <c r="D421" s="88">
        <v>11415</v>
      </c>
      <c r="E421" s="88" t="s">
        <v>1416</v>
      </c>
      <c r="F421" s="88" t="s">
        <v>1413</v>
      </c>
      <c r="G421" s="88" t="s">
        <v>1414</v>
      </c>
      <c r="H421" s="88" t="s">
        <v>591</v>
      </c>
      <c r="I421" s="88" t="s">
        <v>41</v>
      </c>
      <c r="J421" s="89" t="s">
        <v>4608</v>
      </c>
      <c r="K421" s="103" t="s">
        <v>1233</v>
      </c>
      <c r="L421" s="403" t="s">
        <v>26</v>
      </c>
      <c r="M421" s="199">
        <v>45473</v>
      </c>
      <c r="N421" s="105">
        <v>44725</v>
      </c>
      <c r="O421" s="105"/>
      <c r="P421" s="203" t="s">
        <v>5627</v>
      </c>
      <c r="Q421" s="203" t="s">
        <v>5224</v>
      </c>
      <c r="R421" s="203"/>
      <c r="S421" s="203"/>
      <c r="T421" s="87" t="s">
        <v>5837</v>
      </c>
      <c r="U421" s="87" t="s">
        <v>1571</v>
      </c>
      <c r="V421" s="87"/>
      <c r="W421" s="88" t="s">
        <v>1571</v>
      </c>
      <c r="X421" s="249" t="s">
        <v>5229</v>
      </c>
      <c r="Y421" s="88"/>
      <c r="Z421" s="250"/>
      <c r="AA421" s="87" t="s">
        <v>1412</v>
      </c>
      <c r="AB421" s="250" t="s">
        <v>2090</v>
      </c>
      <c r="AC421" s="250"/>
      <c r="AD421" s="250"/>
      <c r="AE421" s="87"/>
      <c r="AF421" s="88" t="s">
        <v>4608</v>
      </c>
      <c r="AG421" s="88" t="s">
        <v>2104</v>
      </c>
      <c r="AH421" s="88"/>
      <c r="AI421" s="224" t="s">
        <v>2179</v>
      </c>
      <c r="AJ421" s="225">
        <v>1</v>
      </c>
      <c r="AK421" s="224" t="s">
        <v>2107</v>
      </c>
      <c r="AL421" s="224" t="s">
        <v>2486</v>
      </c>
      <c r="AM421" s="224" t="s">
        <v>2217</v>
      </c>
      <c r="AN421" s="224" t="s">
        <v>2487</v>
      </c>
    </row>
    <row r="422" spans="1:40" s="86" customFormat="1" ht="59.25" customHeight="1">
      <c r="A422" s="402">
        <v>325331</v>
      </c>
      <c r="B422" s="89" t="s">
        <v>1445</v>
      </c>
      <c r="C422" s="89" t="s">
        <v>1446</v>
      </c>
      <c r="D422" s="88">
        <v>2189</v>
      </c>
      <c r="E422" s="88" t="s">
        <v>1447</v>
      </c>
      <c r="F422" s="88" t="s">
        <v>1448</v>
      </c>
      <c r="G422" s="88" t="s">
        <v>1449</v>
      </c>
      <c r="H422" s="88" t="s">
        <v>591</v>
      </c>
      <c r="I422" s="88" t="s">
        <v>685</v>
      </c>
      <c r="J422" s="89" t="s">
        <v>1421</v>
      </c>
      <c r="K422" s="103" t="s">
        <v>1233</v>
      </c>
      <c r="L422" s="403" t="s">
        <v>26</v>
      </c>
      <c r="M422" s="199">
        <v>45169</v>
      </c>
      <c r="N422" s="105">
        <v>44414</v>
      </c>
      <c r="O422" s="105"/>
      <c r="P422" s="203" t="s">
        <v>1450</v>
      </c>
      <c r="Q422" s="203"/>
      <c r="R422" s="203"/>
      <c r="S422" s="203" t="s">
        <v>4383</v>
      </c>
      <c r="T422" s="87" t="s">
        <v>4646</v>
      </c>
      <c r="U422" s="87" t="s">
        <v>1571</v>
      </c>
      <c r="V422" s="87"/>
      <c r="W422" s="88" t="s">
        <v>1571</v>
      </c>
      <c r="X422" s="249" t="s">
        <v>4725</v>
      </c>
      <c r="Y422" s="88"/>
      <c r="Z422" s="250"/>
      <c r="AA422" s="87" t="s">
        <v>1445</v>
      </c>
      <c r="AB422" s="250" t="s">
        <v>2120</v>
      </c>
      <c r="AC422" s="250" t="s">
        <v>2150</v>
      </c>
      <c r="AD422" s="250"/>
      <c r="AE422" s="87"/>
      <c r="AF422" s="88" t="s">
        <v>1421</v>
      </c>
      <c r="AG422" s="88" t="s">
        <v>2120</v>
      </c>
      <c r="AH422" s="88"/>
      <c r="AI422" s="224"/>
      <c r="AJ422" s="225">
        <v>2</v>
      </c>
      <c r="AK422" s="224" t="s">
        <v>2107</v>
      </c>
      <c r="AL422" s="224" t="s">
        <v>2488</v>
      </c>
      <c r="AM422" s="224" t="s">
        <v>2152</v>
      </c>
      <c r="AN422" s="224" t="s">
        <v>2489</v>
      </c>
    </row>
    <row r="423" spans="1:40" s="86" customFormat="1" ht="59.25" customHeight="1">
      <c r="A423" s="402">
        <v>325804</v>
      </c>
      <c r="B423" s="89" t="s">
        <v>705</v>
      </c>
      <c r="C423" s="89" t="s">
        <v>4342</v>
      </c>
      <c r="D423" s="88">
        <v>33773</v>
      </c>
      <c r="E423" s="88" t="s">
        <v>4343</v>
      </c>
      <c r="F423" s="88" t="s">
        <v>51</v>
      </c>
      <c r="G423" s="88" t="s">
        <v>4344</v>
      </c>
      <c r="H423" s="88" t="s">
        <v>591</v>
      </c>
      <c r="I423" s="88" t="s">
        <v>40</v>
      </c>
      <c r="J423" s="89" t="s">
        <v>5281</v>
      </c>
      <c r="K423" s="103" t="s">
        <v>1233</v>
      </c>
      <c r="L423" s="403" t="s">
        <v>26</v>
      </c>
      <c r="M423" s="199">
        <v>45077</v>
      </c>
      <c r="N423" s="105">
        <v>44754</v>
      </c>
      <c r="O423" s="105"/>
      <c r="P423" s="203" t="s">
        <v>6067</v>
      </c>
      <c r="Q423" s="203" t="s">
        <v>1660</v>
      </c>
      <c r="R423" s="203" t="s">
        <v>1922</v>
      </c>
      <c r="S423" s="203"/>
      <c r="T423" s="87" t="s">
        <v>5053</v>
      </c>
      <c r="U423" s="87" t="s">
        <v>1568</v>
      </c>
      <c r="V423" s="87"/>
      <c r="W423" s="88" t="s">
        <v>1568</v>
      </c>
      <c r="X423" s="249" t="s">
        <v>4690</v>
      </c>
      <c r="Y423" s="88"/>
      <c r="Z423" s="250"/>
      <c r="AA423" s="87" t="s">
        <v>2132</v>
      </c>
      <c r="AB423" s="250" t="s">
        <v>2072</v>
      </c>
      <c r="AC423" s="250"/>
      <c r="AD423" s="250"/>
      <c r="AE423" s="87"/>
      <c r="AF423" s="88" t="s">
        <v>5517</v>
      </c>
      <c r="AG423" s="88" t="s">
        <v>2073</v>
      </c>
      <c r="AH423" s="88" t="s">
        <v>2074</v>
      </c>
      <c r="AI423" s="224" t="s">
        <v>2075</v>
      </c>
      <c r="AJ423" s="225">
        <v>2</v>
      </c>
      <c r="AK423" s="224" t="s">
        <v>2133</v>
      </c>
      <c r="AL423" s="224" t="s">
        <v>2134</v>
      </c>
      <c r="AM423" s="224" t="s">
        <v>2099</v>
      </c>
      <c r="AN423" s="224" t="s">
        <v>2135</v>
      </c>
    </row>
    <row r="424" spans="1:40" s="86" customFormat="1" ht="59.25" customHeight="1">
      <c r="A424" s="402">
        <v>325878</v>
      </c>
      <c r="B424" s="89" t="s">
        <v>1453</v>
      </c>
      <c r="C424" s="89" t="s">
        <v>1454</v>
      </c>
      <c r="D424" s="88">
        <v>727522</v>
      </c>
      <c r="E424" s="88" t="s">
        <v>336</v>
      </c>
      <c r="F424" s="88" t="s">
        <v>337</v>
      </c>
      <c r="G424" s="88"/>
      <c r="H424" s="88" t="s">
        <v>591</v>
      </c>
      <c r="I424" s="88" t="s">
        <v>40</v>
      </c>
      <c r="J424" s="89" t="s">
        <v>5279</v>
      </c>
      <c r="K424" s="103" t="s">
        <v>1402</v>
      </c>
      <c r="L424" s="403" t="s">
        <v>26</v>
      </c>
      <c r="M424" s="199">
        <v>45473</v>
      </c>
      <c r="N424" s="105">
        <v>44364</v>
      </c>
      <c r="O424" s="105"/>
      <c r="P424" s="203" t="s">
        <v>5469</v>
      </c>
      <c r="Q424" s="203" t="s">
        <v>1870</v>
      </c>
      <c r="R424" s="203"/>
      <c r="S424" s="203"/>
      <c r="T424" s="87" t="s">
        <v>4409</v>
      </c>
      <c r="U424" s="87" t="s">
        <v>1571</v>
      </c>
      <c r="V424" s="87"/>
      <c r="W424" s="88" t="s">
        <v>1571</v>
      </c>
      <c r="X424" s="249" t="s">
        <v>4453</v>
      </c>
      <c r="Y424" s="88"/>
      <c r="Z424" s="250"/>
      <c r="AA424" s="87" t="s">
        <v>2263</v>
      </c>
      <c r="AB424" s="250" t="s">
        <v>2072</v>
      </c>
      <c r="AC424" s="250"/>
      <c r="AD424" s="250"/>
      <c r="AE424" s="87"/>
      <c r="AF424" s="88" t="s">
        <v>5279</v>
      </c>
      <c r="AG424" s="88" t="s">
        <v>2073</v>
      </c>
      <c r="AH424" s="88" t="s">
        <v>2074</v>
      </c>
      <c r="AI424" s="224" t="s">
        <v>2075</v>
      </c>
      <c r="AJ424" s="225">
        <v>3</v>
      </c>
      <c r="AK424" s="224" t="s">
        <v>2076</v>
      </c>
      <c r="AL424" s="224" t="s">
        <v>2264</v>
      </c>
      <c r="AM424" s="224" t="s">
        <v>2077</v>
      </c>
      <c r="AN424" s="224"/>
    </row>
    <row r="425" spans="1:40" s="86" customFormat="1" ht="59.25" customHeight="1">
      <c r="A425" s="402">
        <v>325909</v>
      </c>
      <c r="B425" s="89" t="s">
        <v>746</v>
      </c>
      <c r="C425" s="89" t="s">
        <v>1484</v>
      </c>
      <c r="D425" s="88">
        <v>75015</v>
      </c>
      <c r="E425" s="88" t="s">
        <v>1485</v>
      </c>
      <c r="F425" s="88" t="s">
        <v>47</v>
      </c>
      <c r="G425" s="88" t="s">
        <v>2020</v>
      </c>
      <c r="H425" s="88" t="s">
        <v>591</v>
      </c>
      <c r="I425" s="88" t="s">
        <v>737</v>
      </c>
      <c r="J425" s="89" t="s">
        <v>5280</v>
      </c>
      <c r="K425" s="103" t="s">
        <v>1233</v>
      </c>
      <c r="L425" s="403" t="s">
        <v>26</v>
      </c>
      <c r="M425" s="199">
        <v>45382</v>
      </c>
      <c r="N425" s="105">
        <v>44467</v>
      </c>
      <c r="O425" s="105"/>
      <c r="P425" s="203" t="s">
        <v>1070</v>
      </c>
      <c r="Q425" s="203"/>
      <c r="R425" s="203"/>
      <c r="S425" s="203"/>
      <c r="T425" s="87" t="s">
        <v>5838</v>
      </c>
      <c r="U425" s="87" t="s">
        <v>1577</v>
      </c>
      <c r="V425" s="87"/>
      <c r="W425" s="88" t="s">
        <v>1568</v>
      </c>
      <c r="X425" s="249" t="s">
        <v>5927</v>
      </c>
      <c r="Y425" s="88"/>
      <c r="Z425" s="250"/>
      <c r="AA425" s="87"/>
      <c r="AB425" s="250"/>
      <c r="AC425" s="250"/>
      <c r="AD425" s="250"/>
      <c r="AE425" s="87"/>
      <c r="AF425" s="88"/>
      <c r="AG425" s="88"/>
      <c r="AH425" s="88"/>
      <c r="AI425" s="224"/>
      <c r="AJ425" s="225"/>
      <c r="AK425" s="224"/>
      <c r="AL425" s="224"/>
      <c r="AM425" s="224"/>
      <c r="AN425" s="224"/>
    </row>
    <row r="426" spans="1:40" s="86" customFormat="1" ht="59.25" customHeight="1">
      <c r="A426" s="402">
        <v>326373</v>
      </c>
      <c r="B426" s="89" t="s">
        <v>1455</v>
      </c>
      <c r="C426" s="89" t="s">
        <v>1456</v>
      </c>
      <c r="D426" s="88">
        <v>797440</v>
      </c>
      <c r="E426" s="88" t="s">
        <v>336</v>
      </c>
      <c r="F426" s="88" t="s">
        <v>337</v>
      </c>
      <c r="G426" s="88" t="s">
        <v>1457</v>
      </c>
      <c r="H426" s="88" t="s">
        <v>591</v>
      </c>
      <c r="I426" s="88" t="s">
        <v>40</v>
      </c>
      <c r="J426" s="89" t="s">
        <v>1288</v>
      </c>
      <c r="K426" s="103" t="s">
        <v>1402</v>
      </c>
      <c r="L426" s="403" t="s">
        <v>26</v>
      </c>
      <c r="M426" s="199">
        <v>45716</v>
      </c>
      <c r="N426" s="105">
        <v>44620</v>
      </c>
      <c r="O426" s="105"/>
      <c r="P426" s="203" t="s">
        <v>5204</v>
      </c>
      <c r="Q426" s="203" t="s">
        <v>4847</v>
      </c>
      <c r="R426" s="203"/>
      <c r="S426" s="203"/>
      <c r="T426" s="87" t="s">
        <v>4410</v>
      </c>
      <c r="U426" s="87" t="s">
        <v>1571</v>
      </c>
      <c r="V426" s="87"/>
      <c r="W426" s="88" t="s">
        <v>1571</v>
      </c>
      <c r="X426" s="249" t="s">
        <v>4726</v>
      </c>
      <c r="Y426" s="88"/>
      <c r="Z426" s="250"/>
      <c r="AA426" s="87" t="s">
        <v>2490</v>
      </c>
      <c r="AB426" s="250" t="s">
        <v>2090</v>
      </c>
      <c r="AC426" s="250"/>
      <c r="AD426" s="250"/>
      <c r="AE426" s="87"/>
      <c r="AF426" s="88" t="s">
        <v>1288</v>
      </c>
      <c r="AG426" s="88" t="s">
        <v>2090</v>
      </c>
      <c r="AH426" s="88" t="s">
        <v>2214</v>
      </c>
      <c r="AI426" s="224"/>
      <c r="AJ426" s="225">
        <v>3</v>
      </c>
      <c r="AK426" s="224" t="s">
        <v>2133</v>
      </c>
      <c r="AL426" s="224" t="s">
        <v>2491</v>
      </c>
      <c r="AM426" s="224" t="s">
        <v>2099</v>
      </c>
      <c r="AN426" s="224" t="s">
        <v>2492</v>
      </c>
    </row>
    <row r="427" spans="1:40" s="86" customFormat="1" ht="59.25" customHeight="1">
      <c r="A427" s="402">
        <v>326668</v>
      </c>
      <c r="B427" s="89" t="s">
        <v>1479</v>
      </c>
      <c r="C427" s="89" t="s">
        <v>1480</v>
      </c>
      <c r="D427" s="88" t="s">
        <v>2512</v>
      </c>
      <c r="E427" s="88" t="s">
        <v>1481</v>
      </c>
      <c r="F427" s="88" t="s">
        <v>51</v>
      </c>
      <c r="G427" s="88" t="s">
        <v>1482</v>
      </c>
      <c r="H427" s="88" t="s">
        <v>591</v>
      </c>
      <c r="I427" s="88" t="s">
        <v>40</v>
      </c>
      <c r="J427" s="89" t="s">
        <v>4441</v>
      </c>
      <c r="K427" s="103" t="s">
        <v>1233</v>
      </c>
      <c r="L427" s="403" t="s">
        <v>26</v>
      </c>
      <c r="M427" s="199">
        <v>45077</v>
      </c>
      <c r="N427" s="105">
        <v>44347</v>
      </c>
      <c r="O427" s="105"/>
      <c r="P427" s="203" t="s">
        <v>1486</v>
      </c>
      <c r="Q427" s="203" t="s">
        <v>1871</v>
      </c>
      <c r="R427" s="203"/>
      <c r="S427" s="203"/>
      <c r="T427" s="87" t="s">
        <v>4426</v>
      </c>
      <c r="U427" s="87" t="s">
        <v>1568</v>
      </c>
      <c r="V427" s="87"/>
      <c r="W427" s="88" t="s">
        <v>1568</v>
      </c>
      <c r="X427" s="249" t="s">
        <v>4031</v>
      </c>
      <c r="Y427" s="88"/>
      <c r="Z427" s="250" t="s">
        <v>2069</v>
      </c>
      <c r="AA427" s="87" t="s">
        <v>2280</v>
      </c>
      <c r="AB427" s="250" t="s">
        <v>2079</v>
      </c>
      <c r="AC427" s="250" t="s">
        <v>2493</v>
      </c>
      <c r="AD427" s="250"/>
      <c r="AE427" s="87" t="s">
        <v>2069</v>
      </c>
      <c r="AF427" s="88" t="s">
        <v>4441</v>
      </c>
      <c r="AG427" s="88" t="s">
        <v>2073</v>
      </c>
      <c r="AH427" s="88" t="s">
        <v>2074</v>
      </c>
      <c r="AI427" s="224" t="s">
        <v>2075</v>
      </c>
      <c r="AJ427" s="225">
        <v>2</v>
      </c>
      <c r="AK427" s="224" t="s">
        <v>2076</v>
      </c>
      <c r="AL427" s="224" t="s">
        <v>2498</v>
      </c>
      <c r="AM427" s="224" t="s">
        <v>2077</v>
      </c>
      <c r="AN427" s="224" t="s">
        <v>2281</v>
      </c>
    </row>
    <row r="428" spans="1:40" s="86" customFormat="1" ht="59.25" customHeight="1">
      <c r="A428" s="402">
        <v>327040</v>
      </c>
      <c r="B428" s="89" t="s">
        <v>1465</v>
      </c>
      <c r="C428" s="89" t="s">
        <v>1466</v>
      </c>
      <c r="D428" s="88">
        <v>38125</v>
      </c>
      <c r="E428" s="88" t="s">
        <v>918</v>
      </c>
      <c r="F428" s="88" t="s">
        <v>51</v>
      </c>
      <c r="G428" s="88"/>
      <c r="H428" s="88" t="s">
        <v>591</v>
      </c>
      <c r="I428" s="88" t="s">
        <v>40</v>
      </c>
      <c r="J428" s="89" t="s">
        <v>5279</v>
      </c>
      <c r="K428" s="103" t="s">
        <v>1233</v>
      </c>
      <c r="L428" s="403" t="s">
        <v>26</v>
      </c>
      <c r="M428" s="199">
        <v>45229</v>
      </c>
      <c r="N428" s="105">
        <v>44679</v>
      </c>
      <c r="O428" s="105"/>
      <c r="P428" s="203" t="s">
        <v>1494</v>
      </c>
      <c r="Q428" s="203" t="s">
        <v>1872</v>
      </c>
      <c r="R428" s="203"/>
      <c r="S428" s="203"/>
      <c r="T428" s="87" t="s">
        <v>5400</v>
      </c>
      <c r="U428" s="87" t="s">
        <v>1571</v>
      </c>
      <c r="V428" s="87"/>
      <c r="W428" s="88" t="s">
        <v>1571</v>
      </c>
      <c r="X428" s="249"/>
      <c r="Y428" s="88"/>
      <c r="Z428" s="250" t="s">
        <v>2070</v>
      </c>
      <c r="AA428" s="87" t="s">
        <v>2161</v>
      </c>
      <c r="AB428" s="250" t="s">
        <v>2079</v>
      </c>
      <c r="AC428" s="250" t="s">
        <v>2494</v>
      </c>
      <c r="AD428" s="250"/>
      <c r="AE428" s="87" t="s">
        <v>2070</v>
      </c>
      <c r="AF428" s="88" t="s">
        <v>5279</v>
      </c>
      <c r="AG428" s="88" t="s">
        <v>2073</v>
      </c>
      <c r="AH428" s="88" t="s">
        <v>2074</v>
      </c>
      <c r="AI428" s="224" t="s">
        <v>2075</v>
      </c>
      <c r="AJ428" s="225">
        <v>2</v>
      </c>
      <c r="AK428" s="224" t="s">
        <v>2076</v>
      </c>
      <c r="AL428" s="224" t="s">
        <v>2162</v>
      </c>
      <c r="AM428" s="224" t="s">
        <v>2099</v>
      </c>
      <c r="AN428" s="224" t="s">
        <v>2163</v>
      </c>
    </row>
    <row r="429" spans="1:40" s="86" customFormat="1" ht="59.25" customHeight="1">
      <c r="A429" s="402">
        <v>328334</v>
      </c>
      <c r="B429" s="89" t="s">
        <v>1512</v>
      </c>
      <c r="C429" s="89" t="s">
        <v>1513</v>
      </c>
      <c r="D429" s="88">
        <v>757</v>
      </c>
      <c r="E429" s="88" t="s">
        <v>1514</v>
      </c>
      <c r="F429" s="88" t="s">
        <v>1515</v>
      </c>
      <c r="G429" s="88"/>
      <c r="H429" s="88" t="s">
        <v>591</v>
      </c>
      <c r="I429" s="88" t="s">
        <v>40</v>
      </c>
      <c r="J429" s="89" t="s">
        <v>5282</v>
      </c>
      <c r="K429" s="103" t="s">
        <v>1402</v>
      </c>
      <c r="L429" s="403" t="s">
        <v>26</v>
      </c>
      <c r="M429" s="199">
        <v>45412</v>
      </c>
      <c r="N429" s="105">
        <v>44673</v>
      </c>
      <c r="O429" s="105"/>
      <c r="P429" s="203" t="s">
        <v>5022</v>
      </c>
      <c r="Q429" s="203" t="s">
        <v>1873</v>
      </c>
      <c r="R429" s="203"/>
      <c r="S429" s="203"/>
      <c r="T429" s="87" t="s">
        <v>5057</v>
      </c>
      <c r="U429" s="87" t="s">
        <v>1571</v>
      </c>
      <c r="V429" s="87"/>
      <c r="W429" s="88" t="s">
        <v>1571</v>
      </c>
      <c r="X429" s="249" t="s">
        <v>4032</v>
      </c>
      <c r="Y429" s="88"/>
      <c r="Z429" s="250"/>
      <c r="AA429" s="87" t="s">
        <v>2220</v>
      </c>
      <c r="AB429" s="250" t="s">
        <v>2072</v>
      </c>
      <c r="AC429" s="250"/>
      <c r="AD429" s="250"/>
      <c r="AE429" s="87"/>
      <c r="AF429" s="88" t="s">
        <v>5282</v>
      </c>
      <c r="AG429" s="88" t="s">
        <v>2073</v>
      </c>
      <c r="AH429" s="88" t="s">
        <v>2074</v>
      </c>
      <c r="AI429" s="224"/>
      <c r="AJ429" s="225">
        <v>2</v>
      </c>
      <c r="AK429" s="224" t="s">
        <v>2076</v>
      </c>
      <c r="AL429" s="224" t="s">
        <v>2221</v>
      </c>
      <c r="AM429" s="224" t="s">
        <v>2077</v>
      </c>
      <c r="AN429" s="224"/>
    </row>
    <row r="430" spans="1:40" s="86" customFormat="1" ht="59.25" customHeight="1">
      <c r="A430" s="402">
        <v>328371</v>
      </c>
      <c r="B430" s="89" t="s">
        <v>4834</v>
      </c>
      <c r="C430" s="89" t="s">
        <v>4835</v>
      </c>
      <c r="D430" s="88" t="s">
        <v>4836</v>
      </c>
      <c r="E430" s="88" t="s">
        <v>4837</v>
      </c>
      <c r="F430" s="88" t="s">
        <v>4838</v>
      </c>
      <c r="G430" s="88"/>
      <c r="H430" s="88" t="s">
        <v>591</v>
      </c>
      <c r="I430" s="88" t="s">
        <v>41</v>
      </c>
      <c r="J430" s="89" t="s">
        <v>786</v>
      </c>
      <c r="K430" s="103" t="s">
        <v>5218</v>
      </c>
      <c r="L430" s="403" t="s">
        <v>26</v>
      </c>
      <c r="M430" s="199">
        <v>45229</v>
      </c>
      <c r="N430" s="105">
        <v>44509</v>
      </c>
      <c r="O430" s="105"/>
      <c r="P430" s="203" t="s">
        <v>4871</v>
      </c>
      <c r="Q430" s="203" t="s">
        <v>4872</v>
      </c>
      <c r="R430" s="203"/>
      <c r="S430" s="203"/>
      <c r="T430" s="87" t="s">
        <v>4849</v>
      </c>
      <c r="U430" s="87" t="s">
        <v>1568</v>
      </c>
      <c r="V430" s="87"/>
      <c r="W430" s="88" t="s">
        <v>1568</v>
      </c>
      <c r="X430" s="249" t="s">
        <v>6077</v>
      </c>
      <c r="Y430" s="88"/>
      <c r="Z430" s="250"/>
      <c r="AA430" s="87" t="s">
        <v>4834</v>
      </c>
      <c r="AB430" s="250" t="s">
        <v>2090</v>
      </c>
      <c r="AC430" s="250"/>
      <c r="AD430" s="250"/>
      <c r="AE430" s="87"/>
      <c r="AF430" s="88" t="s">
        <v>786</v>
      </c>
      <c r="AG430" s="88" t="s">
        <v>2104</v>
      </c>
      <c r="AH430" s="88"/>
      <c r="AI430" s="224"/>
      <c r="AJ430" s="225">
        <v>1</v>
      </c>
      <c r="AK430" s="224"/>
      <c r="AL430" s="224"/>
      <c r="AM430" s="224"/>
      <c r="AN430" s="224"/>
    </row>
    <row r="431" spans="1:40" s="86" customFormat="1" ht="59.25" customHeight="1">
      <c r="A431" s="402">
        <v>329009</v>
      </c>
      <c r="B431" s="89" t="s">
        <v>4227</v>
      </c>
      <c r="C431" s="89" t="s">
        <v>4228</v>
      </c>
      <c r="D431" s="88">
        <v>90806</v>
      </c>
      <c r="E431" s="88" t="s">
        <v>4229</v>
      </c>
      <c r="F431" s="88" t="s">
        <v>51</v>
      </c>
      <c r="G431" s="88" t="s">
        <v>4230</v>
      </c>
      <c r="H431" s="88" t="s">
        <v>591</v>
      </c>
      <c r="I431" s="88" t="s">
        <v>40</v>
      </c>
      <c r="J431" s="89" t="s">
        <v>1510</v>
      </c>
      <c r="K431" s="103" t="s">
        <v>1233</v>
      </c>
      <c r="L431" s="403" t="s">
        <v>26</v>
      </c>
      <c r="M431" s="199">
        <v>45107</v>
      </c>
      <c r="N431" s="105">
        <v>44203</v>
      </c>
      <c r="O431" s="105"/>
      <c r="P431" s="203" t="s">
        <v>4246</v>
      </c>
      <c r="Q431" s="203" t="s">
        <v>4235</v>
      </c>
      <c r="R431" s="203"/>
      <c r="S431" s="203"/>
      <c r="T431" s="87" t="s">
        <v>4250</v>
      </c>
      <c r="U431" s="87" t="s">
        <v>1571</v>
      </c>
      <c r="V431" s="87"/>
      <c r="W431" s="88" t="s">
        <v>1571</v>
      </c>
      <c r="X431" s="249" t="s">
        <v>4243</v>
      </c>
      <c r="Y431" s="88"/>
      <c r="Z431" s="250"/>
      <c r="AA431" s="87" t="s">
        <v>4251</v>
      </c>
      <c r="AB431" s="250" t="s">
        <v>2090</v>
      </c>
      <c r="AC431" s="250"/>
      <c r="AD431" s="250"/>
      <c r="AE431" s="87"/>
      <c r="AF431" s="88" t="s">
        <v>1510</v>
      </c>
      <c r="AG431" s="88" t="s">
        <v>2090</v>
      </c>
      <c r="AH431" s="88" t="s">
        <v>2214</v>
      </c>
      <c r="AI431" s="224" t="s">
        <v>2194</v>
      </c>
      <c r="AJ431" s="225">
        <v>2</v>
      </c>
      <c r="AK431" s="224" t="s">
        <v>2133</v>
      </c>
      <c r="AL431" s="224" t="s">
        <v>4252</v>
      </c>
      <c r="AM431" s="224" t="s">
        <v>2099</v>
      </c>
      <c r="AN431" s="224"/>
    </row>
    <row r="432" spans="1:40" s="86" customFormat="1" ht="59.25" customHeight="1">
      <c r="A432" s="402">
        <v>329026</v>
      </c>
      <c r="B432" s="89" t="s">
        <v>4199</v>
      </c>
      <c r="C432" s="89" t="s">
        <v>4883</v>
      </c>
      <c r="D432" s="88">
        <v>28906</v>
      </c>
      <c r="E432" s="88" t="s">
        <v>4200</v>
      </c>
      <c r="F432" s="88" t="s">
        <v>126</v>
      </c>
      <c r="G432" s="88" t="s">
        <v>4201</v>
      </c>
      <c r="H432" s="88" t="s">
        <v>591</v>
      </c>
      <c r="I432" s="88" t="s">
        <v>40</v>
      </c>
      <c r="J432" s="89" t="s">
        <v>5282</v>
      </c>
      <c r="K432" s="103" t="s">
        <v>1402</v>
      </c>
      <c r="L432" s="403" t="s">
        <v>26</v>
      </c>
      <c r="M432" s="199">
        <v>45382</v>
      </c>
      <c r="N432" s="105">
        <v>44651</v>
      </c>
      <c r="O432" s="105"/>
      <c r="P432" s="203" t="s">
        <v>4318</v>
      </c>
      <c r="Q432" s="203" t="s">
        <v>4205</v>
      </c>
      <c r="R432" s="203"/>
      <c r="S432" s="203"/>
      <c r="T432" s="87" t="s">
        <v>4206</v>
      </c>
      <c r="U432" s="87" t="s">
        <v>1568</v>
      </c>
      <c r="V432" s="87"/>
      <c r="W432" s="88" t="s">
        <v>1568</v>
      </c>
      <c r="X432" s="249" t="s">
        <v>3838</v>
      </c>
      <c r="Y432" s="88"/>
      <c r="Z432" s="250"/>
      <c r="AA432" s="87" t="s">
        <v>2159</v>
      </c>
      <c r="AB432" s="250" t="s">
        <v>2072</v>
      </c>
      <c r="AC432" s="250"/>
      <c r="AD432" s="250"/>
      <c r="AE432" s="87"/>
      <c r="AF432" s="88" t="s">
        <v>5282</v>
      </c>
      <c r="AG432" s="88" t="s">
        <v>2073</v>
      </c>
      <c r="AH432" s="88" t="s">
        <v>2113</v>
      </c>
      <c r="AI432" s="224" t="s">
        <v>2075</v>
      </c>
      <c r="AJ432" s="225">
        <v>3</v>
      </c>
      <c r="AK432" s="224" t="s">
        <v>2085</v>
      </c>
      <c r="AL432" s="224" t="s">
        <v>2160</v>
      </c>
      <c r="AM432" s="224"/>
      <c r="AN432" s="224"/>
    </row>
    <row r="433" spans="1:40" s="86" customFormat="1" ht="59.25" customHeight="1">
      <c r="A433" s="402">
        <v>329157</v>
      </c>
      <c r="B433" s="89" t="s">
        <v>4258</v>
      </c>
      <c r="C433" s="89" t="s">
        <v>4366</v>
      </c>
      <c r="D433" s="88">
        <v>87124</v>
      </c>
      <c r="E433" s="88" t="s">
        <v>4259</v>
      </c>
      <c r="F433" s="88" t="s">
        <v>51</v>
      </c>
      <c r="G433" s="88">
        <v>15992</v>
      </c>
      <c r="H433" s="88" t="s">
        <v>591</v>
      </c>
      <c r="I433" s="88" t="s">
        <v>40</v>
      </c>
      <c r="J433" s="89" t="s">
        <v>1288</v>
      </c>
      <c r="K433" s="103" t="s">
        <v>1402</v>
      </c>
      <c r="L433" s="403" t="s">
        <v>26</v>
      </c>
      <c r="M433" s="199">
        <v>44957</v>
      </c>
      <c r="N433" s="105">
        <v>44208</v>
      </c>
      <c r="O433" s="105"/>
      <c r="P433" s="203" t="s">
        <v>5682</v>
      </c>
      <c r="Q433" s="203" t="s">
        <v>4319</v>
      </c>
      <c r="R433" s="203"/>
      <c r="S433" s="203"/>
      <c r="T433" s="87" t="s">
        <v>4290</v>
      </c>
      <c r="U433" s="87" t="s">
        <v>1568</v>
      </c>
      <c r="V433" s="87"/>
      <c r="W433" s="88" t="s">
        <v>1568</v>
      </c>
      <c r="X433" s="249" t="s">
        <v>4293</v>
      </c>
      <c r="Y433" s="88"/>
      <c r="Z433" s="250"/>
      <c r="AA433" s="87" t="s">
        <v>4296</v>
      </c>
      <c r="AB433" s="250" t="s">
        <v>2090</v>
      </c>
      <c r="AC433" s="250"/>
      <c r="AD433" s="250"/>
      <c r="AE433" s="87"/>
      <c r="AF433" s="88" t="s">
        <v>1288</v>
      </c>
      <c r="AG433" s="88" t="s">
        <v>2090</v>
      </c>
      <c r="AH433" s="88" t="s">
        <v>2214</v>
      </c>
      <c r="AI433" s="224"/>
      <c r="AJ433" s="225">
        <v>3</v>
      </c>
      <c r="AK433" s="224"/>
      <c r="AL433" s="224" t="s">
        <v>4312</v>
      </c>
      <c r="AM433" s="224" t="s">
        <v>2099</v>
      </c>
      <c r="AN433" s="224"/>
    </row>
    <row r="434" spans="1:40" s="86" customFormat="1" ht="59.25" customHeight="1">
      <c r="A434" s="402">
        <v>329161</v>
      </c>
      <c r="B434" s="89" t="s">
        <v>4260</v>
      </c>
      <c r="C434" s="89" t="s">
        <v>4261</v>
      </c>
      <c r="D434" s="88">
        <v>21029</v>
      </c>
      <c r="E434" s="88" t="s">
        <v>4262</v>
      </c>
      <c r="F434" s="88" t="s">
        <v>98</v>
      </c>
      <c r="G434" s="88"/>
      <c r="H434" s="88" t="s">
        <v>591</v>
      </c>
      <c r="I434" s="88" t="s">
        <v>40</v>
      </c>
      <c r="J434" s="89" t="s">
        <v>5283</v>
      </c>
      <c r="K434" s="103" t="s">
        <v>1233</v>
      </c>
      <c r="L434" s="403" t="s">
        <v>26</v>
      </c>
      <c r="M434" s="199">
        <v>45230</v>
      </c>
      <c r="N434" s="105">
        <v>44490</v>
      </c>
      <c r="O434" s="105"/>
      <c r="P434" s="203" t="s">
        <v>5241</v>
      </c>
      <c r="Q434" s="203" t="s">
        <v>4282</v>
      </c>
      <c r="R434" s="203"/>
      <c r="S434" s="203"/>
      <c r="T434" s="87" t="s">
        <v>4613</v>
      </c>
      <c r="U434" s="87" t="s">
        <v>1571</v>
      </c>
      <c r="V434" s="87"/>
      <c r="W434" s="88" t="s">
        <v>1571</v>
      </c>
      <c r="X434" s="249" t="s">
        <v>4295</v>
      </c>
      <c r="Y434" s="88"/>
      <c r="Z434" s="250"/>
      <c r="AA434" s="87" t="s">
        <v>2319</v>
      </c>
      <c r="AB434" s="250" t="s">
        <v>2072</v>
      </c>
      <c r="AC434" s="250"/>
      <c r="AD434" s="250"/>
      <c r="AE434" s="87"/>
      <c r="AF434" s="88" t="s">
        <v>5283</v>
      </c>
      <c r="AG434" s="88" t="s">
        <v>2073</v>
      </c>
      <c r="AH434" s="88" t="s">
        <v>2074</v>
      </c>
      <c r="AI434" s="224" t="s">
        <v>2075</v>
      </c>
      <c r="AJ434" s="225">
        <v>2</v>
      </c>
      <c r="AK434" s="224" t="s">
        <v>2076</v>
      </c>
      <c r="AL434" s="224" t="s">
        <v>2320</v>
      </c>
      <c r="AM434" s="224" t="s">
        <v>2099</v>
      </c>
      <c r="AN434" s="224" t="s">
        <v>2321</v>
      </c>
    </row>
    <row r="435" spans="1:40" s="86" customFormat="1" ht="59.25" customHeight="1">
      <c r="A435" s="402">
        <v>329207</v>
      </c>
      <c r="B435" s="89" t="s">
        <v>5109</v>
      </c>
      <c r="C435" s="89" t="s">
        <v>498</v>
      </c>
      <c r="D435" s="88">
        <v>63329</v>
      </c>
      <c r="E435" s="88" t="s">
        <v>5110</v>
      </c>
      <c r="F435" s="88" t="s">
        <v>55</v>
      </c>
      <c r="G435" s="88" t="s">
        <v>5111</v>
      </c>
      <c r="H435" s="88" t="s">
        <v>591</v>
      </c>
      <c r="I435" s="88" t="s">
        <v>40</v>
      </c>
      <c r="J435" s="89" t="s">
        <v>1277</v>
      </c>
      <c r="K435" s="103" t="s">
        <v>1402</v>
      </c>
      <c r="L435" s="403" t="s">
        <v>26</v>
      </c>
      <c r="M435" s="199">
        <v>45716</v>
      </c>
      <c r="N435" s="105">
        <v>44603</v>
      </c>
      <c r="O435" s="105"/>
      <c r="P435" s="203" t="s">
        <v>5128</v>
      </c>
      <c r="Q435" s="203" t="s">
        <v>5130</v>
      </c>
      <c r="R435" s="203"/>
      <c r="S435" s="203"/>
      <c r="T435" s="87" t="s">
        <v>5133</v>
      </c>
      <c r="U435" s="87" t="s">
        <v>1571</v>
      </c>
      <c r="V435" s="87"/>
      <c r="W435" s="88" t="s">
        <v>1571</v>
      </c>
      <c r="X435" s="249" t="s">
        <v>3885</v>
      </c>
      <c r="Y435" s="88"/>
      <c r="Z435" s="250" t="s">
        <v>5183</v>
      </c>
      <c r="AA435" s="87" t="s">
        <v>2383</v>
      </c>
      <c r="AB435" s="250" t="s">
        <v>2079</v>
      </c>
      <c r="AC435" s="250" t="s">
        <v>5117</v>
      </c>
      <c r="AD435" s="250"/>
      <c r="AE435" s="87" t="s">
        <v>5183</v>
      </c>
      <c r="AF435" s="88" t="s">
        <v>1277</v>
      </c>
      <c r="AG435" s="88" t="s">
        <v>2079</v>
      </c>
      <c r="AH435" s="88" t="s">
        <v>2113</v>
      </c>
      <c r="AI435" s="224"/>
      <c r="AJ435" s="225">
        <v>4</v>
      </c>
      <c r="AK435" s="224" t="s">
        <v>2085</v>
      </c>
      <c r="AL435" s="224" t="s">
        <v>2385</v>
      </c>
      <c r="AM435" s="224" t="s">
        <v>2087</v>
      </c>
      <c r="AN435" s="224"/>
    </row>
    <row r="436" spans="1:40" s="86" customFormat="1" ht="59.25" customHeight="1">
      <c r="A436" s="402">
        <v>329276</v>
      </c>
      <c r="B436" s="89" t="s">
        <v>4298</v>
      </c>
      <c r="C436" s="89" t="s">
        <v>5539</v>
      </c>
      <c r="D436" s="88">
        <v>430040</v>
      </c>
      <c r="E436" s="88" t="s">
        <v>4299</v>
      </c>
      <c r="F436" s="88" t="s">
        <v>175</v>
      </c>
      <c r="G436" s="88"/>
      <c r="H436" s="88" t="s">
        <v>591</v>
      </c>
      <c r="I436" s="88" t="s">
        <v>40</v>
      </c>
      <c r="J436" s="89" t="s">
        <v>1288</v>
      </c>
      <c r="K436" s="103" t="s">
        <v>1233</v>
      </c>
      <c r="L436" s="403" t="s">
        <v>26</v>
      </c>
      <c r="M436" s="199">
        <v>44957</v>
      </c>
      <c r="N436" s="105">
        <v>44589</v>
      </c>
      <c r="O436" s="105"/>
      <c r="P436" s="203" t="s">
        <v>4801</v>
      </c>
      <c r="Q436" s="203" t="s">
        <v>4303</v>
      </c>
      <c r="R436" s="203"/>
      <c r="S436" s="203"/>
      <c r="T436" s="87" t="s">
        <v>5244</v>
      </c>
      <c r="U436" s="87" t="s">
        <v>1571</v>
      </c>
      <c r="V436" s="87"/>
      <c r="W436" s="88" t="s">
        <v>1571</v>
      </c>
      <c r="X436" s="249" t="s">
        <v>4309</v>
      </c>
      <c r="Y436" s="88"/>
      <c r="Z436" s="250" t="s">
        <v>5141</v>
      </c>
      <c r="AA436" s="87" t="s">
        <v>4353</v>
      </c>
      <c r="AB436" s="250" t="s">
        <v>2090</v>
      </c>
      <c r="AC436" s="250" t="s">
        <v>5141</v>
      </c>
      <c r="AD436" s="250"/>
      <c r="AE436" s="87" t="s">
        <v>5141</v>
      </c>
      <c r="AF436" s="88" t="s">
        <v>1288</v>
      </c>
      <c r="AG436" s="88" t="s">
        <v>2090</v>
      </c>
      <c r="AH436" s="88" t="s">
        <v>2214</v>
      </c>
      <c r="AI436" s="224"/>
      <c r="AJ436" s="225" t="s">
        <v>2258</v>
      </c>
      <c r="AK436" s="224"/>
      <c r="AL436" s="224" t="s">
        <v>4354</v>
      </c>
      <c r="AM436" s="224" t="s">
        <v>2099</v>
      </c>
      <c r="AN436" s="224"/>
    </row>
    <row r="437" spans="1:40" s="86" customFormat="1" ht="59.25" customHeight="1">
      <c r="A437" s="402">
        <v>329752</v>
      </c>
      <c r="B437" s="89" t="s">
        <v>2141</v>
      </c>
      <c r="C437" s="89" t="s">
        <v>4389</v>
      </c>
      <c r="D437" s="88" t="s">
        <v>4390</v>
      </c>
      <c r="E437" s="88" t="s">
        <v>140</v>
      </c>
      <c r="F437" s="88" t="s">
        <v>45</v>
      </c>
      <c r="G437" s="88"/>
      <c r="H437" s="88" t="s">
        <v>591</v>
      </c>
      <c r="I437" s="88" t="s">
        <v>40</v>
      </c>
      <c r="J437" s="89" t="s">
        <v>5283</v>
      </c>
      <c r="K437" s="103" t="s">
        <v>1233</v>
      </c>
      <c r="L437" s="403" t="s">
        <v>26</v>
      </c>
      <c r="M437" s="199">
        <v>45230</v>
      </c>
      <c r="N437" s="105">
        <v>44551</v>
      </c>
      <c r="O437" s="105"/>
      <c r="P437" s="203" t="s">
        <v>5173</v>
      </c>
      <c r="Q437" s="203" t="s">
        <v>4513</v>
      </c>
      <c r="R437" s="203"/>
      <c r="S437" s="203"/>
      <c r="T437" s="87" t="s">
        <v>5205</v>
      </c>
      <c r="U437" s="87" t="s">
        <v>1571</v>
      </c>
      <c r="V437" s="87"/>
      <c r="W437" s="88" t="s">
        <v>1571</v>
      </c>
      <c r="X437" s="249" t="s">
        <v>4879</v>
      </c>
      <c r="Y437" s="88"/>
      <c r="Z437" s="250"/>
      <c r="AA437" s="87" t="s">
        <v>2141</v>
      </c>
      <c r="AB437" s="250" t="s">
        <v>5016</v>
      </c>
      <c r="AC437" s="250"/>
      <c r="AD437" s="250"/>
      <c r="AE437" s="87"/>
      <c r="AF437" s="88" t="s">
        <v>5283</v>
      </c>
      <c r="AG437" s="88" t="s">
        <v>2073</v>
      </c>
      <c r="AH437" s="88" t="s">
        <v>2074</v>
      </c>
      <c r="AI437" s="224"/>
      <c r="AJ437" s="225">
        <v>2</v>
      </c>
      <c r="AK437" s="224" t="s">
        <v>2076</v>
      </c>
      <c r="AL437" s="224" t="s">
        <v>2496</v>
      </c>
      <c r="AM437" s="224" t="s">
        <v>2099</v>
      </c>
      <c r="AN437" s="224" t="s">
        <v>2142</v>
      </c>
    </row>
    <row r="438" spans="1:40" s="86" customFormat="1" ht="59.25" customHeight="1">
      <c r="A438" s="402">
        <v>330147</v>
      </c>
      <c r="B438" s="89" t="s">
        <v>4478</v>
      </c>
      <c r="C438" s="89" t="s">
        <v>4479</v>
      </c>
      <c r="D438" s="88">
        <v>201323</v>
      </c>
      <c r="E438" s="88" t="s">
        <v>1426</v>
      </c>
      <c r="F438" s="88" t="s">
        <v>175</v>
      </c>
      <c r="G438" s="88"/>
      <c r="H438" s="88" t="s">
        <v>591</v>
      </c>
      <c r="I438" s="88" t="s">
        <v>40</v>
      </c>
      <c r="J438" s="89" t="s">
        <v>1510</v>
      </c>
      <c r="K438" s="103" t="s">
        <v>1402</v>
      </c>
      <c r="L438" s="403" t="s">
        <v>26</v>
      </c>
      <c r="M438" s="199">
        <v>44926</v>
      </c>
      <c r="N438" s="105">
        <v>44571</v>
      </c>
      <c r="O438" s="105"/>
      <c r="P438" s="203" t="s">
        <v>4790</v>
      </c>
      <c r="Q438" s="203" t="s">
        <v>4485</v>
      </c>
      <c r="R438" s="203"/>
      <c r="S438" s="203"/>
      <c r="T438" s="87" t="s">
        <v>4895</v>
      </c>
      <c r="U438" s="87" t="s">
        <v>1573</v>
      </c>
      <c r="V438" s="87"/>
      <c r="W438" s="88" t="s">
        <v>1571</v>
      </c>
      <c r="X438" s="249" t="s">
        <v>4898</v>
      </c>
      <c r="Y438" s="88"/>
      <c r="Z438" s="250" t="s">
        <v>5181</v>
      </c>
      <c r="AA438" s="87" t="s">
        <v>4502</v>
      </c>
      <c r="AB438" s="250" t="s">
        <v>2090</v>
      </c>
      <c r="AC438" s="250" t="s">
        <v>5188</v>
      </c>
      <c r="AD438" s="250"/>
      <c r="AE438" s="87" t="s">
        <v>5181</v>
      </c>
      <c r="AF438" s="88" t="s">
        <v>1510</v>
      </c>
      <c r="AG438" s="88" t="s">
        <v>2090</v>
      </c>
      <c r="AH438" s="88" t="s">
        <v>2214</v>
      </c>
      <c r="AI438" s="224"/>
      <c r="AJ438" s="225">
        <v>3</v>
      </c>
      <c r="AK438" s="224" t="s">
        <v>2133</v>
      </c>
      <c r="AL438" s="224" t="s">
        <v>4504</v>
      </c>
      <c r="AM438" s="224" t="s">
        <v>2099</v>
      </c>
      <c r="AN438" s="224" t="s">
        <v>4505</v>
      </c>
    </row>
    <row r="439" spans="1:40" s="86" customFormat="1" ht="59.25" customHeight="1">
      <c r="A439" s="402">
        <v>330169</v>
      </c>
      <c r="B439" s="89" t="s">
        <v>4508</v>
      </c>
      <c r="C439" s="89" t="s">
        <v>4509</v>
      </c>
      <c r="D439" s="88">
        <v>20160</v>
      </c>
      <c r="E439" s="88" t="s">
        <v>578</v>
      </c>
      <c r="F439" s="88" t="s">
        <v>452</v>
      </c>
      <c r="G439" s="88"/>
      <c r="H439" s="88" t="s">
        <v>591</v>
      </c>
      <c r="I439" s="88" t="s">
        <v>40</v>
      </c>
      <c r="J439" s="89" t="s">
        <v>1510</v>
      </c>
      <c r="K439" s="103"/>
      <c r="L439" s="403" t="s">
        <v>26</v>
      </c>
      <c r="M439" s="199">
        <v>45077</v>
      </c>
      <c r="N439" s="105">
        <v>44321</v>
      </c>
      <c r="O439" s="105"/>
      <c r="P439" s="203" t="s">
        <v>5628</v>
      </c>
      <c r="Q439" s="203" t="s">
        <v>4514</v>
      </c>
      <c r="R439" s="203"/>
      <c r="S439" s="203"/>
      <c r="T439" s="87" t="s">
        <v>4543</v>
      </c>
      <c r="U439" s="87" t="s">
        <v>1571</v>
      </c>
      <c r="V439" s="87"/>
      <c r="W439" s="88" t="s">
        <v>1571</v>
      </c>
      <c r="X439" s="249" t="s">
        <v>4545</v>
      </c>
      <c r="Y439" s="88"/>
      <c r="Z439" s="250"/>
      <c r="AA439" s="87" t="s">
        <v>4520</v>
      </c>
      <c r="AB439" s="250" t="s">
        <v>2090</v>
      </c>
      <c r="AC439" s="250"/>
      <c r="AD439" s="250"/>
      <c r="AE439" s="87"/>
      <c r="AF439" s="88" t="s">
        <v>1510</v>
      </c>
      <c r="AG439" s="88" t="s">
        <v>2090</v>
      </c>
      <c r="AH439" s="88" t="s">
        <v>2214</v>
      </c>
      <c r="AI439" s="224" t="s">
        <v>2215</v>
      </c>
      <c r="AJ439" s="225">
        <v>3</v>
      </c>
      <c r="AK439" s="224" t="s">
        <v>4521</v>
      </c>
      <c r="AL439" s="224" t="s">
        <v>4522</v>
      </c>
      <c r="AM439" s="224" t="s">
        <v>2099</v>
      </c>
      <c r="AN439" s="224"/>
    </row>
    <row r="440" spans="1:40" s="86" customFormat="1" ht="59.25" customHeight="1">
      <c r="A440" s="402">
        <v>330194</v>
      </c>
      <c r="B440" s="89" t="s">
        <v>4524</v>
      </c>
      <c r="C440" s="89" t="s">
        <v>4525</v>
      </c>
      <c r="D440" s="88" t="s">
        <v>4526</v>
      </c>
      <c r="E440" s="88" t="s">
        <v>4527</v>
      </c>
      <c r="F440" s="88" t="s">
        <v>107</v>
      </c>
      <c r="G440" s="88" t="s">
        <v>4528</v>
      </c>
      <c r="H440" s="88" t="s">
        <v>591</v>
      </c>
      <c r="I440" s="88" t="s">
        <v>40</v>
      </c>
      <c r="J440" s="89" t="s">
        <v>5280</v>
      </c>
      <c r="K440" s="103" t="s">
        <v>1233</v>
      </c>
      <c r="L440" s="403" t="s">
        <v>26</v>
      </c>
      <c r="M440" s="199">
        <v>45382</v>
      </c>
      <c r="N440" s="105">
        <v>44467</v>
      </c>
      <c r="O440" s="105"/>
      <c r="P440" s="203" t="s">
        <v>5367</v>
      </c>
      <c r="Q440" s="203" t="s">
        <v>5369</v>
      </c>
      <c r="R440" s="203"/>
      <c r="S440" s="203"/>
      <c r="T440" s="87" t="s">
        <v>4953</v>
      </c>
      <c r="U440" s="87" t="s">
        <v>1571</v>
      </c>
      <c r="V440" s="87"/>
      <c r="W440" s="88" t="s">
        <v>1571</v>
      </c>
      <c r="X440" s="249" t="s">
        <v>4534</v>
      </c>
      <c r="Y440" s="88"/>
      <c r="Z440" s="250"/>
      <c r="AA440" s="87" t="s">
        <v>1265</v>
      </c>
      <c r="AB440" s="250" t="s">
        <v>2072</v>
      </c>
      <c r="AC440" s="250"/>
      <c r="AD440" s="250"/>
      <c r="AE440" s="87"/>
      <c r="AF440" s="88" t="s">
        <v>5280</v>
      </c>
      <c r="AG440" s="88" t="s">
        <v>2073</v>
      </c>
      <c r="AH440" s="88" t="s">
        <v>2074</v>
      </c>
      <c r="AI440" s="224"/>
      <c r="AJ440" s="225">
        <v>3</v>
      </c>
      <c r="AK440" s="224" t="s">
        <v>2076</v>
      </c>
      <c r="AL440" s="224" t="s">
        <v>4875</v>
      </c>
      <c r="AM440" s="224" t="s">
        <v>2077</v>
      </c>
      <c r="AN440" s="224"/>
    </row>
    <row r="441" spans="1:40" s="86" customFormat="1" ht="59.25" customHeight="1">
      <c r="A441" s="402">
        <v>330529</v>
      </c>
      <c r="B441" s="89" t="s">
        <v>5324</v>
      </c>
      <c r="C441" s="89" t="s">
        <v>5325</v>
      </c>
      <c r="D441" s="88"/>
      <c r="E441" s="88" t="s">
        <v>302</v>
      </c>
      <c r="F441" s="88" t="s">
        <v>549</v>
      </c>
      <c r="G441" s="88"/>
      <c r="H441" s="88" t="s">
        <v>591</v>
      </c>
      <c r="I441" s="88" t="s">
        <v>1114</v>
      </c>
      <c r="J441" s="89" t="s">
        <v>4608</v>
      </c>
      <c r="K441" s="103" t="s">
        <v>1402</v>
      </c>
      <c r="L441" s="403" t="s">
        <v>26</v>
      </c>
      <c r="M441" s="199">
        <v>44895</v>
      </c>
      <c r="N441" s="105">
        <v>44649</v>
      </c>
      <c r="O441" s="105"/>
      <c r="P441" s="203"/>
      <c r="Q441" s="203"/>
      <c r="R441" s="203"/>
      <c r="S441" s="203"/>
      <c r="T441" s="87" t="s">
        <v>5326</v>
      </c>
      <c r="U441" s="87" t="s">
        <v>1576</v>
      </c>
      <c r="V441" s="87"/>
      <c r="W441" s="88" t="s">
        <v>1576</v>
      </c>
      <c r="X441" s="249" t="s">
        <v>5329</v>
      </c>
      <c r="Y441" s="88"/>
      <c r="Z441" s="250"/>
      <c r="AA441" s="87" t="s">
        <v>5337</v>
      </c>
      <c r="AB441" s="250" t="s">
        <v>2128</v>
      </c>
      <c r="AC441" s="250" t="s">
        <v>2129</v>
      </c>
      <c r="AD441" s="250"/>
      <c r="AE441" s="87"/>
      <c r="AF441" s="88" t="s">
        <v>4608</v>
      </c>
      <c r="AG441" s="88" t="s">
        <v>2128</v>
      </c>
      <c r="AH441" s="88"/>
      <c r="AI441" s="224"/>
      <c r="AJ441" s="225">
        <v>1</v>
      </c>
      <c r="AK441" s="224" t="s">
        <v>2087</v>
      </c>
      <c r="AL441" s="224" t="s">
        <v>2094</v>
      </c>
      <c r="AM441" s="224"/>
      <c r="AN441" s="224"/>
    </row>
    <row r="442" spans="1:40" s="86" customFormat="1" ht="59.25" customHeight="1">
      <c r="A442" s="402">
        <v>330761</v>
      </c>
      <c r="B442" s="89" t="s">
        <v>5899</v>
      </c>
      <c r="C442" s="89" t="s">
        <v>5900</v>
      </c>
      <c r="D442" s="88">
        <v>508756</v>
      </c>
      <c r="E442" s="88" t="s">
        <v>336</v>
      </c>
      <c r="F442" s="88" t="s">
        <v>337</v>
      </c>
      <c r="G442" s="88" t="s">
        <v>5901</v>
      </c>
      <c r="H442" s="88" t="s">
        <v>591</v>
      </c>
      <c r="I442" s="88" t="s">
        <v>40</v>
      </c>
      <c r="J442" s="89" t="s">
        <v>5283</v>
      </c>
      <c r="K442" s="103" t="s">
        <v>1402</v>
      </c>
      <c r="L442" s="403" t="s">
        <v>26</v>
      </c>
      <c r="M442" s="199">
        <v>45229</v>
      </c>
      <c r="N442" s="105">
        <v>44750</v>
      </c>
      <c r="O442" s="105"/>
      <c r="P442" s="203" t="s">
        <v>5908</v>
      </c>
      <c r="Q442" s="203" t="s">
        <v>5910</v>
      </c>
      <c r="R442" s="203"/>
      <c r="S442" s="203"/>
      <c r="T442" s="87" t="s">
        <v>5926</v>
      </c>
      <c r="U442" s="87" t="s">
        <v>1571</v>
      </c>
      <c r="V442" s="87"/>
      <c r="W442" s="88" t="s">
        <v>1571</v>
      </c>
      <c r="X442" s="249"/>
      <c r="Y442" s="88"/>
      <c r="Z442" s="250" t="s">
        <v>5929</v>
      </c>
      <c r="AA442" s="87" t="s">
        <v>2319</v>
      </c>
      <c r="AB442" s="250" t="s">
        <v>2079</v>
      </c>
      <c r="AC442" s="250" t="s">
        <v>5930</v>
      </c>
      <c r="AD442" s="250"/>
      <c r="AE442" s="87" t="s">
        <v>5929</v>
      </c>
      <c r="AF442" s="88" t="s">
        <v>5283</v>
      </c>
      <c r="AG442" s="88" t="s">
        <v>2073</v>
      </c>
      <c r="AH442" s="88" t="s">
        <v>2074</v>
      </c>
      <c r="AI442" s="224" t="s">
        <v>2075</v>
      </c>
      <c r="AJ442" s="225">
        <v>2</v>
      </c>
      <c r="AK442" s="224" t="s">
        <v>2076</v>
      </c>
      <c r="AL442" s="224" t="s">
        <v>2320</v>
      </c>
      <c r="AM442" s="224" t="s">
        <v>2099</v>
      </c>
      <c r="AN442" s="224"/>
    </row>
    <row r="443" spans="1:40" s="86" customFormat="1" ht="59.25" customHeight="1">
      <c r="A443" s="402">
        <v>330802</v>
      </c>
      <c r="B443" s="89" t="s">
        <v>5170</v>
      </c>
      <c r="C443" s="89" t="s">
        <v>5171</v>
      </c>
      <c r="D443" s="88">
        <v>31700</v>
      </c>
      <c r="E443" s="88" t="s">
        <v>68</v>
      </c>
      <c r="F443" s="88" t="s">
        <v>47</v>
      </c>
      <c r="G443" s="88" t="s">
        <v>5172</v>
      </c>
      <c r="H443" s="88" t="s">
        <v>591</v>
      </c>
      <c r="I443" s="88" t="s">
        <v>40</v>
      </c>
      <c r="J443" s="89" t="s">
        <v>1510</v>
      </c>
      <c r="K443" s="103" t="s">
        <v>5218</v>
      </c>
      <c r="L443" s="403" t="s">
        <v>26</v>
      </c>
      <c r="M443" s="199">
        <v>45625</v>
      </c>
      <c r="N443" s="105">
        <v>44602</v>
      </c>
      <c r="O443" s="105"/>
      <c r="P443" s="203" t="s">
        <v>5573</v>
      </c>
      <c r="Q443" s="203" t="s">
        <v>5174</v>
      </c>
      <c r="R443" s="203"/>
      <c r="S443" s="203"/>
      <c r="T443" s="87" t="s">
        <v>2517</v>
      </c>
      <c r="U443" s="87" t="s">
        <v>1568</v>
      </c>
      <c r="V443" s="87"/>
      <c r="W443" s="88" t="s">
        <v>1568</v>
      </c>
      <c r="X443" s="249" t="s">
        <v>5272</v>
      </c>
      <c r="Y443" s="88"/>
      <c r="Z443" s="250"/>
      <c r="AA443" s="87" t="s">
        <v>2166</v>
      </c>
      <c r="AB443" s="250" t="s">
        <v>2072</v>
      </c>
      <c r="AC443" s="250"/>
      <c r="AD443" s="250"/>
      <c r="AE443" s="87"/>
      <c r="AF443" s="88" t="s">
        <v>1510</v>
      </c>
      <c r="AG443" s="88" t="s">
        <v>2073</v>
      </c>
      <c r="AH443" s="88" t="s">
        <v>2113</v>
      </c>
      <c r="AI443" s="224"/>
      <c r="AJ443" s="225">
        <v>4</v>
      </c>
      <c r="AK443" s="224" t="s">
        <v>2085</v>
      </c>
      <c r="AL443" s="224" t="s">
        <v>2167</v>
      </c>
      <c r="AM443" s="224" t="s">
        <v>2087</v>
      </c>
      <c r="AN443" s="224" t="s">
        <v>2168</v>
      </c>
    </row>
    <row r="444" spans="1:40" s="86" customFormat="1" ht="59.25" customHeight="1">
      <c r="A444" s="402">
        <v>331014</v>
      </c>
      <c r="B444" s="89" t="s">
        <v>4609</v>
      </c>
      <c r="C444" s="89" t="s">
        <v>4610</v>
      </c>
      <c r="D444" s="88">
        <v>91405</v>
      </c>
      <c r="E444" s="88" t="s">
        <v>493</v>
      </c>
      <c r="F444" s="88" t="s">
        <v>51</v>
      </c>
      <c r="G444" s="88"/>
      <c r="H444" s="88" t="s">
        <v>591</v>
      </c>
      <c r="I444" s="88" t="s">
        <v>1100</v>
      </c>
      <c r="J444" s="89" t="s">
        <v>1421</v>
      </c>
      <c r="K444" s="103" t="s">
        <v>1402</v>
      </c>
      <c r="L444" s="403" t="s">
        <v>26</v>
      </c>
      <c r="M444" s="199">
        <v>45107</v>
      </c>
      <c r="N444" s="105">
        <v>44733</v>
      </c>
      <c r="O444" s="105"/>
      <c r="P444" s="203"/>
      <c r="Q444" s="203"/>
      <c r="R444" s="203"/>
      <c r="S444" s="203"/>
      <c r="T444" s="87" t="s">
        <v>5638</v>
      </c>
      <c r="U444" s="87" t="s">
        <v>1568</v>
      </c>
      <c r="V444" s="87"/>
      <c r="W444" s="88" t="s">
        <v>1568</v>
      </c>
      <c r="X444" s="249" t="s">
        <v>5643</v>
      </c>
      <c r="Y444" s="88"/>
      <c r="Z444" s="250" t="s">
        <v>5653</v>
      </c>
      <c r="AA444" s="87" t="s">
        <v>4609</v>
      </c>
      <c r="AB444" s="250" t="s">
        <v>2120</v>
      </c>
      <c r="AC444" s="250"/>
      <c r="AD444" s="250"/>
      <c r="AE444" s="87" t="s">
        <v>5653</v>
      </c>
      <c r="AF444" s="88" t="s">
        <v>1421</v>
      </c>
      <c r="AG444" s="88" t="s">
        <v>2120</v>
      </c>
      <c r="AH444" s="88"/>
      <c r="AI444" s="224"/>
      <c r="AJ444" s="225">
        <v>2</v>
      </c>
      <c r="AK444" s="224" t="s">
        <v>2087</v>
      </c>
      <c r="AL444" s="224"/>
      <c r="AM444" s="224"/>
      <c r="AN444" s="224"/>
    </row>
    <row r="445" spans="1:40" s="86" customFormat="1" ht="59.25" customHeight="1">
      <c r="A445" s="402">
        <v>331544</v>
      </c>
      <c r="B445" s="89" t="s">
        <v>5364</v>
      </c>
      <c r="C445" s="89" t="s">
        <v>5365</v>
      </c>
      <c r="D445" s="88">
        <v>509010</v>
      </c>
      <c r="E445" s="88" t="s">
        <v>336</v>
      </c>
      <c r="F445" s="88" t="s">
        <v>337</v>
      </c>
      <c r="G445" s="88"/>
      <c r="H445" s="88" t="s">
        <v>591</v>
      </c>
      <c r="I445" s="88" t="s">
        <v>40</v>
      </c>
      <c r="J445" s="89" t="s">
        <v>5281</v>
      </c>
      <c r="K445" s="103" t="s">
        <v>1233</v>
      </c>
      <c r="L445" s="403" t="s">
        <v>26</v>
      </c>
      <c r="M445" s="199">
        <v>45657</v>
      </c>
      <c r="N445" s="105">
        <v>44754</v>
      </c>
      <c r="O445" s="105"/>
      <c r="P445" s="203" t="s">
        <v>5368</v>
      </c>
      <c r="Q445" s="203" t="s">
        <v>5370</v>
      </c>
      <c r="R445" s="203"/>
      <c r="S445" s="203"/>
      <c r="T445" s="87" t="s">
        <v>5377</v>
      </c>
      <c r="U445" s="87" t="s">
        <v>1571</v>
      </c>
      <c r="V445" s="87"/>
      <c r="W445" s="88" t="s">
        <v>1571</v>
      </c>
      <c r="X445" s="249" t="s">
        <v>5378</v>
      </c>
      <c r="Y445" s="88"/>
      <c r="Z445" s="250"/>
      <c r="AA445" s="87" t="s">
        <v>2365</v>
      </c>
      <c r="AB445" s="250" t="s">
        <v>2072</v>
      </c>
      <c r="AC445" s="250"/>
      <c r="AD445" s="250"/>
      <c r="AE445" s="87"/>
      <c r="AF445" s="88" t="s">
        <v>5281</v>
      </c>
      <c r="AG445" s="88" t="s">
        <v>2367</v>
      </c>
      <c r="AH445" s="88" t="s">
        <v>2116</v>
      </c>
      <c r="AI445" s="224"/>
      <c r="AJ445" s="225">
        <v>3</v>
      </c>
      <c r="AK445" s="224" t="s">
        <v>2133</v>
      </c>
      <c r="AL445" s="224" t="s">
        <v>2368</v>
      </c>
      <c r="AM445" s="224" t="s">
        <v>2087</v>
      </c>
      <c r="AN445" s="224" t="s">
        <v>2369</v>
      </c>
    </row>
    <row r="446" spans="1:40" s="86" customFormat="1" ht="59.25" customHeight="1">
      <c r="A446" s="402">
        <v>332214</v>
      </c>
      <c r="B446" s="89" t="s">
        <v>4973</v>
      </c>
      <c r="C446" s="89" t="s">
        <v>4974</v>
      </c>
      <c r="D446" s="88">
        <v>400056</v>
      </c>
      <c r="E446" s="88" t="s">
        <v>4975</v>
      </c>
      <c r="F446" s="88" t="s">
        <v>4976</v>
      </c>
      <c r="G446" s="88"/>
      <c r="H446" s="88" t="s">
        <v>591</v>
      </c>
      <c r="I446" s="88" t="s">
        <v>40</v>
      </c>
      <c r="J446" s="89" t="s">
        <v>1421</v>
      </c>
      <c r="K446" s="103" t="s">
        <v>1233</v>
      </c>
      <c r="L446" s="403" t="s">
        <v>26</v>
      </c>
      <c r="M446" s="199">
        <v>44865</v>
      </c>
      <c r="N446" s="105"/>
      <c r="O446" s="105"/>
      <c r="P446" s="203"/>
      <c r="Q446" s="203"/>
      <c r="R446" s="203"/>
      <c r="S446" s="203"/>
      <c r="T446" s="87"/>
      <c r="U446" s="87"/>
      <c r="V446" s="87"/>
      <c r="W446" s="88"/>
      <c r="X446" s="249"/>
      <c r="Y446" s="88"/>
      <c r="Z446" s="250" t="s">
        <v>5654</v>
      </c>
      <c r="AA446" s="87" t="s">
        <v>5017</v>
      </c>
      <c r="AB446" s="250" t="s">
        <v>4805</v>
      </c>
      <c r="AC446" s="250"/>
      <c r="AD446" s="250"/>
      <c r="AE446" s="87" t="s">
        <v>5654</v>
      </c>
      <c r="AF446" s="88" t="s">
        <v>1421</v>
      </c>
      <c r="AG446" s="88" t="s">
        <v>2258</v>
      </c>
      <c r="AH446" s="88"/>
      <c r="AI446" s="224"/>
      <c r="AJ446" s="225">
        <v>2</v>
      </c>
      <c r="AK446" s="224"/>
      <c r="AL446" s="224"/>
      <c r="AM446" s="224"/>
      <c r="AN446" s="224"/>
    </row>
    <row r="447" spans="1:40" s="86" customFormat="1" ht="59.25" customHeight="1">
      <c r="A447" s="402">
        <v>332224</v>
      </c>
      <c r="B447" s="89" t="s">
        <v>5431</v>
      </c>
      <c r="C447" s="89" t="s">
        <v>5432</v>
      </c>
      <c r="D447" s="88" t="s">
        <v>5433</v>
      </c>
      <c r="E447" s="88" t="s">
        <v>918</v>
      </c>
      <c r="F447" s="88" t="s">
        <v>51</v>
      </c>
      <c r="G447" s="88" t="s">
        <v>5434</v>
      </c>
      <c r="H447" s="88" t="s">
        <v>591</v>
      </c>
      <c r="I447" s="88" t="s">
        <v>1114</v>
      </c>
      <c r="J447" s="89" t="s">
        <v>4608</v>
      </c>
      <c r="K447" s="103" t="s">
        <v>1402</v>
      </c>
      <c r="L447" s="403" t="s">
        <v>26</v>
      </c>
      <c r="M447" s="199">
        <v>44895</v>
      </c>
      <c r="N447" s="105">
        <v>44691</v>
      </c>
      <c r="O447" s="105"/>
      <c r="P447" s="203"/>
      <c r="Q447" s="203"/>
      <c r="R447" s="203"/>
      <c r="S447" s="203"/>
      <c r="T447" s="87"/>
      <c r="U447" s="87"/>
      <c r="V447" s="87" t="s">
        <v>1576</v>
      </c>
      <c r="W447" s="88"/>
      <c r="X447" s="249"/>
      <c r="Y447" s="88"/>
      <c r="Z447" s="250"/>
      <c r="AA447" s="87" t="s">
        <v>5585</v>
      </c>
      <c r="AB447" s="250" t="s">
        <v>2128</v>
      </c>
      <c r="AC447" s="250" t="s">
        <v>2129</v>
      </c>
      <c r="AD447" s="250"/>
      <c r="AE447" s="87"/>
      <c r="AF447" s="88" t="s">
        <v>4608</v>
      </c>
      <c r="AG447" s="88" t="s">
        <v>2128</v>
      </c>
      <c r="AH447" s="88"/>
      <c r="AI447" s="224"/>
      <c r="AJ447" s="225">
        <v>1</v>
      </c>
      <c r="AK447" s="224" t="s">
        <v>2087</v>
      </c>
      <c r="AL447" s="224" t="s">
        <v>2094</v>
      </c>
      <c r="AM447" s="224"/>
      <c r="AN447" s="224"/>
    </row>
    <row r="448" spans="1:40" s="86" customFormat="1" ht="59.25" customHeight="1">
      <c r="A448" s="402">
        <v>332230</v>
      </c>
      <c r="B448" s="89" t="s">
        <v>5590</v>
      </c>
      <c r="C448" s="89" t="s">
        <v>5591</v>
      </c>
      <c r="D448" s="88" t="s">
        <v>5592</v>
      </c>
      <c r="E448" s="88" t="s">
        <v>5593</v>
      </c>
      <c r="F448" s="88" t="s">
        <v>97</v>
      </c>
      <c r="G448" s="88" t="s">
        <v>5594</v>
      </c>
      <c r="H448" s="88" t="s">
        <v>591</v>
      </c>
      <c r="I448" s="88" t="s">
        <v>1114</v>
      </c>
      <c r="J448" s="89" t="s">
        <v>1288</v>
      </c>
      <c r="K448" s="103" t="s">
        <v>1402</v>
      </c>
      <c r="L448" s="403" t="s">
        <v>26</v>
      </c>
      <c r="M448" s="199">
        <v>44985</v>
      </c>
      <c r="N448" s="105"/>
      <c r="O448" s="105"/>
      <c r="P448" s="203"/>
      <c r="Q448" s="203"/>
      <c r="R448" s="203"/>
      <c r="S448" s="203"/>
      <c r="T448" s="87" t="s">
        <v>5639</v>
      </c>
      <c r="U448" s="87" t="s">
        <v>1581</v>
      </c>
      <c r="V448" s="87" t="s">
        <v>1576</v>
      </c>
      <c r="W448" s="88" t="s">
        <v>1581</v>
      </c>
      <c r="X448" s="249"/>
      <c r="Y448" s="88"/>
      <c r="Z448" s="250"/>
      <c r="AA448" s="87" t="s">
        <v>5657</v>
      </c>
      <c r="AB448" s="250" t="s">
        <v>2128</v>
      </c>
      <c r="AC448" s="250" t="s">
        <v>2129</v>
      </c>
      <c r="AD448" s="250"/>
      <c r="AE448" s="87"/>
      <c r="AF448" s="88" t="s">
        <v>1288</v>
      </c>
      <c r="AG448" s="88" t="s">
        <v>2128</v>
      </c>
      <c r="AH448" s="88"/>
      <c r="AI448" s="224"/>
      <c r="AJ448" s="225">
        <v>1</v>
      </c>
      <c r="AK448" s="224" t="s">
        <v>2087</v>
      </c>
      <c r="AL448" s="224" t="s">
        <v>2094</v>
      </c>
      <c r="AM448" s="224"/>
      <c r="AN448" s="224"/>
    </row>
    <row r="449" spans="1:40" s="86" customFormat="1" ht="59.25" customHeight="1">
      <c r="A449" s="402">
        <v>332422</v>
      </c>
      <c r="B449" s="89" t="s">
        <v>5595</v>
      </c>
      <c r="C449" s="89" t="s">
        <v>5596</v>
      </c>
      <c r="D449" s="88">
        <v>85226</v>
      </c>
      <c r="E449" s="88" t="s">
        <v>5597</v>
      </c>
      <c r="F449" s="88" t="s">
        <v>51</v>
      </c>
      <c r="G449" s="88" t="s">
        <v>5598</v>
      </c>
      <c r="H449" s="88" t="s">
        <v>591</v>
      </c>
      <c r="I449" s="88" t="s">
        <v>1114</v>
      </c>
      <c r="J449" s="89" t="s">
        <v>1288</v>
      </c>
      <c r="K449" s="103" t="s">
        <v>1402</v>
      </c>
      <c r="L449" s="403" t="s">
        <v>26</v>
      </c>
      <c r="M449" s="199">
        <v>44985</v>
      </c>
      <c r="N449" s="105"/>
      <c r="O449" s="105"/>
      <c r="P449" s="203"/>
      <c r="Q449" s="203"/>
      <c r="R449" s="203"/>
      <c r="S449" s="203"/>
      <c r="T449" s="87" t="s">
        <v>5640</v>
      </c>
      <c r="U449" s="87" t="s">
        <v>1576</v>
      </c>
      <c r="V449" s="87"/>
      <c r="W449" s="88" t="s">
        <v>1576</v>
      </c>
      <c r="X449" s="249" t="s">
        <v>5644</v>
      </c>
      <c r="Y449" s="88"/>
      <c r="Z449" s="250"/>
      <c r="AA449" s="87" t="s">
        <v>5658</v>
      </c>
      <c r="AB449" s="250" t="s">
        <v>2128</v>
      </c>
      <c r="AC449" s="250" t="s">
        <v>2129</v>
      </c>
      <c r="AD449" s="250"/>
      <c r="AE449" s="87"/>
      <c r="AF449" s="88" t="s">
        <v>1288</v>
      </c>
      <c r="AG449" s="88" t="s">
        <v>2128</v>
      </c>
      <c r="AH449" s="88"/>
      <c r="AI449" s="224"/>
      <c r="AJ449" s="225">
        <v>1</v>
      </c>
      <c r="AK449" s="224" t="s">
        <v>2087</v>
      </c>
      <c r="AL449" s="224" t="s">
        <v>2094</v>
      </c>
      <c r="AM449" s="224"/>
      <c r="AN449" s="224"/>
    </row>
    <row r="450" spans="1:40" s="86" customFormat="1" ht="59.25" customHeight="1">
      <c r="A450" s="402">
        <v>332469</v>
      </c>
      <c r="B450" s="89" t="s">
        <v>5452</v>
      </c>
      <c r="C450" s="89" t="s">
        <v>5453</v>
      </c>
      <c r="D450" s="88" t="s">
        <v>5454</v>
      </c>
      <c r="E450" s="88" t="s">
        <v>1589</v>
      </c>
      <c r="F450" s="88" t="s">
        <v>45</v>
      </c>
      <c r="G450" s="88"/>
      <c r="H450" s="88" t="s">
        <v>591</v>
      </c>
      <c r="I450" s="88" t="s">
        <v>41</v>
      </c>
      <c r="J450" s="89" t="s">
        <v>1510</v>
      </c>
      <c r="K450" s="103" t="s">
        <v>1233</v>
      </c>
      <c r="L450" s="403" t="s">
        <v>26</v>
      </c>
      <c r="M450" s="199">
        <v>45446</v>
      </c>
      <c r="N450" s="105">
        <v>44715</v>
      </c>
      <c r="O450" s="105"/>
      <c r="P450" s="203" t="s">
        <v>5470</v>
      </c>
      <c r="Q450" s="203" t="s">
        <v>5478</v>
      </c>
      <c r="R450" s="203"/>
      <c r="S450" s="203"/>
      <c r="T450" s="87"/>
      <c r="U450" s="87"/>
      <c r="V450" s="87" t="s">
        <v>1571</v>
      </c>
      <c r="W450" s="88"/>
      <c r="X450" s="249"/>
      <c r="Y450" s="88"/>
      <c r="Z450" s="250"/>
      <c r="AA450" s="87" t="s">
        <v>5520</v>
      </c>
      <c r="AB450" s="250" t="s">
        <v>2090</v>
      </c>
      <c r="AC450" s="250"/>
      <c r="AD450" s="250"/>
      <c r="AE450" s="87"/>
      <c r="AF450" s="88" t="s">
        <v>1510</v>
      </c>
      <c r="AG450" s="88" t="s">
        <v>2104</v>
      </c>
      <c r="AH450" s="88"/>
      <c r="AI450" s="224"/>
      <c r="AJ450" s="225">
        <v>1</v>
      </c>
      <c r="AK450" s="224" t="s">
        <v>2107</v>
      </c>
      <c r="AL450" s="224" t="s">
        <v>5521</v>
      </c>
      <c r="AM450" s="224" t="s">
        <v>2217</v>
      </c>
      <c r="AN450" s="224" t="s">
        <v>5522</v>
      </c>
    </row>
    <row r="451" spans="1:40" s="86" customFormat="1" ht="59.25" customHeight="1">
      <c r="A451" s="402">
        <v>332667</v>
      </c>
      <c r="B451" s="89" t="s">
        <v>5390</v>
      </c>
      <c r="C451" s="89" t="s">
        <v>5391</v>
      </c>
      <c r="D451" s="88">
        <v>81300</v>
      </c>
      <c r="E451" s="88" t="s">
        <v>5392</v>
      </c>
      <c r="F451" s="88" t="s">
        <v>47</v>
      </c>
      <c r="G451" s="88" t="s">
        <v>5413</v>
      </c>
      <c r="H451" s="88" t="s">
        <v>591</v>
      </c>
      <c r="I451" s="88" t="s">
        <v>1100</v>
      </c>
      <c r="J451" s="89" t="s">
        <v>4638</v>
      </c>
      <c r="K451" s="103" t="s">
        <v>1402</v>
      </c>
      <c r="L451" s="403" t="s">
        <v>26</v>
      </c>
      <c r="M451" s="199">
        <v>45229</v>
      </c>
      <c r="N451" s="105">
        <v>44673</v>
      </c>
      <c r="O451" s="105"/>
      <c r="P451" s="203" t="s">
        <v>5394</v>
      </c>
      <c r="Q451" s="203"/>
      <c r="R451" s="203" t="s">
        <v>5396</v>
      </c>
      <c r="S451" s="203"/>
      <c r="T451" s="87"/>
      <c r="U451" s="87"/>
      <c r="V451" s="87" t="s">
        <v>1568</v>
      </c>
      <c r="W451" s="88"/>
      <c r="X451" s="249"/>
      <c r="Y451" s="88"/>
      <c r="Z451" s="250"/>
      <c r="AA451" s="87" t="s">
        <v>5390</v>
      </c>
      <c r="AB451" s="250" t="s">
        <v>2120</v>
      </c>
      <c r="AC451" s="250"/>
      <c r="AD451" s="250"/>
      <c r="AE451" s="87"/>
      <c r="AF451" s="88" t="s">
        <v>4638</v>
      </c>
      <c r="AG451" s="88" t="s">
        <v>2120</v>
      </c>
      <c r="AH451" s="88"/>
      <c r="AI451" s="224"/>
      <c r="AJ451" s="225">
        <v>2</v>
      </c>
      <c r="AK451" s="224"/>
      <c r="AL451" s="224" t="s">
        <v>5408</v>
      </c>
      <c r="AM451" s="224"/>
      <c r="AN451" s="224"/>
    </row>
    <row r="452" spans="1:40" s="86" customFormat="1" ht="59.25" customHeight="1">
      <c r="A452" s="402">
        <v>333368</v>
      </c>
      <c r="B452" s="89" t="s">
        <v>5540</v>
      </c>
      <c r="C452" s="89" t="s">
        <v>5541</v>
      </c>
      <c r="D452" s="88">
        <v>86101</v>
      </c>
      <c r="E452" s="88" t="s">
        <v>5542</v>
      </c>
      <c r="F452" s="88" t="s">
        <v>47</v>
      </c>
      <c r="G452" s="88"/>
      <c r="H452" s="88" t="s">
        <v>591</v>
      </c>
      <c r="I452" s="88" t="s">
        <v>737</v>
      </c>
      <c r="J452" s="89" t="s">
        <v>5280</v>
      </c>
      <c r="K452" s="103" t="s">
        <v>1402</v>
      </c>
      <c r="L452" s="403" t="s">
        <v>26</v>
      </c>
      <c r="M452" s="199">
        <v>45473</v>
      </c>
      <c r="N452" s="105">
        <v>44728</v>
      </c>
      <c r="O452" s="105"/>
      <c r="P452" s="203" t="s">
        <v>5629</v>
      </c>
      <c r="Q452" s="203" t="s">
        <v>5575</v>
      </c>
      <c r="R452" s="203"/>
      <c r="S452" s="203"/>
      <c r="T452" s="87" t="s">
        <v>5580</v>
      </c>
      <c r="U452" s="87" t="s">
        <v>1583</v>
      </c>
      <c r="V452" s="87"/>
      <c r="W452" s="88" t="s">
        <v>1571</v>
      </c>
      <c r="X452" s="249"/>
      <c r="Y452" s="88"/>
      <c r="Z452" s="250" t="s">
        <v>5584</v>
      </c>
      <c r="AA452" s="87"/>
      <c r="AB452" s="250"/>
      <c r="AC452" s="250"/>
      <c r="AD452" s="250"/>
      <c r="AE452" s="87"/>
      <c r="AF452" s="88"/>
      <c r="AG452" s="88"/>
      <c r="AH452" s="88"/>
      <c r="AI452" s="224"/>
      <c r="AJ452" s="225"/>
      <c r="AK452" s="224"/>
      <c r="AL452" s="224"/>
      <c r="AM452" s="224"/>
      <c r="AN452" s="224"/>
    </row>
    <row r="453" spans="1:40" s="86" customFormat="1" ht="59.25" customHeight="1">
      <c r="A453" s="402">
        <v>333461</v>
      </c>
      <c r="B453" s="89" t="s">
        <v>5599</v>
      </c>
      <c r="C453" s="89" t="s">
        <v>5600</v>
      </c>
      <c r="D453" s="88">
        <v>29334</v>
      </c>
      <c r="E453" s="88" t="s">
        <v>5601</v>
      </c>
      <c r="F453" s="88" t="s">
        <v>51</v>
      </c>
      <c r="G453" s="88"/>
      <c r="H453" s="88" t="s">
        <v>591</v>
      </c>
      <c r="I453" s="88" t="s">
        <v>40</v>
      </c>
      <c r="J453" s="89" t="s">
        <v>5281</v>
      </c>
      <c r="K453" s="103" t="s">
        <v>1233</v>
      </c>
      <c r="L453" s="403" t="s">
        <v>26</v>
      </c>
      <c r="M453" s="199">
        <v>45657</v>
      </c>
      <c r="N453" s="105">
        <v>44754</v>
      </c>
      <c r="O453" s="105"/>
      <c r="P453" s="203" t="s">
        <v>5630</v>
      </c>
      <c r="Q453" s="203" t="s">
        <v>5631</v>
      </c>
      <c r="R453" s="203"/>
      <c r="S453" s="203"/>
      <c r="T453" s="87" t="s">
        <v>5641</v>
      </c>
      <c r="U453" s="87" t="s">
        <v>1571</v>
      </c>
      <c r="V453" s="87"/>
      <c r="W453" s="88" t="s">
        <v>1571</v>
      </c>
      <c r="X453" s="249" t="s">
        <v>5645</v>
      </c>
      <c r="Y453" s="88"/>
      <c r="Z453" s="250" t="s">
        <v>5655</v>
      </c>
      <c r="AA453" s="87" t="s">
        <v>2365</v>
      </c>
      <c r="AB453" s="250" t="s">
        <v>2079</v>
      </c>
      <c r="AC453" s="250" t="s">
        <v>5666</v>
      </c>
      <c r="AD453" s="250"/>
      <c r="AE453" s="87" t="s">
        <v>5655</v>
      </c>
      <c r="AF453" s="88" t="s">
        <v>5281</v>
      </c>
      <c r="AG453" s="88" t="s">
        <v>2367</v>
      </c>
      <c r="AH453" s="88" t="s">
        <v>2116</v>
      </c>
      <c r="AI453" s="224"/>
      <c r="AJ453" s="225">
        <v>3</v>
      </c>
      <c r="AK453" s="224" t="s">
        <v>2133</v>
      </c>
      <c r="AL453" s="224" t="s">
        <v>2368</v>
      </c>
      <c r="AM453" s="224" t="s">
        <v>2087</v>
      </c>
      <c r="AN453" s="224" t="s">
        <v>2369</v>
      </c>
    </row>
    <row r="454" spans="1:40" s="86" customFormat="1" ht="59.25" customHeight="1">
      <c r="A454" s="402">
        <v>333465</v>
      </c>
      <c r="B454" s="89" t="s">
        <v>5602</v>
      </c>
      <c r="C454" s="89" t="s">
        <v>5603</v>
      </c>
      <c r="D454" s="88">
        <v>85027</v>
      </c>
      <c r="E454" s="88" t="s">
        <v>195</v>
      </c>
      <c r="F454" s="88" t="s">
        <v>51</v>
      </c>
      <c r="G454" s="88">
        <v>26452</v>
      </c>
      <c r="H454" s="88" t="s">
        <v>591</v>
      </c>
      <c r="I454" s="88" t="s">
        <v>40</v>
      </c>
      <c r="J454" s="89" t="s">
        <v>5281</v>
      </c>
      <c r="K454" s="103" t="s">
        <v>1233</v>
      </c>
      <c r="L454" s="403" t="s">
        <v>26</v>
      </c>
      <c r="M454" s="199">
        <v>45077</v>
      </c>
      <c r="N454" s="105">
        <v>44754</v>
      </c>
      <c r="O454" s="105"/>
      <c r="P454" s="203" t="s">
        <v>5683</v>
      </c>
      <c r="Q454" s="203" t="s">
        <v>5632</v>
      </c>
      <c r="R454" s="203"/>
      <c r="S454" s="203"/>
      <c r="T454" s="87" t="s">
        <v>5642</v>
      </c>
      <c r="U454" s="87" t="s">
        <v>1568</v>
      </c>
      <c r="V454" s="87"/>
      <c r="W454" s="88" t="s">
        <v>1568</v>
      </c>
      <c r="X454" s="249" t="s">
        <v>5646</v>
      </c>
      <c r="Y454" s="88"/>
      <c r="Z454" s="250" t="s">
        <v>5656</v>
      </c>
      <c r="AA454" s="87" t="s">
        <v>2365</v>
      </c>
      <c r="AB454" s="250" t="s">
        <v>2079</v>
      </c>
      <c r="AC454" s="250" t="s">
        <v>5667</v>
      </c>
      <c r="AD454" s="250"/>
      <c r="AE454" s="87" t="s">
        <v>5656</v>
      </c>
      <c r="AF454" s="88" t="s">
        <v>5281</v>
      </c>
      <c r="AG454" s="88" t="s">
        <v>2367</v>
      </c>
      <c r="AH454" s="88" t="s">
        <v>2116</v>
      </c>
      <c r="AI454" s="224"/>
      <c r="AJ454" s="225">
        <v>3</v>
      </c>
      <c r="AK454" s="224" t="s">
        <v>2133</v>
      </c>
      <c r="AL454" s="224" t="s">
        <v>2368</v>
      </c>
      <c r="AM454" s="224" t="s">
        <v>2087</v>
      </c>
      <c r="AN454" s="224" t="s">
        <v>2369</v>
      </c>
    </row>
  </sheetData>
  <autoFilter ref="A1:AN1"/>
  <sortState ref="A2:BB625">
    <sortCondition ref="A2:A625"/>
  </sortState>
  <phoneticPr fontId="0" type="noConversion"/>
  <printOptions headings="1" gridLines="1"/>
  <pageMargins left="0.23622047244094491" right="0.23622047244094491" top="0.74803149606299213" bottom="0.74803149606299213" header="0.31496062992125984" footer="0.31496062992125984"/>
  <pageSetup paperSize="8" scale="53" orientation="landscape" r:id="rId1"/>
  <headerFooter alignWithMargins="0">
    <oddHeader>&amp;C&amp;D      &amp;T</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454"/>
  <sheetViews>
    <sheetView workbookViewId="0">
      <selection activeCell="H1" sqref="H1:H1048576"/>
    </sheetView>
  </sheetViews>
  <sheetFormatPr baseColWidth="10" defaultRowHeight="14"/>
  <cols>
    <col min="1" max="16384" width="10.90625" style="342"/>
  </cols>
  <sheetData>
    <row r="1" spans="1:25">
      <c r="A1" s="342" t="s">
        <v>38</v>
      </c>
      <c r="B1" s="342" t="s">
        <v>15</v>
      </c>
      <c r="C1" s="342" t="s">
        <v>16</v>
      </c>
      <c r="D1" s="342" t="s">
        <v>17</v>
      </c>
      <c r="E1" s="342" t="s">
        <v>37</v>
      </c>
      <c r="F1" s="342" t="s">
        <v>18</v>
      </c>
      <c r="G1" s="342" t="s">
        <v>19</v>
      </c>
      <c r="H1" s="342" t="s">
        <v>35</v>
      </c>
      <c r="I1" s="342" t="s">
        <v>1519</v>
      </c>
      <c r="J1" s="342" t="s">
        <v>1520</v>
      </c>
      <c r="K1" s="342" t="s">
        <v>3633</v>
      </c>
      <c r="L1" s="342" t="s">
        <v>1521</v>
      </c>
      <c r="M1" s="342" t="s">
        <v>3634</v>
      </c>
      <c r="N1" s="342" t="s">
        <v>3635</v>
      </c>
      <c r="O1" s="342" t="s">
        <v>3636</v>
      </c>
      <c r="P1" s="342" t="s">
        <v>3637</v>
      </c>
      <c r="Q1" s="342" t="s">
        <v>3638</v>
      </c>
      <c r="R1" s="342" t="s">
        <v>3639</v>
      </c>
      <c r="S1" s="342" t="s">
        <v>3640</v>
      </c>
      <c r="T1" s="342" t="s">
        <v>3641</v>
      </c>
      <c r="U1" s="342" t="s">
        <v>3642</v>
      </c>
      <c r="V1" s="342" t="s">
        <v>3643</v>
      </c>
      <c r="W1" s="342" t="s">
        <v>3644</v>
      </c>
      <c r="X1" s="342" t="s">
        <v>3645</v>
      </c>
      <c r="Y1" s="342" t="s">
        <v>3646</v>
      </c>
    </row>
    <row r="2" spans="1:25">
      <c r="A2" s="342">
        <v>133572</v>
      </c>
      <c r="B2" s="342" t="s">
        <v>48</v>
      </c>
      <c r="C2" s="342" t="s">
        <v>50</v>
      </c>
      <c r="D2" s="342" t="s">
        <v>51</v>
      </c>
      <c r="E2" s="342" t="s">
        <v>591</v>
      </c>
      <c r="F2" s="342" t="s">
        <v>737</v>
      </c>
      <c r="G2" s="342" t="s">
        <v>1510</v>
      </c>
      <c r="H2" s="342" t="s">
        <v>4816</v>
      </c>
      <c r="I2" s="342" t="s">
        <v>1576</v>
      </c>
      <c r="L2" s="342" t="s">
        <v>1576</v>
      </c>
      <c r="M2" s="342" t="s">
        <v>1576</v>
      </c>
      <c r="N2" s="342" t="s">
        <v>3647</v>
      </c>
      <c r="O2" s="342" t="s">
        <v>3648</v>
      </c>
      <c r="P2" s="342">
        <v>6115943784</v>
      </c>
      <c r="R2" s="342" t="s">
        <v>3649</v>
      </c>
      <c r="S2" s="343">
        <v>45590</v>
      </c>
      <c r="T2" s="343">
        <v>45590</v>
      </c>
      <c r="U2" s="343">
        <v>43668</v>
      </c>
      <c r="V2" s="343">
        <v>44495</v>
      </c>
      <c r="X2" s="342" t="s">
        <v>4780</v>
      </c>
      <c r="Y2" s="342" t="s">
        <v>4780</v>
      </c>
    </row>
    <row r="3" spans="1:25">
      <c r="A3" s="342">
        <v>133787</v>
      </c>
      <c r="B3" s="342" t="s">
        <v>52</v>
      </c>
      <c r="C3" s="342" t="s">
        <v>54</v>
      </c>
      <c r="D3" s="342" t="s">
        <v>55</v>
      </c>
      <c r="E3" s="342" t="s">
        <v>591</v>
      </c>
      <c r="F3" s="342" t="s">
        <v>40</v>
      </c>
      <c r="G3" s="342" t="s">
        <v>5278</v>
      </c>
      <c r="H3" s="342" t="s">
        <v>5684</v>
      </c>
      <c r="I3" s="342" t="s">
        <v>1568</v>
      </c>
      <c r="L3" s="342" t="s">
        <v>1568</v>
      </c>
      <c r="M3" s="342" t="s">
        <v>1568</v>
      </c>
      <c r="N3" s="342" t="s">
        <v>3650</v>
      </c>
      <c r="O3" s="342" t="s">
        <v>5134</v>
      </c>
      <c r="P3" s="342">
        <v>6113417704</v>
      </c>
      <c r="R3" s="342" t="s">
        <v>3649</v>
      </c>
      <c r="S3" s="343">
        <v>45696</v>
      </c>
      <c r="T3" s="343">
        <v>45696</v>
      </c>
      <c r="U3" s="343">
        <v>44473</v>
      </c>
      <c r="V3" s="343">
        <v>44601</v>
      </c>
      <c r="W3" s="343">
        <v>44601</v>
      </c>
      <c r="X3" s="342" t="s">
        <v>5197</v>
      </c>
      <c r="Y3" s="342" t="s">
        <v>3651</v>
      </c>
    </row>
    <row r="4" spans="1:25">
      <c r="A4" s="342">
        <v>133793</v>
      </c>
      <c r="B4" s="342" t="s">
        <v>56</v>
      </c>
      <c r="C4" s="342" t="s">
        <v>59</v>
      </c>
      <c r="D4" s="342" t="s">
        <v>51</v>
      </c>
      <c r="E4" s="342" t="s">
        <v>591</v>
      </c>
      <c r="F4" s="342" t="s">
        <v>40</v>
      </c>
      <c r="G4" s="342" t="s">
        <v>5278</v>
      </c>
      <c r="H4" s="342" t="s">
        <v>5951</v>
      </c>
      <c r="I4" s="342" t="s">
        <v>1569</v>
      </c>
      <c r="L4" s="342" t="s">
        <v>1568</v>
      </c>
      <c r="M4" s="342" t="s">
        <v>1568</v>
      </c>
      <c r="N4" s="342" t="s">
        <v>3652</v>
      </c>
      <c r="O4" s="342" t="s">
        <v>4850</v>
      </c>
      <c r="P4" s="342">
        <v>6110804705</v>
      </c>
      <c r="R4" s="342" t="s">
        <v>3649</v>
      </c>
      <c r="S4" s="343">
        <v>45617</v>
      </c>
      <c r="T4" s="343">
        <v>45617</v>
      </c>
      <c r="U4" s="343">
        <v>44417</v>
      </c>
      <c r="V4" s="343">
        <v>44522</v>
      </c>
      <c r="X4" s="342" t="s">
        <v>4852</v>
      </c>
      <c r="Y4" s="342" t="s">
        <v>4858</v>
      </c>
    </row>
    <row r="5" spans="1:25">
      <c r="A5" s="342">
        <v>134187</v>
      </c>
      <c r="B5" s="342" t="s">
        <v>1256</v>
      </c>
      <c r="C5" s="342" t="s">
        <v>349</v>
      </c>
      <c r="D5" s="342" t="s">
        <v>47</v>
      </c>
      <c r="E5" s="342" t="s">
        <v>591</v>
      </c>
      <c r="F5" s="342" t="s">
        <v>40</v>
      </c>
      <c r="G5" s="342" t="s">
        <v>5278</v>
      </c>
      <c r="H5" s="342" t="s">
        <v>4874</v>
      </c>
      <c r="I5" s="342" t="s">
        <v>1570</v>
      </c>
      <c r="L5" s="342" t="s">
        <v>1571</v>
      </c>
      <c r="M5" s="342" t="s">
        <v>1571</v>
      </c>
      <c r="N5" s="342" t="s">
        <v>3653</v>
      </c>
      <c r="O5" s="342" t="s">
        <v>3654</v>
      </c>
      <c r="P5" s="342">
        <v>6121456362</v>
      </c>
      <c r="R5" s="342" t="s">
        <v>3649</v>
      </c>
      <c r="S5" s="343">
        <v>45329</v>
      </c>
      <c r="T5" s="343">
        <v>45329</v>
      </c>
      <c r="U5" s="343">
        <v>44152</v>
      </c>
      <c r="V5" s="343">
        <v>44235</v>
      </c>
      <c r="X5" s="342">
        <v>40103.599999999999</v>
      </c>
      <c r="Y5" s="342" t="s">
        <v>4323</v>
      </c>
    </row>
    <row r="6" spans="1:25">
      <c r="A6" s="342">
        <v>134284</v>
      </c>
      <c r="B6" s="342" t="s">
        <v>60</v>
      </c>
      <c r="C6" s="342" t="s">
        <v>62</v>
      </c>
      <c r="D6" s="342" t="s">
        <v>51</v>
      </c>
      <c r="E6" s="342" t="s">
        <v>591</v>
      </c>
      <c r="F6" s="342" t="s">
        <v>40</v>
      </c>
      <c r="G6" s="342" t="s">
        <v>786</v>
      </c>
      <c r="H6" s="342" t="s">
        <v>5685</v>
      </c>
      <c r="I6" s="342" t="s">
        <v>1568</v>
      </c>
      <c r="L6" s="342" t="s">
        <v>1568</v>
      </c>
      <c r="M6" s="342" t="s">
        <v>1568</v>
      </c>
      <c r="N6" s="342" t="s">
        <v>3652</v>
      </c>
      <c r="O6" s="342" t="s">
        <v>3655</v>
      </c>
      <c r="P6" s="342">
        <v>6109944524</v>
      </c>
      <c r="R6" s="342" t="s">
        <v>3649</v>
      </c>
      <c r="S6" s="343">
        <v>45350</v>
      </c>
      <c r="T6" s="343">
        <v>45350</v>
      </c>
      <c r="U6" s="343">
        <v>43773</v>
      </c>
      <c r="V6" s="343">
        <v>44256</v>
      </c>
      <c r="X6" s="342">
        <v>10267041</v>
      </c>
      <c r="Y6" s="342">
        <v>11203</v>
      </c>
    </row>
    <row r="7" spans="1:25" ht="409.5">
      <c r="A7" s="342">
        <v>134634</v>
      </c>
      <c r="B7" s="342" t="s">
        <v>1586</v>
      </c>
      <c r="C7" s="342" t="s">
        <v>1589</v>
      </c>
      <c r="D7" s="342" t="s">
        <v>45</v>
      </c>
      <c r="E7" s="342" t="s">
        <v>591</v>
      </c>
      <c r="F7" s="342" t="s">
        <v>40</v>
      </c>
      <c r="G7" s="342" t="s">
        <v>5280</v>
      </c>
      <c r="H7" s="342" t="s">
        <v>5917</v>
      </c>
      <c r="I7" s="342" t="s">
        <v>1571</v>
      </c>
      <c r="L7" s="342" t="s">
        <v>1571</v>
      </c>
      <c r="M7" s="342" t="s">
        <v>1571</v>
      </c>
      <c r="N7" s="342" t="s">
        <v>3653</v>
      </c>
      <c r="O7" s="344" t="s">
        <v>5839</v>
      </c>
      <c r="P7" s="342">
        <v>6119287103</v>
      </c>
      <c r="R7" s="342" t="s">
        <v>3649</v>
      </c>
      <c r="S7" s="343">
        <v>45838</v>
      </c>
      <c r="T7" s="343">
        <v>45838</v>
      </c>
      <c r="U7" s="343">
        <v>44641</v>
      </c>
      <c r="V7" s="343">
        <v>44743</v>
      </c>
      <c r="X7" s="342" t="s">
        <v>5840</v>
      </c>
      <c r="Y7" s="342" t="s">
        <v>5840</v>
      </c>
    </row>
    <row r="8" spans="1:25">
      <c r="A8" s="342">
        <v>134654</v>
      </c>
      <c r="B8" s="342" t="s">
        <v>1458</v>
      </c>
      <c r="C8" s="342" t="s">
        <v>63</v>
      </c>
      <c r="D8" s="342" t="s">
        <v>47</v>
      </c>
      <c r="E8" s="342" t="s">
        <v>591</v>
      </c>
      <c r="F8" s="342" t="s">
        <v>40</v>
      </c>
      <c r="G8" s="342" t="s">
        <v>5280</v>
      </c>
      <c r="H8" s="342" t="s">
        <v>5686</v>
      </c>
      <c r="I8" s="342" t="s">
        <v>1568</v>
      </c>
      <c r="L8" s="342" t="s">
        <v>1568</v>
      </c>
      <c r="M8" s="342" t="s">
        <v>1568</v>
      </c>
      <c r="N8" s="342" t="s">
        <v>3650</v>
      </c>
      <c r="O8" s="342" t="s">
        <v>4207</v>
      </c>
      <c r="P8" s="342">
        <v>6113918261</v>
      </c>
      <c r="R8" s="342" t="s">
        <v>3649</v>
      </c>
      <c r="S8" s="343">
        <v>45582</v>
      </c>
      <c r="T8" s="343">
        <v>45582</v>
      </c>
      <c r="U8" s="343">
        <v>44347</v>
      </c>
      <c r="V8" s="343">
        <v>44487</v>
      </c>
      <c r="X8" s="342" t="s">
        <v>4781</v>
      </c>
      <c r="Y8" s="342" t="s">
        <v>4796</v>
      </c>
    </row>
    <row r="9" spans="1:25" ht="409.5">
      <c r="A9" s="342">
        <v>134661</v>
      </c>
      <c r="B9" s="342" t="s">
        <v>1397</v>
      </c>
      <c r="C9" s="342" t="s">
        <v>65</v>
      </c>
      <c r="D9" s="342" t="s">
        <v>47</v>
      </c>
      <c r="E9" s="342" t="s">
        <v>591</v>
      </c>
      <c r="F9" s="342" t="s">
        <v>40</v>
      </c>
      <c r="G9" s="342" t="s">
        <v>5449</v>
      </c>
      <c r="H9" s="342" t="s">
        <v>5687</v>
      </c>
      <c r="I9" s="342" t="s">
        <v>1571</v>
      </c>
      <c r="L9" s="342" t="s">
        <v>1571</v>
      </c>
      <c r="M9" s="342" t="s">
        <v>1571</v>
      </c>
      <c r="N9" s="342" t="s">
        <v>3653</v>
      </c>
      <c r="O9" s="344" t="s">
        <v>5955</v>
      </c>
      <c r="P9" s="342">
        <v>6130653622</v>
      </c>
      <c r="R9" s="342" t="s">
        <v>3649</v>
      </c>
      <c r="S9" s="343">
        <v>45535</v>
      </c>
      <c r="T9" s="343">
        <v>45535</v>
      </c>
      <c r="U9" s="343">
        <v>44628</v>
      </c>
      <c r="V9" s="343">
        <v>44440</v>
      </c>
      <c r="W9" s="343">
        <v>44743</v>
      </c>
      <c r="X9" s="342" t="s">
        <v>5959</v>
      </c>
      <c r="Y9" s="342" t="s">
        <v>4677</v>
      </c>
    </row>
    <row r="10" spans="1:25" ht="409.5">
      <c r="A10" s="342">
        <v>134816</v>
      </c>
      <c r="B10" s="342" t="s">
        <v>792</v>
      </c>
      <c r="C10" s="342" t="s">
        <v>794</v>
      </c>
      <c r="D10" s="342" t="s">
        <v>47</v>
      </c>
      <c r="E10" s="342" t="s">
        <v>591</v>
      </c>
      <c r="F10" s="342" t="s">
        <v>737</v>
      </c>
      <c r="G10" s="342" t="s">
        <v>5280</v>
      </c>
      <c r="H10" s="342" t="s">
        <v>5688</v>
      </c>
      <c r="I10" s="342" t="s">
        <v>1574</v>
      </c>
      <c r="L10" s="342" t="s">
        <v>1568</v>
      </c>
      <c r="M10" s="342" t="s">
        <v>1568</v>
      </c>
      <c r="N10" s="342" t="s">
        <v>3650</v>
      </c>
      <c r="O10" s="344" t="s">
        <v>5102</v>
      </c>
      <c r="P10" s="342">
        <v>6111400467</v>
      </c>
      <c r="R10" s="342" t="s">
        <v>3649</v>
      </c>
      <c r="S10" s="343">
        <v>45673</v>
      </c>
      <c r="T10" s="343">
        <v>45673</v>
      </c>
      <c r="U10" s="343">
        <v>44480</v>
      </c>
      <c r="V10" s="343">
        <v>44578</v>
      </c>
      <c r="X10" s="342" t="s">
        <v>5103</v>
      </c>
      <c r="Y10" s="342" t="s">
        <v>5104</v>
      </c>
    </row>
    <row r="11" spans="1:25">
      <c r="A11" s="342">
        <v>134956</v>
      </c>
      <c r="B11" s="342" t="s">
        <v>2504</v>
      </c>
      <c r="C11" s="342" t="s">
        <v>2507</v>
      </c>
      <c r="D11" s="342" t="s">
        <v>45</v>
      </c>
      <c r="E11" s="342" t="s">
        <v>591</v>
      </c>
      <c r="F11" s="342" t="s">
        <v>40</v>
      </c>
      <c r="G11" s="342" t="s">
        <v>5278</v>
      </c>
      <c r="H11" s="342" t="s">
        <v>5051</v>
      </c>
      <c r="I11" s="342" t="s">
        <v>1572</v>
      </c>
      <c r="L11" s="342" t="s">
        <v>1571</v>
      </c>
      <c r="M11" s="342" t="s">
        <v>1571</v>
      </c>
      <c r="N11" s="342" t="s">
        <v>3656</v>
      </c>
      <c r="O11" s="342" t="s">
        <v>3657</v>
      </c>
      <c r="P11" s="342">
        <v>6115240649</v>
      </c>
      <c r="R11" s="342" t="s">
        <v>3649</v>
      </c>
      <c r="S11" s="343">
        <v>45470</v>
      </c>
      <c r="T11" s="343">
        <v>45470</v>
      </c>
      <c r="U11" s="343">
        <v>44628</v>
      </c>
      <c r="V11" s="343">
        <v>44375</v>
      </c>
      <c r="X11" s="342">
        <v>80253</v>
      </c>
      <c r="Y11" s="342">
        <v>80253</v>
      </c>
    </row>
    <row r="12" spans="1:25">
      <c r="A12" s="342">
        <v>135149</v>
      </c>
      <c r="B12" s="342" t="s">
        <v>1340</v>
      </c>
      <c r="C12" s="342" t="s">
        <v>559</v>
      </c>
      <c r="D12" s="342" t="s">
        <v>55</v>
      </c>
      <c r="E12" s="342" t="s">
        <v>591</v>
      </c>
      <c r="F12" s="342" t="s">
        <v>40</v>
      </c>
      <c r="G12" s="342" t="s">
        <v>1277</v>
      </c>
      <c r="H12" s="342" t="s">
        <v>5689</v>
      </c>
      <c r="I12" s="342" t="s">
        <v>1568</v>
      </c>
      <c r="L12" s="342" t="s">
        <v>1568</v>
      </c>
      <c r="M12" s="342" t="s">
        <v>1568</v>
      </c>
      <c r="N12" s="342" t="s">
        <v>3650</v>
      </c>
      <c r="O12" s="342" t="s">
        <v>3658</v>
      </c>
      <c r="P12" s="342">
        <v>6114876946</v>
      </c>
      <c r="R12" s="342" t="s">
        <v>3649</v>
      </c>
      <c r="S12" s="343">
        <v>45002</v>
      </c>
      <c r="T12" s="343">
        <v>45002</v>
      </c>
      <c r="U12" s="343">
        <v>44635</v>
      </c>
      <c r="V12" s="343">
        <v>43908</v>
      </c>
      <c r="W12" s="343">
        <v>44711</v>
      </c>
      <c r="X12" s="342" t="s">
        <v>5502</v>
      </c>
      <c r="Y12" s="342" t="s">
        <v>3659</v>
      </c>
    </row>
    <row r="13" spans="1:25">
      <c r="A13" s="342">
        <v>135638</v>
      </c>
      <c r="B13" s="342" t="s">
        <v>4962</v>
      </c>
      <c r="C13" s="342" t="s">
        <v>4964</v>
      </c>
      <c r="D13" s="342" t="s">
        <v>51</v>
      </c>
      <c r="E13" s="342" t="s">
        <v>1194</v>
      </c>
      <c r="F13" s="342" t="s">
        <v>40</v>
      </c>
      <c r="G13" s="342" t="s">
        <v>1277</v>
      </c>
    </row>
    <row r="14" spans="1:25">
      <c r="A14" s="342">
        <v>135671</v>
      </c>
      <c r="B14" s="342" t="s">
        <v>67</v>
      </c>
      <c r="C14" s="342" t="s">
        <v>68</v>
      </c>
      <c r="D14" s="342" t="s">
        <v>47</v>
      </c>
      <c r="E14" s="342" t="s">
        <v>591</v>
      </c>
      <c r="F14" s="342" t="s">
        <v>41</v>
      </c>
      <c r="G14" s="342" t="s">
        <v>1421</v>
      </c>
      <c r="J14" s="342" t="s">
        <v>1571</v>
      </c>
      <c r="K14" s="343">
        <v>44834</v>
      </c>
      <c r="P14" s="342">
        <v>6143646260</v>
      </c>
    </row>
    <row r="15" spans="1:25">
      <c r="A15" s="342">
        <v>135673</v>
      </c>
      <c r="B15" s="342" t="s">
        <v>646</v>
      </c>
      <c r="C15" s="342" t="s">
        <v>647</v>
      </c>
      <c r="D15" s="342" t="s">
        <v>47</v>
      </c>
      <c r="E15" s="342" t="s">
        <v>591</v>
      </c>
      <c r="F15" s="342" t="s">
        <v>40</v>
      </c>
      <c r="G15" s="342" t="s">
        <v>1421</v>
      </c>
      <c r="J15" s="342" t="s">
        <v>1568</v>
      </c>
      <c r="K15" s="343">
        <v>44834</v>
      </c>
    </row>
    <row r="16" spans="1:25" ht="266">
      <c r="A16" s="342">
        <v>135729</v>
      </c>
      <c r="B16" s="342" t="s">
        <v>70</v>
      </c>
      <c r="C16" s="342" t="s">
        <v>71</v>
      </c>
      <c r="D16" s="342" t="s">
        <v>47</v>
      </c>
      <c r="E16" s="342" t="s">
        <v>591</v>
      </c>
      <c r="F16" s="342" t="s">
        <v>40</v>
      </c>
      <c r="G16" s="342" t="s">
        <v>1277</v>
      </c>
      <c r="H16" s="342" t="s">
        <v>5579</v>
      </c>
      <c r="I16" s="342" t="s">
        <v>1574</v>
      </c>
      <c r="L16" s="342" t="s">
        <v>1568</v>
      </c>
      <c r="M16" s="342" t="s">
        <v>1568</v>
      </c>
      <c r="N16" s="342" t="s">
        <v>3650</v>
      </c>
      <c r="O16" s="344" t="s">
        <v>4361</v>
      </c>
      <c r="P16" s="342">
        <v>6123761864</v>
      </c>
      <c r="R16" s="342" t="s">
        <v>3649</v>
      </c>
      <c r="S16" s="343">
        <v>45825</v>
      </c>
      <c r="T16" s="343">
        <v>45825</v>
      </c>
      <c r="U16" s="343">
        <v>44655</v>
      </c>
      <c r="V16" s="343">
        <v>44791</v>
      </c>
      <c r="X16" s="342">
        <v>43136</v>
      </c>
      <c r="Y16" s="342">
        <v>10194978</v>
      </c>
    </row>
    <row r="17" spans="1:25" ht="392">
      <c r="A17" s="342">
        <v>135762</v>
      </c>
      <c r="B17" s="342" t="s">
        <v>4355</v>
      </c>
      <c r="C17" s="342" t="s">
        <v>73</v>
      </c>
      <c r="D17" s="342" t="s">
        <v>47</v>
      </c>
      <c r="E17" s="342" t="s">
        <v>591</v>
      </c>
      <c r="F17" s="342" t="s">
        <v>40</v>
      </c>
      <c r="G17" s="342" t="s">
        <v>1336</v>
      </c>
      <c r="H17" s="342" t="s">
        <v>2516</v>
      </c>
      <c r="I17" s="342" t="s">
        <v>1569</v>
      </c>
      <c r="L17" s="342" t="s">
        <v>1568</v>
      </c>
      <c r="M17" s="342" t="s">
        <v>1568</v>
      </c>
      <c r="N17" s="342" t="s">
        <v>3650</v>
      </c>
      <c r="O17" s="344" t="s">
        <v>3660</v>
      </c>
      <c r="P17" s="342">
        <v>6119811760</v>
      </c>
      <c r="R17" s="342" t="s">
        <v>3649</v>
      </c>
      <c r="S17" s="343">
        <v>45257</v>
      </c>
      <c r="T17" s="343">
        <v>45257</v>
      </c>
      <c r="U17" s="343">
        <v>44488</v>
      </c>
      <c r="V17" s="343">
        <v>44163</v>
      </c>
      <c r="X17" s="342">
        <v>31886</v>
      </c>
      <c r="Y17" s="342">
        <v>31886</v>
      </c>
    </row>
    <row r="18" spans="1:25">
      <c r="A18" s="342">
        <v>135873</v>
      </c>
      <c r="B18" s="342" t="s">
        <v>603</v>
      </c>
      <c r="C18" s="342" t="s">
        <v>68</v>
      </c>
      <c r="D18" s="342" t="s">
        <v>47</v>
      </c>
      <c r="E18" s="342" t="s">
        <v>591</v>
      </c>
      <c r="F18" s="342" t="s">
        <v>40</v>
      </c>
      <c r="G18" s="342" t="s">
        <v>1421</v>
      </c>
      <c r="H18" s="342" t="s">
        <v>4831</v>
      </c>
      <c r="I18" s="342" t="s">
        <v>1573</v>
      </c>
      <c r="L18" s="342" t="s">
        <v>1571</v>
      </c>
      <c r="M18" s="342" t="s">
        <v>1571</v>
      </c>
      <c r="N18" s="342" t="s">
        <v>3653</v>
      </c>
      <c r="O18" s="342" t="s">
        <v>3661</v>
      </c>
      <c r="P18" s="342">
        <v>6114493727</v>
      </c>
      <c r="R18" s="342" t="s">
        <v>3649</v>
      </c>
      <c r="S18" s="343">
        <v>45612</v>
      </c>
      <c r="T18" s="343">
        <v>45612</v>
      </c>
      <c r="U18" s="343">
        <v>44256</v>
      </c>
      <c r="V18" s="343">
        <v>44517</v>
      </c>
      <c r="X18" s="342" t="s">
        <v>3662</v>
      </c>
      <c r="Y18" s="342" t="s">
        <v>3662</v>
      </c>
    </row>
    <row r="19" spans="1:25">
      <c r="A19" s="342">
        <v>135907</v>
      </c>
      <c r="B19" s="342" t="s">
        <v>1430</v>
      </c>
      <c r="C19" s="342" t="s">
        <v>1433</v>
      </c>
      <c r="D19" s="342" t="s">
        <v>51</v>
      </c>
      <c r="E19" s="342" t="s">
        <v>591</v>
      </c>
      <c r="F19" s="342" t="s">
        <v>40</v>
      </c>
      <c r="G19" s="342" t="s">
        <v>5283</v>
      </c>
      <c r="H19" s="342" t="s">
        <v>5918</v>
      </c>
      <c r="I19" s="342" t="s">
        <v>1569</v>
      </c>
      <c r="L19" s="342" t="s">
        <v>1568</v>
      </c>
      <c r="M19" s="342" t="s">
        <v>1568</v>
      </c>
      <c r="N19" s="342" t="s">
        <v>3650</v>
      </c>
      <c r="O19" s="342" t="s">
        <v>3663</v>
      </c>
      <c r="P19" s="342">
        <v>6111880249</v>
      </c>
      <c r="R19" s="342" t="s">
        <v>3649</v>
      </c>
      <c r="S19" s="343">
        <v>45600</v>
      </c>
      <c r="T19" s="343">
        <v>45600</v>
      </c>
      <c r="U19" s="343">
        <v>44362</v>
      </c>
      <c r="V19" s="343">
        <v>44505</v>
      </c>
      <c r="X19" s="342" t="s">
        <v>3664</v>
      </c>
      <c r="Y19" s="342" t="s">
        <v>3664</v>
      </c>
    </row>
    <row r="20" spans="1:25">
      <c r="A20" s="342">
        <v>135938</v>
      </c>
      <c r="B20" s="342" t="s">
        <v>75</v>
      </c>
      <c r="C20" s="342" t="s">
        <v>78</v>
      </c>
      <c r="D20" s="342" t="s">
        <v>45</v>
      </c>
      <c r="E20" s="342" t="s">
        <v>591</v>
      </c>
      <c r="F20" s="342" t="s">
        <v>40</v>
      </c>
      <c r="G20" s="342" t="s">
        <v>1277</v>
      </c>
      <c r="H20" s="342" t="s">
        <v>1533</v>
      </c>
      <c r="I20" s="342" t="s">
        <v>1569</v>
      </c>
      <c r="L20" s="342" t="s">
        <v>1568</v>
      </c>
      <c r="M20" s="342" t="s">
        <v>1568</v>
      </c>
      <c r="N20" s="342" t="s">
        <v>3652</v>
      </c>
      <c r="O20" s="342" t="s">
        <v>4688</v>
      </c>
      <c r="P20" s="342">
        <v>6115049141</v>
      </c>
      <c r="R20" s="342" t="s">
        <v>3649</v>
      </c>
      <c r="S20" s="343">
        <v>44834</v>
      </c>
      <c r="T20" s="343">
        <v>44834</v>
      </c>
      <c r="U20" s="343">
        <v>44340</v>
      </c>
      <c r="V20" s="343">
        <v>43739</v>
      </c>
      <c r="W20" s="343">
        <v>44426</v>
      </c>
      <c r="X20" s="342">
        <v>5024</v>
      </c>
      <c r="Y20" s="342">
        <v>10210499</v>
      </c>
    </row>
    <row r="21" spans="1:25">
      <c r="A21" s="342">
        <v>136036</v>
      </c>
      <c r="B21" s="342" t="s">
        <v>79</v>
      </c>
      <c r="C21" s="342" t="s">
        <v>82</v>
      </c>
      <c r="D21" s="342" t="s">
        <v>45</v>
      </c>
      <c r="E21" s="342" t="s">
        <v>591</v>
      </c>
      <c r="F21" s="342" t="s">
        <v>40</v>
      </c>
      <c r="G21" s="342" t="s">
        <v>5450</v>
      </c>
      <c r="H21" s="342" t="s">
        <v>5690</v>
      </c>
      <c r="I21" s="342" t="s">
        <v>1568</v>
      </c>
      <c r="L21" s="342" t="s">
        <v>1568</v>
      </c>
      <c r="M21" s="342" t="s">
        <v>1568</v>
      </c>
      <c r="N21" s="342" t="s">
        <v>3652</v>
      </c>
      <c r="O21" s="342" t="s">
        <v>3665</v>
      </c>
      <c r="P21" s="342">
        <v>6113498024</v>
      </c>
      <c r="R21" s="342" t="s">
        <v>3649</v>
      </c>
      <c r="S21" s="343">
        <v>45282</v>
      </c>
      <c r="T21" s="343">
        <v>45282</v>
      </c>
      <c r="U21" s="343">
        <v>43661</v>
      </c>
      <c r="V21" s="343">
        <v>44188</v>
      </c>
      <c r="X21" s="342">
        <v>6829</v>
      </c>
      <c r="Y21" s="342">
        <v>6829</v>
      </c>
    </row>
    <row r="22" spans="1:25">
      <c r="A22" s="342">
        <v>136086</v>
      </c>
      <c r="B22" s="342" t="s">
        <v>1105</v>
      </c>
      <c r="C22" s="342" t="s">
        <v>1108</v>
      </c>
      <c r="D22" s="342" t="s">
        <v>45</v>
      </c>
      <c r="E22" s="342" t="s">
        <v>591</v>
      </c>
      <c r="F22" s="342" t="s">
        <v>1114</v>
      </c>
      <c r="G22" s="342" t="s">
        <v>1288</v>
      </c>
      <c r="H22" s="342" t="s">
        <v>4612</v>
      </c>
      <c r="I22" s="342" t="s">
        <v>1576</v>
      </c>
      <c r="L22" s="342" t="s">
        <v>1576</v>
      </c>
      <c r="M22" s="342" t="s">
        <v>1576</v>
      </c>
      <c r="N22" s="342" t="s">
        <v>3647</v>
      </c>
      <c r="O22" s="342" t="s">
        <v>4588</v>
      </c>
      <c r="P22" s="342">
        <v>6120121562</v>
      </c>
      <c r="R22" s="342" t="s">
        <v>3649</v>
      </c>
      <c r="S22" s="343">
        <v>45520</v>
      </c>
      <c r="T22" s="343">
        <v>45520</v>
      </c>
      <c r="U22" s="343">
        <v>43598</v>
      </c>
      <c r="V22" s="343">
        <v>44425</v>
      </c>
      <c r="X22" s="342" t="s">
        <v>4589</v>
      </c>
      <c r="Y22" s="342" t="s">
        <v>4589</v>
      </c>
    </row>
    <row r="23" spans="1:25">
      <c r="A23" s="342">
        <v>136746</v>
      </c>
      <c r="B23" s="342" t="s">
        <v>1118</v>
      </c>
      <c r="C23" s="342" t="s">
        <v>1121</v>
      </c>
      <c r="D23" s="342" t="s">
        <v>45</v>
      </c>
      <c r="E23" s="342" t="s">
        <v>591</v>
      </c>
      <c r="F23" s="342" t="s">
        <v>40</v>
      </c>
      <c r="G23" s="342" t="s">
        <v>5450</v>
      </c>
      <c r="H23" s="342" t="s">
        <v>5691</v>
      </c>
      <c r="I23" s="342" t="s">
        <v>1569</v>
      </c>
      <c r="L23" s="342" t="s">
        <v>1568</v>
      </c>
      <c r="M23" s="342" t="s">
        <v>1568</v>
      </c>
      <c r="N23" s="342" t="s">
        <v>3652</v>
      </c>
      <c r="O23" s="342" t="s">
        <v>4689</v>
      </c>
      <c r="P23" s="342">
        <v>6115216644</v>
      </c>
      <c r="R23" s="342" t="s">
        <v>3649</v>
      </c>
      <c r="S23" s="343">
        <v>45549</v>
      </c>
      <c r="T23" s="343">
        <v>45549</v>
      </c>
      <c r="U23" s="343">
        <v>43514</v>
      </c>
      <c r="V23" s="343">
        <v>44454</v>
      </c>
      <c r="W23" s="343">
        <v>44459</v>
      </c>
      <c r="X23" s="342" t="s">
        <v>3667</v>
      </c>
      <c r="Y23" s="342" t="s">
        <v>4692</v>
      </c>
    </row>
    <row r="24" spans="1:25" ht="409.5">
      <c r="A24" s="342">
        <v>137256</v>
      </c>
      <c r="B24" s="342" t="s">
        <v>83</v>
      </c>
      <c r="C24" s="342" t="s">
        <v>86</v>
      </c>
      <c r="D24" s="342" t="s">
        <v>51</v>
      </c>
      <c r="E24" s="342" t="s">
        <v>591</v>
      </c>
      <c r="F24" s="342" t="s">
        <v>40</v>
      </c>
      <c r="G24" s="342" t="s">
        <v>1421</v>
      </c>
      <c r="H24" s="342" t="s">
        <v>1534</v>
      </c>
      <c r="I24" s="342" t="s">
        <v>1568</v>
      </c>
      <c r="L24" s="342" t="s">
        <v>1568</v>
      </c>
      <c r="M24" s="342" t="s">
        <v>1568</v>
      </c>
      <c r="N24" s="342" t="s">
        <v>3652</v>
      </c>
      <c r="O24" s="344" t="s">
        <v>5206</v>
      </c>
      <c r="P24" s="342">
        <v>6114137148</v>
      </c>
      <c r="R24" s="342" t="s">
        <v>3649</v>
      </c>
      <c r="S24" s="343">
        <v>44807</v>
      </c>
      <c r="T24" s="343">
        <v>44807</v>
      </c>
      <c r="U24" s="343">
        <v>44362</v>
      </c>
      <c r="V24" s="343">
        <v>43712</v>
      </c>
      <c r="W24" s="343">
        <v>44609</v>
      </c>
      <c r="X24" s="342" t="s">
        <v>3668</v>
      </c>
      <c r="Y24" s="342" t="s">
        <v>3668</v>
      </c>
    </row>
    <row r="25" spans="1:25">
      <c r="A25" s="342">
        <v>137312</v>
      </c>
      <c r="B25" s="342" t="s">
        <v>1236</v>
      </c>
      <c r="C25" s="342" t="s">
        <v>1239</v>
      </c>
      <c r="D25" s="342" t="s">
        <v>51</v>
      </c>
      <c r="E25" s="342" t="s">
        <v>591</v>
      </c>
      <c r="F25" s="342" t="s">
        <v>40</v>
      </c>
      <c r="G25" s="342" t="s">
        <v>5450</v>
      </c>
      <c r="H25" s="342" t="s">
        <v>4685</v>
      </c>
      <c r="I25" s="342" t="s">
        <v>1568</v>
      </c>
      <c r="L25" s="342" t="s">
        <v>1568</v>
      </c>
      <c r="M25" s="342" t="s">
        <v>1568</v>
      </c>
      <c r="N25" s="342" t="s">
        <v>3652</v>
      </c>
      <c r="O25" s="342" t="s">
        <v>3669</v>
      </c>
      <c r="P25" s="342">
        <v>6120159327</v>
      </c>
      <c r="R25" s="342" t="s">
        <v>3649</v>
      </c>
      <c r="S25" s="343">
        <v>45592</v>
      </c>
      <c r="T25" s="343">
        <v>45592</v>
      </c>
      <c r="U25" s="343">
        <v>44348</v>
      </c>
      <c r="V25" s="343">
        <v>44497</v>
      </c>
      <c r="X25" s="342" t="s">
        <v>3670</v>
      </c>
      <c r="Y25" s="342" t="s">
        <v>3670</v>
      </c>
    </row>
    <row r="26" spans="1:25" ht="409.5">
      <c r="A26" s="342">
        <v>137721</v>
      </c>
      <c r="B26" s="342" t="s">
        <v>4253</v>
      </c>
      <c r="C26" s="342" t="s">
        <v>4255</v>
      </c>
      <c r="D26" s="342" t="s">
        <v>47</v>
      </c>
      <c r="E26" s="342" t="s">
        <v>591</v>
      </c>
      <c r="F26" s="342" t="s">
        <v>40</v>
      </c>
      <c r="G26" s="342" t="s">
        <v>1288</v>
      </c>
      <c r="H26" s="342" t="s">
        <v>5489</v>
      </c>
      <c r="I26" s="342" t="s">
        <v>1571</v>
      </c>
      <c r="L26" s="342" t="s">
        <v>1571</v>
      </c>
      <c r="M26" s="342" t="s">
        <v>1571</v>
      </c>
      <c r="N26" s="342" t="s">
        <v>3653</v>
      </c>
      <c r="O26" s="344" t="s">
        <v>5327</v>
      </c>
      <c r="P26" s="342">
        <v>6145590644</v>
      </c>
      <c r="R26" s="342" t="s">
        <v>3649</v>
      </c>
      <c r="S26" s="343">
        <v>45805</v>
      </c>
      <c r="T26" s="343">
        <v>45805</v>
      </c>
      <c r="U26" s="343">
        <v>44627</v>
      </c>
      <c r="V26" s="343">
        <v>44710</v>
      </c>
      <c r="X26" s="342" t="s">
        <v>5503</v>
      </c>
      <c r="Y26" s="342" t="s">
        <v>4272</v>
      </c>
    </row>
    <row r="27" spans="1:25" ht="409.5">
      <c r="A27" s="342">
        <v>137765</v>
      </c>
      <c r="B27" s="342" t="s">
        <v>1168</v>
      </c>
      <c r="C27" s="342" t="s">
        <v>88</v>
      </c>
      <c r="D27" s="342" t="s">
        <v>55</v>
      </c>
      <c r="E27" s="342" t="s">
        <v>591</v>
      </c>
      <c r="F27" s="342" t="s">
        <v>40</v>
      </c>
      <c r="G27" s="342" t="s">
        <v>4608</v>
      </c>
      <c r="H27" s="342" t="s">
        <v>6072</v>
      </c>
      <c r="I27" s="342" t="s">
        <v>1569</v>
      </c>
      <c r="L27" s="342" t="s">
        <v>1568</v>
      </c>
      <c r="M27" s="342" t="s">
        <v>1568</v>
      </c>
      <c r="N27" s="342" t="s">
        <v>3650</v>
      </c>
      <c r="O27" s="344" t="s">
        <v>4208</v>
      </c>
      <c r="P27" s="342">
        <v>6115932944</v>
      </c>
      <c r="R27" s="342" t="s">
        <v>3649</v>
      </c>
      <c r="S27" s="343">
        <v>44879</v>
      </c>
      <c r="T27" s="343">
        <v>44879</v>
      </c>
      <c r="U27" s="343">
        <v>44424</v>
      </c>
      <c r="V27" s="343">
        <v>43784</v>
      </c>
      <c r="W27" s="343">
        <v>44168</v>
      </c>
      <c r="X27" s="342" t="s">
        <v>4209</v>
      </c>
      <c r="Y27" s="342" t="s">
        <v>3671</v>
      </c>
    </row>
    <row r="28" spans="1:25" ht="409.5">
      <c r="A28" s="342">
        <v>137768</v>
      </c>
      <c r="B28" s="342" t="s">
        <v>1168</v>
      </c>
      <c r="C28" s="342" t="s">
        <v>90</v>
      </c>
      <c r="D28" s="342" t="s">
        <v>55</v>
      </c>
      <c r="E28" s="342" t="s">
        <v>591</v>
      </c>
      <c r="F28" s="342" t="s">
        <v>40</v>
      </c>
      <c r="G28" s="342" t="s">
        <v>4608</v>
      </c>
      <c r="H28" s="342" t="s">
        <v>6072</v>
      </c>
      <c r="I28" s="342" t="s">
        <v>1569</v>
      </c>
      <c r="L28" s="342" t="s">
        <v>1568</v>
      </c>
      <c r="M28" s="342" t="s">
        <v>1568</v>
      </c>
      <c r="N28" s="342" t="s">
        <v>3650</v>
      </c>
      <c r="O28" s="344" t="s">
        <v>4208</v>
      </c>
      <c r="P28" s="342">
        <v>6115932960</v>
      </c>
      <c r="R28" s="342" t="s">
        <v>3649</v>
      </c>
      <c r="S28" s="343">
        <v>44879</v>
      </c>
      <c r="T28" s="343">
        <v>44879</v>
      </c>
      <c r="U28" s="343">
        <v>44424</v>
      </c>
      <c r="V28" s="343">
        <v>43784</v>
      </c>
      <c r="W28" s="343">
        <v>44168</v>
      </c>
      <c r="X28" s="342" t="s">
        <v>4209</v>
      </c>
      <c r="Y28" s="342" t="s">
        <v>3671</v>
      </c>
    </row>
    <row r="29" spans="1:25">
      <c r="A29" s="342">
        <v>138307</v>
      </c>
      <c r="B29" s="342" t="s">
        <v>1234</v>
      </c>
      <c r="C29" s="342" t="s">
        <v>1198</v>
      </c>
      <c r="D29" s="342" t="s">
        <v>51</v>
      </c>
      <c r="E29" s="342" t="s">
        <v>591</v>
      </c>
      <c r="F29" s="342" t="s">
        <v>40</v>
      </c>
      <c r="G29" s="342" t="s">
        <v>5279</v>
      </c>
      <c r="H29" s="342" t="s">
        <v>1535</v>
      </c>
      <c r="I29" s="342" t="s">
        <v>1568</v>
      </c>
      <c r="L29" s="342" t="s">
        <v>1568</v>
      </c>
      <c r="M29" s="342" t="s">
        <v>1568</v>
      </c>
      <c r="N29" s="342" t="s">
        <v>3652</v>
      </c>
      <c r="O29" s="342" t="s">
        <v>3672</v>
      </c>
      <c r="P29" s="342">
        <v>6113579448</v>
      </c>
      <c r="R29" s="342" t="s">
        <v>3649</v>
      </c>
      <c r="S29" s="343">
        <v>45058</v>
      </c>
      <c r="T29" s="343">
        <v>45058</v>
      </c>
      <c r="U29" s="343">
        <v>44361</v>
      </c>
      <c r="V29" s="343">
        <v>43964</v>
      </c>
      <c r="X29" s="342" t="s">
        <v>3673</v>
      </c>
      <c r="Y29" s="342" t="s">
        <v>3673</v>
      </c>
    </row>
    <row r="30" spans="1:25" ht="409.5">
      <c r="A30" s="342">
        <v>138579</v>
      </c>
      <c r="B30" s="342" t="s">
        <v>1220</v>
      </c>
      <c r="C30" s="342" t="s">
        <v>92</v>
      </c>
      <c r="D30" s="342" t="s">
        <v>47</v>
      </c>
      <c r="E30" s="342" t="s">
        <v>591</v>
      </c>
      <c r="F30" s="342" t="s">
        <v>40</v>
      </c>
      <c r="G30" s="342" t="s">
        <v>5283</v>
      </c>
      <c r="H30" s="342" t="s">
        <v>5984</v>
      </c>
      <c r="I30" s="342" t="s">
        <v>1574</v>
      </c>
      <c r="L30" s="342" t="s">
        <v>1568</v>
      </c>
      <c r="M30" s="342" t="s">
        <v>1568</v>
      </c>
      <c r="N30" s="342" t="s">
        <v>3650</v>
      </c>
      <c r="O30" s="344" t="s">
        <v>3674</v>
      </c>
      <c r="P30" s="342">
        <v>6115403606</v>
      </c>
      <c r="R30" s="342" t="s">
        <v>3649</v>
      </c>
      <c r="S30" s="343">
        <v>45100</v>
      </c>
      <c r="T30" s="343">
        <v>45100</v>
      </c>
      <c r="U30" s="343">
        <v>43906</v>
      </c>
      <c r="V30" s="343">
        <v>44006</v>
      </c>
      <c r="X30" s="342">
        <v>31853.599999999999</v>
      </c>
      <c r="Y30" s="342" t="s">
        <v>3675</v>
      </c>
    </row>
    <row r="31" spans="1:25">
      <c r="A31" s="342">
        <v>138708</v>
      </c>
      <c r="B31" s="342" t="s">
        <v>1279</v>
      </c>
      <c r="C31" s="342" t="s">
        <v>1281</v>
      </c>
      <c r="D31" s="342" t="s">
        <v>55</v>
      </c>
      <c r="E31" s="342" t="s">
        <v>591</v>
      </c>
      <c r="F31" s="342" t="s">
        <v>40</v>
      </c>
      <c r="G31" s="342" t="s">
        <v>1277</v>
      </c>
      <c r="H31" s="342" t="s">
        <v>4627</v>
      </c>
      <c r="I31" s="342" t="s">
        <v>1568</v>
      </c>
      <c r="L31" s="342" t="s">
        <v>1568</v>
      </c>
      <c r="M31" s="342" t="s">
        <v>1568</v>
      </c>
      <c r="N31" s="342" t="s">
        <v>3650</v>
      </c>
      <c r="O31" s="342" t="s">
        <v>3676</v>
      </c>
      <c r="P31" s="342">
        <v>6120129920</v>
      </c>
      <c r="R31" s="342" t="s">
        <v>3649</v>
      </c>
      <c r="S31" s="343">
        <v>45527</v>
      </c>
      <c r="T31" s="343">
        <v>45527</v>
      </c>
      <c r="U31" s="343">
        <v>43955</v>
      </c>
      <c r="V31" s="343">
        <v>44432</v>
      </c>
      <c r="W31" s="343">
        <v>44658</v>
      </c>
      <c r="X31" s="342" t="s">
        <v>5379</v>
      </c>
      <c r="Y31" s="342" t="s">
        <v>4616</v>
      </c>
    </row>
    <row r="32" spans="1:25">
      <c r="A32" s="342">
        <v>138812</v>
      </c>
      <c r="B32" s="342" t="s">
        <v>5938</v>
      </c>
      <c r="C32" s="342" t="s">
        <v>74</v>
      </c>
      <c r="D32" s="342" t="s">
        <v>55</v>
      </c>
      <c r="E32" s="342" t="s">
        <v>591</v>
      </c>
      <c r="F32" s="342" t="s">
        <v>737</v>
      </c>
      <c r="G32" s="342" t="s">
        <v>1277</v>
      </c>
      <c r="P32" s="342">
        <v>6123674760</v>
      </c>
    </row>
    <row r="33" spans="1:25" ht="322">
      <c r="A33" s="342">
        <v>139237</v>
      </c>
      <c r="B33" s="342" t="s">
        <v>1487</v>
      </c>
      <c r="C33" s="342" t="s">
        <v>68</v>
      </c>
      <c r="D33" s="342" t="s">
        <v>47</v>
      </c>
      <c r="E33" s="342" t="s">
        <v>591</v>
      </c>
      <c r="F33" s="342" t="s">
        <v>685</v>
      </c>
      <c r="G33" s="342" t="s">
        <v>4638</v>
      </c>
      <c r="H33" s="342" t="s">
        <v>5692</v>
      </c>
      <c r="I33" s="342" t="s">
        <v>1577</v>
      </c>
      <c r="L33" s="342" t="s">
        <v>1568</v>
      </c>
      <c r="M33" s="342" t="s">
        <v>1568</v>
      </c>
      <c r="N33" s="342" t="s">
        <v>3650</v>
      </c>
      <c r="O33" s="344" t="s">
        <v>4544</v>
      </c>
      <c r="P33" s="342">
        <v>6119587887</v>
      </c>
      <c r="R33" s="342" t="s">
        <v>3649</v>
      </c>
      <c r="S33" s="343">
        <v>45414</v>
      </c>
      <c r="T33" s="343">
        <v>45414</v>
      </c>
      <c r="U33" s="343">
        <v>44599</v>
      </c>
      <c r="V33" s="343">
        <v>44334</v>
      </c>
      <c r="X33" s="342" t="s">
        <v>4546</v>
      </c>
      <c r="Y33" s="342" t="s">
        <v>4547</v>
      </c>
    </row>
    <row r="34" spans="1:25" ht="409.5">
      <c r="A34" s="342">
        <v>139879</v>
      </c>
      <c r="B34" s="342" t="s">
        <v>94</v>
      </c>
      <c r="C34" s="342" t="s">
        <v>96</v>
      </c>
      <c r="D34" s="342" t="s">
        <v>47</v>
      </c>
      <c r="E34" s="342" t="s">
        <v>591</v>
      </c>
      <c r="F34" s="342" t="s">
        <v>40</v>
      </c>
      <c r="G34" s="342" t="s">
        <v>1277</v>
      </c>
      <c r="H34" s="342" t="s">
        <v>5693</v>
      </c>
      <c r="I34" s="342" t="s">
        <v>1574</v>
      </c>
      <c r="L34" s="342" t="s">
        <v>1568</v>
      </c>
      <c r="M34" s="342" t="s">
        <v>1568</v>
      </c>
      <c r="N34" s="342" t="s">
        <v>3650</v>
      </c>
      <c r="O34" s="344" t="s">
        <v>3677</v>
      </c>
      <c r="P34" s="342">
        <v>6120027404</v>
      </c>
      <c r="R34" s="342" t="s">
        <v>3649</v>
      </c>
      <c r="S34" s="343">
        <v>45364</v>
      </c>
      <c r="T34" s="343">
        <v>45364</v>
      </c>
      <c r="U34" s="343">
        <v>44587</v>
      </c>
      <c r="V34" s="343">
        <v>44269</v>
      </c>
      <c r="W34" s="343">
        <v>44269</v>
      </c>
      <c r="X34" s="342" t="s">
        <v>4411</v>
      </c>
      <c r="Y34" s="342" t="s">
        <v>4427</v>
      </c>
    </row>
    <row r="35" spans="1:25" ht="409.5">
      <c r="A35" s="342">
        <v>139959</v>
      </c>
      <c r="B35" s="342" t="s">
        <v>746</v>
      </c>
      <c r="C35" s="342" t="s">
        <v>648</v>
      </c>
      <c r="D35" s="342" t="s">
        <v>47</v>
      </c>
      <c r="E35" s="342" t="s">
        <v>591</v>
      </c>
      <c r="F35" s="342" t="s">
        <v>40</v>
      </c>
      <c r="G35" s="342" t="s">
        <v>5280</v>
      </c>
      <c r="H35" s="342" t="s">
        <v>5694</v>
      </c>
      <c r="I35" s="342" t="s">
        <v>1568</v>
      </c>
      <c r="L35" s="342" t="s">
        <v>1568</v>
      </c>
      <c r="M35" s="342" t="s">
        <v>1568</v>
      </c>
      <c r="N35" s="342" t="s">
        <v>3650</v>
      </c>
      <c r="O35" s="344" t="s">
        <v>5927</v>
      </c>
      <c r="P35" s="342">
        <v>6123305123</v>
      </c>
      <c r="R35" s="342" t="s">
        <v>3649</v>
      </c>
      <c r="S35" s="343">
        <v>45467</v>
      </c>
      <c r="T35" s="343">
        <v>45467</v>
      </c>
      <c r="U35" s="343">
        <v>44634</v>
      </c>
      <c r="V35" s="343">
        <v>44372</v>
      </c>
      <c r="W35" s="343">
        <v>44743</v>
      </c>
      <c r="X35" s="342" t="s">
        <v>5928</v>
      </c>
      <c r="Y35" s="342" t="s">
        <v>4582</v>
      </c>
    </row>
    <row r="36" spans="1:25">
      <c r="A36" s="342">
        <v>140080</v>
      </c>
      <c r="B36" s="342" t="s">
        <v>99</v>
      </c>
      <c r="C36" s="342" t="s">
        <v>102</v>
      </c>
      <c r="D36" s="342" t="s">
        <v>51</v>
      </c>
      <c r="E36" s="342" t="s">
        <v>591</v>
      </c>
      <c r="F36" s="342" t="s">
        <v>40</v>
      </c>
      <c r="G36" s="342" t="s">
        <v>5281</v>
      </c>
      <c r="H36" s="342" t="s">
        <v>5695</v>
      </c>
      <c r="I36" s="342" t="s">
        <v>1568</v>
      </c>
      <c r="L36" s="342" t="s">
        <v>1568</v>
      </c>
      <c r="M36" s="342" t="s">
        <v>1568</v>
      </c>
      <c r="N36" s="342" t="s">
        <v>3652</v>
      </c>
      <c r="O36" s="342" t="s">
        <v>3678</v>
      </c>
      <c r="P36" s="342">
        <v>6123296287</v>
      </c>
      <c r="R36" s="342" t="s">
        <v>3649</v>
      </c>
      <c r="S36" s="343">
        <v>44851</v>
      </c>
      <c r="T36" s="343">
        <v>44851</v>
      </c>
      <c r="U36" s="343">
        <v>43697</v>
      </c>
      <c r="V36" s="343">
        <v>43756</v>
      </c>
      <c r="X36" s="342" t="s">
        <v>3679</v>
      </c>
      <c r="Y36" s="342" t="s">
        <v>3679</v>
      </c>
    </row>
    <row r="37" spans="1:25">
      <c r="A37" s="342">
        <v>140339</v>
      </c>
      <c r="B37" s="342" t="s">
        <v>4754</v>
      </c>
      <c r="C37" s="342" t="s">
        <v>434</v>
      </c>
      <c r="D37" s="342" t="s">
        <v>51</v>
      </c>
      <c r="E37" s="342" t="s">
        <v>591</v>
      </c>
      <c r="F37" s="342" t="s">
        <v>40</v>
      </c>
      <c r="G37" s="342" t="s">
        <v>5282</v>
      </c>
      <c r="H37" s="342" t="s">
        <v>5696</v>
      </c>
      <c r="I37" s="342" t="s">
        <v>1568</v>
      </c>
      <c r="J37" s="342" t="s">
        <v>1571</v>
      </c>
      <c r="K37" s="343">
        <v>44926</v>
      </c>
      <c r="L37" s="342" t="s">
        <v>1568</v>
      </c>
      <c r="M37" s="342" t="s">
        <v>1568</v>
      </c>
      <c r="N37" s="342" t="s">
        <v>3652</v>
      </c>
      <c r="O37" s="342" t="s">
        <v>4926</v>
      </c>
      <c r="P37" s="342">
        <v>6114183723</v>
      </c>
      <c r="R37" s="342" t="s">
        <v>3649</v>
      </c>
      <c r="S37" s="343">
        <v>44897</v>
      </c>
      <c r="T37" s="343">
        <v>44897</v>
      </c>
      <c r="U37" s="343">
        <v>44431</v>
      </c>
      <c r="V37" s="343">
        <v>43802</v>
      </c>
      <c r="W37" s="343">
        <v>44505</v>
      </c>
      <c r="X37" s="342" t="s">
        <v>4929</v>
      </c>
      <c r="Y37" s="342" t="s">
        <v>4797</v>
      </c>
    </row>
    <row r="38" spans="1:25">
      <c r="A38" s="342">
        <v>140534</v>
      </c>
      <c r="B38" s="342" t="s">
        <v>640</v>
      </c>
      <c r="C38" s="342" t="s">
        <v>643</v>
      </c>
      <c r="D38" s="342" t="s">
        <v>45</v>
      </c>
      <c r="E38" s="342" t="s">
        <v>591</v>
      </c>
      <c r="F38" s="342" t="s">
        <v>40</v>
      </c>
      <c r="G38" s="342" t="s">
        <v>5279</v>
      </c>
      <c r="H38" s="342" t="s">
        <v>5073</v>
      </c>
      <c r="I38" s="342" t="s">
        <v>1568</v>
      </c>
      <c r="L38" s="342" t="s">
        <v>1568</v>
      </c>
      <c r="M38" s="342" t="s">
        <v>1568</v>
      </c>
      <c r="N38" s="342" t="s">
        <v>3650</v>
      </c>
      <c r="O38" s="342" t="s">
        <v>3680</v>
      </c>
      <c r="P38" s="342">
        <v>6134116945</v>
      </c>
      <c r="R38" s="342" t="s">
        <v>3649</v>
      </c>
      <c r="S38" s="343">
        <v>45266</v>
      </c>
      <c r="T38" s="343">
        <v>45266</v>
      </c>
      <c r="U38" s="343">
        <v>44697</v>
      </c>
      <c r="V38" s="343">
        <v>44172</v>
      </c>
      <c r="X38" s="342" t="s">
        <v>3681</v>
      </c>
      <c r="Y38" s="342" t="s">
        <v>3681</v>
      </c>
    </row>
    <row r="39" spans="1:25">
      <c r="A39" s="342">
        <v>140539</v>
      </c>
      <c r="B39" s="342" t="s">
        <v>103</v>
      </c>
      <c r="C39" s="342" t="s">
        <v>106</v>
      </c>
      <c r="D39" s="342" t="s">
        <v>107</v>
      </c>
      <c r="E39" s="342" t="s">
        <v>591</v>
      </c>
      <c r="F39" s="342" t="s">
        <v>40</v>
      </c>
      <c r="G39" s="342" t="s">
        <v>1277</v>
      </c>
      <c r="H39" s="342" t="s">
        <v>5697</v>
      </c>
      <c r="I39" s="342" t="s">
        <v>1569</v>
      </c>
      <c r="L39" s="342" t="s">
        <v>1568</v>
      </c>
      <c r="M39" s="342" t="s">
        <v>1568</v>
      </c>
      <c r="N39" s="342" t="s">
        <v>3652</v>
      </c>
      <c r="O39" s="342" t="s">
        <v>3682</v>
      </c>
      <c r="P39" s="342">
        <v>6110614924</v>
      </c>
      <c r="R39" s="342" t="s">
        <v>3649</v>
      </c>
      <c r="S39" s="343">
        <v>45512</v>
      </c>
      <c r="T39" s="343">
        <v>45512</v>
      </c>
      <c r="U39" s="343">
        <v>43615</v>
      </c>
      <c r="V39" s="343">
        <v>44417</v>
      </c>
      <c r="X39" s="342" t="s">
        <v>3683</v>
      </c>
      <c r="Y39" s="342" t="s">
        <v>3683</v>
      </c>
    </row>
    <row r="40" spans="1:25" ht="409.5">
      <c r="A40" s="342">
        <v>141080</v>
      </c>
      <c r="B40" s="342" t="s">
        <v>108</v>
      </c>
      <c r="C40" s="342" t="s">
        <v>110</v>
      </c>
      <c r="D40" s="342" t="s">
        <v>51</v>
      </c>
      <c r="E40" s="342" t="s">
        <v>591</v>
      </c>
      <c r="F40" s="342" t="s">
        <v>40</v>
      </c>
      <c r="G40" s="342" t="s">
        <v>1288</v>
      </c>
      <c r="H40" s="342" t="s">
        <v>1536</v>
      </c>
      <c r="I40" s="342" t="s">
        <v>1568</v>
      </c>
      <c r="L40" s="342" t="s">
        <v>1568</v>
      </c>
      <c r="M40" s="342" t="s">
        <v>1568</v>
      </c>
      <c r="N40" s="342" t="s">
        <v>3652</v>
      </c>
      <c r="O40" s="344" t="s">
        <v>3684</v>
      </c>
      <c r="P40" s="342">
        <v>6122203543</v>
      </c>
      <c r="R40" s="342" t="s">
        <v>3649</v>
      </c>
      <c r="S40" s="343">
        <v>44943</v>
      </c>
      <c r="T40" s="343">
        <v>44943</v>
      </c>
      <c r="U40" s="343">
        <v>43773</v>
      </c>
      <c r="V40" s="343">
        <v>43848</v>
      </c>
      <c r="X40" s="342" t="s">
        <v>3685</v>
      </c>
      <c r="Y40" s="342" t="s">
        <v>3685</v>
      </c>
    </row>
    <row r="41" spans="1:25" ht="294">
      <c r="A41" s="342">
        <v>141168</v>
      </c>
      <c r="B41" s="342" t="s">
        <v>111</v>
      </c>
      <c r="C41" s="342" t="s">
        <v>113</v>
      </c>
      <c r="D41" s="342" t="s">
        <v>51</v>
      </c>
      <c r="E41" s="342" t="s">
        <v>591</v>
      </c>
      <c r="F41" s="342" t="s">
        <v>40</v>
      </c>
      <c r="G41" s="342" t="s">
        <v>1277</v>
      </c>
      <c r="H41" s="342" t="s">
        <v>5698</v>
      </c>
      <c r="I41" s="342" t="s">
        <v>1568</v>
      </c>
      <c r="L41" s="342" t="s">
        <v>1568</v>
      </c>
      <c r="M41" s="342" t="s">
        <v>1568</v>
      </c>
      <c r="N41" s="342" t="s">
        <v>3652</v>
      </c>
      <c r="O41" s="344" t="s">
        <v>3687</v>
      </c>
      <c r="P41" s="342">
        <v>6114101226</v>
      </c>
      <c r="R41" s="342" t="s">
        <v>3649</v>
      </c>
      <c r="S41" s="343">
        <v>44872</v>
      </c>
      <c r="T41" s="343">
        <v>44872</v>
      </c>
      <c r="U41" s="343">
        <v>44473</v>
      </c>
      <c r="V41" s="343">
        <v>43777</v>
      </c>
      <c r="W41" s="343">
        <v>44438</v>
      </c>
      <c r="X41" s="342">
        <v>11532</v>
      </c>
      <c r="Y41" s="342">
        <v>11532</v>
      </c>
    </row>
    <row r="42" spans="1:25">
      <c r="A42" s="342">
        <v>141737</v>
      </c>
      <c r="B42" s="342" t="s">
        <v>114</v>
      </c>
      <c r="C42" s="342" t="s">
        <v>116</v>
      </c>
      <c r="D42" s="342" t="s">
        <v>55</v>
      </c>
      <c r="E42" s="342" t="s">
        <v>591</v>
      </c>
      <c r="F42" s="342" t="s">
        <v>40</v>
      </c>
      <c r="G42" s="342" t="s">
        <v>1277</v>
      </c>
      <c r="H42" s="342" t="s">
        <v>4557</v>
      </c>
      <c r="I42" s="342" t="s">
        <v>1568</v>
      </c>
      <c r="L42" s="342" t="s">
        <v>1568</v>
      </c>
      <c r="M42" s="342" t="s">
        <v>1568</v>
      </c>
      <c r="N42" s="342" t="s">
        <v>3650</v>
      </c>
      <c r="O42" s="342" t="s">
        <v>3688</v>
      </c>
      <c r="P42" s="342">
        <v>6126460489</v>
      </c>
      <c r="R42" s="342" t="s">
        <v>3649</v>
      </c>
      <c r="S42" s="343">
        <v>45476</v>
      </c>
      <c r="T42" s="343">
        <v>45476</v>
      </c>
      <c r="U42" s="343">
        <v>44648</v>
      </c>
      <c r="V42" s="343">
        <v>44381</v>
      </c>
      <c r="X42" s="342" t="s">
        <v>3689</v>
      </c>
      <c r="Y42" s="342">
        <v>1221020985</v>
      </c>
    </row>
    <row r="43" spans="1:25">
      <c r="A43" s="342">
        <v>142610</v>
      </c>
      <c r="B43" s="342" t="s">
        <v>1498</v>
      </c>
      <c r="C43" s="342" t="s">
        <v>417</v>
      </c>
      <c r="D43" s="342" t="s">
        <v>51</v>
      </c>
      <c r="E43" s="342" t="s">
        <v>591</v>
      </c>
      <c r="F43" s="342" t="s">
        <v>40</v>
      </c>
      <c r="G43" s="342" t="s">
        <v>5282</v>
      </c>
      <c r="H43" s="342" t="s">
        <v>5699</v>
      </c>
      <c r="I43" s="342" t="s">
        <v>1572</v>
      </c>
      <c r="L43" s="342" t="s">
        <v>1571</v>
      </c>
      <c r="M43" s="342" t="s">
        <v>1571</v>
      </c>
      <c r="N43" s="342" t="s">
        <v>3656</v>
      </c>
      <c r="O43" s="342" t="s">
        <v>3690</v>
      </c>
      <c r="P43" s="342">
        <v>6143356505</v>
      </c>
      <c r="R43" s="342" t="s">
        <v>3649</v>
      </c>
      <c r="S43" s="343">
        <v>45782</v>
      </c>
      <c r="T43" s="343">
        <v>45782</v>
      </c>
      <c r="U43" s="343">
        <v>43837</v>
      </c>
      <c r="V43" s="343">
        <v>44687</v>
      </c>
      <c r="X43" s="342" t="s">
        <v>3691</v>
      </c>
      <c r="Y43" s="342" t="s">
        <v>3691</v>
      </c>
    </row>
    <row r="44" spans="1:25">
      <c r="A44" s="342">
        <v>144548</v>
      </c>
      <c r="B44" s="342" t="s">
        <v>679</v>
      </c>
      <c r="C44" s="342" t="s">
        <v>682</v>
      </c>
      <c r="D44" s="342" t="s">
        <v>45</v>
      </c>
      <c r="E44" s="342" t="s">
        <v>591</v>
      </c>
      <c r="F44" s="342" t="s">
        <v>40</v>
      </c>
      <c r="G44" s="342" t="s">
        <v>1277</v>
      </c>
      <c r="H44" s="342" t="s">
        <v>5700</v>
      </c>
      <c r="I44" s="342" t="s">
        <v>1578</v>
      </c>
      <c r="L44" s="342" t="s">
        <v>1568</v>
      </c>
      <c r="M44" s="342" t="s">
        <v>1568</v>
      </c>
      <c r="N44" s="342" t="s">
        <v>3650</v>
      </c>
      <c r="O44" s="342" t="s">
        <v>3692</v>
      </c>
      <c r="P44" s="342">
        <v>6113198722</v>
      </c>
      <c r="R44" s="342" t="s">
        <v>3649</v>
      </c>
      <c r="S44" s="343">
        <v>45300</v>
      </c>
      <c r="T44" s="343">
        <v>45300</v>
      </c>
      <c r="U44" s="343">
        <v>44529</v>
      </c>
      <c r="V44" s="343">
        <v>44206</v>
      </c>
      <c r="X44" s="342" t="s">
        <v>3693</v>
      </c>
      <c r="Y44" s="342" t="s">
        <v>3693</v>
      </c>
    </row>
    <row r="45" spans="1:25">
      <c r="A45" s="342">
        <v>146895</v>
      </c>
      <c r="B45" s="342" t="s">
        <v>669</v>
      </c>
      <c r="C45" s="342" t="s">
        <v>121</v>
      </c>
      <c r="D45" s="342" t="s">
        <v>51</v>
      </c>
      <c r="E45" s="342" t="s">
        <v>591</v>
      </c>
      <c r="F45" s="342" t="s">
        <v>40</v>
      </c>
      <c r="G45" s="342" t="s">
        <v>1277</v>
      </c>
      <c r="H45" s="342" t="s">
        <v>1537</v>
      </c>
      <c r="I45" s="342" t="s">
        <v>1568</v>
      </c>
      <c r="J45" s="342" t="s">
        <v>1575</v>
      </c>
      <c r="K45" s="343">
        <v>2958465</v>
      </c>
      <c r="L45" s="342" t="s">
        <v>1568</v>
      </c>
      <c r="M45" s="342" t="s">
        <v>1568</v>
      </c>
      <c r="N45" s="342" t="s">
        <v>3652</v>
      </c>
      <c r="O45" s="342" t="s">
        <v>3694</v>
      </c>
      <c r="P45" s="342">
        <v>6115774649</v>
      </c>
      <c r="R45" s="342" t="s">
        <v>3649</v>
      </c>
      <c r="S45" s="343">
        <v>45174</v>
      </c>
      <c r="T45" s="343">
        <v>45174</v>
      </c>
      <c r="U45" s="343">
        <v>44411</v>
      </c>
      <c r="V45" s="343">
        <v>44080</v>
      </c>
      <c r="X45" s="342">
        <v>4403</v>
      </c>
      <c r="Y45" s="342">
        <v>4403</v>
      </c>
    </row>
    <row r="46" spans="1:25" ht="409.5">
      <c r="A46" s="342">
        <v>147189</v>
      </c>
      <c r="B46" s="342" t="s">
        <v>122</v>
      </c>
      <c r="C46" s="342" t="s">
        <v>123</v>
      </c>
      <c r="D46" s="342" t="s">
        <v>47</v>
      </c>
      <c r="E46" s="342" t="s">
        <v>591</v>
      </c>
      <c r="F46" s="342" t="s">
        <v>40</v>
      </c>
      <c r="G46" s="342" t="s">
        <v>1288</v>
      </c>
      <c r="H46" s="342" t="s">
        <v>4406</v>
      </c>
      <c r="I46" s="342" t="s">
        <v>1569</v>
      </c>
      <c r="L46" s="342" t="s">
        <v>1568</v>
      </c>
      <c r="M46" s="342" t="s">
        <v>1568</v>
      </c>
      <c r="N46" s="342" t="s">
        <v>3650</v>
      </c>
      <c r="O46" s="344" t="s">
        <v>4495</v>
      </c>
      <c r="P46" s="342">
        <v>6150438542</v>
      </c>
      <c r="R46" s="342" t="s">
        <v>3649</v>
      </c>
      <c r="S46" s="343">
        <v>45355</v>
      </c>
      <c r="T46" s="343">
        <v>45355</v>
      </c>
      <c r="U46" s="343">
        <v>44229</v>
      </c>
      <c r="V46" s="343">
        <v>44266</v>
      </c>
      <c r="W46" s="343">
        <v>44488</v>
      </c>
      <c r="X46" s="342">
        <v>50423.12</v>
      </c>
      <c r="Y46" s="342" t="s">
        <v>4428</v>
      </c>
    </row>
    <row r="47" spans="1:25" ht="409.5">
      <c r="A47" s="342">
        <v>147245</v>
      </c>
      <c r="B47" s="342" t="s">
        <v>1232</v>
      </c>
      <c r="C47" s="342" t="s">
        <v>125</v>
      </c>
      <c r="D47" s="342" t="s">
        <v>126</v>
      </c>
      <c r="E47" s="342" t="s">
        <v>591</v>
      </c>
      <c r="F47" s="342" t="s">
        <v>40</v>
      </c>
      <c r="G47" s="342" t="s">
        <v>5281</v>
      </c>
      <c r="H47" s="342" t="s">
        <v>5701</v>
      </c>
      <c r="I47" s="342" t="s">
        <v>1572</v>
      </c>
      <c r="L47" s="342" t="s">
        <v>1571</v>
      </c>
      <c r="M47" s="342" t="s">
        <v>1571</v>
      </c>
      <c r="N47" s="342" t="s">
        <v>3653</v>
      </c>
      <c r="O47" s="344" t="s">
        <v>3695</v>
      </c>
      <c r="P47" s="342">
        <v>6110407526</v>
      </c>
      <c r="R47" s="342" t="s">
        <v>3649</v>
      </c>
      <c r="S47" s="343">
        <v>45584</v>
      </c>
      <c r="T47" s="343">
        <v>45584</v>
      </c>
      <c r="U47" s="343">
        <v>44371</v>
      </c>
      <c r="V47" s="343">
        <v>44489</v>
      </c>
      <c r="W47" s="343">
        <v>44532</v>
      </c>
      <c r="X47" s="342" t="s">
        <v>3696</v>
      </c>
      <c r="Y47" s="342" t="s">
        <v>3696</v>
      </c>
    </row>
    <row r="48" spans="1:25">
      <c r="A48" s="342">
        <v>147463</v>
      </c>
      <c r="B48" s="342" t="s">
        <v>1322</v>
      </c>
      <c r="C48" s="342" t="s">
        <v>1325</v>
      </c>
      <c r="D48" s="342" t="s">
        <v>51</v>
      </c>
      <c r="E48" s="342" t="s">
        <v>591</v>
      </c>
      <c r="F48" s="342" t="s">
        <v>40</v>
      </c>
      <c r="G48" s="342" t="s">
        <v>5449</v>
      </c>
      <c r="H48" s="342" t="s">
        <v>5702</v>
      </c>
      <c r="I48" s="342" t="s">
        <v>1568</v>
      </c>
      <c r="L48" s="342" t="s">
        <v>1568</v>
      </c>
      <c r="M48" s="342" t="s">
        <v>1568</v>
      </c>
      <c r="N48" s="342" t="s">
        <v>3652</v>
      </c>
      <c r="O48" s="342" t="s">
        <v>3697</v>
      </c>
      <c r="P48" s="342">
        <v>6110587242</v>
      </c>
      <c r="R48" s="342" t="s">
        <v>3649</v>
      </c>
      <c r="S48" s="343">
        <v>45296</v>
      </c>
      <c r="T48" s="343">
        <v>45296</v>
      </c>
      <c r="U48" s="343">
        <v>44515</v>
      </c>
      <c r="V48" s="343">
        <v>44202</v>
      </c>
      <c r="X48" s="342" t="s">
        <v>4241</v>
      </c>
      <c r="Y48" s="342" t="s">
        <v>4241</v>
      </c>
    </row>
    <row r="49" spans="1:25" ht="294">
      <c r="A49" s="342">
        <v>147594</v>
      </c>
      <c r="B49" s="342" t="s">
        <v>5426</v>
      </c>
      <c r="C49" s="342" t="s">
        <v>5428</v>
      </c>
      <c r="D49" s="342" t="s">
        <v>47</v>
      </c>
      <c r="E49" s="342" t="s">
        <v>591</v>
      </c>
      <c r="F49" s="342" t="s">
        <v>40</v>
      </c>
      <c r="G49" s="342" t="s">
        <v>1336</v>
      </c>
      <c r="H49" s="342" t="s">
        <v>5703</v>
      </c>
      <c r="I49" s="342" t="s">
        <v>1574</v>
      </c>
      <c r="L49" s="342" t="s">
        <v>1568</v>
      </c>
      <c r="M49" s="342" t="s">
        <v>1568</v>
      </c>
      <c r="N49" s="342" t="s">
        <v>3650</v>
      </c>
      <c r="O49" s="344" t="s">
        <v>5439</v>
      </c>
      <c r="P49" s="342">
        <v>6111496882</v>
      </c>
      <c r="R49" s="342" t="s">
        <v>3649</v>
      </c>
      <c r="S49" s="343">
        <v>45539</v>
      </c>
      <c r="T49" s="343">
        <v>45539</v>
      </c>
      <c r="U49" s="343">
        <v>44368</v>
      </c>
      <c r="V49" s="343">
        <v>44444</v>
      </c>
      <c r="X49" s="342" t="s">
        <v>5443</v>
      </c>
      <c r="Y49" s="342" t="s">
        <v>5444</v>
      </c>
    </row>
    <row r="50" spans="1:25">
      <c r="A50" s="342">
        <v>148000</v>
      </c>
      <c r="B50" s="342" t="s">
        <v>127</v>
      </c>
      <c r="C50" s="342" t="s">
        <v>129</v>
      </c>
      <c r="D50" s="342" t="s">
        <v>51</v>
      </c>
      <c r="E50" s="342" t="s">
        <v>591</v>
      </c>
      <c r="F50" s="342" t="s">
        <v>40</v>
      </c>
      <c r="G50" s="342" t="s">
        <v>1277</v>
      </c>
      <c r="H50" s="342" t="s">
        <v>4467</v>
      </c>
      <c r="I50" s="342" t="s">
        <v>1573</v>
      </c>
      <c r="L50" s="342" t="s">
        <v>1571</v>
      </c>
      <c r="M50" s="342" t="s">
        <v>1571</v>
      </c>
      <c r="N50" s="342" t="s">
        <v>3656</v>
      </c>
      <c r="O50" s="342" t="s">
        <v>3698</v>
      </c>
      <c r="P50" s="342">
        <v>6124689806</v>
      </c>
      <c r="R50" s="342" t="s">
        <v>3649</v>
      </c>
      <c r="S50" s="343">
        <v>45404</v>
      </c>
      <c r="T50" s="343">
        <v>45404</v>
      </c>
      <c r="U50" s="343">
        <v>43875</v>
      </c>
      <c r="V50" s="343">
        <v>44309</v>
      </c>
      <c r="W50" s="343">
        <v>44727</v>
      </c>
      <c r="X50" s="342" t="s">
        <v>4369</v>
      </c>
      <c r="Y50" s="342" t="s">
        <v>4369</v>
      </c>
    </row>
    <row r="51" spans="1:25" ht="409.5">
      <c r="A51" s="342">
        <v>148971</v>
      </c>
      <c r="B51" s="342" t="s">
        <v>130</v>
      </c>
      <c r="C51" s="342" t="s">
        <v>132</v>
      </c>
      <c r="D51" s="342" t="s">
        <v>47</v>
      </c>
      <c r="E51" s="342" t="s">
        <v>591</v>
      </c>
      <c r="F51" s="342" t="s">
        <v>40</v>
      </c>
      <c r="G51" s="342" t="s">
        <v>1277</v>
      </c>
      <c r="H51" s="342" t="s">
        <v>5704</v>
      </c>
      <c r="I51" s="342" t="s">
        <v>1568</v>
      </c>
      <c r="L51" s="342" t="s">
        <v>1568</v>
      </c>
      <c r="M51" s="342" t="s">
        <v>1568</v>
      </c>
      <c r="N51" s="342" t="s">
        <v>3650</v>
      </c>
      <c r="O51" s="344" t="s">
        <v>4412</v>
      </c>
      <c r="P51" s="342">
        <v>6124189445</v>
      </c>
      <c r="R51" s="342" t="s">
        <v>3649</v>
      </c>
      <c r="S51" s="343">
        <v>45421</v>
      </c>
      <c r="T51" s="343">
        <v>45421</v>
      </c>
      <c r="U51" s="343">
        <v>44264</v>
      </c>
      <c r="V51" s="343">
        <v>44326</v>
      </c>
      <c r="X51" s="342" t="s">
        <v>4767</v>
      </c>
      <c r="Y51" s="342" t="s">
        <v>4782</v>
      </c>
    </row>
    <row r="52" spans="1:25">
      <c r="A52" s="342">
        <v>150190</v>
      </c>
      <c r="B52" s="342" t="s">
        <v>4506</v>
      </c>
      <c r="C52" s="342" t="s">
        <v>134</v>
      </c>
      <c r="D52" s="342" t="s">
        <v>47</v>
      </c>
      <c r="E52" s="342" t="s">
        <v>591</v>
      </c>
      <c r="F52" s="342" t="s">
        <v>40</v>
      </c>
      <c r="G52" s="342" t="s">
        <v>1277</v>
      </c>
      <c r="H52" s="342" t="s">
        <v>5705</v>
      </c>
      <c r="I52" s="342" t="s">
        <v>1578</v>
      </c>
      <c r="L52" s="342" t="s">
        <v>1568</v>
      </c>
      <c r="M52" s="342" t="s">
        <v>1568</v>
      </c>
      <c r="N52" s="342" t="s">
        <v>3650</v>
      </c>
      <c r="O52" s="342" t="s">
        <v>5440</v>
      </c>
      <c r="P52" s="342">
        <v>6111917921</v>
      </c>
      <c r="R52" s="342" t="s">
        <v>3649</v>
      </c>
      <c r="S52" s="343">
        <v>45404</v>
      </c>
      <c r="T52" s="343">
        <v>45404</v>
      </c>
      <c r="U52" s="343">
        <v>44529</v>
      </c>
      <c r="V52" s="343">
        <v>44309</v>
      </c>
      <c r="W52" s="343">
        <v>44309</v>
      </c>
      <c r="X52" s="342">
        <v>23032.13</v>
      </c>
      <c r="Y52" s="342">
        <v>23032.13</v>
      </c>
    </row>
    <row r="53" spans="1:25" ht="406">
      <c r="A53" s="342">
        <v>150344</v>
      </c>
      <c r="B53" s="342" t="s">
        <v>1207</v>
      </c>
      <c r="C53" s="342" t="s">
        <v>1210</v>
      </c>
      <c r="D53" s="342" t="s">
        <v>1211</v>
      </c>
      <c r="E53" s="342" t="s">
        <v>591</v>
      </c>
      <c r="F53" s="342" t="s">
        <v>40</v>
      </c>
      <c r="G53" s="342" t="s">
        <v>4608</v>
      </c>
      <c r="H53" s="342" t="s">
        <v>4539</v>
      </c>
      <c r="I53" s="342" t="s">
        <v>1568</v>
      </c>
      <c r="L53" s="342" t="s">
        <v>1568</v>
      </c>
      <c r="M53" s="342" t="s">
        <v>1568</v>
      </c>
      <c r="N53" s="342" t="s">
        <v>3652</v>
      </c>
      <c r="O53" s="344" t="s">
        <v>4429</v>
      </c>
      <c r="P53" s="342">
        <v>6120227107</v>
      </c>
      <c r="R53" s="342" t="s">
        <v>3649</v>
      </c>
      <c r="S53" s="343">
        <v>45441</v>
      </c>
      <c r="T53" s="343">
        <v>45441</v>
      </c>
      <c r="U53" s="343">
        <v>44221</v>
      </c>
      <c r="V53" s="343">
        <v>44346</v>
      </c>
      <c r="W53" s="343">
        <v>44480</v>
      </c>
      <c r="X53" s="342" t="s">
        <v>4430</v>
      </c>
      <c r="Y53" s="342" t="s">
        <v>4430</v>
      </c>
    </row>
    <row r="54" spans="1:25" ht="409.5">
      <c r="A54" s="342">
        <v>150991</v>
      </c>
      <c r="B54" s="342" t="s">
        <v>1169</v>
      </c>
      <c r="C54" s="342" t="s">
        <v>74</v>
      </c>
      <c r="D54" s="342" t="s">
        <v>55</v>
      </c>
      <c r="E54" s="342" t="s">
        <v>591</v>
      </c>
      <c r="F54" s="342" t="s">
        <v>40</v>
      </c>
      <c r="G54" s="342" t="s">
        <v>4608</v>
      </c>
      <c r="H54" s="342" t="s">
        <v>5706</v>
      </c>
      <c r="I54" s="342" t="s">
        <v>1568</v>
      </c>
      <c r="J54" s="342" t="s">
        <v>1580</v>
      </c>
      <c r="K54" s="343">
        <v>43699</v>
      </c>
      <c r="L54" s="342" t="s">
        <v>1568</v>
      </c>
      <c r="M54" s="342" t="s">
        <v>1568</v>
      </c>
      <c r="N54" s="342" t="s">
        <v>3650</v>
      </c>
      <c r="O54" s="344" t="s">
        <v>4208</v>
      </c>
      <c r="P54" s="342">
        <v>6115516140</v>
      </c>
      <c r="R54" s="342" t="s">
        <v>3649</v>
      </c>
      <c r="S54" s="343">
        <v>44879</v>
      </c>
      <c r="T54" s="343">
        <v>44879</v>
      </c>
      <c r="U54" s="343">
        <v>44424</v>
      </c>
      <c r="V54" s="343">
        <v>43784</v>
      </c>
      <c r="W54" s="343">
        <v>44168</v>
      </c>
      <c r="X54" s="342" t="s">
        <v>4209</v>
      </c>
      <c r="Y54" s="342" t="s">
        <v>3671</v>
      </c>
    </row>
    <row r="55" spans="1:25" ht="280">
      <c r="A55" s="342">
        <v>152824</v>
      </c>
      <c r="B55" s="342" t="s">
        <v>814</v>
      </c>
      <c r="C55" s="342" t="s">
        <v>816</v>
      </c>
      <c r="D55" s="342" t="s">
        <v>51</v>
      </c>
      <c r="E55" s="342" t="s">
        <v>591</v>
      </c>
      <c r="F55" s="342" t="s">
        <v>40</v>
      </c>
      <c r="G55" s="342" t="s">
        <v>5278</v>
      </c>
      <c r="H55" s="342" t="s">
        <v>5707</v>
      </c>
      <c r="I55" s="342" t="s">
        <v>1568</v>
      </c>
      <c r="L55" s="342" t="s">
        <v>1568</v>
      </c>
      <c r="M55" s="342" t="s">
        <v>1568</v>
      </c>
      <c r="N55" s="342" t="s">
        <v>3652</v>
      </c>
      <c r="O55" s="344" t="s">
        <v>4468</v>
      </c>
      <c r="P55" s="342">
        <v>6126207804</v>
      </c>
      <c r="R55" s="342" t="s">
        <v>3649</v>
      </c>
      <c r="S55" s="343">
        <v>45433</v>
      </c>
      <c r="T55" s="343">
        <v>45433</v>
      </c>
      <c r="U55" s="343">
        <v>44508</v>
      </c>
      <c r="V55" s="343">
        <v>44338</v>
      </c>
      <c r="X55" s="342" t="s">
        <v>4470</v>
      </c>
      <c r="Y55" s="342" t="s">
        <v>4470</v>
      </c>
    </row>
    <row r="56" spans="1:25">
      <c r="A56" s="342">
        <v>152826</v>
      </c>
      <c r="B56" s="342" t="s">
        <v>395</v>
      </c>
      <c r="C56" s="342" t="s">
        <v>137</v>
      </c>
      <c r="D56" s="342" t="s">
        <v>55</v>
      </c>
      <c r="E56" s="342" t="s">
        <v>591</v>
      </c>
      <c r="F56" s="342" t="s">
        <v>40</v>
      </c>
      <c r="G56" s="342" t="s">
        <v>5278</v>
      </c>
      <c r="H56" s="342" t="s">
        <v>5708</v>
      </c>
      <c r="I56" s="342" t="s">
        <v>1569</v>
      </c>
      <c r="L56" s="342" t="s">
        <v>1568</v>
      </c>
      <c r="M56" s="342" t="s">
        <v>1568</v>
      </c>
      <c r="N56" s="342" t="s">
        <v>3650</v>
      </c>
      <c r="O56" s="342" t="s">
        <v>3699</v>
      </c>
      <c r="P56" s="342">
        <v>6113889060</v>
      </c>
      <c r="R56" s="342" t="s">
        <v>3649</v>
      </c>
      <c r="S56" s="343">
        <v>45618</v>
      </c>
      <c r="T56" s="343">
        <v>45618</v>
      </c>
      <c r="U56" s="343">
        <v>44459</v>
      </c>
      <c r="V56" s="343">
        <v>44523</v>
      </c>
      <c r="X56" s="342" t="s">
        <v>4859</v>
      </c>
      <c r="Y56" s="342" t="s">
        <v>4859</v>
      </c>
    </row>
    <row r="57" spans="1:25">
      <c r="A57" s="342">
        <v>152827</v>
      </c>
      <c r="B57" s="342" t="s">
        <v>395</v>
      </c>
      <c r="C57" s="342" t="s">
        <v>139</v>
      </c>
      <c r="D57" s="342" t="s">
        <v>55</v>
      </c>
      <c r="E57" s="342" t="s">
        <v>591</v>
      </c>
      <c r="F57" s="342" t="s">
        <v>40</v>
      </c>
      <c r="G57" s="342" t="s">
        <v>5278</v>
      </c>
      <c r="H57" s="342" t="s">
        <v>5709</v>
      </c>
      <c r="I57" s="342" t="s">
        <v>1569</v>
      </c>
      <c r="L57" s="342" t="s">
        <v>1568</v>
      </c>
      <c r="M57" s="342" t="s">
        <v>1568</v>
      </c>
      <c r="N57" s="342" t="s">
        <v>3650</v>
      </c>
      <c r="O57" s="342" t="s">
        <v>3699</v>
      </c>
      <c r="P57" s="342">
        <v>6111822223</v>
      </c>
      <c r="R57" s="342" t="s">
        <v>3649</v>
      </c>
      <c r="S57" s="343">
        <v>45618</v>
      </c>
      <c r="T57" s="343">
        <v>45618</v>
      </c>
      <c r="U57" s="343">
        <v>44459</v>
      </c>
      <c r="V57" s="343">
        <v>44523</v>
      </c>
      <c r="X57" s="342" t="s">
        <v>4859</v>
      </c>
      <c r="Y57" s="342" t="s">
        <v>4859</v>
      </c>
    </row>
    <row r="58" spans="1:25">
      <c r="A58" s="342">
        <v>154705</v>
      </c>
      <c r="B58" s="342" t="s">
        <v>694</v>
      </c>
      <c r="C58" s="342" t="s">
        <v>90</v>
      </c>
      <c r="D58" s="342" t="s">
        <v>55</v>
      </c>
      <c r="E58" s="342" t="s">
        <v>591</v>
      </c>
      <c r="F58" s="342" t="s">
        <v>41</v>
      </c>
      <c r="G58" s="342" t="s">
        <v>786</v>
      </c>
      <c r="H58" s="342" t="s">
        <v>5710</v>
      </c>
      <c r="I58" s="342" t="s">
        <v>1572</v>
      </c>
      <c r="L58" s="342" t="s">
        <v>1571</v>
      </c>
      <c r="M58" s="342" t="s">
        <v>1571</v>
      </c>
      <c r="N58" s="342" t="s">
        <v>3653</v>
      </c>
      <c r="O58" s="342" t="s">
        <v>3702</v>
      </c>
      <c r="P58" s="342">
        <v>6116264624</v>
      </c>
      <c r="R58" s="342" t="s">
        <v>3649</v>
      </c>
      <c r="S58" s="343">
        <v>45300</v>
      </c>
      <c r="T58" s="343">
        <v>45300</v>
      </c>
      <c r="U58" s="343">
        <v>44466</v>
      </c>
      <c r="V58" s="343">
        <v>44206</v>
      </c>
      <c r="W58" s="343">
        <v>44705</v>
      </c>
      <c r="X58" s="342" t="s">
        <v>5504</v>
      </c>
      <c r="Y58" s="342" t="s">
        <v>4242</v>
      </c>
    </row>
    <row r="59" spans="1:25">
      <c r="A59" s="342">
        <v>154705</v>
      </c>
      <c r="B59" s="342" t="s">
        <v>694</v>
      </c>
      <c r="C59" s="342" t="s">
        <v>90</v>
      </c>
      <c r="D59" s="342" t="s">
        <v>55</v>
      </c>
      <c r="E59" s="342" t="s">
        <v>591</v>
      </c>
      <c r="F59" s="342" t="s">
        <v>40</v>
      </c>
      <c r="G59" s="342" t="s">
        <v>786</v>
      </c>
      <c r="H59" s="342" t="s">
        <v>5710</v>
      </c>
      <c r="I59" s="342" t="s">
        <v>1572</v>
      </c>
      <c r="L59" s="342" t="s">
        <v>1571</v>
      </c>
      <c r="M59" s="342" t="s">
        <v>1571</v>
      </c>
      <c r="N59" s="342" t="s">
        <v>3653</v>
      </c>
      <c r="O59" s="342" t="s">
        <v>3702</v>
      </c>
      <c r="P59" s="342">
        <v>6116264624</v>
      </c>
      <c r="R59" s="342" t="s">
        <v>3649</v>
      </c>
      <c r="S59" s="343">
        <v>45300</v>
      </c>
      <c r="T59" s="343">
        <v>45300</v>
      </c>
      <c r="U59" s="343">
        <v>44466</v>
      </c>
      <c r="V59" s="343">
        <v>44206</v>
      </c>
      <c r="W59" s="343">
        <v>44705</v>
      </c>
      <c r="X59" s="342" t="s">
        <v>5504</v>
      </c>
      <c r="Y59" s="342" t="s">
        <v>4242</v>
      </c>
    </row>
    <row r="60" spans="1:25" ht="409.5">
      <c r="A60" s="342">
        <v>154726</v>
      </c>
      <c r="B60" s="342" t="s">
        <v>2525</v>
      </c>
      <c r="C60" s="342" t="s">
        <v>2527</v>
      </c>
      <c r="D60" s="342" t="s">
        <v>47</v>
      </c>
      <c r="E60" s="342" t="s">
        <v>591</v>
      </c>
      <c r="F60" s="342" t="s">
        <v>40</v>
      </c>
      <c r="G60" s="342" t="s">
        <v>1510</v>
      </c>
      <c r="H60" s="342" t="s">
        <v>5711</v>
      </c>
      <c r="I60" s="342" t="s">
        <v>1572</v>
      </c>
      <c r="L60" s="342" t="s">
        <v>1571</v>
      </c>
      <c r="M60" s="342" t="s">
        <v>1571</v>
      </c>
      <c r="N60" s="342" t="s">
        <v>3653</v>
      </c>
      <c r="O60" s="344" t="s">
        <v>4291</v>
      </c>
      <c r="P60" s="342">
        <v>6115594528</v>
      </c>
      <c r="Q60" s="342" t="s">
        <v>2168</v>
      </c>
      <c r="R60" s="342" t="s">
        <v>3649</v>
      </c>
      <c r="S60" s="343">
        <v>45797</v>
      </c>
      <c r="T60" s="343">
        <v>45797</v>
      </c>
      <c r="U60" s="343">
        <v>44580</v>
      </c>
      <c r="V60" s="343">
        <v>44702</v>
      </c>
      <c r="X60" s="342" t="s">
        <v>5505</v>
      </c>
      <c r="Y60" s="342" t="s">
        <v>4498</v>
      </c>
    </row>
    <row r="61" spans="1:25" ht="409.5">
      <c r="A61" s="342">
        <v>154780</v>
      </c>
      <c r="B61" s="342" t="s">
        <v>1495</v>
      </c>
      <c r="C61" s="342" t="s">
        <v>110</v>
      </c>
      <c r="D61" s="342" t="s">
        <v>51</v>
      </c>
      <c r="E61" s="342" t="s">
        <v>591</v>
      </c>
      <c r="F61" s="342" t="s">
        <v>40</v>
      </c>
      <c r="G61" s="342" t="s">
        <v>5280</v>
      </c>
      <c r="H61" s="342" t="s">
        <v>5712</v>
      </c>
      <c r="I61" s="342" t="s">
        <v>1568</v>
      </c>
      <c r="L61" s="342" t="s">
        <v>1568</v>
      </c>
      <c r="M61" s="342" t="s">
        <v>1568</v>
      </c>
      <c r="N61" s="342" t="s">
        <v>3652</v>
      </c>
      <c r="O61" s="344" t="s">
        <v>5581</v>
      </c>
      <c r="P61" s="342">
        <v>6130799104</v>
      </c>
      <c r="R61" s="342" t="s">
        <v>3649</v>
      </c>
      <c r="S61" s="343">
        <v>44832</v>
      </c>
      <c r="T61" s="343">
        <v>44832</v>
      </c>
      <c r="U61" s="343">
        <v>44368</v>
      </c>
      <c r="V61" s="343">
        <v>43737</v>
      </c>
      <c r="W61" s="343">
        <v>44722</v>
      </c>
      <c r="X61" s="342" t="s">
        <v>4210</v>
      </c>
      <c r="Y61" s="342" t="s">
        <v>4210</v>
      </c>
    </row>
    <row r="62" spans="1:25">
      <c r="A62" s="342">
        <v>154799</v>
      </c>
      <c r="B62" s="342" t="s">
        <v>1187</v>
      </c>
      <c r="C62" s="342" t="s">
        <v>422</v>
      </c>
      <c r="D62" s="342" t="s">
        <v>51</v>
      </c>
      <c r="E62" s="342" t="s">
        <v>591</v>
      </c>
      <c r="F62" s="342" t="s">
        <v>40</v>
      </c>
      <c r="G62" s="342" t="s">
        <v>5279</v>
      </c>
      <c r="H62" s="342" t="s">
        <v>5490</v>
      </c>
      <c r="I62" s="342" t="s">
        <v>1568</v>
      </c>
      <c r="L62" s="342" t="s">
        <v>1568</v>
      </c>
      <c r="M62" s="342" t="s">
        <v>1568</v>
      </c>
      <c r="N62" s="342" t="s">
        <v>3652</v>
      </c>
      <c r="O62" s="342" t="s">
        <v>5441</v>
      </c>
      <c r="P62" s="342">
        <v>6115531565</v>
      </c>
      <c r="R62" s="342" t="s">
        <v>3649</v>
      </c>
      <c r="S62" s="343">
        <v>45803</v>
      </c>
      <c r="T62" s="343">
        <v>45803</v>
      </c>
      <c r="U62" s="343">
        <v>44613</v>
      </c>
      <c r="V62" s="343">
        <v>44708</v>
      </c>
      <c r="X62" s="342" t="s">
        <v>3703</v>
      </c>
      <c r="Y62" s="342" t="s">
        <v>3703</v>
      </c>
    </row>
    <row r="63" spans="1:25">
      <c r="A63" s="342">
        <v>154804</v>
      </c>
      <c r="B63" s="342" t="s">
        <v>1221</v>
      </c>
      <c r="C63" s="342" t="s">
        <v>1224</v>
      </c>
      <c r="D63" s="342" t="s">
        <v>51</v>
      </c>
      <c r="E63" s="342" t="s">
        <v>591</v>
      </c>
      <c r="F63" s="342" t="s">
        <v>40</v>
      </c>
      <c r="G63" s="342" t="s">
        <v>5279</v>
      </c>
      <c r="H63" s="342" t="s">
        <v>5713</v>
      </c>
      <c r="I63" s="342" t="s">
        <v>1568</v>
      </c>
      <c r="L63" s="342" t="s">
        <v>1568</v>
      </c>
      <c r="M63" s="342" t="s">
        <v>1568</v>
      </c>
      <c r="N63" s="342" t="s">
        <v>3652</v>
      </c>
      <c r="O63" s="342" t="s">
        <v>3704</v>
      </c>
      <c r="P63" s="342">
        <v>6111038185</v>
      </c>
      <c r="R63" s="342" t="s">
        <v>3649</v>
      </c>
      <c r="S63" s="343">
        <v>45628</v>
      </c>
      <c r="T63" s="343">
        <v>45628</v>
      </c>
      <c r="U63" s="343">
        <v>44417</v>
      </c>
      <c r="V63" s="343">
        <v>44533</v>
      </c>
      <c r="X63" s="342" t="s">
        <v>3705</v>
      </c>
      <c r="Y63" s="342" t="s">
        <v>3705</v>
      </c>
    </row>
    <row r="64" spans="1:25">
      <c r="A64" s="342">
        <v>154822</v>
      </c>
      <c r="B64" s="342" t="s">
        <v>142</v>
      </c>
      <c r="C64" s="342" t="s">
        <v>145</v>
      </c>
      <c r="D64" s="342" t="s">
        <v>51</v>
      </c>
      <c r="E64" s="342" t="s">
        <v>591</v>
      </c>
      <c r="F64" s="342" t="s">
        <v>40</v>
      </c>
      <c r="G64" s="342" t="s">
        <v>5279</v>
      </c>
      <c r="H64" s="342" t="s">
        <v>5714</v>
      </c>
      <c r="I64" s="342" t="s">
        <v>1569</v>
      </c>
      <c r="L64" s="342" t="s">
        <v>1568</v>
      </c>
      <c r="M64" s="342" t="s">
        <v>1568</v>
      </c>
      <c r="N64" s="342" t="s">
        <v>3652</v>
      </c>
      <c r="O64" s="342" t="s">
        <v>3706</v>
      </c>
      <c r="P64" s="342">
        <v>6111784701</v>
      </c>
      <c r="R64" s="342" t="s">
        <v>3649</v>
      </c>
      <c r="S64" s="343">
        <v>45544</v>
      </c>
      <c r="T64" s="343">
        <v>45544</v>
      </c>
      <c r="U64" s="343">
        <v>44684</v>
      </c>
      <c r="V64" s="343">
        <v>44449</v>
      </c>
      <c r="X64" s="342" t="s">
        <v>3707</v>
      </c>
      <c r="Y64" s="342" t="s">
        <v>3707</v>
      </c>
    </row>
    <row r="65" spans="1:25">
      <c r="A65" s="342">
        <v>154827</v>
      </c>
      <c r="B65" s="342" t="s">
        <v>5251</v>
      </c>
      <c r="C65" s="342" t="s">
        <v>88</v>
      </c>
      <c r="D65" s="342" t="s">
        <v>55</v>
      </c>
      <c r="E65" s="342" t="s">
        <v>1194</v>
      </c>
      <c r="F65" s="342" t="s">
        <v>40</v>
      </c>
      <c r="G65" s="342" t="s">
        <v>5279</v>
      </c>
    </row>
    <row r="66" spans="1:25" ht="409.5">
      <c r="A66" s="342">
        <v>155695</v>
      </c>
      <c r="B66" s="342" t="s">
        <v>604</v>
      </c>
      <c r="C66" s="342" t="s">
        <v>147</v>
      </c>
      <c r="D66" s="342" t="s">
        <v>51</v>
      </c>
      <c r="E66" s="342" t="s">
        <v>591</v>
      </c>
      <c r="F66" s="342" t="s">
        <v>40</v>
      </c>
      <c r="G66" s="342" t="s">
        <v>1421</v>
      </c>
      <c r="H66" s="342" t="s">
        <v>5715</v>
      </c>
      <c r="I66" s="342" t="s">
        <v>1568</v>
      </c>
      <c r="J66" s="342" t="s">
        <v>1575</v>
      </c>
      <c r="K66" s="343">
        <v>44683</v>
      </c>
      <c r="L66" s="342" t="s">
        <v>1568</v>
      </c>
      <c r="M66" s="342" t="s">
        <v>1568</v>
      </c>
      <c r="N66" s="342" t="s">
        <v>3652</v>
      </c>
      <c r="O66" s="344" t="s">
        <v>5988</v>
      </c>
      <c r="P66" s="342">
        <v>6119315541</v>
      </c>
      <c r="R66" s="342" t="s">
        <v>3649</v>
      </c>
      <c r="S66" s="343">
        <v>45429</v>
      </c>
      <c r="T66" s="343">
        <v>45429</v>
      </c>
      <c r="U66" s="343">
        <v>44648</v>
      </c>
      <c r="V66" s="343">
        <v>44334</v>
      </c>
      <c r="W66" s="343">
        <v>44757</v>
      </c>
      <c r="X66" s="342">
        <v>1654</v>
      </c>
      <c r="Y66" s="342">
        <v>1654</v>
      </c>
    </row>
    <row r="67" spans="1:25">
      <c r="A67" s="342">
        <v>155870</v>
      </c>
      <c r="B67" s="342" t="s">
        <v>148</v>
      </c>
      <c r="C67" s="342" t="s">
        <v>150</v>
      </c>
      <c r="D67" s="342" t="s">
        <v>55</v>
      </c>
      <c r="E67" s="342" t="s">
        <v>591</v>
      </c>
      <c r="F67" s="342" t="s">
        <v>40</v>
      </c>
      <c r="G67" s="342" t="s">
        <v>1277</v>
      </c>
      <c r="H67" s="342" t="s">
        <v>4503</v>
      </c>
      <c r="I67" s="342" t="s">
        <v>1574</v>
      </c>
      <c r="L67" s="342" t="s">
        <v>1568</v>
      </c>
      <c r="M67" s="342" t="s">
        <v>1568</v>
      </c>
      <c r="N67" s="342" t="s">
        <v>3650</v>
      </c>
      <c r="O67" s="342" t="s">
        <v>4496</v>
      </c>
      <c r="P67" s="342">
        <v>6119301160</v>
      </c>
      <c r="R67" s="342" t="s">
        <v>3649</v>
      </c>
      <c r="S67" s="343">
        <v>45314</v>
      </c>
      <c r="T67" s="343">
        <v>45314</v>
      </c>
      <c r="U67" s="343">
        <v>44508</v>
      </c>
      <c r="V67" s="343">
        <v>44309</v>
      </c>
      <c r="X67" s="342" t="s">
        <v>4499</v>
      </c>
      <c r="Y67" s="342">
        <v>1117080059</v>
      </c>
    </row>
    <row r="68" spans="1:25">
      <c r="A68" s="342">
        <v>156442</v>
      </c>
      <c r="B68" s="342" t="s">
        <v>152</v>
      </c>
      <c r="C68" s="342" t="s">
        <v>154</v>
      </c>
      <c r="D68" s="342" t="s">
        <v>51</v>
      </c>
      <c r="E68" s="342" t="s">
        <v>591</v>
      </c>
      <c r="F68" s="342" t="s">
        <v>40</v>
      </c>
      <c r="G68" s="342" t="s">
        <v>5450</v>
      </c>
      <c r="H68" s="342" t="s">
        <v>4795</v>
      </c>
      <c r="I68" s="342" t="s">
        <v>1578</v>
      </c>
      <c r="L68" s="342" t="s">
        <v>1568</v>
      </c>
      <c r="M68" s="342" t="s">
        <v>1568</v>
      </c>
      <c r="N68" s="342" t="s">
        <v>3652</v>
      </c>
      <c r="O68" s="342" t="s">
        <v>3708</v>
      </c>
      <c r="P68" s="342">
        <v>6139620782</v>
      </c>
      <c r="R68" s="342" t="s">
        <v>3649</v>
      </c>
      <c r="S68" s="343">
        <v>45585</v>
      </c>
      <c r="T68" s="343">
        <v>45585</v>
      </c>
      <c r="U68" s="343">
        <v>43661</v>
      </c>
      <c r="V68" s="343">
        <v>44490</v>
      </c>
      <c r="X68" s="342" t="s">
        <v>3709</v>
      </c>
      <c r="Y68" s="342" t="s">
        <v>3709</v>
      </c>
    </row>
    <row r="69" spans="1:25">
      <c r="A69" s="342">
        <v>156721</v>
      </c>
      <c r="B69" s="342" t="s">
        <v>1468</v>
      </c>
      <c r="C69" s="342" t="s">
        <v>1174</v>
      </c>
      <c r="D69" s="342" t="s">
        <v>47</v>
      </c>
      <c r="E69" s="342" t="s">
        <v>591</v>
      </c>
      <c r="F69" s="342" t="s">
        <v>40</v>
      </c>
      <c r="G69" s="342" t="s">
        <v>5280</v>
      </c>
      <c r="H69" s="342" t="s">
        <v>5716</v>
      </c>
      <c r="I69" s="342" t="s">
        <v>1569</v>
      </c>
      <c r="L69" s="342" t="s">
        <v>1568</v>
      </c>
      <c r="M69" s="342" t="s">
        <v>1568</v>
      </c>
      <c r="N69" s="342" t="s">
        <v>3650</v>
      </c>
      <c r="O69" s="342" t="s">
        <v>3710</v>
      </c>
      <c r="P69" s="342">
        <v>6152723080</v>
      </c>
      <c r="R69" s="342" t="s">
        <v>3649</v>
      </c>
      <c r="S69" s="343">
        <v>45183</v>
      </c>
      <c r="T69" s="343">
        <v>45183</v>
      </c>
      <c r="U69" s="343">
        <v>44488</v>
      </c>
      <c r="V69" s="343">
        <v>44089</v>
      </c>
      <c r="W69" s="343">
        <v>44510</v>
      </c>
      <c r="X69" s="342">
        <v>95692.1</v>
      </c>
      <c r="Y69" s="342" t="s">
        <v>3711</v>
      </c>
    </row>
    <row r="70" spans="1:25">
      <c r="A70" s="342">
        <v>157178</v>
      </c>
      <c r="B70" s="342" t="s">
        <v>5893</v>
      </c>
      <c r="C70" s="342" t="s">
        <v>155</v>
      </c>
      <c r="D70" s="342" t="s">
        <v>55</v>
      </c>
      <c r="E70" s="342" t="s">
        <v>591</v>
      </c>
      <c r="F70" s="342" t="s">
        <v>40</v>
      </c>
      <c r="G70" s="342" t="s">
        <v>5280</v>
      </c>
      <c r="H70" s="342" t="s">
        <v>5491</v>
      </c>
      <c r="I70" s="342" t="s">
        <v>1569</v>
      </c>
      <c r="L70" s="342" t="s">
        <v>1568</v>
      </c>
      <c r="M70" s="342" t="s">
        <v>1568</v>
      </c>
      <c r="N70" s="342" t="s">
        <v>3650</v>
      </c>
      <c r="O70" s="342" t="s">
        <v>5422</v>
      </c>
      <c r="P70" s="342">
        <v>6111831201</v>
      </c>
      <c r="R70" s="342" t="s">
        <v>3649</v>
      </c>
      <c r="S70" s="343">
        <v>45783</v>
      </c>
      <c r="T70" s="343">
        <v>45783</v>
      </c>
      <c r="U70" s="343">
        <v>44592</v>
      </c>
      <c r="V70" s="343">
        <v>44688</v>
      </c>
      <c r="W70" s="343">
        <v>44756</v>
      </c>
      <c r="X70" s="342" t="s">
        <v>3712</v>
      </c>
      <c r="Y70" s="342">
        <v>1117020650</v>
      </c>
    </row>
    <row r="71" spans="1:25">
      <c r="A71" s="342">
        <v>157485</v>
      </c>
      <c r="B71" s="342" t="s">
        <v>156</v>
      </c>
      <c r="C71" s="342" t="s">
        <v>158</v>
      </c>
      <c r="D71" s="342" t="s">
        <v>55</v>
      </c>
      <c r="E71" s="342" t="s">
        <v>591</v>
      </c>
      <c r="F71" s="342" t="s">
        <v>40</v>
      </c>
      <c r="G71" s="342" t="s">
        <v>1421</v>
      </c>
      <c r="H71" s="342" t="s">
        <v>5421</v>
      </c>
      <c r="I71" s="342" t="s">
        <v>1569</v>
      </c>
      <c r="L71" s="342" t="s">
        <v>1568</v>
      </c>
      <c r="M71" s="342" t="s">
        <v>1568</v>
      </c>
      <c r="N71" s="342" t="s">
        <v>3650</v>
      </c>
      <c r="O71" s="342" t="s">
        <v>3713</v>
      </c>
      <c r="P71" s="342">
        <v>6116233040</v>
      </c>
      <c r="R71" s="342" t="s">
        <v>3649</v>
      </c>
      <c r="S71" s="343">
        <v>45784</v>
      </c>
      <c r="T71" s="343">
        <v>45784</v>
      </c>
      <c r="U71" s="343">
        <v>44585</v>
      </c>
      <c r="V71" s="343">
        <v>44689</v>
      </c>
      <c r="X71" s="342" t="s">
        <v>3714</v>
      </c>
      <c r="Y71" s="342" t="s">
        <v>3714</v>
      </c>
    </row>
    <row r="72" spans="1:25">
      <c r="A72" s="342">
        <v>159338</v>
      </c>
      <c r="B72" s="342" t="s">
        <v>160</v>
      </c>
      <c r="C72" s="342" t="s">
        <v>162</v>
      </c>
      <c r="D72" s="342" t="s">
        <v>163</v>
      </c>
      <c r="E72" s="342" t="s">
        <v>591</v>
      </c>
      <c r="F72" s="342" t="s">
        <v>40</v>
      </c>
      <c r="G72" s="342" t="s">
        <v>1288</v>
      </c>
      <c r="H72" s="342" t="s">
        <v>5717</v>
      </c>
      <c r="I72" s="342" t="s">
        <v>1572</v>
      </c>
      <c r="L72" s="342" t="s">
        <v>1571</v>
      </c>
      <c r="M72" s="342" t="s">
        <v>1571</v>
      </c>
      <c r="N72" s="342" t="s">
        <v>3653</v>
      </c>
      <c r="O72" s="342" t="s">
        <v>4497</v>
      </c>
      <c r="P72" s="342">
        <v>6111868928</v>
      </c>
      <c r="R72" s="342" t="s">
        <v>3649</v>
      </c>
      <c r="S72" s="343">
        <v>45226</v>
      </c>
      <c r="T72" s="343">
        <v>45226</v>
      </c>
      <c r="U72" s="343">
        <v>44453</v>
      </c>
      <c r="V72" s="343">
        <v>44132</v>
      </c>
      <c r="W72" s="343">
        <v>44553</v>
      </c>
      <c r="X72" s="342" t="s">
        <v>4500</v>
      </c>
      <c r="Y72" s="342" t="s">
        <v>4500</v>
      </c>
    </row>
    <row r="73" spans="1:25">
      <c r="A73" s="342">
        <v>159846</v>
      </c>
      <c r="B73" s="342" t="s">
        <v>1170</v>
      </c>
      <c r="C73" s="342" t="s">
        <v>166</v>
      </c>
      <c r="D73" s="342" t="s">
        <v>97</v>
      </c>
      <c r="E73" s="342" t="s">
        <v>591</v>
      </c>
      <c r="F73" s="342" t="s">
        <v>40</v>
      </c>
      <c r="G73" s="342" t="s">
        <v>1510</v>
      </c>
      <c r="H73" s="342" t="s">
        <v>1538</v>
      </c>
      <c r="I73" s="342" t="s">
        <v>1571</v>
      </c>
      <c r="L73" s="342" t="s">
        <v>1571</v>
      </c>
      <c r="M73" s="342" t="s">
        <v>1571</v>
      </c>
      <c r="N73" s="342" t="s">
        <v>3656</v>
      </c>
      <c r="O73" s="342" t="s">
        <v>3715</v>
      </c>
      <c r="P73" s="342">
        <v>6147236126</v>
      </c>
      <c r="R73" s="342" t="s">
        <v>3649</v>
      </c>
      <c r="S73" s="343">
        <v>45109</v>
      </c>
      <c r="T73" s="343">
        <v>45109</v>
      </c>
      <c r="U73" s="343">
        <v>44579</v>
      </c>
      <c r="V73" s="343">
        <v>44015</v>
      </c>
      <c r="W73" s="343">
        <v>44141</v>
      </c>
      <c r="X73" s="342" t="s">
        <v>3716</v>
      </c>
      <c r="Y73" s="342">
        <v>10277364</v>
      </c>
    </row>
    <row r="74" spans="1:25" ht="409.5">
      <c r="A74" s="342">
        <v>159850</v>
      </c>
      <c r="B74" s="342" t="s">
        <v>1436</v>
      </c>
      <c r="C74" s="342" t="s">
        <v>166</v>
      </c>
      <c r="D74" s="342" t="s">
        <v>97</v>
      </c>
      <c r="E74" s="342" t="s">
        <v>591</v>
      </c>
      <c r="F74" s="342" t="s">
        <v>40</v>
      </c>
      <c r="G74" s="342" t="s">
        <v>1510</v>
      </c>
      <c r="H74" s="342" t="s">
        <v>5718</v>
      </c>
      <c r="I74" s="342" t="s">
        <v>1569</v>
      </c>
      <c r="L74" s="342" t="s">
        <v>1568</v>
      </c>
      <c r="M74" s="342" t="s">
        <v>1568</v>
      </c>
      <c r="N74" s="342" t="s">
        <v>3652</v>
      </c>
      <c r="O74" s="344" t="s">
        <v>5267</v>
      </c>
      <c r="P74" s="342">
        <v>6111683983</v>
      </c>
      <c r="R74" s="342" t="s">
        <v>3649</v>
      </c>
      <c r="S74" s="343">
        <v>45745</v>
      </c>
      <c r="T74" s="343">
        <v>45745</v>
      </c>
      <c r="U74" s="343">
        <v>44536</v>
      </c>
      <c r="V74" s="343">
        <v>44650</v>
      </c>
      <c r="X74" s="342">
        <v>130556.01</v>
      </c>
      <c r="Y74" s="342">
        <v>130556.01</v>
      </c>
    </row>
    <row r="75" spans="1:25">
      <c r="A75" s="342">
        <v>160225</v>
      </c>
      <c r="B75" s="342" t="s">
        <v>167</v>
      </c>
      <c r="C75" s="342" t="s">
        <v>170</v>
      </c>
      <c r="D75" s="342" t="s">
        <v>45</v>
      </c>
      <c r="E75" s="342" t="s">
        <v>591</v>
      </c>
      <c r="F75" s="342" t="s">
        <v>40</v>
      </c>
      <c r="G75" s="342" t="s">
        <v>5279</v>
      </c>
      <c r="H75" s="342" t="s">
        <v>5719</v>
      </c>
      <c r="I75" s="342" t="s">
        <v>1569</v>
      </c>
      <c r="L75" s="342" t="s">
        <v>1568</v>
      </c>
      <c r="M75" s="342" t="s">
        <v>1568</v>
      </c>
      <c r="N75" s="342" t="s">
        <v>3650</v>
      </c>
      <c r="O75" s="342" t="s">
        <v>3717</v>
      </c>
      <c r="P75" s="342">
        <v>6113708086</v>
      </c>
      <c r="R75" s="342" t="s">
        <v>3649</v>
      </c>
      <c r="S75" s="343">
        <v>45478</v>
      </c>
      <c r="T75" s="343">
        <v>45478</v>
      </c>
      <c r="U75" s="343">
        <v>44614</v>
      </c>
      <c r="V75" s="343">
        <v>44383</v>
      </c>
      <c r="X75" s="342" t="s">
        <v>3718</v>
      </c>
      <c r="Y75" s="342" t="s">
        <v>3718</v>
      </c>
    </row>
    <row r="76" spans="1:25">
      <c r="A76" s="342">
        <v>160759</v>
      </c>
      <c r="B76" s="342" t="s">
        <v>171</v>
      </c>
      <c r="C76" s="342" t="s">
        <v>173</v>
      </c>
      <c r="D76" s="342" t="s">
        <v>51</v>
      </c>
      <c r="E76" s="342" t="s">
        <v>591</v>
      </c>
      <c r="F76" s="342" t="s">
        <v>40</v>
      </c>
      <c r="G76" s="342" t="s">
        <v>786</v>
      </c>
      <c r="H76" s="342" t="s">
        <v>5720</v>
      </c>
      <c r="I76" s="342" t="s">
        <v>1568</v>
      </c>
      <c r="L76" s="342" t="s">
        <v>1568</v>
      </c>
      <c r="M76" s="342" t="s">
        <v>1568</v>
      </c>
      <c r="N76" s="342" t="s">
        <v>3652</v>
      </c>
      <c r="O76" s="342" t="s">
        <v>4618</v>
      </c>
      <c r="P76" s="342">
        <v>6110453266</v>
      </c>
      <c r="R76" s="342" t="s">
        <v>3649</v>
      </c>
      <c r="S76" s="343">
        <v>45514</v>
      </c>
      <c r="T76" s="343">
        <v>45514</v>
      </c>
      <c r="U76" s="343">
        <v>43585</v>
      </c>
      <c r="V76" s="343">
        <v>44419</v>
      </c>
      <c r="X76" s="342" t="s">
        <v>4622</v>
      </c>
      <c r="Y76" s="342" t="s">
        <v>4622</v>
      </c>
    </row>
    <row r="77" spans="1:25" ht="409.5">
      <c r="A77" s="342">
        <v>161192</v>
      </c>
      <c r="B77" s="342" t="s">
        <v>726</v>
      </c>
      <c r="C77" s="342" t="s">
        <v>729</v>
      </c>
      <c r="D77" s="342" t="s">
        <v>51</v>
      </c>
      <c r="E77" s="342" t="s">
        <v>591</v>
      </c>
      <c r="F77" s="342" t="s">
        <v>40</v>
      </c>
      <c r="G77" s="342" t="s">
        <v>1277</v>
      </c>
      <c r="H77" s="342" t="s">
        <v>5375</v>
      </c>
      <c r="I77" s="342" t="s">
        <v>1574</v>
      </c>
      <c r="L77" s="342" t="s">
        <v>1568</v>
      </c>
      <c r="M77" s="342" t="s">
        <v>1568</v>
      </c>
      <c r="N77" s="342" t="s">
        <v>3652</v>
      </c>
      <c r="O77" s="344" t="s">
        <v>5350</v>
      </c>
      <c r="P77" s="342">
        <v>6111645604</v>
      </c>
      <c r="R77" s="342" t="s">
        <v>3649</v>
      </c>
      <c r="S77" s="343">
        <v>45760</v>
      </c>
      <c r="T77" s="343">
        <v>45760</v>
      </c>
      <c r="U77" s="343">
        <v>44592</v>
      </c>
      <c r="V77" s="343">
        <v>44665</v>
      </c>
      <c r="X77" s="342">
        <v>16500</v>
      </c>
      <c r="Y77" s="342">
        <v>16500</v>
      </c>
    </row>
    <row r="78" spans="1:25">
      <c r="A78" s="342">
        <v>161320</v>
      </c>
      <c r="B78" s="342" t="s">
        <v>829</v>
      </c>
      <c r="C78" s="342" t="s">
        <v>174</v>
      </c>
      <c r="D78" s="342" t="s">
        <v>175</v>
      </c>
      <c r="E78" s="342" t="s">
        <v>591</v>
      </c>
      <c r="F78" s="342" t="s">
        <v>41</v>
      </c>
      <c r="G78" s="342" t="s">
        <v>786</v>
      </c>
      <c r="H78" s="342" t="s">
        <v>5142</v>
      </c>
      <c r="I78" s="342" t="s">
        <v>1573</v>
      </c>
      <c r="L78" s="342" t="s">
        <v>1571</v>
      </c>
      <c r="M78" s="342" t="s">
        <v>1571</v>
      </c>
      <c r="N78" s="342" t="s">
        <v>3656</v>
      </c>
      <c r="O78" s="342" t="s">
        <v>3719</v>
      </c>
      <c r="P78" s="342">
        <v>6136386207</v>
      </c>
      <c r="R78" s="342" t="s">
        <v>3649</v>
      </c>
      <c r="S78" s="343">
        <v>45749</v>
      </c>
      <c r="T78" s="343">
        <v>45749</v>
      </c>
      <c r="U78" s="343">
        <v>44535</v>
      </c>
      <c r="V78" s="343">
        <v>44654</v>
      </c>
      <c r="X78" s="342" t="s">
        <v>5136</v>
      </c>
      <c r="Y78" s="342" t="s">
        <v>5136</v>
      </c>
    </row>
    <row r="79" spans="1:25">
      <c r="A79" s="342">
        <v>163288</v>
      </c>
      <c r="B79" s="342" t="s">
        <v>176</v>
      </c>
      <c r="C79" s="342" t="s">
        <v>178</v>
      </c>
      <c r="D79" s="342" t="s">
        <v>47</v>
      </c>
      <c r="E79" s="342" t="s">
        <v>591</v>
      </c>
      <c r="F79" s="342" t="s">
        <v>40</v>
      </c>
      <c r="G79" s="342" t="s">
        <v>5282</v>
      </c>
      <c r="H79" s="342" t="s">
        <v>5721</v>
      </c>
      <c r="I79" s="342" t="s">
        <v>1568</v>
      </c>
      <c r="L79" s="342" t="s">
        <v>1568</v>
      </c>
      <c r="M79" s="342" t="s">
        <v>1568</v>
      </c>
      <c r="N79" s="342" t="s">
        <v>3652</v>
      </c>
      <c r="O79" s="342" t="s">
        <v>5245</v>
      </c>
      <c r="P79" s="342">
        <v>6119818488</v>
      </c>
      <c r="R79" s="342" t="s">
        <v>3649</v>
      </c>
      <c r="S79" s="343">
        <v>45309</v>
      </c>
      <c r="T79" s="343">
        <v>45309</v>
      </c>
      <c r="U79" s="343">
        <v>43718</v>
      </c>
      <c r="V79" s="343">
        <v>44215</v>
      </c>
      <c r="W79" s="343">
        <v>44621</v>
      </c>
      <c r="X79" s="342" t="s">
        <v>3720</v>
      </c>
      <c r="Y79" s="342" t="s">
        <v>3720</v>
      </c>
    </row>
    <row r="80" spans="1:25">
      <c r="A80" s="342">
        <v>163308</v>
      </c>
      <c r="B80" s="342" t="s">
        <v>179</v>
      </c>
      <c r="C80" s="342" t="s">
        <v>181</v>
      </c>
      <c r="D80" s="342" t="s">
        <v>47</v>
      </c>
      <c r="E80" s="342" t="s">
        <v>591</v>
      </c>
      <c r="F80" s="342" t="s">
        <v>40</v>
      </c>
      <c r="G80" s="342" t="s">
        <v>5282</v>
      </c>
      <c r="H80" s="342" t="s">
        <v>5721</v>
      </c>
      <c r="I80" s="342" t="s">
        <v>1568</v>
      </c>
      <c r="L80" s="342" t="s">
        <v>1568</v>
      </c>
      <c r="M80" s="342" t="s">
        <v>1568</v>
      </c>
      <c r="N80" s="342" t="s">
        <v>3652</v>
      </c>
      <c r="O80" s="342" t="s">
        <v>5245</v>
      </c>
      <c r="P80" s="342">
        <v>6126205848</v>
      </c>
      <c r="R80" s="342" t="s">
        <v>3649</v>
      </c>
      <c r="S80" s="343">
        <v>45309</v>
      </c>
      <c r="T80" s="343">
        <v>45309</v>
      </c>
      <c r="U80" s="343">
        <v>43718</v>
      </c>
      <c r="V80" s="343">
        <v>44215</v>
      </c>
      <c r="W80" s="343">
        <v>44621</v>
      </c>
      <c r="X80" s="342" t="s">
        <v>3720</v>
      </c>
      <c r="Y80" s="342" t="s">
        <v>3720</v>
      </c>
    </row>
    <row r="81" spans="1:25">
      <c r="A81" s="342">
        <v>163325</v>
      </c>
      <c r="B81" s="342" t="s">
        <v>1374</v>
      </c>
      <c r="C81" s="342" t="s">
        <v>183</v>
      </c>
      <c r="D81" s="342" t="s">
        <v>55</v>
      </c>
      <c r="E81" s="342" t="s">
        <v>591</v>
      </c>
      <c r="F81" s="342" t="s">
        <v>40</v>
      </c>
      <c r="G81" s="342" t="s">
        <v>5282</v>
      </c>
      <c r="H81" s="342" t="s">
        <v>5722</v>
      </c>
      <c r="I81" s="342" t="s">
        <v>1569</v>
      </c>
      <c r="L81" s="342" t="s">
        <v>1568</v>
      </c>
      <c r="M81" s="342" t="s">
        <v>1568</v>
      </c>
      <c r="N81" s="342" t="s">
        <v>3652</v>
      </c>
      <c r="O81" s="342" t="s">
        <v>3721</v>
      </c>
      <c r="P81" s="342">
        <v>6111230501</v>
      </c>
      <c r="R81" s="342" t="s">
        <v>3649</v>
      </c>
      <c r="S81" s="343">
        <v>45064</v>
      </c>
      <c r="T81" s="343">
        <v>45064</v>
      </c>
      <c r="U81" s="343">
        <v>44627</v>
      </c>
      <c r="V81" s="343">
        <v>43970</v>
      </c>
      <c r="X81" s="342" t="s">
        <v>3722</v>
      </c>
      <c r="Y81" s="342" t="s">
        <v>3722</v>
      </c>
    </row>
    <row r="82" spans="1:25">
      <c r="A82" s="342">
        <v>164991</v>
      </c>
      <c r="B82" s="342" t="s">
        <v>698</v>
      </c>
      <c r="C82" s="342" t="s">
        <v>606</v>
      </c>
      <c r="D82" s="342" t="s">
        <v>97</v>
      </c>
      <c r="E82" s="342" t="s">
        <v>591</v>
      </c>
      <c r="F82" s="342" t="s">
        <v>40</v>
      </c>
      <c r="G82" s="342" t="s">
        <v>5282</v>
      </c>
      <c r="H82" s="342" t="s">
        <v>5723</v>
      </c>
      <c r="I82" s="342" t="s">
        <v>1571</v>
      </c>
      <c r="L82" s="342" t="s">
        <v>1571</v>
      </c>
      <c r="M82" s="342" t="s">
        <v>1571</v>
      </c>
      <c r="N82" s="342" t="s">
        <v>3656</v>
      </c>
      <c r="O82" s="342" t="s">
        <v>5268</v>
      </c>
      <c r="P82" s="342">
        <v>6122161986</v>
      </c>
      <c r="R82" s="342" t="s">
        <v>3649</v>
      </c>
      <c r="S82" s="343">
        <v>45734</v>
      </c>
      <c r="T82" s="343">
        <v>45734</v>
      </c>
      <c r="U82" s="343">
        <v>43801</v>
      </c>
      <c r="V82" s="343">
        <v>44639</v>
      </c>
      <c r="X82" s="342" t="s">
        <v>3723</v>
      </c>
      <c r="Y82" s="342" t="s">
        <v>3723</v>
      </c>
    </row>
    <row r="83" spans="1:25">
      <c r="A83" s="342">
        <v>164994</v>
      </c>
      <c r="B83" s="342" t="s">
        <v>184</v>
      </c>
      <c r="C83" s="342" t="s">
        <v>189</v>
      </c>
      <c r="D83" s="342" t="s">
        <v>51</v>
      </c>
      <c r="E83" s="342" t="s">
        <v>591</v>
      </c>
      <c r="F83" s="342" t="s">
        <v>40</v>
      </c>
      <c r="G83" s="342" t="s">
        <v>5282</v>
      </c>
      <c r="H83" s="342" t="s">
        <v>5724</v>
      </c>
      <c r="I83" s="342" t="s">
        <v>1572</v>
      </c>
      <c r="L83" s="342" t="s">
        <v>1571</v>
      </c>
      <c r="M83" s="342" t="s">
        <v>1571</v>
      </c>
      <c r="N83" s="342" t="s">
        <v>3656</v>
      </c>
      <c r="O83" s="342" t="s">
        <v>3724</v>
      </c>
      <c r="P83" s="342">
        <v>6123854920</v>
      </c>
      <c r="R83" s="342" t="s">
        <v>3649</v>
      </c>
      <c r="S83" s="343">
        <v>44985</v>
      </c>
      <c r="T83" s="343">
        <v>44985</v>
      </c>
      <c r="U83" s="343">
        <v>43780</v>
      </c>
      <c r="V83" s="343">
        <v>43891</v>
      </c>
      <c r="X83" s="342" t="s">
        <v>3725</v>
      </c>
      <c r="Y83" s="342" t="s">
        <v>3726</v>
      </c>
    </row>
    <row r="84" spans="1:25">
      <c r="A84" s="342">
        <v>164995</v>
      </c>
      <c r="B84" s="342" t="s">
        <v>184</v>
      </c>
      <c r="C84" s="342" t="s">
        <v>192</v>
      </c>
      <c r="D84" s="342" t="s">
        <v>51</v>
      </c>
      <c r="E84" s="342" t="s">
        <v>591</v>
      </c>
      <c r="F84" s="342" t="s">
        <v>40</v>
      </c>
      <c r="G84" s="342" t="s">
        <v>5282</v>
      </c>
      <c r="H84" s="342" t="s">
        <v>5725</v>
      </c>
      <c r="I84" s="342" t="s">
        <v>1573</v>
      </c>
      <c r="L84" s="342" t="s">
        <v>1571</v>
      </c>
      <c r="M84" s="342" t="s">
        <v>1571</v>
      </c>
      <c r="N84" s="342" t="s">
        <v>3656</v>
      </c>
      <c r="O84" s="342" t="s">
        <v>3727</v>
      </c>
      <c r="P84" s="342">
        <v>6111867068</v>
      </c>
      <c r="Q84" s="342">
        <v>6111866946</v>
      </c>
      <c r="R84" s="342" t="s">
        <v>3649</v>
      </c>
      <c r="S84" s="343">
        <v>44975</v>
      </c>
      <c r="T84" s="343">
        <v>44975</v>
      </c>
      <c r="U84" s="343">
        <v>43969</v>
      </c>
      <c r="V84" s="343">
        <v>43880</v>
      </c>
      <c r="W84" s="343">
        <v>43986</v>
      </c>
      <c r="X84" s="342" t="s">
        <v>3728</v>
      </c>
      <c r="Y84" s="342" t="s">
        <v>3729</v>
      </c>
    </row>
    <row r="85" spans="1:25">
      <c r="A85" s="342">
        <v>164998</v>
      </c>
      <c r="B85" s="342" t="s">
        <v>193</v>
      </c>
      <c r="C85" s="342" t="s">
        <v>195</v>
      </c>
      <c r="D85" s="342" t="s">
        <v>51</v>
      </c>
      <c r="E85" s="342" t="s">
        <v>591</v>
      </c>
      <c r="F85" s="342" t="s">
        <v>40</v>
      </c>
      <c r="G85" s="342" t="s">
        <v>5282</v>
      </c>
      <c r="H85" s="342" t="s">
        <v>5726</v>
      </c>
      <c r="I85" s="342" t="s">
        <v>1573</v>
      </c>
      <c r="L85" s="342" t="s">
        <v>1571</v>
      </c>
      <c r="M85" s="342" t="s">
        <v>1571</v>
      </c>
      <c r="N85" s="342" t="s">
        <v>3656</v>
      </c>
      <c r="O85" s="342" t="s">
        <v>3730</v>
      </c>
      <c r="P85" s="342">
        <v>6111871465</v>
      </c>
      <c r="R85" s="342" t="s">
        <v>3649</v>
      </c>
      <c r="S85" s="343">
        <v>44796</v>
      </c>
      <c r="T85" s="343">
        <v>44796</v>
      </c>
      <c r="U85" s="343">
        <v>43790</v>
      </c>
      <c r="V85" s="343">
        <v>43701</v>
      </c>
      <c r="W85" s="343">
        <v>43843</v>
      </c>
      <c r="X85" s="342" t="s">
        <v>3731</v>
      </c>
      <c r="Y85" s="342" t="s">
        <v>3731</v>
      </c>
    </row>
    <row r="86" spans="1:25">
      <c r="A86" s="342">
        <v>166186</v>
      </c>
      <c r="B86" s="342" t="s">
        <v>4824</v>
      </c>
      <c r="C86" s="342" t="s">
        <v>4826</v>
      </c>
      <c r="D86" s="342" t="s">
        <v>47</v>
      </c>
      <c r="E86" s="342" t="s">
        <v>591</v>
      </c>
      <c r="F86" s="342" t="s">
        <v>42</v>
      </c>
      <c r="G86" s="342" t="s">
        <v>1421</v>
      </c>
      <c r="H86" s="342" t="s">
        <v>4832</v>
      </c>
      <c r="I86" s="342" t="s">
        <v>1581</v>
      </c>
      <c r="J86" s="342" t="s">
        <v>1571</v>
      </c>
      <c r="K86" s="343">
        <v>44807</v>
      </c>
      <c r="L86" s="342" t="s">
        <v>1581</v>
      </c>
      <c r="M86" s="342" t="s">
        <v>1581</v>
      </c>
      <c r="S86" s="343">
        <v>45225</v>
      </c>
      <c r="Y86" s="342" t="s">
        <v>4844</v>
      </c>
    </row>
    <row r="87" spans="1:25">
      <c r="A87" s="342">
        <v>167569</v>
      </c>
      <c r="B87" s="342" t="s">
        <v>196</v>
      </c>
      <c r="C87" s="342" t="s">
        <v>198</v>
      </c>
      <c r="D87" s="342" t="s">
        <v>55</v>
      </c>
      <c r="E87" s="342" t="s">
        <v>591</v>
      </c>
      <c r="F87" s="342" t="s">
        <v>40</v>
      </c>
      <c r="G87" s="342" t="s">
        <v>5283</v>
      </c>
      <c r="H87" s="342" t="s">
        <v>5727</v>
      </c>
      <c r="I87" s="342" t="s">
        <v>1569</v>
      </c>
      <c r="L87" s="342" t="s">
        <v>1568</v>
      </c>
      <c r="M87" s="342" t="s">
        <v>1568</v>
      </c>
      <c r="N87" s="342" t="s">
        <v>3650</v>
      </c>
      <c r="O87" s="342" t="s">
        <v>3732</v>
      </c>
      <c r="P87" s="342">
        <v>6116132840</v>
      </c>
      <c r="R87" s="342" t="s">
        <v>3649</v>
      </c>
      <c r="S87" s="343">
        <v>45294</v>
      </c>
      <c r="T87" s="343">
        <v>45294</v>
      </c>
      <c r="U87" s="343">
        <v>44452</v>
      </c>
      <c r="V87" s="343">
        <v>44200</v>
      </c>
      <c r="W87" s="343">
        <v>44760</v>
      </c>
      <c r="X87" s="342" t="s">
        <v>6078</v>
      </c>
      <c r="Y87" s="342" t="s">
        <v>3733</v>
      </c>
    </row>
    <row r="88" spans="1:25">
      <c r="A88" s="342">
        <v>167659</v>
      </c>
      <c r="B88" s="342" t="s">
        <v>199</v>
      </c>
      <c r="C88" s="342" t="s">
        <v>201</v>
      </c>
      <c r="D88" s="342" t="s">
        <v>51</v>
      </c>
      <c r="E88" s="342" t="s">
        <v>591</v>
      </c>
      <c r="F88" s="342" t="s">
        <v>40</v>
      </c>
      <c r="G88" s="342" t="s">
        <v>5450</v>
      </c>
      <c r="H88" s="342" t="s">
        <v>4716</v>
      </c>
      <c r="I88" s="342" t="s">
        <v>1568</v>
      </c>
      <c r="J88" s="342" t="s">
        <v>1575</v>
      </c>
      <c r="K88" s="343">
        <v>2958465</v>
      </c>
      <c r="L88" s="342" t="s">
        <v>1568</v>
      </c>
      <c r="M88" s="342" t="s">
        <v>1568</v>
      </c>
      <c r="N88" s="342" t="s">
        <v>3652</v>
      </c>
      <c r="O88" s="342" t="s">
        <v>4690</v>
      </c>
      <c r="P88" s="342">
        <v>6115277625</v>
      </c>
      <c r="R88" s="342" t="s">
        <v>3649</v>
      </c>
      <c r="S88" s="343">
        <v>45550</v>
      </c>
      <c r="T88" s="343">
        <v>45550</v>
      </c>
      <c r="U88" s="343">
        <v>44634</v>
      </c>
      <c r="V88" s="343">
        <v>44455</v>
      </c>
      <c r="W88" s="343">
        <v>44455</v>
      </c>
      <c r="X88" s="342" t="s">
        <v>3734</v>
      </c>
      <c r="Y88" s="342" t="s">
        <v>3734</v>
      </c>
    </row>
    <row r="89" spans="1:25">
      <c r="A89" s="342">
        <v>167661</v>
      </c>
      <c r="B89" s="342" t="s">
        <v>645</v>
      </c>
      <c r="C89" s="342" t="s">
        <v>203</v>
      </c>
      <c r="D89" s="342" t="s">
        <v>55</v>
      </c>
      <c r="E89" s="342" t="s">
        <v>591</v>
      </c>
      <c r="F89" s="342" t="s">
        <v>40</v>
      </c>
      <c r="G89" s="342" t="s">
        <v>5450</v>
      </c>
      <c r="H89" s="342" t="s">
        <v>5728</v>
      </c>
      <c r="I89" s="342" t="s">
        <v>1569</v>
      </c>
      <c r="L89" s="342" t="s">
        <v>1568</v>
      </c>
      <c r="M89" s="342" t="s">
        <v>1568</v>
      </c>
      <c r="N89" s="342" t="s">
        <v>3652</v>
      </c>
      <c r="O89" s="342" t="s">
        <v>4689</v>
      </c>
      <c r="P89" s="342">
        <v>6111353268</v>
      </c>
      <c r="R89" s="342" t="s">
        <v>3649</v>
      </c>
      <c r="S89" s="343">
        <v>45549</v>
      </c>
      <c r="T89" s="343">
        <v>45549</v>
      </c>
      <c r="U89" s="343">
        <v>43137</v>
      </c>
      <c r="V89" s="343">
        <v>44454</v>
      </c>
      <c r="W89" s="343">
        <v>44459</v>
      </c>
      <c r="X89" s="342" t="s">
        <v>3667</v>
      </c>
      <c r="Y89" s="342" t="s">
        <v>4692</v>
      </c>
    </row>
    <row r="90" spans="1:25">
      <c r="A90" s="342">
        <v>167686</v>
      </c>
      <c r="B90" s="342" t="s">
        <v>651</v>
      </c>
      <c r="C90" s="342" t="s">
        <v>206</v>
      </c>
      <c r="D90" s="342" t="s">
        <v>107</v>
      </c>
      <c r="E90" s="342" t="s">
        <v>591</v>
      </c>
      <c r="F90" s="342" t="s">
        <v>40</v>
      </c>
      <c r="G90" s="342" t="s">
        <v>5450</v>
      </c>
      <c r="H90" s="342" t="s">
        <v>5729</v>
      </c>
      <c r="I90" s="342" t="s">
        <v>1578</v>
      </c>
      <c r="L90" s="342" t="s">
        <v>1568</v>
      </c>
      <c r="M90" s="342" t="s">
        <v>1568</v>
      </c>
      <c r="N90" s="342" t="s">
        <v>3652</v>
      </c>
      <c r="O90" s="342" t="s">
        <v>4690</v>
      </c>
      <c r="P90" s="342">
        <v>6115474541</v>
      </c>
      <c r="R90" s="342" t="s">
        <v>3649</v>
      </c>
      <c r="S90" s="343">
        <v>45550</v>
      </c>
      <c r="T90" s="343">
        <v>45550</v>
      </c>
      <c r="U90" s="343">
        <v>43529</v>
      </c>
      <c r="V90" s="343">
        <v>44455</v>
      </c>
      <c r="W90" s="343">
        <v>44455</v>
      </c>
      <c r="X90" s="342" t="s">
        <v>3734</v>
      </c>
      <c r="Y90" s="342" t="s">
        <v>3734</v>
      </c>
    </row>
    <row r="91" spans="1:25">
      <c r="A91" s="342">
        <v>167687</v>
      </c>
      <c r="B91" s="342" t="s">
        <v>207</v>
      </c>
      <c r="C91" s="342" t="s">
        <v>210</v>
      </c>
      <c r="D91" s="342" t="s">
        <v>45</v>
      </c>
      <c r="E91" s="342" t="s">
        <v>591</v>
      </c>
      <c r="F91" s="342" t="s">
        <v>40</v>
      </c>
      <c r="G91" s="342" t="s">
        <v>5450</v>
      </c>
      <c r="H91" s="342" t="s">
        <v>5730</v>
      </c>
      <c r="I91" s="342" t="s">
        <v>1568</v>
      </c>
      <c r="L91" s="342" t="s">
        <v>1568</v>
      </c>
      <c r="M91" s="342" t="s">
        <v>1568</v>
      </c>
      <c r="N91" s="342" t="s">
        <v>3652</v>
      </c>
      <c r="O91" s="342" t="s">
        <v>4690</v>
      </c>
      <c r="P91" s="342">
        <v>6120205763</v>
      </c>
      <c r="R91" s="342" t="s">
        <v>3649</v>
      </c>
      <c r="S91" s="343">
        <v>45550</v>
      </c>
      <c r="T91" s="343">
        <v>45550</v>
      </c>
      <c r="U91" s="343">
        <v>43529</v>
      </c>
      <c r="V91" s="343">
        <v>44455</v>
      </c>
      <c r="W91" s="343">
        <v>44455</v>
      </c>
      <c r="X91" s="342" t="s">
        <v>3734</v>
      </c>
      <c r="Y91" s="342" t="s">
        <v>3734</v>
      </c>
    </row>
    <row r="92" spans="1:25">
      <c r="A92" s="342">
        <v>167696</v>
      </c>
      <c r="B92" s="342" t="s">
        <v>705</v>
      </c>
      <c r="C92" s="342" t="s">
        <v>195</v>
      </c>
      <c r="D92" s="342" t="s">
        <v>51</v>
      </c>
      <c r="E92" s="342" t="s">
        <v>591</v>
      </c>
      <c r="F92" s="342" t="s">
        <v>40</v>
      </c>
      <c r="G92" s="342" t="s">
        <v>5281</v>
      </c>
      <c r="H92" s="342" t="s">
        <v>5731</v>
      </c>
      <c r="I92" s="342" t="s">
        <v>1574</v>
      </c>
      <c r="L92" s="342" t="s">
        <v>1568</v>
      </c>
      <c r="M92" s="342" t="s">
        <v>1568</v>
      </c>
      <c r="N92" s="342" t="s">
        <v>3652</v>
      </c>
      <c r="O92" s="342" t="s">
        <v>4690</v>
      </c>
      <c r="P92" s="342">
        <v>6111423606</v>
      </c>
      <c r="R92" s="342" t="s">
        <v>3649</v>
      </c>
      <c r="S92" s="343">
        <v>45550</v>
      </c>
      <c r="T92" s="343">
        <v>45550</v>
      </c>
      <c r="U92" s="343">
        <v>43529</v>
      </c>
      <c r="V92" s="343">
        <v>44455</v>
      </c>
      <c r="W92" s="343">
        <v>44455</v>
      </c>
      <c r="X92" s="342" t="s">
        <v>3734</v>
      </c>
      <c r="Y92" s="342" t="s">
        <v>3734</v>
      </c>
    </row>
    <row r="93" spans="1:25">
      <c r="A93" s="342">
        <v>167700</v>
      </c>
      <c r="B93" s="342" t="s">
        <v>211</v>
      </c>
      <c r="C93" s="342" t="s">
        <v>632</v>
      </c>
      <c r="D93" s="342" t="s">
        <v>51</v>
      </c>
      <c r="E93" s="342" t="s">
        <v>591</v>
      </c>
      <c r="F93" s="342" t="s">
        <v>40</v>
      </c>
      <c r="G93" s="342" t="s">
        <v>5450</v>
      </c>
      <c r="H93" s="342" t="s">
        <v>5732</v>
      </c>
      <c r="I93" s="342" t="s">
        <v>1568</v>
      </c>
      <c r="L93" s="342" t="s">
        <v>1568</v>
      </c>
      <c r="M93" s="342" t="s">
        <v>1568</v>
      </c>
      <c r="N93" s="342" t="s">
        <v>3652</v>
      </c>
      <c r="O93" s="342" t="s">
        <v>4689</v>
      </c>
      <c r="P93" s="342">
        <v>6111391709</v>
      </c>
      <c r="R93" s="342" t="s">
        <v>3649</v>
      </c>
      <c r="S93" s="343">
        <v>45549</v>
      </c>
      <c r="T93" s="343">
        <v>45549</v>
      </c>
      <c r="U93" s="343">
        <v>44214</v>
      </c>
      <c r="V93" s="343">
        <v>44454</v>
      </c>
      <c r="W93" s="343">
        <v>44459</v>
      </c>
      <c r="X93" s="342" t="s">
        <v>3667</v>
      </c>
      <c r="Y93" s="342" t="s">
        <v>4692</v>
      </c>
    </row>
    <row r="94" spans="1:25">
      <c r="A94" s="342">
        <v>167703</v>
      </c>
      <c r="B94" s="342" t="s">
        <v>211</v>
      </c>
      <c r="C94" s="342" t="s">
        <v>213</v>
      </c>
      <c r="D94" s="342" t="s">
        <v>51</v>
      </c>
      <c r="E94" s="342" t="s">
        <v>591</v>
      </c>
      <c r="F94" s="342" t="s">
        <v>40</v>
      </c>
      <c r="G94" s="342" t="s">
        <v>5281</v>
      </c>
      <c r="H94" s="342" t="s">
        <v>5732</v>
      </c>
      <c r="I94" s="342" t="s">
        <v>1568</v>
      </c>
      <c r="L94" s="342" t="s">
        <v>1568</v>
      </c>
      <c r="M94" s="342" t="s">
        <v>1568</v>
      </c>
      <c r="N94" s="342" t="s">
        <v>3652</v>
      </c>
      <c r="O94" s="342" t="s">
        <v>4689</v>
      </c>
      <c r="P94" s="342">
        <v>6111353543</v>
      </c>
      <c r="R94" s="342" t="s">
        <v>3649</v>
      </c>
      <c r="S94" s="343">
        <v>45549</v>
      </c>
      <c r="T94" s="343">
        <v>45549</v>
      </c>
      <c r="U94" s="343">
        <v>44690</v>
      </c>
      <c r="V94" s="343">
        <v>44454</v>
      </c>
      <c r="W94" s="343">
        <v>44459</v>
      </c>
      <c r="X94" s="342" t="s">
        <v>3667</v>
      </c>
      <c r="Y94" s="342" t="s">
        <v>4692</v>
      </c>
    </row>
    <row r="95" spans="1:25">
      <c r="A95" s="342">
        <v>167710</v>
      </c>
      <c r="B95" s="342" t="s">
        <v>214</v>
      </c>
      <c r="C95" s="342" t="s">
        <v>217</v>
      </c>
      <c r="D95" s="342" t="s">
        <v>51</v>
      </c>
      <c r="E95" s="342" t="s">
        <v>591</v>
      </c>
      <c r="F95" s="342" t="s">
        <v>40</v>
      </c>
      <c r="G95" s="342" t="s">
        <v>5450</v>
      </c>
      <c r="H95" s="342" t="s">
        <v>5730</v>
      </c>
      <c r="I95" s="342" t="s">
        <v>1568</v>
      </c>
      <c r="L95" s="342" t="s">
        <v>1568</v>
      </c>
      <c r="M95" s="342" t="s">
        <v>1568</v>
      </c>
      <c r="N95" s="342" t="s">
        <v>3652</v>
      </c>
      <c r="O95" s="342" t="s">
        <v>4690</v>
      </c>
      <c r="P95" s="342">
        <v>6115264968</v>
      </c>
      <c r="R95" s="342" t="s">
        <v>3649</v>
      </c>
      <c r="S95" s="343">
        <v>45550</v>
      </c>
      <c r="T95" s="343">
        <v>45550</v>
      </c>
      <c r="U95" s="343">
        <v>43529</v>
      </c>
      <c r="V95" s="343">
        <v>44455</v>
      </c>
      <c r="W95" s="343">
        <v>44455</v>
      </c>
      <c r="X95" s="342" t="s">
        <v>3734</v>
      </c>
      <c r="Y95" s="342" t="s">
        <v>3734</v>
      </c>
    </row>
    <row r="96" spans="1:25">
      <c r="A96" s="342">
        <v>167750</v>
      </c>
      <c r="B96" s="342" t="s">
        <v>1225</v>
      </c>
      <c r="C96" s="342" t="s">
        <v>195</v>
      </c>
      <c r="D96" s="342" t="s">
        <v>51</v>
      </c>
      <c r="E96" s="342" t="s">
        <v>591</v>
      </c>
      <c r="F96" s="342" t="s">
        <v>40</v>
      </c>
      <c r="G96" s="342" t="s">
        <v>5281</v>
      </c>
      <c r="H96" s="342" t="s">
        <v>5732</v>
      </c>
      <c r="I96" s="342" t="s">
        <v>1568</v>
      </c>
      <c r="L96" s="342" t="s">
        <v>1568</v>
      </c>
      <c r="M96" s="342" t="s">
        <v>1568</v>
      </c>
      <c r="N96" s="342" t="s">
        <v>3652</v>
      </c>
      <c r="O96" s="342" t="s">
        <v>4689</v>
      </c>
      <c r="P96" s="342">
        <v>6111351406</v>
      </c>
      <c r="R96" s="342" t="s">
        <v>3649</v>
      </c>
      <c r="S96" s="343">
        <v>45549</v>
      </c>
      <c r="T96" s="343">
        <v>45549</v>
      </c>
      <c r="U96" s="343">
        <v>43514</v>
      </c>
      <c r="V96" s="343">
        <v>44454</v>
      </c>
      <c r="W96" s="343">
        <v>44459</v>
      </c>
      <c r="X96" s="342" t="s">
        <v>3667</v>
      </c>
      <c r="Y96" s="342" t="s">
        <v>4692</v>
      </c>
    </row>
    <row r="97" spans="1:25">
      <c r="A97" s="342">
        <v>167783</v>
      </c>
      <c r="B97" s="342" t="s">
        <v>219</v>
      </c>
      <c r="C97" s="342" t="s">
        <v>222</v>
      </c>
      <c r="D97" s="342" t="s">
        <v>51</v>
      </c>
      <c r="E97" s="342" t="s">
        <v>591</v>
      </c>
      <c r="F97" s="342" t="s">
        <v>40</v>
      </c>
      <c r="G97" s="342" t="s">
        <v>5281</v>
      </c>
      <c r="H97" s="342" t="s">
        <v>5733</v>
      </c>
      <c r="I97" s="342" t="s">
        <v>1568</v>
      </c>
      <c r="L97" s="342" t="s">
        <v>1568</v>
      </c>
      <c r="M97" s="342" t="s">
        <v>1568</v>
      </c>
      <c r="N97" s="342" t="s">
        <v>3652</v>
      </c>
      <c r="O97" s="342" t="s">
        <v>4689</v>
      </c>
      <c r="P97" s="342">
        <v>6111350960</v>
      </c>
      <c r="R97" s="342" t="s">
        <v>3649</v>
      </c>
      <c r="S97" s="343">
        <v>45549</v>
      </c>
      <c r="T97" s="343">
        <v>45549</v>
      </c>
      <c r="U97" s="343">
        <v>43741</v>
      </c>
      <c r="V97" s="343">
        <v>44454</v>
      </c>
      <c r="W97" s="343">
        <v>44459</v>
      </c>
      <c r="X97" s="342" t="s">
        <v>3667</v>
      </c>
      <c r="Y97" s="342" t="s">
        <v>4692</v>
      </c>
    </row>
    <row r="98" spans="1:25">
      <c r="A98" s="342">
        <v>168509</v>
      </c>
      <c r="B98" s="342" t="s">
        <v>223</v>
      </c>
      <c r="C98" s="342" t="s">
        <v>226</v>
      </c>
      <c r="D98" s="342" t="s">
        <v>45</v>
      </c>
      <c r="E98" s="342" t="s">
        <v>591</v>
      </c>
      <c r="F98" s="342" t="s">
        <v>40</v>
      </c>
      <c r="G98" s="342" t="s">
        <v>5282</v>
      </c>
      <c r="H98" s="342" t="s">
        <v>5074</v>
      </c>
      <c r="I98" s="342" t="s">
        <v>1568</v>
      </c>
      <c r="L98" s="342" t="s">
        <v>1568</v>
      </c>
      <c r="M98" s="342" t="s">
        <v>1568</v>
      </c>
      <c r="N98" s="342" t="s">
        <v>3652</v>
      </c>
      <c r="O98" s="342" t="s">
        <v>4362</v>
      </c>
      <c r="P98" s="342">
        <v>6111789968</v>
      </c>
      <c r="R98" s="342" t="s">
        <v>3649</v>
      </c>
      <c r="S98" s="343">
        <v>45346</v>
      </c>
      <c r="T98" s="343">
        <v>45346</v>
      </c>
      <c r="U98" s="343">
        <v>43808</v>
      </c>
      <c r="V98" s="343">
        <v>44252</v>
      </c>
      <c r="X98" s="342" t="s">
        <v>3735</v>
      </c>
      <c r="Y98" s="342" t="s">
        <v>3735</v>
      </c>
    </row>
    <row r="99" spans="1:25">
      <c r="A99" s="342">
        <v>168942</v>
      </c>
      <c r="B99" s="342" t="s">
        <v>1251</v>
      </c>
      <c r="C99" s="342" t="s">
        <v>478</v>
      </c>
      <c r="D99" s="342" t="s">
        <v>47</v>
      </c>
      <c r="E99" s="342" t="s">
        <v>591</v>
      </c>
      <c r="F99" s="342" t="s">
        <v>40</v>
      </c>
      <c r="G99" s="342" t="s">
        <v>5280</v>
      </c>
      <c r="H99" s="342" t="s">
        <v>5734</v>
      </c>
      <c r="I99" s="342" t="s">
        <v>1571</v>
      </c>
      <c r="L99" s="342" t="s">
        <v>1571</v>
      </c>
      <c r="M99" s="342" t="s">
        <v>1571</v>
      </c>
      <c r="N99" s="342" t="s">
        <v>3653</v>
      </c>
      <c r="O99" s="342" t="s">
        <v>3736</v>
      </c>
      <c r="P99" s="342">
        <v>6120064881</v>
      </c>
      <c r="R99" s="342" t="s">
        <v>3649</v>
      </c>
      <c r="S99" s="343">
        <v>45443</v>
      </c>
      <c r="T99" s="343">
        <v>45443</v>
      </c>
      <c r="U99" s="343">
        <v>44599</v>
      </c>
      <c r="V99" s="343">
        <v>44348</v>
      </c>
      <c r="X99" s="342" t="s">
        <v>4501</v>
      </c>
      <c r="Y99" s="342" t="s">
        <v>4552</v>
      </c>
    </row>
    <row r="100" spans="1:25" ht="409.5">
      <c r="A100" s="342">
        <v>169995</v>
      </c>
      <c r="B100" s="342" t="s">
        <v>5412</v>
      </c>
      <c r="C100" s="342" t="s">
        <v>228</v>
      </c>
      <c r="D100" s="342" t="s">
        <v>47</v>
      </c>
      <c r="E100" s="342" t="s">
        <v>591</v>
      </c>
      <c r="F100" s="342" t="s">
        <v>40</v>
      </c>
      <c r="G100" s="342" t="s">
        <v>5449</v>
      </c>
      <c r="H100" s="342" t="s">
        <v>5735</v>
      </c>
      <c r="I100" s="342" t="s">
        <v>1569</v>
      </c>
      <c r="L100" s="342" t="s">
        <v>1568</v>
      </c>
      <c r="M100" s="342" t="s">
        <v>1568</v>
      </c>
      <c r="N100" s="342" t="s">
        <v>3650</v>
      </c>
      <c r="O100" s="344" t="s">
        <v>5956</v>
      </c>
      <c r="P100" s="342">
        <v>6111133624</v>
      </c>
      <c r="R100" s="342" t="s">
        <v>3649</v>
      </c>
      <c r="S100" s="343">
        <v>45535</v>
      </c>
      <c r="T100" s="343">
        <v>45535</v>
      </c>
      <c r="U100" s="343">
        <v>44628</v>
      </c>
      <c r="V100" s="343">
        <v>44440</v>
      </c>
      <c r="W100" s="343">
        <v>44743</v>
      </c>
      <c r="X100" s="342" t="s">
        <v>5960</v>
      </c>
      <c r="Y100" s="342" t="s">
        <v>4678</v>
      </c>
    </row>
    <row r="101" spans="1:25" ht="409.5">
      <c r="A101" s="342">
        <v>170121</v>
      </c>
      <c r="B101" s="342" t="s">
        <v>229</v>
      </c>
      <c r="C101" s="342" t="s">
        <v>231</v>
      </c>
      <c r="D101" s="342" t="s">
        <v>47</v>
      </c>
      <c r="E101" s="342" t="s">
        <v>591</v>
      </c>
      <c r="F101" s="342" t="s">
        <v>40</v>
      </c>
      <c r="G101" s="342" t="s">
        <v>1277</v>
      </c>
      <c r="H101" s="342" t="s">
        <v>5736</v>
      </c>
      <c r="I101" s="342" t="s">
        <v>1568</v>
      </c>
      <c r="L101" s="342" t="s">
        <v>1568</v>
      </c>
      <c r="M101" s="342" t="s">
        <v>1568</v>
      </c>
      <c r="N101" s="342" t="s">
        <v>3650</v>
      </c>
      <c r="O101" s="344" t="s">
        <v>5269</v>
      </c>
      <c r="P101" s="342">
        <v>6130235642</v>
      </c>
      <c r="R101" s="342" t="s">
        <v>3649</v>
      </c>
      <c r="S101" s="343">
        <v>45733</v>
      </c>
      <c r="T101" s="343">
        <v>45733</v>
      </c>
      <c r="U101" s="343">
        <v>44613</v>
      </c>
      <c r="V101" s="343">
        <v>44638</v>
      </c>
      <c r="X101" s="342" t="s">
        <v>5273</v>
      </c>
      <c r="Y101" s="342" t="s">
        <v>5315</v>
      </c>
    </row>
    <row r="102" spans="1:25">
      <c r="A102" s="342">
        <v>171379</v>
      </c>
      <c r="B102" s="342" t="s">
        <v>772</v>
      </c>
      <c r="C102" s="342" t="s">
        <v>775</v>
      </c>
      <c r="D102" s="342" t="s">
        <v>45</v>
      </c>
      <c r="E102" s="342" t="s">
        <v>591</v>
      </c>
      <c r="F102" s="342" t="s">
        <v>40</v>
      </c>
      <c r="G102" s="342" t="s">
        <v>5280</v>
      </c>
      <c r="H102" s="342" t="s">
        <v>1539</v>
      </c>
      <c r="I102" s="342" t="s">
        <v>1568</v>
      </c>
      <c r="L102" s="342" t="s">
        <v>1568</v>
      </c>
      <c r="M102" s="342" t="s">
        <v>1568</v>
      </c>
      <c r="N102" s="342" t="s">
        <v>3652</v>
      </c>
      <c r="O102" s="342" t="s">
        <v>3737</v>
      </c>
      <c r="P102" s="342">
        <v>6113682186</v>
      </c>
      <c r="R102" s="342" t="s">
        <v>3649</v>
      </c>
      <c r="S102" s="343">
        <v>44963</v>
      </c>
      <c r="T102" s="343">
        <v>44963</v>
      </c>
      <c r="U102" s="343">
        <v>44508</v>
      </c>
      <c r="V102" s="343">
        <v>43868</v>
      </c>
      <c r="X102" s="342">
        <v>3350</v>
      </c>
      <c r="Y102" s="342">
        <v>3350</v>
      </c>
    </row>
    <row r="103" spans="1:25">
      <c r="A103" s="342">
        <v>171380</v>
      </c>
      <c r="B103" s="342" t="s">
        <v>1439</v>
      </c>
      <c r="C103" s="342" t="s">
        <v>232</v>
      </c>
      <c r="D103" s="342" t="s">
        <v>47</v>
      </c>
      <c r="E103" s="342" t="s">
        <v>591</v>
      </c>
      <c r="F103" s="342" t="s">
        <v>40</v>
      </c>
      <c r="G103" s="342" t="s">
        <v>5449</v>
      </c>
      <c r="H103" s="342" t="s">
        <v>5737</v>
      </c>
      <c r="I103" s="342" t="s">
        <v>1572</v>
      </c>
      <c r="L103" s="342" t="s">
        <v>1571</v>
      </c>
      <c r="M103" s="342" t="s">
        <v>1571</v>
      </c>
      <c r="P103" s="342">
        <v>6111175682</v>
      </c>
      <c r="S103" s="343">
        <v>45535</v>
      </c>
      <c r="Y103" s="342" t="s">
        <v>4677</v>
      </c>
    </row>
    <row r="104" spans="1:25" ht="409.5">
      <c r="A104" s="342">
        <v>171387</v>
      </c>
      <c r="B104" s="342" t="s">
        <v>5412</v>
      </c>
      <c r="C104" s="342" t="s">
        <v>234</v>
      </c>
      <c r="D104" s="342" t="s">
        <v>47</v>
      </c>
      <c r="E104" s="342" t="s">
        <v>591</v>
      </c>
      <c r="F104" s="342" t="s">
        <v>40</v>
      </c>
      <c r="G104" s="342" t="s">
        <v>5449</v>
      </c>
      <c r="H104" s="342" t="s">
        <v>5738</v>
      </c>
      <c r="I104" s="342" t="s">
        <v>1582</v>
      </c>
      <c r="L104" s="342" t="s">
        <v>1571</v>
      </c>
      <c r="M104" s="342" t="s">
        <v>1571</v>
      </c>
      <c r="N104" s="342" t="s">
        <v>3653</v>
      </c>
      <c r="O104" s="344" t="s">
        <v>5955</v>
      </c>
      <c r="P104" s="342">
        <v>6111354461</v>
      </c>
      <c r="R104" s="342" t="s">
        <v>3649</v>
      </c>
      <c r="S104" s="343">
        <v>45535</v>
      </c>
      <c r="T104" s="343">
        <v>45535</v>
      </c>
      <c r="U104" s="343">
        <v>44628</v>
      </c>
      <c r="V104" s="343">
        <v>44440</v>
      </c>
      <c r="W104" s="343">
        <v>44743</v>
      </c>
      <c r="X104" s="342" t="s">
        <v>5959</v>
      </c>
      <c r="Y104" s="342" t="s">
        <v>4677</v>
      </c>
    </row>
    <row r="105" spans="1:25">
      <c r="A105" s="342">
        <v>171397</v>
      </c>
      <c r="B105" s="342" t="s">
        <v>845</v>
      </c>
      <c r="C105" s="342" t="s">
        <v>235</v>
      </c>
      <c r="D105" s="342" t="s">
        <v>51</v>
      </c>
      <c r="E105" s="342" t="s">
        <v>591</v>
      </c>
      <c r="F105" s="342" t="s">
        <v>1114</v>
      </c>
      <c r="G105" s="342" t="s">
        <v>1510</v>
      </c>
      <c r="H105" s="342" t="s">
        <v>5739</v>
      </c>
      <c r="I105" s="342" t="s">
        <v>1576</v>
      </c>
      <c r="L105" s="342" t="s">
        <v>1576</v>
      </c>
      <c r="M105" s="342" t="s">
        <v>1576</v>
      </c>
      <c r="N105" s="342" t="s">
        <v>3647</v>
      </c>
      <c r="O105" s="342" t="s">
        <v>4413</v>
      </c>
      <c r="P105" s="342">
        <v>6134534640</v>
      </c>
      <c r="R105" s="342" t="s">
        <v>3649</v>
      </c>
      <c r="S105" s="343">
        <v>45218</v>
      </c>
      <c r="T105" s="343">
        <v>45218</v>
      </c>
      <c r="U105" s="343">
        <v>43817</v>
      </c>
      <c r="V105" s="343">
        <v>44124</v>
      </c>
      <c r="W105" s="343">
        <v>44271</v>
      </c>
      <c r="X105" s="342" t="s">
        <v>3738</v>
      </c>
      <c r="Y105" s="342" t="s">
        <v>3739</v>
      </c>
    </row>
    <row r="106" spans="1:25">
      <c r="A106" s="342">
        <v>172190</v>
      </c>
      <c r="B106" s="342" t="s">
        <v>673</v>
      </c>
      <c r="C106" s="342" t="s">
        <v>675</v>
      </c>
      <c r="D106" s="342" t="s">
        <v>51</v>
      </c>
      <c r="E106" s="342" t="s">
        <v>591</v>
      </c>
      <c r="F106" s="342" t="s">
        <v>40</v>
      </c>
      <c r="G106" s="342" t="s">
        <v>1277</v>
      </c>
      <c r="H106" s="342" t="s">
        <v>4425</v>
      </c>
      <c r="I106" s="342" t="s">
        <v>1568</v>
      </c>
      <c r="L106" s="342" t="s">
        <v>1568</v>
      </c>
      <c r="M106" s="342" t="s">
        <v>1568</v>
      </c>
      <c r="N106" s="342" t="s">
        <v>3652</v>
      </c>
      <c r="O106" s="342" t="s">
        <v>3740</v>
      </c>
      <c r="P106" s="342">
        <v>6116555401</v>
      </c>
      <c r="R106" s="342" t="s">
        <v>3649</v>
      </c>
      <c r="S106" s="343">
        <v>45405</v>
      </c>
      <c r="T106" s="343">
        <v>45405</v>
      </c>
      <c r="U106" s="343">
        <v>44614</v>
      </c>
      <c r="V106" s="343">
        <v>44310</v>
      </c>
      <c r="X106" s="342" t="s">
        <v>3741</v>
      </c>
      <c r="Y106" s="342" t="s">
        <v>3741</v>
      </c>
    </row>
    <row r="107" spans="1:25">
      <c r="A107" s="342">
        <v>172438</v>
      </c>
      <c r="B107" s="342" t="s">
        <v>4695</v>
      </c>
      <c r="C107" s="342" t="s">
        <v>4697</v>
      </c>
      <c r="D107" s="342" t="s">
        <v>66</v>
      </c>
      <c r="E107" s="342" t="s">
        <v>591</v>
      </c>
      <c r="F107" s="342" t="s">
        <v>784</v>
      </c>
      <c r="G107" s="342" t="s">
        <v>4638</v>
      </c>
      <c r="H107" s="342" t="s">
        <v>5075</v>
      </c>
      <c r="I107" s="342" t="s">
        <v>1577</v>
      </c>
      <c r="L107" s="342" t="s">
        <v>1568</v>
      </c>
      <c r="M107" s="342" t="s">
        <v>1568</v>
      </c>
      <c r="N107" s="342" t="s">
        <v>3650</v>
      </c>
      <c r="O107" s="342" t="s">
        <v>4720</v>
      </c>
      <c r="P107" s="342">
        <v>6145593188</v>
      </c>
      <c r="R107" s="342" t="s">
        <v>3649</v>
      </c>
      <c r="S107" s="343">
        <v>44937</v>
      </c>
      <c r="T107" s="343">
        <v>44937</v>
      </c>
      <c r="U107" s="343">
        <v>44494</v>
      </c>
      <c r="V107" s="343">
        <v>43842</v>
      </c>
      <c r="X107" s="342" t="s">
        <v>4727</v>
      </c>
      <c r="Y107" s="342" t="s">
        <v>4728</v>
      </c>
    </row>
    <row r="108" spans="1:25">
      <c r="A108" s="342">
        <v>172438</v>
      </c>
      <c r="B108" s="342" t="s">
        <v>4695</v>
      </c>
      <c r="C108" s="342" t="s">
        <v>4697</v>
      </c>
      <c r="D108" s="342" t="s">
        <v>66</v>
      </c>
      <c r="E108" s="342" t="s">
        <v>591</v>
      </c>
      <c r="F108" s="342" t="s">
        <v>787</v>
      </c>
      <c r="G108" s="342" t="s">
        <v>4638</v>
      </c>
      <c r="H108" s="342" t="s">
        <v>5075</v>
      </c>
      <c r="I108" s="342" t="s">
        <v>1573</v>
      </c>
      <c r="L108" s="342" t="s">
        <v>1571</v>
      </c>
      <c r="M108" s="342" t="s">
        <v>1571</v>
      </c>
      <c r="N108" s="342" t="s">
        <v>3653</v>
      </c>
      <c r="O108" s="342" t="s">
        <v>4721</v>
      </c>
      <c r="P108" s="342">
        <v>6145593188</v>
      </c>
      <c r="R108" s="342" t="s">
        <v>3649</v>
      </c>
      <c r="S108" s="343">
        <v>44937</v>
      </c>
      <c r="T108" s="343">
        <v>44937</v>
      </c>
      <c r="U108" s="343">
        <v>44494</v>
      </c>
      <c r="V108" s="343">
        <v>43842</v>
      </c>
      <c r="X108" s="342" t="s">
        <v>4729</v>
      </c>
      <c r="Y108" s="342" t="s">
        <v>4729</v>
      </c>
    </row>
    <row r="109" spans="1:25">
      <c r="A109" s="342">
        <v>172671</v>
      </c>
      <c r="B109" s="342" t="s">
        <v>1308</v>
      </c>
      <c r="C109" s="342" t="s">
        <v>1310</v>
      </c>
      <c r="D109" s="342" t="s">
        <v>1311</v>
      </c>
      <c r="E109" s="342" t="s">
        <v>591</v>
      </c>
      <c r="F109" s="342" t="s">
        <v>41</v>
      </c>
      <c r="G109" s="342" t="s">
        <v>1421</v>
      </c>
      <c r="H109" s="342" t="s">
        <v>1540</v>
      </c>
      <c r="I109" s="342" t="s">
        <v>1571</v>
      </c>
      <c r="L109" s="342" t="s">
        <v>1571</v>
      </c>
      <c r="M109" s="342" t="s">
        <v>1571</v>
      </c>
      <c r="N109" s="342" t="s">
        <v>3653</v>
      </c>
      <c r="O109" s="342" t="s">
        <v>3742</v>
      </c>
      <c r="P109" s="342">
        <v>6150930189</v>
      </c>
      <c r="R109" s="342" t="s">
        <v>3649</v>
      </c>
      <c r="S109" s="343">
        <v>44809</v>
      </c>
      <c r="T109" s="343">
        <v>44809</v>
      </c>
      <c r="U109" s="343">
        <v>43569</v>
      </c>
      <c r="V109" s="343">
        <v>43714</v>
      </c>
      <c r="X109" s="342" t="s">
        <v>3743</v>
      </c>
      <c r="Y109" s="342" t="s">
        <v>3743</v>
      </c>
    </row>
    <row r="110" spans="1:25">
      <c r="A110" s="342">
        <v>173784</v>
      </c>
      <c r="B110" s="342" t="s">
        <v>237</v>
      </c>
      <c r="C110" s="342" t="s">
        <v>240</v>
      </c>
      <c r="D110" s="342" t="s">
        <v>51</v>
      </c>
      <c r="E110" s="342" t="s">
        <v>591</v>
      </c>
      <c r="F110" s="342" t="s">
        <v>40</v>
      </c>
      <c r="G110" s="342" t="s">
        <v>1277</v>
      </c>
      <c r="H110" s="342" t="s">
        <v>1541</v>
      </c>
      <c r="I110" s="342" t="s">
        <v>1568</v>
      </c>
      <c r="J110" s="342" t="s">
        <v>1575</v>
      </c>
      <c r="K110" s="343">
        <v>2958465</v>
      </c>
      <c r="L110" s="342" t="s">
        <v>1568</v>
      </c>
      <c r="M110" s="342" t="s">
        <v>1568</v>
      </c>
      <c r="N110" s="342" t="s">
        <v>3652</v>
      </c>
      <c r="O110" s="342" t="s">
        <v>3744</v>
      </c>
      <c r="P110" s="342">
        <v>6119426867</v>
      </c>
      <c r="R110" s="342" t="s">
        <v>3649</v>
      </c>
      <c r="S110" s="343">
        <v>44952</v>
      </c>
      <c r="T110" s="343">
        <v>44952</v>
      </c>
      <c r="U110" s="343">
        <v>43913</v>
      </c>
      <c r="V110" s="343">
        <v>43857</v>
      </c>
      <c r="W110" s="343">
        <v>44209</v>
      </c>
      <c r="X110" s="342">
        <v>1103661</v>
      </c>
      <c r="Y110" s="342" t="s">
        <v>3745</v>
      </c>
    </row>
    <row r="111" spans="1:25">
      <c r="A111" s="342">
        <v>173807</v>
      </c>
      <c r="B111" s="342" t="s">
        <v>5668</v>
      </c>
      <c r="C111" s="342" t="s">
        <v>242</v>
      </c>
      <c r="D111" s="342" t="s">
        <v>55</v>
      </c>
      <c r="E111" s="342" t="s">
        <v>591</v>
      </c>
      <c r="F111" s="342" t="s">
        <v>40</v>
      </c>
      <c r="G111" s="342" t="s">
        <v>1421</v>
      </c>
      <c r="H111" s="342" t="s">
        <v>4831</v>
      </c>
      <c r="I111" s="342" t="s">
        <v>1573</v>
      </c>
      <c r="L111" s="342" t="s">
        <v>1571</v>
      </c>
      <c r="M111" s="342" t="s">
        <v>1571</v>
      </c>
      <c r="N111" s="342" t="s">
        <v>3653</v>
      </c>
      <c r="O111" s="342" t="s">
        <v>3661</v>
      </c>
      <c r="P111" s="342">
        <v>6114493727</v>
      </c>
      <c r="R111" s="342" t="s">
        <v>3649</v>
      </c>
      <c r="S111" s="343">
        <v>45612</v>
      </c>
      <c r="T111" s="343">
        <v>45612</v>
      </c>
      <c r="U111" s="343">
        <v>44256</v>
      </c>
      <c r="V111" s="343">
        <v>44517</v>
      </c>
      <c r="X111" s="342" t="s">
        <v>3662</v>
      </c>
      <c r="Y111" s="342" t="s">
        <v>3662</v>
      </c>
    </row>
    <row r="112" spans="1:25">
      <c r="A112" s="342">
        <v>173808</v>
      </c>
      <c r="B112" s="342" t="s">
        <v>1307</v>
      </c>
      <c r="C112" s="342" t="s">
        <v>245</v>
      </c>
      <c r="D112" s="342" t="s">
        <v>51</v>
      </c>
      <c r="E112" s="342" t="s">
        <v>591</v>
      </c>
      <c r="F112" s="342" t="s">
        <v>40</v>
      </c>
      <c r="G112" s="342" t="s">
        <v>5282</v>
      </c>
      <c r="H112" s="342" t="s">
        <v>5265</v>
      </c>
      <c r="I112" s="342" t="s">
        <v>1568</v>
      </c>
      <c r="L112" s="342" t="s">
        <v>1568</v>
      </c>
      <c r="M112" s="342" t="s">
        <v>1568</v>
      </c>
      <c r="N112" s="342" t="s">
        <v>3652</v>
      </c>
      <c r="O112" s="342" t="s">
        <v>5270</v>
      </c>
      <c r="P112" s="342">
        <v>6111550825</v>
      </c>
      <c r="R112" s="342" t="s">
        <v>3649</v>
      </c>
      <c r="S112" s="343">
        <v>45725</v>
      </c>
      <c r="T112" s="343">
        <v>45725</v>
      </c>
      <c r="U112" s="343">
        <v>44543</v>
      </c>
      <c r="V112" s="343">
        <v>44630</v>
      </c>
      <c r="X112" s="342" t="s">
        <v>5274</v>
      </c>
      <c r="Y112" s="342" t="s">
        <v>5274</v>
      </c>
    </row>
    <row r="113" spans="1:25">
      <c r="A113" s="342">
        <v>175626</v>
      </c>
      <c r="B113" s="342" t="s">
        <v>1451</v>
      </c>
      <c r="C113" s="342" t="s">
        <v>1375</v>
      </c>
      <c r="D113" s="342" t="s">
        <v>51</v>
      </c>
      <c r="E113" s="342" t="s">
        <v>591</v>
      </c>
      <c r="F113" s="342" t="s">
        <v>40</v>
      </c>
      <c r="G113" s="342" t="s">
        <v>5278</v>
      </c>
      <c r="H113" s="342" t="s">
        <v>4240</v>
      </c>
      <c r="I113" s="342" t="s">
        <v>1568</v>
      </c>
      <c r="L113" s="342" t="s">
        <v>1568</v>
      </c>
      <c r="M113" s="342" t="s">
        <v>1568</v>
      </c>
      <c r="N113" s="342" t="s">
        <v>3652</v>
      </c>
      <c r="O113" s="342" t="s">
        <v>3746</v>
      </c>
      <c r="P113" s="342">
        <v>6111736461</v>
      </c>
      <c r="R113" s="342" t="s">
        <v>3649</v>
      </c>
      <c r="S113" s="343">
        <v>45294</v>
      </c>
      <c r="T113" s="343">
        <v>45294</v>
      </c>
      <c r="U113" s="343">
        <v>44641</v>
      </c>
      <c r="V113" s="343">
        <v>44200</v>
      </c>
      <c r="X113" s="342">
        <v>306008</v>
      </c>
      <c r="Y113" s="342">
        <v>306008</v>
      </c>
    </row>
    <row r="114" spans="1:25">
      <c r="A114" s="342">
        <v>175845</v>
      </c>
      <c r="B114" s="342" t="s">
        <v>247</v>
      </c>
      <c r="C114" s="342" t="s">
        <v>249</v>
      </c>
      <c r="D114" s="342" t="s">
        <v>47</v>
      </c>
      <c r="E114" s="342" t="s">
        <v>591</v>
      </c>
      <c r="F114" s="342" t="s">
        <v>40</v>
      </c>
      <c r="G114" s="342" t="s">
        <v>5282</v>
      </c>
      <c r="H114" s="342" t="s">
        <v>1542</v>
      </c>
      <c r="I114" s="342" t="s">
        <v>1569</v>
      </c>
      <c r="L114" s="342" t="s">
        <v>1568</v>
      </c>
      <c r="M114" s="342" t="s">
        <v>1568</v>
      </c>
      <c r="N114" s="342" t="s">
        <v>3652</v>
      </c>
      <c r="O114" s="342" t="s">
        <v>3747</v>
      </c>
      <c r="P114" s="342">
        <v>6114370507</v>
      </c>
      <c r="R114" s="342" t="s">
        <v>3649</v>
      </c>
      <c r="S114" s="343">
        <v>44834</v>
      </c>
      <c r="T114" s="343">
        <v>44834</v>
      </c>
      <c r="U114" s="343">
        <v>43902</v>
      </c>
      <c r="V114" s="343">
        <v>43739</v>
      </c>
      <c r="W114" s="343">
        <v>43907</v>
      </c>
      <c r="X114" s="342" t="s">
        <v>3748</v>
      </c>
      <c r="Y114" s="342">
        <v>27812</v>
      </c>
    </row>
    <row r="115" spans="1:25" ht="378">
      <c r="A115" s="342">
        <v>176711</v>
      </c>
      <c r="B115" s="342" t="s">
        <v>250</v>
      </c>
      <c r="C115" s="342" t="s">
        <v>93</v>
      </c>
      <c r="D115" s="342" t="s">
        <v>47</v>
      </c>
      <c r="E115" s="342" t="s">
        <v>591</v>
      </c>
      <c r="F115" s="342" t="s">
        <v>40</v>
      </c>
      <c r="G115" s="342" t="s">
        <v>5278</v>
      </c>
      <c r="H115" s="342" t="s">
        <v>5740</v>
      </c>
      <c r="I115" s="342" t="s">
        <v>1569</v>
      </c>
      <c r="L115" s="342" t="s">
        <v>1568</v>
      </c>
      <c r="M115" s="342" t="s">
        <v>1568</v>
      </c>
      <c r="N115" s="342" t="s">
        <v>3650</v>
      </c>
      <c r="O115" s="344" t="s">
        <v>6076</v>
      </c>
      <c r="P115" s="342">
        <v>6111446560</v>
      </c>
      <c r="R115" s="342" t="s">
        <v>3649</v>
      </c>
      <c r="S115" s="343">
        <v>45502</v>
      </c>
      <c r="T115" s="343">
        <v>45502</v>
      </c>
      <c r="U115" s="343">
        <v>44609</v>
      </c>
      <c r="V115" s="343">
        <v>44407</v>
      </c>
      <c r="W115" s="343">
        <v>44753</v>
      </c>
      <c r="X115" s="342" t="s">
        <v>6079</v>
      </c>
      <c r="Y115" s="342" t="s">
        <v>5647</v>
      </c>
    </row>
    <row r="116" spans="1:25" ht="409.5">
      <c r="A116" s="342">
        <v>176864</v>
      </c>
      <c r="B116" s="342" t="s">
        <v>252</v>
      </c>
      <c r="C116" s="342" t="s">
        <v>254</v>
      </c>
      <c r="D116" s="342" t="s">
        <v>47</v>
      </c>
      <c r="E116" s="342" t="s">
        <v>591</v>
      </c>
      <c r="F116" s="342" t="s">
        <v>40</v>
      </c>
      <c r="G116" s="342" t="s">
        <v>1277</v>
      </c>
      <c r="H116" s="342" t="s">
        <v>4494</v>
      </c>
      <c r="I116" s="342" t="s">
        <v>1569</v>
      </c>
      <c r="L116" s="342" t="s">
        <v>1568</v>
      </c>
      <c r="M116" s="342" t="s">
        <v>1568</v>
      </c>
      <c r="N116" s="342" t="s">
        <v>3650</v>
      </c>
      <c r="O116" s="344" t="s">
        <v>5160</v>
      </c>
      <c r="P116" s="342">
        <v>6116733809</v>
      </c>
      <c r="R116" s="342" t="s">
        <v>3649</v>
      </c>
      <c r="S116" s="343">
        <v>45212</v>
      </c>
      <c r="T116" s="343">
        <v>45212</v>
      </c>
      <c r="U116" s="343">
        <v>44480</v>
      </c>
      <c r="V116" s="343">
        <v>44118</v>
      </c>
      <c r="W116" s="343">
        <v>44594</v>
      </c>
      <c r="X116" s="342" t="s">
        <v>3749</v>
      </c>
      <c r="Y116" s="342" t="s">
        <v>3749</v>
      </c>
    </row>
    <row r="117" spans="1:25">
      <c r="A117" s="342">
        <v>177839</v>
      </c>
      <c r="B117" s="342" t="s">
        <v>256</v>
      </c>
      <c r="C117" s="342" t="s">
        <v>258</v>
      </c>
      <c r="D117" s="342" t="s">
        <v>47</v>
      </c>
      <c r="E117" s="342" t="s">
        <v>591</v>
      </c>
      <c r="F117" s="342" t="s">
        <v>40</v>
      </c>
      <c r="G117" s="342" t="s">
        <v>5279</v>
      </c>
      <c r="H117" s="342" t="s">
        <v>5985</v>
      </c>
      <c r="I117" s="342" t="s">
        <v>1570</v>
      </c>
      <c r="L117" s="342" t="s">
        <v>1571</v>
      </c>
      <c r="M117" s="342" t="s">
        <v>1571</v>
      </c>
      <c r="N117" s="342" t="s">
        <v>3653</v>
      </c>
      <c r="O117" s="342" t="s">
        <v>3750</v>
      </c>
      <c r="P117" s="342">
        <v>6111629549</v>
      </c>
      <c r="R117" s="342" t="s">
        <v>3649</v>
      </c>
      <c r="S117" s="343">
        <v>45772</v>
      </c>
      <c r="T117" s="343">
        <v>45772</v>
      </c>
      <c r="U117" s="343">
        <v>44592</v>
      </c>
      <c r="V117" s="343">
        <v>44677</v>
      </c>
      <c r="X117" s="342" t="s">
        <v>5380</v>
      </c>
      <c r="Y117" s="342" t="s">
        <v>5991</v>
      </c>
    </row>
    <row r="118" spans="1:25">
      <c r="A118" s="342">
        <v>177845</v>
      </c>
      <c r="B118" s="342" t="s">
        <v>852</v>
      </c>
      <c r="C118" s="342" t="s">
        <v>855</v>
      </c>
      <c r="D118" s="342" t="s">
        <v>51</v>
      </c>
      <c r="E118" s="342" t="s">
        <v>591</v>
      </c>
      <c r="F118" s="342" t="s">
        <v>40</v>
      </c>
      <c r="G118" s="342" t="s">
        <v>5279</v>
      </c>
      <c r="H118" s="342" t="s">
        <v>1543</v>
      </c>
      <c r="I118" s="342" t="s">
        <v>1571</v>
      </c>
      <c r="L118" s="342" t="s">
        <v>1571</v>
      </c>
      <c r="M118" s="342" t="s">
        <v>1571</v>
      </c>
      <c r="N118" s="342" t="s">
        <v>3656</v>
      </c>
      <c r="O118" s="342" t="s">
        <v>3751</v>
      </c>
      <c r="P118" s="342">
        <v>6122776368</v>
      </c>
      <c r="R118" s="342" t="s">
        <v>3649</v>
      </c>
      <c r="S118" s="343">
        <v>44858</v>
      </c>
      <c r="T118" s="343">
        <v>44858</v>
      </c>
      <c r="U118" s="343">
        <v>44452</v>
      </c>
      <c r="V118" s="343">
        <v>43763</v>
      </c>
      <c r="X118" s="342" t="s">
        <v>3752</v>
      </c>
      <c r="Y118" s="342" t="s">
        <v>3752</v>
      </c>
    </row>
    <row r="119" spans="1:25" ht="266">
      <c r="A119" s="342">
        <v>178134</v>
      </c>
      <c r="B119" s="342" t="s">
        <v>259</v>
      </c>
      <c r="C119" s="342" t="s">
        <v>261</v>
      </c>
      <c r="D119" s="342" t="s">
        <v>55</v>
      </c>
      <c r="E119" s="342" t="s">
        <v>591</v>
      </c>
      <c r="F119" s="342" t="s">
        <v>40</v>
      </c>
      <c r="G119" s="342" t="s">
        <v>5278</v>
      </c>
      <c r="H119" s="342" t="s">
        <v>5741</v>
      </c>
      <c r="I119" s="342" t="s">
        <v>1568</v>
      </c>
      <c r="L119" s="342" t="s">
        <v>1568</v>
      </c>
      <c r="M119" s="342" t="s">
        <v>1568</v>
      </c>
      <c r="N119" s="342" t="s">
        <v>3650</v>
      </c>
      <c r="O119" s="344" t="s">
        <v>3753</v>
      </c>
      <c r="P119" s="342">
        <v>6113745065</v>
      </c>
      <c r="R119" s="342" t="s">
        <v>3649</v>
      </c>
      <c r="S119" s="343">
        <v>44872</v>
      </c>
      <c r="T119" s="343">
        <v>44872</v>
      </c>
      <c r="U119" s="343">
        <v>44466</v>
      </c>
      <c r="V119" s="343">
        <v>43777</v>
      </c>
      <c r="W119" s="343">
        <v>44487</v>
      </c>
      <c r="X119" s="342">
        <v>881021015</v>
      </c>
      <c r="Y119" s="342" t="s">
        <v>3754</v>
      </c>
    </row>
    <row r="120" spans="1:25" ht="238">
      <c r="A120" s="342">
        <v>178633</v>
      </c>
      <c r="B120" s="342" t="s">
        <v>1175</v>
      </c>
      <c r="C120" s="342" t="s">
        <v>828</v>
      </c>
      <c r="D120" s="342" t="s">
        <v>47</v>
      </c>
      <c r="E120" s="342" t="s">
        <v>591</v>
      </c>
      <c r="F120" s="342" t="s">
        <v>40</v>
      </c>
      <c r="G120" s="342" t="s">
        <v>1510</v>
      </c>
      <c r="H120" s="342" t="s">
        <v>5742</v>
      </c>
      <c r="I120" s="342" t="s">
        <v>1573</v>
      </c>
      <c r="L120" s="342" t="s">
        <v>1571</v>
      </c>
      <c r="M120" s="342" t="s">
        <v>1571</v>
      </c>
      <c r="N120" s="342" t="s">
        <v>3653</v>
      </c>
      <c r="O120" s="344" t="s">
        <v>5112</v>
      </c>
      <c r="P120" s="342">
        <v>6120942563</v>
      </c>
      <c r="R120" s="342" t="s">
        <v>3649</v>
      </c>
      <c r="S120" s="343">
        <v>45667</v>
      </c>
      <c r="T120" s="343">
        <v>45667</v>
      </c>
      <c r="U120" s="343">
        <v>44452</v>
      </c>
      <c r="V120" s="343">
        <v>44572</v>
      </c>
      <c r="X120" s="342" t="s">
        <v>5114</v>
      </c>
      <c r="Y120" s="342" t="s">
        <v>5115</v>
      </c>
    </row>
    <row r="121" spans="1:25">
      <c r="A121" s="342">
        <v>178963</v>
      </c>
      <c r="B121" s="342" t="s">
        <v>262</v>
      </c>
      <c r="C121" s="342" t="s">
        <v>74</v>
      </c>
      <c r="D121" s="342" t="s">
        <v>55</v>
      </c>
      <c r="E121" s="342" t="s">
        <v>591</v>
      </c>
      <c r="F121" s="342" t="s">
        <v>41</v>
      </c>
      <c r="G121" s="342" t="s">
        <v>4638</v>
      </c>
      <c r="H121" s="342" t="s">
        <v>5492</v>
      </c>
      <c r="I121" s="342" t="s">
        <v>1572</v>
      </c>
      <c r="L121" s="342" t="s">
        <v>1571</v>
      </c>
      <c r="M121" s="342" t="s">
        <v>1571</v>
      </c>
      <c r="N121" s="342" t="s">
        <v>3653</v>
      </c>
      <c r="O121" s="342" t="s">
        <v>4981</v>
      </c>
      <c r="P121" s="342">
        <v>6121397421</v>
      </c>
      <c r="R121" s="342" t="s">
        <v>3649</v>
      </c>
      <c r="S121" s="343">
        <v>45646</v>
      </c>
      <c r="T121" s="343">
        <v>45646</v>
      </c>
      <c r="U121" s="343">
        <v>44277</v>
      </c>
      <c r="V121" s="343">
        <v>44551</v>
      </c>
      <c r="W121" s="343">
        <v>44580</v>
      </c>
      <c r="X121" s="342" t="s">
        <v>5164</v>
      </c>
      <c r="Y121" s="342" t="s">
        <v>3755</v>
      </c>
    </row>
    <row r="122" spans="1:25">
      <c r="A122" s="342">
        <v>178963</v>
      </c>
      <c r="B122" s="342" t="s">
        <v>262</v>
      </c>
      <c r="C122" s="342" t="s">
        <v>74</v>
      </c>
      <c r="D122" s="342" t="s">
        <v>55</v>
      </c>
      <c r="E122" s="342" t="s">
        <v>591</v>
      </c>
      <c r="F122" s="342" t="s">
        <v>40</v>
      </c>
      <c r="G122" s="342" t="s">
        <v>4638</v>
      </c>
      <c r="H122" s="342" t="s">
        <v>5492</v>
      </c>
      <c r="I122" s="342" t="s">
        <v>1572</v>
      </c>
      <c r="L122" s="342" t="s">
        <v>1571</v>
      </c>
      <c r="M122" s="342" t="s">
        <v>1571</v>
      </c>
      <c r="N122" s="342" t="s">
        <v>3653</v>
      </c>
      <c r="O122" s="342" t="s">
        <v>4981</v>
      </c>
      <c r="P122" s="342">
        <v>6121397421</v>
      </c>
      <c r="R122" s="342" t="s">
        <v>3649</v>
      </c>
      <c r="S122" s="343">
        <v>45646</v>
      </c>
      <c r="T122" s="343">
        <v>45646</v>
      </c>
      <c r="U122" s="343">
        <v>44277</v>
      </c>
      <c r="V122" s="343">
        <v>44551</v>
      </c>
      <c r="W122" s="343">
        <v>44580</v>
      </c>
      <c r="X122" s="342" t="s">
        <v>5164</v>
      </c>
      <c r="Y122" s="342" t="s">
        <v>3755</v>
      </c>
    </row>
    <row r="123" spans="1:25">
      <c r="A123" s="342">
        <v>178963</v>
      </c>
      <c r="B123" s="342" t="s">
        <v>262</v>
      </c>
      <c r="C123" s="342" t="s">
        <v>74</v>
      </c>
      <c r="D123" s="342" t="s">
        <v>55</v>
      </c>
      <c r="E123" s="342" t="s">
        <v>591</v>
      </c>
      <c r="F123" s="342" t="s">
        <v>784</v>
      </c>
      <c r="G123" s="342" t="s">
        <v>4638</v>
      </c>
      <c r="H123" s="342" t="s">
        <v>5492</v>
      </c>
      <c r="I123" s="342" t="s">
        <v>1579</v>
      </c>
      <c r="L123" s="342" t="s">
        <v>1568</v>
      </c>
      <c r="M123" s="342" t="s">
        <v>1568</v>
      </c>
      <c r="N123" s="342" t="s">
        <v>3650</v>
      </c>
      <c r="O123" s="342" t="s">
        <v>4982</v>
      </c>
      <c r="P123" s="342">
        <v>6121397421</v>
      </c>
      <c r="R123" s="342" t="s">
        <v>3649</v>
      </c>
      <c r="S123" s="343">
        <v>45646</v>
      </c>
      <c r="T123" s="343">
        <v>45646</v>
      </c>
      <c r="U123" s="343">
        <v>44279</v>
      </c>
      <c r="V123" s="343">
        <v>44551</v>
      </c>
      <c r="W123" s="343">
        <v>44580</v>
      </c>
      <c r="X123" s="342" t="s">
        <v>5165</v>
      </c>
      <c r="Y123" s="342" t="s">
        <v>3756</v>
      </c>
    </row>
    <row r="124" spans="1:25" ht="322">
      <c r="A124" s="342">
        <v>179320</v>
      </c>
      <c r="B124" s="342" t="s">
        <v>264</v>
      </c>
      <c r="C124" s="342" t="s">
        <v>859</v>
      </c>
      <c r="D124" s="342" t="s">
        <v>47</v>
      </c>
      <c r="E124" s="342" t="s">
        <v>591</v>
      </c>
      <c r="F124" s="342" t="s">
        <v>40</v>
      </c>
      <c r="G124" s="342" t="s">
        <v>1277</v>
      </c>
      <c r="H124" s="342" t="s">
        <v>5076</v>
      </c>
      <c r="I124" s="342" t="s">
        <v>1568</v>
      </c>
      <c r="L124" s="342" t="s">
        <v>1568</v>
      </c>
      <c r="M124" s="342" t="s">
        <v>1568</v>
      </c>
      <c r="N124" s="342" t="s">
        <v>3650</v>
      </c>
      <c r="O124" s="344" t="s">
        <v>4576</v>
      </c>
      <c r="P124" s="342">
        <v>6121077602</v>
      </c>
      <c r="R124" s="342" t="s">
        <v>3649</v>
      </c>
      <c r="S124" s="343">
        <v>45464</v>
      </c>
      <c r="T124" s="343">
        <v>45464</v>
      </c>
      <c r="U124" s="343">
        <v>44678</v>
      </c>
      <c r="V124" s="343">
        <v>44369</v>
      </c>
      <c r="X124" s="342">
        <v>26930.5</v>
      </c>
      <c r="Y124" s="342">
        <v>26930.5</v>
      </c>
    </row>
    <row r="125" spans="1:25">
      <c r="A125" s="342">
        <v>180121</v>
      </c>
      <c r="B125" s="342" t="s">
        <v>861</v>
      </c>
      <c r="C125" s="342" t="s">
        <v>265</v>
      </c>
      <c r="D125" s="342" t="s">
        <v>45</v>
      </c>
      <c r="E125" s="342" t="s">
        <v>591</v>
      </c>
      <c r="F125" s="342" t="s">
        <v>787</v>
      </c>
      <c r="G125" s="342" t="s">
        <v>1336</v>
      </c>
      <c r="H125" s="342" t="s">
        <v>5077</v>
      </c>
      <c r="I125" s="342" t="s">
        <v>1571</v>
      </c>
      <c r="L125" s="342" t="s">
        <v>1571</v>
      </c>
      <c r="M125" s="342" t="s">
        <v>1571</v>
      </c>
      <c r="N125" s="342" t="s">
        <v>3653</v>
      </c>
      <c r="O125" s="342" t="s">
        <v>4211</v>
      </c>
      <c r="P125" s="342">
        <v>6115242168</v>
      </c>
      <c r="R125" s="342" t="s">
        <v>3649</v>
      </c>
      <c r="S125" s="343">
        <v>45182</v>
      </c>
      <c r="T125" s="343">
        <v>45182</v>
      </c>
      <c r="U125" s="343">
        <v>44383</v>
      </c>
      <c r="V125" s="343">
        <v>44182</v>
      </c>
      <c r="W125" s="343">
        <v>44611</v>
      </c>
      <c r="X125" s="342">
        <v>57102.8</v>
      </c>
      <c r="Y125" s="342">
        <v>57102.7</v>
      </c>
    </row>
    <row r="126" spans="1:25">
      <c r="A126" s="342">
        <v>180458</v>
      </c>
      <c r="B126" s="342" t="s">
        <v>266</v>
      </c>
      <c r="C126" s="342" t="s">
        <v>267</v>
      </c>
      <c r="D126" s="342" t="s">
        <v>51</v>
      </c>
      <c r="E126" s="342" t="s">
        <v>591</v>
      </c>
      <c r="F126" s="342" t="s">
        <v>40</v>
      </c>
      <c r="G126" s="342" t="s">
        <v>4608</v>
      </c>
      <c r="H126" s="342" t="s">
        <v>4770</v>
      </c>
      <c r="I126" s="342" t="s">
        <v>1569</v>
      </c>
      <c r="L126" s="342" t="s">
        <v>1568</v>
      </c>
      <c r="M126" s="342" t="s">
        <v>1568</v>
      </c>
      <c r="N126" s="342" t="s">
        <v>3652</v>
      </c>
      <c r="O126" s="342" t="s">
        <v>4766</v>
      </c>
      <c r="P126" s="342">
        <v>6113218521</v>
      </c>
      <c r="R126" s="342" t="s">
        <v>3649</v>
      </c>
      <c r="S126" s="343">
        <v>45576</v>
      </c>
      <c r="T126" s="343">
        <v>45576</v>
      </c>
      <c r="U126" s="343">
        <v>43570</v>
      </c>
      <c r="V126" s="343">
        <v>44481</v>
      </c>
      <c r="W126" s="343">
        <v>44496</v>
      </c>
      <c r="X126" s="342" t="s">
        <v>3757</v>
      </c>
      <c r="Y126" s="342" t="s">
        <v>3757</v>
      </c>
    </row>
    <row r="127" spans="1:25" ht="409.5">
      <c r="A127" s="342">
        <v>180954</v>
      </c>
      <c r="B127" s="342" t="s">
        <v>4562</v>
      </c>
      <c r="C127" s="342" t="s">
        <v>4565</v>
      </c>
      <c r="D127" s="342" t="s">
        <v>51</v>
      </c>
      <c r="E127" s="342" t="s">
        <v>591</v>
      </c>
      <c r="F127" s="342" t="s">
        <v>40</v>
      </c>
      <c r="G127" s="342" t="s">
        <v>5280</v>
      </c>
      <c r="H127" s="342" t="s">
        <v>4633</v>
      </c>
      <c r="I127" s="342" t="s">
        <v>1568</v>
      </c>
      <c r="L127" s="342" t="s">
        <v>1568</v>
      </c>
      <c r="M127" s="342" t="s">
        <v>1568</v>
      </c>
      <c r="N127" s="342" t="s">
        <v>3650</v>
      </c>
      <c r="O127" s="344" t="s">
        <v>4619</v>
      </c>
      <c r="P127" s="342">
        <v>6110726485</v>
      </c>
      <c r="R127" s="342" t="s">
        <v>3649</v>
      </c>
      <c r="S127" s="343">
        <v>45526</v>
      </c>
      <c r="T127" s="343">
        <v>45526</v>
      </c>
      <c r="U127" s="343">
        <v>44286</v>
      </c>
      <c r="V127" s="343">
        <v>44431</v>
      </c>
      <c r="X127" s="342">
        <v>40643.230000000003</v>
      </c>
      <c r="Y127" s="342" t="s">
        <v>4570</v>
      </c>
    </row>
    <row r="128" spans="1:25">
      <c r="A128" s="342">
        <v>181114</v>
      </c>
      <c r="B128" s="342" t="s">
        <v>1152</v>
      </c>
      <c r="C128" s="342" t="s">
        <v>159</v>
      </c>
      <c r="D128" s="342" t="s">
        <v>51</v>
      </c>
      <c r="E128" s="342" t="s">
        <v>591</v>
      </c>
      <c r="F128" s="342" t="s">
        <v>40</v>
      </c>
      <c r="G128" s="342" t="s">
        <v>5283</v>
      </c>
      <c r="H128" s="342" t="s">
        <v>5743</v>
      </c>
      <c r="I128" s="342" t="s">
        <v>1569</v>
      </c>
      <c r="L128" s="342" t="s">
        <v>1568</v>
      </c>
      <c r="M128" s="342" t="s">
        <v>1568</v>
      </c>
      <c r="N128" s="342" t="s">
        <v>3650</v>
      </c>
      <c r="O128" s="342" t="s">
        <v>5957</v>
      </c>
      <c r="P128" s="342">
        <v>6149265166</v>
      </c>
      <c r="R128" s="342" t="s">
        <v>3649</v>
      </c>
      <c r="S128" s="343">
        <v>45363</v>
      </c>
      <c r="T128" s="343">
        <v>45363</v>
      </c>
      <c r="U128" s="343">
        <v>44578</v>
      </c>
      <c r="V128" s="343">
        <v>44268</v>
      </c>
      <c r="W128" s="343">
        <v>44753</v>
      </c>
      <c r="X128" s="342" t="s">
        <v>3758</v>
      </c>
      <c r="Y128" s="342" t="s">
        <v>3758</v>
      </c>
    </row>
    <row r="129" spans="1:25" ht="409.5">
      <c r="A129" s="342">
        <v>181579</v>
      </c>
      <c r="B129" s="342" t="s">
        <v>866</v>
      </c>
      <c r="C129" s="342" t="s">
        <v>270</v>
      </c>
      <c r="D129" s="342" t="s">
        <v>47</v>
      </c>
      <c r="E129" s="342" t="s">
        <v>591</v>
      </c>
      <c r="F129" s="342" t="s">
        <v>40</v>
      </c>
      <c r="G129" s="342" t="s">
        <v>5280</v>
      </c>
      <c r="H129" s="342" t="s">
        <v>5744</v>
      </c>
      <c r="I129" s="342" t="s">
        <v>1569</v>
      </c>
      <c r="L129" s="342" t="s">
        <v>1568</v>
      </c>
      <c r="M129" s="342" t="s">
        <v>1568</v>
      </c>
      <c r="N129" s="342" t="s">
        <v>3650</v>
      </c>
      <c r="O129" s="344" t="s">
        <v>3759</v>
      </c>
      <c r="P129" s="342">
        <v>6135733107</v>
      </c>
      <c r="R129" s="342" t="s">
        <v>3649</v>
      </c>
      <c r="S129" s="343">
        <v>45544</v>
      </c>
      <c r="T129" s="343">
        <v>45544</v>
      </c>
      <c r="U129" s="343">
        <v>44256</v>
      </c>
      <c r="V129" s="343">
        <v>44449</v>
      </c>
      <c r="X129" s="342" t="s">
        <v>4666</v>
      </c>
      <c r="Y129" s="342" t="s">
        <v>4679</v>
      </c>
    </row>
    <row r="130" spans="1:25" ht="409.5">
      <c r="A130" s="342">
        <v>181583</v>
      </c>
      <c r="B130" s="342" t="s">
        <v>743</v>
      </c>
      <c r="C130" s="342" t="s">
        <v>272</v>
      </c>
      <c r="D130" s="342" t="s">
        <v>47</v>
      </c>
      <c r="E130" s="342" t="s">
        <v>591</v>
      </c>
      <c r="F130" s="342" t="s">
        <v>40</v>
      </c>
      <c r="G130" s="342" t="s">
        <v>5280</v>
      </c>
      <c r="H130" s="342" t="s">
        <v>5745</v>
      </c>
      <c r="I130" s="342" t="s">
        <v>1569</v>
      </c>
      <c r="L130" s="342" t="s">
        <v>1568</v>
      </c>
      <c r="M130" s="342" t="s">
        <v>1568</v>
      </c>
      <c r="N130" s="342" t="s">
        <v>3650</v>
      </c>
      <c r="O130" s="344" t="s">
        <v>3759</v>
      </c>
      <c r="P130" s="342">
        <v>6135733107</v>
      </c>
      <c r="R130" s="342" t="s">
        <v>3649</v>
      </c>
      <c r="S130" s="343">
        <v>45544</v>
      </c>
      <c r="T130" s="343">
        <v>45544</v>
      </c>
      <c r="U130" s="343">
        <v>44256</v>
      </c>
      <c r="V130" s="343">
        <v>44449</v>
      </c>
      <c r="X130" s="342" t="s">
        <v>4666</v>
      </c>
      <c r="Y130" s="342" t="s">
        <v>4679</v>
      </c>
    </row>
    <row r="131" spans="1:25" ht="409.5">
      <c r="A131" s="342">
        <v>181608</v>
      </c>
      <c r="B131" s="342" t="s">
        <v>869</v>
      </c>
      <c r="C131" s="342" t="s">
        <v>275</v>
      </c>
      <c r="D131" s="342" t="s">
        <v>45</v>
      </c>
      <c r="E131" s="342" t="s">
        <v>591</v>
      </c>
      <c r="F131" s="342" t="s">
        <v>40</v>
      </c>
      <c r="G131" s="342" t="s">
        <v>5280</v>
      </c>
      <c r="H131" s="342" t="s">
        <v>5746</v>
      </c>
      <c r="I131" s="342" t="s">
        <v>1568</v>
      </c>
      <c r="L131" s="342" t="s">
        <v>1568</v>
      </c>
      <c r="M131" s="342" t="s">
        <v>1568</v>
      </c>
      <c r="N131" s="342" t="s">
        <v>3650</v>
      </c>
      <c r="O131" s="344" t="s">
        <v>3759</v>
      </c>
      <c r="P131" s="342">
        <v>6135733107</v>
      </c>
      <c r="R131" s="342" t="s">
        <v>3649</v>
      </c>
      <c r="S131" s="343">
        <v>45544</v>
      </c>
      <c r="T131" s="343">
        <v>45544</v>
      </c>
      <c r="U131" s="343">
        <v>44256</v>
      </c>
      <c r="V131" s="343">
        <v>44449</v>
      </c>
      <c r="X131" s="342" t="s">
        <v>4666</v>
      </c>
      <c r="Y131" s="342" t="s">
        <v>4679</v>
      </c>
    </row>
    <row r="132" spans="1:25">
      <c r="A132" s="342">
        <v>182320</v>
      </c>
      <c r="B132" s="342" t="s">
        <v>537</v>
      </c>
      <c r="C132" s="342" t="s">
        <v>696</v>
      </c>
      <c r="D132" s="342" t="s">
        <v>98</v>
      </c>
      <c r="E132" s="342" t="s">
        <v>591</v>
      </c>
      <c r="F132" s="342" t="s">
        <v>40</v>
      </c>
      <c r="G132" s="342" t="s">
        <v>5282</v>
      </c>
      <c r="H132" s="342" t="s">
        <v>1544</v>
      </c>
      <c r="I132" s="342" t="s">
        <v>1568</v>
      </c>
      <c r="L132" s="342" t="s">
        <v>1568</v>
      </c>
      <c r="M132" s="342" t="s">
        <v>1568</v>
      </c>
      <c r="N132" s="342" t="s">
        <v>3652</v>
      </c>
      <c r="O132" s="342" t="s">
        <v>3760</v>
      </c>
      <c r="P132" s="342">
        <v>6110658647</v>
      </c>
      <c r="R132" s="342" t="s">
        <v>3649</v>
      </c>
      <c r="S132" s="343">
        <v>44861</v>
      </c>
      <c r="T132" s="343">
        <v>44861</v>
      </c>
      <c r="U132" s="343">
        <v>43598</v>
      </c>
      <c r="V132" s="343">
        <v>43766</v>
      </c>
      <c r="X132" s="342" t="s">
        <v>3761</v>
      </c>
      <c r="Y132" s="342" t="s">
        <v>3761</v>
      </c>
    </row>
    <row r="133" spans="1:25">
      <c r="A133" s="342">
        <v>183135</v>
      </c>
      <c r="B133" s="342" t="s">
        <v>277</v>
      </c>
      <c r="C133" s="342" t="s">
        <v>222</v>
      </c>
      <c r="D133" s="342" t="s">
        <v>51</v>
      </c>
      <c r="E133" s="342" t="s">
        <v>591</v>
      </c>
      <c r="F133" s="342" t="s">
        <v>40</v>
      </c>
      <c r="G133" s="342" t="s">
        <v>5279</v>
      </c>
      <c r="H133" s="342" t="s">
        <v>5747</v>
      </c>
      <c r="I133" s="342" t="s">
        <v>1568</v>
      </c>
      <c r="L133" s="342" t="s">
        <v>1568</v>
      </c>
      <c r="M133" s="342" t="s">
        <v>1568</v>
      </c>
      <c r="N133" s="342" t="s">
        <v>3652</v>
      </c>
      <c r="O133" s="342" t="s">
        <v>3762</v>
      </c>
      <c r="P133" s="342">
        <v>6115579721</v>
      </c>
      <c r="R133" s="342" t="s">
        <v>3649</v>
      </c>
      <c r="S133" s="343">
        <v>45096</v>
      </c>
      <c r="T133" s="343">
        <v>45096</v>
      </c>
      <c r="U133" s="343">
        <v>44326</v>
      </c>
      <c r="V133" s="343">
        <v>44002</v>
      </c>
      <c r="X133" s="342" t="s">
        <v>3763</v>
      </c>
      <c r="Y133" s="342" t="s">
        <v>3763</v>
      </c>
    </row>
    <row r="134" spans="1:25">
      <c r="A134" s="342">
        <v>183137</v>
      </c>
      <c r="B134" s="342" t="s">
        <v>280</v>
      </c>
      <c r="C134" s="342" t="s">
        <v>283</v>
      </c>
      <c r="D134" s="342" t="s">
        <v>45</v>
      </c>
      <c r="E134" s="342" t="s">
        <v>591</v>
      </c>
      <c r="F134" s="342" t="s">
        <v>40</v>
      </c>
      <c r="G134" s="342" t="s">
        <v>5279</v>
      </c>
      <c r="H134" s="342" t="s">
        <v>5748</v>
      </c>
      <c r="I134" s="342" t="s">
        <v>1568</v>
      </c>
      <c r="L134" s="342" t="s">
        <v>1568</v>
      </c>
      <c r="M134" s="342" t="s">
        <v>1568</v>
      </c>
      <c r="N134" s="342" t="s">
        <v>3650</v>
      </c>
      <c r="O134" s="342" t="s">
        <v>4722</v>
      </c>
      <c r="P134" s="342">
        <v>6113228320</v>
      </c>
      <c r="R134" s="342" t="s">
        <v>3649</v>
      </c>
      <c r="S134" s="343">
        <v>45594</v>
      </c>
      <c r="T134" s="343">
        <v>45594</v>
      </c>
      <c r="U134" s="343">
        <v>43668</v>
      </c>
      <c r="V134" s="343">
        <v>44499</v>
      </c>
      <c r="X134" s="342" t="s">
        <v>3764</v>
      </c>
      <c r="Y134" s="342" t="s">
        <v>3764</v>
      </c>
    </row>
    <row r="135" spans="1:25">
      <c r="A135" s="342">
        <v>183144</v>
      </c>
      <c r="B135" s="342" t="s">
        <v>285</v>
      </c>
      <c r="C135" s="342" t="s">
        <v>286</v>
      </c>
      <c r="D135" s="342" t="s">
        <v>51</v>
      </c>
      <c r="E135" s="342" t="s">
        <v>591</v>
      </c>
      <c r="F135" s="342" t="s">
        <v>40</v>
      </c>
      <c r="G135" s="342" t="s">
        <v>5279</v>
      </c>
      <c r="H135" s="342" t="s">
        <v>5749</v>
      </c>
      <c r="I135" s="342" t="s">
        <v>1568</v>
      </c>
      <c r="L135" s="342" t="s">
        <v>1568</v>
      </c>
      <c r="M135" s="342" t="s">
        <v>1568</v>
      </c>
      <c r="N135" s="342" t="s">
        <v>3652</v>
      </c>
      <c r="O135" s="342" t="s">
        <v>3765</v>
      </c>
      <c r="P135" s="342">
        <v>6115579705</v>
      </c>
      <c r="R135" s="342" t="s">
        <v>3649</v>
      </c>
      <c r="S135" s="343">
        <v>45096</v>
      </c>
      <c r="T135" s="343">
        <v>45096</v>
      </c>
      <c r="U135" s="343">
        <v>44320</v>
      </c>
      <c r="V135" s="343">
        <v>44002</v>
      </c>
      <c r="X135" s="342" t="s">
        <v>3766</v>
      </c>
      <c r="Y135" s="342" t="s">
        <v>3766</v>
      </c>
    </row>
    <row r="136" spans="1:25">
      <c r="A136" s="342">
        <v>183727</v>
      </c>
      <c r="B136" s="342" t="s">
        <v>1351</v>
      </c>
      <c r="C136" s="342" t="s">
        <v>1354</v>
      </c>
      <c r="D136" s="342" t="s">
        <v>45</v>
      </c>
      <c r="E136" s="342" t="s">
        <v>591</v>
      </c>
      <c r="F136" s="342" t="s">
        <v>40</v>
      </c>
      <c r="G136" s="342" t="s">
        <v>1288</v>
      </c>
      <c r="H136" s="342" t="s">
        <v>4540</v>
      </c>
      <c r="I136" s="342" t="s">
        <v>1581</v>
      </c>
      <c r="J136" s="342" t="s">
        <v>1571</v>
      </c>
      <c r="K136" s="343">
        <v>44834</v>
      </c>
      <c r="L136" s="342" t="s">
        <v>1581</v>
      </c>
      <c r="M136" s="342" t="s">
        <v>1581</v>
      </c>
      <c r="S136" s="343">
        <v>45431</v>
      </c>
      <c r="Y136" s="342" t="s">
        <v>4548</v>
      </c>
    </row>
    <row r="137" spans="1:25" ht="409.5">
      <c r="A137" s="342">
        <v>184292</v>
      </c>
      <c r="B137" s="342" t="s">
        <v>1415</v>
      </c>
      <c r="C137" s="342" t="s">
        <v>93</v>
      </c>
      <c r="D137" s="342" t="s">
        <v>47</v>
      </c>
      <c r="E137" s="342" t="s">
        <v>591</v>
      </c>
      <c r="F137" s="342" t="s">
        <v>43</v>
      </c>
      <c r="G137" s="342" t="s">
        <v>786</v>
      </c>
      <c r="H137" s="342" t="s">
        <v>5399</v>
      </c>
      <c r="I137" s="342" t="s">
        <v>1568</v>
      </c>
      <c r="L137" s="342" t="s">
        <v>1568</v>
      </c>
      <c r="M137" s="342" t="s">
        <v>1568</v>
      </c>
      <c r="N137" s="342" t="s">
        <v>3650</v>
      </c>
      <c r="O137" s="344" t="s">
        <v>5401</v>
      </c>
      <c r="P137" s="342">
        <v>6126942143</v>
      </c>
      <c r="R137" s="342" t="s">
        <v>3649</v>
      </c>
      <c r="S137" s="343">
        <v>45760</v>
      </c>
      <c r="T137" s="343">
        <v>45760</v>
      </c>
      <c r="U137" s="343">
        <v>44508</v>
      </c>
      <c r="V137" s="343">
        <v>44665</v>
      </c>
      <c r="X137" s="342" t="s">
        <v>5402</v>
      </c>
      <c r="Y137" s="342" t="s">
        <v>5403</v>
      </c>
    </row>
    <row r="138" spans="1:25">
      <c r="A138" s="342">
        <v>185056</v>
      </c>
      <c r="B138" s="342" t="s">
        <v>754</v>
      </c>
      <c r="C138" s="342" t="s">
        <v>290</v>
      </c>
      <c r="D138" s="342" t="s">
        <v>55</v>
      </c>
      <c r="E138" s="342" t="s">
        <v>591</v>
      </c>
      <c r="F138" s="342" t="s">
        <v>40</v>
      </c>
      <c r="G138" s="342" t="s">
        <v>5282</v>
      </c>
      <c r="H138" s="342" t="s">
        <v>5750</v>
      </c>
      <c r="I138" s="342" t="s">
        <v>1572</v>
      </c>
      <c r="L138" s="342" t="s">
        <v>1571</v>
      </c>
      <c r="M138" s="342" t="s">
        <v>1571</v>
      </c>
      <c r="N138" s="342" t="s">
        <v>3656</v>
      </c>
      <c r="O138" s="342" t="s">
        <v>5423</v>
      </c>
      <c r="P138" s="342">
        <v>6111842465</v>
      </c>
      <c r="R138" s="342" t="s">
        <v>3649</v>
      </c>
      <c r="S138" s="343">
        <v>45786</v>
      </c>
      <c r="T138" s="343">
        <v>45786</v>
      </c>
      <c r="U138" s="343">
        <v>43978</v>
      </c>
      <c r="V138" s="343">
        <v>44691</v>
      </c>
      <c r="X138" s="342" t="s">
        <v>3767</v>
      </c>
      <c r="Y138" s="342" t="s">
        <v>3767</v>
      </c>
    </row>
    <row r="139" spans="1:25">
      <c r="A139" s="342">
        <v>185063</v>
      </c>
      <c r="B139" s="342" t="s">
        <v>661</v>
      </c>
      <c r="C139" s="342" t="s">
        <v>119</v>
      </c>
      <c r="D139" s="342" t="s">
        <v>51</v>
      </c>
      <c r="E139" s="342" t="s">
        <v>591</v>
      </c>
      <c r="F139" s="342" t="s">
        <v>40</v>
      </c>
      <c r="G139" s="342" t="s">
        <v>1510</v>
      </c>
      <c r="H139" s="342" t="s">
        <v>4718</v>
      </c>
      <c r="I139" s="342" t="s">
        <v>1573</v>
      </c>
      <c r="L139" s="342" t="s">
        <v>1571</v>
      </c>
      <c r="M139" s="342" t="s">
        <v>1571</v>
      </c>
      <c r="N139" s="342" t="s">
        <v>3656</v>
      </c>
      <c r="O139" s="342" t="s">
        <v>3768</v>
      </c>
      <c r="P139" s="342">
        <v>6110645621</v>
      </c>
      <c r="R139" s="342" t="s">
        <v>3649</v>
      </c>
      <c r="S139" s="343">
        <v>45572</v>
      </c>
      <c r="T139" s="343">
        <v>45572</v>
      </c>
      <c r="U139" s="343">
        <v>44389</v>
      </c>
      <c r="V139" s="343">
        <v>44477</v>
      </c>
      <c r="X139" s="342" t="s">
        <v>3769</v>
      </c>
      <c r="Y139" s="342" t="s">
        <v>3769</v>
      </c>
    </row>
    <row r="140" spans="1:25">
      <c r="A140" s="342">
        <v>185279</v>
      </c>
      <c r="B140" s="342" t="s">
        <v>4998</v>
      </c>
      <c r="C140" s="342" t="s">
        <v>5000</v>
      </c>
      <c r="D140" s="342" t="s">
        <v>51</v>
      </c>
      <c r="E140" s="342" t="s">
        <v>591</v>
      </c>
      <c r="F140" s="342" t="s">
        <v>40</v>
      </c>
      <c r="G140" s="342" t="s">
        <v>4608</v>
      </c>
      <c r="H140" s="342" t="s">
        <v>5078</v>
      </c>
      <c r="I140" s="342" t="s">
        <v>1568</v>
      </c>
      <c r="L140" s="342" t="s">
        <v>1568</v>
      </c>
      <c r="M140" s="342" t="s">
        <v>1568</v>
      </c>
      <c r="N140" s="342" t="s">
        <v>3652</v>
      </c>
      <c r="O140" s="342" t="s">
        <v>5013</v>
      </c>
      <c r="P140" s="342">
        <v>6110598985</v>
      </c>
      <c r="R140" s="342" t="s">
        <v>3649</v>
      </c>
      <c r="S140" s="343">
        <v>45517</v>
      </c>
      <c r="T140" s="343">
        <v>45517</v>
      </c>
      <c r="U140" s="343">
        <v>44403</v>
      </c>
      <c r="V140" s="343">
        <v>44422</v>
      </c>
      <c r="W140" s="343">
        <v>44580</v>
      </c>
      <c r="X140" s="342" t="s">
        <v>5014</v>
      </c>
      <c r="Y140" s="342" t="s">
        <v>5014</v>
      </c>
    </row>
    <row r="141" spans="1:25">
      <c r="A141" s="342">
        <v>186779</v>
      </c>
      <c r="B141" s="342" t="s">
        <v>678</v>
      </c>
      <c r="C141" s="342" t="s">
        <v>110</v>
      </c>
      <c r="D141" s="342" t="s">
        <v>51</v>
      </c>
      <c r="E141" s="342" t="s">
        <v>591</v>
      </c>
      <c r="F141" s="342" t="s">
        <v>40</v>
      </c>
      <c r="G141" s="342" t="s">
        <v>5283</v>
      </c>
      <c r="H141" s="342" t="s">
        <v>5751</v>
      </c>
      <c r="I141" s="342" t="s">
        <v>1571</v>
      </c>
      <c r="L141" s="342" t="s">
        <v>1571</v>
      </c>
      <c r="M141" s="342" t="s">
        <v>1571</v>
      </c>
      <c r="N141" s="342" t="s">
        <v>3656</v>
      </c>
      <c r="O141" s="342" t="s">
        <v>3770</v>
      </c>
      <c r="P141" s="342">
        <v>6126422841</v>
      </c>
      <c r="R141" s="342" t="s">
        <v>3649</v>
      </c>
      <c r="S141" s="343">
        <v>45682</v>
      </c>
      <c r="T141" s="343">
        <v>45682</v>
      </c>
      <c r="U141" s="343">
        <v>43816</v>
      </c>
      <c r="V141" s="343">
        <v>44587</v>
      </c>
      <c r="X141" s="342" t="s">
        <v>5137</v>
      </c>
      <c r="Y141" s="342" t="s">
        <v>5145</v>
      </c>
    </row>
    <row r="142" spans="1:25">
      <c r="A142" s="342">
        <v>187125</v>
      </c>
      <c r="B142" s="342" t="s">
        <v>747</v>
      </c>
      <c r="C142" s="342" t="s">
        <v>295</v>
      </c>
      <c r="D142" s="342" t="s">
        <v>51</v>
      </c>
      <c r="E142" s="342" t="s">
        <v>591</v>
      </c>
      <c r="F142" s="342" t="s">
        <v>40</v>
      </c>
      <c r="G142" s="342" t="s">
        <v>1336</v>
      </c>
      <c r="H142" s="342" t="s">
        <v>5752</v>
      </c>
      <c r="I142" s="342" t="s">
        <v>1568</v>
      </c>
      <c r="J142" s="342" t="s">
        <v>1575</v>
      </c>
      <c r="K142" s="343">
        <v>44196</v>
      </c>
      <c r="L142" s="342" t="s">
        <v>1568</v>
      </c>
      <c r="M142" s="342" t="s">
        <v>1568</v>
      </c>
      <c r="N142" s="342" t="s">
        <v>3652</v>
      </c>
      <c r="O142" s="342" t="s">
        <v>3771</v>
      </c>
      <c r="P142" s="342">
        <v>6111224122</v>
      </c>
      <c r="R142" s="342" t="s">
        <v>3649</v>
      </c>
      <c r="S142" s="343">
        <v>45581</v>
      </c>
      <c r="T142" s="343">
        <v>45581</v>
      </c>
      <c r="U142" s="343">
        <v>43738</v>
      </c>
      <c r="V142" s="343">
        <v>44486</v>
      </c>
      <c r="X142" s="342" t="s">
        <v>4730</v>
      </c>
      <c r="Y142" s="342" t="s">
        <v>4750</v>
      </c>
    </row>
    <row r="143" spans="1:25">
      <c r="A143" s="342">
        <v>187130</v>
      </c>
      <c r="B143" s="342" t="s">
        <v>296</v>
      </c>
      <c r="C143" s="342" t="s">
        <v>299</v>
      </c>
      <c r="D143" s="342" t="s">
        <v>51</v>
      </c>
      <c r="E143" s="342" t="s">
        <v>591</v>
      </c>
      <c r="F143" s="342" t="s">
        <v>40</v>
      </c>
      <c r="G143" s="342" t="s">
        <v>5278</v>
      </c>
      <c r="H143" s="342" t="s">
        <v>5753</v>
      </c>
      <c r="I143" s="342" t="s">
        <v>1569</v>
      </c>
      <c r="L143" s="342" t="s">
        <v>1568</v>
      </c>
      <c r="M143" s="342" t="s">
        <v>1568</v>
      </c>
      <c r="N143" s="342" t="s">
        <v>3652</v>
      </c>
      <c r="O143" s="342" t="s">
        <v>3772</v>
      </c>
      <c r="P143" s="342">
        <v>6111808687</v>
      </c>
      <c r="R143" s="342" t="s">
        <v>3649</v>
      </c>
      <c r="S143" s="343">
        <v>45638</v>
      </c>
      <c r="T143" s="343">
        <v>45638</v>
      </c>
      <c r="U143" s="343">
        <v>43760</v>
      </c>
      <c r="V143" s="343">
        <v>44543</v>
      </c>
      <c r="W143" s="343">
        <v>44545</v>
      </c>
      <c r="X143" s="342" t="s">
        <v>4957</v>
      </c>
      <c r="Y143" s="342">
        <v>10676559</v>
      </c>
    </row>
    <row r="144" spans="1:25" ht="409.5">
      <c r="A144" s="342">
        <v>187150</v>
      </c>
      <c r="B144" s="342" t="s">
        <v>300</v>
      </c>
      <c r="C144" s="342" t="s">
        <v>302</v>
      </c>
      <c r="D144" s="342" t="s">
        <v>51</v>
      </c>
      <c r="E144" s="342" t="s">
        <v>591</v>
      </c>
      <c r="F144" s="342" t="s">
        <v>40</v>
      </c>
      <c r="G144" s="342" t="s">
        <v>5278</v>
      </c>
      <c r="H144" s="342" t="s">
        <v>4407</v>
      </c>
      <c r="I144" s="342" t="s">
        <v>1568</v>
      </c>
      <c r="L144" s="342" t="s">
        <v>1568</v>
      </c>
      <c r="M144" s="342" t="s">
        <v>1568</v>
      </c>
      <c r="N144" s="342" t="s">
        <v>3652</v>
      </c>
      <c r="O144" s="344" t="s">
        <v>5497</v>
      </c>
      <c r="P144" s="342">
        <v>6115472569</v>
      </c>
      <c r="R144" s="342" t="s">
        <v>3649</v>
      </c>
      <c r="S144" s="343">
        <v>45133</v>
      </c>
      <c r="T144" s="343">
        <v>45133</v>
      </c>
      <c r="U144" s="343">
        <v>43164</v>
      </c>
      <c r="V144" s="343">
        <v>44039</v>
      </c>
      <c r="W144" s="343">
        <v>44692</v>
      </c>
      <c r="X144" s="342" t="s">
        <v>4819</v>
      </c>
      <c r="Y144" s="342" t="s">
        <v>4431</v>
      </c>
    </row>
    <row r="145" spans="1:25" ht="409.5">
      <c r="A145" s="342">
        <v>187343</v>
      </c>
      <c r="B145" s="342" t="s">
        <v>303</v>
      </c>
      <c r="C145" s="342" t="s">
        <v>305</v>
      </c>
      <c r="D145" s="342" t="s">
        <v>47</v>
      </c>
      <c r="E145" s="342" t="s">
        <v>591</v>
      </c>
      <c r="F145" s="342" t="s">
        <v>40</v>
      </c>
      <c r="G145" s="342" t="s">
        <v>1277</v>
      </c>
      <c r="H145" s="342" t="s">
        <v>5754</v>
      </c>
      <c r="I145" s="342" t="s">
        <v>1574</v>
      </c>
      <c r="L145" s="342" t="s">
        <v>1568</v>
      </c>
      <c r="M145" s="342" t="s">
        <v>1568</v>
      </c>
      <c r="N145" s="342" t="s">
        <v>3650</v>
      </c>
      <c r="O145" s="344" t="s">
        <v>5058</v>
      </c>
      <c r="P145" s="342">
        <v>6121399788</v>
      </c>
      <c r="R145" s="342" t="s">
        <v>3649</v>
      </c>
      <c r="S145" s="343">
        <v>45681</v>
      </c>
      <c r="T145" s="343">
        <v>45681</v>
      </c>
      <c r="U145" s="343">
        <v>44449</v>
      </c>
      <c r="V145" s="343">
        <v>44586</v>
      </c>
      <c r="X145" s="342">
        <v>28246.6</v>
      </c>
      <c r="Y145" s="342">
        <v>28246.5</v>
      </c>
    </row>
    <row r="146" spans="1:25" ht="409.5">
      <c r="A146" s="342">
        <v>187722</v>
      </c>
      <c r="B146" s="342" t="s">
        <v>1199</v>
      </c>
      <c r="C146" s="342" t="s">
        <v>1201</v>
      </c>
      <c r="D146" s="342" t="s">
        <v>47</v>
      </c>
      <c r="E146" s="342" t="s">
        <v>591</v>
      </c>
      <c r="F146" s="342" t="s">
        <v>40</v>
      </c>
      <c r="G146" s="342" t="s">
        <v>5279</v>
      </c>
      <c r="H146" s="342" t="s">
        <v>5755</v>
      </c>
      <c r="I146" s="342" t="s">
        <v>1569</v>
      </c>
      <c r="L146" s="342" t="s">
        <v>1568</v>
      </c>
      <c r="M146" s="342" t="s">
        <v>1568</v>
      </c>
      <c r="N146" s="342" t="s">
        <v>3650</v>
      </c>
      <c r="O146" s="344" t="s">
        <v>3773</v>
      </c>
      <c r="P146" s="342">
        <v>6110357142</v>
      </c>
      <c r="R146" s="342" t="s">
        <v>3649</v>
      </c>
      <c r="S146" s="343">
        <v>45496</v>
      </c>
      <c r="T146" s="343">
        <v>45496</v>
      </c>
      <c r="U146" s="343">
        <v>44319</v>
      </c>
      <c r="V146" s="343">
        <v>44401</v>
      </c>
      <c r="X146" s="342" t="s">
        <v>3774</v>
      </c>
      <c r="Y146" s="342" t="s">
        <v>3774</v>
      </c>
    </row>
    <row r="147" spans="1:25" ht="308">
      <c r="A147" s="342">
        <v>187949</v>
      </c>
      <c r="B147" s="342" t="s">
        <v>306</v>
      </c>
      <c r="C147" s="342" t="s">
        <v>308</v>
      </c>
      <c r="D147" s="342" t="s">
        <v>55</v>
      </c>
      <c r="E147" s="342" t="s">
        <v>591</v>
      </c>
      <c r="F147" s="342" t="s">
        <v>40</v>
      </c>
      <c r="G147" s="342" t="s">
        <v>1510</v>
      </c>
      <c r="H147" s="342" t="s">
        <v>4922</v>
      </c>
      <c r="I147" s="342" t="s">
        <v>1568</v>
      </c>
      <c r="L147" s="342" t="s">
        <v>1568</v>
      </c>
      <c r="M147" s="342" t="s">
        <v>1568</v>
      </c>
      <c r="N147" s="342" t="s">
        <v>3650</v>
      </c>
      <c r="O147" s="344" t="s">
        <v>3775</v>
      </c>
      <c r="P147" s="342">
        <v>6113405965</v>
      </c>
      <c r="R147" s="342" t="s">
        <v>3649</v>
      </c>
      <c r="S147" s="343">
        <v>44785</v>
      </c>
      <c r="T147" s="343">
        <v>44785</v>
      </c>
      <c r="U147" s="343">
        <v>44354</v>
      </c>
      <c r="V147" s="343">
        <v>43690</v>
      </c>
      <c r="W147" s="343">
        <v>44694</v>
      </c>
      <c r="X147" s="342" t="s">
        <v>5506</v>
      </c>
      <c r="Y147" s="342" t="s">
        <v>3776</v>
      </c>
    </row>
    <row r="148" spans="1:25" ht="409.5">
      <c r="A148" s="342">
        <v>188701</v>
      </c>
      <c r="B148" s="342" t="s">
        <v>4932</v>
      </c>
      <c r="C148" s="342" t="s">
        <v>4934</v>
      </c>
      <c r="D148" s="342" t="s">
        <v>47</v>
      </c>
      <c r="E148" s="342" t="s">
        <v>591</v>
      </c>
      <c r="F148" s="342" t="s">
        <v>40</v>
      </c>
      <c r="G148" s="342" t="s">
        <v>1277</v>
      </c>
      <c r="H148" s="342" t="s">
        <v>5986</v>
      </c>
      <c r="I148" s="342" t="s">
        <v>1568</v>
      </c>
      <c r="L148" s="342" t="s">
        <v>1568</v>
      </c>
      <c r="M148" s="342" t="s">
        <v>1568</v>
      </c>
      <c r="N148" s="342" t="s">
        <v>3650</v>
      </c>
      <c r="O148" s="344" t="s">
        <v>4954</v>
      </c>
      <c r="P148" s="342">
        <v>6123045700</v>
      </c>
      <c r="R148" s="342" t="s">
        <v>3649</v>
      </c>
      <c r="S148" s="343">
        <v>45856</v>
      </c>
      <c r="T148" s="343">
        <v>45856</v>
      </c>
      <c r="U148" s="343">
        <v>44655</v>
      </c>
      <c r="V148" s="343">
        <v>44761</v>
      </c>
      <c r="X148" s="342" t="s">
        <v>5961</v>
      </c>
      <c r="Y148" s="342" t="s">
        <v>5992</v>
      </c>
    </row>
    <row r="149" spans="1:25">
      <c r="A149" s="342">
        <v>189074</v>
      </c>
      <c r="B149" s="342" t="s">
        <v>309</v>
      </c>
      <c r="C149" s="342" t="s">
        <v>154</v>
      </c>
      <c r="D149" s="342" t="s">
        <v>51</v>
      </c>
      <c r="E149" s="342" t="s">
        <v>591</v>
      </c>
      <c r="F149" s="342" t="s">
        <v>40</v>
      </c>
      <c r="G149" s="342" t="s">
        <v>1336</v>
      </c>
      <c r="H149" s="342" t="s">
        <v>5756</v>
      </c>
      <c r="I149" s="342" t="s">
        <v>1574</v>
      </c>
      <c r="L149" s="342" t="s">
        <v>1568</v>
      </c>
      <c r="M149" s="342" t="s">
        <v>1568</v>
      </c>
      <c r="N149" s="342" t="s">
        <v>3652</v>
      </c>
      <c r="O149" s="342" t="s">
        <v>3777</v>
      </c>
      <c r="P149" s="342">
        <v>6114967347</v>
      </c>
      <c r="R149" s="342" t="s">
        <v>3649</v>
      </c>
      <c r="S149" s="343">
        <v>45367</v>
      </c>
      <c r="T149" s="343">
        <v>45367</v>
      </c>
      <c r="U149" s="343">
        <v>44453</v>
      </c>
      <c r="V149" s="343">
        <v>44272</v>
      </c>
      <c r="X149" s="342" t="s">
        <v>3778</v>
      </c>
      <c r="Y149" s="342" t="s">
        <v>3778</v>
      </c>
    </row>
    <row r="150" spans="1:25">
      <c r="A150" s="342">
        <v>189129</v>
      </c>
      <c r="B150" s="342" t="s">
        <v>1292</v>
      </c>
      <c r="C150" s="342" t="s">
        <v>1295</v>
      </c>
      <c r="D150" s="342" t="s">
        <v>107</v>
      </c>
      <c r="E150" s="342" t="s">
        <v>591</v>
      </c>
      <c r="F150" s="342" t="s">
        <v>737</v>
      </c>
      <c r="G150" s="342" t="s">
        <v>5281</v>
      </c>
      <c r="H150" s="342" t="s">
        <v>4450</v>
      </c>
      <c r="I150" s="342" t="s">
        <v>1568</v>
      </c>
      <c r="J150" s="342" t="s">
        <v>1575</v>
      </c>
      <c r="K150" s="342" t="s">
        <v>3779</v>
      </c>
      <c r="L150" s="342" t="s">
        <v>1568</v>
      </c>
      <c r="M150" s="342" t="s">
        <v>1568</v>
      </c>
      <c r="N150" s="342" t="s">
        <v>3652</v>
      </c>
      <c r="O150" s="342" t="s">
        <v>3780</v>
      </c>
      <c r="P150" s="342">
        <v>6111901704</v>
      </c>
      <c r="R150" s="342" t="s">
        <v>3649</v>
      </c>
      <c r="S150" s="343">
        <v>45396</v>
      </c>
      <c r="T150" s="343">
        <v>45396</v>
      </c>
      <c r="U150" s="343">
        <v>43844</v>
      </c>
      <c r="V150" s="343">
        <v>44301</v>
      </c>
      <c r="X150" s="342" t="s">
        <v>3781</v>
      </c>
      <c r="Y150" s="342" t="s">
        <v>3781</v>
      </c>
    </row>
    <row r="151" spans="1:25">
      <c r="A151" s="342">
        <v>190670</v>
      </c>
      <c r="B151" s="342" t="s">
        <v>312</v>
      </c>
      <c r="C151" s="342" t="s">
        <v>313</v>
      </c>
      <c r="D151" s="342" t="s">
        <v>47</v>
      </c>
      <c r="E151" s="342" t="s">
        <v>591</v>
      </c>
      <c r="F151" s="342" t="s">
        <v>40</v>
      </c>
      <c r="G151" s="342" t="s">
        <v>5282</v>
      </c>
      <c r="H151" s="342" t="s">
        <v>5919</v>
      </c>
      <c r="I151" s="342" t="s">
        <v>1572</v>
      </c>
      <c r="L151" s="342" t="s">
        <v>1571</v>
      </c>
      <c r="M151" s="342" t="s">
        <v>1571</v>
      </c>
      <c r="N151" s="342" t="s">
        <v>3656</v>
      </c>
      <c r="O151" s="342" t="s">
        <v>4533</v>
      </c>
      <c r="P151" s="342">
        <v>6111840328</v>
      </c>
      <c r="R151" s="342" t="s">
        <v>3649</v>
      </c>
      <c r="S151" s="343">
        <v>45431</v>
      </c>
      <c r="T151" s="343">
        <v>45431</v>
      </c>
      <c r="U151" s="343">
        <v>44606</v>
      </c>
      <c r="V151" s="343">
        <v>44336</v>
      </c>
      <c r="X151" s="342" t="s">
        <v>3782</v>
      </c>
      <c r="Y151" s="342" t="s">
        <v>3782</v>
      </c>
    </row>
    <row r="152" spans="1:25">
      <c r="A152" s="342">
        <v>190829</v>
      </c>
      <c r="B152" s="342" t="s">
        <v>607</v>
      </c>
      <c r="C152" s="342" t="s">
        <v>608</v>
      </c>
      <c r="D152" s="342" t="s">
        <v>47</v>
      </c>
      <c r="E152" s="342" t="s">
        <v>591</v>
      </c>
      <c r="F152" s="342" t="s">
        <v>40</v>
      </c>
      <c r="G152" s="342" t="s">
        <v>1277</v>
      </c>
      <c r="H152" s="342" t="s">
        <v>6073</v>
      </c>
      <c r="I152" s="342" t="s">
        <v>1578</v>
      </c>
      <c r="L152" s="342" t="s">
        <v>1568</v>
      </c>
      <c r="M152" s="342" t="s">
        <v>1568</v>
      </c>
      <c r="N152" s="342" t="s">
        <v>3650</v>
      </c>
      <c r="O152" s="342" t="s">
        <v>3783</v>
      </c>
      <c r="P152" s="342">
        <v>6116160184</v>
      </c>
      <c r="R152" s="342" t="s">
        <v>3649</v>
      </c>
      <c r="S152" s="343">
        <v>45474</v>
      </c>
      <c r="T152" s="343">
        <v>45474</v>
      </c>
      <c r="U152" s="343">
        <v>44292</v>
      </c>
      <c r="V152" s="343">
        <v>44379</v>
      </c>
      <c r="X152" s="342">
        <v>14776</v>
      </c>
      <c r="Y152" s="342">
        <v>14776</v>
      </c>
    </row>
    <row r="153" spans="1:25">
      <c r="A153" s="342">
        <v>192526</v>
      </c>
      <c r="B153" s="342" t="s">
        <v>316</v>
      </c>
      <c r="C153" s="342" t="s">
        <v>151</v>
      </c>
      <c r="D153" s="342" t="s">
        <v>47</v>
      </c>
      <c r="E153" s="342" t="s">
        <v>591</v>
      </c>
      <c r="F153" s="342" t="s">
        <v>40</v>
      </c>
      <c r="G153" s="342" t="s">
        <v>5282</v>
      </c>
      <c r="H153" s="342" t="s">
        <v>5757</v>
      </c>
      <c r="I153" s="342" t="s">
        <v>1568</v>
      </c>
      <c r="L153" s="342" t="s">
        <v>1568</v>
      </c>
      <c r="M153" s="342" t="s">
        <v>1568</v>
      </c>
      <c r="N153" s="342" t="s">
        <v>3652</v>
      </c>
      <c r="O153" s="342" t="s">
        <v>3784</v>
      </c>
      <c r="P153" s="342">
        <v>6123939243</v>
      </c>
      <c r="R153" s="342" t="s">
        <v>3649</v>
      </c>
      <c r="S153" s="343">
        <v>45801</v>
      </c>
      <c r="T153" s="343">
        <v>45801</v>
      </c>
      <c r="U153" s="343">
        <v>44620</v>
      </c>
      <c r="V153" s="343">
        <v>44706</v>
      </c>
      <c r="X153" s="342" t="s">
        <v>3785</v>
      </c>
      <c r="Y153" s="342" t="s">
        <v>3785</v>
      </c>
    </row>
    <row r="154" spans="1:25">
      <c r="A154" s="342">
        <v>192537</v>
      </c>
      <c r="B154" s="342" t="s">
        <v>318</v>
      </c>
      <c r="C154" s="342" t="s">
        <v>235</v>
      </c>
      <c r="D154" s="342" t="s">
        <v>51</v>
      </c>
      <c r="E154" s="342" t="s">
        <v>591</v>
      </c>
      <c r="F154" s="342" t="s">
        <v>40</v>
      </c>
      <c r="G154" s="342" t="s">
        <v>5282</v>
      </c>
      <c r="H154" s="342" t="s">
        <v>5758</v>
      </c>
      <c r="I154" s="342" t="s">
        <v>1574</v>
      </c>
      <c r="L154" s="342" t="s">
        <v>1568</v>
      </c>
      <c r="M154" s="342" t="s">
        <v>1568</v>
      </c>
      <c r="N154" s="342" t="s">
        <v>3652</v>
      </c>
      <c r="O154" s="342" t="s">
        <v>5228</v>
      </c>
      <c r="P154" s="342">
        <v>6120706961</v>
      </c>
      <c r="R154" s="342" t="s">
        <v>3649</v>
      </c>
      <c r="S154" s="343">
        <v>45705</v>
      </c>
      <c r="T154" s="343">
        <v>45705</v>
      </c>
      <c r="U154" s="343">
        <v>43987</v>
      </c>
      <c r="V154" s="343">
        <v>44610</v>
      </c>
      <c r="X154" s="342" t="s">
        <v>5230</v>
      </c>
      <c r="Y154" s="342" t="s">
        <v>5230</v>
      </c>
    </row>
    <row r="155" spans="1:25">
      <c r="A155" s="342">
        <v>192768</v>
      </c>
      <c r="B155" s="342" t="s">
        <v>4967</v>
      </c>
      <c r="C155" s="342" t="s">
        <v>321</v>
      </c>
      <c r="D155" s="342" t="s">
        <v>51</v>
      </c>
      <c r="E155" s="342" t="s">
        <v>591</v>
      </c>
      <c r="F155" s="342" t="s">
        <v>40</v>
      </c>
      <c r="G155" s="342" t="s">
        <v>5282</v>
      </c>
      <c r="H155" s="342" t="s">
        <v>5759</v>
      </c>
      <c r="I155" s="342" t="s">
        <v>1573</v>
      </c>
      <c r="L155" s="342" t="s">
        <v>1571</v>
      </c>
      <c r="M155" s="342" t="s">
        <v>1571</v>
      </c>
      <c r="N155" s="342" t="s">
        <v>3656</v>
      </c>
      <c r="O155" s="342" t="s">
        <v>3787</v>
      </c>
      <c r="P155" s="342">
        <v>6111192649</v>
      </c>
      <c r="R155" s="342" t="s">
        <v>3649</v>
      </c>
      <c r="S155" s="343">
        <v>45019</v>
      </c>
      <c r="T155" s="343">
        <v>45019</v>
      </c>
      <c r="U155" s="343">
        <v>44543</v>
      </c>
      <c r="V155" s="343">
        <v>43925</v>
      </c>
      <c r="W155" s="343">
        <v>44200</v>
      </c>
      <c r="X155" s="342" t="s">
        <v>3788</v>
      </c>
      <c r="Y155" s="342" t="s">
        <v>3788</v>
      </c>
    </row>
    <row r="156" spans="1:25">
      <c r="A156" s="342">
        <v>192949</v>
      </c>
      <c r="B156" s="342" t="s">
        <v>1363</v>
      </c>
      <c r="C156" s="342" t="s">
        <v>324</v>
      </c>
      <c r="D156" s="342" t="s">
        <v>51</v>
      </c>
      <c r="E156" s="342" t="s">
        <v>591</v>
      </c>
      <c r="F156" s="342" t="s">
        <v>40</v>
      </c>
      <c r="G156" s="342" t="s">
        <v>5282</v>
      </c>
      <c r="H156" s="342" t="s">
        <v>5760</v>
      </c>
      <c r="I156" s="342" t="s">
        <v>1574</v>
      </c>
      <c r="L156" s="342" t="s">
        <v>1568</v>
      </c>
      <c r="M156" s="342" t="s">
        <v>1568</v>
      </c>
      <c r="N156" s="342" t="s">
        <v>3652</v>
      </c>
      <c r="O156" s="342" t="s">
        <v>3789</v>
      </c>
      <c r="P156" s="342">
        <v>6115286221</v>
      </c>
      <c r="R156" s="342" t="s">
        <v>3649</v>
      </c>
      <c r="S156" s="343">
        <v>45086</v>
      </c>
      <c r="T156" s="343">
        <v>45086</v>
      </c>
      <c r="U156" s="343">
        <v>43894</v>
      </c>
      <c r="V156" s="343">
        <v>43992</v>
      </c>
      <c r="X156" s="342" t="s">
        <v>3790</v>
      </c>
      <c r="Y156" s="342" t="s">
        <v>3790</v>
      </c>
    </row>
    <row r="157" spans="1:25">
      <c r="A157" s="342">
        <v>193845</v>
      </c>
      <c r="B157" s="342" t="s">
        <v>325</v>
      </c>
      <c r="C157" s="342" t="s">
        <v>610</v>
      </c>
      <c r="D157" s="342" t="s">
        <v>47</v>
      </c>
      <c r="E157" s="342" t="s">
        <v>591</v>
      </c>
      <c r="F157" s="342" t="s">
        <v>40</v>
      </c>
      <c r="G157" s="342" t="s">
        <v>5278</v>
      </c>
      <c r="H157" s="342" t="s">
        <v>5920</v>
      </c>
      <c r="I157" s="342" t="s">
        <v>1578</v>
      </c>
      <c r="L157" s="342" t="s">
        <v>1568</v>
      </c>
      <c r="M157" s="342" t="s">
        <v>1568</v>
      </c>
      <c r="N157" s="342" t="s">
        <v>3650</v>
      </c>
      <c r="O157" s="342" t="s">
        <v>3791</v>
      </c>
      <c r="P157" s="342">
        <v>6116654124</v>
      </c>
      <c r="R157" s="342" t="s">
        <v>3649</v>
      </c>
      <c r="S157" s="343">
        <v>45233</v>
      </c>
      <c r="T157" s="343">
        <v>45233</v>
      </c>
      <c r="U157" s="343">
        <v>44375</v>
      </c>
      <c r="V157" s="343">
        <v>44139</v>
      </c>
      <c r="X157" s="342">
        <v>26010.6</v>
      </c>
      <c r="Y157" s="342">
        <v>26010.6</v>
      </c>
    </row>
    <row r="158" spans="1:25" ht="409.5">
      <c r="A158" s="342">
        <v>193891</v>
      </c>
      <c r="B158" s="342" t="s">
        <v>748</v>
      </c>
      <c r="C158" s="342" t="s">
        <v>327</v>
      </c>
      <c r="D158" s="342" t="s">
        <v>47</v>
      </c>
      <c r="E158" s="342" t="s">
        <v>591</v>
      </c>
      <c r="F158" s="342" t="s">
        <v>40</v>
      </c>
      <c r="G158" s="342" t="s">
        <v>5280</v>
      </c>
      <c r="H158" s="342" t="s">
        <v>5761</v>
      </c>
      <c r="I158" s="342" t="s">
        <v>1568</v>
      </c>
      <c r="L158" s="342" t="s">
        <v>1568</v>
      </c>
      <c r="M158" s="342" t="s">
        <v>1568</v>
      </c>
      <c r="N158" s="342" t="s">
        <v>3650</v>
      </c>
      <c r="O158" s="344" t="s">
        <v>5927</v>
      </c>
      <c r="P158" s="342">
        <v>6123305123</v>
      </c>
      <c r="R158" s="342" t="s">
        <v>3649</v>
      </c>
      <c r="S158" s="343">
        <v>45467</v>
      </c>
      <c r="T158" s="343">
        <v>45467</v>
      </c>
      <c r="U158" s="343">
        <v>44634</v>
      </c>
      <c r="V158" s="343">
        <v>44372</v>
      </c>
      <c r="W158" s="343">
        <v>44743</v>
      </c>
      <c r="X158" s="342" t="s">
        <v>5928</v>
      </c>
      <c r="Y158" s="342" t="s">
        <v>4582</v>
      </c>
    </row>
    <row r="159" spans="1:25">
      <c r="A159" s="342">
        <v>193948</v>
      </c>
      <c r="B159" s="342" t="s">
        <v>328</v>
      </c>
      <c r="C159" s="342" t="s">
        <v>330</v>
      </c>
      <c r="D159" s="342" t="s">
        <v>47</v>
      </c>
      <c r="E159" s="342" t="s">
        <v>591</v>
      </c>
      <c r="F159" s="342" t="s">
        <v>40</v>
      </c>
      <c r="G159" s="342" t="s">
        <v>5283</v>
      </c>
      <c r="H159" s="342" t="s">
        <v>5242</v>
      </c>
      <c r="I159" s="342" t="s">
        <v>1569</v>
      </c>
      <c r="L159" s="342" t="s">
        <v>1568</v>
      </c>
      <c r="M159" s="342" t="s">
        <v>1568</v>
      </c>
      <c r="N159" s="342" t="s">
        <v>3650</v>
      </c>
      <c r="O159" s="342" t="s">
        <v>3792</v>
      </c>
      <c r="P159" s="342">
        <v>6115285426</v>
      </c>
      <c r="R159" s="342" t="s">
        <v>3649</v>
      </c>
      <c r="S159" s="343">
        <v>45186</v>
      </c>
      <c r="T159" s="343">
        <v>45186</v>
      </c>
      <c r="U159" s="343">
        <v>44341</v>
      </c>
      <c r="V159" s="343">
        <v>44153</v>
      </c>
      <c r="X159" s="342">
        <v>25057.5</v>
      </c>
      <c r="Y159" s="342">
        <v>25057.5</v>
      </c>
    </row>
    <row r="160" spans="1:25">
      <c r="A160" s="342">
        <v>196524</v>
      </c>
      <c r="B160" s="342" t="s">
        <v>686</v>
      </c>
      <c r="C160" s="342" t="s">
        <v>333</v>
      </c>
      <c r="D160" s="342" t="s">
        <v>47</v>
      </c>
      <c r="E160" s="342" t="s">
        <v>591</v>
      </c>
      <c r="F160" s="342" t="s">
        <v>40</v>
      </c>
      <c r="G160" s="342" t="s">
        <v>5281</v>
      </c>
      <c r="H160" s="342" t="s">
        <v>5732</v>
      </c>
      <c r="I160" s="342" t="s">
        <v>1568</v>
      </c>
      <c r="L160" s="342" t="s">
        <v>1568</v>
      </c>
      <c r="M160" s="342" t="s">
        <v>1568</v>
      </c>
      <c r="N160" s="342" t="s">
        <v>3652</v>
      </c>
      <c r="O160" s="342" t="s">
        <v>4689</v>
      </c>
      <c r="P160" s="342">
        <v>6120272343</v>
      </c>
      <c r="R160" s="342" t="s">
        <v>3649</v>
      </c>
      <c r="S160" s="343">
        <v>45549</v>
      </c>
      <c r="T160" s="343">
        <v>45549</v>
      </c>
      <c r="U160" s="343">
        <v>43514</v>
      </c>
      <c r="V160" s="343">
        <v>44454</v>
      </c>
      <c r="W160" s="343">
        <v>44459</v>
      </c>
      <c r="X160" s="342" t="s">
        <v>3667</v>
      </c>
      <c r="Y160" s="342" t="s">
        <v>4692</v>
      </c>
    </row>
    <row r="161" spans="1:25" ht="409.5">
      <c r="A161" s="342">
        <v>196561</v>
      </c>
      <c r="B161" s="342" t="s">
        <v>4968</v>
      </c>
      <c r="C161" s="342" t="s">
        <v>4970</v>
      </c>
      <c r="D161" s="342" t="s">
        <v>98</v>
      </c>
      <c r="E161" s="342" t="s">
        <v>591</v>
      </c>
      <c r="F161" s="342" t="s">
        <v>40</v>
      </c>
      <c r="G161" s="342" t="s">
        <v>5282</v>
      </c>
      <c r="H161" s="342" t="s">
        <v>4979</v>
      </c>
      <c r="I161" s="342" t="s">
        <v>1568</v>
      </c>
      <c r="L161" s="342" t="s">
        <v>1568</v>
      </c>
      <c r="M161" s="342" t="s">
        <v>1568</v>
      </c>
      <c r="N161" s="342" t="s">
        <v>3650</v>
      </c>
      <c r="O161" s="344" t="s">
        <v>4983</v>
      </c>
      <c r="P161" s="342">
        <v>6119766666</v>
      </c>
      <c r="R161" s="342" t="s">
        <v>3649</v>
      </c>
      <c r="S161" s="343">
        <v>45402</v>
      </c>
      <c r="T161" s="343">
        <v>45402</v>
      </c>
      <c r="U161" s="343">
        <v>44622</v>
      </c>
      <c r="V161" s="343">
        <v>44307</v>
      </c>
      <c r="X161" s="342" t="s">
        <v>4986</v>
      </c>
      <c r="Y161" s="342" t="s">
        <v>4986</v>
      </c>
    </row>
    <row r="162" spans="1:25">
      <c r="A162" s="342">
        <v>197075</v>
      </c>
      <c r="B162" s="342" t="s">
        <v>1278</v>
      </c>
      <c r="C162" s="342" t="s">
        <v>418</v>
      </c>
      <c r="D162" s="342" t="s">
        <v>45</v>
      </c>
      <c r="E162" s="342" t="s">
        <v>591</v>
      </c>
      <c r="F162" s="342" t="s">
        <v>40</v>
      </c>
      <c r="G162" s="342" t="s">
        <v>5283</v>
      </c>
      <c r="H162" s="342" t="s">
        <v>5762</v>
      </c>
      <c r="I162" s="342" t="s">
        <v>1568</v>
      </c>
      <c r="L162" s="342" t="s">
        <v>1568</v>
      </c>
      <c r="M162" s="342" t="s">
        <v>1568</v>
      </c>
      <c r="P162" s="342">
        <v>6115491207</v>
      </c>
      <c r="S162" s="343">
        <v>44952</v>
      </c>
      <c r="Y162" s="342" t="s">
        <v>3793</v>
      </c>
    </row>
    <row r="163" spans="1:25">
      <c r="A163" s="342">
        <v>197134</v>
      </c>
      <c r="B163" s="342" t="s">
        <v>652</v>
      </c>
      <c r="C163" s="342" t="s">
        <v>654</v>
      </c>
      <c r="D163" s="342" t="s">
        <v>47</v>
      </c>
      <c r="E163" s="342" t="s">
        <v>591</v>
      </c>
      <c r="F163" s="342" t="s">
        <v>40</v>
      </c>
      <c r="G163" s="342" t="s">
        <v>1277</v>
      </c>
      <c r="H163" s="342" t="s">
        <v>5079</v>
      </c>
      <c r="I163" s="342" t="s">
        <v>1568</v>
      </c>
      <c r="L163" s="342" t="s">
        <v>1568</v>
      </c>
      <c r="M163" s="342" t="s">
        <v>1568</v>
      </c>
      <c r="N163" s="342" t="s">
        <v>3650</v>
      </c>
      <c r="O163" s="342" t="s">
        <v>3794</v>
      </c>
      <c r="P163" s="342">
        <v>6130798082</v>
      </c>
      <c r="R163" s="342" t="s">
        <v>3649</v>
      </c>
      <c r="S163" s="343">
        <v>44907</v>
      </c>
      <c r="T163" s="343">
        <v>44907</v>
      </c>
      <c r="U163" s="343">
        <v>44361</v>
      </c>
      <c r="V163" s="343">
        <v>43812</v>
      </c>
      <c r="X163" s="342" t="s">
        <v>3795</v>
      </c>
      <c r="Y163" s="342" t="s">
        <v>3796</v>
      </c>
    </row>
    <row r="164" spans="1:25">
      <c r="A164" s="342">
        <v>197413</v>
      </c>
      <c r="B164" s="342" t="s">
        <v>746</v>
      </c>
      <c r="C164" s="342" t="s">
        <v>86</v>
      </c>
      <c r="D164" s="342" t="s">
        <v>51</v>
      </c>
      <c r="E164" s="342" t="s">
        <v>591</v>
      </c>
      <c r="F164" s="342" t="s">
        <v>40</v>
      </c>
      <c r="G164" s="342" t="s">
        <v>5280</v>
      </c>
      <c r="H164" s="342" t="s">
        <v>5143</v>
      </c>
      <c r="I164" s="342" t="s">
        <v>1573</v>
      </c>
      <c r="L164" s="342" t="s">
        <v>1571</v>
      </c>
      <c r="M164" s="342" t="s">
        <v>1571</v>
      </c>
      <c r="N164" s="342" t="s">
        <v>3656</v>
      </c>
      <c r="O164" s="342" t="s">
        <v>4324</v>
      </c>
      <c r="P164" s="342">
        <v>6135750009</v>
      </c>
      <c r="R164" s="342" t="s">
        <v>3649</v>
      </c>
      <c r="S164" s="343">
        <v>45709</v>
      </c>
      <c r="T164" s="343">
        <v>45709</v>
      </c>
      <c r="U164" s="343">
        <v>44515</v>
      </c>
      <c r="V164" s="343">
        <v>44614</v>
      </c>
      <c r="X164" s="342" t="s">
        <v>5138</v>
      </c>
      <c r="Y164" s="342" t="s">
        <v>5138</v>
      </c>
    </row>
    <row r="165" spans="1:25">
      <c r="A165" s="342">
        <v>197511</v>
      </c>
      <c r="B165" s="342" t="s">
        <v>296</v>
      </c>
      <c r="C165" s="342" t="s">
        <v>335</v>
      </c>
      <c r="D165" s="342" t="s">
        <v>51</v>
      </c>
      <c r="E165" s="342" t="s">
        <v>591</v>
      </c>
      <c r="F165" s="342" t="s">
        <v>40</v>
      </c>
      <c r="G165" s="342" t="s">
        <v>1336</v>
      </c>
      <c r="H165" s="342" t="s">
        <v>5921</v>
      </c>
      <c r="I165" s="342" t="s">
        <v>1569</v>
      </c>
      <c r="L165" s="342" t="s">
        <v>1568</v>
      </c>
      <c r="M165" s="342" t="s">
        <v>1568</v>
      </c>
      <c r="N165" s="342" t="s">
        <v>3652</v>
      </c>
      <c r="O165" s="342" t="s">
        <v>4569</v>
      </c>
      <c r="P165" s="342">
        <v>6113239429</v>
      </c>
      <c r="R165" s="342" t="s">
        <v>3649</v>
      </c>
      <c r="S165" s="343">
        <v>45835</v>
      </c>
      <c r="T165" s="343">
        <v>45835</v>
      </c>
      <c r="U165" s="343">
        <v>44642</v>
      </c>
      <c r="V165" s="343">
        <v>44740</v>
      </c>
      <c r="X165" s="342" t="s">
        <v>5660</v>
      </c>
      <c r="Y165" s="342" t="s">
        <v>3797</v>
      </c>
    </row>
    <row r="166" spans="1:25">
      <c r="A166" s="342">
        <v>197643</v>
      </c>
      <c r="B166" s="342" t="s">
        <v>1242</v>
      </c>
      <c r="C166" s="342" t="s">
        <v>336</v>
      </c>
      <c r="D166" s="342" t="s">
        <v>337</v>
      </c>
      <c r="E166" s="342" t="s">
        <v>591</v>
      </c>
      <c r="F166" s="342" t="s">
        <v>41</v>
      </c>
      <c r="G166" s="342" t="s">
        <v>786</v>
      </c>
      <c r="H166" s="342" t="s">
        <v>5080</v>
      </c>
      <c r="I166" s="342" t="s">
        <v>1568</v>
      </c>
      <c r="L166" s="342" t="s">
        <v>1568</v>
      </c>
      <c r="M166" s="342" t="s">
        <v>1568</v>
      </c>
      <c r="N166" s="342" t="s">
        <v>3652</v>
      </c>
      <c r="O166" s="342" t="s">
        <v>3798</v>
      </c>
      <c r="P166" s="342">
        <v>6129397009</v>
      </c>
      <c r="R166" s="342" t="s">
        <v>3649</v>
      </c>
      <c r="S166" s="343">
        <v>45639</v>
      </c>
      <c r="T166" s="343">
        <v>45639</v>
      </c>
      <c r="U166" s="343">
        <v>44508</v>
      </c>
      <c r="V166" s="343">
        <v>44544</v>
      </c>
      <c r="X166" s="342" t="s">
        <v>4899</v>
      </c>
      <c r="Y166" s="342" t="s">
        <v>4899</v>
      </c>
    </row>
    <row r="167" spans="1:25">
      <c r="A167" s="342">
        <v>197643</v>
      </c>
      <c r="B167" s="342" t="s">
        <v>1242</v>
      </c>
      <c r="C167" s="342" t="s">
        <v>336</v>
      </c>
      <c r="D167" s="342" t="s">
        <v>337</v>
      </c>
      <c r="E167" s="342" t="s">
        <v>591</v>
      </c>
      <c r="F167" s="342" t="s">
        <v>40</v>
      </c>
      <c r="G167" s="342" t="s">
        <v>786</v>
      </c>
      <c r="H167" s="342" t="s">
        <v>5080</v>
      </c>
      <c r="I167" s="342" t="s">
        <v>1568</v>
      </c>
      <c r="L167" s="342" t="s">
        <v>1568</v>
      </c>
      <c r="M167" s="342" t="s">
        <v>1568</v>
      </c>
      <c r="N167" s="342" t="s">
        <v>3652</v>
      </c>
      <c r="O167" s="342" t="s">
        <v>3798</v>
      </c>
      <c r="P167" s="342">
        <v>6129397009</v>
      </c>
      <c r="R167" s="342" t="s">
        <v>3649</v>
      </c>
      <c r="S167" s="343">
        <v>45639</v>
      </c>
      <c r="T167" s="343">
        <v>45639</v>
      </c>
      <c r="U167" s="343">
        <v>44508</v>
      </c>
      <c r="V167" s="343">
        <v>44544</v>
      </c>
      <c r="X167" s="342" t="s">
        <v>4899</v>
      </c>
      <c r="Y167" s="342" t="s">
        <v>4899</v>
      </c>
    </row>
    <row r="168" spans="1:25">
      <c r="A168" s="342">
        <v>197643</v>
      </c>
      <c r="B168" s="342" t="s">
        <v>1242</v>
      </c>
      <c r="C168" s="342" t="s">
        <v>336</v>
      </c>
      <c r="D168" s="342" t="s">
        <v>337</v>
      </c>
      <c r="E168" s="342" t="s">
        <v>591</v>
      </c>
      <c r="F168" s="342" t="s">
        <v>685</v>
      </c>
      <c r="G168" s="342" t="s">
        <v>786</v>
      </c>
      <c r="H168" s="342" t="s">
        <v>5080</v>
      </c>
      <c r="I168" s="342" t="s">
        <v>1568</v>
      </c>
      <c r="L168" s="342" t="s">
        <v>1568</v>
      </c>
      <c r="M168" s="342" t="s">
        <v>1568</v>
      </c>
      <c r="N168" s="342" t="s">
        <v>3652</v>
      </c>
      <c r="O168" s="342" t="s">
        <v>3798</v>
      </c>
      <c r="P168" s="342">
        <v>6129397009</v>
      </c>
      <c r="R168" s="342" t="s">
        <v>3649</v>
      </c>
      <c r="S168" s="343">
        <v>45639</v>
      </c>
      <c r="T168" s="343">
        <v>45639</v>
      </c>
      <c r="U168" s="343">
        <v>44508</v>
      </c>
      <c r="V168" s="343">
        <v>44544</v>
      </c>
      <c r="X168" s="342" t="s">
        <v>4899</v>
      </c>
      <c r="Y168" s="342" t="s">
        <v>4899</v>
      </c>
    </row>
    <row r="169" spans="1:25">
      <c r="A169" s="342">
        <v>198164</v>
      </c>
      <c r="B169" s="342" t="s">
        <v>884</v>
      </c>
      <c r="C169" s="342" t="s">
        <v>403</v>
      </c>
      <c r="D169" s="342" t="s">
        <v>51</v>
      </c>
      <c r="E169" s="342" t="s">
        <v>591</v>
      </c>
      <c r="F169" s="342" t="s">
        <v>40</v>
      </c>
      <c r="G169" s="342" t="s">
        <v>5282</v>
      </c>
      <c r="H169" s="342" t="s">
        <v>5763</v>
      </c>
      <c r="I169" s="342" t="s">
        <v>1568</v>
      </c>
      <c r="L169" s="342" t="s">
        <v>1568</v>
      </c>
      <c r="M169" s="342" t="s">
        <v>1568</v>
      </c>
      <c r="N169" s="342" t="s">
        <v>3652</v>
      </c>
      <c r="O169" s="342" t="s">
        <v>3799</v>
      </c>
      <c r="P169" s="342">
        <v>6110785400</v>
      </c>
      <c r="R169" s="342" t="s">
        <v>3649</v>
      </c>
      <c r="S169" s="343">
        <v>45568</v>
      </c>
      <c r="T169" s="343">
        <v>45568</v>
      </c>
      <c r="U169" s="343">
        <v>44403</v>
      </c>
      <c r="V169" s="343">
        <v>44488</v>
      </c>
      <c r="X169" s="342" t="s">
        <v>3800</v>
      </c>
      <c r="Y169" s="342" t="s">
        <v>3800</v>
      </c>
    </row>
    <row r="170" spans="1:25" ht="409.5">
      <c r="A170" s="342">
        <v>198305</v>
      </c>
      <c r="B170" s="342" t="s">
        <v>886</v>
      </c>
      <c r="C170" s="342" t="s">
        <v>656</v>
      </c>
      <c r="D170" s="342" t="s">
        <v>98</v>
      </c>
      <c r="E170" s="342" t="s">
        <v>591</v>
      </c>
      <c r="F170" s="342" t="s">
        <v>40</v>
      </c>
      <c r="G170" s="342" t="s">
        <v>5449</v>
      </c>
      <c r="H170" s="342" t="s">
        <v>5764</v>
      </c>
      <c r="I170" s="342" t="s">
        <v>1569</v>
      </c>
      <c r="L170" s="342" t="s">
        <v>1568</v>
      </c>
      <c r="M170" s="342" t="s">
        <v>1568</v>
      </c>
      <c r="N170" s="342" t="s">
        <v>3650</v>
      </c>
      <c r="O170" s="344" t="s">
        <v>3801</v>
      </c>
      <c r="P170" s="342">
        <v>6145219200</v>
      </c>
      <c r="R170" s="342" t="s">
        <v>5582</v>
      </c>
      <c r="S170" s="343">
        <v>44900</v>
      </c>
      <c r="T170" s="343">
        <v>44900</v>
      </c>
      <c r="U170" s="343">
        <v>44083</v>
      </c>
      <c r="V170" s="343">
        <v>43805</v>
      </c>
      <c r="W170" s="343">
        <v>44735</v>
      </c>
      <c r="X170" s="342" t="s">
        <v>3802</v>
      </c>
      <c r="Y170" s="342" t="s">
        <v>3802</v>
      </c>
    </row>
    <row r="171" spans="1:25">
      <c r="A171" s="342">
        <v>198312</v>
      </c>
      <c r="B171" s="342" t="s">
        <v>687</v>
      </c>
      <c r="C171" s="342" t="s">
        <v>690</v>
      </c>
      <c r="D171" s="342" t="s">
        <v>45</v>
      </c>
      <c r="E171" s="342" t="s">
        <v>591</v>
      </c>
      <c r="F171" s="342" t="s">
        <v>40</v>
      </c>
      <c r="G171" s="342" t="s">
        <v>1277</v>
      </c>
      <c r="H171" s="342" t="s">
        <v>5765</v>
      </c>
      <c r="I171" s="342" t="s">
        <v>1568</v>
      </c>
      <c r="L171" s="342" t="s">
        <v>1568</v>
      </c>
      <c r="M171" s="342" t="s">
        <v>1568</v>
      </c>
      <c r="N171" s="342" t="s">
        <v>3650</v>
      </c>
      <c r="O171" s="342" t="s">
        <v>4779</v>
      </c>
      <c r="P171" s="342">
        <v>6120510568</v>
      </c>
      <c r="R171" s="342" t="s">
        <v>3649</v>
      </c>
      <c r="S171" s="343">
        <v>45583</v>
      </c>
      <c r="T171" s="343">
        <v>45583</v>
      </c>
      <c r="U171" s="343">
        <v>44396</v>
      </c>
      <c r="V171" s="343">
        <v>44488</v>
      </c>
      <c r="X171" s="342" t="s">
        <v>4783</v>
      </c>
      <c r="Y171" s="342" t="s">
        <v>4783</v>
      </c>
    </row>
    <row r="172" spans="1:25">
      <c r="A172" s="342">
        <v>198342</v>
      </c>
      <c r="B172" s="342" t="s">
        <v>338</v>
      </c>
      <c r="C172" s="342" t="s">
        <v>340</v>
      </c>
      <c r="D172" s="342" t="s">
        <v>55</v>
      </c>
      <c r="E172" s="342" t="s">
        <v>591</v>
      </c>
      <c r="F172" s="342" t="s">
        <v>40</v>
      </c>
      <c r="G172" s="342" t="s">
        <v>5279</v>
      </c>
      <c r="H172" s="342" t="s">
        <v>5766</v>
      </c>
      <c r="I172" s="342" t="s">
        <v>1568</v>
      </c>
      <c r="L172" s="342" t="s">
        <v>1568</v>
      </c>
      <c r="M172" s="342" t="s">
        <v>1568</v>
      </c>
      <c r="N172" s="342" t="s">
        <v>3650</v>
      </c>
      <c r="O172" s="342" t="s">
        <v>3803</v>
      </c>
      <c r="P172" s="342">
        <v>6113885161</v>
      </c>
      <c r="R172" s="342" t="s">
        <v>3649</v>
      </c>
      <c r="S172" s="343">
        <v>45798</v>
      </c>
      <c r="T172" s="343">
        <v>45798</v>
      </c>
      <c r="U172" s="343">
        <v>44642</v>
      </c>
      <c r="V172" s="343">
        <v>44703</v>
      </c>
      <c r="W172" s="343">
        <v>44714</v>
      </c>
      <c r="X172" s="342" t="s">
        <v>5507</v>
      </c>
      <c r="Y172" s="342" t="s">
        <v>3804</v>
      </c>
    </row>
    <row r="173" spans="1:25">
      <c r="A173" s="342">
        <v>198586</v>
      </c>
      <c r="B173" s="342" t="s">
        <v>341</v>
      </c>
      <c r="C173" s="342" t="s">
        <v>226</v>
      </c>
      <c r="D173" s="342" t="s">
        <v>45</v>
      </c>
      <c r="E173" s="342" t="s">
        <v>591</v>
      </c>
      <c r="F173" s="342" t="s">
        <v>40</v>
      </c>
      <c r="G173" s="342" t="s">
        <v>5279</v>
      </c>
      <c r="H173" s="342" t="s">
        <v>5767</v>
      </c>
      <c r="I173" s="342" t="s">
        <v>1568</v>
      </c>
      <c r="L173" s="342" t="s">
        <v>1568</v>
      </c>
      <c r="M173" s="342" t="s">
        <v>1568</v>
      </c>
      <c r="N173" s="342" t="s">
        <v>3650</v>
      </c>
      <c r="O173" s="342" t="s">
        <v>4722</v>
      </c>
      <c r="P173" s="342">
        <v>6114169381</v>
      </c>
      <c r="R173" s="342" t="s">
        <v>3649</v>
      </c>
      <c r="S173" s="343">
        <v>45594</v>
      </c>
      <c r="T173" s="343">
        <v>45594</v>
      </c>
      <c r="U173" s="343">
        <v>43668</v>
      </c>
      <c r="V173" s="343">
        <v>44499</v>
      </c>
      <c r="X173" s="342" t="s">
        <v>3764</v>
      </c>
      <c r="Y173" s="342" t="s">
        <v>3764</v>
      </c>
    </row>
    <row r="174" spans="1:25">
      <c r="A174" s="342">
        <v>198587</v>
      </c>
      <c r="B174" s="342" t="s">
        <v>732</v>
      </c>
      <c r="C174" s="342" t="s">
        <v>345</v>
      </c>
      <c r="D174" s="342" t="s">
        <v>51</v>
      </c>
      <c r="E174" s="342" t="s">
        <v>591</v>
      </c>
      <c r="F174" s="342" t="s">
        <v>40</v>
      </c>
      <c r="G174" s="342" t="s">
        <v>786</v>
      </c>
      <c r="H174" s="342" t="s">
        <v>5081</v>
      </c>
      <c r="I174" s="342" t="s">
        <v>1571</v>
      </c>
      <c r="L174" s="342" t="s">
        <v>1571</v>
      </c>
      <c r="M174" s="342" t="s">
        <v>1571</v>
      </c>
      <c r="N174" s="342" t="s">
        <v>3656</v>
      </c>
      <c r="O174" s="342" t="s">
        <v>4414</v>
      </c>
      <c r="P174" s="342">
        <v>6114994666</v>
      </c>
      <c r="R174" s="342" t="s">
        <v>3649</v>
      </c>
      <c r="S174" s="343">
        <v>45363</v>
      </c>
      <c r="T174" s="343">
        <v>45363</v>
      </c>
      <c r="U174" s="343">
        <v>44585</v>
      </c>
      <c r="V174" s="343">
        <v>44268</v>
      </c>
      <c r="X174" s="342" t="s">
        <v>3805</v>
      </c>
      <c r="Y174" s="342" t="s">
        <v>3805</v>
      </c>
    </row>
    <row r="175" spans="1:25">
      <c r="A175" s="342">
        <v>198590</v>
      </c>
      <c r="B175" s="342" t="s">
        <v>346</v>
      </c>
      <c r="C175" s="342" t="s">
        <v>348</v>
      </c>
      <c r="D175" s="342" t="s">
        <v>45</v>
      </c>
      <c r="E175" s="342" t="s">
        <v>591</v>
      </c>
      <c r="F175" s="342" t="s">
        <v>40</v>
      </c>
      <c r="G175" s="342" t="s">
        <v>5280</v>
      </c>
      <c r="H175" s="342" t="s">
        <v>5493</v>
      </c>
      <c r="I175" s="342" t="s">
        <v>1572</v>
      </c>
      <c r="L175" s="342" t="s">
        <v>1571</v>
      </c>
      <c r="M175" s="342" t="s">
        <v>1571</v>
      </c>
      <c r="N175" s="342" t="s">
        <v>3653</v>
      </c>
      <c r="O175" s="342" t="s">
        <v>3806</v>
      </c>
      <c r="P175" s="342">
        <v>6111397208</v>
      </c>
      <c r="R175" s="342" t="s">
        <v>3649</v>
      </c>
      <c r="S175" s="343">
        <v>45473</v>
      </c>
      <c r="T175" s="343">
        <v>45473</v>
      </c>
      <c r="U175" s="343">
        <v>44655</v>
      </c>
      <c r="V175" s="343">
        <v>44378</v>
      </c>
      <c r="X175" s="342" t="s">
        <v>3807</v>
      </c>
      <c r="Y175" s="342" t="s">
        <v>3807</v>
      </c>
    </row>
    <row r="176" spans="1:25">
      <c r="A176" s="342">
        <v>198697</v>
      </c>
      <c r="B176" s="342" t="s">
        <v>4444</v>
      </c>
      <c r="C176" s="342" t="s">
        <v>4446</v>
      </c>
      <c r="D176" s="342" t="s">
        <v>47</v>
      </c>
      <c r="E176" s="342" t="s">
        <v>591</v>
      </c>
      <c r="F176" s="342" t="s">
        <v>40</v>
      </c>
      <c r="G176" s="342" t="s">
        <v>5280</v>
      </c>
      <c r="H176" s="342" t="s">
        <v>4687</v>
      </c>
      <c r="I176" s="342" t="s">
        <v>1571</v>
      </c>
      <c r="L176" s="342" t="s">
        <v>1571</v>
      </c>
      <c r="M176" s="342" t="s">
        <v>1571</v>
      </c>
      <c r="P176" s="342">
        <v>6121725048</v>
      </c>
      <c r="S176" s="343">
        <v>45549</v>
      </c>
      <c r="Y176" s="342" t="s">
        <v>4693</v>
      </c>
    </row>
    <row r="177" spans="1:25">
      <c r="A177" s="342">
        <v>198701</v>
      </c>
      <c r="B177" s="342" t="s">
        <v>1475</v>
      </c>
      <c r="C177" s="342" t="s">
        <v>1477</v>
      </c>
      <c r="D177" s="342" t="s">
        <v>47</v>
      </c>
      <c r="E177" s="342" t="s">
        <v>591</v>
      </c>
      <c r="F177" s="342" t="s">
        <v>40</v>
      </c>
      <c r="G177" s="342" t="s">
        <v>5280</v>
      </c>
      <c r="H177" s="342" t="s">
        <v>5768</v>
      </c>
      <c r="I177" s="342" t="s">
        <v>1571</v>
      </c>
      <c r="L177" s="342" t="s">
        <v>1571</v>
      </c>
      <c r="M177" s="342" t="s">
        <v>1571</v>
      </c>
      <c r="P177" s="342">
        <v>6121725048</v>
      </c>
      <c r="S177" s="343">
        <v>45549</v>
      </c>
      <c r="Y177" s="342" t="s">
        <v>4693</v>
      </c>
    </row>
    <row r="178" spans="1:25">
      <c r="A178" s="342">
        <v>198770</v>
      </c>
      <c r="B178" s="342" t="s">
        <v>893</v>
      </c>
      <c r="C178" s="342" t="s">
        <v>895</v>
      </c>
      <c r="D178" s="342" t="s">
        <v>47</v>
      </c>
      <c r="E178" s="342" t="s">
        <v>591</v>
      </c>
      <c r="F178" s="342" t="s">
        <v>749</v>
      </c>
      <c r="G178" s="342" t="s">
        <v>1421</v>
      </c>
      <c r="J178" s="342" t="s">
        <v>1571</v>
      </c>
      <c r="K178" s="343">
        <v>44834</v>
      </c>
      <c r="P178" s="342">
        <v>6143646260</v>
      </c>
    </row>
    <row r="179" spans="1:25">
      <c r="A179" s="342">
        <v>198967</v>
      </c>
      <c r="B179" s="342" t="s">
        <v>350</v>
      </c>
      <c r="C179" s="342" t="s">
        <v>352</v>
      </c>
      <c r="D179" s="342" t="s">
        <v>118</v>
      </c>
      <c r="E179" s="342" t="s">
        <v>591</v>
      </c>
      <c r="F179" s="342" t="s">
        <v>40</v>
      </c>
      <c r="G179" s="342" t="s">
        <v>1510</v>
      </c>
      <c r="H179" s="342" t="s">
        <v>5769</v>
      </c>
      <c r="I179" s="342" t="s">
        <v>1569</v>
      </c>
      <c r="L179" s="342" t="s">
        <v>1568</v>
      </c>
      <c r="M179" s="342" t="s">
        <v>1568</v>
      </c>
      <c r="N179" s="342" t="s">
        <v>3650</v>
      </c>
      <c r="O179" s="342" t="s">
        <v>3808</v>
      </c>
      <c r="P179" s="342">
        <v>6115831508</v>
      </c>
      <c r="R179" s="342" t="s">
        <v>3649</v>
      </c>
      <c r="S179" s="343">
        <v>45094</v>
      </c>
      <c r="T179" s="343">
        <v>45094</v>
      </c>
      <c r="U179" s="343">
        <v>44613</v>
      </c>
      <c r="V179" s="343">
        <v>44000</v>
      </c>
      <c r="X179" s="342" t="s">
        <v>3809</v>
      </c>
      <c r="Y179" s="342" t="s">
        <v>3810</v>
      </c>
    </row>
    <row r="180" spans="1:25" ht="409.5">
      <c r="A180" s="342">
        <v>199184</v>
      </c>
      <c r="B180" s="342" t="s">
        <v>1227</v>
      </c>
      <c r="C180" s="342" t="s">
        <v>1229</v>
      </c>
      <c r="D180" s="342" t="s">
        <v>47</v>
      </c>
      <c r="E180" s="342" t="s">
        <v>591</v>
      </c>
      <c r="F180" s="342" t="s">
        <v>737</v>
      </c>
      <c r="G180" s="342" t="s">
        <v>5280</v>
      </c>
      <c r="H180" s="342" t="s">
        <v>5770</v>
      </c>
      <c r="I180" s="342" t="s">
        <v>1574</v>
      </c>
      <c r="L180" s="342" t="s">
        <v>1568</v>
      </c>
      <c r="M180" s="342" t="s">
        <v>1568</v>
      </c>
      <c r="N180" s="342" t="s">
        <v>3650</v>
      </c>
      <c r="O180" s="344" t="s">
        <v>4749</v>
      </c>
      <c r="P180" s="342">
        <v>6111419500</v>
      </c>
      <c r="R180" s="342" t="s">
        <v>3649</v>
      </c>
      <c r="S180" s="343">
        <v>45569</v>
      </c>
      <c r="T180" s="343">
        <v>45569</v>
      </c>
      <c r="U180" s="343">
        <v>44438</v>
      </c>
      <c r="V180" s="343">
        <v>44479</v>
      </c>
      <c r="X180" s="342">
        <v>51513.599999999999</v>
      </c>
      <c r="Y180" s="342" t="s">
        <v>4768</v>
      </c>
    </row>
    <row r="181" spans="1:25" ht="409.5">
      <c r="A181" s="342">
        <v>199281</v>
      </c>
      <c r="B181" s="342" t="s">
        <v>5025</v>
      </c>
      <c r="C181" s="342" t="s">
        <v>353</v>
      </c>
      <c r="D181" s="342" t="s">
        <v>47</v>
      </c>
      <c r="E181" s="342" t="s">
        <v>591</v>
      </c>
      <c r="F181" s="342" t="s">
        <v>40</v>
      </c>
      <c r="G181" s="342" t="s">
        <v>4638</v>
      </c>
      <c r="H181" s="342" t="s">
        <v>6074</v>
      </c>
      <c r="I181" s="342" t="s">
        <v>1578</v>
      </c>
      <c r="L181" s="342" t="s">
        <v>1568</v>
      </c>
      <c r="M181" s="342" t="s">
        <v>1568</v>
      </c>
      <c r="N181" s="342" t="s">
        <v>3650</v>
      </c>
      <c r="O181" s="344" t="s">
        <v>5196</v>
      </c>
      <c r="P181" s="342">
        <v>6114014724</v>
      </c>
      <c r="R181" s="342" t="s">
        <v>3649</v>
      </c>
      <c r="S181" s="343">
        <v>45866</v>
      </c>
      <c r="T181" s="343">
        <v>44770</v>
      </c>
      <c r="U181" s="343">
        <v>44284</v>
      </c>
      <c r="V181" s="343">
        <v>43675</v>
      </c>
      <c r="W181" s="343">
        <v>44651</v>
      </c>
      <c r="X181" s="342" t="s">
        <v>5198</v>
      </c>
      <c r="Y181" s="342" t="s">
        <v>5198</v>
      </c>
    </row>
    <row r="182" spans="1:25">
      <c r="A182" s="342">
        <v>201000</v>
      </c>
      <c r="B182" s="342" t="s">
        <v>354</v>
      </c>
      <c r="C182" s="342" t="s">
        <v>356</v>
      </c>
      <c r="D182" s="342" t="s">
        <v>51</v>
      </c>
      <c r="E182" s="342" t="s">
        <v>591</v>
      </c>
      <c r="F182" s="342" t="s">
        <v>40</v>
      </c>
      <c r="G182" s="342" t="s">
        <v>5279</v>
      </c>
      <c r="H182" s="342" t="s">
        <v>5771</v>
      </c>
      <c r="I182" s="342" t="s">
        <v>1569</v>
      </c>
      <c r="L182" s="342" t="s">
        <v>1568</v>
      </c>
      <c r="M182" s="342" t="s">
        <v>1568</v>
      </c>
      <c r="N182" s="342" t="s">
        <v>3652</v>
      </c>
      <c r="O182" s="342" t="s">
        <v>3811</v>
      </c>
      <c r="P182" s="342">
        <v>6113847206</v>
      </c>
      <c r="R182" s="342" t="s">
        <v>3649</v>
      </c>
      <c r="S182" s="343">
        <v>44781</v>
      </c>
      <c r="T182" s="343">
        <v>45877</v>
      </c>
      <c r="U182" s="343">
        <v>44676</v>
      </c>
      <c r="V182" s="343">
        <v>44782</v>
      </c>
      <c r="X182" s="342" t="s">
        <v>3812</v>
      </c>
      <c r="Y182" s="342" t="s">
        <v>3812</v>
      </c>
    </row>
    <row r="183" spans="1:25" ht="409.5">
      <c r="A183" s="342">
        <v>201798</v>
      </c>
      <c r="B183" s="342" t="s">
        <v>357</v>
      </c>
      <c r="C183" s="342" t="s">
        <v>360</v>
      </c>
      <c r="D183" s="342" t="s">
        <v>246</v>
      </c>
      <c r="E183" s="342" t="s">
        <v>591</v>
      </c>
      <c r="F183" s="342" t="s">
        <v>40</v>
      </c>
      <c r="G183" s="342" t="s">
        <v>1277</v>
      </c>
      <c r="H183" s="342" t="s">
        <v>4359</v>
      </c>
      <c r="I183" s="342" t="s">
        <v>1569</v>
      </c>
      <c r="L183" s="342" t="s">
        <v>1568</v>
      </c>
      <c r="M183" s="342" t="s">
        <v>1568</v>
      </c>
      <c r="N183" s="342" t="s">
        <v>3813</v>
      </c>
      <c r="O183" s="344" t="s">
        <v>4348</v>
      </c>
      <c r="P183" s="342">
        <v>6115109667</v>
      </c>
      <c r="R183" s="342" t="s">
        <v>3649</v>
      </c>
      <c r="S183" s="343">
        <v>45349</v>
      </c>
      <c r="T183" s="343">
        <v>45349</v>
      </c>
      <c r="U183" s="343">
        <v>44516</v>
      </c>
      <c r="V183" s="343">
        <v>44255</v>
      </c>
      <c r="W183" s="343">
        <v>44596</v>
      </c>
      <c r="X183" s="342" t="s">
        <v>3814</v>
      </c>
      <c r="Y183" s="342" t="s">
        <v>3814</v>
      </c>
    </row>
    <row r="184" spans="1:25">
      <c r="A184" s="342">
        <v>202699</v>
      </c>
      <c r="B184" s="342" t="s">
        <v>362</v>
      </c>
      <c r="C184" s="342" t="s">
        <v>900</v>
      </c>
      <c r="D184" s="342" t="s">
        <v>47</v>
      </c>
      <c r="E184" s="342" t="s">
        <v>591</v>
      </c>
      <c r="F184" s="342" t="s">
        <v>737</v>
      </c>
      <c r="G184" s="342" t="s">
        <v>1336</v>
      </c>
      <c r="H184" s="342" t="s">
        <v>4923</v>
      </c>
      <c r="I184" s="342" t="s">
        <v>1569</v>
      </c>
      <c r="L184" s="342" t="s">
        <v>1568</v>
      </c>
      <c r="M184" s="342" t="s">
        <v>1568</v>
      </c>
      <c r="N184" s="342" t="s">
        <v>3650</v>
      </c>
      <c r="O184" s="342" t="s">
        <v>5059</v>
      </c>
      <c r="P184" s="342">
        <v>6111067169</v>
      </c>
      <c r="R184" s="342" t="s">
        <v>3649</v>
      </c>
      <c r="S184" s="343">
        <v>45016</v>
      </c>
      <c r="T184" s="343">
        <v>45016</v>
      </c>
      <c r="U184" s="343">
        <v>44494</v>
      </c>
      <c r="V184" s="343">
        <v>43922</v>
      </c>
      <c r="W184" s="343">
        <v>44547</v>
      </c>
      <c r="X184" s="342">
        <v>28041</v>
      </c>
      <c r="Y184" s="342">
        <v>28041</v>
      </c>
    </row>
    <row r="185" spans="1:25" ht="409.5">
      <c r="A185" s="342">
        <v>202981</v>
      </c>
      <c r="B185" s="342" t="s">
        <v>902</v>
      </c>
      <c r="C185" s="342" t="s">
        <v>151</v>
      </c>
      <c r="D185" s="342" t="s">
        <v>47</v>
      </c>
      <c r="E185" s="342" t="s">
        <v>591</v>
      </c>
      <c r="F185" s="342" t="s">
        <v>40</v>
      </c>
      <c r="G185" s="342" t="s">
        <v>5280</v>
      </c>
      <c r="H185" s="342" t="s">
        <v>5772</v>
      </c>
      <c r="I185" s="342" t="s">
        <v>1574</v>
      </c>
      <c r="L185" s="342" t="s">
        <v>1568</v>
      </c>
      <c r="M185" s="342" t="s">
        <v>1568</v>
      </c>
      <c r="N185" s="342" t="s">
        <v>3650</v>
      </c>
      <c r="O185" s="344" t="s">
        <v>4630</v>
      </c>
      <c r="P185" s="342">
        <v>6113905009</v>
      </c>
      <c r="R185" s="342" t="s">
        <v>3649</v>
      </c>
      <c r="S185" s="343">
        <v>45526</v>
      </c>
      <c r="T185" s="343">
        <v>45526</v>
      </c>
      <c r="U185" s="343">
        <v>44301</v>
      </c>
      <c r="V185" s="343">
        <v>44431</v>
      </c>
      <c r="X185" s="342">
        <v>86539.3</v>
      </c>
      <c r="Y185" s="342">
        <v>86539.3</v>
      </c>
    </row>
    <row r="186" spans="1:25" ht="409.5">
      <c r="A186" s="342">
        <v>203035</v>
      </c>
      <c r="B186" s="342" t="s">
        <v>744</v>
      </c>
      <c r="C186" s="342" t="s">
        <v>365</v>
      </c>
      <c r="D186" s="342" t="s">
        <v>118</v>
      </c>
      <c r="E186" s="342" t="s">
        <v>591</v>
      </c>
      <c r="F186" s="342" t="s">
        <v>40</v>
      </c>
      <c r="G186" s="342" t="s">
        <v>5280</v>
      </c>
      <c r="H186" s="342" t="s">
        <v>5773</v>
      </c>
      <c r="I186" s="342" t="s">
        <v>1568</v>
      </c>
      <c r="L186" s="342" t="s">
        <v>1568</v>
      </c>
      <c r="M186" s="342" t="s">
        <v>1568</v>
      </c>
      <c r="N186" s="342" t="s">
        <v>3650</v>
      </c>
      <c r="O186" s="344" t="s">
        <v>5161</v>
      </c>
      <c r="P186" s="342">
        <v>6111624188</v>
      </c>
      <c r="R186" s="342" t="s">
        <v>3649</v>
      </c>
      <c r="S186" s="343">
        <v>44985</v>
      </c>
      <c r="T186" s="343">
        <v>44985</v>
      </c>
      <c r="U186" s="343">
        <v>44487</v>
      </c>
      <c r="V186" s="343">
        <v>43891</v>
      </c>
      <c r="W186" s="343">
        <v>44588</v>
      </c>
      <c r="X186" s="342">
        <v>55667.9</v>
      </c>
      <c r="Y186" s="342">
        <v>55667.8</v>
      </c>
    </row>
    <row r="187" spans="1:25">
      <c r="A187" s="342">
        <v>203249</v>
      </c>
      <c r="B187" s="342" t="s">
        <v>366</v>
      </c>
      <c r="C187" s="342" t="s">
        <v>369</v>
      </c>
      <c r="D187" s="342" t="s">
        <v>45</v>
      </c>
      <c r="E187" s="342" t="s">
        <v>591</v>
      </c>
      <c r="F187" s="342" t="s">
        <v>40</v>
      </c>
      <c r="G187" s="342" t="s">
        <v>5281</v>
      </c>
      <c r="H187" s="342" t="s">
        <v>5774</v>
      </c>
      <c r="I187" s="342" t="s">
        <v>1573</v>
      </c>
      <c r="L187" s="342" t="s">
        <v>1571</v>
      </c>
      <c r="M187" s="342" t="s">
        <v>1571</v>
      </c>
      <c r="N187" s="342" t="s">
        <v>3653</v>
      </c>
      <c r="O187" s="342" t="s">
        <v>3815</v>
      </c>
      <c r="P187" s="342">
        <v>6114503280</v>
      </c>
      <c r="R187" s="342" t="s">
        <v>3649</v>
      </c>
      <c r="S187" s="343">
        <v>44873</v>
      </c>
      <c r="T187" s="343">
        <v>44873</v>
      </c>
      <c r="U187" s="343">
        <v>44452</v>
      </c>
      <c r="V187" s="343">
        <v>43778</v>
      </c>
      <c r="W187" s="343">
        <v>44167</v>
      </c>
      <c r="X187" s="342" t="s">
        <v>3816</v>
      </c>
      <c r="Y187" s="342" t="s">
        <v>3816</v>
      </c>
    </row>
    <row r="188" spans="1:25" ht="409.5">
      <c r="A188" s="342">
        <v>203252</v>
      </c>
      <c r="B188" s="342" t="s">
        <v>906</v>
      </c>
      <c r="C188" s="342" t="s">
        <v>372</v>
      </c>
      <c r="D188" s="342" t="s">
        <v>51</v>
      </c>
      <c r="E188" s="342" t="s">
        <v>591</v>
      </c>
      <c r="F188" s="342" t="s">
        <v>40</v>
      </c>
      <c r="G188" s="342" t="s">
        <v>5281</v>
      </c>
      <c r="H188" s="342" t="s">
        <v>5775</v>
      </c>
      <c r="I188" s="342" t="s">
        <v>1568</v>
      </c>
      <c r="L188" s="342" t="s">
        <v>1568</v>
      </c>
      <c r="M188" s="342" t="s">
        <v>1568</v>
      </c>
      <c r="N188" s="342" t="s">
        <v>3652</v>
      </c>
      <c r="O188" s="344" t="s">
        <v>3817</v>
      </c>
      <c r="P188" s="342">
        <v>6115287783</v>
      </c>
      <c r="R188" s="342" t="s">
        <v>3649</v>
      </c>
      <c r="S188" s="343">
        <v>45555</v>
      </c>
      <c r="T188" s="343">
        <v>45555</v>
      </c>
      <c r="U188" s="343">
        <v>43676</v>
      </c>
      <c r="V188" s="343">
        <v>44460</v>
      </c>
      <c r="W188" s="343">
        <v>44460</v>
      </c>
      <c r="X188" s="342" t="s">
        <v>3818</v>
      </c>
      <c r="Y188" s="342" t="s">
        <v>3818</v>
      </c>
    </row>
    <row r="189" spans="1:25" ht="409.5">
      <c r="A189" s="342">
        <v>203617</v>
      </c>
      <c r="B189" s="342" t="s">
        <v>666</v>
      </c>
      <c r="C189" s="342" t="s">
        <v>668</v>
      </c>
      <c r="D189" s="342" t="s">
        <v>47</v>
      </c>
      <c r="E189" s="342" t="s">
        <v>591</v>
      </c>
      <c r="F189" s="342" t="s">
        <v>40</v>
      </c>
      <c r="G189" s="342" t="s">
        <v>5283</v>
      </c>
      <c r="H189" s="342" t="s">
        <v>5776</v>
      </c>
      <c r="I189" s="342" t="s">
        <v>1569</v>
      </c>
      <c r="L189" s="342" t="s">
        <v>1568</v>
      </c>
      <c r="M189" s="342" t="s">
        <v>1568</v>
      </c>
      <c r="N189" s="342" t="s">
        <v>3650</v>
      </c>
      <c r="O189" s="344" t="s">
        <v>5102</v>
      </c>
      <c r="P189" s="342">
        <v>6111400467</v>
      </c>
      <c r="R189" s="342" t="s">
        <v>3649</v>
      </c>
      <c r="S189" s="343">
        <v>45673</v>
      </c>
      <c r="T189" s="343">
        <v>45673</v>
      </c>
      <c r="U189" s="343">
        <v>44480</v>
      </c>
      <c r="V189" s="343">
        <v>44578</v>
      </c>
      <c r="X189" s="342" t="s">
        <v>5103</v>
      </c>
      <c r="Y189" s="342" t="s">
        <v>5105</v>
      </c>
    </row>
    <row r="190" spans="1:25">
      <c r="A190" s="342">
        <v>203630</v>
      </c>
      <c r="B190" s="342" t="s">
        <v>1178</v>
      </c>
      <c r="C190" s="342" t="s">
        <v>374</v>
      </c>
      <c r="D190" s="342" t="s">
        <v>47</v>
      </c>
      <c r="E190" s="342" t="s">
        <v>591</v>
      </c>
      <c r="F190" s="342" t="s">
        <v>40</v>
      </c>
      <c r="G190" s="342" t="s">
        <v>5283</v>
      </c>
      <c r="H190" s="342" t="s">
        <v>5777</v>
      </c>
      <c r="I190" s="342" t="s">
        <v>1578</v>
      </c>
      <c r="L190" s="342" t="s">
        <v>1568</v>
      </c>
      <c r="M190" s="342" t="s">
        <v>1568</v>
      </c>
      <c r="N190" s="342" t="s">
        <v>3650</v>
      </c>
      <c r="O190" s="342" t="s">
        <v>4212</v>
      </c>
      <c r="P190" s="342">
        <v>6111481703</v>
      </c>
      <c r="R190" s="342" t="s">
        <v>3649</v>
      </c>
      <c r="S190" s="343">
        <v>45291</v>
      </c>
      <c r="T190" s="343">
        <v>45291</v>
      </c>
      <c r="U190" s="343">
        <v>44263</v>
      </c>
      <c r="V190" s="343">
        <v>44197</v>
      </c>
      <c r="X190" s="342">
        <v>31307</v>
      </c>
      <c r="Y190" s="342">
        <v>10318907</v>
      </c>
    </row>
    <row r="191" spans="1:25">
      <c r="A191" s="342">
        <v>206126</v>
      </c>
      <c r="B191" s="342" t="s">
        <v>1067</v>
      </c>
      <c r="C191" s="342" t="s">
        <v>348</v>
      </c>
      <c r="D191" s="342" t="s">
        <v>45</v>
      </c>
      <c r="E191" s="342" t="s">
        <v>591</v>
      </c>
      <c r="F191" s="342" t="s">
        <v>40</v>
      </c>
      <c r="G191" s="342" t="s">
        <v>1277</v>
      </c>
      <c r="H191" s="342" t="s">
        <v>5778</v>
      </c>
      <c r="I191" s="342" t="s">
        <v>1569</v>
      </c>
      <c r="L191" s="342" t="s">
        <v>1568</v>
      </c>
      <c r="M191" s="342" t="s">
        <v>1568</v>
      </c>
      <c r="N191" s="342" t="s">
        <v>3650</v>
      </c>
      <c r="O191" s="342" t="s">
        <v>4620</v>
      </c>
      <c r="P191" s="342">
        <v>6122236280</v>
      </c>
      <c r="R191" s="342" t="s">
        <v>3649</v>
      </c>
      <c r="S191" s="343">
        <v>45801</v>
      </c>
      <c r="T191" s="343">
        <v>45801</v>
      </c>
      <c r="U191" s="343">
        <v>44592</v>
      </c>
      <c r="V191" s="343">
        <v>44706</v>
      </c>
      <c r="X191" s="342" t="s">
        <v>4623</v>
      </c>
      <c r="Y191" s="342" t="s">
        <v>4623</v>
      </c>
    </row>
    <row r="192" spans="1:25">
      <c r="A192" s="342">
        <v>206359</v>
      </c>
      <c r="B192" s="342" t="s">
        <v>376</v>
      </c>
      <c r="C192" s="342" t="s">
        <v>379</v>
      </c>
      <c r="D192" s="342" t="s">
        <v>51</v>
      </c>
      <c r="E192" s="342" t="s">
        <v>591</v>
      </c>
      <c r="F192" s="342" t="s">
        <v>40</v>
      </c>
      <c r="G192" s="342" t="s">
        <v>1277</v>
      </c>
      <c r="H192" s="342" t="s">
        <v>4573</v>
      </c>
      <c r="I192" s="342" t="s">
        <v>1568</v>
      </c>
      <c r="L192" s="342" t="s">
        <v>1568</v>
      </c>
      <c r="M192" s="342" t="s">
        <v>1568</v>
      </c>
      <c r="N192" s="342" t="s">
        <v>3652</v>
      </c>
      <c r="O192" s="342" t="s">
        <v>3819</v>
      </c>
      <c r="P192" s="342">
        <v>6110770208</v>
      </c>
      <c r="R192" s="342" t="s">
        <v>3649</v>
      </c>
      <c r="S192" s="343">
        <v>45455</v>
      </c>
      <c r="T192" s="343">
        <v>45455</v>
      </c>
      <c r="U192" s="343">
        <v>44306</v>
      </c>
      <c r="V192" s="343">
        <v>44360</v>
      </c>
      <c r="X192" s="342" t="s">
        <v>4571</v>
      </c>
      <c r="Y192" s="342" t="s">
        <v>4571</v>
      </c>
    </row>
    <row r="193" spans="1:25">
      <c r="A193" s="342">
        <v>207509</v>
      </c>
      <c r="B193" s="342" t="s">
        <v>382</v>
      </c>
      <c r="C193" s="342" t="s">
        <v>4457</v>
      </c>
      <c r="D193" s="342" t="s">
        <v>66</v>
      </c>
      <c r="E193" s="342" t="s">
        <v>591</v>
      </c>
      <c r="F193" s="342" t="s">
        <v>40</v>
      </c>
      <c r="G193" s="342" t="s">
        <v>5283</v>
      </c>
      <c r="H193" s="342" t="s">
        <v>5779</v>
      </c>
      <c r="I193" s="342" t="s">
        <v>1578</v>
      </c>
      <c r="L193" s="342" t="s">
        <v>1568</v>
      </c>
      <c r="M193" s="342" t="s">
        <v>1568</v>
      </c>
      <c r="N193" s="342" t="s">
        <v>3650</v>
      </c>
      <c r="O193" s="342" t="s">
        <v>5328</v>
      </c>
      <c r="P193" s="342">
        <v>6111860722</v>
      </c>
      <c r="R193" s="342" t="s">
        <v>3649</v>
      </c>
      <c r="S193" s="343">
        <v>45763</v>
      </c>
      <c r="T193" s="343">
        <v>45763</v>
      </c>
      <c r="U193" s="343">
        <v>44613</v>
      </c>
      <c r="V193" s="343">
        <v>44668</v>
      </c>
      <c r="X193" s="342">
        <v>76895.5</v>
      </c>
      <c r="Y193" s="342">
        <v>76895.5</v>
      </c>
    </row>
    <row r="194" spans="1:25">
      <c r="A194" s="342">
        <v>209435</v>
      </c>
      <c r="B194" s="342" t="s">
        <v>384</v>
      </c>
      <c r="C194" s="342" t="s">
        <v>386</v>
      </c>
      <c r="D194" s="342" t="s">
        <v>51</v>
      </c>
      <c r="E194" s="342" t="s">
        <v>591</v>
      </c>
      <c r="F194" s="342" t="s">
        <v>40</v>
      </c>
      <c r="G194" s="342" t="s">
        <v>5283</v>
      </c>
      <c r="H194" s="342" t="s">
        <v>5780</v>
      </c>
      <c r="I194" s="342" t="s">
        <v>1568</v>
      </c>
      <c r="L194" s="342" t="s">
        <v>1568</v>
      </c>
      <c r="M194" s="342" t="s">
        <v>1568</v>
      </c>
      <c r="N194" s="342" t="s">
        <v>3650</v>
      </c>
      <c r="O194" s="342" t="s">
        <v>5314</v>
      </c>
      <c r="P194" s="342">
        <v>6111454808</v>
      </c>
      <c r="R194" s="342" t="s">
        <v>3649</v>
      </c>
      <c r="S194" s="343">
        <v>45743</v>
      </c>
      <c r="T194" s="343">
        <v>45743</v>
      </c>
      <c r="U194" s="343">
        <v>44536</v>
      </c>
      <c r="V194" s="343">
        <v>44648</v>
      </c>
      <c r="X194" s="342" t="s">
        <v>3820</v>
      </c>
      <c r="Y194" s="342" t="s">
        <v>3820</v>
      </c>
    </row>
    <row r="195" spans="1:25">
      <c r="A195" s="342">
        <v>217495</v>
      </c>
      <c r="B195" s="342" t="s">
        <v>600</v>
      </c>
      <c r="C195" s="342" t="s">
        <v>601</v>
      </c>
      <c r="D195" s="342" t="s">
        <v>45</v>
      </c>
      <c r="E195" s="342" t="s">
        <v>591</v>
      </c>
      <c r="F195" s="342" t="s">
        <v>40</v>
      </c>
      <c r="G195" s="342" t="s">
        <v>5279</v>
      </c>
      <c r="H195" s="342" t="s">
        <v>5781</v>
      </c>
      <c r="I195" s="342" t="s">
        <v>1569</v>
      </c>
      <c r="L195" s="342" t="s">
        <v>1568</v>
      </c>
      <c r="M195" s="342" t="s">
        <v>1568</v>
      </c>
      <c r="N195" s="342" t="s">
        <v>3650</v>
      </c>
      <c r="O195" s="342" t="s">
        <v>3821</v>
      </c>
      <c r="P195" s="342">
        <v>6113507148</v>
      </c>
      <c r="R195" s="342" t="s">
        <v>3649</v>
      </c>
      <c r="S195" s="343">
        <v>45777</v>
      </c>
      <c r="T195" s="343">
        <v>45777</v>
      </c>
      <c r="U195" s="343">
        <v>44536</v>
      </c>
      <c r="V195" s="343">
        <v>44682</v>
      </c>
      <c r="X195" s="342" t="s">
        <v>3822</v>
      </c>
      <c r="Y195" s="342" t="s">
        <v>3822</v>
      </c>
    </row>
    <row r="196" spans="1:25" ht="409.5">
      <c r="A196" s="342">
        <v>217647</v>
      </c>
      <c r="B196" s="342" t="s">
        <v>909</v>
      </c>
      <c r="C196" s="342" t="s">
        <v>68</v>
      </c>
      <c r="D196" s="342" t="s">
        <v>47</v>
      </c>
      <c r="E196" s="342" t="s">
        <v>591</v>
      </c>
      <c r="F196" s="342" t="s">
        <v>43</v>
      </c>
      <c r="G196" s="342" t="s">
        <v>1336</v>
      </c>
      <c r="H196" s="342" t="s">
        <v>4581</v>
      </c>
      <c r="I196" s="342" t="s">
        <v>1568</v>
      </c>
      <c r="L196" s="342" t="s">
        <v>1568</v>
      </c>
      <c r="M196" s="342" t="s">
        <v>1568</v>
      </c>
      <c r="N196" s="342" t="s">
        <v>3650</v>
      </c>
      <c r="O196" s="344" t="s">
        <v>5498</v>
      </c>
      <c r="P196" s="342">
        <v>6127717966</v>
      </c>
      <c r="R196" s="342" t="s">
        <v>3649</v>
      </c>
      <c r="S196" s="343">
        <v>45473</v>
      </c>
      <c r="T196" s="343">
        <v>45473</v>
      </c>
      <c r="U196" s="343">
        <v>44648</v>
      </c>
      <c r="V196" s="343">
        <v>44378</v>
      </c>
      <c r="W196" s="343">
        <v>44684</v>
      </c>
      <c r="X196" s="342" t="s">
        <v>5508</v>
      </c>
      <c r="Y196" s="342" t="s">
        <v>4583</v>
      </c>
    </row>
    <row r="197" spans="1:25" ht="409.5">
      <c r="A197" s="342">
        <v>217647</v>
      </c>
      <c r="B197" s="342" t="s">
        <v>909</v>
      </c>
      <c r="C197" s="342" t="s">
        <v>68</v>
      </c>
      <c r="D197" s="342" t="s">
        <v>47</v>
      </c>
      <c r="E197" s="342" t="s">
        <v>591</v>
      </c>
      <c r="F197" s="342" t="s">
        <v>1100</v>
      </c>
      <c r="G197" s="342" t="s">
        <v>1336</v>
      </c>
      <c r="H197" s="342" t="s">
        <v>4581</v>
      </c>
      <c r="I197" s="342" t="s">
        <v>1568</v>
      </c>
      <c r="L197" s="342" t="s">
        <v>1568</v>
      </c>
      <c r="M197" s="342" t="s">
        <v>1568</v>
      </c>
      <c r="N197" s="342" t="s">
        <v>3650</v>
      </c>
      <c r="O197" s="344" t="s">
        <v>5498</v>
      </c>
      <c r="P197" s="342">
        <v>6127717966</v>
      </c>
      <c r="R197" s="342" t="s">
        <v>3649</v>
      </c>
      <c r="S197" s="343">
        <v>45473</v>
      </c>
      <c r="T197" s="343">
        <v>45473</v>
      </c>
      <c r="U197" s="343">
        <v>44648</v>
      </c>
      <c r="V197" s="343">
        <v>44378</v>
      </c>
      <c r="W197" s="343">
        <v>44684</v>
      </c>
      <c r="X197" s="342" t="s">
        <v>5508</v>
      </c>
      <c r="Y197" s="342" t="s">
        <v>4583</v>
      </c>
    </row>
    <row r="198" spans="1:25" ht="409.5">
      <c r="A198" s="342">
        <v>217647</v>
      </c>
      <c r="B198" s="342" t="s">
        <v>909</v>
      </c>
      <c r="C198" s="342" t="s">
        <v>68</v>
      </c>
      <c r="D198" s="342" t="s">
        <v>47</v>
      </c>
      <c r="E198" s="342" t="s">
        <v>591</v>
      </c>
      <c r="F198" s="342" t="s">
        <v>685</v>
      </c>
      <c r="G198" s="342" t="s">
        <v>1336</v>
      </c>
      <c r="H198" s="342" t="s">
        <v>4581</v>
      </c>
      <c r="I198" s="342" t="s">
        <v>1568</v>
      </c>
      <c r="L198" s="342" t="s">
        <v>1568</v>
      </c>
      <c r="M198" s="342" t="s">
        <v>1568</v>
      </c>
      <c r="N198" s="342" t="s">
        <v>3650</v>
      </c>
      <c r="O198" s="344" t="s">
        <v>5498</v>
      </c>
      <c r="P198" s="342">
        <v>6127717966</v>
      </c>
      <c r="R198" s="342" t="s">
        <v>3649</v>
      </c>
      <c r="S198" s="343">
        <v>45473</v>
      </c>
      <c r="T198" s="343">
        <v>45473</v>
      </c>
      <c r="U198" s="343">
        <v>44648</v>
      </c>
      <c r="V198" s="343">
        <v>44378</v>
      </c>
      <c r="W198" s="343">
        <v>44684</v>
      </c>
      <c r="X198" s="342" t="s">
        <v>5508</v>
      </c>
      <c r="Y198" s="342" t="s">
        <v>4583</v>
      </c>
    </row>
    <row r="199" spans="1:25">
      <c r="A199" s="342">
        <v>217725</v>
      </c>
      <c r="B199" s="342" t="s">
        <v>389</v>
      </c>
      <c r="C199" s="342" t="s">
        <v>226</v>
      </c>
      <c r="D199" s="342" t="s">
        <v>45</v>
      </c>
      <c r="E199" s="342" t="s">
        <v>591</v>
      </c>
      <c r="F199" s="342" t="s">
        <v>40</v>
      </c>
      <c r="G199" s="342" t="s">
        <v>5282</v>
      </c>
      <c r="H199" s="342" t="s">
        <v>5782</v>
      </c>
      <c r="I199" s="342" t="s">
        <v>1569</v>
      </c>
      <c r="L199" s="342" t="s">
        <v>1568</v>
      </c>
      <c r="M199" s="342" t="s">
        <v>1568</v>
      </c>
      <c r="N199" s="342" t="s">
        <v>3652</v>
      </c>
      <c r="O199" s="342" t="s">
        <v>3823</v>
      </c>
      <c r="P199" s="342">
        <v>6115191060</v>
      </c>
      <c r="R199" s="342" t="s">
        <v>3649</v>
      </c>
      <c r="S199" s="343">
        <v>45574</v>
      </c>
      <c r="T199" s="343">
        <v>45574</v>
      </c>
      <c r="U199" s="343">
        <v>43636</v>
      </c>
      <c r="V199" s="343">
        <v>44479</v>
      </c>
      <c r="X199" s="342" t="s">
        <v>3824</v>
      </c>
      <c r="Y199" s="342" t="s">
        <v>3824</v>
      </c>
    </row>
    <row r="200" spans="1:25">
      <c r="A200" s="342">
        <v>217762</v>
      </c>
      <c r="B200" s="342" t="s">
        <v>738</v>
      </c>
      <c r="C200" s="342" t="s">
        <v>740</v>
      </c>
      <c r="D200" s="342" t="s">
        <v>51</v>
      </c>
      <c r="E200" s="342" t="s">
        <v>591</v>
      </c>
      <c r="F200" s="342" t="s">
        <v>40</v>
      </c>
      <c r="G200" s="342" t="s">
        <v>4608</v>
      </c>
      <c r="H200" s="342" t="s">
        <v>5783</v>
      </c>
      <c r="I200" s="342" t="s">
        <v>1568</v>
      </c>
      <c r="L200" s="342" t="s">
        <v>1568</v>
      </c>
      <c r="M200" s="342" t="s">
        <v>1568</v>
      </c>
      <c r="N200" s="342" t="s">
        <v>3652</v>
      </c>
      <c r="O200" s="342" t="s">
        <v>3825</v>
      </c>
      <c r="P200" s="342">
        <v>6111147982</v>
      </c>
      <c r="R200" s="342" t="s">
        <v>3649</v>
      </c>
      <c r="S200" s="343">
        <v>45732</v>
      </c>
      <c r="T200" s="343">
        <v>45732</v>
      </c>
      <c r="U200" s="343">
        <v>44501</v>
      </c>
      <c r="V200" s="343">
        <v>44637</v>
      </c>
      <c r="X200" s="342" t="s">
        <v>3826</v>
      </c>
      <c r="Y200" s="342" t="s">
        <v>3826</v>
      </c>
    </row>
    <row r="201" spans="1:25">
      <c r="A201" s="342">
        <v>217815</v>
      </c>
      <c r="B201" s="342" t="s">
        <v>670</v>
      </c>
      <c r="C201" s="342" t="s">
        <v>88</v>
      </c>
      <c r="D201" s="342" t="s">
        <v>55</v>
      </c>
      <c r="E201" s="342" t="s">
        <v>591</v>
      </c>
      <c r="F201" s="342" t="s">
        <v>40</v>
      </c>
      <c r="G201" s="342" t="s">
        <v>1510</v>
      </c>
      <c r="H201" s="342" t="s">
        <v>4764</v>
      </c>
      <c r="I201" s="342" t="s">
        <v>1568</v>
      </c>
      <c r="L201" s="342" t="s">
        <v>1568</v>
      </c>
      <c r="M201" s="342" t="s">
        <v>1568</v>
      </c>
      <c r="N201" s="342" t="s">
        <v>3650</v>
      </c>
      <c r="O201" s="342" t="s">
        <v>3827</v>
      </c>
      <c r="P201" s="342">
        <v>6110317386</v>
      </c>
      <c r="R201" s="342" t="s">
        <v>3649</v>
      </c>
      <c r="S201" s="343">
        <v>45593</v>
      </c>
      <c r="T201" s="343">
        <v>45593</v>
      </c>
      <c r="U201" s="343">
        <v>44375</v>
      </c>
      <c r="V201" s="343">
        <v>44498</v>
      </c>
      <c r="X201" s="342" t="s">
        <v>3828</v>
      </c>
      <c r="Y201" s="342">
        <v>44117077017</v>
      </c>
    </row>
    <row r="202" spans="1:25">
      <c r="A202" s="342">
        <v>219523</v>
      </c>
      <c r="B202" s="342" t="s">
        <v>1067</v>
      </c>
      <c r="C202" s="342" t="s">
        <v>394</v>
      </c>
      <c r="D202" s="342" t="s">
        <v>45</v>
      </c>
      <c r="E202" s="342" t="s">
        <v>591</v>
      </c>
      <c r="F202" s="342" t="s">
        <v>40</v>
      </c>
      <c r="G202" s="342" t="s">
        <v>1277</v>
      </c>
      <c r="H202" s="342" t="s">
        <v>5341</v>
      </c>
      <c r="I202" s="342" t="s">
        <v>1569</v>
      </c>
      <c r="L202" s="342" t="s">
        <v>1568</v>
      </c>
      <c r="M202" s="342" t="s">
        <v>1568</v>
      </c>
      <c r="N202" s="342" t="s">
        <v>3650</v>
      </c>
      <c r="O202" s="342" t="s">
        <v>4620</v>
      </c>
      <c r="P202" s="342">
        <v>6115241046</v>
      </c>
      <c r="R202" s="342" t="s">
        <v>3649</v>
      </c>
      <c r="S202" s="343">
        <v>45432</v>
      </c>
      <c r="T202" s="343">
        <v>45801</v>
      </c>
      <c r="U202" s="343">
        <v>44592</v>
      </c>
      <c r="V202" s="343">
        <v>44706</v>
      </c>
      <c r="X202" s="342" t="s">
        <v>4623</v>
      </c>
      <c r="Y202" s="342" t="s">
        <v>3829</v>
      </c>
    </row>
    <row r="203" spans="1:25">
      <c r="A203" s="342">
        <v>219552</v>
      </c>
      <c r="B203" s="342" t="s">
        <v>395</v>
      </c>
      <c r="C203" s="342" t="s">
        <v>397</v>
      </c>
      <c r="D203" s="342" t="s">
        <v>55</v>
      </c>
      <c r="E203" s="342" t="s">
        <v>591</v>
      </c>
      <c r="F203" s="342" t="s">
        <v>40</v>
      </c>
      <c r="G203" s="342" t="s">
        <v>5278</v>
      </c>
      <c r="H203" s="342" t="s">
        <v>5784</v>
      </c>
      <c r="I203" s="342" t="s">
        <v>1569</v>
      </c>
      <c r="L203" s="342" t="s">
        <v>1568</v>
      </c>
      <c r="M203" s="342" t="s">
        <v>1568</v>
      </c>
      <c r="N203" s="342" t="s">
        <v>3650</v>
      </c>
      <c r="O203" s="342" t="s">
        <v>3699</v>
      </c>
      <c r="P203" s="342">
        <v>6111814561</v>
      </c>
      <c r="R203" s="342" t="s">
        <v>3649</v>
      </c>
      <c r="S203" s="343">
        <v>45618</v>
      </c>
      <c r="T203" s="343">
        <v>45618</v>
      </c>
      <c r="U203" s="343">
        <v>44459</v>
      </c>
      <c r="V203" s="343">
        <v>44523</v>
      </c>
      <c r="X203" s="342" t="s">
        <v>4859</v>
      </c>
      <c r="Y203" s="342" t="s">
        <v>3700</v>
      </c>
    </row>
    <row r="204" spans="1:25">
      <c r="A204" s="342">
        <v>220816</v>
      </c>
      <c r="B204" s="342" t="s">
        <v>398</v>
      </c>
      <c r="C204" s="342" t="s">
        <v>400</v>
      </c>
      <c r="D204" s="342" t="s">
        <v>55</v>
      </c>
      <c r="E204" s="342" t="s">
        <v>591</v>
      </c>
      <c r="F204" s="342" t="s">
        <v>40</v>
      </c>
      <c r="G204" s="342" t="s">
        <v>5279</v>
      </c>
      <c r="H204" s="342" t="s">
        <v>5785</v>
      </c>
      <c r="I204" s="342" t="s">
        <v>1569</v>
      </c>
      <c r="L204" s="342" t="s">
        <v>1568</v>
      </c>
      <c r="M204" s="342" t="s">
        <v>1568</v>
      </c>
      <c r="N204" s="342" t="s">
        <v>3650</v>
      </c>
      <c r="O204" s="342" t="s">
        <v>3830</v>
      </c>
      <c r="P204" s="342">
        <v>6109648969</v>
      </c>
      <c r="R204" s="342" t="s">
        <v>3649</v>
      </c>
      <c r="S204" s="343">
        <v>45469</v>
      </c>
      <c r="T204" s="343">
        <v>45469</v>
      </c>
      <c r="U204" s="343">
        <v>44662</v>
      </c>
      <c r="V204" s="343">
        <v>44374</v>
      </c>
      <c r="W204" s="343">
        <v>44617</v>
      </c>
      <c r="X204" s="342" t="s">
        <v>5231</v>
      </c>
      <c r="Y204" s="342" t="s">
        <v>3831</v>
      </c>
    </row>
    <row r="205" spans="1:25">
      <c r="A205" s="342">
        <v>222739</v>
      </c>
      <c r="B205" s="342" t="s">
        <v>916</v>
      </c>
      <c r="C205" s="342" t="s">
        <v>918</v>
      </c>
      <c r="D205" s="342" t="s">
        <v>51</v>
      </c>
      <c r="E205" s="342" t="s">
        <v>591</v>
      </c>
      <c r="F205" s="342" t="s">
        <v>1114</v>
      </c>
      <c r="G205" s="342" t="s">
        <v>4608</v>
      </c>
      <c r="H205" s="342" t="s">
        <v>2026</v>
      </c>
      <c r="I205" s="342" t="s">
        <v>1576</v>
      </c>
      <c r="L205" s="342" t="s">
        <v>1576</v>
      </c>
      <c r="M205" s="342" t="s">
        <v>1576</v>
      </c>
      <c r="N205" s="342" t="s">
        <v>3647</v>
      </c>
      <c r="O205" s="342" t="s">
        <v>3832</v>
      </c>
      <c r="P205" s="342">
        <v>6115992324</v>
      </c>
      <c r="R205" s="342" t="s">
        <v>3649</v>
      </c>
      <c r="S205" s="343">
        <v>45226</v>
      </c>
      <c r="T205" s="343">
        <v>45226</v>
      </c>
      <c r="U205" s="343">
        <v>44097</v>
      </c>
      <c r="V205" s="343">
        <v>44132</v>
      </c>
      <c r="W205" s="343">
        <v>44536</v>
      </c>
      <c r="X205" s="342" t="s">
        <v>4930</v>
      </c>
      <c r="Y205" s="342" t="s">
        <v>3833</v>
      </c>
    </row>
    <row r="206" spans="1:25" ht="409.5">
      <c r="A206" s="342">
        <v>224029</v>
      </c>
      <c r="B206" s="342" t="s">
        <v>920</v>
      </c>
      <c r="C206" s="342" t="s">
        <v>922</v>
      </c>
      <c r="D206" s="342" t="s">
        <v>51</v>
      </c>
      <c r="E206" s="342" t="s">
        <v>591</v>
      </c>
      <c r="F206" s="342" t="s">
        <v>1114</v>
      </c>
      <c r="G206" s="342" t="s">
        <v>1288</v>
      </c>
      <c r="H206" s="342" t="s">
        <v>1545</v>
      </c>
      <c r="I206" s="342" t="s">
        <v>1576</v>
      </c>
      <c r="L206" s="342" t="s">
        <v>1576</v>
      </c>
      <c r="M206" s="342" t="s">
        <v>1576</v>
      </c>
      <c r="N206" s="342" t="s">
        <v>3647</v>
      </c>
      <c r="O206" s="344" t="s">
        <v>4614</v>
      </c>
      <c r="P206" s="342">
        <v>6116481423</v>
      </c>
      <c r="R206" s="342" t="s">
        <v>3649</v>
      </c>
      <c r="S206" s="343">
        <v>44869</v>
      </c>
      <c r="T206" s="343">
        <v>44869</v>
      </c>
      <c r="U206" s="343">
        <v>43642</v>
      </c>
      <c r="V206" s="343">
        <v>43774</v>
      </c>
      <c r="W206" s="343">
        <v>44390</v>
      </c>
      <c r="X206" s="342" t="s">
        <v>4617</v>
      </c>
      <c r="Y206" s="342" t="s">
        <v>3837</v>
      </c>
    </row>
    <row r="207" spans="1:25">
      <c r="A207" s="342">
        <v>225159</v>
      </c>
      <c r="B207" s="342" t="s">
        <v>404</v>
      </c>
      <c r="C207" s="342" t="s">
        <v>406</v>
      </c>
      <c r="D207" s="342" t="s">
        <v>55</v>
      </c>
      <c r="E207" s="342" t="s">
        <v>591</v>
      </c>
      <c r="F207" s="342" t="s">
        <v>40</v>
      </c>
      <c r="G207" s="342" t="s">
        <v>5282</v>
      </c>
      <c r="H207" s="342" t="s">
        <v>5786</v>
      </c>
      <c r="I207" s="342" t="s">
        <v>1578</v>
      </c>
      <c r="L207" s="342" t="s">
        <v>1568</v>
      </c>
      <c r="M207" s="342" t="s">
        <v>1568</v>
      </c>
      <c r="N207" s="342" t="s">
        <v>3652</v>
      </c>
      <c r="O207" s="342" t="s">
        <v>3838</v>
      </c>
      <c r="P207" s="342">
        <v>6115515345</v>
      </c>
      <c r="R207" s="342" t="s">
        <v>3649</v>
      </c>
      <c r="S207" s="343">
        <v>45126</v>
      </c>
      <c r="T207" s="343">
        <v>45126</v>
      </c>
      <c r="U207" s="343">
        <v>44672</v>
      </c>
      <c r="V207" s="343">
        <v>44032</v>
      </c>
      <c r="X207" s="342" t="s">
        <v>3839</v>
      </c>
      <c r="Y207" s="342" t="s">
        <v>3839</v>
      </c>
    </row>
    <row r="208" spans="1:25">
      <c r="A208" s="342">
        <v>225190</v>
      </c>
      <c r="B208" s="342" t="s">
        <v>1253</v>
      </c>
      <c r="C208" s="342" t="s">
        <v>93</v>
      </c>
      <c r="D208" s="342" t="s">
        <v>47</v>
      </c>
      <c r="E208" s="342" t="s">
        <v>591</v>
      </c>
      <c r="F208" s="342" t="s">
        <v>40</v>
      </c>
      <c r="G208" s="342" t="s">
        <v>5281</v>
      </c>
      <c r="H208" s="342" t="s">
        <v>5730</v>
      </c>
      <c r="I208" s="342" t="s">
        <v>1568</v>
      </c>
      <c r="L208" s="342" t="s">
        <v>1568</v>
      </c>
      <c r="M208" s="342" t="s">
        <v>1568</v>
      </c>
      <c r="N208" s="342" t="s">
        <v>3652</v>
      </c>
      <c r="O208" s="342" t="s">
        <v>4690</v>
      </c>
      <c r="P208" s="342">
        <v>6124471467</v>
      </c>
      <c r="R208" s="342" t="s">
        <v>3649</v>
      </c>
      <c r="S208" s="343">
        <v>45550</v>
      </c>
      <c r="T208" s="343">
        <v>45550</v>
      </c>
      <c r="U208" s="343">
        <v>43529</v>
      </c>
      <c r="V208" s="343">
        <v>44455</v>
      </c>
      <c r="W208" s="343">
        <v>44455</v>
      </c>
      <c r="X208" s="342" t="s">
        <v>3734</v>
      </c>
      <c r="Y208" s="342" t="s">
        <v>3734</v>
      </c>
    </row>
    <row r="209" spans="1:25" ht="409.5">
      <c r="A209" s="342">
        <v>225218</v>
      </c>
      <c r="B209" s="342" t="s">
        <v>1132</v>
      </c>
      <c r="C209" s="342" t="s">
        <v>422</v>
      </c>
      <c r="D209" s="342" t="s">
        <v>51</v>
      </c>
      <c r="E209" s="342" t="s">
        <v>591</v>
      </c>
      <c r="F209" s="342" t="s">
        <v>40</v>
      </c>
      <c r="G209" s="342" t="s">
        <v>5283</v>
      </c>
      <c r="H209" s="342" t="s">
        <v>4270</v>
      </c>
      <c r="I209" s="342" t="s">
        <v>1583</v>
      </c>
      <c r="L209" s="342" t="s">
        <v>1571</v>
      </c>
      <c r="M209" s="342" t="s">
        <v>1571</v>
      </c>
      <c r="N209" s="342" t="s">
        <v>3656</v>
      </c>
      <c r="O209" s="344" t="s">
        <v>3840</v>
      </c>
      <c r="P209" s="342">
        <v>6116151164</v>
      </c>
      <c r="R209" s="342" t="s">
        <v>3649</v>
      </c>
      <c r="S209" s="343">
        <v>45201</v>
      </c>
      <c r="T209" s="343">
        <v>45201</v>
      </c>
      <c r="U209" s="343">
        <v>44462</v>
      </c>
      <c r="V209" s="343">
        <v>44107</v>
      </c>
      <c r="X209" s="342">
        <v>14032</v>
      </c>
      <c r="Y209" s="342">
        <v>14032</v>
      </c>
    </row>
    <row r="210" spans="1:25" ht="409.5">
      <c r="A210" s="342">
        <v>226247</v>
      </c>
      <c r="B210" s="342" t="s">
        <v>926</v>
      </c>
      <c r="C210" s="342" t="s">
        <v>410</v>
      </c>
      <c r="D210" s="342" t="s">
        <v>45</v>
      </c>
      <c r="E210" s="342" t="s">
        <v>591</v>
      </c>
      <c r="F210" s="342" t="s">
        <v>40</v>
      </c>
      <c r="G210" s="342" t="s">
        <v>5280</v>
      </c>
      <c r="H210" s="342" t="s">
        <v>6075</v>
      </c>
      <c r="I210" s="342" t="s">
        <v>1574</v>
      </c>
      <c r="L210" s="342" t="s">
        <v>1568</v>
      </c>
      <c r="M210" s="342" t="s">
        <v>1568</v>
      </c>
      <c r="N210" s="342" t="s">
        <v>3650</v>
      </c>
      <c r="O210" s="344" t="s">
        <v>4619</v>
      </c>
      <c r="P210" s="342">
        <v>6115409707</v>
      </c>
      <c r="R210" s="342" t="s">
        <v>3649</v>
      </c>
      <c r="S210" s="343">
        <v>45526</v>
      </c>
      <c r="T210" s="343">
        <v>45526</v>
      </c>
      <c r="U210" s="343">
        <v>44286</v>
      </c>
      <c r="V210" s="343">
        <v>44431</v>
      </c>
      <c r="X210" s="342">
        <v>40643.230000000003</v>
      </c>
      <c r="Y210" s="342">
        <v>40643.230000000003</v>
      </c>
    </row>
    <row r="211" spans="1:25" ht="409.5">
      <c r="A211" s="342">
        <v>226516</v>
      </c>
      <c r="B211" s="342" t="s">
        <v>745</v>
      </c>
      <c r="C211" s="342" t="s">
        <v>272</v>
      </c>
      <c r="D211" s="342" t="s">
        <v>47</v>
      </c>
      <c r="E211" s="342" t="s">
        <v>591</v>
      </c>
      <c r="F211" s="342" t="s">
        <v>40</v>
      </c>
      <c r="G211" s="342" t="s">
        <v>5280</v>
      </c>
      <c r="H211" s="342" t="s">
        <v>5787</v>
      </c>
      <c r="I211" s="342" t="s">
        <v>1568</v>
      </c>
      <c r="L211" s="342" t="s">
        <v>1568</v>
      </c>
      <c r="M211" s="342" t="s">
        <v>1568</v>
      </c>
      <c r="N211" s="342" t="s">
        <v>3650</v>
      </c>
      <c r="O211" s="344" t="s">
        <v>3759</v>
      </c>
      <c r="P211" s="342">
        <v>6135733107</v>
      </c>
      <c r="R211" s="342" t="s">
        <v>3649</v>
      </c>
      <c r="S211" s="343">
        <v>45544</v>
      </c>
      <c r="T211" s="343">
        <v>45544</v>
      </c>
      <c r="U211" s="343">
        <v>44256</v>
      </c>
      <c r="V211" s="343">
        <v>44449</v>
      </c>
      <c r="X211" s="342" t="s">
        <v>4666</v>
      </c>
      <c r="Y211" s="342" t="s">
        <v>4679</v>
      </c>
    </row>
    <row r="212" spans="1:25">
      <c r="A212" s="342">
        <v>226917</v>
      </c>
      <c r="B212" s="342" t="s">
        <v>412</v>
      </c>
      <c r="C212" s="342" t="s">
        <v>414</v>
      </c>
      <c r="D212" s="342" t="s">
        <v>51</v>
      </c>
      <c r="E212" s="342" t="s">
        <v>591</v>
      </c>
      <c r="F212" s="342" t="s">
        <v>40</v>
      </c>
      <c r="G212" s="342" t="s">
        <v>5450</v>
      </c>
      <c r="H212" s="342" t="s">
        <v>4776</v>
      </c>
      <c r="I212" s="342" t="s">
        <v>1568</v>
      </c>
      <c r="L212" s="342" t="s">
        <v>1568</v>
      </c>
      <c r="M212" s="342" t="s">
        <v>1568</v>
      </c>
      <c r="N212" s="342" t="s">
        <v>3652</v>
      </c>
      <c r="O212" s="342" t="s">
        <v>3841</v>
      </c>
      <c r="P212" s="342">
        <v>6111630664</v>
      </c>
      <c r="R212" s="342" t="s">
        <v>3649</v>
      </c>
      <c r="S212" s="343">
        <v>45619</v>
      </c>
      <c r="T212" s="343">
        <v>45619</v>
      </c>
      <c r="U212" s="343">
        <v>44375</v>
      </c>
      <c r="V212" s="343">
        <v>44524</v>
      </c>
      <c r="X212" s="342" t="s">
        <v>3842</v>
      </c>
      <c r="Y212" s="342" t="s">
        <v>3842</v>
      </c>
    </row>
    <row r="213" spans="1:25">
      <c r="A213" s="342">
        <v>226961</v>
      </c>
      <c r="B213" s="342" t="s">
        <v>4807</v>
      </c>
      <c r="C213" s="342" t="s">
        <v>4808</v>
      </c>
      <c r="D213" s="342" t="s">
        <v>47</v>
      </c>
      <c r="E213" s="342" t="s">
        <v>591</v>
      </c>
      <c r="F213" s="342" t="s">
        <v>42</v>
      </c>
      <c r="G213" s="342" t="s">
        <v>1510</v>
      </c>
      <c r="H213" s="342" t="s">
        <v>4817</v>
      </c>
      <c r="I213" s="342" t="s">
        <v>1581</v>
      </c>
      <c r="L213" s="342" t="s">
        <v>1581</v>
      </c>
      <c r="M213" s="342" t="s">
        <v>1581</v>
      </c>
      <c r="P213" s="342">
        <v>6126484889</v>
      </c>
      <c r="S213" s="343">
        <v>44961</v>
      </c>
      <c r="Y213" s="342" t="s">
        <v>4820</v>
      </c>
    </row>
    <row r="214" spans="1:25" ht="182">
      <c r="A214" s="342">
        <v>227939</v>
      </c>
      <c r="B214" s="342" t="s">
        <v>415</v>
      </c>
      <c r="C214" s="342" t="s">
        <v>195</v>
      </c>
      <c r="D214" s="342" t="s">
        <v>51</v>
      </c>
      <c r="E214" s="342" t="s">
        <v>591</v>
      </c>
      <c r="F214" s="342" t="s">
        <v>40</v>
      </c>
      <c r="G214" s="342" t="s">
        <v>5283</v>
      </c>
      <c r="H214" s="342" t="s">
        <v>5922</v>
      </c>
      <c r="I214" s="342" t="s">
        <v>1574</v>
      </c>
      <c r="L214" s="342" t="s">
        <v>1568</v>
      </c>
      <c r="M214" s="342" t="s">
        <v>1568</v>
      </c>
      <c r="N214" s="342" t="s">
        <v>3652</v>
      </c>
      <c r="O214" s="344" t="s">
        <v>3843</v>
      </c>
      <c r="P214" s="342">
        <v>6113395402</v>
      </c>
      <c r="R214" s="342" t="s">
        <v>3649</v>
      </c>
      <c r="S214" s="343">
        <v>45817</v>
      </c>
      <c r="T214" s="343">
        <v>45817</v>
      </c>
      <c r="U214" s="343">
        <v>44655</v>
      </c>
      <c r="V214" s="343">
        <v>44722</v>
      </c>
      <c r="X214" s="342">
        <v>13903</v>
      </c>
      <c r="Y214" s="342">
        <v>13903</v>
      </c>
    </row>
    <row r="215" spans="1:25">
      <c r="A215" s="342">
        <v>228180</v>
      </c>
      <c r="B215" s="342" t="s">
        <v>622</v>
      </c>
      <c r="C215" s="342" t="s">
        <v>311</v>
      </c>
      <c r="D215" s="342" t="s">
        <v>47</v>
      </c>
      <c r="E215" s="342" t="s">
        <v>591</v>
      </c>
      <c r="F215" s="342" t="s">
        <v>40</v>
      </c>
      <c r="G215" s="342" t="s">
        <v>1277</v>
      </c>
      <c r="H215" s="342" t="s">
        <v>5788</v>
      </c>
      <c r="I215" s="342" t="s">
        <v>1578</v>
      </c>
      <c r="L215" s="342" t="s">
        <v>1568</v>
      </c>
      <c r="M215" s="342" t="s">
        <v>1568</v>
      </c>
      <c r="N215" s="342" t="s">
        <v>3650</v>
      </c>
      <c r="O215" s="342" t="s">
        <v>4452</v>
      </c>
      <c r="P215" s="342">
        <v>6126694103</v>
      </c>
      <c r="R215" s="342" t="s">
        <v>3649</v>
      </c>
      <c r="S215" s="343">
        <v>45385</v>
      </c>
      <c r="T215" s="343">
        <v>45385</v>
      </c>
      <c r="U215" s="343">
        <v>44601</v>
      </c>
      <c r="V215" s="343">
        <v>44292</v>
      </c>
      <c r="X215" s="342" t="s">
        <v>4454</v>
      </c>
      <c r="Y215" s="342" t="s">
        <v>4455</v>
      </c>
    </row>
    <row r="216" spans="1:25">
      <c r="A216" s="342">
        <v>228866</v>
      </c>
      <c r="B216" s="342" t="s">
        <v>1262</v>
      </c>
      <c r="C216" s="342" t="s">
        <v>417</v>
      </c>
      <c r="D216" s="342" t="s">
        <v>51</v>
      </c>
      <c r="E216" s="342" t="s">
        <v>591</v>
      </c>
      <c r="F216" s="342" t="s">
        <v>737</v>
      </c>
      <c r="G216" s="342" t="s">
        <v>5282</v>
      </c>
      <c r="H216" s="342" t="s">
        <v>5789</v>
      </c>
      <c r="I216" s="342" t="s">
        <v>1568</v>
      </c>
      <c r="L216" s="342" t="s">
        <v>1568</v>
      </c>
      <c r="M216" s="342" t="s">
        <v>1568</v>
      </c>
      <c r="N216" s="342" t="s">
        <v>3652</v>
      </c>
      <c r="O216" s="342" t="s">
        <v>3844</v>
      </c>
      <c r="P216" s="342">
        <v>6113865563</v>
      </c>
      <c r="R216" s="342" t="s">
        <v>3649</v>
      </c>
      <c r="S216" s="343">
        <v>44777</v>
      </c>
      <c r="T216" s="343">
        <v>44777</v>
      </c>
      <c r="U216" s="343">
        <v>43472</v>
      </c>
      <c r="V216" s="343">
        <v>43682</v>
      </c>
      <c r="W216" s="343">
        <v>44090</v>
      </c>
      <c r="X216" s="342" t="s">
        <v>3845</v>
      </c>
      <c r="Y216" s="342" t="s">
        <v>3845</v>
      </c>
    </row>
    <row r="217" spans="1:25" ht="409.5">
      <c r="A217" s="342">
        <v>232717</v>
      </c>
      <c r="B217" s="342" t="s">
        <v>5106</v>
      </c>
      <c r="C217" s="342" t="s">
        <v>922</v>
      </c>
      <c r="D217" s="342" t="s">
        <v>51</v>
      </c>
      <c r="E217" s="342" t="s">
        <v>591</v>
      </c>
      <c r="F217" s="342" t="s">
        <v>737</v>
      </c>
      <c r="G217" s="342" t="s">
        <v>786</v>
      </c>
      <c r="H217" s="342" t="s">
        <v>5494</v>
      </c>
      <c r="I217" s="342" t="s">
        <v>1568</v>
      </c>
      <c r="L217" s="342" t="s">
        <v>1568</v>
      </c>
      <c r="M217" s="342" t="s">
        <v>1568</v>
      </c>
      <c r="N217" s="342" t="s">
        <v>3652</v>
      </c>
      <c r="O217" s="344" t="s">
        <v>5113</v>
      </c>
      <c r="P217" s="342">
        <v>6115357367</v>
      </c>
      <c r="R217" s="342" t="s">
        <v>3649</v>
      </c>
      <c r="S217" s="343">
        <v>45057</v>
      </c>
      <c r="T217" s="343">
        <v>45057</v>
      </c>
      <c r="U217" s="343">
        <v>44420</v>
      </c>
      <c r="V217" s="343">
        <v>43963</v>
      </c>
      <c r="W217" s="343">
        <v>44315</v>
      </c>
      <c r="X217" s="342" t="s">
        <v>5116</v>
      </c>
      <c r="Y217" s="342" t="s">
        <v>5116</v>
      </c>
    </row>
    <row r="218" spans="1:25">
      <c r="A218" s="342">
        <v>235918</v>
      </c>
      <c r="B218" s="342" t="s">
        <v>346</v>
      </c>
      <c r="C218" s="342" t="s">
        <v>422</v>
      </c>
      <c r="D218" s="342" t="s">
        <v>51</v>
      </c>
      <c r="E218" s="342" t="s">
        <v>591</v>
      </c>
      <c r="F218" s="342" t="s">
        <v>40</v>
      </c>
      <c r="G218" s="342" t="s">
        <v>5280</v>
      </c>
      <c r="H218" s="342" t="s">
        <v>5790</v>
      </c>
      <c r="I218" s="342" t="s">
        <v>1572</v>
      </c>
      <c r="L218" s="342" t="s">
        <v>1571</v>
      </c>
      <c r="M218" s="342" t="s">
        <v>1571</v>
      </c>
      <c r="N218" s="342" t="s">
        <v>3656</v>
      </c>
      <c r="O218" s="342" t="s">
        <v>3849</v>
      </c>
      <c r="P218" s="342">
        <v>6113718649</v>
      </c>
      <c r="R218" s="342" t="s">
        <v>3649</v>
      </c>
      <c r="S218" s="343">
        <v>45280</v>
      </c>
      <c r="T218" s="343">
        <v>45280</v>
      </c>
      <c r="U218" s="343">
        <v>43754</v>
      </c>
      <c r="V218" s="343">
        <v>44186</v>
      </c>
      <c r="X218" s="342" t="s">
        <v>4194</v>
      </c>
      <c r="Y218" s="342" t="s">
        <v>4194</v>
      </c>
    </row>
    <row r="219" spans="1:25" ht="409.5">
      <c r="A219" s="342">
        <v>235978</v>
      </c>
      <c r="B219" s="342" t="s">
        <v>2529</v>
      </c>
      <c r="C219" s="342" t="s">
        <v>425</v>
      </c>
      <c r="D219" s="342" t="s">
        <v>51</v>
      </c>
      <c r="E219" s="342" t="s">
        <v>591</v>
      </c>
      <c r="F219" s="342" t="s">
        <v>40</v>
      </c>
      <c r="G219" s="342" t="s">
        <v>5449</v>
      </c>
      <c r="H219" s="342" t="s">
        <v>5791</v>
      </c>
      <c r="I219" s="342" t="s">
        <v>1568</v>
      </c>
      <c r="J219" s="342" t="s">
        <v>1575</v>
      </c>
      <c r="K219" s="343">
        <v>2958465</v>
      </c>
      <c r="L219" s="342" t="s">
        <v>1568</v>
      </c>
      <c r="M219" s="342" t="s">
        <v>1568</v>
      </c>
      <c r="N219" s="342" t="s">
        <v>3652</v>
      </c>
      <c r="O219" s="344" t="s">
        <v>3850</v>
      </c>
      <c r="P219" s="342">
        <v>6111002085</v>
      </c>
      <c r="R219" s="342" t="s">
        <v>3649</v>
      </c>
      <c r="S219" s="343">
        <v>45663</v>
      </c>
      <c r="T219" s="343">
        <v>45663</v>
      </c>
      <c r="U219" s="343">
        <v>43746</v>
      </c>
      <c r="V219" s="343">
        <v>44568</v>
      </c>
      <c r="X219" s="342">
        <v>1147</v>
      </c>
      <c r="Y219" s="342">
        <v>1147</v>
      </c>
    </row>
    <row r="220" spans="1:25">
      <c r="A220" s="342">
        <v>236359</v>
      </c>
      <c r="B220" s="342" t="s">
        <v>426</v>
      </c>
      <c r="C220" s="342" t="s">
        <v>429</v>
      </c>
      <c r="D220" s="342" t="s">
        <v>51</v>
      </c>
      <c r="E220" s="342" t="s">
        <v>591</v>
      </c>
      <c r="F220" s="342" t="s">
        <v>40</v>
      </c>
      <c r="G220" s="342" t="s">
        <v>5278</v>
      </c>
      <c r="H220" s="342" t="s">
        <v>5220</v>
      </c>
      <c r="I220" s="342" t="s">
        <v>1568</v>
      </c>
      <c r="L220" s="342" t="s">
        <v>1568</v>
      </c>
      <c r="M220" s="342" t="s">
        <v>1568</v>
      </c>
      <c r="N220" s="342" t="s">
        <v>3652</v>
      </c>
      <c r="O220" s="342" t="s">
        <v>3851</v>
      </c>
      <c r="P220" s="342">
        <v>6113380080</v>
      </c>
      <c r="R220" s="342" t="s">
        <v>3649</v>
      </c>
      <c r="S220" s="343">
        <v>45715</v>
      </c>
      <c r="T220" s="343">
        <v>45715</v>
      </c>
      <c r="U220" s="343">
        <v>43699</v>
      </c>
      <c r="V220" s="343">
        <v>44620</v>
      </c>
      <c r="X220" s="342" t="s">
        <v>3852</v>
      </c>
      <c r="Y220" s="342" t="s">
        <v>3852</v>
      </c>
    </row>
    <row r="221" spans="1:25" ht="409.5">
      <c r="A221" s="342">
        <v>239712</v>
      </c>
      <c r="B221" s="342" t="s">
        <v>4335</v>
      </c>
      <c r="C221" s="342" t="s">
        <v>4338</v>
      </c>
      <c r="D221" s="342" t="s">
        <v>45</v>
      </c>
      <c r="E221" s="342" t="s">
        <v>591</v>
      </c>
      <c r="F221" s="342" t="s">
        <v>40</v>
      </c>
      <c r="G221" s="342" t="s">
        <v>5449</v>
      </c>
      <c r="H221" s="342" t="s">
        <v>5792</v>
      </c>
      <c r="I221" s="342" t="s">
        <v>1569</v>
      </c>
      <c r="L221" s="342" t="s">
        <v>1568</v>
      </c>
      <c r="M221" s="342" t="s">
        <v>1568</v>
      </c>
      <c r="N221" s="342" t="s">
        <v>3650</v>
      </c>
      <c r="O221" s="344" t="s">
        <v>5162</v>
      </c>
      <c r="P221" s="342">
        <v>6113700660</v>
      </c>
      <c r="R221" s="342" t="s">
        <v>3649</v>
      </c>
      <c r="S221" s="343">
        <v>44878</v>
      </c>
      <c r="T221" s="343">
        <v>44878</v>
      </c>
      <c r="U221" s="343">
        <v>44501</v>
      </c>
      <c r="V221" s="343">
        <v>43783</v>
      </c>
      <c r="W221" s="343">
        <v>44592</v>
      </c>
      <c r="X221" s="342" t="s">
        <v>5166</v>
      </c>
      <c r="Y221" s="342" t="s">
        <v>4349</v>
      </c>
    </row>
    <row r="222" spans="1:25">
      <c r="A222" s="342">
        <v>248068</v>
      </c>
      <c r="B222" s="342" t="s">
        <v>4458</v>
      </c>
      <c r="C222" s="342" t="s">
        <v>418</v>
      </c>
      <c r="D222" s="342" t="s">
        <v>45</v>
      </c>
      <c r="E222" s="342" t="s">
        <v>591</v>
      </c>
      <c r="F222" s="342" t="s">
        <v>40</v>
      </c>
      <c r="G222" s="342" t="s">
        <v>5282</v>
      </c>
      <c r="H222" s="342" t="s">
        <v>5793</v>
      </c>
      <c r="I222" s="342" t="s">
        <v>1571</v>
      </c>
      <c r="L222" s="342" t="s">
        <v>1571</v>
      </c>
      <c r="M222" s="342" t="s">
        <v>1571</v>
      </c>
      <c r="N222" s="342" t="s">
        <v>3656</v>
      </c>
      <c r="O222" s="342" t="s">
        <v>3846</v>
      </c>
      <c r="P222" s="342">
        <v>6119548842</v>
      </c>
      <c r="Q222" s="342">
        <v>6136418285</v>
      </c>
      <c r="R222" s="342" t="s">
        <v>3649</v>
      </c>
      <c r="S222" s="343">
        <v>45408</v>
      </c>
      <c r="T222" s="343">
        <v>45408</v>
      </c>
      <c r="U222" s="343">
        <v>44585</v>
      </c>
      <c r="V222" s="343">
        <v>44313</v>
      </c>
      <c r="X222" s="342" t="s">
        <v>3847</v>
      </c>
      <c r="Y222" s="342" t="s">
        <v>3848</v>
      </c>
    </row>
    <row r="223" spans="1:25">
      <c r="A223" s="342">
        <v>248123</v>
      </c>
      <c r="B223" s="342" t="s">
        <v>430</v>
      </c>
      <c r="C223" s="342" t="s">
        <v>140</v>
      </c>
      <c r="D223" s="342" t="s">
        <v>45</v>
      </c>
      <c r="E223" s="342" t="s">
        <v>591</v>
      </c>
      <c r="F223" s="342" t="s">
        <v>40</v>
      </c>
      <c r="G223" s="342" t="s">
        <v>5283</v>
      </c>
      <c r="H223" s="342" t="s">
        <v>5794</v>
      </c>
      <c r="I223" s="342" t="s">
        <v>1572</v>
      </c>
      <c r="L223" s="342" t="s">
        <v>1571</v>
      </c>
      <c r="M223" s="342" t="s">
        <v>1571</v>
      </c>
      <c r="P223" s="342">
        <v>6113417380</v>
      </c>
      <c r="S223" s="343">
        <v>44952</v>
      </c>
      <c r="Y223" s="342" t="s">
        <v>3701</v>
      </c>
    </row>
    <row r="224" spans="1:25">
      <c r="A224" s="342">
        <v>249210</v>
      </c>
      <c r="B224" s="342" t="s">
        <v>764</v>
      </c>
      <c r="C224" s="342" t="s">
        <v>766</v>
      </c>
      <c r="D224" s="342" t="s">
        <v>526</v>
      </c>
      <c r="E224" s="342" t="s">
        <v>591</v>
      </c>
      <c r="F224" s="342" t="s">
        <v>40</v>
      </c>
      <c r="G224" s="342" t="s">
        <v>1510</v>
      </c>
      <c r="H224" s="342" t="s">
        <v>5082</v>
      </c>
      <c r="I224" s="342" t="s">
        <v>1571</v>
      </c>
      <c r="L224" s="342" t="s">
        <v>1571</v>
      </c>
      <c r="M224" s="342" t="s">
        <v>1571</v>
      </c>
      <c r="N224" s="342" t="s">
        <v>3656</v>
      </c>
      <c r="O224" s="342" t="s">
        <v>3853</v>
      </c>
      <c r="P224" s="342">
        <v>6145617080</v>
      </c>
      <c r="R224" s="342" t="s">
        <v>3649</v>
      </c>
      <c r="S224" s="343">
        <v>45019</v>
      </c>
      <c r="T224" s="343">
        <v>45019</v>
      </c>
      <c r="U224" s="343">
        <v>44230</v>
      </c>
      <c r="V224" s="343">
        <v>43925</v>
      </c>
      <c r="W224" s="343">
        <v>43928</v>
      </c>
      <c r="X224" s="342" t="s">
        <v>3854</v>
      </c>
      <c r="Y224" s="342" t="s">
        <v>3854</v>
      </c>
    </row>
    <row r="225" spans="1:25">
      <c r="A225" s="342">
        <v>249853</v>
      </c>
      <c r="B225" s="342" t="s">
        <v>931</v>
      </c>
      <c r="C225" s="342" t="s">
        <v>488</v>
      </c>
      <c r="D225" s="342" t="s">
        <v>175</v>
      </c>
      <c r="E225" s="342" t="s">
        <v>591</v>
      </c>
      <c r="F225" s="342" t="s">
        <v>41</v>
      </c>
      <c r="G225" s="342" t="s">
        <v>1510</v>
      </c>
      <c r="H225" s="342" t="s">
        <v>5952</v>
      </c>
      <c r="I225" s="342" t="s">
        <v>1573</v>
      </c>
      <c r="L225" s="342" t="s">
        <v>1571</v>
      </c>
      <c r="M225" s="342" t="s">
        <v>1571</v>
      </c>
      <c r="N225" s="342" t="s">
        <v>3656</v>
      </c>
      <c r="O225" s="342" t="s">
        <v>3855</v>
      </c>
      <c r="P225" s="342">
        <v>6111621563</v>
      </c>
      <c r="R225" s="342" t="s">
        <v>3649</v>
      </c>
      <c r="S225" s="343">
        <v>45847</v>
      </c>
      <c r="T225" s="343">
        <v>45847</v>
      </c>
      <c r="U225" s="343">
        <v>44690</v>
      </c>
      <c r="V225" s="343">
        <v>44752</v>
      </c>
      <c r="X225" s="342" t="s">
        <v>5962</v>
      </c>
      <c r="Y225" s="342" t="s">
        <v>3856</v>
      </c>
    </row>
    <row r="226" spans="1:25">
      <c r="A226" s="342">
        <v>249853</v>
      </c>
      <c r="B226" s="342" t="s">
        <v>931</v>
      </c>
      <c r="C226" s="342" t="s">
        <v>488</v>
      </c>
      <c r="D226" s="342" t="s">
        <v>175</v>
      </c>
      <c r="E226" s="342" t="s">
        <v>591</v>
      </c>
      <c r="F226" s="342" t="s">
        <v>784</v>
      </c>
      <c r="G226" s="342" t="s">
        <v>1336</v>
      </c>
      <c r="H226" s="342" t="s">
        <v>5952</v>
      </c>
      <c r="I226" s="342" t="s">
        <v>1577</v>
      </c>
      <c r="L226" s="342" t="s">
        <v>1568</v>
      </c>
      <c r="M226" s="342" t="s">
        <v>1568</v>
      </c>
      <c r="N226" s="342" t="s">
        <v>3652</v>
      </c>
      <c r="O226" s="342" t="s">
        <v>4984</v>
      </c>
      <c r="P226" s="342">
        <v>6111621563</v>
      </c>
      <c r="R226" s="342" t="s">
        <v>3649</v>
      </c>
      <c r="S226" s="343">
        <v>45664</v>
      </c>
      <c r="T226" s="343">
        <v>45664</v>
      </c>
      <c r="U226" s="343">
        <v>44494</v>
      </c>
      <c r="V226" s="343">
        <v>44569</v>
      </c>
      <c r="X226" s="342" t="s">
        <v>4987</v>
      </c>
      <c r="Y226" s="342" t="s">
        <v>4987</v>
      </c>
    </row>
    <row r="227" spans="1:25">
      <c r="A227" s="342">
        <v>249853</v>
      </c>
      <c r="B227" s="342" t="s">
        <v>931</v>
      </c>
      <c r="C227" s="342" t="s">
        <v>488</v>
      </c>
      <c r="D227" s="342" t="s">
        <v>175</v>
      </c>
      <c r="E227" s="342" t="s">
        <v>591</v>
      </c>
      <c r="F227" s="342" t="s">
        <v>787</v>
      </c>
      <c r="G227" s="342" t="s">
        <v>1336</v>
      </c>
      <c r="H227" s="342" t="s">
        <v>5952</v>
      </c>
      <c r="I227" s="342" t="s">
        <v>1573</v>
      </c>
      <c r="L227" s="342" t="s">
        <v>1571</v>
      </c>
      <c r="M227" s="342" t="s">
        <v>1571</v>
      </c>
      <c r="N227" s="342" t="s">
        <v>3656</v>
      </c>
      <c r="O227" s="342" t="s">
        <v>3855</v>
      </c>
      <c r="P227" s="342">
        <v>6111621563</v>
      </c>
      <c r="R227" s="342" t="s">
        <v>3649</v>
      </c>
      <c r="S227" s="343">
        <v>45847</v>
      </c>
      <c r="T227" s="343">
        <v>45847</v>
      </c>
      <c r="U227" s="343">
        <v>44690</v>
      </c>
      <c r="V227" s="343">
        <v>44752</v>
      </c>
      <c r="X227" s="342" t="s">
        <v>5962</v>
      </c>
      <c r="Y227" s="342" t="s">
        <v>3856</v>
      </c>
    </row>
    <row r="228" spans="1:25" ht="409.5">
      <c r="A228" s="342">
        <v>250404</v>
      </c>
      <c r="B228" s="342" t="s">
        <v>1115</v>
      </c>
      <c r="C228" s="342" t="s">
        <v>431</v>
      </c>
      <c r="D228" s="342" t="s">
        <v>126</v>
      </c>
      <c r="E228" s="342" t="s">
        <v>591</v>
      </c>
      <c r="F228" s="342" t="s">
        <v>40</v>
      </c>
      <c r="G228" s="342" t="s">
        <v>1510</v>
      </c>
      <c r="H228" s="342" t="s">
        <v>5795</v>
      </c>
      <c r="I228" s="342" t="s">
        <v>1572</v>
      </c>
      <c r="L228" s="342" t="s">
        <v>1571</v>
      </c>
      <c r="M228" s="342" t="s">
        <v>1571</v>
      </c>
      <c r="N228" s="342" t="s">
        <v>3653</v>
      </c>
      <c r="O228" s="344" t="s">
        <v>3857</v>
      </c>
      <c r="P228" s="342">
        <v>6121381262</v>
      </c>
      <c r="R228" s="342" t="s">
        <v>3649</v>
      </c>
      <c r="S228" s="343">
        <v>45251</v>
      </c>
      <c r="T228" s="343">
        <v>45251</v>
      </c>
      <c r="U228" s="343">
        <v>44494</v>
      </c>
      <c r="V228" s="343">
        <v>44157</v>
      </c>
      <c r="X228" s="342" t="s">
        <v>3858</v>
      </c>
      <c r="Y228" s="342" t="s">
        <v>3858</v>
      </c>
    </row>
    <row r="229" spans="1:25">
      <c r="A229" s="342">
        <v>250555</v>
      </c>
      <c r="B229" s="342" t="s">
        <v>933</v>
      </c>
      <c r="C229" s="342" t="s">
        <v>419</v>
      </c>
      <c r="D229" s="342" t="s">
        <v>45</v>
      </c>
      <c r="E229" s="342" t="s">
        <v>591</v>
      </c>
      <c r="F229" s="342" t="s">
        <v>40</v>
      </c>
      <c r="G229" s="342" t="s">
        <v>5281</v>
      </c>
      <c r="H229" s="342" t="s">
        <v>5732</v>
      </c>
      <c r="I229" s="342" t="s">
        <v>1568</v>
      </c>
      <c r="L229" s="342" t="s">
        <v>1568</v>
      </c>
      <c r="M229" s="342" t="s">
        <v>1568</v>
      </c>
      <c r="N229" s="342" t="s">
        <v>3652</v>
      </c>
      <c r="O229" s="342" t="s">
        <v>4689</v>
      </c>
      <c r="P229" s="342">
        <v>6111353129</v>
      </c>
      <c r="R229" s="342" t="s">
        <v>3649</v>
      </c>
      <c r="S229" s="343">
        <v>45549</v>
      </c>
      <c r="T229" s="343">
        <v>45549</v>
      </c>
      <c r="U229" s="343">
        <v>43514</v>
      </c>
      <c r="V229" s="343">
        <v>44454</v>
      </c>
      <c r="W229" s="343">
        <v>44459</v>
      </c>
      <c r="X229" s="342" t="s">
        <v>3667</v>
      </c>
      <c r="Y229" s="342" t="s">
        <v>4692</v>
      </c>
    </row>
    <row r="230" spans="1:25">
      <c r="A230" s="342">
        <v>251277</v>
      </c>
      <c r="B230" s="342" t="s">
        <v>435</v>
      </c>
      <c r="C230" s="342" t="s">
        <v>437</v>
      </c>
      <c r="D230" s="342" t="s">
        <v>55</v>
      </c>
      <c r="E230" s="342" t="s">
        <v>591</v>
      </c>
      <c r="F230" s="342" t="s">
        <v>40</v>
      </c>
      <c r="G230" s="342" t="s">
        <v>4638</v>
      </c>
      <c r="H230" s="342" t="s">
        <v>5796</v>
      </c>
      <c r="I230" s="342" t="s">
        <v>1568</v>
      </c>
      <c r="J230" s="342" t="s">
        <v>1575</v>
      </c>
      <c r="K230" s="343">
        <v>72820</v>
      </c>
      <c r="L230" s="342" t="s">
        <v>1568</v>
      </c>
      <c r="M230" s="342" t="s">
        <v>1568</v>
      </c>
      <c r="N230" s="342" t="s">
        <v>3650</v>
      </c>
      <c r="O230" s="342" t="s">
        <v>3859</v>
      </c>
      <c r="P230" s="342">
        <v>6111484069</v>
      </c>
      <c r="R230" s="342" t="s">
        <v>3649</v>
      </c>
      <c r="S230" s="343">
        <v>45579</v>
      </c>
      <c r="T230" s="343">
        <v>45579</v>
      </c>
      <c r="U230" s="343">
        <v>44375</v>
      </c>
      <c r="V230" s="343">
        <v>44484</v>
      </c>
      <c r="X230" s="342" t="s">
        <v>4640</v>
      </c>
      <c r="Y230" s="342" t="s">
        <v>4640</v>
      </c>
    </row>
    <row r="231" spans="1:25">
      <c r="A231" s="342">
        <v>251321</v>
      </c>
      <c r="B231" s="342" t="s">
        <v>1255</v>
      </c>
      <c r="C231" s="342" t="s">
        <v>742</v>
      </c>
      <c r="D231" s="342" t="s">
        <v>51</v>
      </c>
      <c r="E231" s="342" t="s">
        <v>591</v>
      </c>
      <c r="F231" s="342" t="s">
        <v>40</v>
      </c>
      <c r="G231" s="342" t="s">
        <v>5449</v>
      </c>
      <c r="H231" s="342" t="s">
        <v>5797</v>
      </c>
      <c r="I231" s="342" t="s">
        <v>1568</v>
      </c>
      <c r="L231" s="342" t="s">
        <v>1568</v>
      </c>
      <c r="M231" s="342" t="s">
        <v>1568</v>
      </c>
      <c r="N231" s="342" t="s">
        <v>3652</v>
      </c>
      <c r="O231" s="342" t="s">
        <v>4213</v>
      </c>
      <c r="P231" s="342">
        <v>6116446442</v>
      </c>
      <c r="R231" s="342" t="s">
        <v>3649</v>
      </c>
      <c r="S231" s="343">
        <v>45299</v>
      </c>
      <c r="T231" s="343">
        <v>45299</v>
      </c>
      <c r="U231" s="343">
        <v>44459</v>
      </c>
      <c r="V231" s="343">
        <v>44205</v>
      </c>
      <c r="X231" s="342" t="s">
        <v>3860</v>
      </c>
      <c r="Y231" s="342" t="s">
        <v>3860</v>
      </c>
    </row>
    <row r="232" spans="1:25">
      <c r="A232" s="342">
        <v>251706</v>
      </c>
      <c r="B232" s="342" t="s">
        <v>1083</v>
      </c>
      <c r="C232" s="342" t="s">
        <v>439</v>
      </c>
      <c r="D232" s="342" t="s">
        <v>51</v>
      </c>
      <c r="E232" s="342" t="s">
        <v>591</v>
      </c>
      <c r="F232" s="342" t="s">
        <v>40</v>
      </c>
      <c r="G232" s="342" t="s">
        <v>5283</v>
      </c>
      <c r="H232" s="342" t="s">
        <v>5798</v>
      </c>
      <c r="I232" s="342" t="s">
        <v>1569</v>
      </c>
      <c r="L232" s="342" t="s">
        <v>1568</v>
      </c>
      <c r="M232" s="342" t="s">
        <v>1568</v>
      </c>
      <c r="N232" s="342" t="s">
        <v>3650</v>
      </c>
      <c r="O232" s="342" t="s">
        <v>3861</v>
      </c>
      <c r="P232" s="342">
        <v>6114161680</v>
      </c>
      <c r="R232" s="342" t="s">
        <v>3649</v>
      </c>
      <c r="S232" s="343">
        <v>45416</v>
      </c>
      <c r="T232" s="343">
        <v>45416</v>
      </c>
      <c r="U232" s="343">
        <v>44606</v>
      </c>
      <c r="V232" s="343">
        <v>44321</v>
      </c>
      <c r="X232" s="342" t="s">
        <v>3862</v>
      </c>
      <c r="Y232" s="342" t="s">
        <v>3862</v>
      </c>
    </row>
    <row r="233" spans="1:25">
      <c r="A233" s="342">
        <v>251933</v>
      </c>
      <c r="B233" s="342" t="s">
        <v>296</v>
      </c>
      <c r="C233" s="342" t="s">
        <v>295</v>
      </c>
      <c r="D233" s="342" t="s">
        <v>51</v>
      </c>
      <c r="E233" s="342" t="s">
        <v>591</v>
      </c>
      <c r="F233" s="342" t="s">
        <v>40</v>
      </c>
      <c r="G233" s="342" t="s">
        <v>5278</v>
      </c>
      <c r="H233" s="342" t="s">
        <v>5799</v>
      </c>
      <c r="I233" s="342" t="s">
        <v>1569</v>
      </c>
      <c r="L233" s="342" t="s">
        <v>1568</v>
      </c>
      <c r="M233" s="342" t="s">
        <v>1568</v>
      </c>
      <c r="N233" s="342" t="s">
        <v>3652</v>
      </c>
      <c r="O233" s="342" t="s">
        <v>3863</v>
      </c>
      <c r="P233" s="342">
        <v>6122690321</v>
      </c>
      <c r="R233" s="342" t="s">
        <v>3649</v>
      </c>
      <c r="S233" s="343">
        <v>44813</v>
      </c>
      <c r="T233" s="343">
        <v>44813</v>
      </c>
      <c r="U233" s="343">
        <v>43661</v>
      </c>
      <c r="V233" s="343">
        <v>43718</v>
      </c>
      <c r="W233" s="343">
        <v>44287</v>
      </c>
      <c r="X233" s="342" t="s">
        <v>4471</v>
      </c>
      <c r="Y233" s="342" t="s">
        <v>3864</v>
      </c>
    </row>
    <row r="234" spans="1:25">
      <c r="A234" s="342">
        <v>255340</v>
      </c>
      <c r="B234" s="342" t="s">
        <v>442</v>
      </c>
      <c r="C234" s="342" t="s">
        <v>444</v>
      </c>
      <c r="D234" s="342" t="s">
        <v>55</v>
      </c>
      <c r="E234" s="342" t="s">
        <v>591</v>
      </c>
      <c r="F234" s="342" t="s">
        <v>40</v>
      </c>
      <c r="G234" s="342" t="s">
        <v>5280</v>
      </c>
      <c r="H234" s="342" t="s">
        <v>4818</v>
      </c>
      <c r="I234" s="342" t="s">
        <v>1568</v>
      </c>
      <c r="J234" s="342" t="s">
        <v>1575</v>
      </c>
      <c r="K234" s="343">
        <v>72820</v>
      </c>
      <c r="L234" s="342" t="s">
        <v>1568</v>
      </c>
      <c r="M234" s="342" t="s">
        <v>1568</v>
      </c>
      <c r="N234" s="342" t="s">
        <v>3650</v>
      </c>
      <c r="O234" s="342" t="s">
        <v>4363</v>
      </c>
      <c r="P234" s="342">
        <v>6121016126</v>
      </c>
      <c r="R234" s="342" t="s">
        <v>3649</v>
      </c>
      <c r="S234" s="343">
        <v>45601</v>
      </c>
      <c r="T234" s="343">
        <v>45601</v>
      </c>
      <c r="U234" s="343">
        <v>44459</v>
      </c>
      <c r="V234" s="343">
        <v>44506</v>
      </c>
      <c r="W234" s="343">
        <v>44705</v>
      </c>
      <c r="X234" s="342" t="s">
        <v>5509</v>
      </c>
      <c r="Y234" s="342" t="s">
        <v>4804</v>
      </c>
    </row>
    <row r="235" spans="1:25">
      <c r="A235" s="342">
        <v>256985</v>
      </c>
      <c r="B235" s="342" t="s">
        <v>446</v>
      </c>
      <c r="C235" s="342" t="s">
        <v>449</v>
      </c>
      <c r="D235" s="342" t="s">
        <v>51</v>
      </c>
      <c r="E235" s="342" t="s">
        <v>591</v>
      </c>
      <c r="F235" s="342" t="s">
        <v>40</v>
      </c>
      <c r="G235" s="342" t="s">
        <v>5282</v>
      </c>
      <c r="H235" s="342" t="s">
        <v>5800</v>
      </c>
      <c r="I235" s="342" t="s">
        <v>1571</v>
      </c>
      <c r="L235" s="342" t="s">
        <v>1571</v>
      </c>
      <c r="M235" s="342" t="s">
        <v>1571</v>
      </c>
      <c r="N235" s="342" t="s">
        <v>3656</v>
      </c>
      <c r="O235" s="342" t="s">
        <v>4469</v>
      </c>
      <c r="P235" s="342">
        <v>6131557662</v>
      </c>
      <c r="R235" s="342" t="s">
        <v>3649</v>
      </c>
      <c r="S235" s="343">
        <v>44876</v>
      </c>
      <c r="T235" s="343">
        <v>44876</v>
      </c>
      <c r="U235" s="343">
        <v>44459</v>
      </c>
      <c r="V235" s="343">
        <v>43781</v>
      </c>
      <c r="W235" s="343">
        <v>44271</v>
      </c>
      <c r="X235" s="342" t="s">
        <v>3865</v>
      </c>
      <c r="Y235" s="342" t="s">
        <v>3865</v>
      </c>
    </row>
    <row r="236" spans="1:25">
      <c r="A236" s="342">
        <v>258509</v>
      </c>
      <c r="B236" s="342" t="s">
        <v>1240</v>
      </c>
      <c r="C236" s="342" t="s">
        <v>315</v>
      </c>
      <c r="D236" s="342" t="s">
        <v>47</v>
      </c>
      <c r="E236" s="342" t="s">
        <v>591</v>
      </c>
      <c r="F236" s="342" t="s">
        <v>40</v>
      </c>
      <c r="G236" s="342" t="s">
        <v>5281</v>
      </c>
    </row>
    <row r="237" spans="1:25">
      <c r="A237" s="342">
        <v>260328</v>
      </c>
      <c r="B237" s="342" t="s">
        <v>450</v>
      </c>
      <c r="C237" s="342" t="s">
        <v>1112</v>
      </c>
      <c r="D237" s="342" t="s">
        <v>47</v>
      </c>
      <c r="E237" s="342" t="s">
        <v>591</v>
      </c>
      <c r="F237" s="342" t="s">
        <v>40</v>
      </c>
      <c r="G237" s="342" t="s">
        <v>5278</v>
      </c>
      <c r="H237" s="342" t="s">
        <v>5801</v>
      </c>
      <c r="I237" s="342" t="s">
        <v>1572</v>
      </c>
      <c r="L237" s="342" t="s">
        <v>1571</v>
      </c>
      <c r="M237" s="342" t="s">
        <v>1571</v>
      </c>
      <c r="N237" s="342" t="s">
        <v>3653</v>
      </c>
      <c r="O237" s="342" t="s">
        <v>3661</v>
      </c>
      <c r="P237" s="342">
        <v>6114493727</v>
      </c>
      <c r="R237" s="342" t="s">
        <v>3649</v>
      </c>
      <c r="S237" s="343">
        <v>45612</v>
      </c>
      <c r="T237" s="343">
        <v>45612</v>
      </c>
      <c r="U237" s="343">
        <v>44256</v>
      </c>
      <c r="V237" s="343">
        <v>44517</v>
      </c>
      <c r="X237" s="342" t="s">
        <v>3662</v>
      </c>
      <c r="Y237" s="342" t="s">
        <v>3662</v>
      </c>
    </row>
    <row r="238" spans="1:25">
      <c r="A238" s="342">
        <v>260431</v>
      </c>
      <c r="B238" s="342" t="s">
        <v>676</v>
      </c>
      <c r="C238" s="342" t="s">
        <v>74</v>
      </c>
      <c r="D238" s="342" t="s">
        <v>55</v>
      </c>
      <c r="E238" s="342" t="s">
        <v>591</v>
      </c>
      <c r="F238" s="342" t="s">
        <v>40</v>
      </c>
      <c r="G238" s="342" t="s">
        <v>5449</v>
      </c>
      <c r="H238" s="342" t="s">
        <v>5802</v>
      </c>
      <c r="I238" s="342" t="s">
        <v>1568</v>
      </c>
      <c r="J238" s="342" t="s">
        <v>1575</v>
      </c>
      <c r="K238" s="343">
        <v>2958465</v>
      </c>
      <c r="L238" s="342" t="s">
        <v>1568</v>
      </c>
      <c r="M238" s="342" t="s">
        <v>1568</v>
      </c>
      <c r="N238" s="342" t="s">
        <v>3652</v>
      </c>
      <c r="O238" s="342" t="s">
        <v>3866</v>
      </c>
      <c r="P238" s="342">
        <v>6115225347</v>
      </c>
      <c r="R238" s="342" t="s">
        <v>3649</v>
      </c>
      <c r="S238" s="343">
        <v>45186</v>
      </c>
      <c r="T238" s="343">
        <v>45186</v>
      </c>
      <c r="U238" s="343">
        <v>44347</v>
      </c>
      <c r="V238" s="343">
        <v>44092</v>
      </c>
      <c r="X238" s="342">
        <v>20269</v>
      </c>
      <c r="Y238" s="342">
        <v>20269</v>
      </c>
    </row>
    <row r="239" spans="1:25">
      <c r="A239" s="342">
        <v>261526</v>
      </c>
      <c r="B239" s="342" t="s">
        <v>1344</v>
      </c>
      <c r="C239" s="342" t="s">
        <v>1346</v>
      </c>
      <c r="D239" s="342" t="s">
        <v>55</v>
      </c>
      <c r="E239" s="342" t="s">
        <v>591</v>
      </c>
      <c r="F239" s="342" t="s">
        <v>40</v>
      </c>
      <c r="G239" s="342" t="s">
        <v>5279</v>
      </c>
      <c r="H239" s="342" t="s">
        <v>5083</v>
      </c>
      <c r="I239" s="342" t="s">
        <v>1568</v>
      </c>
      <c r="L239" s="342" t="s">
        <v>1568</v>
      </c>
      <c r="M239" s="342" t="s">
        <v>1568</v>
      </c>
      <c r="N239" s="342" t="s">
        <v>3650</v>
      </c>
      <c r="O239" s="342" t="s">
        <v>3867</v>
      </c>
      <c r="P239" s="342">
        <v>6110707501</v>
      </c>
      <c r="R239" s="342" t="s">
        <v>3649</v>
      </c>
      <c r="S239" s="343">
        <v>45503</v>
      </c>
      <c r="T239" s="343">
        <v>45503</v>
      </c>
      <c r="U239" s="343">
        <v>43962</v>
      </c>
      <c r="V239" s="343">
        <v>44408</v>
      </c>
      <c r="W239" s="343">
        <v>44545</v>
      </c>
      <c r="X239" s="342">
        <v>881221017</v>
      </c>
      <c r="Y239" s="342" t="s">
        <v>3868</v>
      </c>
    </row>
    <row r="240" spans="1:25">
      <c r="A240" s="342">
        <v>261563</v>
      </c>
      <c r="B240" s="342" t="s">
        <v>691</v>
      </c>
      <c r="C240" s="342" t="s">
        <v>692</v>
      </c>
      <c r="D240" s="342" t="s">
        <v>47</v>
      </c>
      <c r="E240" s="342" t="s">
        <v>591</v>
      </c>
      <c r="F240" s="342" t="s">
        <v>40</v>
      </c>
      <c r="G240" s="342" t="s">
        <v>5283</v>
      </c>
      <c r="H240" s="342" t="s">
        <v>5803</v>
      </c>
      <c r="I240" s="342" t="s">
        <v>1578</v>
      </c>
      <c r="L240" s="342" t="s">
        <v>1568</v>
      </c>
      <c r="M240" s="342" t="s">
        <v>1568</v>
      </c>
      <c r="N240" s="342" t="s">
        <v>3650</v>
      </c>
      <c r="O240" s="342" t="s">
        <v>3869</v>
      </c>
      <c r="P240" s="342">
        <v>6120253809</v>
      </c>
      <c r="R240" s="342" t="s">
        <v>3649</v>
      </c>
      <c r="S240" s="343">
        <v>44858</v>
      </c>
      <c r="T240" s="343">
        <v>44858</v>
      </c>
      <c r="U240" s="343">
        <v>44438</v>
      </c>
      <c r="V240" s="343">
        <v>43763</v>
      </c>
      <c r="W240" s="343">
        <v>44128</v>
      </c>
      <c r="X240" s="342">
        <v>72699.5</v>
      </c>
      <c r="Y240" s="342" t="s">
        <v>3870</v>
      </c>
    </row>
    <row r="241" spans="1:25" ht="409.5">
      <c r="A241" s="342">
        <v>262821</v>
      </c>
      <c r="B241" s="342" t="s">
        <v>1497</v>
      </c>
      <c r="C241" s="342" t="s">
        <v>759</v>
      </c>
      <c r="D241" s="342" t="s">
        <v>51</v>
      </c>
      <c r="E241" s="342" t="s">
        <v>591</v>
      </c>
      <c r="F241" s="342" t="s">
        <v>40</v>
      </c>
      <c r="G241" s="342" t="s">
        <v>5449</v>
      </c>
      <c r="H241" s="342" t="s">
        <v>1546</v>
      </c>
      <c r="I241" s="342" t="s">
        <v>1571</v>
      </c>
      <c r="L241" s="342" t="s">
        <v>1571</v>
      </c>
      <c r="M241" s="342" t="s">
        <v>1571</v>
      </c>
      <c r="N241" s="342" t="s">
        <v>3653</v>
      </c>
      <c r="O241" s="344" t="s">
        <v>5955</v>
      </c>
      <c r="P241" s="342">
        <v>6132049946</v>
      </c>
      <c r="R241" s="342" t="s">
        <v>3649</v>
      </c>
      <c r="S241" s="343">
        <v>44945</v>
      </c>
      <c r="T241" s="343">
        <v>45535</v>
      </c>
      <c r="U241" s="343">
        <v>44628</v>
      </c>
      <c r="V241" s="343">
        <v>44440</v>
      </c>
      <c r="W241" s="343">
        <v>44743</v>
      </c>
      <c r="X241" s="342" t="s">
        <v>5959</v>
      </c>
      <c r="Y241" s="342" t="s">
        <v>3871</v>
      </c>
    </row>
    <row r="242" spans="1:25" ht="409.5">
      <c r="A242" s="342">
        <v>265355</v>
      </c>
      <c r="B242" s="342" t="s">
        <v>946</v>
      </c>
      <c r="C242" s="342" t="s">
        <v>336</v>
      </c>
      <c r="D242" s="342" t="s">
        <v>337</v>
      </c>
      <c r="E242" s="342" t="s">
        <v>591</v>
      </c>
      <c r="F242" s="342" t="s">
        <v>40</v>
      </c>
      <c r="G242" s="342" t="s">
        <v>5280</v>
      </c>
      <c r="H242" s="342" t="s">
        <v>5746</v>
      </c>
      <c r="I242" s="342" t="s">
        <v>1568</v>
      </c>
      <c r="L242" s="342" t="s">
        <v>1568</v>
      </c>
      <c r="M242" s="342" t="s">
        <v>1568</v>
      </c>
      <c r="N242" s="342" t="s">
        <v>3650</v>
      </c>
      <c r="O242" s="344" t="s">
        <v>3759</v>
      </c>
      <c r="P242" s="342">
        <v>6135733107</v>
      </c>
      <c r="R242" s="342" t="s">
        <v>3649</v>
      </c>
      <c r="S242" s="343">
        <v>45544</v>
      </c>
      <c r="T242" s="343">
        <v>45544</v>
      </c>
      <c r="U242" s="343">
        <v>44256</v>
      </c>
      <c r="V242" s="343">
        <v>44449</v>
      </c>
      <c r="X242" s="342" t="s">
        <v>4666</v>
      </c>
      <c r="Y242" s="342" t="s">
        <v>4679</v>
      </c>
    </row>
    <row r="243" spans="1:25">
      <c r="A243" s="342">
        <v>266317</v>
      </c>
      <c r="B243" s="342" t="s">
        <v>1179</v>
      </c>
      <c r="C243" s="342" t="s">
        <v>1157</v>
      </c>
      <c r="D243" s="342" t="s">
        <v>51</v>
      </c>
      <c r="E243" s="342" t="s">
        <v>591</v>
      </c>
      <c r="F243" s="342" t="s">
        <v>41</v>
      </c>
      <c r="G243" s="342" t="s">
        <v>786</v>
      </c>
      <c r="H243" s="342" t="s">
        <v>2535</v>
      </c>
      <c r="I243" s="342" t="s">
        <v>1571</v>
      </c>
      <c r="L243" s="342" t="s">
        <v>1571</v>
      </c>
      <c r="M243" s="342" t="s">
        <v>1571</v>
      </c>
      <c r="N243" s="342" t="s">
        <v>3656</v>
      </c>
      <c r="O243" s="342" t="s">
        <v>3872</v>
      </c>
      <c r="P243" s="342">
        <v>6134304582</v>
      </c>
      <c r="R243" s="342" t="s">
        <v>3649</v>
      </c>
      <c r="S243" s="343">
        <v>45299</v>
      </c>
      <c r="T243" s="343">
        <v>45299</v>
      </c>
      <c r="U243" s="343">
        <v>44502</v>
      </c>
      <c r="V243" s="343">
        <v>44205</v>
      </c>
      <c r="X243" s="342" t="s">
        <v>3873</v>
      </c>
      <c r="Y243" s="342" t="s">
        <v>3873</v>
      </c>
    </row>
    <row r="244" spans="1:25">
      <c r="A244" s="342">
        <v>266318</v>
      </c>
      <c r="B244" s="342" t="s">
        <v>1384</v>
      </c>
      <c r="C244" s="342" t="s">
        <v>336</v>
      </c>
      <c r="D244" s="342" t="s">
        <v>337</v>
      </c>
      <c r="E244" s="342" t="s">
        <v>591</v>
      </c>
      <c r="F244" s="342" t="s">
        <v>41</v>
      </c>
      <c r="G244" s="342" t="s">
        <v>786</v>
      </c>
      <c r="H244" s="342" t="s">
        <v>5144</v>
      </c>
      <c r="I244" s="342" t="s">
        <v>1571</v>
      </c>
      <c r="L244" s="342" t="s">
        <v>1571</v>
      </c>
      <c r="M244" s="342" t="s">
        <v>1571</v>
      </c>
      <c r="N244" s="342" t="s">
        <v>3656</v>
      </c>
      <c r="O244" s="342" t="s">
        <v>5135</v>
      </c>
      <c r="P244" s="342">
        <v>6129560027</v>
      </c>
      <c r="R244" s="342" t="s">
        <v>3649</v>
      </c>
      <c r="S244" s="343">
        <v>45684</v>
      </c>
      <c r="T244" s="343">
        <v>45684</v>
      </c>
      <c r="U244" s="343">
        <v>44515</v>
      </c>
      <c r="V244" s="343">
        <v>44589</v>
      </c>
      <c r="X244" s="342" t="s">
        <v>5139</v>
      </c>
      <c r="Y244" s="342" t="s">
        <v>5139</v>
      </c>
    </row>
    <row r="245" spans="1:25">
      <c r="A245" s="342">
        <v>266728</v>
      </c>
      <c r="B245" s="342" t="s">
        <v>4738</v>
      </c>
      <c r="C245" s="342" t="s">
        <v>4740</v>
      </c>
      <c r="D245" s="342" t="s">
        <v>175</v>
      </c>
      <c r="E245" s="342" t="s">
        <v>591</v>
      </c>
      <c r="F245" s="342" t="s">
        <v>40</v>
      </c>
      <c r="G245" s="342" t="s">
        <v>5450</v>
      </c>
      <c r="H245" s="342" t="s">
        <v>4980</v>
      </c>
      <c r="I245" s="342" t="s">
        <v>1571</v>
      </c>
      <c r="L245" s="342" t="s">
        <v>1571</v>
      </c>
      <c r="M245" s="342" t="s">
        <v>1571</v>
      </c>
      <c r="N245" s="342" t="s">
        <v>3653</v>
      </c>
      <c r="O245" s="342" t="s">
        <v>4981</v>
      </c>
      <c r="P245" s="342">
        <v>6130839789</v>
      </c>
      <c r="R245" s="342" t="s">
        <v>3649</v>
      </c>
      <c r="S245" s="343">
        <v>45646</v>
      </c>
      <c r="T245" s="343">
        <v>45646</v>
      </c>
      <c r="U245" s="343">
        <v>43612</v>
      </c>
      <c r="V245" s="343">
        <v>44551</v>
      </c>
      <c r="W245" s="343">
        <v>44580</v>
      </c>
      <c r="X245" s="342" t="s">
        <v>5164</v>
      </c>
      <c r="Y245" s="342" t="s">
        <v>3755</v>
      </c>
    </row>
    <row r="246" spans="1:25" ht="409.5">
      <c r="A246" s="342">
        <v>267008</v>
      </c>
      <c r="B246" s="342" t="s">
        <v>1068</v>
      </c>
      <c r="C246" s="342" t="s">
        <v>455</v>
      </c>
      <c r="D246" s="342" t="s">
        <v>47</v>
      </c>
      <c r="E246" s="342" t="s">
        <v>591</v>
      </c>
      <c r="F246" s="342" t="s">
        <v>40</v>
      </c>
      <c r="G246" s="342" t="s">
        <v>5280</v>
      </c>
      <c r="H246" s="342" t="s">
        <v>5804</v>
      </c>
      <c r="I246" s="342" t="s">
        <v>1568</v>
      </c>
      <c r="L246" s="342" t="s">
        <v>1568</v>
      </c>
      <c r="M246" s="342" t="s">
        <v>1568</v>
      </c>
      <c r="N246" s="342" t="s">
        <v>3650</v>
      </c>
      <c r="O246" s="344" t="s">
        <v>3874</v>
      </c>
      <c r="P246" s="342">
        <v>6120064726</v>
      </c>
      <c r="R246" s="342" t="s">
        <v>3649</v>
      </c>
      <c r="S246" s="343">
        <v>45275</v>
      </c>
      <c r="T246" s="343">
        <v>45275</v>
      </c>
      <c r="U246" s="343">
        <v>44448</v>
      </c>
      <c r="V246" s="343">
        <v>44181</v>
      </c>
      <c r="X246" s="342">
        <v>42148.800000000003</v>
      </c>
      <c r="Y246" s="342">
        <v>42148.800000000003</v>
      </c>
    </row>
    <row r="247" spans="1:25">
      <c r="A247" s="342">
        <v>267698</v>
      </c>
      <c r="B247" s="342" t="s">
        <v>4245</v>
      </c>
      <c r="C247" s="342" t="s">
        <v>456</v>
      </c>
      <c r="D247" s="342" t="s">
        <v>55</v>
      </c>
      <c r="E247" s="342" t="s">
        <v>591</v>
      </c>
      <c r="F247" s="342" t="s">
        <v>737</v>
      </c>
      <c r="G247" s="342" t="s">
        <v>1277</v>
      </c>
      <c r="H247" s="342" t="s">
        <v>4605</v>
      </c>
      <c r="I247" s="342" t="s">
        <v>1581</v>
      </c>
      <c r="L247" s="342" t="s">
        <v>1581</v>
      </c>
      <c r="M247" s="342" t="s">
        <v>1581</v>
      </c>
      <c r="S247" s="343">
        <v>45492</v>
      </c>
      <c r="Y247" s="342">
        <v>11002100038</v>
      </c>
    </row>
    <row r="248" spans="1:25">
      <c r="A248" s="342">
        <v>268930</v>
      </c>
      <c r="B248" s="342" t="s">
        <v>457</v>
      </c>
      <c r="C248" s="342" t="s">
        <v>336</v>
      </c>
      <c r="D248" s="342" t="s">
        <v>337</v>
      </c>
      <c r="E248" s="342" t="s">
        <v>591</v>
      </c>
      <c r="F248" s="342" t="s">
        <v>40</v>
      </c>
      <c r="G248" s="342" t="s">
        <v>5283</v>
      </c>
      <c r="H248" s="342" t="s">
        <v>5805</v>
      </c>
      <c r="I248" s="342" t="s">
        <v>1571</v>
      </c>
      <c r="L248" s="342" t="s">
        <v>1571</v>
      </c>
      <c r="M248" s="342" t="s">
        <v>1571</v>
      </c>
      <c r="N248" s="342" t="s">
        <v>3656</v>
      </c>
      <c r="O248" s="342" t="s">
        <v>3875</v>
      </c>
      <c r="P248" s="342">
        <v>6138007322</v>
      </c>
      <c r="R248" s="342" t="s">
        <v>3649</v>
      </c>
      <c r="S248" s="343">
        <v>45547</v>
      </c>
      <c r="T248" s="343">
        <v>45547</v>
      </c>
      <c r="U248" s="343">
        <v>43606</v>
      </c>
      <c r="V248" s="343">
        <v>44452</v>
      </c>
      <c r="X248" s="342" t="s">
        <v>3876</v>
      </c>
      <c r="Y248" s="342">
        <v>10390413</v>
      </c>
    </row>
    <row r="249" spans="1:25">
      <c r="A249" s="342">
        <v>269036</v>
      </c>
      <c r="B249" s="342" t="s">
        <v>296</v>
      </c>
      <c r="C249" s="342" t="s">
        <v>255</v>
      </c>
      <c r="D249" s="342" t="s">
        <v>51</v>
      </c>
      <c r="E249" s="342" t="s">
        <v>591</v>
      </c>
      <c r="F249" s="342" t="s">
        <v>40</v>
      </c>
      <c r="G249" s="342" t="s">
        <v>5278</v>
      </c>
      <c r="H249" s="342" t="s">
        <v>5806</v>
      </c>
      <c r="I249" s="342" t="s">
        <v>1569</v>
      </c>
      <c r="L249" s="342" t="s">
        <v>1568</v>
      </c>
      <c r="M249" s="342" t="s">
        <v>1568</v>
      </c>
      <c r="N249" s="342" t="s">
        <v>3652</v>
      </c>
      <c r="O249" s="342" t="s">
        <v>3877</v>
      </c>
      <c r="P249" s="342">
        <v>6113296941</v>
      </c>
      <c r="R249" s="342" t="s">
        <v>3649</v>
      </c>
      <c r="S249" s="343">
        <v>45344</v>
      </c>
      <c r="T249" s="343">
        <v>45344</v>
      </c>
      <c r="U249" s="343">
        <v>43760</v>
      </c>
      <c r="V249" s="343">
        <v>44250</v>
      </c>
      <c r="X249" s="342" t="s">
        <v>4415</v>
      </c>
      <c r="Y249" s="342" t="s">
        <v>3878</v>
      </c>
    </row>
    <row r="250" spans="1:25">
      <c r="A250" s="342">
        <v>270438</v>
      </c>
      <c r="B250" s="342" t="s">
        <v>5430</v>
      </c>
      <c r="C250" s="342" t="s">
        <v>336</v>
      </c>
      <c r="D250" s="342" t="s">
        <v>337</v>
      </c>
      <c r="E250" s="342" t="s">
        <v>591</v>
      </c>
      <c r="F250" s="342" t="s">
        <v>40</v>
      </c>
      <c r="G250" s="342" t="s">
        <v>5281</v>
      </c>
      <c r="H250" s="342" t="s">
        <v>5732</v>
      </c>
      <c r="I250" s="342" t="s">
        <v>1568</v>
      </c>
      <c r="L250" s="342" t="s">
        <v>1568</v>
      </c>
      <c r="M250" s="342" t="s">
        <v>1568</v>
      </c>
      <c r="N250" s="342" t="s">
        <v>3652</v>
      </c>
      <c r="O250" s="342" t="s">
        <v>4689</v>
      </c>
      <c r="P250" s="342">
        <v>6111353226</v>
      </c>
      <c r="R250" s="342" t="s">
        <v>3649</v>
      </c>
      <c r="S250" s="343">
        <v>45549</v>
      </c>
      <c r="T250" s="343">
        <v>45549</v>
      </c>
      <c r="U250" s="343">
        <v>43514</v>
      </c>
      <c r="V250" s="343">
        <v>44454</v>
      </c>
      <c r="W250" s="343">
        <v>44459</v>
      </c>
      <c r="X250" s="342" t="s">
        <v>3667</v>
      </c>
      <c r="Y250" s="342" t="s">
        <v>4692</v>
      </c>
    </row>
    <row r="251" spans="1:25">
      <c r="A251" s="342">
        <v>271203</v>
      </c>
      <c r="B251" s="342" t="s">
        <v>461</v>
      </c>
      <c r="C251" s="342" t="s">
        <v>4341</v>
      </c>
      <c r="D251" s="342" t="s">
        <v>47</v>
      </c>
      <c r="E251" s="342" t="s">
        <v>591</v>
      </c>
      <c r="F251" s="342" t="s">
        <v>40</v>
      </c>
      <c r="G251" s="342" t="s">
        <v>4638</v>
      </c>
      <c r="H251" s="342" t="s">
        <v>5084</v>
      </c>
      <c r="I251" s="342" t="s">
        <v>1571</v>
      </c>
      <c r="L251" s="342" t="s">
        <v>1571</v>
      </c>
      <c r="M251" s="342" t="s">
        <v>1571</v>
      </c>
      <c r="N251" s="342" t="s">
        <v>3653</v>
      </c>
      <c r="O251" s="342" t="s">
        <v>3879</v>
      </c>
      <c r="P251" s="342">
        <v>6139221741</v>
      </c>
      <c r="R251" s="342" t="s">
        <v>3649</v>
      </c>
      <c r="S251" s="343">
        <v>45103</v>
      </c>
      <c r="T251" s="343">
        <v>45103</v>
      </c>
      <c r="U251" s="343">
        <v>44662</v>
      </c>
      <c r="V251" s="343">
        <v>44009</v>
      </c>
      <c r="X251" s="342" t="s">
        <v>3880</v>
      </c>
      <c r="Y251" s="342" t="s">
        <v>3881</v>
      </c>
    </row>
    <row r="252" spans="1:25">
      <c r="A252" s="342">
        <v>271309</v>
      </c>
      <c r="B252" s="342" t="s">
        <v>462</v>
      </c>
      <c r="C252" s="342" t="s">
        <v>464</v>
      </c>
      <c r="D252" s="342" t="s">
        <v>465</v>
      </c>
      <c r="E252" s="342" t="s">
        <v>591</v>
      </c>
      <c r="F252" s="342" t="s">
        <v>40</v>
      </c>
      <c r="G252" s="342" t="s">
        <v>5279</v>
      </c>
      <c r="H252" s="342" t="s">
        <v>5807</v>
      </c>
      <c r="I252" s="342" t="s">
        <v>1568</v>
      </c>
      <c r="L252" s="342" t="s">
        <v>1568</v>
      </c>
      <c r="M252" s="342" t="s">
        <v>1568</v>
      </c>
      <c r="N252" s="342" t="s">
        <v>3652</v>
      </c>
      <c r="O252" s="342" t="s">
        <v>3882</v>
      </c>
      <c r="P252" s="342">
        <v>6119923661</v>
      </c>
      <c r="R252" s="342" t="s">
        <v>3649</v>
      </c>
      <c r="S252" s="343">
        <v>45436</v>
      </c>
      <c r="T252" s="343">
        <v>45436</v>
      </c>
      <c r="U252" s="343">
        <v>43542</v>
      </c>
      <c r="V252" s="343">
        <v>44341</v>
      </c>
      <c r="X252" s="342" t="s">
        <v>4472</v>
      </c>
      <c r="Y252" s="342" t="s">
        <v>4472</v>
      </c>
    </row>
    <row r="253" spans="1:25">
      <c r="A253" s="342">
        <v>273158</v>
      </c>
      <c r="B253" s="342" t="s">
        <v>466</v>
      </c>
      <c r="C253" s="342" t="s">
        <v>468</v>
      </c>
      <c r="D253" s="342" t="s">
        <v>51</v>
      </c>
      <c r="E253" s="342" t="s">
        <v>591</v>
      </c>
      <c r="F253" s="342" t="s">
        <v>40</v>
      </c>
      <c r="G253" s="342" t="s">
        <v>5282</v>
      </c>
      <c r="H253" s="342" t="s">
        <v>4541</v>
      </c>
      <c r="I253" s="342" t="s">
        <v>1574</v>
      </c>
      <c r="L253" s="342" t="s">
        <v>1568</v>
      </c>
      <c r="M253" s="342" t="s">
        <v>1568</v>
      </c>
      <c r="N253" s="342" t="s">
        <v>3652</v>
      </c>
      <c r="O253" s="342" t="s">
        <v>5228</v>
      </c>
      <c r="P253" s="342">
        <v>6120706961</v>
      </c>
      <c r="R253" s="342" t="s">
        <v>3649</v>
      </c>
      <c r="S253" s="343">
        <v>45350</v>
      </c>
      <c r="T253" s="343">
        <v>45705</v>
      </c>
      <c r="U253" s="343">
        <v>43987</v>
      </c>
      <c r="V253" s="343">
        <v>44610</v>
      </c>
      <c r="X253" s="342" t="s">
        <v>5230</v>
      </c>
      <c r="Y253" s="342" t="s">
        <v>3786</v>
      </c>
    </row>
    <row r="254" spans="1:25">
      <c r="A254" s="342">
        <v>273520</v>
      </c>
      <c r="B254" s="342" t="s">
        <v>746</v>
      </c>
      <c r="C254" s="342" t="s">
        <v>2510</v>
      </c>
      <c r="D254" s="342" t="s">
        <v>55</v>
      </c>
      <c r="E254" s="342" t="s">
        <v>591</v>
      </c>
      <c r="F254" s="342" t="s">
        <v>40</v>
      </c>
      <c r="G254" s="342" t="s">
        <v>5283</v>
      </c>
      <c r="H254" s="342" t="s">
        <v>2518</v>
      </c>
      <c r="I254" s="342" t="s">
        <v>1568</v>
      </c>
      <c r="L254" s="342" t="s">
        <v>1568</v>
      </c>
      <c r="M254" s="342" t="s">
        <v>1568</v>
      </c>
      <c r="N254" s="342" t="s">
        <v>3650</v>
      </c>
      <c r="O254" s="342" t="s">
        <v>3883</v>
      </c>
      <c r="P254" s="342">
        <v>6138227500</v>
      </c>
      <c r="R254" s="342" t="s">
        <v>3649</v>
      </c>
      <c r="S254" s="343">
        <v>44843</v>
      </c>
      <c r="T254" s="343">
        <v>44843</v>
      </c>
      <c r="U254" s="343">
        <v>44018</v>
      </c>
      <c r="V254" s="343">
        <v>43748</v>
      </c>
      <c r="X254" s="342" t="s">
        <v>3884</v>
      </c>
      <c r="Y254" s="342" t="s">
        <v>3884</v>
      </c>
    </row>
    <row r="255" spans="1:25" ht="409.5">
      <c r="A255" s="342">
        <v>273521</v>
      </c>
      <c r="B255" s="342" t="s">
        <v>1235</v>
      </c>
      <c r="C255" s="342" t="s">
        <v>470</v>
      </c>
      <c r="D255" s="342" t="s">
        <v>47</v>
      </c>
      <c r="E255" s="342" t="s">
        <v>591</v>
      </c>
      <c r="F255" s="342" t="s">
        <v>40</v>
      </c>
      <c r="G255" s="342" t="s">
        <v>5283</v>
      </c>
      <c r="H255" s="342" t="s">
        <v>5808</v>
      </c>
      <c r="I255" s="342" t="s">
        <v>1578</v>
      </c>
      <c r="L255" s="342" t="s">
        <v>1568</v>
      </c>
      <c r="M255" s="342" t="s">
        <v>1568</v>
      </c>
      <c r="N255" s="342" t="s">
        <v>3650</v>
      </c>
      <c r="O255" s="344" t="s">
        <v>4955</v>
      </c>
      <c r="P255" s="342">
        <v>6116357544</v>
      </c>
      <c r="R255" s="342" t="s">
        <v>3649</v>
      </c>
      <c r="S255" s="343">
        <v>45646</v>
      </c>
      <c r="T255" s="343">
        <v>45646</v>
      </c>
      <c r="U255" s="343">
        <v>44445</v>
      </c>
      <c r="V255" s="343">
        <v>44551</v>
      </c>
      <c r="X255" s="342">
        <v>33197</v>
      </c>
      <c r="Y255" s="342">
        <v>10414412</v>
      </c>
    </row>
    <row r="256" spans="1:25">
      <c r="A256" s="342">
        <v>273986</v>
      </c>
      <c r="B256" s="342" t="s">
        <v>4649</v>
      </c>
      <c r="C256" s="342" t="s">
        <v>380</v>
      </c>
      <c r="D256" s="342" t="s">
        <v>381</v>
      </c>
      <c r="E256" s="342" t="s">
        <v>591</v>
      </c>
      <c r="F256" s="342" t="s">
        <v>40</v>
      </c>
      <c r="G256" s="342" t="s">
        <v>1421</v>
      </c>
      <c r="H256" s="342" t="s">
        <v>4663</v>
      </c>
      <c r="P256" s="342">
        <v>6154448185</v>
      </c>
    </row>
    <row r="257" spans="1:25" ht="409.5">
      <c r="A257" s="342">
        <v>274446</v>
      </c>
      <c r="B257" s="342" t="s">
        <v>471</v>
      </c>
      <c r="C257" s="342" t="s">
        <v>473</v>
      </c>
      <c r="D257" s="342" t="s">
        <v>47</v>
      </c>
      <c r="E257" s="342" t="s">
        <v>591</v>
      </c>
      <c r="F257" s="342" t="s">
        <v>41</v>
      </c>
      <c r="G257" s="342" t="s">
        <v>1336</v>
      </c>
      <c r="H257" s="342" t="s">
        <v>5495</v>
      </c>
      <c r="I257" s="342" t="s">
        <v>1572</v>
      </c>
      <c r="L257" s="342" t="s">
        <v>1571</v>
      </c>
      <c r="M257" s="342" t="s">
        <v>1571</v>
      </c>
      <c r="N257" s="342" t="s">
        <v>3653</v>
      </c>
      <c r="O257" s="344" t="s">
        <v>5499</v>
      </c>
      <c r="P257" s="342">
        <v>6114014685</v>
      </c>
      <c r="R257" s="342" t="s">
        <v>3649</v>
      </c>
      <c r="S257" s="343">
        <v>45799</v>
      </c>
      <c r="T257" s="343">
        <v>45799</v>
      </c>
      <c r="U257" s="343">
        <v>44599</v>
      </c>
      <c r="V257" s="343">
        <v>44704</v>
      </c>
      <c r="X257" s="342" t="s">
        <v>5510</v>
      </c>
      <c r="Y257" s="342" t="s">
        <v>5511</v>
      </c>
    </row>
    <row r="258" spans="1:25" ht="409.5">
      <c r="A258" s="342">
        <v>274446</v>
      </c>
      <c r="B258" s="342" t="s">
        <v>471</v>
      </c>
      <c r="C258" s="342" t="s">
        <v>473</v>
      </c>
      <c r="D258" s="342" t="s">
        <v>47</v>
      </c>
      <c r="E258" s="342" t="s">
        <v>591</v>
      </c>
      <c r="F258" s="342" t="s">
        <v>40</v>
      </c>
      <c r="G258" s="342" t="s">
        <v>1336</v>
      </c>
      <c r="H258" s="342" t="s">
        <v>5495</v>
      </c>
      <c r="I258" s="342" t="s">
        <v>1572</v>
      </c>
      <c r="L258" s="342" t="s">
        <v>1571</v>
      </c>
      <c r="M258" s="342" t="s">
        <v>1571</v>
      </c>
      <c r="N258" s="342" t="s">
        <v>3653</v>
      </c>
      <c r="O258" s="344" t="s">
        <v>5499</v>
      </c>
      <c r="P258" s="342">
        <v>6114014685</v>
      </c>
      <c r="R258" s="342" t="s">
        <v>3649</v>
      </c>
      <c r="S258" s="343">
        <v>45799</v>
      </c>
      <c r="T258" s="343">
        <v>45799</v>
      </c>
      <c r="U258" s="343">
        <v>44599</v>
      </c>
      <c r="V258" s="343">
        <v>44704</v>
      </c>
      <c r="X258" s="342" t="s">
        <v>5510</v>
      </c>
      <c r="Y258" s="342" t="s">
        <v>5511</v>
      </c>
    </row>
    <row r="259" spans="1:25" ht="409.5">
      <c r="A259" s="342">
        <v>274446</v>
      </c>
      <c r="B259" s="342" t="s">
        <v>471</v>
      </c>
      <c r="C259" s="342" t="s">
        <v>473</v>
      </c>
      <c r="D259" s="342" t="s">
        <v>47</v>
      </c>
      <c r="E259" s="342" t="s">
        <v>591</v>
      </c>
      <c r="F259" s="342" t="s">
        <v>1100</v>
      </c>
      <c r="G259" s="342" t="s">
        <v>1336</v>
      </c>
      <c r="H259" s="342" t="s">
        <v>5495</v>
      </c>
      <c r="I259" s="342" t="s">
        <v>1579</v>
      </c>
      <c r="L259" s="342" t="s">
        <v>1568</v>
      </c>
      <c r="M259" s="342" t="s">
        <v>1568</v>
      </c>
      <c r="N259" s="342" t="s">
        <v>3650</v>
      </c>
      <c r="O259" s="344" t="s">
        <v>5500</v>
      </c>
      <c r="P259" s="342">
        <v>6114014685</v>
      </c>
      <c r="R259" s="342" t="s">
        <v>3649</v>
      </c>
      <c r="S259" s="343">
        <v>45797</v>
      </c>
      <c r="T259" s="343">
        <v>45797</v>
      </c>
      <c r="U259" s="343">
        <v>44599</v>
      </c>
      <c r="V259" s="343">
        <v>44702</v>
      </c>
      <c r="X259" s="342" t="s">
        <v>5510</v>
      </c>
      <c r="Y259" s="342" t="s">
        <v>5511</v>
      </c>
    </row>
    <row r="260" spans="1:25" ht="409.5">
      <c r="A260" s="342">
        <v>274446</v>
      </c>
      <c r="B260" s="342" t="s">
        <v>471</v>
      </c>
      <c r="C260" s="342" t="s">
        <v>473</v>
      </c>
      <c r="D260" s="342" t="s">
        <v>47</v>
      </c>
      <c r="E260" s="342" t="s">
        <v>591</v>
      </c>
      <c r="F260" s="342" t="s">
        <v>685</v>
      </c>
      <c r="G260" s="342" t="s">
        <v>1336</v>
      </c>
      <c r="H260" s="342" t="s">
        <v>5495</v>
      </c>
      <c r="I260" s="342" t="s">
        <v>1579</v>
      </c>
      <c r="L260" s="342" t="s">
        <v>1568</v>
      </c>
      <c r="M260" s="342" t="s">
        <v>1568</v>
      </c>
      <c r="N260" s="342" t="s">
        <v>3650</v>
      </c>
      <c r="O260" s="344" t="s">
        <v>5500</v>
      </c>
      <c r="P260" s="342">
        <v>6114014685</v>
      </c>
      <c r="R260" s="342" t="s">
        <v>3649</v>
      </c>
      <c r="S260" s="343">
        <v>45797</v>
      </c>
      <c r="T260" s="343">
        <v>45797</v>
      </c>
      <c r="U260" s="343">
        <v>44599</v>
      </c>
      <c r="V260" s="343">
        <v>44702</v>
      </c>
      <c r="X260" s="342" t="s">
        <v>5510</v>
      </c>
      <c r="Y260" s="342" t="s">
        <v>5511</v>
      </c>
    </row>
    <row r="261" spans="1:25" ht="409.5">
      <c r="A261" s="342">
        <v>274888</v>
      </c>
      <c r="B261" s="342" t="s">
        <v>1250</v>
      </c>
      <c r="C261" s="342" t="s">
        <v>475</v>
      </c>
      <c r="D261" s="342" t="s">
        <v>47</v>
      </c>
      <c r="E261" s="342" t="s">
        <v>591</v>
      </c>
      <c r="F261" s="342" t="s">
        <v>40</v>
      </c>
      <c r="G261" s="342" t="s">
        <v>5449</v>
      </c>
      <c r="H261" s="342" t="s">
        <v>5809</v>
      </c>
      <c r="I261" s="342" t="s">
        <v>1569</v>
      </c>
      <c r="L261" s="342" t="s">
        <v>1568</v>
      </c>
      <c r="M261" s="342" t="s">
        <v>1568</v>
      </c>
      <c r="N261" s="342" t="s">
        <v>3650</v>
      </c>
      <c r="O261" s="344" t="s">
        <v>4927</v>
      </c>
      <c r="P261" s="342">
        <v>6153120909</v>
      </c>
      <c r="R261" s="342" t="s">
        <v>3649</v>
      </c>
      <c r="S261" s="343">
        <v>45294</v>
      </c>
      <c r="T261" s="343">
        <v>45294</v>
      </c>
      <c r="U261" s="343">
        <v>44441</v>
      </c>
      <c r="V261" s="343">
        <v>44200</v>
      </c>
      <c r="W261" s="343">
        <v>44537</v>
      </c>
      <c r="X261" s="342" t="s">
        <v>4931</v>
      </c>
      <c r="Y261" s="342" t="s">
        <v>4214</v>
      </c>
    </row>
    <row r="262" spans="1:25">
      <c r="A262" s="342">
        <v>275410</v>
      </c>
      <c r="B262" s="342" t="s">
        <v>1133</v>
      </c>
      <c r="C262" s="342" t="s">
        <v>959</v>
      </c>
      <c r="D262" s="342" t="s">
        <v>98</v>
      </c>
      <c r="E262" s="342" t="s">
        <v>591</v>
      </c>
      <c r="F262" s="342" t="s">
        <v>737</v>
      </c>
      <c r="G262" s="342" t="s">
        <v>5449</v>
      </c>
      <c r="H262" s="342" t="s">
        <v>5810</v>
      </c>
    </row>
    <row r="263" spans="1:25">
      <c r="A263" s="342">
        <v>275809</v>
      </c>
      <c r="B263" s="342" t="s">
        <v>5894</v>
      </c>
      <c r="C263" s="342" t="s">
        <v>380</v>
      </c>
      <c r="D263" s="342" t="s">
        <v>381</v>
      </c>
      <c r="E263" s="342" t="s">
        <v>591</v>
      </c>
      <c r="F263" s="342" t="s">
        <v>40</v>
      </c>
      <c r="G263" s="342" t="s">
        <v>1277</v>
      </c>
      <c r="H263" s="342" t="s">
        <v>5085</v>
      </c>
      <c r="I263" s="342" t="s">
        <v>1571</v>
      </c>
      <c r="L263" s="342" t="s">
        <v>1571</v>
      </c>
      <c r="M263" s="342" t="s">
        <v>1571</v>
      </c>
      <c r="N263" s="342" t="s">
        <v>3653</v>
      </c>
      <c r="O263" s="342" t="s">
        <v>3885</v>
      </c>
      <c r="P263" s="342">
        <v>6133918584</v>
      </c>
      <c r="R263" s="342" t="s">
        <v>3649</v>
      </c>
      <c r="S263" s="343">
        <v>45626</v>
      </c>
      <c r="T263" s="343">
        <v>45626</v>
      </c>
      <c r="U263" s="343">
        <v>43751</v>
      </c>
      <c r="V263" s="343">
        <v>44531</v>
      </c>
      <c r="X263" s="342" t="s">
        <v>4821</v>
      </c>
      <c r="Y263" s="342" t="s">
        <v>4821</v>
      </c>
    </row>
    <row r="264" spans="1:25" ht="409.5">
      <c r="A264" s="342">
        <v>277046</v>
      </c>
      <c r="B264" s="342" t="s">
        <v>476</v>
      </c>
      <c r="C264" s="342" t="s">
        <v>478</v>
      </c>
      <c r="D264" s="342" t="s">
        <v>47</v>
      </c>
      <c r="E264" s="342" t="s">
        <v>591</v>
      </c>
      <c r="F264" s="342" t="s">
        <v>40</v>
      </c>
      <c r="G264" s="342" t="s">
        <v>1336</v>
      </c>
      <c r="H264" s="342" t="s">
        <v>5086</v>
      </c>
      <c r="I264" s="342" t="s">
        <v>1571</v>
      </c>
      <c r="L264" s="342" t="s">
        <v>1571</v>
      </c>
      <c r="M264" s="342" t="s">
        <v>1571</v>
      </c>
      <c r="N264" s="342" t="s">
        <v>3653</v>
      </c>
      <c r="O264" s="344" t="s">
        <v>4896</v>
      </c>
      <c r="P264" s="342">
        <v>6120211126</v>
      </c>
      <c r="R264" s="342" t="s">
        <v>3649</v>
      </c>
      <c r="S264" s="343">
        <v>45325</v>
      </c>
      <c r="T264" s="343">
        <v>45325</v>
      </c>
      <c r="U264" s="343">
        <v>44336</v>
      </c>
      <c r="V264" s="343">
        <v>44231</v>
      </c>
      <c r="W264" s="343">
        <v>44520</v>
      </c>
      <c r="X264" s="342" t="s">
        <v>4900</v>
      </c>
      <c r="Y264" s="342" t="s">
        <v>4292</v>
      </c>
    </row>
    <row r="265" spans="1:25">
      <c r="A265" s="342">
        <v>278127</v>
      </c>
      <c r="B265" s="342" t="s">
        <v>1424</v>
      </c>
      <c r="C265" s="342" t="s">
        <v>1426</v>
      </c>
      <c r="D265" s="342" t="s">
        <v>175</v>
      </c>
      <c r="E265" s="342" t="s">
        <v>591</v>
      </c>
      <c r="F265" s="342" t="s">
        <v>737</v>
      </c>
      <c r="G265" s="342" t="s">
        <v>5281</v>
      </c>
      <c r="H265" s="342" t="s">
        <v>4717</v>
      </c>
      <c r="I265" s="342" t="s">
        <v>1568</v>
      </c>
      <c r="L265" s="342" t="s">
        <v>1568</v>
      </c>
      <c r="M265" s="342" t="s">
        <v>1568</v>
      </c>
      <c r="N265" s="342" t="s">
        <v>3652</v>
      </c>
      <c r="O265" s="342" t="s">
        <v>4690</v>
      </c>
      <c r="P265" s="342">
        <v>6125595025</v>
      </c>
      <c r="R265" s="342" t="s">
        <v>3649</v>
      </c>
      <c r="S265" s="343">
        <v>45550</v>
      </c>
      <c r="T265" s="343">
        <v>45550</v>
      </c>
      <c r="U265" s="343">
        <v>43529</v>
      </c>
      <c r="V265" s="343">
        <v>44455</v>
      </c>
      <c r="W265" s="343">
        <v>44455</v>
      </c>
      <c r="X265" s="342" t="s">
        <v>3734</v>
      </c>
      <c r="Y265" s="342" t="s">
        <v>3734</v>
      </c>
    </row>
    <row r="266" spans="1:25">
      <c r="A266" s="342">
        <v>284291</v>
      </c>
      <c r="B266" s="342" t="s">
        <v>479</v>
      </c>
      <c r="C266" s="342" t="s">
        <v>380</v>
      </c>
      <c r="D266" s="342" t="s">
        <v>381</v>
      </c>
      <c r="E266" s="342" t="s">
        <v>591</v>
      </c>
      <c r="F266" s="342" t="s">
        <v>40</v>
      </c>
      <c r="G266" s="342" t="s">
        <v>5282</v>
      </c>
      <c r="H266" s="342" t="s">
        <v>4628</v>
      </c>
      <c r="I266" s="342" t="s">
        <v>1571</v>
      </c>
      <c r="L266" s="342" t="s">
        <v>1571</v>
      </c>
      <c r="M266" s="342" t="s">
        <v>1571</v>
      </c>
      <c r="N266" s="342" t="s">
        <v>3656</v>
      </c>
      <c r="O266" s="342" t="s">
        <v>4615</v>
      </c>
      <c r="P266" s="342">
        <v>6135928022</v>
      </c>
      <c r="R266" s="342" t="s">
        <v>3649</v>
      </c>
      <c r="S266" s="343">
        <v>45510</v>
      </c>
      <c r="T266" s="343">
        <v>45510</v>
      </c>
      <c r="U266" s="343">
        <v>44662</v>
      </c>
      <c r="V266" s="343">
        <v>44415</v>
      </c>
      <c r="X266" s="342" t="s">
        <v>3886</v>
      </c>
      <c r="Y266" s="342" t="s">
        <v>3886</v>
      </c>
    </row>
    <row r="267" spans="1:25">
      <c r="A267" s="342">
        <v>284316</v>
      </c>
      <c r="B267" s="342" t="s">
        <v>634</v>
      </c>
      <c r="C267" s="342" t="s">
        <v>636</v>
      </c>
      <c r="D267" s="342" t="s">
        <v>51</v>
      </c>
      <c r="E267" s="342" t="s">
        <v>591</v>
      </c>
      <c r="F267" s="342" t="s">
        <v>737</v>
      </c>
      <c r="G267" s="342" t="s">
        <v>5281</v>
      </c>
      <c r="H267" s="342" t="s">
        <v>1547</v>
      </c>
      <c r="I267" s="342" t="s">
        <v>1567</v>
      </c>
      <c r="L267" s="342" t="s">
        <v>1576</v>
      </c>
      <c r="M267" s="342" t="s">
        <v>1576</v>
      </c>
      <c r="N267" s="342" t="s">
        <v>3647</v>
      </c>
      <c r="O267" s="342" t="s">
        <v>3887</v>
      </c>
      <c r="P267" s="342">
        <v>6115522147</v>
      </c>
      <c r="R267" s="342" t="s">
        <v>3649</v>
      </c>
      <c r="S267" s="343">
        <v>45144</v>
      </c>
      <c r="T267" s="343">
        <v>45144</v>
      </c>
      <c r="U267" s="343">
        <v>44362</v>
      </c>
      <c r="V267" s="343">
        <v>44050</v>
      </c>
      <c r="W267" s="343">
        <v>44412</v>
      </c>
      <c r="X267" s="342" t="s">
        <v>3888</v>
      </c>
      <c r="Y267" s="342" t="s">
        <v>3888</v>
      </c>
    </row>
    <row r="268" spans="1:25">
      <c r="A268" s="342">
        <v>284407</v>
      </c>
      <c r="B268" s="342" t="s">
        <v>1380</v>
      </c>
      <c r="C268" s="342" t="s">
        <v>1383</v>
      </c>
      <c r="D268" s="342" t="s">
        <v>45</v>
      </c>
      <c r="E268" s="342" t="s">
        <v>591</v>
      </c>
      <c r="F268" s="342" t="s">
        <v>1114</v>
      </c>
      <c r="G268" s="342" t="s">
        <v>1510</v>
      </c>
      <c r="H268" s="342" t="s">
        <v>4833</v>
      </c>
      <c r="I268" s="342" t="s">
        <v>1576</v>
      </c>
      <c r="L268" s="342" t="s">
        <v>1576</v>
      </c>
      <c r="M268" s="342" t="s">
        <v>1576</v>
      </c>
      <c r="N268" s="342" t="s">
        <v>3666</v>
      </c>
      <c r="O268" s="342" t="s">
        <v>4364</v>
      </c>
      <c r="P268" s="342">
        <v>6121360063</v>
      </c>
      <c r="R268" s="342" t="s">
        <v>3649</v>
      </c>
      <c r="S268" s="343">
        <v>45685</v>
      </c>
      <c r="T268" s="343">
        <v>45685</v>
      </c>
      <c r="U268" s="343">
        <v>43745</v>
      </c>
      <c r="V268" s="343">
        <v>44590</v>
      </c>
      <c r="X268" s="342" t="s">
        <v>3889</v>
      </c>
      <c r="Y268" s="342" t="s">
        <v>3889</v>
      </c>
    </row>
    <row r="269" spans="1:25">
      <c r="A269" s="342">
        <v>284672</v>
      </c>
      <c r="B269" s="342" t="s">
        <v>1348</v>
      </c>
      <c r="C269" s="342" t="s">
        <v>1350</v>
      </c>
      <c r="D269" s="342" t="s">
        <v>51</v>
      </c>
      <c r="E269" s="342" t="s">
        <v>591</v>
      </c>
      <c r="F269" s="342" t="s">
        <v>40</v>
      </c>
      <c r="G269" s="342" t="s">
        <v>5280</v>
      </c>
      <c r="H269" s="342" t="s">
        <v>5243</v>
      </c>
      <c r="I269" s="342" t="s">
        <v>1568</v>
      </c>
      <c r="L269" s="342" t="s">
        <v>1568</v>
      </c>
      <c r="M269" s="342" t="s">
        <v>1568</v>
      </c>
      <c r="N269" s="342" t="s">
        <v>3652</v>
      </c>
      <c r="O269" s="342" t="s">
        <v>4432</v>
      </c>
      <c r="P269" s="342">
        <v>6149552248</v>
      </c>
      <c r="R269" s="342" t="s">
        <v>3649</v>
      </c>
      <c r="S269" s="343">
        <v>45728</v>
      </c>
      <c r="T269" s="343">
        <v>45728</v>
      </c>
      <c r="U269" s="343">
        <v>44571</v>
      </c>
      <c r="V269" s="343">
        <v>44633</v>
      </c>
      <c r="X269" s="342">
        <v>16508</v>
      </c>
      <c r="Y269" s="342">
        <v>16508</v>
      </c>
    </row>
    <row r="270" spans="1:25">
      <c r="A270" s="342">
        <v>284673</v>
      </c>
      <c r="B270" s="342" t="s">
        <v>1318</v>
      </c>
      <c r="C270" s="342" t="s">
        <v>565</v>
      </c>
      <c r="D270" s="342" t="s">
        <v>51</v>
      </c>
      <c r="E270" s="342" t="s">
        <v>591</v>
      </c>
      <c r="F270" s="342" t="s">
        <v>40</v>
      </c>
      <c r="G270" s="342" t="s">
        <v>5280</v>
      </c>
      <c r="H270" s="342" t="s">
        <v>4347</v>
      </c>
      <c r="I270" s="342" t="s">
        <v>1571</v>
      </c>
      <c r="L270" s="342" t="s">
        <v>1571</v>
      </c>
      <c r="M270" s="342" t="s">
        <v>1571</v>
      </c>
      <c r="N270" s="342" t="s">
        <v>3656</v>
      </c>
      <c r="O270" s="342" t="s">
        <v>3890</v>
      </c>
      <c r="P270" s="342">
        <v>6113202281</v>
      </c>
      <c r="R270" s="342" t="s">
        <v>3649</v>
      </c>
      <c r="S270" s="343">
        <v>45357</v>
      </c>
      <c r="T270" s="343">
        <v>45357</v>
      </c>
      <c r="U270" s="343">
        <v>44144</v>
      </c>
      <c r="V270" s="343">
        <v>44262</v>
      </c>
      <c r="X270" s="342" t="s">
        <v>4325</v>
      </c>
      <c r="Y270" s="342" t="s">
        <v>4325</v>
      </c>
    </row>
    <row r="271" spans="1:25" ht="154">
      <c r="A271" s="342">
        <v>284674</v>
      </c>
      <c r="B271" s="342" t="s">
        <v>482</v>
      </c>
      <c r="C271" s="342" t="s">
        <v>485</v>
      </c>
      <c r="D271" s="342" t="s">
        <v>51</v>
      </c>
      <c r="E271" s="342" t="s">
        <v>591</v>
      </c>
      <c r="F271" s="342" t="s">
        <v>40</v>
      </c>
      <c r="G271" s="342" t="s">
        <v>786</v>
      </c>
      <c r="H271" s="342" t="s">
        <v>5405</v>
      </c>
      <c r="I271" s="342" t="s">
        <v>1571</v>
      </c>
      <c r="L271" s="342" t="s">
        <v>1571</v>
      </c>
      <c r="M271" s="342" t="s">
        <v>1571</v>
      </c>
      <c r="N271" s="342" t="s">
        <v>3656</v>
      </c>
      <c r="O271" s="344" t="s">
        <v>3891</v>
      </c>
      <c r="P271" s="342">
        <v>6111680300</v>
      </c>
      <c r="R271" s="342" t="s">
        <v>3649</v>
      </c>
      <c r="S271" s="343">
        <v>45771</v>
      </c>
      <c r="T271" s="343">
        <v>45771</v>
      </c>
      <c r="U271" s="343">
        <v>42802</v>
      </c>
      <c r="V271" s="343">
        <v>44676</v>
      </c>
      <c r="X271" s="342">
        <v>13346</v>
      </c>
      <c r="Y271" s="342">
        <v>13346</v>
      </c>
    </row>
    <row r="272" spans="1:25">
      <c r="A272" s="342">
        <v>285021</v>
      </c>
      <c r="B272" s="342" t="s">
        <v>486</v>
      </c>
      <c r="C272" s="342" t="s">
        <v>488</v>
      </c>
      <c r="D272" s="342" t="s">
        <v>175</v>
      </c>
      <c r="E272" s="342" t="s">
        <v>591</v>
      </c>
      <c r="F272" s="342" t="s">
        <v>40</v>
      </c>
      <c r="G272" s="342" t="s">
        <v>5282</v>
      </c>
      <c r="H272" s="342" t="s">
        <v>5811</v>
      </c>
      <c r="I272" s="342" t="s">
        <v>1571</v>
      </c>
      <c r="L272" s="342" t="s">
        <v>1571</v>
      </c>
      <c r="M272" s="342" t="s">
        <v>1571</v>
      </c>
      <c r="N272" s="342" t="s">
        <v>3656</v>
      </c>
      <c r="O272" s="342" t="s">
        <v>3892</v>
      </c>
      <c r="P272" s="342">
        <v>6131938809</v>
      </c>
      <c r="R272" s="342" t="s">
        <v>3649</v>
      </c>
      <c r="S272" s="343">
        <v>44903</v>
      </c>
      <c r="T272" s="343">
        <v>44903</v>
      </c>
      <c r="U272" s="343">
        <v>43683</v>
      </c>
      <c r="V272" s="343">
        <v>43808</v>
      </c>
      <c r="X272" s="342" t="s">
        <v>3893</v>
      </c>
      <c r="Y272" s="342" t="s">
        <v>3893</v>
      </c>
    </row>
    <row r="273" spans="1:25" ht="409.5">
      <c r="A273" s="342">
        <v>285038</v>
      </c>
      <c r="B273" s="342" t="s">
        <v>963</v>
      </c>
      <c r="C273" s="342" t="s">
        <v>270</v>
      </c>
      <c r="D273" s="342" t="s">
        <v>47</v>
      </c>
      <c r="E273" s="342" t="s">
        <v>591</v>
      </c>
      <c r="F273" s="342" t="s">
        <v>40</v>
      </c>
      <c r="G273" s="342" t="s">
        <v>5280</v>
      </c>
      <c r="H273" s="342" t="s">
        <v>5746</v>
      </c>
      <c r="I273" s="342" t="s">
        <v>1568</v>
      </c>
      <c r="L273" s="342" t="s">
        <v>1568</v>
      </c>
      <c r="M273" s="342" t="s">
        <v>1568</v>
      </c>
      <c r="N273" s="342" t="s">
        <v>3650</v>
      </c>
      <c r="O273" s="344" t="s">
        <v>3759</v>
      </c>
      <c r="P273" s="342">
        <v>6135733107</v>
      </c>
      <c r="R273" s="342" t="s">
        <v>3649</v>
      </c>
      <c r="S273" s="343">
        <v>45544</v>
      </c>
      <c r="T273" s="343">
        <v>45544</v>
      </c>
      <c r="U273" s="343">
        <v>44256</v>
      </c>
      <c r="V273" s="343">
        <v>44449</v>
      </c>
      <c r="X273" s="342" t="s">
        <v>4666</v>
      </c>
      <c r="Y273" s="342" t="s">
        <v>4679</v>
      </c>
    </row>
    <row r="274" spans="1:25">
      <c r="A274" s="342">
        <v>285200</v>
      </c>
      <c r="B274" s="342" t="s">
        <v>4187</v>
      </c>
      <c r="C274" s="342" t="s">
        <v>4189</v>
      </c>
      <c r="D274" s="342" t="s">
        <v>51</v>
      </c>
      <c r="E274" s="342" t="s">
        <v>591</v>
      </c>
      <c r="F274" s="342" t="s">
        <v>40</v>
      </c>
      <c r="G274" s="342" t="s">
        <v>1336</v>
      </c>
      <c r="H274" s="342" t="s">
        <v>4408</v>
      </c>
      <c r="I274" s="342" t="s">
        <v>1568</v>
      </c>
      <c r="L274" s="342" t="s">
        <v>1568</v>
      </c>
      <c r="M274" s="342" t="s">
        <v>1568</v>
      </c>
      <c r="N274" s="342" t="s">
        <v>3652</v>
      </c>
      <c r="O274" s="342" t="s">
        <v>4416</v>
      </c>
      <c r="P274" s="342">
        <v>6109914509</v>
      </c>
      <c r="R274" s="342" t="s">
        <v>3649</v>
      </c>
      <c r="S274" s="343">
        <v>45133</v>
      </c>
      <c r="T274" s="343">
        <v>45133</v>
      </c>
      <c r="U274" s="343">
        <v>43599</v>
      </c>
      <c r="V274" s="343">
        <v>44039</v>
      </c>
      <c r="W274" s="343">
        <v>44623</v>
      </c>
      <c r="X274" s="342" t="s">
        <v>5246</v>
      </c>
      <c r="Y274" s="342" t="s">
        <v>4433</v>
      </c>
    </row>
    <row r="275" spans="1:25">
      <c r="A275" s="342">
        <v>285440</v>
      </c>
      <c r="B275" s="342" t="s">
        <v>490</v>
      </c>
      <c r="C275" s="342" t="s">
        <v>492</v>
      </c>
      <c r="D275" s="342" t="s">
        <v>175</v>
      </c>
      <c r="E275" s="342" t="s">
        <v>591</v>
      </c>
      <c r="F275" s="342" t="s">
        <v>40</v>
      </c>
      <c r="G275" s="342" t="s">
        <v>1510</v>
      </c>
      <c r="H275" s="342" t="s">
        <v>1548</v>
      </c>
      <c r="I275" s="342" t="s">
        <v>1571</v>
      </c>
      <c r="L275" s="342" t="s">
        <v>1571</v>
      </c>
      <c r="M275" s="342" t="s">
        <v>1571</v>
      </c>
      <c r="N275" s="342" t="s">
        <v>3656</v>
      </c>
      <c r="O275" s="342" t="s">
        <v>3894</v>
      </c>
      <c r="P275" s="342">
        <v>6125567189</v>
      </c>
      <c r="R275" s="342" t="s">
        <v>3649</v>
      </c>
      <c r="S275" s="343">
        <v>45188</v>
      </c>
      <c r="T275" s="343">
        <v>45188</v>
      </c>
      <c r="U275" s="343">
        <v>44368</v>
      </c>
      <c r="V275" s="343">
        <v>44094</v>
      </c>
      <c r="X275" s="342" t="s">
        <v>3895</v>
      </c>
      <c r="Y275" s="342" t="s">
        <v>3895</v>
      </c>
    </row>
    <row r="276" spans="1:25">
      <c r="A276" s="342">
        <v>286796</v>
      </c>
      <c r="B276" s="342" t="s">
        <v>494</v>
      </c>
      <c r="C276" s="342" t="s">
        <v>330</v>
      </c>
      <c r="D276" s="342" t="s">
        <v>47</v>
      </c>
      <c r="E276" s="342" t="s">
        <v>591</v>
      </c>
      <c r="F276" s="342" t="s">
        <v>40</v>
      </c>
      <c r="G276" s="342" t="s">
        <v>5279</v>
      </c>
      <c r="H276" s="342" t="s">
        <v>1549</v>
      </c>
      <c r="I276" s="342" t="s">
        <v>1568</v>
      </c>
      <c r="L276" s="342" t="s">
        <v>1568</v>
      </c>
      <c r="M276" s="342" t="s">
        <v>1568</v>
      </c>
      <c r="N276" s="342" t="s">
        <v>3650</v>
      </c>
      <c r="O276" s="342" t="s">
        <v>3896</v>
      </c>
      <c r="P276" s="342">
        <v>6137616109</v>
      </c>
      <c r="R276" s="342" t="s">
        <v>3649</v>
      </c>
      <c r="S276" s="343">
        <v>44942</v>
      </c>
      <c r="T276" s="343">
        <v>44942</v>
      </c>
      <c r="U276" s="343">
        <v>44522</v>
      </c>
      <c r="V276" s="343">
        <v>43847</v>
      </c>
      <c r="X276" s="342">
        <v>56202.5</v>
      </c>
      <c r="Y276" s="342" t="s">
        <v>3897</v>
      </c>
    </row>
    <row r="277" spans="1:25">
      <c r="A277" s="342">
        <v>287067</v>
      </c>
      <c r="B277" s="342" t="s">
        <v>965</v>
      </c>
      <c r="C277" s="342" t="s">
        <v>967</v>
      </c>
      <c r="D277" s="342" t="s">
        <v>47</v>
      </c>
      <c r="E277" s="342" t="s">
        <v>591</v>
      </c>
      <c r="F277" s="342" t="s">
        <v>41</v>
      </c>
      <c r="G277" s="342" t="s">
        <v>786</v>
      </c>
      <c r="H277" s="342" t="s">
        <v>5054</v>
      </c>
      <c r="I277" s="342" t="s">
        <v>1584</v>
      </c>
      <c r="L277" s="342" t="s">
        <v>1571</v>
      </c>
      <c r="M277" s="342" t="s">
        <v>1571</v>
      </c>
      <c r="N277" s="342" t="s">
        <v>3653</v>
      </c>
      <c r="O277" s="342" t="s">
        <v>4771</v>
      </c>
      <c r="P277" s="342">
        <v>6141908780</v>
      </c>
      <c r="R277" s="342" t="s">
        <v>3649</v>
      </c>
      <c r="S277" s="343">
        <v>45569</v>
      </c>
      <c r="T277" s="343">
        <v>45569</v>
      </c>
      <c r="U277" s="343">
        <v>44376</v>
      </c>
      <c r="V277" s="343">
        <v>44474</v>
      </c>
      <c r="W277" s="343">
        <v>44520</v>
      </c>
      <c r="X277" s="342" t="s">
        <v>4880</v>
      </c>
      <c r="Y277" s="342" t="s">
        <v>4903</v>
      </c>
    </row>
    <row r="278" spans="1:25" ht="409.5">
      <c r="A278" s="342">
        <v>287463</v>
      </c>
      <c r="B278" s="342" t="s">
        <v>1166</v>
      </c>
      <c r="C278" s="342" t="s">
        <v>499</v>
      </c>
      <c r="D278" s="342" t="s">
        <v>55</v>
      </c>
      <c r="E278" s="342" t="s">
        <v>591</v>
      </c>
      <c r="F278" s="342" t="s">
        <v>40</v>
      </c>
      <c r="G278" s="342" t="s">
        <v>4608</v>
      </c>
      <c r="H278" s="342" t="s">
        <v>5812</v>
      </c>
      <c r="I278" s="342" t="s">
        <v>1569</v>
      </c>
      <c r="L278" s="342" t="s">
        <v>1568</v>
      </c>
      <c r="M278" s="342" t="s">
        <v>1568</v>
      </c>
      <c r="N278" s="342" t="s">
        <v>3650</v>
      </c>
      <c r="O278" s="344" t="s">
        <v>4208</v>
      </c>
      <c r="P278" s="342">
        <v>6125558402</v>
      </c>
      <c r="R278" s="342" t="s">
        <v>3649</v>
      </c>
      <c r="S278" s="343">
        <v>44879</v>
      </c>
      <c r="T278" s="343">
        <v>44879</v>
      </c>
      <c r="U278" s="343">
        <v>44424</v>
      </c>
      <c r="V278" s="343">
        <v>43784</v>
      </c>
      <c r="W278" s="343">
        <v>44168</v>
      </c>
      <c r="X278" s="342" t="s">
        <v>4209</v>
      </c>
      <c r="Y278" s="342" t="s">
        <v>3671</v>
      </c>
    </row>
    <row r="279" spans="1:25">
      <c r="A279" s="342">
        <v>287466</v>
      </c>
      <c r="B279" s="342" t="s">
        <v>500</v>
      </c>
      <c r="C279" s="342" t="s">
        <v>336</v>
      </c>
      <c r="D279" s="342" t="s">
        <v>337</v>
      </c>
      <c r="E279" s="342" t="s">
        <v>591</v>
      </c>
      <c r="F279" s="342" t="s">
        <v>40</v>
      </c>
      <c r="G279" s="342" t="s">
        <v>5282</v>
      </c>
      <c r="H279" s="342" t="s">
        <v>5813</v>
      </c>
      <c r="I279" s="342" t="s">
        <v>1568</v>
      </c>
      <c r="L279" s="342" t="s">
        <v>1568</v>
      </c>
      <c r="M279" s="342" t="s">
        <v>1568</v>
      </c>
      <c r="N279" s="342" t="s">
        <v>3652</v>
      </c>
      <c r="O279" s="342" t="s">
        <v>3898</v>
      </c>
      <c r="P279" s="342">
        <v>6115180068</v>
      </c>
      <c r="R279" s="342" t="s">
        <v>3649</v>
      </c>
      <c r="S279" s="343">
        <v>45068</v>
      </c>
      <c r="T279" s="343">
        <v>45068</v>
      </c>
      <c r="U279" s="343">
        <v>44629</v>
      </c>
      <c r="V279" s="343">
        <v>43974</v>
      </c>
      <c r="X279" s="342" t="s">
        <v>3899</v>
      </c>
      <c r="Y279" s="342" t="s">
        <v>3899</v>
      </c>
    </row>
    <row r="280" spans="1:25">
      <c r="A280" s="342">
        <v>287479</v>
      </c>
      <c r="B280" s="342" t="s">
        <v>502</v>
      </c>
      <c r="C280" s="342" t="s">
        <v>1190</v>
      </c>
      <c r="D280" s="342" t="s">
        <v>47</v>
      </c>
      <c r="E280" s="342" t="s">
        <v>591</v>
      </c>
      <c r="F280" s="342" t="s">
        <v>737</v>
      </c>
      <c r="G280" s="342" t="s">
        <v>1421</v>
      </c>
      <c r="H280" s="342" t="s">
        <v>1550</v>
      </c>
      <c r="I280" s="342" t="s">
        <v>1567</v>
      </c>
      <c r="L280" s="342" t="s">
        <v>1576</v>
      </c>
      <c r="M280" s="342" t="s">
        <v>1576</v>
      </c>
      <c r="N280" s="342" t="s">
        <v>3666</v>
      </c>
      <c r="O280" s="342" t="s">
        <v>3900</v>
      </c>
      <c r="P280" s="342">
        <v>6132975104</v>
      </c>
      <c r="R280" s="342" t="s">
        <v>3649</v>
      </c>
      <c r="S280" s="343">
        <v>44914</v>
      </c>
      <c r="T280" s="343">
        <v>44914</v>
      </c>
      <c r="U280" s="343">
        <v>44522</v>
      </c>
      <c r="V280" s="343">
        <v>43819</v>
      </c>
      <c r="W280" s="343">
        <v>44657</v>
      </c>
      <c r="X280" s="342" t="s">
        <v>5351</v>
      </c>
      <c r="Y280" s="342" t="s">
        <v>3901</v>
      </c>
    </row>
    <row r="281" spans="1:25" ht="409.5">
      <c r="A281" s="342">
        <v>287490</v>
      </c>
      <c r="B281" s="342" t="s">
        <v>504</v>
      </c>
      <c r="C281" s="342" t="s">
        <v>46</v>
      </c>
      <c r="D281" s="342" t="s">
        <v>47</v>
      </c>
      <c r="E281" s="342" t="s">
        <v>591</v>
      </c>
      <c r="F281" s="342" t="s">
        <v>40</v>
      </c>
      <c r="G281" s="342" t="s">
        <v>1336</v>
      </c>
      <c r="H281" s="342" t="s">
        <v>5087</v>
      </c>
      <c r="I281" s="342" t="s">
        <v>1571</v>
      </c>
      <c r="L281" s="342" t="s">
        <v>1571</v>
      </c>
      <c r="M281" s="342" t="s">
        <v>1571</v>
      </c>
      <c r="N281" s="342" t="s">
        <v>3653</v>
      </c>
      <c r="O281" s="344" t="s">
        <v>4434</v>
      </c>
      <c r="P281" s="342">
        <v>6148425868</v>
      </c>
      <c r="R281" s="342" t="s">
        <v>3649</v>
      </c>
      <c r="S281" s="343">
        <v>45369</v>
      </c>
      <c r="T281" s="343">
        <v>45369</v>
      </c>
      <c r="U281" s="343">
        <v>44662</v>
      </c>
      <c r="V281" s="343">
        <v>44274</v>
      </c>
      <c r="X281" s="342">
        <v>66515.5</v>
      </c>
      <c r="Y281" s="342">
        <v>66515.5</v>
      </c>
    </row>
    <row r="282" spans="1:25">
      <c r="A282" s="342">
        <v>287523</v>
      </c>
      <c r="B282" s="342" t="s">
        <v>506</v>
      </c>
      <c r="C282" s="342" t="s">
        <v>336</v>
      </c>
      <c r="D282" s="342" t="s">
        <v>337</v>
      </c>
      <c r="E282" s="342" t="s">
        <v>591</v>
      </c>
      <c r="F282" s="342" t="s">
        <v>40</v>
      </c>
      <c r="G282" s="342" t="s">
        <v>4608</v>
      </c>
      <c r="H282" s="342" t="s">
        <v>5088</v>
      </c>
      <c r="I282" s="342" t="s">
        <v>1571</v>
      </c>
      <c r="L282" s="342" t="s">
        <v>1571</v>
      </c>
      <c r="M282" s="342" t="s">
        <v>1571</v>
      </c>
      <c r="N282" s="342" t="s">
        <v>3656</v>
      </c>
      <c r="O282" s="342" t="s">
        <v>3902</v>
      </c>
      <c r="P282" s="342">
        <v>6127016748</v>
      </c>
      <c r="R282" s="342" t="s">
        <v>3649</v>
      </c>
      <c r="S282" s="343">
        <v>44813</v>
      </c>
      <c r="T282" s="343">
        <v>44813</v>
      </c>
      <c r="U282" s="343">
        <v>43944</v>
      </c>
      <c r="V282" s="343">
        <v>43718</v>
      </c>
      <c r="X282" s="342" t="s">
        <v>3903</v>
      </c>
      <c r="Y282" s="342" t="s">
        <v>3903</v>
      </c>
    </row>
    <row r="283" spans="1:25">
      <c r="A283" s="342">
        <v>287718</v>
      </c>
      <c r="B283" s="342" t="s">
        <v>407</v>
      </c>
      <c r="C283" s="342" t="s">
        <v>973</v>
      </c>
      <c r="D283" s="342" t="s">
        <v>66</v>
      </c>
      <c r="E283" s="342" t="s">
        <v>591</v>
      </c>
      <c r="F283" s="342" t="s">
        <v>737</v>
      </c>
      <c r="G283" s="342" t="s">
        <v>5281</v>
      </c>
      <c r="H283" s="342" t="s">
        <v>5814</v>
      </c>
    </row>
    <row r="284" spans="1:25" ht="409.5">
      <c r="A284" s="342">
        <v>287722</v>
      </c>
      <c r="B284" s="342" t="s">
        <v>743</v>
      </c>
      <c r="C284" s="342" t="s">
        <v>1419</v>
      </c>
      <c r="D284" s="342" t="s">
        <v>1088</v>
      </c>
      <c r="E284" s="342" t="s">
        <v>591</v>
      </c>
      <c r="F284" s="342" t="s">
        <v>737</v>
      </c>
      <c r="G284" s="342" t="s">
        <v>5280</v>
      </c>
      <c r="H284" s="342" t="s">
        <v>4675</v>
      </c>
      <c r="I284" s="342" t="s">
        <v>1568</v>
      </c>
      <c r="L284" s="342" t="s">
        <v>1568</v>
      </c>
      <c r="M284" s="342" t="s">
        <v>1568</v>
      </c>
      <c r="N284" s="342" t="s">
        <v>3650</v>
      </c>
      <c r="O284" s="344" t="s">
        <v>3759</v>
      </c>
      <c r="P284" s="342">
        <v>6135336449</v>
      </c>
      <c r="R284" s="342" t="s">
        <v>3649</v>
      </c>
      <c r="S284" s="343">
        <v>45544</v>
      </c>
      <c r="T284" s="343">
        <v>45544</v>
      </c>
      <c r="U284" s="343">
        <v>43475</v>
      </c>
      <c r="V284" s="343">
        <v>44449</v>
      </c>
      <c r="X284" s="342" t="s">
        <v>4666</v>
      </c>
      <c r="Y284" s="342" t="s">
        <v>4679</v>
      </c>
    </row>
    <row r="285" spans="1:25">
      <c r="A285" s="342">
        <v>287746</v>
      </c>
      <c r="B285" s="342" t="s">
        <v>1101</v>
      </c>
      <c r="C285" s="342" t="s">
        <v>1103</v>
      </c>
      <c r="D285" s="342" t="s">
        <v>55</v>
      </c>
      <c r="E285" s="342" t="s">
        <v>591</v>
      </c>
      <c r="F285" s="342" t="s">
        <v>40</v>
      </c>
      <c r="G285" s="342" t="s">
        <v>1336</v>
      </c>
      <c r="H285" s="342" t="s">
        <v>1551</v>
      </c>
      <c r="I285" s="342" t="s">
        <v>1569</v>
      </c>
      <c r="L285" s="342" t="s">
        <v>1568</v>
      </c>
      <c r="M285" s="342" t="s">
        <v>1568</v>
      </c>
      <c r="N285" s="342" t="s">
        <v>3650</v>
      </c>
      <c r="O285" s="342" t="s">
        <v>3904</v>
      </c>
      <c r="P285" s="342">
        <v>6126148905</v>
      </c>
      <c r="R285" s="342" t="s">
        <v>3649</v>
      </c>
      <c r="S285" s="343">
        <v>45130</v>
      </c>
      <c r="T285" s="343">
        <v>45130</v>
      </c>
      <c r="U285" s="343">
        <v>43892</v>
      </c>
      <c r="V285" s="343">
        <v>44036</v>
      </c>
      <c r="W285" s="343">
        <v>44606</v>
      </c>
      <c r="X285" s="342" t="s">
        <v>5207</v>
      </c>
      <c r="Y285" s="342" t="s">
        <v>3905</v>
      </c>
    </row>
    <row r="286" spans="1:25">
      <c r="A286" s="342">
        <v>287747</v>
      </c>
      <c r="B286" s="342" t="s">
        <v>509</v>
      </c>
      <c r="C286" s="342" t="s">
        <v>511</v>
      </c>
      <c r="D286" s="342" t="s">
        <v>55</v>
      </c>
      <c r="E286" s="342" t="s">
        <v>591</v>
      </c>
      <c r="F286" s="342" t="s">
        <v>737</v>
      </c>
      <c r="G286" s="342" t="s">
        <v>1336</v>
      </c>
      <c r="H286" s="342" t="s">
        <v>1551</v>
      </c>
      <c r="I286" s="342" t="s">
        <v>1569</v>
      </c>
      <c r="L286" s="342" t="s">
        <v>1568</v>
      </c>
      <c r="M286" s="342" t="s">
        <v>1568</v>
      </c>
      <c r="N286" s="342" t="s">
        <v>3650</v>
      </c>
      <c r="O286" s="342" t="s">
        <v>3904</v>
      </c>
      <c r="P286" s="342">
        <v>6126143324</v>
      </c>
      <c r="R286" s="342" t="s">
        <v>3649</v>
      </c>
      <c r="S286" s="343">
        <v>45130</v>
      </c>
      <c r="T286" s="343">
        <v>45130</v>
      </c>
      <c r="U286" s="343">
        <v>43892</v>
      </c>
      <c r="V286" s="343">
        <v>44036</v>
      </c>
      <c r="W286" s="343">
        <v>44606</v>
      </c>
      <c r="X286" s="342" t="s">
        <v>5207</v>
      </c>
      <c r="Y286" s="342" t="s">
        <v>3905</v>
      </c>
    </row>
    <row r="287" spans="1:25">
      <c r="A287" s="342">
        <v>287941</v>
      </c>
      <c r="B287" s="342" t="s">
        <v>5363</v>
      </c>
      <c r="C287" s="342" t="s">
        <v>4937</v>
      </c>
      <c r="D287" s="342" t="s">
        <v>55</v>
      </c>
      <c r="E287" s="342" t="s">
        <v>591</v>
      </c>
      <c r="F287" s="342" t="s">
        <v>40</v>
      </c>
      <c r="G287" s="342" t="s">
        <v>1277</v>
      </c>
      <c r="H287" s="342" t="s">
        <v>5055</v>
      </c>
      <c r="I287" s="342" t="s">
        <v>1581</v>
      </c>
      <c r="J287" s="342" t="s">
        <v>1571</v>
      </c>
      <c r="K287" s="343">
        <v>44865</v>
      </c>
      <c r="L287" s="342" t="s">
        <v>1581</v>
      </c>
      <c r="M287" s="342" t="s">
        <v>1581</v>
      </c>
      <c r="S287" s="343">
        <v>45289</v>
      </c>
      <c r="Y287" s="342" t="s">
        <v>5061</v>
      </c>
    </row>
    <row r="288" spans="1:25">
      <c r="A288" s="342">
        <v>287980</v>
      </c>
      <c r="B288" s="342" t="s">
        <v>767</v>
      </c>
      <c r="C288" s="342" t="s">
        <v>769</v>
      </c>
      <c r="D288" s="342" t="s">
        <v>526</v>
      </c>
      <c r="E288" s="342" t="s">
        <v>591</v>
      </c>
      <c r="F288" s="342" t="s">
        <v>40</v>
      </c>
      <c r="G288" s="342" t="s">
        <v>1510</v>
      </c>
      <c r="H288" s="342" t="s">
        <v>5082</v>
      </c>
      <c r="I288" s="342" t="s">
        <v>1571</v>
      </c>
      <c r="L288" s="342" t="s">
        <v>1571</v>
      </c>
      <c r="M288" s="342" t="s">
        <v>1571</v>
      </c>
      <c r="N288" s="342" t="s">
        <v>3656</v>
      </c>
      <c r="O288" s="342" t="s">
        <v>3853</v>
      </c>
      <c r="P288" s="342">
        <v>6146081589</v>
      </c>
      <c r="R288" s="342" t="s">
        <v>3649</v>
      </c>
      <c r="S288" s="343">
        <v>45019</v>
      </c>
      <c r="T288" s="343">
        <v>45019</v>
      </c>
      <c r="U288" s="343">
        <v>44230</v>
      </c>
      <c r="V288" s="343">
        <v>43925</v>
      </c>
      <c r="W288" s="343">
        <v>43928</v>
      </c>
      <c r="X288" s="342" t="s">
        <v>3854</v>
      </c>
      <c r="Y288" s="342" t="s">
        <v>3854</v>
      </c>
    </row>
    <row r="289" spans="1:25">
      <c r="A289" s="342">
        <v>288222</v>
      </c>
      <c r="B289" s="342" t="s">
        <v>512</v>
      </c>
      <c r="C289" s="342" t="s">
        <v>336</v>
      </c>
      <c r="D289" s="342" t="s">
        <v>337</v>
      </c>
      <c r="E289" s="342" t="s">
        <v>591</v>
      </c>
      <c r="F289" s="342" t="s">
        <v>40</v>
      </c>
      <c r="G289" s="342" t="s">
        <v>5282</v>
      </c>
      <c r="H289" s="342" t="s">
        <v>5815</v>
      </c>
      <c r="I289" s="342" t="s">
        <v>1571</v>
      </c>
      <c r="L289" s="342" t="s">
        <v>1571</v>
      </c>
      <c r="M289" s="342" t="s">
        <v>1571</v>
      </c>
      <c r="N289" s="342" t="s">
        <v>3656</v>
      </c>
      <c r="O289" s="342" t="s">
        <v>3906</v>
      </c>
      <c r="P289" s="342">
        <v>6131886223</v>
      </c>
      <c r="R289" s="342" t="s">
        <v>3649</v>
      </c>
      <c r="S289" s="343">
        <v>44912</v>
      </c>
      <c r="T289" s="343">
        <v>44912</v>
      </c>
      <c r="U289" s="343">
        <v>44109</v>
      </c>
      <c r="V289" s="343">
        <v>43817</v>
      </c>
      <c r="X289" s="342" t="s">
        <v>3907</v>
      </c>
      <c r="Y289" s="342" t="s">
        <v>3907</v>
      </c>
    </row>
    <row r="290" spans="1:25" ht="392">
      <c r="A290" s="342">
        <v>288401</v>
      </c>
      <c r="B290" s="342" t="s">
        <v>514</v>
      </c>
      <c r="C290" s="342" t="s">
        <v>516</v>
      </c>
      <c r="D290" s="342" t="s">
        <v>51</v>
      </c>
      <c r="E290" s="342" t="s">
        <v>591</v>
      </c>
      <c r="F290" s="342" t="s">
        <v>40</v>
      </c>
      <c r="G290" s="342" t="s">
        <v>1336</v>
      </c>
      <c r="H290" s="342" t="s">
        <v>5923</v>
      </c>
      <c r="I290" s="342" t="s">
        <v>1568</v>
      </c>
      <c r="J290" s="342" t="s">
        <v>1575</v>
      </c>
      <c r="K290" s="343">
        <v>2958352</v>
      </c>
      <c r="L290" s="342" t="s">
        <v>1568</v>
      </c>
      <c r="M290" s="342" t="s">
        <v>1568</v>
      </c>
      <c r="N290" s="342" t="s">
        <v>3652</v>
      </c>
      <c r="O290" s="344" t="s">
        <v>3908</v>
      </c>
      <c r="P290" s="342">
        <v>6122272804</v>
      </c>
      <c r="R290" s="342" t="s">
        <v>3649</v>
      </c>
      <c r="S290" s="343">
        <v>45840</v>
      </c>
      <c r="T290" s="343">
        <v>45840</v>
      </c>
      <c r="U290" s="343">
        <v>44655</v>
      </c>
      <c r="V290" s="343">
        <v>44745</v>
      </c>
      <c r="X290" s="342" t="s">
        <v>3909</v>
      </c>
      <c r="Y290" s="342">
        <v>5690018560139</v>
      </c>
    </row>
    <row r="291" spans="1:25">
      <c r="A291" s="342">
        <v>288403</v>
      </c>
      <c r="B291" s="342" t="s">
        <v>4386</v>
      </c>
      <c r="C291" s="342" t="s">
        <v>336</v>
      </c>
      <c r="D291" s="342" t="s">
        <v>337</v>
      </c>
      <c r="E291" s="342" t="s">
        <v>591</v>
      </c>
      <c r="F291" s="342" t="s">
        <v>40</v>
      </c>
      <c r="G291" s="342" t="s">
        <v>5279</v>
      </c>
      <c r="H291" s="342" t="s">
        <v>4558</v>
      </c>
      <c r="I291" s="342" t="s">
        <v>1571</v>
      </c>
      <c r="L291" s="342" t="s">
        <v>1571</v>
      </c>
      <c r="M291" s="342" t="s">
        <v>1571</v>
      </c>
      <c r="N291" s="342" t="s">
        <v>3656</v>
      </c>
      <c r="O291" s="342" t="s">
        <v>3910</v>
      </c>
      <c r="P291" s="342">
        <v>6135108169</v>
      </c>
      <c r="R291" s="342" t="s">
        <v>3649</v>
      </c>
      <c r="S291" s="343">
        <v>45456</v>
      </c>
      <c r="T291" s="343">
        <v>45456</v>
      </c>
      <c r="U291" s="343">
        <v>44599</v>
      </c>
      <c r="V291" s="343">
        <v>44361</v>
      </c>
      <c r="X291" s="342" t="s">
        <v>3911</v>
      </c>
      <c r="Y291" s="342" t="s">
        <v>3911</v>
      </c>
    </row>
    <row r="292" spans="1:25" ht="409.5">
      <c r="A292" s="342">
        <v>288404</v>
      </c>
      <c r="B292" s="342" t="s">
        <v>1497</v>
      </c>
      <c r="C292" s="342" t="s">
        <v>493</v>
      </c>
      <c r="D292" s="342" t="s">
        <v>51</v>
      </c>
      <c r="E292" s="342" t="s">
        <v>591</v>
      </c>
      <c r="F292" s="342" t="s">
        <v>40</v>
      </c>
      <c r="G292" s="342" t="s">
        <v>5449</v>
      </c>
      <c r="H292" s="342" t="s">
        <v>1546</v>
      </c>
      <c r="I292" s="342" t="s">
        <v>1571</v>
      </c>
      <c r="L292" s="342" t="s">
        <v>1571</v>
      </c>
      <c r="M292" s="342" t="s">
        <v>1571</v>
      </c>
      <c r="N292" s="342" t="s">
        <v>3653</v>
      </c>
      <c r="O292" s="344" t="s">
        <v>5955</v>
      </c>
      <c r="P292" s="342">
        <v>6132049988</v>
      </c>
      <c r="R292" s="342" t="s">
        <v>3649</v>
      </c>
      <c r="S292" s="343">
        <v>44945</v>
      </c>
      <c r="T292" s="343">
        <v>45535</v>
      </c>
      <c r="U292" s="343">
        <v>44628</v>
      </c>
      <c r="V292" s="343">
        <v>44440</v>
      </c>
      <c r="W292" s="343">
        <v>44743</v>
      </c>
      <c r="X292" s="342" t="s">
        <v>5959</v>
      </c>
      <c r="Y292" s="342" t="s">
        <v>3871</v>
      </c>
    </row>
    <row r="293" spans="1:25">
      <c r="A293" s="342">
        <v>288412</v>
      </c>
      <c r="B293" s="342" t="s">
        <v>519</v>
      </c>
      <c r="C293" s="342" t="s">
        <v>236</v>
      </c>
      <c r="D293" s="342" t="s">
        <v>51</v>
      </c>
      <c r="E293" s="342" t="s">
        <v>591</v>
      </c>
      <c r="F293" s="342" t="s">
        <v>40</v>
      </c>
      <c r="G293" s="342" t="s">
        <v>5282</v>
      </c>
      <c r="H293" s="342" t="s">
        <v>5816</v>
      </c>
      <c r="I293" s="342" t="s">
        <v>1571</v>
      </c>
      <c r="L293" s="342" t="s">
        <v>1571</v>
      </c>
      <c r="M293" s="342" t="s">
        <v>1571</v>
      </c>
      <c r="N293" s="342" t="s">
        <v>3656</v>
      </c>
      <c r="O293" s="342" t="s">
        <v>3912</v>
      </c>
      <c r="P293" s="342">
        <v>6124909706</v>
      </c>
      <c r="R293" s="342" t="s">
        <v>3649</v>
      </c>
      <c r="S293" s="343">
        <v>45160</v>
      </c>
      <c r="T293" s="343">
        <v>45160</v>
      </c>
      <c r="U293" s="343">
        <v>43867</v>
      </c>
      <c r="V293" s="343">
        <v>44066</v>
      </c>
      <c r="X293" s="342" t="s">
        <v>3913</v>
      </c>
      <c r="Y293" s="342" t="s">
        <v>3913</v>
      </c>
    </row>
    <row r="294" spans="1:25">
      <c r="A294" s="342">
        <v>288414</v>
      </c>
      <c r="B294" s="342" t="s">
        <v>522</v>
      </c>
      <c r="C294" s="342" t="s">
        <v>782</v>
      </c>
      <c r="D294" s="342" t="s">
        <v>51</v>
      </c>
      <c r="E294" s="342" t="s">
        <v>591</v>
      </c>
      <c r="F294" s="342" t="s">
        <v>40</v>
      </c>
      <c r="G294" s="342" t="s">
        <v>5282</v>
      </c>
      <c r="H294" s="342" t="s">
        <v>5817</v>
      </c>
      <c r="I294" s="342" t="s">
        <v>1568</v>
      </c>
      <c r="L294" s="342" t="s">
        <v>1568</v>
      </c>
      <c r="M294" s="342" t="s">
        <v>1568</v>
      </c>
      <c r="N294" s="342" t="s">
        <v>3652</v>
      </c>
      <c r="O294" s="342" t="s">
        <v>5501</v>
      </c>
      <c r="P294" s="342">
        <v>6124122127</v>
      </c>
      <c r="R294" s="342" t="s">
        <v>3649</v>
      </c>
      <c r="S294" s="343">
        <v>45014</v>
      </c>
      <c r="T294" s="343">
        <v>45014</v>
      </c>
      <c r="U294" s="343">
        <v>43837</v>
      </c>
      <c r="V294" s="343">
        <v>43920</v>
      </c>
      <c r="W294" s="343">
        <v>44692</v>
      </c>
      <c r="X294" s="342" t="s">
        <v>3914</v>
      </c>
      <c r="Y294" s="342" t="s">
        <v>3914</v>
      </c>
    </row>
    <row r="295" spans="1:25" ht="409.5">
      <c r="A295" s="342">
        <v>288415</v>
      </c>
      <c r="B295" s="342" t="s">
        <v>4387</v>
      </c>
      <c r="C295" s="342" t="s">
        <v>336</v>
      </c>
      <c r="D295" s="342" t="s">
        <v>337</v>
      </c>
      <c r="E295" s="342" t="s">
        <v>591</v>
      </c>
      <c r="F295" s="342" t="s">
        <v>40</v>
      </c>
      <c r="G295" s="342" t="s">
        <v>5449</v>
      </c>
      <c r="H295" s="342" t="s">
        <v>5953</v>
      </c>
      <c r="I295" s="342" t="s">
        <v>1571</v>
      </c>
      <c r="L295" s="342" t="s">
        <v>1571</v>
      </c>
      <c r="M295" s="342" t="s">
        <v>1571</v>
      </c>
      <c r="N295" s="342" t="s">
        <v>3653</v>
      </c>
      <c r="O295" s="344" t="s">
        <v>5955</v>
      </c>
      <c r="P295" s="342">
        <v>6130657505</v>
      </c>
      <c r="R295" s="342" t="s">
        <v>3649</v>
      </c>
      <c r="S295" s="343">
        <v>45535</v>
      </c>
      <c r="T295" s="343">
        <v>45535</v>
      </c>
      <c r="U295" s="343">
        <v>44628</v>
      </c>
      <c r="V295" s="343">
        <v>44440</v>
      </c>
      <c r="W295" s="343">
        <v>44743</v>
      </c>
      <c r="X295" s="342" t="s">
        <v>5959</v>
      </c>
      <c r="Y295" s="342" t="s">
        <v>5963</v>
      </c>
    </row>
    <row r="296" spans="1:25">
      <c r="A296" s="342">
        <v>288416</v>
      </c>
      <c r="B296" s="342" t="s">
        <v>522</v>
      </c>
      <c r="C296" s="342" t="s">
        <v>331</v>
      </c>
      <c r="D296" s="342" t="s">
        <v>51</v>
      </c>
      <c r="E296" s="342" t="s">
        <v>591</v>
      </c>
      <c r="F296" s="342" t="s">
        <v>40</v>
      </c>
      <c r="G296" s="342" t="s">
        <v>5282</v>
      </c>
      <c r="H296" s="342" t="s">
        <v>5817</v>
      </c>
      <c r="I296" s="342" t="s">
        <v>1568</v>
      </c>
      <c r="L296" s="342" t="s">
        <v>1568</v>
      </c>
      <c r="M296" s="342" t="s">
        <v>1568</v>
      </c>
      <c r="N296" s="342" t="s">
        <v>3652</v>
      </c>
      <c r="O296" s="342" t="s">
        <v>5501</v>
      </c>
      <c r="P296" s="342">
        <v>6124122004</v>
      </c>
      <c r="R296" s="342" t="s">
        <v>3649</v>
      </c>
      <c r="S296" s="343">
        <v>45014</v>
      </c>
      <c r="T296" s="343">
        <v>45014</v>
      </c>
      <c r="U296" s="343">
        <v>43837</v>
      </c>
      <c r="V296" s="343">
        <v>43920</v>
      </c>
      <c r="W296" s="343">
        <v>44692</v>
      </c>
      <c r="X296" s="342" t="s">
        <v>3914</v>
      </c>
      <c r="Y296" s="342" t="s">
        <v>3914</v>
      </c>
    </row>
    <row r="297" spans="1:25">
      <c r="A297" s="342">
        <v>288429</v>
      </c>
      <c r="B297" s="342" t="s">
        <v>525</v>
      </c>
      <c r="C297" s="342" t="s">
        <v>566</v>
      </c>
      <c r="D297" s="342" t="s">
        <v>526</v>
      </c>
      <c r="E297" s="342" t="s">
        <v>591</v>
      </c>
      <c r="F297" s="342" t="s">
        <v>40</v>
      </c>
      <c r="G297" s="342" t="s">
        <v>5282</v>
      </c>
      <c r="H297" s="342" t="s">
        <v>5089</v>
      </c>
      <c r="I297" s="342" t="s">
        <v>1571</v>
      </c>
      <c r="L297" s="342" t="s">
        <v>1571</v>
      </c>
      <c r="M297" s="342" t="s">
        <v>1571</v>
      </c>
      <c r="N297" s="342" t="s">
        <v>3656</v>
      </c>
      <c r="O297" s="342" t="s">
        <v>3915</v>
      </c>
      <c r="P297" s="342">
        <v>6149129367</v>
      </c>
      <c r="R297" s="342" t="s">
        <v>3649</v>
      </c>
      <c r="S297" s="343">
        <v>45609</v>
      </c>
      <c r="T297" s="343">
        <v>45609</v>
      </c>
      <c r="U297" s="343">
        <v>43754</v>
      </c>
      <c r="V297" s="343">
        <v>44514</v>
      </c>
      <c r="X297" s="342" t="s">
        <v>3916</v>
      </c>
      <c r="Y297" s="342" t="s">
        <v>3916</v>
      </c>
    </row>
    <row r="298" spans="1:25">
      <c r="A298" s="342">
        <v>288457</v>
      </c>
      <c r="B298" s="342" t="s">
        <v>527</v>
      </c>
      <c r="C298" s="342" t="s">
        <v>660</v>
      </c>
      <c r="D298" s="342" t="s">
        <v>45</v>
      </c>
      <c r="E298" s="342" t="s">
        <v>591</v>
      </c>
      <c r="F298" s="342" t="s">
        <v>40</v>
      </c>
      <c r="G298" s="342" t="s">
        <v>5282</v>
      </c>
      <c r="H298" s="342" t="s">
        <v>1552</v>
      </c>
      <c r="I298" s="342" t="s">
        <v>1571</v>
      </c>
      <c r="L298" s="342" t="s">
        <v>1571</v>
      </c>
      <c r="M298" s="342" t="s">
        <v>1571</v>
      </c>
      <c r="N298" s="342" t="s">
        <v>3656</v>
      </c>
      <c r="O298" s="342" t="s">
        <v>3917</v>
      </c>
      <c r="P298" s="342">
        <v>6139583667</v>
      </c>
      <c r="R298" s="342" t="s">
        <v>3649</v>
      </c>
      <c r="S298" s="343">
        <v>45152</v>
      </c>
      <c r="T298" s="343">
        <v>45152</v>
      </c>
      <c r="U298" s="343">
        <v>44670</v>
      </c>
      <c r="V298" s="343">
        <v>44058</v>
      </c>
      <c r="X298" s="342" t="s">
        <v>3918</v>
      </c>
      <c r="Y298" s="342" t="s">
        <v>3918</v>
      </c>
    </row>
    <row r="299" spans="1:25">
      <c r="A299" s="342">
        <v>288653</v>
      </c>
      <c r="B299" s="342" t="s">
        <v>750</v>
      </c>
      <c r="C299" s="342" t="s">
        <v>753</v>
      </c>
      <c r="D299" s="342" t="s">
        <v>51</v>
      </c>
      <c r="E299" s="342" t="s">
        <v>591</v>
      </c>
      <c r="F299" s="342" t="s">
        <v>40</v>
      </c>
      <c r="G299" s="342" t="s">
        <v>4441</v>
      </c>
      <c r="H299" s="342" t="s">
        <v>5954</v>
      </c>
      <c r="I299" s="342" t="s">
        <v>1568</v>
      </c>
      <c r="L299" s="342" t="s">
        <v>1568</v>
      </c>
      <c r="M299" s="342" t="s">
        <v>1568</v>
      </c>
      <c r="N299" s="342" t="s">
        <v>3652</v>
      </c>
      <c r="O299" s="342" t="s">
        <v>5958</v>
      </c>
      <c r="P299" s="342">
        <v>6122358948</v>
      </c>
      <c r="R299" s="342" t="s">
        <v>3649</v>
      </c>
      <c r="S299" s="343">
        <v>45847</v>
      </c>
      <c r="T299" s="343">
        <v>45847</v>
      </c>
      <c r="U299" s="343">
        <v>44628</v>
      </c>
      <c r="V299" s="343">
        <v>44752</v>
      </c>
      <c r="X299" s="342" t="s">
        <v>3919</v>
      </c>
      <c r="Y299" s="342" t="s">
        <v>3919</v>
      </c>
    </row>
    <row r="300" spans="1:25">
      <c r="A300" s="342">
        <v>289048</v>
      </c>
      <c r="B300" s="342" t="s">
        <v>1385</v>
      </c>
      <c r="C300" s="342" t="s">
        <v>1387</v>
      </c>
      <c r="D300" s="342" t="s">
        <v>51</v>
      </c>
      <c r="E300" s="342" t="s">
        <v>591</v>
      </c>
      <c r="F300" s="342" t="s">
        <v>1114</v>
      </c>
      <c r="G300" s="342" t="s">
        <v>4608</v>
      </c>
      <c r="H300" s="342" t="s">
        <v>4924</v>
      </c>
      <c r="I300" s="342" t="s">
        <v>1576</v>
      </c>
      <c r="L300" s="342" t="s">
        <v>1576</v>
      </c>
      <c r="M300" s="342" t="s">
        <v>1576</v>
      </c>
      <c r="N300" s="342" t="s">
        <v>3647</v>
      </c>
      <c r="O300" s="342" t="s">
        <v>4691</v>
      </c>
      <c r="P300" s="342">
        <v>6121045087</v>
      </c>
      <c r="R300" s="342" t="s">
        <v>3649</v>
      </c>
      <c r="S300" s="343">
        <v>45639</v>
      </c>
      <c r="T300" s="343">
        <v>45639</v>
      </c>
      <c r="U300" s="343">
        <v>44452</v>
      </c>
      <c r="V300" s="343">
        <v>44544</v>
      </c>
      <c r="X300" s="342" t="s">
        <v>4901</v>
      </c>
      <c r="Y300" s="342" t="s">
        <v>4901</v>
      </c>
    </row>
    <row r="301" spans="1:25">
      <c r="A301" s="342">
        <v>289064</v>
      </c>
      <c r="B301" s="342" t="s">
        <v>760</v>
      </c>
      <c r="C301" s="342" t="s">
        <v>763</v>
      </c>
      <c r="D301" s="342" t="s">
        <v>107</v>
      </c>
      <c r="E301" s="342" t="s">
        <v>591</v>
      </c>
      <c r="F301" s="342" t="s">
        <v>40</v>
      </c>
      <c r="G301" s="342" t="s">
        <v>4441</v>
      </c>
      <c r="H301" s="342" t="s">
        <v>4717</v>
      </c>
      <c r="I301" s="342" t="s">
        <v>1568</v>
      </c>
      <c r="L301" s="342" t="s">
        <v>1568</v>
      </c>
      <c r="M301" s="342" t="s">
        <v>1568</v>
      </c>
      <c r="N301" s="342" t="s">
        <v>3652</v>
      </c>
      <c r="O301" s="342" t="s">
        <v>4690</v>
      </c>
      <c r="P301" s="342">
        <v>6116251983</v>
      </c>
      <c r="R301" s="342" t="s">
        <v>3649</v>
      </c>
      <c r="S301" s="343">
        <v>45550</v>
      </c>
      <c r="T301" s="343">
        <v>45550</v>
      </c>
      <c r="U301" s="343">
        <v>43152</v>
      </c>
      <c r="V301" s="343">
        <v>44455</v>
      </c>
      <c r="W301" s="343">
        <v>44455</v>
      </c>
      <c r="X301" s="342" t="s">
        <v>3734</v>
      </c>
      <c r="Y301" s="342" t="s">
        <v>3734</v>
      </c>
    </row>
    <row r="302" spans="1:25">
      <c r="A302" s="342">
        <v>289087</v>
      </c>
      <c r="B302" s="342" t="s">
        <v>5284</v>
      </c>
      <c r="C302" s="342" t="s">
        <v>5286</v>
      </c>
      <c r="D302" s="342" t="s">
        <v>1088</v>
      </c>
      <c r="E302" s="342" t="s">
        <v>591</v>
      </c>
      <c r="F302" s="342" t="s">
        <v>40</v>
      </c>
      <c r="G302" s="342" t="s">
        <v>5281</v>
      </c>
      <c r="H302" s="342" t="s">
        <v>5311</v>
      </c>
      <c r="I302" s="342" t="s">
        <v>1568</v>
      </c>
      <c r="L302" s="342" t="s">
        <v>1568</v>
      </c>
      <c r="M302" s="342" t="s">
        <v>1568</v>
      </c>
      <c r="N302" s="342" t="s">
        <v>3652</v>
      </c>
      <c r="O302" s="342" t="s">
        <v>4689</v>
      </c>
      <c r="P302" s="342">
        <v>6111353666</v>
      </c>
      <c r="R302" s="342" t="s">
        <v>3649</v>
      </c>
      <c r="S302" s="343">
        <v>45549</v>
      </c>
      <c r="T302" s="343">
        <v>45549</v>
      </c>
      <c r="U302" s="343">
        <v>43514</v>
      </c>
      <c r="V302" s="343">
        <v>44454</v>
      </c>
      <c r="W302" s="343">
        <v>44459</v>
      </c>
      <c r="X302" s="342" t="s">
        <v>3667</v>
      </c>
      <c r="Y302" s="342" t="s">
        <v>3667</v>
      </c>
    </row>
    <row r="303" spans="1:25">
      <c r="A303" s="342">
        <v>289129</v>
      </c>
      <c r="B303" s="342" t="s">
        <v>528</v>
      </c>
      <c r="C303" s="342" t="s">
        <v>93</v>
      </c>
      <c r="D303" s="342" t="s">
        <v>47</v>
      </c>
      <c r="E303" s="342" t="s">
        <v>591</v>
      </c>
      <c r="F303" s="342" t="s">
        <v>40</v>
      </c>
      <c r="G303" s="342" t="s">
        <v>5278</v>
      </c>
      <c r="H303" s="342" t="s">
        <v>5818</v>
      </c>
      <c r="I303" s="342" t="s">
        <v>1568</v>
      </c>
      <c r="L303" s="342" t="s">
        <v>1568</v>
      </c>
      <c r="M303" s="342" t="s">
        <v>1568</v>
      </c>
      <c r="N303" s="342" t="s">
        <v>3650</v>
      </c>
      <c r="O303" s="342" t="s">
        <v>3699</v>
      </c>
      <c r="P303" s="342">
        <v>6111822508</v>
      </c>
      <c r="R303" s="342" t="s">
        <v>3649</v>
      </c>
      <c r="S303" s="343">
        <v>45618</v>
      </c>
      <c r="T303" s="343">
        <v>45618</v>
      </c>
      <c r="U303" s="343">
        <v>43717</v>
      </c>
      <c r="V303" s="343">
        <v>44523</v>
      </c>
      <c r="X303" s="342" t="s">
        <v>4859</v>
      </c>
      <c r="Y303" s="342" t="s">
        <v>4859</v>
      </c>
    </row>
    <row r="304" spans="1:25">
      <c r="A304" s="342">
        <v>290257</v>
      </c>
      <c r="B304" s="342" t="s">
        <v>530</v>
      </c>
      <c r="C304" s="342" t="s">
        <v>119</v>
      </c>
      <c r="D304" s="342" t="s">
        <v>51</v>
      </c>
      <c r="E304" s="342" t="s">
        <v>591</v>
      </c>
      <c r="F304" s="342" t="s">
        <v>40</v>
      </c>
      <c r="G304" s="342" t="s">
        <v>5450</v>
      </c>
      <c r="H304" s="342" t="s">
        <v>5732</v>
      </c>
      <c r="I304" s="342" t="s">
        <v>1568</v>
      </c>
      <c r="L304" s="342" t="s">
        <v>1568</v>
      </c>
      <c r="M304" s="342" t="s">
        <v>1568</v>
      </c>
      <c r="N304" s="342" t="s">
        <v>3652</v>
      </c>
      <c r="O304" s="342" t="s">
        <v>4689</v>
      </c>
      <c r="P304" s="342">
        <v>6111357426</v>
      </c>
      <c r="R304" s="342" t="s">
        <v>3649</v>
      </c>
      <c r="S304" s="343">
        <v>45549</v>
      </c>
      <c r="T304" s="343">
        <v>45549</v>
      </c>
      <c r="U304" s="343">
        <v>43137</v>
      </c>
      <c r="V304" s="343">
        <v>44454</v>
      </c>
      <c r="W304" s="343">
        <v>44459</v>
      </c>
      <c r="X304" s="342" t="s">
        <v>3667</v>
      </c>
      <c r="Y304" s="342" t="s">
        <v>4692</v>
      </c>
    </row>
    <row r="305" spans="1:25" ht="409.5">
      <c r="A305" s="342">
        <v>291012</v>
      </c>
      <c r="B305" s="342" t="s">
        <v>533</v>
      </c>
      <c r="C305" s="342" t="s">
        <v>536</v>
      </c>
      <c r="D305" s="342" t="s">
        <v>51</v>
      </c>
      <c r="E305" s="342" t="s">
        <v>591</v>
      </c>
      <c r="F305" s="342" t="s">
        <v>40</v>
      </c>
      <c r="G305" s="342" t="s">
        <v>5449</v>
      </c>
      <c r="H305" s="342" t="s">
        <v>1553</v>
      </c>
      <c r="I305" s="342" t="s">
        <v>1568</v>
      </c>
      <c r="L305" s="342" t="s">
        <v>1568</v>
      </c>
      <c r="M305" s="342" t="s">
        <v>1568</v>
      </c>
      <c r="N305" s="342" t="s">
        <v>3652</v>
      </c>
      <c r="O305" s="344" t="s">
        <v>3920</v>
      </c>
      <c r="P305" s="342">
        <v>6111152744</v>
      </c>
      <c r="R305" s="342" t="s">
        <v>3649</v>
      </c>
      <c r="S305" s="343">
        <v>44913</v>
      </c>
      <c r="T305" s="343">
        <v>44913</v>
      </c>
      <c r="U305" s="343">
        <v>44138</v>
      </c>
      <c r="V305" s="343">
        <v>43818</v>
      </c>
      <c r="W305" s="343">
        <v>44356</v>
      </c>
      <c r="X305" s="342">
        <v>14704</v>
      </c>
      <c r="Y305" s="342">
        <v>15166</v>
      </c>
    </row>
    <row r="306" spans="1:25">
      <c r="A306" s="342">
        <v>291146</v>
      </c>
      <c r="B306" s="342" t="s">
        <v>1134</v>
      </c>
      <c r="C306" s="342" t="s">
        <v>1136</v>
      </c>
      <c r="D306" s="342" t="s">
        <v>51</v>
      </c>
      <c r="E306" s="342" t="s">
        <v>591</v>
      </c>
      <c r="F306" s="342" t="s">
        <v>40</v>
      </c>
      <c r="G306" s="342" t="s">
        <v>5450</v>
      </c>
      <c r="H306" s="342" t="s">
        <v>5819</v>
      </c>
      <c r="I306" s="342" t="s">
        <v>1568</v>
      </c>
      <c r="L306" s="342" t="s">
        <v>1568</v>
      </c>
      <c r="M306" s="342" t="s">
        <v>1568</v>
      </c>
      <c r="N306" s="342" t="s">
        <v>3652</v>
      </c>
      <c r="O306" s="342" t="s">
        <v>3921</v>
      </c>
      <c r="P306" s="342">
        <v>6113381283</v>
      </c>
      <c r="R306" s="342" t="s">
        <v>3649</v>
      </c>
      <c r="S306" s="343">
        <v>45582</v>
      </c>
      <c r="T306" s="343">
        <v>45582</v>
      </c>
      <c r="U306" s="343">
        <v>44699</v>
      </c>
      <c r="V306" s="343">
        <v>44487</v>
      </c>
      <c r="W306" s="343">
        <v>44487</v>
      </c>
      <c r="X306" s="342">
        <v>15768</v>
      </c>
      <c r="Y306" s="342">
        <v>15768</v>
      </c>
    </row>
    <row r="307" spans="1:25">
      <c r="A307" s="342">
        <v>292561</v>
      </c>
      <c r="B307" s="342" t="s">
        <v>537</v>
      </c>
      <c r="C307" s="342" t="s">
        <v>539</v>
      </c>
      <c r="D307" s="342" t="s">
        <v>98</v>
      </c>
      <c r="E307" s="342" t="s">
        <v>591</v>
      </c>
      <c r="F307" s="342" t="s">
        <v>40</v>
      </c>
      <c r="G307" s="342" t="s">
        <v>5282</v>
      </c>
      <c r="H307" s="342" t="s">
        <v>5820</v>
      </c>
      <c r="I307" s="342" t="s">
        <v>1568</v>
      </c>
      <c r="L307" s="342" t="s">
        <v>1568</v>
      </c>
      <c r="M307" s="342" t="s">
        <v>1568</v>
      </c>
      <c r="N307" s="342" t="s">
        <v>3652</v>
      </c>
      <c r="O307" s="342" t="s">
        <v>3760</v>
      </c>
      <c r="P307" s="342">
        <v>6113351543</v>
      </c>
      <c r="R307" s="342" t="s">
        <v>3649</v>
      </c>
      <c r="S307" s="343">
        <v>44861</v>
      </c>
      <c r="T307" s="343">
        <v>44861</v>
      </c>
      <c r="U307" s="343">
        <v>43598</v>
      </c>
      <c r="V307" s="343">
        <v>43766</v>
      </c>
      <c r="X307" s="342" t="s">
        <v>3761</v>
      </c>
      <c r="Y307" s="342" t="s">
        <v>3761</v>
      </c>
    </row>
    <row r="308" spans="1:25" ht="409.5">
      <c r="A308" s="342">
        <v>292565</v>
      </c>
      <c r="B308" s="342" t="s">
        <v>1389</v>
      </c>
      <c r="C308" s="342" t="s">
        <v>1392</v>
      </c>
      <c r="D308" s="342" t="s">
        <v>246</v>
      </c>
      <c r="E308" s="342" t="s">
        <v>591</v>
      </c>
      <c r="F308" s="342" t="s">
        <v>40</v>
      </c>
      <c r="G308" s="342" t="s">
        <v>1277</v>
      </c>
      <c r="H308" s="342" t="s">
        <v>4249</v>
      </c>
      <c r="I308" s="342" t="s">
        <v>1568</v>
      </c>
      <c r="L308" s="342" t="s">
        <v>1568</v>
      </c>
      <c r="M308" s="342" t="s">
        <v>1568</v>
      </c>
      <c r="N308" s="342" t="s">
        <v>3813</v>
      </c>
      <c r="O308" s="344" t="s">
        <v>3922</v>
      </c>
      <c r="P308" s="342">
        <v>6121274081</v>
      </c>
      <c r="R308" s="342" t="s">
        <v>3649</v>
      </c>
      <c r="S308" s="343">
        <v>45317</v>
      </c>
      <c r="T308" s="343">
        <v>45317</v>
      </c>
      <c r="U308" s="343">
        <v>44488</v>
      </c>
      <c r="V308" s="343">
        <v>44223</v>
      </c>
      <c r="W308" s="343">
        <v>44575</v>
      </c>
      <c r="X308" s="342" t="s">
        <v>3923</v>
      </c>
      <c r="Y308" s="342" t="s">
        <v>3923</v>
      </c>
    </row>
    <row r="309" spans="1:25">
      <c r="A309" s="342">
        <v>292673</v>
      </c>
      <c r="B309" s="342" t="s">
        <v>1137</v>
      </c>
      <c r="C309" s="342" t="s">
        <v>987</v>
      </c>
      <c r="D309" s="342" t="s">
        <v>66</v>
      </c>
      <c r="E309" s="342" t="s">
        <v>591</v>
      </c>
      <c r="F309" s="342" t="s">
        <v>784</v>
      </c>
      <c r="G309" s="342" t="s">
        <v>4638</v>
      </c>
      <c r="H309" s="342" t="s">
        <v>4952</v>
      </c>
      <c r="I309" s="342" t="s">
        <v>1581</v>
      </c>
      <c r="L309" s="342" t="s">
        <v>1581</v>
      </c>
      <c r="M309" s="342" t="s">
        <v>1581</v>
      </c>
      <c r="S309" s="343">
        <v>44974</v>
      </c>
      <c r="Y309" s="342" t="s">
        <v>4958</v>
      </c>
    </row>
    <row r="310" spans="1:25" ht="322">
      <c r="A310" s="342">
        <v>293442</v>
      </c>
      <c r="B310" s="342" t="s">
        <v>1140</v>
      </c>
      <c r="C310" s="342" t="s">
        <v>1142</v>
      </c>
      <c r="D310" s="342" t="s">
        <v>51</v>
      </c>
      <c r="E310" s="342" t="s">
        <v>591</v>
      </c>
      <c r="F310" s="342" t="s">
        <v>40</v>
      </c>
      <c r="G310" s="342" t="s">
        <v>5449</v>
      </c>
      <c r="H310" s="342" t="s">
        <v>5924</v>
      </c>
      <c r="I310" s="342" t="s">
        <v>1568</v>
      </c>
      <c r="L310" s="342" t="s">
        <v>1568</v>
      </c>
      <c r="M310" s="342" t="s">
        <v>1568</v>
      </c>
      <c r="N310" s="342" t="s">
        <v>3652</v>
      </c>
      <c r="O310" s="344" t="s">
        <v>3924</v>
      </c>
      <c r="P310" s="342">
        <v>6141241641</v>
      </c>
      <c r="R310" s="342" t="s">
        <v>3649</v>
      </c>
      <c r="S310" s="343">
        <v>45838</v>
      </c>
      <c r="T310" s="343">
        <v>45838</v>
      </c>
      <c r="U310" s="343">
        <v>44627</v>
      </c>
      <c r="V310" s="343">
        <v>44743</v>
      </c>
      <c r="X310" s="342">
        <v>13420</v>
      </c>
      <c r="Y310" s="342">
        <v>13420</v>
      </c>
    </row>
    <row r="311" spans="1:25">
      <c r="A311" s="342">
        <v>294094</v>
      </c>
      <c r="B311" s="342" t="s">
        <v>684</v>
      </c>
      <c r="C311" s="342" t="s">
        <v>614</v>
      </c>
      <c r="D311" s="342" t="s">
        <v>558</v>
      </c>
      <c r="E311" s="342" t="s">
        <v>591</v>
      </c>
      <c r="F311" s="342" t="s">
        <v>40</v>
      </c>
      <c r="G311" s="342" t="s">
        <v>5282</v>
      </c>
      <c r="H311" s="342" t="s">
        <v>5821</v>
      </c>
      <c r="I311" s="342" t="s">
        <v>1571</v>
      </c>
      <c r="L311" s="342" t="s">
        <v>1571</v>
      </c>
      <c r="M311" s="342" t="s">
        <v>1571</v>
      </c>
      <c r="N311" s="342" t="s">
        <v>3656</v>
      </c>
      <c r="O311" s="342" t="s">
        <v>3925</v>
      </c>
      <c r="P311" s="342">
        <v>6145525648</v>
      </c>
      <c r="R311" s="342" t="s">
        <v>3649</v>
      </c>
      <c r="S311" s="343">
        <v>44987</v>
      </c>
      <c r="T311" s="343">
        <v>44987</v>
      </c>
      <c r="U311" s="343">
        <v>43745</v>
      </c>
      <c r="V311" s="343">
        <v>43893</v>
      </c>
      <c r="W311" s="343">
        <v>44531</v>
      </c>
      <c r="X311" s="342" t="s">
        <v>3926</v>
      </c>
      <c r="Y311" s="342" t="s">
        <v>3926</v>
      </c>
    </row>
    <row r="312" spans="1:25">
      <c r="A312" s="342">
        <v>294096</v>
      </c>
      <c r="B312" s="342" t="s">
        <v>989</v>
      </c>
      <c r="C312" s="342" t="s">
        <v>991</v>
      </c>
      <c r="D312" s="342" t="s">
        <v>381</v>
      </c>
      <c r="E312" s="342" t="s">
        <v>591</v>
      </c>
      <c r="F312" s="342" t="s">
        <v>41</v>
      </c>
      <c r="G312" s="342" t="s">
        <v>786</v>
      </c>
      <c r="H312" s="342" t="s">
        <v>1554</v>
      </c>
      <c r="I312" s="342" t="s">
        <v>1571</v>
      </c>
      <c r="L312" s="342" t="s">
        <v>1571</v>
      </c>
      <c r="M312" s="342" t="s">
        <v>1571</v>
      </c>
      <c r="N312" s="342" t="s">
        <v>3656</v>
      </c>
      <c r="O312" s="342" t="s">
        <v>3927</v>
      </c>
      <c r="P312" s="342">
        <v>6142660166</v>
      </c>
      <c r="R312" s="342" t="s">
        <v>3649</v>
      </c>
      <c r="S312" s="343">
        <v>44798</v>
      </c>
      <c r="T312" s="343">
        <v>44798</v>
      </c>
      <c r="U312" s="343">
        <v>43626</v>
      </c>
      <c r="V312" s="343">
        <v>43703</v>
      </c>
      <c r="X312" s="342">
        <v>216005</v>
      </c>
      <c r="Y312" s="342">
        <v>216005</v>
      </c>
    </row>
    <row r="313" spans="1:25">
      <c r="A313" s="342">
        <v>295409</v>
      </c>
      <c r="B313" s="342" t="s">
        <v>540</v>
      </c>
      <c r="C313" s="342" t="s">
        <v>417</v>
      </c>
      <c r="D313" s="342" t="s">
        <v>51</v>
      </c>
      <c r="E313" s="342" t="s">
        <v>591</v>
      </c>
      <c r="F313" s="342" t="s">
        <v>40</v>
      </c>
      <c r="G313" s="342" t="s">
        <v>5281</v>
      </c>
      <c r="H313" s="342" t="s">
        <v>5090</v>
      </c>
      <c r="I313" s="342" t="s">
        <v>1568</v>
      </c>
      <c r="L313" s="342" t="s">
        <v>1568</v>
      </c>
      <c r="M313" s="342" t="s">
        <v>1568</v>
      </c>
      <c r="N313" s="342" t="s">
        <v>3650</v>
      </c>
      <c r="O313" s="342" t="s">
        <v>3928</v>
      </c>
      <c r="P313" s="342">
        <v>6111685981</v>
      </c>
      <c r="R313" s="342" t="s">
        <v>3649</v>
      </c>
      <c r="S313" s="343">
        <v>45218</v>
      </c>
      <c r="T313" s="343">
        <v>45218</v>
      </c>
      <c r="U313" s="343">
        <v>44418</v>
      </c>
      <c r="V313" s="343">
        <v>44124</v>
      </c>
      <c r="X313" s="342" t="s">
        <v>3929</v>
      </c>
      <c r="Y313" s="342" t="s">
        <v>3929</v>
      </c>
    </row>
    <row r="314" spans="1:25">
      <c r="A314" s="342">
        <v>295568</v>
      </c>
      <c r="B314" s="342" t="s">
        <v>5026</v>
      </c>
      <c r="C314" s="342" t="s">
        <v>1136</v>
      </c>
      <c r="D314" s="342" t="s">
        <v>51</v>
      </c>
      <c r="E314" s="342" t="s">
        <v>591</v>
      </c>
      <c r="F314" s="342" t="s">
        <v>40</v>
      </c>
      <c r="G314" s="342" t="s">
        <v>1336</v>
      </c>
      <c r="H314" s="342" t="s">
        <v>5091</v>
      </c>
      <c r="I314" s="342" t="s">
        <v>1568</v>
      </c>
      <c r="L314" s="342" t="s">
        <v>1568</v>
      </c>
      <c r="M314" s="342" t="s">
        <v>1568</v>
      </c>
      <c r="N314" s="342" t="s">
        <v>3652</v>
      </c>
      <c r="O314" s="342" t="s">
        <v>5060</v>
      </c>
      <c r="P314" s="342">
        <v>6114668426</v>
      </c>
      <c r="R314" s="342" t="s">
        <v>3649</v>
      </c>
      <c r="S314" s="343">
        <v>44933</v>
      </c>
      <c r="T314" s="343">
        <v>44933</v>
      </c>
      <c r="U314" s="343">
        <v>44497</v>
      </c>
      <c r="V314" s="343">
        <v>43838</v>
      </c>
      <c r="W314" s="343">
        <v>44362</v>
      </c>
      <c r="X314" s="342">
        <v>13447</v>
      </c>
      <c r="Y314" s="342">
        <v>13447</v>
      </c>
    </row>
    <row r="315" spans="1:25">
      <c r="A315" s="342">
        <v>295609</v>
      </c>
      <c r="B315" s="342" t="s">
        <v>1312</v>
      </c>
      <c r="C315" s="342" t="s">
        <v>349</v>
      </c>
      <c r="D315" s="342" t="s">
        <v>47</v>
      </c>
      <c r="E315" s="342" t="s">
        <v>591</v>
      </c>
      <c r="F315" s="342" t="s">
        <v>40</v>
      </c>
      <c r="G315" s="342" t="s">
        <v>5449</v>
      </c>
      <c r="H315" s="342" t="s">
        <v>5822</v>
      </c>
      <c r="I315" s="342" t="s">
        <v>1568</v>
      </c>
      <c r="L315" s="342" t="s">
        <v>1568</v>
      </c>
      <c r="M315" s="342" t="s">
        <v>1568</v>
      </c>
      <c r="N315" s="342" t="s">
        <v>3650</v>
      </c>
      <c r="O315" s="342" t="s">
        <v>4307</v>
      </c>
      <c r="P315" s="342">
        <v>6129518464</v>
      </c>
      <c r="R315" s="342" t="s">
        <v>3649</v>
      </c>
      <c r="S315" s="343">
        <v>44822</v>
      </c>
      <c r="T315" s="343">
        <v>44822</v>
      </c>
      <c r="U315" s="343">
        <v>44368</v>
      </c>
      <c r="V315" s="343">
        <v>43727</v>
      </c>
      <c r="W315" s="343">
        <v>44211</v>
      </c>
      <c r="X315" s="342" t="s">
        <v>4308</v>
      </c>
      <c r="Y315" s="342" t="s">
        <v>3930</v>
      </c>
    </row>
    <row r="316" spans="1:25">
      <c r="A316" s="342">
        <v>296146</v>
      </c>
      <c r="B316" s="342" t="s">
        <v>543</v>
      </c>
      <c r="C316" s="342" t="s">
        <v>295</v>
      </c>
      <c r="D316" s="342" t="s">
        <v>51</v>
      </c>
      <c r="E316" s="342" t="s">
        <v>591</v>
      </c>
      <c r="F316" s="342" t="s">
        <v>40</v>
      </c>
      <c r="G316" s="342" t="s">
        <v>5279</v>
      </c>
      <c r="H316" s="342" t="s">
        <v>4360</v>
      </c>
      <c r="I316" s="342" t="s">
        <v>1568</v>
      </c>
      <c r="L316" s="342" t="s">
        <v>1568</v>
      </c>
      <c r="M316" s="342" t="s">
        <v>1568</v>
      </c>
      <c r="N316" s="342" t="s">
        <v>3652</v>
      </c>
      <c r="O316" s="342" t="s">
        <v>3931</v>
      </c>
      <c r="P316" s="342">
        <v>6127608981</v>
      </c>
      <c r="R316" s="342" t="s">
        <v>3649</v>
      </c>
      <c r="S316" s="343">
        <v>45375</v>
      </c>
      <c r="T316" s="343">
        <v>45375</v>
      </c>
      <c r="U316" s="343">
        <v>43808</v>
      </c>
      <c r="V316" s="343">
        <v>44280</v>
      </c>
      <c r="X316" s="342" t="s">
        <v>3932</v>
      </c>
      <c r="Y316" s="342" t="s">
        <v>3932</v>
      </c>
    </row>
    <row r="317" spans="1:25">
      <c r="A317" s="342">
        <v>296322</v>
      </c>
      <c r="B317" s="342" t="s">
        <v>994</v>
      </c>
      <c r="C317" s="342" t="s">
        <v>336</v>
      </c>
      <c r="D317" s="342" t="s">
        <v>337</v>
      </c>
      <c r="E317" s="342" t="s">
        <v>591</v>
      </c>
      <c r="F317" s="342" t="s">
        <v>40</v>
      </c>
      <c r="G317" s="342" t="s">
        <v>4608</v>
      </c>
      <c r="H317" s="342" t="s">
        <v>5823</v>
      </c>
      <c r="I317" s="342" t="s">
        <v>1571</v>
      </c>
      <c r="L317" s="342" t="s">
        <v>1571</v>
      </c>
      <c r="M317" s="342" t="s">
        <v>1571</v>
      </c>
      <c r="N317" s="342" t="s">
        <v>3656</v>
      </c>
      <c r="O317" s="342" t="s">
        <v>3933</v>
      </c>
      <c r="P317" s="342">
        <v>6138272128</v>
      </c>
      <c r="R317" s="342" t="s">
        <v>3649</v>
      </c>
      <c r="S317" s="343">
        <v>44808</v>
      </c>
      <c r="T317" s="343">
        <v>44808</v>
      </c>
      <c r="U317" s="343">
        <v>44018</v>
      </c>
      <c r="V317" s="343">
        <v>43713</v>
      </c>
      <c r="W317" s="343">
        <v>43713</v>
      </c>
      <c r="X317" s="342" t="s">
        <v>3934</v>
      </c>
      <c r="Y317" s="342" t="s">
        <v>3934</v>
      </c>
    </row>
    <row r="318" spans="1:25">
      <c r="A318" s="342">
        <v>296804</v>
      </c>
      <c r="B318" s="342" t="s">
        <v>546</v>
      </c>
      <c r="C318" s="342" t="s">
        <v>548</v>
      </c>
      <c r="D318" s="342" t="s">
        <v>47</v>
      </c>
      <c r="E318" s="342" t="s">
        <v>591</v>
      </c>
      <c r="F318" s="342" t="s">
        <v>40</v>
      </c>
      <c r="G318" s="342" t="s">
        <v>1277</v>
      </c>
      <c r="H318" s="342" t="s">
        <v>5987</v>
      </c>
      <c r="I318" s="342" t="s">
        <v>1571</v>
      </c>
      <c r="L318" s="342" t="s">
        <v>1571</v>
      </c>
      <c r="M318" s="342" t="s">
        <v>1571</v>
      </c>
      <c r="N318" s="342" t="s">
        <v>3653</v>
      </c>
      <c r="O318" s="342" t="s">
        <v>5989</v>
      </c>
      <c r="P318" s="342">
        <v>6137951301</v>
      </c>
      <c r="R318" s="342" t="s">
        <v>3649</v>
      </c>
      <c r="S318" s="343">
        <v>45854</v>
      </c>
      <c r="T318" s="343">
        <v>45854</v>
      </c>
      <c r="U318" s="343">
        <v>44655</v>
      </c>
      <c r="V318" s="343">
        <v>44759</v>
      </c>
      <c r="X318" s="342" t="s">
        <v>5993</v>
      </c>
      <c r="Y318" s="342" t="s">
        <v>5994</v>
      </c>
    </row>
    <row r="319" spans="1:25">
      <c r="A319" s="342">
        <v>296804</v>
      </c>
      <c r="B319" s="342" t="s">
        <v>546</v>
      </c>
      <c r="C319" s="342" t="s">
        <v>548</v>
      </c>
      <c r="D319" s="342" t="s">
        <v>47</v>
      </c>
      <c r="E319" s="342" t="s">
        <v>591</v>
      </c>
      <c r="F319" s="342" t="s">
        <v>1114</v>
      </c>
      <c r="G319" s="342" t="s">
        <v>1421</v>
      </c>
      <c r="H319" s="342" t="s">
        <v>5987</v>
      </c>
      <c r="I319" s="342" t="s">
        <v>1585</v>
      </c>
      <c r="L319" s="342" t="s">
        <v>1576</v>
      </c>
      <c r="M319" s="342" t="s">
        <v>1576</v>
      </c>
      <c r="N319" s="342" t="s">
        <v>3666</v>
      </c>
      <c r="O319" s="342" t="s">
        <v>5990</v>
      </c>
      <c r="P319" s="342">
        <v>6137951301</v>
      </c>
      <c r="R319" s="342" t="s">
        <v>3649</v>
      </c>
      <c r="S319" s="343">
        <v>45854</v>
      </c>
      <c r="T319" s="343">
        <v>45854</v>
      </c>
      <c r="U319" s="343">
        <v>44655</v>
      </c>
      <c r="V319" s="343">
        <v>44759</v>
      </c>
      <c r="X319" s="342" t="s">
        <v>5993</v>
      </c>
      <c r="Y319" s="342" t="s">
        <v>5995</v>
      </c>
    </row>
    <row r="320" spans="1:25">
      <c r="A320" s="342">
        <v>297471</v>
      </c>
      <c r="B320" s="342" t="s">
        <v>776</v>
      </c>
      <c r="C320" s="342" t="s">
        <v>777</v>
      </c>
      <c r="D320" s="342" t="s">
        <v>779</v>
      </c>
      <c r="E320" s="342" t="s">
        <v>591</v>
      </c>
      <c r="F320" s="342" t="s">
        <v>40</v>
      </c>
      <c r="G320" s="342" t="s">
        <v>5281</v>
      </c>
      <c r="H320" s="342" t="s">
        <v>4271</v>
      </c>
      <c r="I320" s="342" t="s">
        <v>1578</v>
      </c>
      <c r="L320" s="342" t="s">
        <v>1568</v>
      </c>
      <c r="M320" s="342" t="s">
        <v>1568</v>
      </c>
      <c r="N320" s="342" t="s">
        <v>3652</v>
      </c>
      <c r="O320" s="342" t="s">
        <v>4928</v>
      </c>
      <c r="P320" s="342">
        <v>6134099648</v>
      </c>
      <c r="R320" s="342" t="s">
        <v>3649</v>
      </c>
      <c r="S320" s="343">
        <v>45251</v>
      </c>
      <c r="T320" s="343">
        <v>45251</v>
      </c>
      <c r="U320" s="343">
        <v>43941</v>
      </c>
      <c r="V320" s="343">
        <v>44157</v>
      </c>
      <c r="W320" s="343">
        <v>44539</v>
      </c>
      <c r="X320" s="342" t="s">
        <v>3935</v>
      </c>
      <c r="Y320" s="342" t="s">
        <v>3935</v>
      </c>
    </row>
    <row r="321" spans="1:25">
      <c r="A321" s="342">
        <v>297951</v>
      </c>
      <c r="B321" s="342" t="s">
        <v>999</v>
      </c>
      <c r="C321" s="342" t="s">
        <v>336</v>
      </c>
      <c r="D321" s="342" t="s">
        <v>337</v>
      </c>
      <c r="E321" s="342" t="s">
        <v>591</v>
      </c>
      <c r="F321" s="342" t="s">
        <v>40</v>
      </c>
      <c r="G321" s="342" t="s">
        <v>5282</v>
      </c>
      <c r="H321" s="342" t="s">
        <v>5824</v>
      </c>
      <c r="I321" s="342" t="s">
        <v>1573</v>
      </c>
      <c r="L321" s="342" t="s">
        <v>1571</v>
      </c>
      <c r="M321" s="342" t="s">
        <v>1571</v>
      </c>
      <c r="N321" s="342" t="s">
        <v>3656</v>
      </c>
      <c r="O321" s="342" t="s">
        <v>3936</v>
      </c>
      <c r="P321" s="342">
        <v>6122408306</v>
      </c>
      <c r="R321" s="342" t="s">
        <v>3649</v>
      </c>
      <c r="S321" s="343">
        <v>45811</v>
      </c>
      <c r="T321" s="343">
        <v>45811</v>
      </c>
      <c r="U321" s="343">
        <v>44634</v>
      </c>
      <c r="V321" s="343">
        <v>44716</v>
      </c>
      <c r="X321" s="342" t="s">
        <v>3937</v>
      </c>
      <c r="Y321" s="342" t="s">
        <v>3937</v>
      </c>
    </row>
    <row r="322" spans="1:25">
      <c r="A322" s="342">
        <v>298128</v>
      </c>
      <c r="B322" s="342" t="s">
        <v>1002</v>
      </c>
      <c r="C322" s="342" t="s">
        <v>550</v>
      </c>
      <c r="D322" s="342" t="s">
        <v>51</v>
      </c>
      <c r="E322" s="342" t="s">
        <v>591</v>
      </c>
      <c r="F322" s="342" t="s">
        <v>41</v>
      </c>
      <c r="G322" s="342" t="s">
        <v>786</v>
      </c>
      <c r="H322" s="342" t="s">
        <v>1555</v>
      </c>
      <c r="I322" s="342" t="s">
        <v>1571</v>
      </c>
      <c r="L322" s="342" t="s">
        <v>1571</v>
      </c>
      <c r="M322" s="342" t="s">
        <v>1571</v>
      </c>
      <c r="N322" s="342" t="s">
        <v>3656</v>
      </c>
      <c r="O322" s="342" t="s">
        <v>3938</v>
      </c>
      <c r="P322" s="342">
        <v>6145381662</v>
      </c>
      <c r="R322" s="342" t="s">
        <v>3649</v>
      </c>
      <c r="S322" s="343">
        <v>44897</v>
      </c>
      <c r="T322" s="343">
        <v>44897</v>
      </c>
      <c r="U322" s="343">
        <v>43745</v>
      </c>
      <c r="V322" s="343">
        <v>43802</v>
      </c>
      <c r="X322" s="342" t="s">
        <v>3939</v>
      </c>
      <c r="Y322" s="342" t="s">
        <v>3939</v>
      </c>
    </row>
    <row r="323" spans="1:25">
      <c r="A323" s="342">
        <v>298364</v>
      </c>
      <c r="B323" s="342" t="s">
        <v>551</v>
      </c>
      <c r="C323" s="342" t="s">
        <v>348</v>
      </c>
      <c r="D323" s="342" t="s">
        <v>45</v>
      </c>
      <c r="E323" s="342" t="s">
        <v>591</v>
      </c>
      <c r="F323" s="342" t="s">
        <v>40</v>
      </c>
      <c r="G323" s="342" t="s">
        <v>786</v>
      </c>
      <c r="H323" s="342" t="s">
        <v>4765</v>
      </c>
      <c r="I323" s="342" t="s">
        <v>1568</v>
      </c>
      <c r="L323" s="342" t="s">
        <v>1568</v>
      </c>
      <c r="M323" s="342" t="s">
        <v>1568</v>
      </c>
      <c r="N323" s="342" t="s">
        <v>3650</v>
      </c>
      <c r="O323" s="342" t="s">
        <v>3940</v>
      </c>
      <c r="P323" s="342">
        <v>6134838964</v>
      </c>
      <c r="R323" s="342" t="s">
        <v>3649</v>
      </c>
      <c r="S323" s="343">
        <v>45580</v>
      </c>
      <c r="T323" s="343">
        <v>45580</v>
      </c>
      <c r="U323" s="343">
        <v>43668</v>
      </c>
      <c r="V323" s="343">
        <v>44485</v>
      </c>
      <c r="W323" s="343">
        <v>44673</v>
      </c>
      <c r="X323" s="342" t="s">
        <v>3941</v>
      </c>
      <c r="Y323" s="342" t="s">
        <v>3941</v>
      </c>
    </row>
    <row r="324" spans="1:25">
      <c r="A324" s="342">
        <v>298473</v>
      </c>
      <c r="B324" s="342" t="s">
        <v>5288</v>
      </c>
      <c r="C324" s="342" t="s">
        <v>5291</v>
      </c>
      <c r="D324" s="342" t="s">
        <v>45</v>
      </c>
      <c r="E324" s="342" t="s">
        <v>591</v>
      </c>
      <c r="F324" s="342" t="s">
        <v>41</v>
      </c>
      <c r="G324" s="342" t="s">
        <v>1421</v>
      </c>
      <c r="J324" s="342">
        <v>9110</v>
      </c>
      <c r="K324" s="343">
        <v>41248</v>
      </c>
    </row>
    <row r="325" spans="1:25">
      <c r="A325" s="342">
        <v>298528</v>
      </c>
      <c r="B325" s="342" t="s">
        <v>1461</v>
      </c>
      <c r="C325" s="342" t="s">
        <v>1463</v>
      </c>
      <c r="D325" s="342" t="s">
        <v>558</v>
      </c>
      <c r="E325" s="342" t="s">
        <v>591</v>
      </c>
      <c r="F325" s="342" t="s">
        <v>40</v>
      </c>
      <c r="G325" s="342" t="s">
        <v>5281</v>
      </c>
      <c r="H325" s="342" t="s">
        <v>5052</v>
      </c>
      <c r="I325" s="342" t="s">
        <v>1574</v>
      </c>
      <c r="L325" s="342" t="s">
        <v>1568</v>
      </c>
      <c r="M325" s="342" t="s">
        <v>1568</v>
      </c>
      <c r="N325" s="342" t="s">
        <v>3652</v>
      </c>
      <c r="O325" s="342" t="s">
        <v>4690</v>
      </c>
      <c r="P325" s="342">
        <v>6129192440</v>
      </c>
      <c r="R325" s="342" t="s">
        <v>3649</v>
      </c>
      <c r="S325" s="343">
        <v>45550</v>
      </c>
      <c r="T325" s="343">
        <v>45550</v>
      </c>
      <c r="U325" s="343">
        <v>42828</v>
      </c>
      <c r="V325" s="343">
        <v>44455</v>
      </c>
      <c r="W325" s="343">
        <v>44455</v>
      </c>
      <c r="X325" s="342" t="s">
        <v>3734</v>
      </c>
      <c r="Y325" s="342" t="s">
        <v>3734</v>
      </c>
    </row>
    <row r="326" spans="1:25">
      <c r="A326" s="342">
        <v>298721</v>
      </c>
      <c r="B326" s="342" t="s">
        <v>362</v>
      </c>
      <c r="C326" s="342" t="s">
        <v>555</v>
      </c>
      <c r="D326" s="342" t="s">
        <v>47</v>
      </c>
      <c r="E326" s="342" t="s">
        <v>591</v>
      </c>
      <c r="F326" s="342" t="s">
        <v>40</v>
      </c>
      <c r="G326" s="342" t="s">
        <v>1336</v>
      </c>
      <c r="H326" s="342" t="s">
        <v>4925</v>
      </c>
      <c r="I326" s="342" t="s">
        <v>1569</v>
      </c>
      <c r="L326" s="342" t="s">
        <v>1568</v>
      </c>
      <c r="M326" s="342" t="s">
        <v>1568</v>
      </c>
      <c r="N326" s="342" t="s">
        <v>3650</v>
      </c>
      <c r="O326" s="342" t="s">
        <v>5059</v>
      </c>
      <c r="P326" s="342">
        <v>6111067169</v>
      </c>
      <c r="R326" s="342" t="s">
        <v>3649</v>
      </c>
      <c r="S326" s="343">
        <v>45016</v>
      </c>
      <c r="T326" s="343">
        <v>45016</v>
      </c>
      <c r="U326" s="343">
        <v>44494</v>
      </c>
      <c r="V326" s="343">
        <v>43922</v>
      </c>
      <c r="W326" s="343">
        <v>44547</v>
      </c>
      <c r="X326" s="342">
        <v>28041</v>
      </c>
      <c r="Y326" s="342">
        <v>28041</v>
      </c>
    </row>
    <row r="327" spans="1:25">
      <c r="A327" s="342">
        <v>298788</v>
      </c>
      <c r="B327" s="342" t="s">
        <v>556</v>
      </c>
      <c r="C327" s="342" t="s">
        <v>693</v>
      </c>
      <c r="D327" s="342" t="s">
        <v>558</v>
      </c>
      <c r="E327" s="342" t="s">
        <v>591</v>
      </c>
      <c r="F327" s="342" t="s">
        <v>41</v>
      </c>
      <c r="G327" s="342" t="s">
        <v>1421</v>
      </c>
      <c r="H327" s="342" t="s">
        <v>5312</v>
      </c>
      <c r="I327" s="342" t="s">
        <v>1571</v>
      </c>
      <c r="L327" s="342" t="s">
        <v>1571</v>
      </c>
      <c r="M327" s="342" t="s">
        <v>1571</v>
      </c>
      <c r="N327" s="342" t="s">
        <v>3653</v>
      </c>
      <c r="O327" s="342" t="s">
        <v>3942</v>
      </c>
      <c r="P327" s="342">
        <v>6135037243</v>
      </c>
      <c r="R327" s="342" t="s">
        <v>3649</v>
      </c>
      <c r="S327" s="343">
        <v>44948</v>
      </c>
      <c r="T327" s="343">
        <v>44948</v>
      </c>
      <c r="U327" s="343">
        <v>43780</v>
      </c>
      <c r="V327" s="343">
        <v>43853</v>
      </c>
      <c r="X327" s="342" t="s">
        <v>3943</v>
      </c>
      <c r="Y327" s="342" t="s">
        <v>3943</v>
      </c>
    </row>
    <row r="328" spans="1:25">
      <c r="A328" s="342">
        <v>298788</v>
      </c>
      <c r="B328" s="342" t="s">
        <v>556</v>
      </c>
      <c r="C328" s="342" t="s">
        <v>693</v>
      </c>
      <c r="D328" s="342" t="s">
        <v>558</v>
      </c>
      <c r="E328" s="342" t="s">
        <v>591</v>
      </c>
      <c r="F328" s="342" t="s">
        <v>40</v>
      </c>
      <c r="G328" s="342" t="s">
        <v>1421</v>
      </c>
      <c r="H328" s="342" t="s">
        <v>5312</v>
      </c>
      <c r="I328" s="342" t="s">
        <v>1571</v>
      </c>
      <c r="L328" s="342" t="s">
        <v>1571</v>
      </c>
      <c r="M328" s="342" t="s">
        <v>1571</v>
      </c>
      <c r="N328" s="342" t="s">
        <v>3653</v>
      </c>
      <c r="O328" s="342" t="s">
        <v>3942</v>
      </c>
      <c r="P328" s="342">
        <v>6135037243</v>
      </c>
      <c r="R328" s="342" t="s">
        <v>3649</v>
      </c>
      <c r="S328" s="343">
        <v>44948</v>
      </c>
      <c r="T328" s="343">
        <v>44948</v>
      </c>
      <c r="U328" s="343">
        <v>43780</v>
      </c>
      <c r="V328" s="343">
        <v>43853</v>
      </c>
      <c r="X328" s="342" t="s">
        <v>3943</v>
      </c>
      <c r="Y328" s="342" t="s">
        <v>3943</v>
      </c>
    </row>
    <row r="329" spans="1:25">
      <c r="A329" s="342">
        <v>298953</v>
      </c>
      <c r="B329" s="342" t="s">
        <v>649</v>
      </c>
      <c r="C329" s="342" t="s">
        <v>650</v>
      </c>
      <c r="D329" s="342" t="s">
        <v>51</v>
      </c>
      <c r="E329" s="342" t="s">
        <v>591</v>
      </c>
      <c r="F329" s="342" t="s">
        <v>40</v>
      </c>
      <c r="G329" s="342" t="s">
        <v>5450</v>
      </c>
      <c r="H329" s="342" t="s">
        <v>4559</v>
      </c>
      <c r="I329" s="342" t="s">
        <v>1568</v>
      </c>
      <c r="L329" s="342" t="s">
        <v>1568</v>
      </c>
      <c r="M329" s="342" t="s">
        <v>1568</v>
      </c>
      <c r="N329" s="342" t="s">
        <v>3652</v>
      </c>
      <c r="O329" s="342" t="s">
        <v>5221</v>
      </c>
      <c r="P329" s="342">
        <v>6119310180</v>
      </c>
      <c r="R329" s="342" t="s">
        <v>3649</v>
      </c>
      <c r="S329" s="343">
        <v>45474</v>
      </c>
      <c r="T329" s="343">
        <v>45474</v>
      </c>
      <c r="U329" s="343">
        <v>44263</v>
      </c>
      <c r="V329" s="343">
        <v>44379</v>
      </c>
      <c r="W329" s="343">
        <v>44618</v>
      </c>
      <c r="X329" s="342">
        <v>8789</v>
      </c>
      <c r="Y329" s="342" t="s">
        <v>3944</v>
      </c>
    </row>
    <row r="330" spans="1:25">
      <c r="A330" s="342">
        <v>299072</v>
      </c>
      <c r="B330" s="342" t="s">
        <v>1008</v>
      </c>
      <c r="C330" s="342" t="s">
        <v>1010</v>
      </c>
      <c r="D330" s="342" t="s">
        <v>51</v>
      </c>
      <c r="E330" s="342" t="s">
        <v>591</v>
      </c>
      <c r="F330" s="342" t="s">
        <v>784</v>
      </c>
      <c r="G330" s="342" t="s">
        <v>1336</v>
      </c>
      <c r="H330" s="342" t="s">
        <v>5313</v>
      </c>
      <c r="I330" s="342" t="s">
        <v>1577</v>
      </c>
      <c r="L330" s="342" t="s">
        <v>1568</v>
      </c>
      <c r="M330" s="342" t="s">
        <v>1568</v>
      </c>
      <c r="N330" s="342" t="s">
        <v>3652</v>
      </c>
      <c r="O330" s="342" t="s">
        <v>3945</v>
      </c>
      <c r="P330" s="342">
        <v>6136501309</v>
      </c>
      <c r="R330" s="342" t="s">
        <v>3649</v>
      </c>
      <c r="S330" s="343">
        <v>45756</v>
      </c>
      <c r="T330" s="343">
        <v>45756</v>
      </c>
      <c r="U330" s="343">
        <v>44578</v>
      </c>
      <c r="V330" s="343">
        <v>44661</v>
      </c>
      <c r="X330" s="342" t="s">
        <v>3946</v>
      </c>
      <c r="Y330" s="342" t="s">
        <v>3946</v>
      </c>
    </row>
    <row r="331" spans="1:25">
      <c r="A331" s="342">
        <v>299072</v>
      </c>
      <c r="B331" s="342" t="s">
        <v>1008</v>
      </c>
      <c r="C331" s="342" t="s">
        <v>1010</v>
      </c>
      <c r="D331" s="342" t="s">
        <v>51</v>
      </c>
      <c r="E331" s="342" t="s">
        <v>591</v>
      </c>
      <c r="F331" s="342" t="s">
        <v>787</v>
      </c>
      <c r="G331" s="342" t="s">
        <v>1336</v>
      </c>
      <c r="H331" s="342" t="s">
        <v>5313</v>
      </c>
      <c r="I331" s="342" t="s">
        <v>1573</v>
      </c>
      <c r="L331" s="342" t="s">
        <v>1571</v>
      </c>
      <c r="M331" s="342" t="s">
        <v>1571</v>
      </c>
      <c r="N331" s="342" t="s">
        <v>3656</v>
      </c>
      <c r="O331" s="342" t="s">
        <v>3945</v>
      </c>
      <c r="P331" s="342">
        <v>6136501309</v>
      </c>
      <c r="R331" s="342" t="s">
        <v>3649</v>
      </c>
      <c r="S331" s="343">
        <v>45756</v>
      </c>
      <c r="T331" s="343">
        <v>45756</v>
      </c>
      <c r="U331" s="343">
        <v>44578</v>
      </c>
      <c r="V331" s="343">
        <v>44661</v>
      </c>
      <c r="X331" s="342" t="s">
        <v>3947</v>
      </c>
      <c r="Y331" s="342" t="s">
        <v>3947</v>
      </c>
    </row>
    <row r="332" spans="1:25">
      <c r="A332" s="342">
        <v>299640</v>
      </c>
      <c r="B332" s="342" t="s">
        <v>4475</v>
      </c>
      <c r="C332" s="342" t="s">
        <v>174</v>
      </c>
      <c r="D332" s="342" t="s">
        <v>175</v>
      </c>
      <c r="E332" s="342" t="s">
        <v>591</v>
      </c>
      <c r="F332" s="342" t="s">
        <v>40</v>
      </c>
      <c r="G332" s="342" t="s">
        <v>1510</v>
      </c>
      <c r="H332" s="342" t="s">
        <v>4893</v>
      </c>
      <c r="I332" s="342" t="s">
        <v>1573</v>
      </c>
      <c r="L332" s="342" t="s">
        <v>1571</v>
      </c>
      <c r="M332" s="342" t="s">
        <v>1571</v>
      </c>
      <c r="N332" s="342" t="s">
        <v>3656</v>
      </c>
      <c r="O332" s="342" t="s">
        <v>4897</v>
      </c>
      <c r="P332" s="342">
        <v>6153981986</v>
      </c>
      <c r="R332" s="342" t="s">
        <v>3649</v>
      </c>
      <c r="S332" s="343">
        <v>45579</v>
      </c>
      <c r="T332" s="343">
        <v>45579</v>
      </c>
      <c r="U332" s="343">
        <v>44393</v>
      </c>
      <c r="V332" s="343">
        <v>44484</v>
      </c>
      <c r="X332" s="342" t="s">
        <v>4902</v>
      </c>
      <c r="Y332" s="342" t="s">
        <v>4902</v>
      </c>
    </row>
    <row r="333" spans="1:25">
      <c r="A333" s="342">
        <v>300205</v>
      </c>
      <c r="B333" s="342" t="s">
        <v>1011</v>
      </c>
      <c r="C333" s="342" t="s">
        <v>1193</v>
      </c>
      <c r="D333" s="342" t="s">
        <v>47</v>
      </c>
      <c r="E333" s="342" t="s">
        <v>591</v>
      </c>
      <c r="F333" s="342" t="s">
        <v>1100</v>
      </c>
      <c r="G333" s="342" t="s">
        <v>4638</v>
      </c>
      <c r="H333" s="342" t="s">
        <v>1556</v>
      </c>
      <c r="I333" s="342" t="s">
        <v>1568</v>
      </c>
      <c r="L333" s="342" t="s">
        <v>1568</v>
      </c>
      <c r="M333" s="342" t="s">
        <v>1568</v>
      </c>
      <c r="N333" s="342" t="s">
        <v>3650</v>
      </c>
      <c r="O333" s="342" t="s">
        <v>3948</v>
      </c>
      <c r="P333" s="342">
        <v>6148764642</v>
      </c>
      <c r="R333" s="342" t="s">
        <v>3649</v>
      </c>
      <c r="S333" s="343">
        <v>44858</v>
      </c>
      <c r="T333" s="343">
        <v>44858</v>
      </c>
      <c r="U333" s="343">
        <v>44347</v>
      </c>
      <c r="V333" s="343">
        <v>43763</v>
      </c>
      <c r="W333" s="343">
        <v>44127</v>
      </c>
      <c r="X333" s="342" t="s">
        <v>3949</v>
      </c>
      <c r="Y333" s="342" t="s">
        <v>3950</v>
      </c>
    </row>
    <row r="334" spans="1:25">
      <c r="A334" s="342">
        <v>300583</v>
      </c>
      <c r="B334" s="342" t="s">
        <v>1077</v>
      </c>
      <c r="C334" s="342" t="s">
        <v>275</v>
      </c>
      <c r="D334" s="342" t="s">
        <v>45</v>
      </c>
      <c r="E334" s="342" t="s">
        <v>591</v>
      </c>
      <c r="F334" s="342" t="s">
        <v>40</v>
      </c>
      <c r="G334" s="342" t="s">
        <v>786</v>
      </c>
      <c r="H334" s="342" t="s">
        <v>1557</v>
      </c>
      <c r="I334" s="342" t="s">
        <v>1568</v>
      </c>
      <c r="L334" s="342" t="s">
        <v>1568</v>
      </c>
      <c r="M334" s="342" t="s">
        <v>1568</v>
      </c>
      <c r="P334" s="342">
        <v>6139641169</v>
      </c>
      <c r="S334" s="343">
        <v>45117</v>
      </c>
      <c r="Y334" s="342" t="s">
        <v>3951</v>
      </c>
    </row>
    <row r="335" spans="1:25" ht="409.5">
      <c r="A335" s="342">
        <v>300812</v>
      </c>
      <c r="B335" s="342" t="s">
        <v>1441</v>
      </c>
      <c r="C335" s="342" t="s">
        <v>1443</v>
      </c>
      <c r="D335" s="342" t="s">
        <v>47</v>
      </c>
      <c r="E335" s="342" t="s">
        <v>591</v>
      </c>
      <c r="F335" s="342" t="s">
        <v>40</v>
      </c>
      <c r="G335" s="342" t="s">
        <v>1277</v>
      </c>
      <c r="H335" s="342" t="s">
        <v>5825</v>
      </c>
      <c r="I335" s="342" t="s">
        <v>1574</v>
      </c>
      <c r="L335" s="342" t="s">
        <v>1568</v>
      </c>
      <c r="M335" s="342" t="s">
        <v>1568</v>
      </c>
      <c r="N335" s="342" t="s">
        <v>3650</v>
      </c>
      <c r="O335" s="344" t="s">
        <v>3952</v>
      </c>
      <c r="P335" s="342">
        <v>6116496065</v>
      </c>
      <c r="R335" s="342" t="s">
        <v>3649</v>
      </c>
      <c r="S335" s="343">
        <v>45696</v>
      </c>
      <c r="T335" s="343">
        <v>45696</v>
      </c>
      <c r="U335" s="343">
        <v>44536</v>
      </c>
      <c r="V335" s="343">
        <v>44601</v>
      </c>
      <c r="X335" s="342" t="s">
        <v>5167</v>
      </c>
      <c r="Y335" s="342" t="s">
        <v>5176</v>
      </c>
    </row>
    <row r="336" spans="1:25" ht="409.5">
      <c r="A336" s="342">
        <v>301127</v>
      </c>
      <c r="B336" s="342" t="s">
        <v>1411</v>
      </c>
      <c r="C336" s="342" t="s">
        <v>1080</v>
      </c>
      <c r="D336" s="342" t="s">
        <v>51</v>
      </c>
      <c r="E336" s="342" t="s">
        <v>591</v>
      </c>
      <c r="F336" s="342" t="s">
        <v>40</v>
      </c>
      <c r="G336" s="342" t="s">
        <v>5449</v>
      </c>
      <c r="H336" s="342" t="s">
        <v>5826</v>
      </c>
      <c r="I336" s="342" t="s">
        <v>1571</v>
      </c>
      <c r="L336" s="342" t="s">
        <v>1571</v>
      </c>
      <c r="M336" s="342" t="s">
        <v>1571</v>
      </c>
      <c r="N336" s="342" t="s">
        <v>3653</v>
      </c>
      <c r="O336" s="344" t="s">
        <v>5955</v>
      </c>
      <c r="P336" s="342">
        <v>6132049506</v>
      </c>
      <c r="R336" s="342" t="s">
        <v>3649</v>
      </c>
      <c r="S336" s="343">
        <v>44945</v>
      </c>
      <c r="T336" s="343">
        <v>45535</v>
      </c>
      <c r="U336" s="343">
        <v>44628</v>
      </c>
      <c r="V336" s="343">
        <v>44440</v>
      </c>
      <c r="W336" s="343">
        <v>44743</v>
      </c>
      <c r="X336" s="342" t="s">
        <v>5959</v>
      </c>
      <c r="Y336" s="342" t="s">
        <v>3871</v>
      </c>
    </row>
    <row r="337" spans="1:25">
      <c r="A337" s="342">
        <v>301185</v>
      </c>
      <c r="B337" s="342" t="s">
        <v>1151</v>
      </c>
      <c r="C337" s="342" t="s">
        <v>1321</v>
      </c>
      <c r="D337" s="342" t="s">
        <v>55</v>
      </c>
      <c r="E337" s="342" t="s">
        <v>591</v>
      </c>
      <c r="F337" s="342" t="s">
        <v>40</v>
      </c>
      <c r="G337" s="342" t="s">
        <v>1277</v>
      </c>
      <c r="H337" s="342" t="s">
        <v>4606</v>
      </c>
      <c r="I337" s="342" t="s">
        <v>1581</v>
      </c>
      <c r="L337" s="342" t="s">
        <v>1581</v>
      </c>
      <c r="M337" s="342" t="s">
        <v>1581</v>
      </c>
      <c r="S337" s="343">
        <v>45492</v>
      </c>
      <c r="Y337" s="342" t="s">
        <v>4607</v>
      </c>
    </row>
    <row r="338" spans="1:25">
      <c r="A338" s="342">
        <v>301672</v>
      </c>
      <c r="B338" s="342" t="s">
        <v>624</v>
      </c>
      <c r="C338" s="342" t="s">
        <v>559</v>
      </c>
      <c r="D338" s="342" t="s">
        <v>55</v>
      </c>
      <c r="E338" s="342" t="s">
        <v>591</v>
      </c>
      <c r="F338" s="342" t="s">
        <v>40</v>
      </c>
      <c r="G338" s="342" t="s">
        <v>1421</v>
      </c>
      <c r="H338" s="342" t="s">
        <v>1558</v>
      </c>
      <c r="I338" s="342" t="s">
        <v>1568</v>
      </c>
      <c r="L338" s="342" t="s">
        <v>1568</v>
      </c>
      <c r="M338" s="342" t="s">
        <v>1568</v>
      </c>
      <c r="N338" s="342" t="s">
        <v>3650</v>
      </c>
      <c r="O338" s="342" t="s">
        <v>3953</v>
      </c>
      <c r="P338" s="342">
        <v>6137226120</v>
      </c>
      <c r="R338" s="342" t="s">
        <v>3649</v>
      </c>
      <c r="S338" s="343">
        <v>45109</v>
      </c>
      <c r="T338" s="343">
        <v>45109</v>
      </c>
      <c r="U338" s="343">
        <v>44627</v>
      </c>
      <c r="V338" s="343">
        <v>44015</v>
      </c>
      <c r="W338" s="343">
        <v>44715</v>
      </c>
      <c r="X338" s="342" t="s">
        <v>5512</v>
      </c>
      <c r="Y338" s="342" t="s">
        <v>3954</v>
      </c>
    </row>
    <row r="339" spans="1:25">
      <c r="A339" s="342">
        <v>301799</v>
      </c>
      <c r="B339" s="342" t="s">
        <v>1013</v>
      </c>
      <c r="C339" s="342" t="s">
        <v>1015</v>
      </c>
      <c r="D339" s="342" t="s">
        <v>51</v>
      </c>
      <c r="E339" s="342" t="s">
        <v>591</v>
      </c>
      <c r="F339" s="342" t="s">
        <v>40</v>
      </c>
      <c r="G339" s="342" t="s">
        <v>1277</v>
      </c>
      <c r="H339" s="342" t="s">
        <v>4645</v>
      </c>
      <c r="I339" s="342" t="s">
        <v>1568</v>
      </c>
      <c r="L339" s="342" t="s">
        <v>1568</v>
      </c>
      <c r="M339" s="342" t="s">
        <v>1568</v>
      </c>
      <c r="N339" s="342" t="s">
        <v>3652</v>
      </c>
      <c r="O339" s="342" t="s">
        <v>4635</v>
      </c>
      <c r="P339" s="342">
        <v>6127819482</v>
      </c>
      <c r="R339" s="342" t="s">
        <v>3649</v>
      </c>
      <c r="S339" s="343">
        <v>45535</v>
      </c>
      <c r="T339" s="343">
        <v>45535</v>
      </c>
      <c r="U339" s="343">
        <v>43571</v>
      </c>
      <c r="V339" s="343">
        <v>44440</v>
      </c>
      <c r="X339" s="342" t="s">
        <v>4636</v>
      </c>
      <c r="Y339" s="342" t="s">
        <v>4636</v>
      </c>
    </row>
    <row r="340" spans="1:25">
      <c r="A340" s="342">
        <v>301805</v>
      </c>
      <c r="B340" s="342" t="s">
        <v>560</v>
      </c>
      <c r="C340" s="342" t="s">
        <v>562</v>
      </c>
      <c r="D340" s="342" t="s">
        <v>549</v>
      </c>
      <c r="E340" s="342" t="s">
        <v>591</v>
      </c>
      <c r="F340" s="342" t="s">
        <v>40</v>
      </c>
      <c r="G340" s="342" t="s">
        <v>5282</v>
      </c>
      <c r="H340" s="342" t="s">
        <v>5092</v>
      </c>
      <c r="I340" s="342" t="s">
        <v>1571</v>
      </c>
      <c r="L340" s="342" t="s">
        <v>1571</v>
      </c>
      <c r="M340" s="342" t="s">
        <v>1571</v>
      </c>
      <c r="N340" s="342" t="s">
        <v>3656</v>
      </c>
      <c r="O340" s="342" t="s">
        <v>3955</v>
      </c>
      <c r="P340" s="342">
        <v>6134084129</v>
      </c>
      <c r="R340" s="342" t="s">
        <v>3649</v>
      </c>
      <c r="S340" s="343">
        <v>45348</v>
      </c>
      <c r="T340" s="343">
        <v>45348</v>
      </c>
      <c r="U340" s="343">
        <v>43766</v>
      </c>
      <c r="V340" s="343">
        <v>44254</v>
      </c>
      <c r="X340" s="342" t="s">
        <v>3956</v>
      </c>
      <c r="Y340" s="342" t="s">
        <v>3956</v>
      </c>
    </row>
    <row r="341" spans="1:25" ht="409.5">
      <c r="A341" s="342">
        <v>302146</v>
      </c>
      <c r="B341" s="342" t="s">
        <v>563</v>
      </c>
      <c r="C341" s="342" t="s">
        <v>565</v>
      </c>
      <c r="D341" s="342" t="s">
        <v>51</v>
      </c>
      <c r="E341" s="342" t="s">
        <v>591</v>
      </c>
      <c r="F341" s="342" t="s">
        <v>40</v>
      </c>
      <c r="G341" s="342" t="s">
        <v>5449</v>
      </c>
      <c r="H341" s="342" t="s">
        <v>5093</v>
      </c>
      <c r="I341" s="342" t="s">
        <v>1568</v>
      </c>
      <c r="L341" s="342" t="s">
        <v>1568</v>
      </c>
      <c r="M341" s="342" t="s">
        <v>1568</v>
      </c>
      <c r="N341" s="342" t="s">
        <v>3652</v>
      </c>
      <c r="O341" s="344" t="s">
        <v>3957</v>
      </c>
      <c r="P341" s="342">
        <v>6145452601</v>
      </c>
      <c r="R341" s="342" t="s">
        <v>3649</v>
      </c>
      <c r="S341" s="343">
        <v>44936</v>
      </c>
      <c r="T341" s="343">
        <v>44936</v>
      </c>
      <c r="U341" s="343">
        <v>44508</v>
      </c>
      <c r="V341" s="343">
        <v>43841</v>
      </c>
      <c r="W341" s="343">
        <v>44461</v>
      </c>
      <c r="X341" s="342">
        <v>13543</v>
      </c>
      <c r="Y341" s="342">
        <v>13543</v>
      </c>
    </row>
    <row r="342" spans="1:25">
      <c r="A342" s="342">
        <v>302236</v>
      </c>
      <c r="B342" s="342" t="s">
        <v>733</v>
      </c>
      <c r="C342" s="342" t="s">
        <v>735</v>
      </c>
      <c r="D342" s="342" t="s">
        <v>51</v>
      </c>
      <c r="E342" s="342" t="s">
        <v>591</v>
      </c>
      <c r="F342" s="342" t="s">
        <v>40</v>
      </c>
      <c r="G342" s="342" t="s">
        <v>5450</v>
      </c>
      <c r="H342" s="342" t="s">
        <v>4560</v>
      </c>
      <c r="I342" s="342" t="s">
        <v>1568</v>
      </c>
      <c r="L342" s="342" t="s">
        <v>1568</v>
      </c>
      <c r="M342" s="342" t="s">
        <v>1568</v>
      </c>
      <c r="N342" s="342" t="s">
        <v>3652</v>
      </c>
      <c r="O342" s="342" t="s">
        <v>3958</v>
      </c>
      <c r="P342" s="342">
        <v>6116290106</v>
      </c>
      <c r="R342" s="342" t="s">
        <v>3649</v>
      </c>
      <c r="S342" s="343">
        <v>45455</v>
      </c>
      <c r="T342" s="343">
        <v>45455</v>
      </c>
      <c r="U342" s="343">
        <v>43759</v>
      </c>
      <c r="V342" s="343">
        <v>44360</v>
      </c>
      <c r="W342" s="343">
        <v>44620</v>
      </c>
      <c r="X342" s="342" t="s">
        <v>3959</v>
      </c>
      <c r="Y342" s="342" t="s">
        <v>3959</v>
      </c>
    </row>
    <row r="343" spans="1:25">
      <c r="A343" s="342">
        <v>302643</v>
      </c>
      <c r="B343" s="342" t="s">
        <v>1017</v>
      </c>
      <c r="C343" s="342" t="s">
        <v>137</v>
      </c>
      <c r="D343" s="342" t="s">
        <v>55</v>
      </c>
      <c r="E343" s="342" t="s">
        <v>591</v>
      </c>
      <c r="F343" s="342" t="s">
        <v>41</v>
      </c>
      <c r="G343" s="342" t="s">
        <v>4638</v>
      </c>
      <c r="H343" s="342" t="s">
        <v>4980</v>
      </c>
      <c r="I343" s="342" t="s">
        <v>1571</v>
      </c>
      <c r="L343" s="342" t="s">
        <v>1571</v>
      </c>
      <c r="M343" s="342" t="s">
        <v>1571</v>
      </c>
      <c r="N343" s="342" t="s">
        <v>3653</v>
      </c>
      <c r="O343" s="342" t="s">
        <v>4981</v>
      </c>
      <c r="P343" s="342">
        <v>6121397447</v>
      </c>
      <c r="R343" s="342" t="s">
        <v>3649</v>
      </c>
      <c r="S343" s="343">
        <v>45646</v>
      </c>
      <c r="T343" s="343">
        <v>45646</v>
      </c>
      <c r="U343" s="343">
        <v>44277</v>
      </c>
      <c r="V343" s="343">
        <v>44551</v>
      </c>
      <c r="W343" s="343">
        <v>44580</v>
      </c>
      <c r="X343" s="342" t="s">
        <v>5164</v>
      </c>
      <c r="Y343" s="342" t="s">
        <v>3755</v>
      </c>
    </row>
    <row r="344" spans="1:25">
      <c r="A344" s="342">
        <v>302784</v>
      </c>
      <c r="B344" s="342" t="s">
        <v>1376</v>
      </c>
      <c r="C344" s="342" t="s">
        <v>1378</v>
      </c>
      <c r="D344" s="342" t="s">
        <v>1379</v>
      </c>
      <c r="E344" s="342" t="s">
        <v>591</v>
      </c>
      <c r="F344" s="342" t="s">
        <v>41</v>
      </c>
      <c r="G344" s="342" t="s">
        <v>4638</v>
      </c>
      <c r="H344" s="342" t="s">
        <v>4980</v>
      </c>
      <c r="I344" s="342" t="s">
        <v>1571</v>
      </c>
      <c r="L344" s="342" t="s">
        <v>1571</v>
      </c>
      <c r="M344" s="342" t="s">
        <v>1571</v>
      </c>
      <c r="N344" s="342" t="s">
        <v>3653</v>
      </c>
      <c r="O344" s="342" t="s">
        <v>4981</v>
      </c>
      <c r="P344" s="342">
        <v>6144217300</v>
      </c>
      <c r="R344" s="342" t="s">
        <v>3649</v>
      </c>
      <c r="S344" s="343">
        <v>45646</v>
      </c>
      <c r="T344" s="343">
        <v>45646</v>
      </c>
      <c r="U344" s="343">
        <v>43556</v>
      </c>
      <c r="V344" s="343">
        <v>44551</v>
      </c>
      <c r="W344" s="343">
        <v>44580</v>
      </c>
      <c r="X344" s="342" t="s">
        <v>5164</v>
      </c>
      <c r="Y344" s="342" t="s">
        <v>3755</v>
      </c>
    </row>
    <row r="345" spans="1:25" ht="196">
      <c r="A345" s="342">
        <v>302792</v>
      </c>
      <c r="B345" s="342" t="s">
        <v>1018</v>
      </c>
      <c r="C345" s="342" t="s">
        <v>1020</v>
      </c>
      <c r="D345" s="342" t="s">
        <v>465</v>
      </c>
      <c r="E345" s="342" t="s">
        <v>591</v>
      </c>
      <c r="F345" s="342" t="s">
        <v>41</v>
      </c>
      <c r="G345" s="342" t="s">
        <v>4638</v>
      </c>
      <c r="H345" s="342" t="s">
        <v>5226</v>
      </c>
      <c r="I345" s="342" t="s">
        <v>1571</v>
      </c>
      <c r="L345" s="342" t="s">
        <v>1571</v>
      </c>
      <c r="M345" s="342" t="s">
        <v>1571</v>
      </c>
      <c r="N345" s="342" t="s">
        <v>3656</v>
      </c>
      <c r="O345" s="344" t="s">
        <v>4851</v>
      </c>
      <c r="P345" s="342">
        <v>6142954322</v>
      </c>
      <c r="R345" s="342" t="s">
        <v>3649</v>
      </c>
      <c r="S345" s="343">
        <v>45722</v>
      </c>
      <c r="T345" s="343">
        <v>45722</v>
      </c>
      <c r="U345" s="343">
        <v>43752</v>
      </c>
      <c r="V345" s="343">
        <v>44627</v>
      </c>
      <c r="X345" s="342">
        <v>19003</v>
      </c>
      <c r="Y345" s="342">
        <v>19003</v>
      </c>
    </row>
    <row r="346" spans="1:25">
      <c r="A346" s="342">
        <v>302825</v>
      </c>
      <c r="B346" s="342" t="s">
        <v>730</v>
      </c>
      <c r="C346" s="342" t="s">
        <v>731</v>
      </c>
      <c r="D346" s="342" t="s">
        <v>47</v>
      </c>
      <c r="E346" s="342" t="s">
        <v>591</v>
      </c>
      <c r="F346" s="342" t="s">
        <v>40</v>
      </c>
      <c r="G346" s="342" t="s">
        <v>5282</v>
      </c>
      <c r="H346" s="342" t="s">
        <v>4532</v>
      </c>
      <c r="I346" s="342" t="s">
        <v>1571</v>
      </c>
      <c r="L346" s="342" t="s">
        <v>1571</v>
      </c>
      <c r="M346" s="342" t="s">
        <v>1571</v>
      </c>
      <c r="N346" s="342" t="s">
        <v>3656</v>
      </c>
      <c r="O346" s="342" t="s">
        <v>3960</v>
      </c>
      <c r="P346" s="342">
        <v>6115399820</v>
      </c>
      <c r="R346" s="342" t="s">
        <v>3649</v>
      </c>
      <c r="S346" s="343">
        <v>45428</v>
      </c>
      <c r="T346" s="343">
        <v>45428</v>
      </c>
      <c r="U346" s="343">
        <v>43871</v>
      </c>
      <c r="V346" s="343">
        <v>44333</v>
      </c>
      <c r="X346" s="342" t="s">
        <v>3961</v>
      </c>
      <c r="Y346" s="342" t="s">
        <v>3961</v>
      </c>
    </row>
    <row r="347" spans="1:25">
      <c r="A347" s="342">
        <v>302990</v>
      </c>
      <c r="B347" s="342" t="s">
        <v>1269</v>
      </c>
      <c r="C347" s="342" t="s">
        <v>1271</v>
      </c>
      <c r="D347" s="342" t="s">
        <v>47</v>
      </c>
      <c r="E347" s="342" t="s">
        <v>591</v>
      </c>
      <c r="F347" s="342" t="s">
        <v>685</v>
      </c>
      <c r="G347" s="342" t="s">
        <v>1421</v>
      </c>
      <c r="H347" s="342" t="s">
        <v>1559</v>
      </c>
      <c r="I347" s="342" t="s">
        <v>1574</v>
      </c>
      <c r="L347" s="342" t="s">
        <v>1568</v>
      </c>
      <c r="M347" s="342" t="s">
        <v>1568</v>
      </c>
      <c r="N347" s="342" t="s">
        <v>3650</v>
      </c>
      <c r="O347" s="342" t="s">
        <v>3962</v>
      </c>
      <c r="P347" s="342">
        <v>6145097367</v>
      </c>
      <c r="R347" s="342" t="s">
        <v>3649</v>
      </c>
      <c r="S347" s="343">
        <v>44860</v>
      </c>
      <c r="T347" s="343">
        <v>44860</v>
      </c>
      <c r="U347" s="343">
        <v>44453</v>
      </c>
      <c r="V347" s="343">
        <v>43765</v>
      </c>
      <c r="X347" s="342">
        <v>73063.3</v>
      </c>
      <c r="Y347" s="342" t="s">
        <v>3963</v>
      </c>
    </row>
    <row r="348" spans="1:25">
      <c r="A348" s="342">
        <v>303127</v>
      </c>
      <c r="B348" s="342" t="s">
        <v>1130</v>
      </c>
      <c r="C348" s="342" t="s">
        <v>1131</v>
      </c>
      <c r="D348" s="342" t="s">
        <v>45</v>
      </c>
      <c r="E348" s="342" t="s">
        <v>591</v>
      </c>
      <c r="F348" s="342" t="s">
        <v>43</v>
      </c>
      <c r="G348" s="342" t="s">
        <v>1421</v>
      </c>
      <c r="P348" s="342">
        <v>6150330828</v>
      </c>
    </row>
    <row r="349" spans="1:25">
      <c r="A349" s="342">
        <v>303386</v>
      </c>
      <c r="B349" s="342" t="s">
        <v>567</v>
      </c>
      <c r="C349" s="342" t="s">
        <v>569</v>
      </c>
      <c r="D349" s="342" t="s">
        <v>51</v>
      </c>
      <c r="E349" s="342" t="s">
        <v>591</v>
      </c>
      <c r="F349" s="342" t="s">
        <v>40</v>
      </c>
      <c r="G349" s="342" t="s">
        <v>786</v>
      </c>
      <c r="H349" s="342" t="s">
        <v>5094</v>
      </c>
      <c r="I349" s="342" t="s">
        <v>1571</v>
      </c>
      <c r="L349" s="342" t="s">
        <v>1571</v>
      </c>
      <c r="M349" s="342" t="s">
        <v>1571</v>
      </c>
      <c r="N349" s="342" t="s">
        <v>3656</v>
      </c>
      <c r="O349" s="342" t="s">
        <v>3964</v>
      </c>
      <c r="P349" s="342">
        <v>6116673448</v>
      </c>
      <c r="R349" s="342" t="s">
        <v>3649</v>
      </c>
      <c r="S349" s="343">
        <v>45130</v>
      </c>
      <c r="T349" s="343">
        <v>45130</v>
      </c>
      <c r="U349" s="343">
        <v>44033</v>
      </c>
      <c r="V349" s="343">
        <v>44036</v>
      </c>
      <c r="X349" s="342" t="s">
        <v>3965</v>
      </c>
      <c r="Y349" s="342" t="s">
        <v>3965</v>
      </c>
    </row>
    <row r="350" spans="1:25">
      <c r="A350" s="342">
        <v>303561</v>
      </c>
      <c r="B350" s="342" t="s">
        <v>1212</v>
      </c>
      <c r="C350" s="342" t="s">
        <v>1214</v>
      </c>
      <c r="D350" s="342" t="s">
        <v>47</v>
      </c>
      <c r="E350" s="342" t="s">
        <v>591</v>
      </c>
      <c r="F350" s="342" t="s">
        <v>40</v>
      </c>
      <c r="G350" s="342" t="s">
        <v>5281</v>
      </c>
      <c r="H350" s="342" t="s">
        <v>5827</v>
      </c>
      <c r="I350" s="342" t="s">
        <v>1569</v>
      </c>
      <c r="L350" s="342" t="s">
        <v>1568</v>
      </c>
      <c r="M350" s="342" t="s">
        <v>1568</v>
      </c>
      <c r="N350" s="342" t="s">
        <v>3650</v>
      </c>
      <c r="O350" s="342" t="s">
        <v>3966</v>
      </c>
      <c r="P350" s="342">
        <v>6121802505</v>
      </c>
      <c r="R350" s="342" t="s">
        <v>3649</v>
      </c>
      <c r="S350" s="343">
        <v>44900</v>
      </c>
      <c r="T350" s="343">
        <v>44900</v>
      </c>
      <c r="U350" s="343">
        <v>44719</v>
      </c>
      <c r="V350" s="343">
        <v>43805</v>
      </c>
      <c r="W350" s="343">
        <v>44746</v>
      </c>
      <c r="X350" s="342" t="s">
        <v>5964</v>
      </c>
      <c r="Y350" s="342">
        <v>33371</v>
      </c>
    </row>
    <row r="351" spans="1:25">
      <c r="A351" s="342">
        <v>304445</v>
      </c>
      <c r="B351" s="342" t="s">
        <v>1297</v>
      </c>
      <c r="C351" s="342" t="s">
        <v>1300</v>
      </c>
      <c r="D351" s="342" t="s">
        <v>779</v>
      </c>
      <c r="E351" s="342" t="s">
        <v>591</v>
      </c>
      <c r="F351" s="342" t="s">
        <v>40</v>
      </c>
      <c r="G351" s="342" t="s">
        <v>5282</v>
      </c>
      <c r="H351" s="342" t="s">
        <v>5828</v>
      </c>
      <c r="I351" s="342" t="s">
        <v>1573</v>
      </c>
      <c r="L351" s="342" t="s">
        <v>1571</v>
      </c>
      <c r="M351" s="342" t="s">
        <v>1571</v>
      </c>
      <c r="N351" s="342" t="s">
        <v>3656</v>
      </c>
      <c r="O351" s="342" t="s">
        <v>4639</v>
      </c>
      <c r="P351" s="342">
        <v>6130385068</v>
      </c>
      <c r="R351" s="342" t="s">
        <v>3649</v>
      </c>
      <c r="S351" s="343">
        <v>44851</v>
      </c>
      <c r="T351" s="343">
        <v>44851</v>
      </c>
      <c r="U351" s="343">
        <v>43522</v>
      </c>
      <c r="V351" s="343">
        <v>43756</v>
      </c>
      <c r="W351" s="343">
        <v>44387</v>
      </c>
      <c r="X351" s="342" t="s">
        <v>3967</v>
      </c>
      <c r="Y351" s="342" t="s">
        <v>3967</v>
      </c>
    </row>
    <row r="352" spans="1:25">
      <c r="A352" s="342">
        <v>304473</v>
      </c>
      <c r="B352" s="342" t="s">
        <v>1364</v>
      </c>
      <c r="C352" s="342" t="s">
        <v>1367</v>
      </c>
      <c r="D352" s="342" t="s">
        <v>51</v>
      </c>
      <c r="E352" s="342" t="s">
        <v>591</v>
      </c>
      <c r="F352" s="342" t="s">
        <v>40</v>
      </c>
      <c r="G352" s="342" t="s">
        <v>5279</v>
      </c>
      <c r="H352" s="342" t="s">
        <v>1560</v>
      </c>
      <c r="I352" s="342" t="s">
        <v>1568</v>
      </c>
      <c r="L352" s="342" t="s">
        <v>1568</v>
      </c>
      <c r="M352" s="342" t="s">
        <v>1568</v>
      </c>
      <c r="N352" s="342" t="s">
        <v>3652</v>
      </c>
      <c r="O352" s="342" t="s">
        <v>3968</v>
      </c>
      <c r="P352" s="342">
        <v>6114228905</v>
      </c>
      <c r="R352" s="342" t="s">
        <v>3649</v>
      </c>
      <c r="S352" s="343">
        <v>44926</v>
      </c>
      <c r="T352" s="343">
        <v>44926</v>
      </c>
      <c r="U352" s="343">
        <v>43969</v>
      </c>
      <c r="V352" s="343">
        <v>43831</v>
      </c>
      <c r="W352" s="343">
        <v>44578</v>
      </c>
      <c r="X352" s="342">
        <v>10423098</v>
      </c>
      <c r="Y352" s="342">
        <v>11200</v>
      </c>
    </row>
    <row r="353" spans="1:25">
      <c r="A353" s="342">
        <v>305007</v>
      </c>
      <c r="B353" s="342" t="s">
        <v>570</v>
      </c>
      <c r="C353" s="342" t="s">
        <v>265</v>
      </c>
      <c r="D353" s="342" t="s">
        <v>107</v>
      </c>
      <c r="E353" s="342" t="s">
        <v>591</v>
      </c>
      <c r="F353" s="342" t="s">
        <v>40</v>
      </c>
      <c r="G353" s="342" t="s">
        <v>1277</v>
      </c>
      <c r="H353" s="342" t="s">
        <v>4717</v>
      </c>
      <c r="I353" s="342" t="s">
        <v>1568</v>
      </c>
      <c r="L353" s="342" t="s">
        <v>1568</v>
      </c>
      <c r="M353" s="342" t="s">
        <v>1568</v>
      </c>
      <c r="N353" s="342" t="s">
        <v>3652</v>
      </c>
      <c r="O353" s="342" t="s">
        <v>4690</v>
      </c>
      <c r="P353" s="342">
        <v>6122144343</v>
      </c>
      <c r="R353" s="342" t="s">
        <v>3649</v>
      </c>
      <c r="S353" s="343">
        <v>45550</v>
      </c>
      <c r="T353" s="343">
        <v>45550</v>
      </c>
      <c r="U353" s="343">
        <v>43333</v>
      </c>
      <c r="V353" s="343">
        <v>44455</v>
      </c>
      <c r="W353" s="343">
        <v>44455</v>
      </c>
      <c r="X353" s="342" t="s">
        <v>3734</v>
      </c>
      <c r="Y353" s="342" t="s">
        <v>3734</v>
      </c>
    </row>
    <row r="354" spans="1:25" ht="409.5">
      <c r="A354" s="342">
        <v>305015</v>
      </c>
      <c r="B354" s="342" t="s">
        <v>4553</v>
      </c>
      <c r="C354" s="342" t="s">
        <v>4538</v>
      </c>
      <c r="D354" s="342" t="s">
        <v>51</v>
      </c>
      <c r="E354" s="342" t="s">
        <v>591</v>
      </c>
      <c r="F354" s="342" t="s">
        <v>737</v>
      </c>
      <c r="G354" s="342" t="s">
        <v>5280</v>
      </c>
      <c r="H354" s="342" t="s">
        <v>4719</v>
      </c>
      <c r="I354" s="342" t="s">
        <v>1568</v>
      </c>
      <c r="L354" s="342" t="s">
        <v>1568</v>
      </c>
      <c r="M354" s="342" t="s">
        <v>1568</v>
      </c>
      <c r="N354" s="342" t="s">
        <v>3652</v>
      </c>
      <c r="O354" s="344" t="s">
        <v>4723</v>
      </c>
      <c r="P354" s="342">
        <v>6151125061</v>
      </c>
      <c r="R354" s="342" t="s">
        <v>3649</v>
      </c>
      <c r="S354" s="343">
        <v>44800</v>
      </c>
      <c r="T354" s="343">
        <v>44800</v>
      </c>
      <c r="U354" s="343">
        <v>43633</v>
      </c>
      <c r="V354" s="343">
        <v>43705</v>
      </c>
      <c r="W354" s="343">
        <v>44127</v>
      </c>
      <c r="X354" s="342">
        <v>59471</v>
      </c>
      <c r="Y354" s="342">
        <v>59471</v>
      </c>
    </row>
    <row r="355" spans="1:25">
      <c r="A355" s="342">
        <v>305252</v>
      </c>
      <c r="B355" s="342" t="s">
        <v>1460</v>
      </c>
      <c r="C355" s="342" t="s">
        <v>336</v>
      </c>
      <c r="D355" s="342" t="s">
        <v>337</v>
      </c>
      <c r="E355" s="342" t="s">
        <v>591</v>
      </c>
      <c r="F355" s="342" t="s">
        <v>40</v>
      </c>
      <c r="G355" s="342" t="s">
        <v>5283</v>
      </c>
      <c r="H355" s="342" t="s">
        <v>5829</v>
      </c>
      <c r="I355" s="342" t="s">
        <v>1571</v>
      </c>
      <c r="L355" s="342" t="s">
        <v>1571</v>
      </c>
      <c r="M355" s="342" t="s">
        <v>1571</v>
      </c>
      <c r="N355" s="342" t="s">
        <v>3653</v>
      </c>
      <c r="O355" s="342" t="s">
        <v>3969</v>
      </c>
      <c r="P355" s="342">
        <v>6121667180</v>
      </c>
      <c r="R355" s="342" t="s">
        <v>3649</v>
      </c>
      <c r="S355" s="343">
        <v>45698</v>
      </c>
      <c r="T355" s="343">
        <v>45698</v>
      </c>
      <c r="U355" s="343">
        <v>44501</v>
      </c>
      <c r="V355" s="343">
        <v>44603</v>
      </c>
      <c r="X355" s="342" t="s">
        <v>3970</v>
      </c>
      <c r="Y355" s="342" t="s">
        <v>3970</v>
      </c>
    </row>
    <row r="356" spans="1:25">
      <c r="A356" s="342">
        <v>306044</v>
      </c>
      <c r="B356" s="342" t="s">
        <v>574</v>
      </c>
      <c r="C356" s="342" t="s">
        <v>336</v>
      </c>
      <c r="D356" s="342" t="s">
        <v>337</v>
      </c>
      <c r="E356" s="342" t="s">
        <v>591</v>
      </c>
      <c r="F356" s="342" t="s">
        <v>40</v>
      </c>
      <c r="G356" s="342" t="s">
        <v>5278</v>
      </c>
      <c r="H356" s="342" t="s">
        <v>1561</v>
      </c>
      <c r="I356" s="342" t="s">
        <v>1571</v>
      </c>
      <c r="L356" s="342" t="s">
        <v>1571</v>
      </c>
      <c r="M356" s="342" t="s">
        <v>1571</v>
      </c>
      <c r="N356" s="342" t="s">
        <v>3656</v>
      </c>
      <c r="O356" s="342" t="s">
        <v>3971</v>
      </c>
      <c r="P356" s="342">
        <v>6140544828</v>
      </c>
      <c r="R356" s="342" t="s">
        <v>3649</v>
      </c>
      <c r="S356" s="343">
        <v>45205</v>
      </c>
      <c r="T356" s="343">
        <v>45205</v>
      </c>
      <c r="U356" s="343">
        <v>44389</v>
      </c>
      <c r="V356" s="343">
        <v>44111</v>
      </c>
      <c r="X356" s="342" t="s">
        <v>3972</v>
      </c>
      <c r="Y356" s="342" t="s">
        <v>3972</v>
      </c>
    </row>
    <row r="357" spans="1:25">
      <c r="A357" s="342">
        <v>306131</v>
      </c>
      <c r="B357" s="342" t="s">
        <v>576</v>
      </c>
      <c r="C357" s="342" t="s">
        <v>578</v>
      </c>
      <c r="D357" s="342" t="s">
        <v>452</v>
      </c>
      <c r="E357" s="342" t="s">
        <v>591</v>
      </c>
      <c r="F357" s="342" t="s">
        <v>40</v>
      </c>
      <c r="G357" s="342" t="s">
        <v>1288</v>
      </c>
      <c r="H357" s="342" t="s">
        <v>5830</v>
      </c>
      <c r="I357" s="342" t="s">
        <v>1571</v>
      </c>
      <c r="L357" s="342" t="s">
        <v>1571</v>
      </c>
      <c r="M357" s="342" t="s">
        <v>1571</v>
      </c>
      <c r="N357" s="342" t="s">
        <v>3656</v>
      </c>
      <c r="O357" s="342" t="s">
        <v>3973</v>
      </c>
      <c r="P357" s="342">
        <v>6125727107</v>
      </c>
      <c r="R357" s="342" t="s">
        <v>3649</v>
      </c>
      <c r="S357" s="343">
        <v>45102</v>
      </c>
      <c r="T357" s="343">
        <v>45102</v>
      </c>
      <c r="U357" s="343">
        <v>43516</v>
      </c>
      <c r="V357" s="343">
        <v>44008</v>
      </c>
      <c r="X357" s="342" t="s">
        <v>3974</v>
      </c>
      <c r="Y357" s="342" t="s">
        <v>3974</v>
      </c>
    </row>
    <row r="358" spans="1:25">
      <c r="A358" s="342">
        <v>306148</v>
      </c>
      <c r="B358" s="342" t="s">
        <v>1326</v>
      </c>
      <c r="C358" s="342" t="s">
        <v>580</v>
      </c>
      <c r="D358" s="342" t="s">
        <v>47</v>
      </c>
      <c r="E358" s="342" t="s">
        <v>591</v>
      </c>
      <c r="F358" s="342" t="s">
        <v>40</v>
      </c>
      <c r="G358" s="342" t="s">
        <v>5280</v>
      </c>
      <c r="H358" s="342" t="s">
        <v>4574</v>
      </c>
      <c r="I358" s="342" t="s">
        <v>1568</v>
      </c>
      <c r="L358" s="342" t="s">
        <v>1568</v>
      </c>
      <c r="M358" s="342" t="s">
        <v>1568</v>
      </c>
      <c r="N358" s="342" t="s">
        <v>3650</v>
      </c>
      <c r="O358" s="342" t="s">
        <v>3975</v>
      </c>
      <c r="P358" s="342">
        <v>6119905689</v>
      </c>
      <c r="R358" s="342" t="s">
        <v>3649</v>
      </c>
      <c r="S358" s="343">
        <v>45458</v>
      </c>
      <c r="T358" s="343">
        <v>45458</v>
      </c>
      <c r="U358" s="343">
        <v>44306</v>
      </c>
      <c r="V358" s="343">
        <v>44363</v>
      </c>
      <c r="X358" s="342">
        <v>20534.400000000001</v>
      </c>
      <c r="Y358" s="342" t="s">
        <v>4578</v>
      </c>
    </row>
    <row r="359" spans="1:25">
      <c r="A359" s="342">
        <v>306307</v>
      </c>
      <c r="B359" s="342" t="s">
        <v>1184</v>
      </c>
      <c r="C359" s="342" t="s">
        <v>1186</v>
      </c>
      <c r="D359" s="342" t="s">
        <v>51</v>
      </c>
      <c r="E359" s="342" t="s">
        <v>591</v>
      </c>
      <c r="F359" s="342" t="s">
        <v>40</v>
      </c>
      <c r="G359" s="342" t="s">
        <v>1277</v>
      </c>
      <c r="H359" s="342" t="s">
        <v>4368</v>
      </c>
      <c r="I359" s="342" t="s">
        <v>1569</v>
      </c>
      <c r="L359" s="342" t="s">
        <v>1568</v>
      </c>
      <c r="M359" s="342" t="s">
        <v>1568</v>
      </c>
      <c r="N359" s="342" t="s">
        <v>3652</v>
      </c>
      <c r="O359" s="342" t="s">
        <v>3976</v>
      </c>
      <c r="P359" s="342">
        <v>6115285387</v>
      </c>
      <c r="R359" s="342" t="s">
        <v>3649</v>
      </c>
      <c r="S359" s="343">
        <v>45353</v>
      </c>
      <c r="T359" s="343">
        <v>45353</v>
      </c>
      <c r="U359" s="343">
        <v>43850</v>
      </c>
      <c r="V359" s="343">
        <v>44258</v>
      </c>
      <c r="X359" s="342" t="s">
        <v>4365</v>
      </c>
      <c r="Y359" s="342" t="s">
        <v>4365</v>
      </c>
    </row>
    <row r="360" spans="1:25">
      <c r="A360" s="342">
        <v>306387</v>
      </c>
      <c r="B360" s="342" t="s">
        <v>581</v>
      </c>
      <c r="C360" s="342" t="s">
        <v>336</v>
      </c>
      <c r="D360" s="342" t="s">
        <v>337</v>
      </c>
      <c r="E360" s="342" t="s">
        <v>591</v>
      </c>
      <c r="F360" s="342" t="s">
        <v>40</v>
      </c>
      <c r="G360" s="342" t="s">
        <v>4638</v>
      </c>
      <c r="H360" s="342" t="s">
        <v>4777</v>
      </c>
      <c r="I360" s="342" t="s">
        <v>1571</v>
      </c>
      <c r="L360" s="342" t="s">
        <v>1571</v>
      </c>
      <c r="M360" s="342" t="s">
        <v>1571</v>
      </c>
      <c r="N360" s="342" t="s">
        <v>3656</v>
      </c>
      <c r="O360" s="342" t="s">
        <v>3977</v>
      </c>
      <c r="P360" s="342">
        <v>6136370365</v>
      </c>
      <c r="R360" s="342" t="s">
        <v>3649</v>
      </c>
      <c r="S360" s="343">
        <v>45642</v>
      </c>
      <c r="T360" s="343">
        <v>45642</v>
      </c>
      <c r="U360" s="343">
        <v>44445</v>
      </c>
      <c r="V360" s="343">
        <v>44547</v>
      </c>
      <c r="X360" s="342" t="s">
        <v>3978</v>
      </c>
      <c r="Y360" s="342" t="s">
        <v>3978</v>
      </c>
    </row>
    <row r="361" spans="1:25">
      <c r="A361" s="342">
        <v>306393</v>
      </c>
      <c r="B361" s="342" t="s">
        <v>1027</v>
      </c>
      <c r="C361" s="342" t="s">
        <v>1030</v>
      </c>
      <c r="D361" s="342" t="s">
        <v>45</v>
      </c>
      <c r="E361" s="342" t="s">
        <v>591</v>
      </c>
      <c r="F361" s="342" t="s">
        <v>1114</v>
      </c>
      <c r="G361" s="342" t="s">
        <v>1288</v>
      </c>
      <c r="H361" s="342" t="s">
        <v>5095</v>
      </c>
      <c r="I361" s="342" t="s">
        <v>1576</v>
      </c>
      <c r="L361" s="342" t="s">
        <v>1576</v>
      </c>
      <c r="M361" s="342" t="s">
        <v>1576</v>
      </c>
      <c r="N361" s="342" t="s">
        <v>3666</v>
      </c>
      <c r="O361" s="342" t="s">
        <v>3979</v>
      </c>
      <c r="P361" s="342">
        <v>6149227366</v>
      </c>
      <c r="R361" s="342" t="s">
        <v>3649</v>
      </c>
      <c r="S361" s="343">
        <v>45548</v>
      </c>
      <c r="T361" s="343">
        <v>45548</v>
      </c>
      <c r="U361" s="343">
        <v>43682</v>
      </c>
      <c r="V361" s="343">
        <v>44453</v>
      </c>
      <c r="X361" s="342" t="s">
        <v>3980</v>
      </c>
      <c r="Y361" s="342" t="s">
        <v>3981</v>
      </c>
    </row>
    <row r="362" spans="1:25">
      <c r="A362" s="342">
        <v>306704</v>
      </c>
      <c r="B362" s="342" t="s">
        <v>4670</v>
      </c>
      <c r="C362" s="342" t="s">
        <v>4341</v>
      </c>
      <c r="D362" s="342" t="s">
        <v>47</v>
      </c>
      <c r="E362" s="342" t="s">
        <v>591</v>
      </c>
      <c r="F362" s="342" t="s">
        <v>737</v>
      </c>
      <c r="G362" s="342" t="s">
        <v>4638</v>
      </c>
      <c r="H362" s="342" t="s">
        <v>4778</v>
      </c>
      <c r="I362" s="342" t="s">
        <v>1571</v>
      </c>
      <c r="L362" s="342" t="s">
        <v>1571</v>
      </c>
      <c r="M362" s="342" t="s">
        <v>1571</v>
      </c>
      <c r="N362" s="342" t="s">
        <v>3653</v>
      </c>
      <c r="O362" s="342" t="s">
        <v>3879</v>
      </c>
      <c r="P362" s="342">
        <v>6139221741</v>
      </c>
      <c r="R362" s="342" t="s">
        <v>3649</v>
      </c>
      <c r="S362" s="343">
        <v>45103</v>
      </c>
      <c r="T362" s="343">
        <v>45103</v>
      </c>
      <c r="U362" s="343">
        <v>44662</v>
      </c>
      <c r="V362" s="343">
        <v>44009</v>
      </c>
      <c r="X362" s="342" t="s">
        <v>3880</v>
      </c>
      <c r="Y362" s="342">
        <v>6139221741</v>
      </c>
    </row>
    <row r="363" spans="1:25">
      <c r="A363" s="342">
        <v>306731</v>
      </c>
      <c r="B363" s="342" t="s">
        <v>582</v>
      </c>
      <c r="C363" s="342" t="s">
        <v>550</v>
      </c>
      <c r="D363" s="342" t="s">
        <v>51</v>
      </c>
      <c r="E363" s="342" t="s">
        <v>591</v>
      </c>
      <c r="F363" s="342" t="s">
        <v>40</v>
      </c>
      <c r="G363" s="342" t="s">
        <v>5450</v>
      </c>
      <c r="H363" s="342" t="s">
        <v>5096</v>
      </c>
      <c r="I363" s="342" t="s">
        <v>1571</v>
      </c>
      <c r="L363" s="342" t="s">
        <v>1571</v>
      </c>
      <c r="M363" s="342" t="s">
        <v>1571</v>
      </c>
      <c r="N363" s="342" t="s">
        <v>3656</v>
      </c>
      <c r="O363" s="342" t="s">
        <v>3982</v>
      </c>
      <c r="P363" s="342">
        <v>6115332942</v>
      </c>
      <c r="R363" s="342" t="s">
        <v>3649</v>
      </c>
      <c r="S363" s="343">
        <v>45077</v>
      </c>
      <c r="T363" s="343">
        <v>45077</v>
      </c>
      <c r="U363" s="343">
        <v>44593</v>
      </c>
      <c r="V363" s="343">
        <v>43983</v>
      </c>
      <c r="X363" s="342" t="s">
        <v>3983</v>
      </c>
      <c r="Y363" s="342" t="s">
        <v>3983</v>
      </c>
    </row>
    <row r="364" spans="1:25">
      <c r="A364" s="342">
        <v>306925</v>
      </c>
      <c r="B364" s="342" t="s">
        <v>746</v>
      </c>
      <c r="C364" s="342" t="s">
        <v>5898</v>
      </c>
      <c r="D364" s="342" t="s">
        <v>47</v>
      </c>
      <c r="E364" s="342" t="s">
        <v>591</v>
      </c>
      <c r="F364" s="342" t="s">
        <v>40</v>
      </c>
      <c r="G364" s="342" t="s">
        <v>5280</v>
      </c>
      <c r="H364" s="342" t="s">
        <v>5925</v>
      </c>
      <c r="J364" s="342" t="s">
        <v>1571</v>
      </c>
      <c r="K364" s="343">
        <v>44926</v>
      </c>
      <c r="P364" s="342">
        <v>6130655824</v>
      </c>
    </row>
    <row r="365" spans="1:25">
      <c r="A365" s="342">
        <v>307050</v>
      </c>
      <c r="B365" s="342" t="s">
        <v>655</v>
      </c>
      <c r="C365" s="342" t="s">
        <v>586</v>
      </c>
      <c r="D365" s="342" t="s">
        <v>107</v>
      </c>
      <c r="E365" s="342" t="s">
        <v>591</v>
      </c>
      <c r="F365" s="342" t="s">
        <v>40</v>
      </c>
      <c r="G365" s="342" t="s">
        <v>5450</v>
      </c>
      <c r="H365" s="342" t="s">
        <v>4686</v>
      </c>
      <c r="I365" s="342" t="s">
        <v>1568</v>
      </c>
      <c r="L365" s="342" t="s">
        <v>1568</v>
      </c>
      <c r="M365" s="342" t="s">
        <v>1568</v>
      </c>
      <c r="N365" s="342" t="s">
        <v>3652</v>
      </c>
      <c r="O365" s="342" t="s">
        <v>4689</v>
      </c>
      <c r="P365" s="342">
        <v>6111351260</v>
      </c>
      <c r="R365" s="342" t="s">
        <v>3649</v>
      </c>
      <c r="S365" s="343">
        <v>45549</v>
      </c>
      <c r="T365" s="343">
        <v>45549</v>
      </c>
      <c r="U365" s="343">
        <v>42809</v>
      </c>
      <c r="V365" s="343">
        <v>44454</v>
      </c>
      <c r="W365" s="343">
        <v>44459</v>
      </c>
      <c r="X365" s="342" t="s">
        <v>3667</v>
      </c>
      <c r="Y365" s="342" t="s">
        <v>4692</v>
      </c>
    </row>
    <row r="366" spans="1:25">
      <c r="A366" s="342">
        <v>307055</v>
      </c>
      <c r="B366" s="342" t="s">
        <v>5941</v>
      </c>
      <c r="C366" s="342" t="s">
        <v>5944</v>
      </c>
      <c r="D366" s="342" t="s">
        <v>45</v>
      </c>
      <c r="E366" s="342" t="s">
        <v>1194</v>
      </c>
      <c r="F366" s="342" t="s">
        <v>40</v>
      </c>
      <c r="G366" s="342" t="s">
        <v>1336</v>
      </c>
    </row>
    <row r="367" spans="1:25">
      <c r="A367" s="342">
        <v>307127</v>
      </c>
      <c r="B367" s="342" t="s">
        <v>587</v>
      </c>
      <c r="C367" s="342" t="s">
        <v>590</v>
      </c>
      <c r="D367" s="342" t="s">
        <v>107</v>
      </c>
      <c r="E367" s="342" t="s">
        <v>591</v>
      </c>
      <c r="F367" s="342" t="s">
        <v>40</v>
      </c>
      <c r="G367" s="342" t="s">
        <v>5281</v>
      </c>
      <c r="H367" s="342" t="s">
        <v>4561</v>
      </c>
      <c r="I367" s="342" t="s">
        <v>1571</v>
      </c>
      <c r="L367" s="342" t="s">
        <v>1571</v>
      </c>
      <c r="M367" s="342" t="s">
        <v>1571</v>
      </c>
      <c r="N367" s="342" t="s">
        <v>3656</v>
      </c>
      <c r="O367" s="342" t="s">
        <v>3984</v>
      </c>
      <c r="P367" s="342">
        <v>6111867369</v>
      </c>
      <c r="R367" s="342" t="s">
        <v>3649</v>
      </c>
      <c r="S367" s="343">
        <v>45448</v>
      </c>
      <c r="T367" s="343">
        <v>45448</v>
      </c>
      <c r="U367" s="343">
        <v>44662</v>
      </c>
      <c r="V367" s="343">
        <v>44353</v>
      </c>
      <c r="X367" s="342" t="s">
        <v>3985</v>
      </c>
      <c r="Y367" s="342" t="s">
        <v>3985</v>
      </c>
    </row>
    <row r="368" spans="1:25">
      <c r="A368" s="342">
        <v>307680</v>
      </c>
      <c r="B368" s="342" t="s">
        <v>592</v>
      </c>
      <c r="C368" s="342" t="s">
        <v>594</v>
      </c>
      <c r="D368" s="342" t="s">
        <v>51</v>
      </c>
      <c r="E368" s="342" t="s">
        <v>591</v>
      </c>
      <c r="F368" s="342" t="s">
        <v>40</v>
      </c>
      <c r="G368" s="342" t="s">
        <v>1277</v>
      </c>
      <c r="H368" s="342" t="s">
        <v>4573</v>
      </c>
      <c r="I368" s="342" t="s">
        <v>1568</v>
      </c>
      <c r="L368" s="342" t="s">
        <v>1568</v>
      </c>
      <c r="M368" s="342" t="s">
        <v>1568</v>
      </c>
      <c r="N368" s="342" t="s">
        <v>3652</v>
      </c>
      <c r="O368" s="342" t="s">
        <v>3819</v>
      </c>
      <c r="P368" s="342">
        <v>6110770208</v>
      </c>
      <c r="R368" s="342" t="s">
        <v>3649</v>
      </c>
      <c r="S368" s="343">
        <v>45455</v>
      </c>
      <c r="T368" s="343">
        <v>45455</v>
      </c>
      <c r="U368" s="343">
        <v>44306</v>
      </c>
      <c r="V368" s="343">
        <v>44360</v>
      </c>
      <c r="X368" s="342" t="s">
        <v>4571</v>
      </c>
      <c r="Y368" s="342" t="s">
        <v>4571</v>
      </c>
    </row>
    <row r="369" spans="1:25">
      <c r="A369" s="342">
        <v>307687</v>
      </c>
      <c r="B369" s="342" t="s">
        <v>1404</v>
      </c>
      <c r="C369" s="342" t="s">
        <v>1406</v>
      </c>
      <c r="D369" s="342" t="s">
        <v>126</v>
      </c>
      <c r="E369" s="342" t="s">
        <v>591</v>
      </c>
      <c r="F369" s="342" t="s">
        <v>41</v>
      </c>
      <c r="G369" s="342" t="s">
        <v>786</v>
      </c>
      <c r="H369" s="342" t="s">
        <v>4894</v>
      </c>
      <c r="I369" s="342" t="s">
        <v>1571</v>
      </c>
      <c r="L369" s="342" t="s">
        <v>1571</v>
      </c>
      <c r="M369" s="342" t="s">
        <v>1571</v>
      </c>
      <c r="N369" s="342" t="s">
        <v>3653</v>
      </c>
      <c r="O369" s="342" t="s">
        <v>4771</v>
      </c>
      <c r="P369" s="342">
        <v>6148493641</v>
      </c>
      <c r="R369" s="342" t="s">
        <v>3649</v>
      </c>
      <c r="S369" s="343">
        <v>45569</v>
      </c>
      <c r="T369" s="343">
        <v>45569</v>
      </c>
      <c r="U369" s="343">
        <v>44438</v>
      </c>
      <c r="V369" s="343">
        <v>44474</v>
      </c>
      <c r="W369" s="343">
        <v>44520</v>
      </c>
      <c r="X369" s="342" t="s">
        <v>4880</v>
      </c>
      <c r="Y369" s="342" t="s">
        <v>4903</v>
      </c>
    </row>
    <row r="370" spans="1:25">
      <c r="A370" s="342">
        <v>307766</v>
      </c>
      <c r="B370" s="342" t="s">
        <v>595</v>
      </c>
      <c r="C370" s="342" t="s">
        <v>598</v>
      </c>
      <c r="D370" s="342" t="s">
        <v>51</v>
      </c>
      <c r="E370" s="342" t="s">
        <v>591</v>
      </c>
      <c r="F370" s="342" t="s">
        <v>40</v>
      </c>
      <c r="G370" s="342" t="s">
        <v>5283</v>
      </c>
      <c r="H370" s="342" t="s">
        <v>5831</v>
      </c>
      <c r="I370" s="342" t="s">
        <v>1568</v>
      </c>
      <c r="L370" s="342" t="s">
        <v>1568</v>
      </c>
      <c r="M370" s="342" t="s">
        <v>1568</v>
      </c>
      <c r="N370" s="342" t="s">
        <v>3652</v>
      </c>
      <c r="O370" s="342" t="s">
        <v>3986</v>
      </c>
      <c r="P370" s="342">
        <v>6110094162</v>
      </c>
      <c r="R370" s="342" t="s">
        <v>3649</v>
      </c>
      <c r="S370" s="343">
        <v>45587</v>
      </c>
      <c r="T370" s="343">
        <v>45587</v>
      </c>
      <c r="U370" s="343">
        <v>43691</v>
      </c>
      <c r="V370" s="343">
        <v>44492</v>
      </c>
      <c r="X370" s="342">
        <v>10397488</v>
      </c>
      <c r="Y370" s="342">
        <v>10397488</v>
      </c>
    </row>
    <row r="371" spans="1:25">
      <c r="A371" s="342">
        <v>307918</v>
      </c>
      <c r="B371" s="342" t="s">
        <v>615</v>
      </c>
      <c r="C371" s="342" t="s">
        <v>213</v>
      </c>
      <c r="D371" s="342" t="s">
        <v>51</v>
      </c>
      <c r="E371" s="342" t="s">
        <v>591</v>
      </c>
      <c r="F371" s="342" t="s">
        <v>40</v>
      </c>
      <c r="G371" s="342" t="s">
        <v>5281</v>
      </c>
      <c r="H371" s="342" t="s">
        <v>5376</v>
      </c>
      <c r="I371" s="342" t="s">
        <v>1568</v>
      </c>
      <c r="L371" s="342" t="s">
        <v>1568</v>
      </c>
      <c r="M371" s="342" t="s">
        <v>1568</v>
      </c>
      <c r="N371" s="342" t="s">
        <v>3652</v>
      </c>
      <c r="O371" s="342" t="s">
        <v>3987</v>
      </c>
      <c r="P371" s="342">
        <v>6115016145</v>
      </c>
      <c r="R371" s="342" t="s">
        <v>3649</v>
      </c>
      <c r="S371" s="343">
        <v>45762</v>
      </c>
      <c r="T371" s="343">
        <v>45762</v>
      </c>
      <c r="U371" s="343">
        <v>43808</v>
      </c>
      <c r="V371" s="343">
        <v>44667</v>
      </c>
      <c r="X371" s="342" t="s">
        <v>3988</v>
      </c>
      <c r="Y371" s="342" t="s">
        <v>3988</v>
      </c>
    </row>
    <row r="372" spans="1:25">
      <c r="A372" s="342">
        <v>308105</v>
      </c>
      <c r="B372" s="342" t="s">
        <v>617</v>
      </c>
      <c r="C372" s="342" t="s">
        <v>620</v>
      </c>
      <c r="D372" s="342" t="s">
        <v>107</v>
      </c>
      <c r="E372" s="342" t="s">
        <v>591</v>
      </c>
      <c r="F372" s="342" t="s">
        <v>40</v>
      </c>
      <c r="G372" s="342" t="s">
        <v>5282</v>
      </c>
      <c r="H372" s="342" t="s">
        <v>5097</v>
      </c>
      <c r="I372" s="342" t="s">
        <v>1568</v>
      </c>
      <c r="L372" s="342" t="s">
        <v>1568</v>
      </c>
      <c r="M372" s="342" t="s">
        <v>1568</v>
      </c>
      <c r="N372" s="342" t="s">
        <v>3652</v>
      </c>
      <c r="O372" s="342" t="s">
        <v>3989</v>
      </c>
      <c r="P372" s="342">
        <v>6110090506</v>
      </c>
      <c r="R372" s="342" t="s">
        <v>3649</v>
      </c>
      <c r="S372" s="343">
        <v>45567</v>
      </c>
      <c r="T372" s="343">
        <v>45567</v>
      </c>
      <c r="U372" s="343">
        <v>43683</v>
      </c>
      <c r="V372" s="343">
        <v>44472</v>
      </c>
      <c r="W372" s="343">
        <v>44727</v>
      </c>
      <c r="X372" s="342" t="s">
        <v>4647</v>
      </c>
      <c r="Y372" s="342" t="s">
        <v>4647</v>
      </c>
    </row>
    <row r="373" spans="1:25" ht="409.5">
      <c r="A373" s="342">
        <v>308229</v>
      </c>
      <c r="B373" s="342" t="s">
        <v>1328</v>
      </c>
      <c r="C373" s="342" t="s">
        <v>93</v>
      </c>
      <c r="D373" s="342" t="s">
        <v>47</v>
      </c>
      <c r="E373" s="342" t="s">
        <v>591</v>
      </c>
      <c r="F373" s="342" t="s">
        <v>40</v>
      </c>
      <c r="G373" s="342" t="s">
        <v>1421</v>
      </c>
      <c r="H373" s="342" t="s">
        <v>1562</v>
      </c>
      <c r="I373" s="342" t="s">
        <v>1574</v>
      </c>
      <c r="L373" s="342" t="s">
        <v>1568</v>
      </c>
      <c r="M373" s="342" t="s">
        <v>1568</v>
      </c>
      <c r="N373" s="342" t="s">
        <v>3650</v>
      </c>
      <c r="O373" s="344" t="s">
        <v>4956</v>
      </c>
      <c r="P373" s="342">
        <v>6145582940</v>
      </c>
      <c r="R373" s="342" t="s">
        <v>3649</v>
      </c>
      <c r="S373" s="343">
        <v>45103</v>
      </c>
      <c r="T373" s="343">
        <v>45103</v>
      </c>
      <c r="U373" s="343">
        <v>44335</v>
      </c>
      <c r="V373" s="343">
        <v>44009</v>
      </c>
      <c r="W373" s="343">
        <v>44491</v>
      </c>
      <c r="X373" s="342" t="s">
        <v>4904</v>
      </c>
      <c r="Y373" s="342" t="s">
        <v>3990</v>
      </c>
    </row>
    <row r="374" spans="1:25" ht="350">
      <c r="A374" s="342">
        <v>308383</v>
      </c>
      <c r="B374" s="342" t="s">
        <v>1478</v>
      </c>
      <c r="C374" s="342" t="s">
        <v>336</v>
      </c>
      <c r="D374" s="342" t="s">
        <v>337</v>
      </c>
      <c r="E374" s="342" t="s">
        <v>591</v>
      </c>
      <c r="F374" s="342" t="s">
        <v>40</v>
      </c>
      <c r="G374" s="342" t="s">
        <v>1288</v>
      </c>
      <c r="H374" s="342" t="s">
        <v>4803</v>
      </c>
      <c r="I374" s="342" t="s">
        <v>1573</v>
      </c>
      <c r="L374" s="342" t="s">
        <v>1571</v>
      </c>
      <c r="M374" s="342" t="s">
        <v>1571</v>
      </c>
      <c r="N374" s="342" t="s">
        <v>3656</v>
      </c>
      <c r="O374" s="344" t="s">
        <v>4621</v>
      </c>
      <c r="P374" s="342">
        <v>6111090482</v>
      </c>
      <c r="R374" s="342" t="s">
        <v>3649</v>
      </c>
      <c r="S374" s="343">
        <v>45591</v>
      </c>
      <c r="T374" s="343">
        <v>45591</v>
      </c>
      <c r="U374" s="343">
        <v>44424</v>
      </c>
      <c r="V374" s="343">
        <v>44496</v>
      </c>
      <c r="X374" s="342" t="s">
        <v>4798</v>
      </c>
      <c r="Y374" s="342" t="s">
        <v>4798</v>
      </c>
    </row>
    <row r="375" spans="1:25">
      <c r="A375" s="342">
        <v>308413</v>
      </c>
      <c r="B375" s="342" t="s">
        <v>626</v>
      </c>
      <c r="C375" s="342" t="s">
        <v>628</v>
      </c>
      <c r="D375" s="342" t="s">
        <v>51</v>
      </c>
      <c r="E375" s="342" t="s">
        <v>591</v>
      </c>
      <c r="F375" s="342" t="s">
        <v>40</v>
      </c>
      <c r="G375" s="342" t="s">
        <v>5282</v>
      </c>
      <c r="H375" s="342" t="s">
        <v>5832</v>
      </c>
      <c r="I375" s="342" t="s">
        <v>1571</v>
      </c>
      <c r="L375" s="342" t="s">
        <v>1571</v>
      </c>
      <c r="M375" s="342" t="s">
        <v>1571</v>
      </c>
      <c r="N375" s="342" t="s">
        <v>3656</v>
      </c>
      <c r="O375" s="342" t="s">
        <v>3991</v>
      </c>
      <c r="P375" s="342">
        <v>6119828766</v>
      </c>
      <c r="R375" s="342" t="s">
        <v>3649</v>
      </c>
      <c r="S375" s="343">
        <v>45462</v>
      </c>
      <c r="T375" s="343">
        <v>45462</v>
      </c>
      <c r="U375" s="343">
        <v>44635</v>
      </c>
      <c r="V375" s="343">
        <v>44367</v>
      </c>
      <c r="W375" s="343">
        <v>44727</v>
      </c>
      <c r="X375" s="342" t="s">
        <v>3992</v>
      </c>
      <c r="Y375" s="342" t="s">
        <v>3992</v>
      </c>
    </row>
    <row r="376" spans="1:25">
      <c r="A376" s="342">
        <v>308573</v>
      </c>
      <c r="B376" s="342" t="s">
        <v>1245</v>
      </c>
      <c r="C376" s="342" t="s">
        <v>639</v>
      </c>
      <c r="D376" s="342" t="s">
        <v>51</v>
      </c>
      <c r="E376" s="342" t="s">
        <v>591</v>
      </c>
      <c r="F376" s="342" t="s">
        <v>40</v>
      </c>
      <c r="G376" s="342" t="s">
        <v>1277</v>
      </c>
      <c r="H376" s="342" t="s">
        <v>4451</v>
      </c>
      <c r="I376" s="342" t="s">
        <v>1568</v>
      </c>
      <c r="L376" s="342" t="s">
        <v>1568</v>
      </c>
      <c r="M376" s="342" t="s">
        <v>1568</v>
      </c>
      <c r="N376" s="342" t="s">
        <v>3652</v>
      </c>
      <c r="O376" s="342" t="s">
        <v>3993</v>
      </c>
      <c r="P376" s="342">
        <v>6114103088</v>
      </c>
      <c r="R376" s="342" t="s">
        <v>3649</v>
      </c>
      <c r="S376" s="343">
        <v>45386</v>
      </c>
      <c r="T376" s="343">
        <v>45386</v>
      </c>
      <c r="U376" s="343">
        <v>43472</v>
      </c>
      <c r="V376" s="343">
        <v>44291</v>
      </c>
      <c r="W376" s="343">
        <v>44291</v>
      </c>
      <c r="X376" s="342" t="s">
        <v>3994</v>
      </c>
      <c r="Y376" s="342" t="s">
        <v>3994</v>
      </c>
    </row>
    <row r="377" spans="1:25" ht="409.5">
      <c r="A377" s="342">
        <v>308735</v>
      </c>
      <c r="B377" s="342" t="s">
        <v>662</v>
      </c>
      <c r="C377" s="342" t="s">
        <v>665</v>
      </c>
      <c r="D377" s="342" t="s">
        <v>107</v>
      </c>
      <c r="E377" s="342" t="s">
        <v>591</v>
      </c>
      <c r="F377" s="342" t="s">
        <v>40</v>
      </c>
      <c r="G377" s="342" t="s">
        <v>5282</v>
      </c>
      <c r="H377" s="342" t="s">
        <v>5056</v>
      </c>
      <c r="I377" s="342" t="s">
        <v>1568</v>
      </c>
      <c r="L377" s="342" t="s">
        <v>1568</v>
      </c>
      <c r="M377" s="342" t="s">
        <v>1568</v>
      </c>
      <c r="N377" s="342" t="s">
        <v>3652</v>
      </c>
      <c r="O377" s="344" t="s">
        <v>3995</v>
      </c>
      <c r="P377" s="342">
        <v>6121212247</v>
      </c>
      <c r="R377" s="342" t="s">
        <v>3649</v>
      </c>
      <c r="S377" s="343">
        <v>45674</v>
      </c>
      <c r="T377" s="343">
        <v>45674</v>
      </c>
      <c r="U377" s="343">
        <v>44508</v>
      </c>
      <c r="V377" s="343">
        <v>44579</v>
      </c>
      <c r="X377" s="342" t="s">
        <v>5024</v>
      </c>
      <c r="Y377" s="342" t="s">
        <v>5024</v>
      </c>
    </row>
    <row r="378" spans="1:25">
      <c r="A378" s="342">
        <v>308773</v>
      </c>
      <c r="B378" s="342" t="s">
        <v>657</v>
      </c>
      <c r="C378" s="342" t="s">
        <v>659</v>
      </c>
      <c r="D378" s="342" t="s">
        <v>51</v>
      </c>
      <c r="E378" s="342" t="s">
        <v>591</v>
      </c>
      <c r="F378" s="342" t="s">
        <v>40</v>
      </c>
      <c r="G378" s="342" t="s">
        <v>5281</v>
      </c>
      <c r="H378" s="342" t="s">
        <v>4686</v>
      </c>
      <c r="I378" s="342" t="s">
        <v>1568</v>
      </c>
      <c r="L378" s="342" t="s">
        <v>1568</v>
      </c>
      <c r="M378" s="342" t="s">
        <v>1568</v>
      </c>
      <c r="N378" s="342" t="s">
        <v>3652</v>
      </c>
      <c r="O378" s="342" t="s">
        <v>4689</v>
      </c>
      <c r="P378" s="342">
        <v>6115181067</v>
      </c>
      <c r="R378" s="342" t="s">
        <v>3649</v>
      </c>
      <c r="S378" s="343">
        <v>45549</v>
      </c>
      <c r="T378" s="343">
        <v>45549</v>
      </c>
      <c r="U378" s="343">
        <v>43137</v>
      </c>
      <c r="V378" s="343">
        <v>44454</v>
      </c>
      <c r="W378" s="343">
        <v>44459</v>
      </c>
      <c r="X378" s="342" t="s">
        <v>3667</v>
      </c>
      <c r="Y378" s="342" t="s">
        <v>4692</v>
      </c>
    </row>
    <row r="379" spans="1:25">
      <c r="A379" s="342">
        <v>309281</v>
      </c>
      <c r="B379" s="342" t="s">
        <v>2016</v>
      </c>
      <c r="C379" s="342" t="s">
        <v>1395</v>
      </c>
      <c r="D379" s="342" t="s">
        <v>51</v>
      </c>
      <c r="E379" s="342" t="s">
        <v>591</v>
      </c>
      <c r="F379" s="342" t="s">
        <v>40</v>
      </c>
      <c r="G379" s="342" t="s">
        <v>1277</v>
      </c>
      <c r="H379" s="342" t="s">
        <v>2027</v>
      </c>
      <c r="I379" s="342" t="s">
        <v>1568</v>
      </c>
      <c r="L379" s="342" t="s">
        <v>1568</v>
      </c>
      <c r="M379" s="342" t="s">
        <v>1568</v>
      </c>
      <c r="N379" s="342" t="s">
        <v>3652</v>
      </c>
      <c r="O379" s="342" t="s">
        <v>3834</v>
      </c>
      <c r="P379" s="342">
        <v>6119503706</v>
      </c>
      <c r="R379" s="342" t="s">
        <v>3649</v>
      </c>
      <c r="S379" s="343">
        <v>45265</v>
      </c>
      <c r="T379" s="343">
        <v>45265</v>
      </c>
      <c r="U379" s="343">
        <v>43606</v>
      </c>
      <c r="V379" s="343">
        <v>44171</v>
      </c>
      <c r="X379" s="342" t="s">
        <v>3835</v>
      </c>
      <c r="Y379" s="342" t="s">
        <v>3836</v>
      </c>
    </row>
    <row r="380" spans="1:25">
      <c r="A380" s="342">
        <v>309537</v>
      </c>
      <c r="B380" s="342" t="s">
        <v>5120</v>
      </c>
      <c r="C380" s="342" t="s">
        <v>5122</v>
      </c>
      <c r="D380" s="342" t="s">
        <v>5123</v>
      </c>
      <c r="E380" s="342" t="s">
        <v>1194</v>
      </c>
      <c r="F380" s="342" t="s">
        <v>41</v>
      </c>
      <c r="G380" s="342" t="s">
        <v>1421</v>
      </c>
    </row>
    <row r="381" spans="1:25" ht="409.5">
      <c r="A381" s="342">
        <v>309838</v>
      </c>
      <c r="B381" s="342" t="s">
        <v>1246</v>
      </c>
      <c r="C381" s="342" t="s">
        <v>1248</v>
      </c>
      <c r="D381" s="342" t="s">
        <v>55</v>
      </c>
      <c r="E381" s="342" t="s">
        <v>591</v>
      </c>
      <c r="F381" s="342" t="s">
        <v>40</v>
      </c>
      <c r="G381" s="342" t="s">
        <v>1277</v>
      </c>
      <c r="H381" s="342" t="s">
        <v>5833</v>
      </c>
      <c r="I381" s="342" t="s">
        <v>1568</v>
      </c>
      <c r="L381" s="342" t="s">
        <v>1568</v>
      </c>
      <c r="M381" s="342" t="s">
        <v>1568</v>
      </c>
      <c r="N381" s="342" t="s">
        <v>3650</v>
      </c>
      <c r="O381" s="344" t="s">
        <v>3996</v>
      </c>
      <c r="P381" s="342">
        <v>6145615341</v>
      </c>
      <c r="R381" s="342" t="s">
        <v>3649</v>
      </c>
      <c r="S381" s="343">
        <v>45014</v>
      </c>
      <c r="T381" s="343">
        <v>45014</v>
      </c>
      <c r="U381" s="343">
        <v>43879</v>
      </c>
      <c r="V381" s="343">
        <v>43920</v>
      </c>
      <c r="X381" s="342" t="s">
        <v>3997</v>
      </c>
      <c r="Y381" s="342" t="s">
        <v>3997</v>
      </c>
    </row>
    <row r="382" spans="1:25">
      <c r="A382" s="342">
        <v>310055</v>
      </c>
      <c r="B382" s="342" t="s">
        <v>706</v>
      </c>
      <c r="C382" s="342" t="s">
        <v>86</v>
      </c>
      <c r="D382" s="342" t="s">
        <v>51</v>
      </c>
      <c r="E382" s="342" t="s">
        <v>591</v>
      </c>
      <c r="F382" s="342" t="s">
        <v>40</v>
      </c>
      <c r="G382" s="342" t="s">
        <v>1288</v>
      </c>
      <c r="H382" s="342" t="s">
        <v>5834</v>
      </c>
      <c r="I382" s="342" t="s">
        <v>1571</v>
      </c>
      <c r="L382" s="342" t="s">
        <v>1571</v>
      </c>
      <c r="M382" s="342" t="s">
        <v>1571</v>
      </c>
      <c r="N382" s="342" t="s">
        <v>3656</v>
      </c>
      <c r="O382" s="342" t="s">
        <v>3998</v>
      </c>
      <c r="P382" s="342">
        <v>6132963527</v>
      </c>
      <c r="R382" s="342" t="s">
        <v>3649</v>
      </c>
      <c r="S382" s="343">
        <v>45037</v>
      </c>
      <c r="T382" s="343">
        <v>45037</v>
      </c>
      <c r="U382" s="343">
        <v>43871</v>
      </c>
      <c r="V382" s="343">
        <v>43943</v>
      </c>
      <c r="W382" s="343">
        <v>44393</v>
      </c>
      <c r="X382" s="342">
        <v>13935</v>
      </c>
      <c r="Y382" s="342">
        <v>13935</v>
      </c>
    </row>
    <row r="383" spans="1:25">
      <c r="A383" s="342">
        <v>310151</v>
      </c>
      <c r="B383" s="342" t="s">
        <v>1123</v>
      </c>
      <c r="C383" s="342" t="s">
        <v>1125</v>
      </c>
      <c r="D383" s="342" t="s">
        <v>51</v>
      </c>
      <c r="E383" s="342" t="s">
        <v>591</v>
      </c>
      <c r="F383" s="342" t="s">
        <v>41</v>
      </c>
      <c r="G383" s="342" t="s">
        <v>786</v>
      </c>
      <c r="H383" s="342" t="s">
        <v>5159</v>
      </c>
      <c r="I383" s="342" t="s">
        <v>1571</v>
      </c>
      <c r="L383" s="342" t="s">
        <v>1571</v>
      </c>
      <c r="M383" s="342" t="s">
        <v>1571</v>
      </c>
      <c r="N383" s="342" t="s">
        <v>3656</v>
      </c>
      <c r="O383" s="342" t="s">
        <v>5163</v>
      </c>
      <c r="P383" s="342">
        <v>6111225529</v>
      </c>
      <c r="R383" s="342" t="s">
        <v>3649</v>
      </c>
      <c r="S383" s="343">
        <v>45687</v>
      </c>
      <c r="T383" s="343">
        <v>45687</v>
      </c>
      <c r="U383" s="343">
        <v>44428</v>
      </c>
      <c r="V383" s="343">
        <v>44592</v>
      </c>
      <c r="X383" s="342" t="s">
        <v>5168</v>
      </c>
      <c r="Y383" s="342" t="s">
        <v>5169</v>
      </c>
    </row>
    <row r="384" spans="1:25" ht="409.5">
      <c r="A384" s="342">
        <v>310514</v>
      </c>
      <c r="B384" s="342" t="s">
        <v>920</v>
      </c>
      <c r="C384" s="342" t="s">
        <v>1043</v>
      </c>
      <c r="D384" s="342" t="s">
        <v>45</v>
      </c>
      <c r="E384" s="342" t="s">
        <v>591</v>
      </c>
      <c r="F384" s="342" t="s">
        <v>1114</v>
      </c>
      <c r="G384" s="342" t="s">
        <v>1288</v>
      </c>
      <c r="H384" s="342" t="s">
        <v>1545</v>
      </c>
      <c r="I384" s="342" t="s">
        <v>1576</v>
      </c>
      <c r="L384" s="342" t="s">
        <v>1576</v>
      </c>
      <c r="M384" s="342" t="s">
        <v>1576</v>
      </c>
      <c r="N384" s="342" t="s">
        <v>3647</v>
      </c>
      <c r="O384" s="344" t="s">
        <v>4614</v>
      </c>
      <c r="P384" s="342">
        <v>6139030563</v>
      </c>
      <c r="R384" s="342" t="s">
        <v>3649</v>
      </c>
      <c r="S384" s="343">
        <v>44869</v>
      </c>
      <c r="T384" s="343">
        <v>44869</v>
      </c>
      <c r="U384" s="343">
        <v>43642</v>
      </c>
      <c r="V384" s="343">
        <v>43774</v>
      </c>
      <c r="W384" s="343">
        <v>44390</v>
      </c>
      <c r="X384" s="342" t="s">
        <v>4617</v>
      </c>
      <c r="Y384" s="342" t="s">
        <v>3837</v>
      </c>
    </row>
    <row r="385" spans="1:25" ht="409.5">
      <c r="A385" s="342">
        <v>310756</v>
      </c>
      <c r="B385" s="342" t="s">
        <v>743</v>
      </c>
      <c r="C385" s="342" t="s">
        <v>757</v>
      </c>
      <c r="D385" s="342" t="s">
        <v>558</v>
      </c>
      <c r="E385" s="342" t="s">
        <v>591</v>
      </c>
      <c r="F385" s="342" t="s">
        <v>40</v>
      </c>
      <c r="G385" s="342" t="s">
        <v>5280</v>
      </c>
      <c r="H385" s="342" t="s">
        <v>4675</v>
      </c>
      <c r="I385" s="342" t="s">
        <v>1568</v>
      </c>
      <c r="L385" s="342" t="s">
        <v>1568</v>
      </c>
      <c r="M385" s="342" t="s">
        <v>1568</v>
      </c>
      <c r="N385" s="342" t="s">
        <v>3650</v>
      </c>
      <c r="O385" s="344" t="s">
        <v>3759</v>
      </c>
      <c r="P385" s="342">
        <v>6135733107</v>
      </c>
      <c r="R385" s="342" t="s">
        <v>3649</v>
      </c>
      <c r="S385" s="343">
        <v>45544</v>
      </c>
      <c r="T385" s="343">
        <v>45544</v>
      </c>
      <c r="U385" s="343">
        <v>44256</v>
      </c>
      <c r="V385" s="343">
        <v>44449</v>
      </c>
      <c r="X385" s="342" t="s">
        <v>4666</v>
      </c>
      <c r="Y385" s="342" t="s">
        <v>4679</v>
      </c>
    </row>
    <row r="386" spans="1:25">
      <c r="A386" s="342">
        <v>310956</v>
      </c>
      <c r="B386" s="342" t="s">
        <v>771</v>
      </c>
      <c r="C386" s="342" t="s">
        <v>488</v>
      </c>
      <c r="D386" s="342" t="s">
        <v>175</v>
      </c>
      <c r="E386" s="342" t="s">
        <v>591</v>
      </c>
      <c r="F386" s="342" t="s">
        <v>40</v>
      </c>
      <c r="G386" s="342" t="s">
        <v>1510</v>
      </c>
      <c r="H386" s="342" t="s">
        <v>1563</v>
      </c>
      <c r="I386" s="342" t="s">
        <v>1571</v>
      </c>
      <c r="L386" s="342" t="s">
        <v>1571</v>
      </c>
      <c r="M386" s="342" t="s">
        <v>1571</v>
      </c>
      <c r="N386" s="342" t="s">
        <v>3656</v>
      </c>
      <c r="O386" s="342" t="s">
        <v>3999</v>
      </c>
      <c r="P386" s="342">
        <v>6152462804</v>
      </c>
      <c r="R386" s="342" t="s">
        <v>3649</v>
      </c>
      <c r="S386" s="343">
        <v>45015</v>
      </c>
      <c r="T386" s="343">
        <v>45015</v>
      </c>
      <c r="U386" s="343">
        <v>44581</v>
      </c>
      <c r="V386" s="343">
        <v>43921</v>
      </c>
      <c r="X386" s="342" t="s">
        <v>4000</v>
      </c>
      <c r="Y386" s="342" t="s">
        <v>4000</v>
      </c>
    </row>
    <row r="387" spans="1:25">
      <c r="A387" s="342">
        <v>311186</v>
      </c>
      <c r="B387" s="342" t="s">
        <v>1126</v>
      </c>
      <c r="C387" s="342" t="s">
        <v>159</v>
      </c>
      <c r="D387" s="342" t="s">
        <v>51</v>
      </c>
      <c r="E387" s="342" t="s">
        <v>591</v>
      </c>
      <c r="F387" s="342" t="s">
        <v>40</v>
      </c>
      <c r="G387" s="342" t="s">
        <v>4441</v>
      </c>
      <c r="H387" s="342" t="s">
        <v>4322</v>
      </c>
      <c r="I387" s="342" t="s">
        <v>1568</v>
      </c>
      <c r="L387" s="342" t="s">
        <v>1568</v>
      </c>
      <c r="M387" s="342" t="s">
        <v>1568</v>
      </c>
      <c r="N387" s="342" t="s">
        <v>3652</v>
      </c>
      <c r="O387" s="342" t="s">
        <v>4001</v>
      </c>
      <c r="P387" s="342">
        <v>6116441609</v>
      </c>
      <c r="R387" s="342" t="s">
        <v>3649</v>
      </c>
      <c r="S387" s="343">
        <v>45352</v>
      </c>
      <c r="T387" s="343">
        <v>45352</v>
      </c>
      <c r="U387" s="343">
        <v>43871</v>
      </c>
      <c r="V387" s="343">
        <v>44257</v>
      </c>
      <c r="X387" s="342">
        <v>1103582</v>
      </c>
      <c r="Y387" s="342">
        <v>1103582</v>
      </c>
    </row>
    <row r="388" spans="1:25">
      <c r="A388" s="342">
        <v>311530</v>
      </c>
      <c r="B388" s="342" t="s">
        <v>1046</v>
      </c>
      <c r="C388" s="342" t="s">
        <v>1048</v>
      </c>
      <c r="D388" s="342" t="s">
        <v>1022</v>
      </c>
      <c r="E388" s="342" t="s">
        <v>591</v>
      </c>
      <c r="F388" s="342" t="s">
        <v>40</v>
      </c>
      <c r="G388" s="342" t="s">
        <v>5282</v>
      </c>
      <c r="H388" s="342" t="s">
        <v>4587</v>
      </c>
      <c r="I388" s="342" t="s">
        <v>1574</v>
      </c>
      <c r="L388" s="342" t="s">
        <v>1568</v>
      </c>
      <c r="M388" s="342" t="s">
        <v>1568</v>
      </c>
      <c r="N388" s="342" t="s">
        <v>3652</v>
      </c>
      <c r="O388" s="342" t="s">
        <v>4002</v>
      </c>
      <c r="P388" s="342">
        <v>6135904981</v>
      </c>
      <c r="R388" s="342" t="s">
        <v>3649</v>
      </c>
      <c r="S388" s="343">
        <v>45446</v>
      </c>
      <c r="T388" s="343">
        <v>45446</v>
      </c>
      <c r="U388" s="343">
        <v>43943</v>
      </c>
      <c r="V388" s="343">
        <v>44351</v>
      </c>
      <c r="X388" s="342" t="s">
        <v>4003</v>
      </c>
      <c r="Y388" s="342" t="s">
        <v>4003</v>
      </c>
    </row>
    <row r="389" spans="1:25" ht="409.5">
      <c r="A389" s="342">
        <v>311711</v>
      </c>
      <c r="B389" s="342" t="s">
        <v>1265</v>
      </c>
      <c r="C389" s="342" t="s">
        <v>1267</v>
      </c>
      <c r="D389" s="342" t="s">
        <v>47</v>
      </c>
      <c r="E389" s="342" t="s">
        <v>591</v>
      </c>
      <c r="F389" s="342" t="s">
        <v>40</v>
      </c>
      <c r="G389" s="342" t="s">
        <v>5280</v>
      </c>
      <c r="H389" s="342" t="s">
        <v>5438</v>
      </c>
      <c r="I389" s="342" t="s">
        <v>1568</v>
      </c>
      <c r="L389" s="342" t="s">
        <v>1568</v>
      </c>
      <c r="M389" s="342" t="s">
        <v>1568</v>
      </c>
      <c r="N389" s="342" t="s">
        <v>3650</v>
      </c>
      <c r="O389" s="344" t="s">
        <v>5927</v>
      </c>
      <c r="P389" s="342">
        <v>6123305123</v>
      </c>
      <c r="R389" s="342" t="s">
        <v>3649</v>
      </c>
      <c r="S389" s="343">
        <v>45467</v>
      </c>
      <c r="T389" s="343">
        <v>45467</v>
      </c>
      <c r="U389" s="343">
        <v>44634</v>
      </c>
      <c r="V389" s="343">
        <v>44372</v>
      </c>
      <c r="W389" s="343">
        <v>44743</v>
      </c>
      <c r="X389" s="342" t="s">
        <v>5928</v>
      </c>
      <c r="Y389" s="342" t="s">
        <v>4582</v>
      </c>
    </row>
    <row r="390" spans="1:25">
      <c r="A390" s="342">
        <v>311796</v>
      </c>
      <c r="B390" s="342" t="s">
        <v>1411</v>
      </c>
      <c r="C390" s="342" t="s">
        <v>1205</v>
      </c>
      <c r="D390" s="342" t="s">
        <v>51</v>
      </c>
      <c r="E390" s="342" t="s">
        <v>591</v>
      </c>
      <c r="F390" s="342" t="s">
        <v>737</v>
      </c>
      <c r="G390" s="342" t="s">
        <v>5449</v>
      </c>
      <c r="H390" s="342" t="s">
        <v>5835</v>
      </c>
      <c r="I390" s="342" t="s">
        <v>1581</v>
      </c>
      <c r="L390" s="342" t="s">
        <v>1581</v>
      </c>
      <c r="M390" s="342" t="s">
        <v>1581</v>
      </c>
      <c r="S390" s="343">
        <v>45786</v>
      </c>
      <c r="Y390" s="342" t="s">
        <v>4004</v>
      </c>
    </row>
    <row r="391" spans="1:25">
      <c r="A391" s="342">
        <v>311876</v>
      </c>
      <c r="B391" s="342" t="s">
        <v>1049</v>
      </c>
      <c r="C391" s="342" t="s">
        <v>1051</v>
      </c>
      <c r="D391" s="342" t="s">
        <v>51</v>
      </c>
      <c r="E391" s="342" t="s">
        <v>591</v>
      </c>
      <c r="F391" s="342" t="s">
        <v>40</v>
      </c>
      <c r="G391" s="342" t="s">
        <v>5450</v>
      </c>
      <c r="H391" s="342" t="s">
        <v>5098</v>
      </c>
      <c r="I391" s="342" t="s">
        <v>1571</v>
      </c>
      <c r="L391" s="342" t="s">
        <v>1571</v>
      </c>
      <c r="M391" s="342" t="s">
        <v>1571</v>
      </c>
      <c r="N391" s="342" t="s">
        <v>3656</v>
      </c>
      <c r="O391" s="342" t="s">
        <v>4005</v>
      </c>
      <c r="P391" s="342">
        <v>6126050925</v>
      </c>
      <c r="R391" s="342" t="s">
        <v>3649</v>
      </c>
      <c r="S391" s="343">
        <v>44966</v>
      </c>
      <c r="T391" s="343">
        <v>44966</v>
      </c>
      <c r="U391" s="343">
        <v>44515</v>
      </c>
      <c r="V391" s="343">
        <v>43871</v>
      </c>
      <c r="W391" s="343">
        <v>44587</v>
      </c>
      <c r="X391" s="342" t="s">
        <v>4006</v>
      </c>
      <c r="Y391" s="342" t="s">
        <v>4006</v>
      </c>
    </row>
    <row r="392" spans="1:25">
      <c r="A392" s="342">
        <v>311909</v>
      </c>
      <c r="B392" s="342" t="s">
        <v>1053</v>
      </c>
      <c r="C392" s="342" t="s">
        <v>1056</v>
      </c>
      <c r="D392" s="342" t="s">
        <v>45</v>
      </c>
      <c r="E392" s="342" t="s">
        <v>591</v>
      </c>
      <c r="F392" s="342" t="s">
        <v>685</v>
      </c>
      <c r="G392" s="342" t="s">
        <v>4638</v>
      </c>
      <c r="H392" s="342" t="s">
        <v>1564</v>
      </c>
      <c r="I392" s="342" t="s">
        <v>1568</v>
      </c>
      <c r="L392" s="342" t="s">
        <v>1568</v>
      </c>
      <c r="M392" s="342" t="s">
        <v>1568</v>
      </c>
      <c r="N392" s="342" t="s">
        <v>3650</v>
      </c>
      <c r="O392" s="342" t="s">
        <v>4007</v>
      </c>
      <c r="P392" s="342">
        <v>6114153083</v>
      </c>
      <c r="R392" s="342" t="s">
        <v>3649</v>
      </c>
      <c r="S392" s="343">
        <v>45131</v>
      </c>
      <c r="T392" s="343">
        <v>45131</v>
      </c>
      <c r="U392" s="343">
        <v>43917</v>
      </c>
      <c r="V392" s="343">
        <v>44037</v>
      </c>
      <c r="X392" s="342" t="s">
        <v>4008</v>
      </c>
      <c r="Y392" s="342" t="s">
        <v>4008</v>
      </c>
    </row>
    <row r="393" spans="1:25">
      <c r="A393" s="342">
        <v>312248</v>
      </c>
      <c r="B393" s="342" t="s">
        <v>1422</v>
      </c>
      <c r="C393" s="342" t="s">
        <v>1260</v>
      </c>
      <c r="D393" s="342" t="s">
        <v>118</v>
      </c>
      <c r="E393" s="342" t="s">
        <v>591</v>
      </c>
      <c r="F393" s="342" t="s">
        <v>40</v>
      </c>
      <c r="G393" s="342" t="s">
        <v>5278</v>
      </c>
      <c r="H393" s="342" t="s">
        <v>5227</v>
      </c>
      <c r="I393" s="342" t="s">
        <v>1568</v>
      </c>
      <c r="L393" s="342" t="s">
        <v>1568</v>
      </c>
      <c r="M393" s="342" t="s">
        <v>1568</v>
      </c>
      <c r="N393" s="342" t="s">
        <v>3650</v>
      </c>
      <c r="O393" s="342" t="s">
        <v>4009</v>
      </c>
      <c r="P393" s="342">
        <v>6121612423</v>
      </c>
      <c r="R393" s="342" t="s">
        <v>3649</v>
      </c>
      <c r="S393" s="343">
        <v>45702</v>
      </c>
      <c r="T393" s="343">
        <v>45702</v>
      </c>
      <c r="U393" s="343">
        <v>44578</v>
      </c>
      <c r="V393" s="343">
        <v>44616</v>
      </c>
      <c r="X393" s="342" t="s">
        <v>4010</v>
      </c>
      <c r="Y393" s="342" t="s">
        <v>4010</v>
      </c>
    </row>
    <row r="394" spans="1:25">
      <c r="A394" s="342">
        <v>312649</v>
      </c>
      <c r="B394" s="342" t="s">
        <v>5200</v>
      </c>
      <c r="C394" s="342" t="s">
        <v>562</v>
      </c>
      <c r="D394" s="342" t="s">
        <v>549</v>
      </c>
      <c r="E394" s="342" t="s">
        <v>591</v>
      </c>
      <c r="F394" s="342" t="s">
        <v>749</v>
      </c>
      <c r="G394" s="342" t="s">
        <v>1510</v>
      </c>
      <c r="H394" s="342" t="s">
        <v>5214</v>
      </c>
      <c r="I394" s="342" t="s">
        <v>1575</v>
      </c>
      <c r="J394" s="342" t="s">
        <v>1571</v>
      </c>
      <c r="K394" s="343">
        <v>45291</v>
      </c>
    </row>
    <row r="395" spans="1:25" ht="409.5">
      <c r="A395" s="342">
        <v>313589</v>
      </c>
      <c r="B395" s="342" t="s">
        <v>1393</v>
      </c>
      <c r="C395" s="342" t="s">
        <v>380</v>
      </c>
      <c r="D395" s="342" t="s">
        <v>381</v>
      </c>
      <c r="E395" s="342" t="s">
        <v>591</v>
      </c>
      <c r="F395" s="342" t="s">
        <v>40</v>
      </c>
      <c r="G395" s="342" t="s">
        <v>5449</v>
      </c>
      <c r="H395" s="342" t="s">
        <v>4676</v>
      </c>
      <c r="I395" s="342" t="s">
        <v>1571</v>
      </c>
      <c r="L395" s="342" t="s">
        <v>1571</v>
      </c>
      <c r="M395" s="342" t="s">
        <v>1571</v>
      </c>
      <c r="N395" s="342" t="s">
        <v>3653</v>
      </c>
      <c r="O395" s="344" t="s">
        <v>5955</v>
      </c>
      <c r="P395" s="342">
        <v>6137745562</v>
      </c>
      <c r="R395" s="342" t="s">
        <v>3649</v>
      </c>
      <c r="S395" s="343">
        <v>45535</v>
      </c>
      <c r="T395" s="343">
        <v>45535</v>
      </c>
      <c r="U395" s="343">
        <v>44628</v>
      </c>
      <c r="V395" s="343">
        <v>44440</v>
      </c>
      <c r="W395" s="343">
        <v>44743</v>
      </c>
      <c r="X395" s="342" t="s">
        <v>5959</v>
      </c>
      <c r="Y395" s="342" t="s">
        <v>4677</v>
      </c>
    </row>
    <row r="396" spans="1:25">
      <c r="A396" s="342">
        <v>313831</v>
      </c>
      <c r="B396" s="342" t="s">
        <v>1163</v>
      </c>
      <c r="C396" s="342" t="s">
        <v>336</v>
      </c>
      <c r="D396" s="342" t="s">
        <v>337</v>
      </c>
      <c r="E396" s="342" t="s">
        <v>591</v>
      </c>
      <c r="F396" s="342" t="s">
        <v>40</v>
      </c>
      <c r="G396" s="342" t="s">
        <v>1288</v>
      </c>
      <c r="H396" s="342" t="s">
        <v>1565</v>
      </c>
      <c r="I396" s="342" t="s">
        <v>1571</v>
      </c>
      <c r="L396" s="342" t="s">
        <v>1571</v>
      </c>
      <c r="M396" s="342" t="s">
        <v>1571</v>
      </c>
      <c r="N396" s="342" t="s">
        <v>3656</v>
      </c>
      <c r="O396" s="342" t="s">
        <v>4011</v>
      </c>
      <c r="P396" s="342">
        <v>6153005066</v>
      </c>
      <c r="R396" s="342" t="s">
        <v>3649</v>
      </c>
      <c r="S396" s="343">
        <v>45102</v>
      </c>
      <c r="T396" s="343">
        <v>45102</v>
      </c>
      <c r="U396" s="343">
        <v>44361</v>
      </c>
      <c r="V396" s="343">
        <v>44008</v>
      </c>
      <c r="X396" s="342" t="s">
        <v>4012</v>
      </c>
      <c r="Y396" s="342" t="s">
        <v>4012</v>
      </c>
    </row>
    <row r="397" spans="1:25">
      <c r="A397" s="342">
        <v>313897</v>
      </c>
      <c r="B397" s="342" t="s">
        <v>1057</v>
      </c>
      <c r="C397" s="342" t="s">
        <v>788</v>
      </c>
      <c r="D397" s="342" t="s">
        <v>45</v>
      </c>
      <c r="E397" s="342" t="s">
        <v>591</v>
      </c>
      <c r="F397" s="342" t="s">
        <v>40</v>
      </c>
      <c r="G397" s="342" t="s">
        <v>5449</v>
      </c>
      <c r="H397" s="342" t="s">
        <v>5099</v>
      </c>
      <c r="I397" s="342" t="s">
        <v>1571</v>
      </c>
      <c r="L397" s="342" t="s">
        <v>1571</v>
      </c>
      <c r="M397" s="342" t="s">
        <v>1571</v>
      </c>
      <c r="N397" s="342" t="s">
        <v>3656</v>
      </c>
      <c r="O397" s="342" t="s">
        <v>4013</v>
      </c>
      <c r="P397" s="342">
        <v>6115717088</v>
      </c>
      <c r="R397" s="342" t="s">
        <v>3649</v>
      </c>
      <c r="S397" s="343">
        <v>45085</v>
      </c>
      <c r="T397" s="343">
        <v>45085</v>
      </c>
      <c r="U397" s="343">
        <v>44636</v>
      </c>
      <c r="V397" s="343">
        <v>43991</v>
      </c>
      <c r="W397" s="343">
        <v>44314</v>
      </c>
      <c r="X397" s="342">
        <v>14028</v>
      </c>
      <c r="Y397" s="342">
        <v>14028</v>
      </c>
    </row>
    <row r="398" spans="1:25">
      <c r="A398" s="342">
        <v>313936</v>
      </c>
      <c r="B398" s="342" t="s">
        <v>1061</v>
      </c>
      <c r="C398" s="342" t="s">
        <v>1064</v>
      </c>
      <c r="D398" s="342" t="s">
        <v>45</v>
      </c>
      <c r="E398" s="342" t="s">
        <v>591</v>
      </c>
      <c r="F398" s="342" t="s">
        <v>40</v>
      </c>
      <c r="G398" s="342" t="s">
        <v>5450</v>
      </c>
      <c r="H398" s="342" t="s">
        <v>5023</v>
      </c>
      <c r="I398" s="342" t="s">
        <v>1581</v>
      </c>
      <c r="L398" s="342" t="s">
        <v>1581</v>
      </c>
      <c r="M398" s="342" t="s">
        <v>1581</v>
      </c>
      <c r="S398" s="343">
        <v>45663</v>
      </c>
      <c r="Y398" s="342" t="s">
        <v>4014</v>
      </c>
    </row>
    <row r="399" spans="1:25">
      <c r="A399" s="342">
        <v>314059</v>
      </c>
      <c r="B399" s="342" t="s">
        <v>1094</v>
      </c>
      <c r="C399" s="342" t="s">
        <v>1097</v>
      </c>
      <c r="D399" s="342" t="s">
        <v>45</v>
      </c>
      <c r="E399" s="342" t="s">
        <v>591</v>
      </c>
      <c r="F399" s="342" t="s">
        <v>43</v>
      </c>
      <c r="G399" s="342" t="s">
        <v>1421</v>
      </c>
      <c r="J399" s="342" t="s">
        <v>1571</v>
      </c>
      <c r="K399" s="343">
        <v>44742</v>
      </c>
    </row>
    <row r="400" spans="1:25">
      <c r="A400" s="342">
        <v>314094</v>
      </c>
      <c r="B400" s="342" t="s">
        <v>1089</v>
      </c>
      <c r="C400" s="342" t="s">
        <v>1091</v>
      </c>
      <c r="D400" s="342" t="s">
        <v>51</v>
      </c>
      <c r="E400" s="342" t="s">
        <v>591</v>
      </c>
      <c r="F400" s="342" t="s">
        <v>43</v>
      </c>
      <c r="G400" s="342" t="s">
        <v>1421</v>
      </c>
    </row>
    <row r="401" spans="1:25">
      <c r="A401" s="342">
        <v>314403</v>
      </c>
      <c r="B401" s="342" t="s">
        <v>1085</v>
      </c>
      <c r="C401" s="342" t="s">
        <v>1087</v>
      </c>
      <c r="D401" s="342" t="s">
        <v>1088</v>
      </c>
      <c r="E401" s="342" t="s">
        <v>591</v>
      </c>
      <c r="F401" s="342" t="s">
        <v>40</v>
      </c>
      <c r="G401" s="342" t="s">
        <v>5450</v>
      </c>
      <c r="H401" s="342" t="s">
        <v>5100</v>
      </c>
      <c r="I401" s="342" t="s">
        <v>1568</v>
      </c>
      <c r="L401" s="342" t="s">
        <v>1568</v>
      </c>
      <c r="M401" s="342" t="s">
        <v>1568</v>
      </c>
      <c r="N401" s="342" t="s">
        <v>3652</v>
      </c>
      <c r="O401" s="342" t="s">
        <v>4015</v>
      </c>
      <c r="P401" s="342">
        <v>6120135066</v>
      </c>
      <c r="R401" s="342" t="s">
        <v>3649</v>
      </c>
      <c r="S401" s="343">
        <v>45520</v>
      </c>
      <c r="T401" s="343">
        <v>45520</v>
      </c>
      <c r="U401" s="343">
        <v>44664</v>
      </c>
      <c r="V401" s="343">
        <v>44425</v>
      </c>
      <c r="X401" s="342" t="s">
        <v>4016</v>
      </c>
      <c r="Y401" s="342" t="s">
        <v>4016</v>
      </c>
    </row>
    <row r="402" spans="1:25">
      <c r="A402" s="342">
        <v>316391</v>
      </c>
      <c r="B402" s="342" t="s">
        <v>1159</v>
      </c>
      <c r="C402" s="342" t="s">
        <v>1161</v>
      </c>
      <c r="D402" s="342" t="s">
        <v>51</v>
      </c>
      <c r="E402" s="342" t="s">
        <v>591</v>
      </c>
      <c r="F402" s="342" t="s">
        <v>40</v>
      </c>
      <c r="G402" s="342" t="s">
        <v>1288</v>
      </c>
      <c r="H402" s="342" t="s">
        <v>5836</v>
      </c>
      <c r="I402" s="342" t="s">
        <v>1571</v>
      </c>
      <c r="L402" s="342" t="s">
        <v>1571</v>
      </c>
      <c r="M402" s="342" t="s">
        <v>1571</v>
      </c>
      <c r="N402" s="342" t="s">
        <v>3656</v>
      </c>
      <c r="O402" s="342" t="s">
        <v>4985</v>
      </c>
      <c r="P402" s="342">
        <v>6116595306</v>
      </c>
      <c r="R402" s="342" t="s">
        <v>3649</v>
      </c>
      <c r="S402" s="343">
        <v>45271</v>
      </c>
      <c r="T402" s="343">
        <v>45271</v>
      </c>
      <c r="U402" s="343">
        <v>44487</v>
      </c>
      <c r="V402" s="343">
        <v>44177</v>
      </c>
      <c r="W402" s="343">
        <v>44563</v>
      </c>
      <c r="X402" s="342" t="s">
        <v>4017</v>
      </c>
      <c r="Y402" s="342" t="s">
        <v>4017</v>
      </c>
    </row>
    <row r="403" spans="1:25">
      <c r="A403" s="342">
        <v>316791</v>
      </c>
      <c r="B403" s="342" t="s">
        <v>1398</v>
      </c>
      <c r="C403" s="342" t="s">
        <v>1400</v>
      </c>
      <c r="D403" s="342" t="s">
        <v>51</v>
      </c>
      <c r="E403" s="342" t="s">
        <v>591</v>
      </c>
      <c r="F403" s="342" t="s">
        <v>737</v>
      </c>
      <c r="G403" s="342" t="s">
        <v>1277</v>
      </c>
    </row>
    <row r="404" spans="1:25">
      <c r="A404" s="342">
        <v>316849</v>
      </c>
      <c r="B404" s="342" t="s">
        <v>1143</v>
      </c>
      <c r="C404" s="342" t="s">
        <v>1146</v>
      </c>
      <c r="D404" s="342" t="s">
        <v>107</v>
      </c>
      <c r="E404" s="342" t="s">
        <v>591</v>
      </c>
      <c r="F404" s="342" t="s">
        <v>40</v>
      </c>
      <c r="G404" s="342" t="s">
        <v>4441</v>
      </c>
      <c r="H404" s="342" t="s">
        <v>4575</v>
      </c>
      <c r="I404" s="342" t="s">
        <v>1568</v>
      </c>
      <c r="L404" s="342" t="s">
        <v>1568</v>
      </c>
      <c r="M404" s="342" t="s">
        <v>1568</v>
      </c>
      <c r="N404" s="342" t="s">
        <v>3652</v>
      </c>
      <c r="O404" s="342" t="s">
        <v>4018</v>
      </c>
      <c r="P404" s="342">
        <v>6110655705</v>
      </c>
      <c r="R404" s="342" t="s">
        <v>3649</v>
      </c>
      <c r="S404" s="343">
        <v>45464</v>
      </c>
      <c r="T404" s="343">
        <v>45464</v>
      </c>
      <c r="U404" s="343">
        <v>44298</v>
      </c>
      <c r="V404" s="343">
        <v>44369</v>
      </c>
      <c r="X404" s="342" t="s">
        <v>4577</v>
      </c>
      <c r="Y404" s="342" t="s">
        <v>4579</v>
      </c>
    </row>
    <row r="405" spans="1:25">
      <c r="A405" s="342">
        <v>316979</v>
      </c>
      <c r="B405" s="342" t="s">
        <v>965</v>
      </c>
      <c r="C405" s="342" t="s">
        <v>1408</v>
      </c>
      <c r="D405" s="342" t="s">
        <v>47</v>
      </c>
      <c r="E405" s="342" t="s">
        <v>591</v>
      </c>
      <c r="F405" s="342" t="s">
        <v>41</v>
      </c>
      <c r="G405" s="342" t="s">
        <v>786</v>
      </c>
      <c r="H405" s="342" t="s">
        <v>4894</v>
      </c>
      <c r="I405" s="342" t="s">
        <v>1571</v>
      </c>
      <c r="L405" s="342" t="s">
        <v>1571</v>
      </c>
      <c r="M405" s="342" t="s">
        <v>1571</v>
      </c>
      <c r="N405" s="342" t="s">
        <v>3653</v>
      </c>
      <c r="O405" s="342" t="s">
        <v>4771</v>
      </c>
      <c r="P405" s="342">
        <v>6148493667</v>
      </c>
      <c r="R405" s="342" t="s">
        <v>3649</v>
      </c>
      <c r="S405" s="343">
        <v>45569</v>
      </c>
      <c r="T405" s="343">
        <v>45569</v>
      </c>
      <c r="U405" s="343">
        <v>44376</v>
      </c>
      <c r="V405" s="343">
        <v>44474</v>
      </c>
      <c r="W405" s="343">
        <v>44520</v>
      </c>
      <c r="X405" s="342" t="s">
        <v>4880</v>
      </c>
      <c r="Y405" s="342" t="s">
        <v>4903</v>
      </c>
    </row>
    <row r="406" spans="1:25">
      <c r="A406" s="342">
        <v>317041</v>
      </c>
      <c r="B406" s="342" t="s">
        <v>1148</v>
      </c>
      <c r="C406" s="342" t="s">
        <v>1150</v>
      </c>
      <c r="D406" s="342" t="s">
        <v>51</v>
      </c>
      <c r="E406" s="342" t="s">
        <v>591</v>
      </c>
      <c r="F406" s="342" t="s">
        <v>40</v>
      </c>
      <c r="G406" s="342" t="s">
        <v>5449</v>
      </c>
      <c r="H406" s="342" t="s">
        <v>4542</v>
      </c>
      <c r="I406" s="342" t="s">
        <v>1568</v>
      </c>
      <c r="L406" s="342" t="s">
        <v>1568</v>
      </c>
      <c r="M406" s="342" t="s">
        <v>1568</v>
      </c>
      <c r="N406" s="342" t="s">
        <v>3652</v>
      </c>
      <c r="O406" s="342" t="s">
        <v>4019</v>
      </c>
      <c r="P406" s="342">
        <v>6120673722</v>
      </c>
      <c r="R406" s="342" t="s">
        <v>3649</v>
      </c>
      <c r="S406" s="343">
        <v>45433</v>
      </c>
      <c r="T406" s="343">
        <v>45433</v>
      </c>
      <c r="U406" s="343">
        <v>43935</v>
      </c>
      <c r="V406" s="343">
        <v>44338</v>
      </c>
      <c r="X406" s="342" t="s">
        <v>4020</v>
      </c>
      <c r="Y406" s="342" t="s">
        <v>4020</v>
      </c>
    </row>
    <row r="407" spans="1:25">
      <c r="A407" s="342">
        <v>317124</v>
      </c>
      <c r="B407" s="342" t="s">
        <v>5254</v>
      </c>
      <c r="C407" s="342" t="s">
        <v>5256</v>
      </c>
      <c r="D407" s="342" t="s">
        <v>5257</v>
      </c>
      <c r="E407" s="342" t="s">
        <v>591</v>
      </c>
      <c r="F407" s="342" t="s">
        <v>40</v>
      </c>
      <c r="G407" s="342" t="s">
        <v>1288</v>
      </c>
      <c r="H407" s="342" t="s">
        <v>5266</v>
      </c>
      <c r="I407" s="342" t="s">
        <v>1583</v>
      </c>
      <c r="L407" s="342" t="s">
        <v>1571</v>
      </c>
      <c r="M407" s="342" t="s">
        <v>1571</v>
      </c>
      <c r="N407" s="342" t="s">
        <v>3653</v>
      </c>
      <c r="O407" s="342" t="s">
        <v>5271</v>
      </c>
      <c r="P407" s="342">
        <v>6147635167</v>
      </c>
      <c r="R407" s="342" t="s">
        <v>3649</v>
      </c>
      <c r="S407" s="343">
        <v>45335</v>
      </c>
      <c r="T407" s="343">
        <v>45335</v>
      </c>
      <c r="U407" s="343">
        <v>43819</v>
      </c>
      <c r="V407" s="343">
        <v>44241</v>
      </c>
      <c r="X407" s="342" t="s">
        <v>5275</v>
      </c>
      <c r="Y407" s="342" t="s">
        <v>5276</v>
      </c>
    </row>
    <row r="408" spans="1:25">
      <c r="A408" s="342">
        <v>317378</v>
      </c>
      <c r="B408" s="342" t="s">
        <v>1215</v>
      </c>
      <c r="C408" s="342" t="s">
        <v>1218</v>
      </c>
      <c r="D408" s="342" t="s">
        <v>45</v>
      </c>
      <c r="E408" s="342" t="s">
        <v>591</v>
      </c>
      <c r="F408" s="342" t="s">
        <v>40</v>
      </c>
      <c r="G408" s="342" t="s">
        <v>5278</v>
      </c>
      <c r="H408" s="342" t="s">
        <v>4878</v>
      </c>
      <c r="I408" s="342" t="s">
        <v>1571</v>
      </c>
      <c r="L408" s="342" t="s">
        <v>1571</v>
      </c>
      <c r="M408" s="342" t="s">
        <v>1571</v>
      </c>
      <c r="N408" s="342" t="s">
        <v>3653</v>
      </c>
      <c r="O408" s="342" t="s">
        <v>4021</v>
      </c>
      <c r="P408" s="342">
        <v>6142679487</v>
      </c>
      <c r="R408" s="342" t="s">
        <v>3649</v>
      </c>
      <c r="S408" s="343">
        <v>45647</v>
      </c>
      <c r="T408" s="343">
        <v>45647</v>
      </c>
      <c r="U408" s="343">
        <v>43689</v>
      </c>
      <c r="V408" s="343">
        <v>44552</v>
      </c>
      <c r="X408" s="342" t="s">
        <v>4022</v>
      </c>
      <c r="Y408" s="342" t="s">
        <v>4022</v>
      </c>
    </row>
    <row r="409" spans="1:25" ht="409.5">
      <c r="A409" s="342">
        <v>317423</v>
      </c>
      <c r="B409" s="342" t="s">
        <v>4422</v>
      </c>
      <c r="C409" s="342" t="s">
        <v>1155</v>
      </c>
      <c r="D409" s="342" t="s">
        <v>45</v>
      </c>
      <c r="E409" s="342" t="s">
        <v>591</v>
      </c>
      <c r="F409" s="342" t="s">
        <v>40</v>
      </c>
      <c r="G409" s="342" t="s">
        <v>5449</v>
      </c>
      <c r="H409" s="342" t="s">
        <v>4676</v>
      </c>
      <c r="I409" s="342" t="s">
        <v>1571</v>
      </c>
      <c r="L409" s="342" t="s">
        <v>1571</v>
      </c>
      <c r="M409" s="342" t="s">
        <v>1571</v>
      </c>
      <c r="N409" s="342" t="s">
        <v>3653</v>
      </c>
      <c r="O409" s="344" t="s">
        <v>5955</v>
      </c>
      <c r="P409" s="342">
        <v>6140989483</v>
      </c>
      <c r="R409" s="342" t="s">
        <v>3649</v>
      </c>
      <c r="S409" s="343">
        <v>45535</v>
      </c>
      <c r="T409" s="343">
        <v>45535</v>
      </c>
      <c r="U409" s="343">
        <v>44628</v>
      </c>
      <c r="V409" s="343">
        <v>44440</v>
      </c>
      <c r="W409" s="343">
        <v>44743</v>
      </c>
      <c r="X409" s="342" t="s">
        <v>5959</v>
      </c>
      <c r="Y409" s="342" t="s">
        <v>4677</v>
      </c>
    </row>
    <row r="410" spans="1:25" ht="409.5">
      <c r="A410" s="342">
        <v>317750</v>
      </c>
      <c r="B410" s="342" t="s">
        <v>1180</v>
      </c>
      <c r="C410" s="342" t="s">
        <v>1182</v>
      </c>
      <c r="D410" s="342" t="s">
        <v>51</v>
      </c>
      <c r="E410" s="342" t="s">
        <v>591</v>
      </c>
      <c r="F410" s="342" t="s">
        <v>41</v>
      </c>
      <c r="G410" s="342" t="s">
        <v>1510</v>
      </c>
      <c r="H410" s="342" t="s">
        <v>4634</v>
      </c>
      <c r="I410" s="342" t="s">
        <v>1571</v>
      </c>
      <c r="L410" s="342" t="s">
        <v>1571</v>
      </c>
      <c r="M410" s="342" t="s">
        <v>1571</v>
      </c>
      <c r="N410" s="342" t="s">
        <v>3656</v>
      </c>
      <c r="O410" s="344" t="s">
        <v>4724</v>
      </c>
      <c r="P410" s="342">
        <v>6153318902</v>
      </c>
      <c r="R410" s="342" t="s">
        <v>3649</v>
      </c>
      <c r="S410" s="343">
        <v>45499</v>
      </c>
      <c r="T410" s="343">
        <v>45499</v>
      </c>
      <c r="V410" s="343">
        <v>44404</v>
      </c>
      <c r="X410" s="342">
        <v>18674</v>
      </c>
      <c r="Y410" s="342">
        <v>18674</v>
      </c>
    </row>
    <row r="411" spans="1:25">
      <c r="A411" s="342">
        <v>317753</v>
      </c>
      <c r="B411" s="342" t="s">
        <v>1506</v>
      </c>
      <c r="C411" s="342" t="s">
        <v>1167</v>
      </c>
      <c r="D411" s="342" t="s">
        <v>45</v>
      </c>
      <c r="E411" s="342" t="s">
        <v>591</v>
      </c>
      <c r="F411" s="342" t="s">
        <v>41</v>
      </c>
      <c r="G411" s="342" t="s">
        <v>1288</v>
      </c>
      <c r="H411" s="342" t="s">
        <v>2519</v>
      </c>
      <c r="I411" s="342" t="s">
        <v>1571</v>
      </c>
      <c r="L411" s="342" t="s">
        <v>1571</v>
      </c>
      <c r="M411" s="342" t="s">
        <v>1571</v>
      </c>
      <c r="N411" s="342" t="s">
        <v>3656</v>
      </c>
      <c r="O411" s="342" t="s">
        <v>4023</v>
      </c>
      <c r="P411" s="342">
        <v>6152621182</v>
      </c>
      <c r="R411" s="342" t="s">
        <v>3649</v>
      </c>
      <c r="S411" s="343">
        <v>45032</v>
      </c>
      <c r="T411" s="343">
        <v>45032</v>
      </c>
      <c r="U411" s="343">
        <v>44592</v>
      </c>
      <c r="V411" s="343">
        <v>43938</v>
      </c>
      <c r="W411" s="343">
        <v>44330</v>
      </c>
      <c r="X411" s="342" t="s">
        <v>4535</v>
      </c>
      <c r="Y411" s="342" t="s">
        <v>4024</v>
      </c>
    </row>
    <row r="412" spans="1:25">
      <c r="A412" s="342">
        <v>318065</v>
      </c>
      <c r="B412" s="342" t="s">
        <v>1302</v>
      </c>
      <c r="C412" s="342" t="s">
        <v>218</v>
      </c>
      <c r="D412" s="342" t="s">
        <v>51</v>
      </c>
      <c r="E412" s="342" t="s">
        <v>591</v>
      </c>
      <c r="F412" s="342" t="s">
        <v>40</v>
      </c>
      <c r="G412" s="342" t="s">
        <v>5282</v>
      </c>
      <c r="H412" s="342" t="s">
        <v>5817</v>
      </c>
      <c r="I412" s="342" t="s">
        <v>1568</v>
      </c>
      <c r="L412" s="342" t="s">
        <v>1568</v>
      </c>
      <c r="M412" s="342" t="s">
        <v>1568</v>
      </c>
      <c r="N412" s="342" t="s">
        <v>3652</v>
      </c>
      <c r="O412" s="342" t="s">
        <v>5501</v>
      </c>
      <c r="P412" s="342">
        <v>6124122062</v>
      </c>
      <c r="R412" s="342" t="s">
        <v>3649</v>
      </c>
      <c r="S412" s="343">
        <v>45014</v>
      </c>
      <c r="T412" s="343">
        <v>45014</v>
      </c>
      <c r="U412" s="343">
        <v>43837</v>
      </c>
      <c r="V412" s="343">
        <v>43920</v>
      </c>
      <c r="W412" s="343">
        <v>44692</v>
      </c>
      <c r="X412" s="342" t="s">
        <v>3914</v>
      </c>
      <c r="Y412" s="342" t="s">
        <v>3914</v>
      </c>
    </row>
    <row r="413" spans="1:25">
      <c r="A413" s="342">
        <v>319140</v>
      </c>
      <c r="B413" s="342" t="s">
        <v>4651</v>
      </c>
      <c r="C413" s="342" t="s">
        <v>4653</v>
      </c>
      <c r="D413" s="342" t="s">
        <v>51</v>
      </c>
      <c r="E413" s="342" t="s">
        <v>591</v>
      </c>
      <c r="F413" s="342" t="s">
        <v>40</v>
      </c>
      <c r="G413" s="342" t="s">
        <v>5283</v>
      </c>
      <c r="H413" s="342" t="s">
        <v>4664</v>
      </c>
      <c r="I413" s="342" t="s">
        <v>1568</v>
      </c>
      <c r="L413" s="342" t="s">
        <v>1568</v>
      </c>
      <c r="M413" s="342" t="s">
        <v>1568</v>
      </c>
      <c r="N413" s="342" t="s">
        <v>3652</v>
      </c>
      <c r="O413" s="342" t="s">
        <v>4665</v>
      </c>
      <c r="P413" s="342">
        <v>6147290366</v>
      </c>
      <c r="R413" s="342" t="s">
        <v>3649</v>
      </c>
      <c r="S413" s="343">
        <v>44910</v>
      </c>
      <c r="T413" s="343">
        <v>44910</v>
      </c>
      <c r="U413" s="343">
        <v>44383</v>
      </c>
      <c r="V413" s="343">
        <v>43815</v>
      </c>
      <c r="W413" s="343">
        <v>44645</v>
      </c>
      <c r="X413" s="342" t="s">
        <v>4667</v>
      </c>
      <c r="Y413" s="342" t="s">
        <v>4667</v>
      </c>
    </row>
    <row r="414" spans="1:25">
      <c r="A414" s="342">
        <v>319735</v>
      </c>
      <c r="B414" s="342" t="s">
        <v>5030</v>
      </c>
      <c r="C414" s="342" t="s">
        <v>5032</v>
      </c>
      <c r="D414" s="342" t="s">
        <v>51</v>
      </c>
      <c r="E414" s="342" t="s">
        <v>591</v>
      </c>
      <c r="F414" s="342" t="s">
        <v>40</v>
      </c>
      <c r="G414" s="342" t="s">
        <v>5282</v>
      </c>
      <c r="H414" s="342" t="s">
        <v>5496</v>
      </c>
      <c r="I414" s="342" t="s">
        <v>1568</v>
      </c>
      <c r="L414" s="342" t="s">
        <v>1568</v>
      </c>
      <c r="M414" s="342" t="s">
        <v>1568</v>
      </c>
      <c r="N414" s="342" t="s">
        <v>3652</v>
      </c>
      <c r="O414" s="342" t="s">
        <v>5442</v>
      </c>
      <c r="P414" s="342">
        <v>6121201960</v>
      </c>
      <c r="R414" s="342" t="s">
        <v>3649</v>
      </c>
      <c r="S414" s="343">
        <v>45459</v>
      </c>
      <c r="T414" s="343">
        <v>45459</v>
      </c>
      <c r="U414" s="343">
        <v>44641</v>
      </c>
      <c r="V414" s="343">
        <v>44364</v>
      </c>
      <c r="X414" s="342" t="s">
        <v>5445</v>
      </c>
      <c r="Y414" s="342" t="s">
        <v>5446</v>
      </c>
    </row>
    <row r="415" spans="1:25">
      <c r="A415" s="342">
        <v>321538</v>
      </c>
      <c r="B415" s="342" t="s">
        <v>1273</v>
      </c>
      <c r="C415" s="342" t="s">
        <v>1511</v>
      </c>
      <c r="D415" s="342" t="s">
        <v>1275</v>
      </c>
      <c r="E415" s="342" t="s">
        <v>591</v>
      </c>
      <c r="F415" s="342" t="s">
        <v>41</v>
      </c>
      <c r="G415" s="342" t="s">
        <v>1510</v>
      </c>
      <c r="J415" s="342" t="s">
        <v>1571</v>
      </c>
      <c r="K415" s="343">
        <v>44864</v>
      </c>
    </row>
    <row r="416" spans="1:25">
      <c r="A416" s="342">
        <v>323306</v>
      </c>
      <c r="B416" s="342" t="s">
        <v>1471</v>
      </c>
      <c r="C416" s="342" t="s">
        <v>1474</v>
      </c>
      <c r="D416" s="342" t="s">
        <v>45</v>
      </c>
      <c r="E416" s="342" t="s">
        <v>591</v>
      </c>
      <c r="F416" s="342" t="s">
        <v>1114</v>
      </c>
      <c r="G416" s="342" t="s">
        <v>1288</v>
      </c>
      <c r="H416" s="342" t="s">
        <v>5101</v>
      </c>
      <c r="I416" s="342" t="s">
        <v>1576</v>
      </c>
      <c r="L416" s="342" t="s">
        <v>1576</v>
      </c>
      <c r="M416" s="342" t="s">
        <v>1576</v>
      </c>
      <c r="N416" s="342" t="s">
        <v>3647</v>
      </c>
      <c r="O416" s="342" t="s">
        <v>4025</v>
      </c>
      <c r="P416" s="342">
        <v>6122258242</v>
      </c>
      <c r="R416" s="342" t="s">
        <v>3649</v>
      </c>
      <c r="S416" s="343">
        <v>45677</v>
      </c>
      <c r="T416" s="343">
        <v>45677</v>
      </c>
      <c r="U416" s="343">
        <v>43710</v>
      </c>
      <c r="V416" s="343">
        <v>44582</v>
      </c>
      <c r="X416" s="342" t="s">
        <v>5062</v>
      </c>
      <c r="Y416" s="342" t="s">
        <v>5062</v>
      </c>
    </row>
    <row r="417" spans="1:25">
      <c r="A417" s="342">
        <v>323416</v>
      </c>
      <c r="B417" s="342" t="s">
        <v>1333</v>
      </c>
      <c r="C417" s="342" t="s">
        <v>236</v>
      </c>
      <c r="D417" s="342" t="s">
        <v>51</v>
      </c>
      <c r="E417" s="342" t="s">
        <v>591</v>
      </c>
      <c r="F417" s="342" t="s">
        <v>40</v>
      </c>
      <c r="G417" s="342" t="s">
        <v>5282</v>
      </c>
      <c r="H417" s="342" t="s">
        <v>1566</v>
      </c>
      <c r="I417" s="342" t="s">
        <v>1568</v>
      </c>
      <c r="L417" s="342" t="s">
        <v>1568</v>
      </c>
      <c r="M417" s="342" t="s">
        <v>1568</v>
      </c>
      <c r="N417" s="342" t="s">
        <v>3652</v>
      </c>
      <c r="O417" s="342" t="s">
        <v>4026</v>
      </c>
      <c r="P417" s="342">
        <v>6114841502</v>
      </c>
      <c r="R417" s="342" t="s">
        <v>3649</v>
      </c>
      <c r="S417" s="343">
        <v>44818</v>
      </c>
      <c r="T417" s="343">
        <v>44818</v>
      </c>
      <c r="U417" s="343">
        <v>43962</v>
      </c>
      <c r="V417" s="343">
        <v>43723</v>
      </c>
      <c r="W417" s="343">
        <v>44098</v>
      </c>
      <c r="X417" s="342" t="s">
        <v>4027</v>
      </c>
      <c r="Y417" s="342" t="s">
        <v>4028</v>
      </c>
    </row>
    <row r="418" spans="1:25">
      <c r="A418" s="342">
        <v>323974</v>
      </c>
      <c r="B418" s="342" t="s">
        <v>1356</v>
      </c>
      <c r="C418" s="342" t="s">
        <v>1358</v>
      </c>
      <c r="D418" s="342" t="s">
        <v>558</v>
      </c>
      <c r="E418" s="342" t="s">
        <v>591</v>
      </c>
      <c r="F418" s="342" t="s">
        <v>40</v>
      </c>
      <c r="G418" s="342" t="s">
        <v>1510</v>
      </c>
      <c r="H418" s="342" t="s">
        <v>2520</v>
      </c>
      <c r="I418" s="342" t="s">
        <v>1571</v>
      </c>
      <c r="L418" s="342" t="s">
        <v>1571</v>
      </c>
      <c r="M418" s="342" t="s">
        <v>1571</v>
      </c>
      <c r="N418" s="342" t="s">
        <v>3656</v>
      </c>
      <c r="O418" s="342" t="s">
        <v>4029</v>
      </c>
      <c r="P418" s="342">
        <v>6146438624</v>
      </c>
      <c r="R418" s="342" t="s">
        <v>3649</v>
      </c>
      <c r="S418" s="343">
        <v>45162</v>
      </c>
      <c r="T418" s="343">
        <v>45162</v>
      </c>
      <c r="U418" s="343">
        <v>43657</v>
      </c>
      <c r="V418" s="343">
        <v>44068</v>
      </c>
      <c r="W418" s="343">
        <v>44391</v>
      </c>
      <c r="X418" s="342" t="s">
        <v>4030</v>
      </c>
      <c r="Y418" s="342" t="s">
        <v>4030</v>
      </c>
    </row>
    <row r="419" spans="1:25">
      <c r="A419" s="342">
        <v>324051</v>
      </c>
      <c r="B419" s="342" t="s">
        <v>1369</v>
      </c>
      <c r="C419" s="342" t="s">
        <v>1361</v>
      </c>
      <c r="D419" s="342" t="s">
        <v>1362</v>
      </c>
      <c r="E419" s="342" t="s">
        <v>591</v>
      </c>
      <c r="F419" s="342" t="s">
        <v>41</v>
      </c>
      <c r="G419" s="342" t="s">
        <v>4638</v>
      </c>
      <c r="H419" s="342" t="s">
        <v>4980</v>
      </c>
      <c r="I419" s="342" t="s">
        <v>1571</v>
      </c>
      <c r="L419" s="342" t="s">
        <v>1571</v>
      </c>
      <c r="M419" s="342" t="s">
        <v>1571</v>
      </c>
      <c r="N419" s="342" t="s">
        <v>3653</v>
      </c>
      <c r="O419" s="342" t="s">
        <v>4981</v>
      </c>
      <c r="P419" s="342">
        <v>6144217685</v>
      </c>
      <c r="R419" s="342" t="s">
        <v>3649</v>
      </c>
      <c r="S419" s="343">
        <v>45646</v>
      </c>
      <c r="T419" s="343">
        <v>45646</v>
      </c>
      <c r="U419" s="343">
        <v>44277</v>
      </c>
      <c r="V419" s="343">
        <v>44551</v>
      </c>
      <c r="W419" s="343">
        <v>44580</v>
      </c>
      <c r="X419" s="342" t="s">
        <v>5164</v>
      </c>
      <c r="Y419" s="342" t="s">
        <v>3755</v>
      </c>
    </row>
    <row r="420" spans="1:25">
      <c r="A420" s="342">
        <v>324140</v>
      </c>
      <c r="B420" s="342" t="s">
        <v>1370</v>
      </c>
      <c r="C420" s="342" t="s">
        <v>1372</v>
      </c>
      <c r="D420" s="342" t="s">
        <v>1373</v>
      </c>
      <c r="E420" s="342" t="s">
        <v>591</v>
      </c>
      <c r="F420" s="342" t="s">
        <v>41</v>
      </c>
      <c r="G420" s="342" t="s">
        <v>4638</v>
      </c>
      <c r="H420" s="342" t="s">
        <v>4980</v>
      </c>
      <c r="I420" s="342" t="s">
        <v>1571</v>
      </c>
      <c r="L420" s="342" t="s">
        <v>1571</v>
      </c>
      <c r="M420" s="342" t="s">
        <v>1571</v>
      </c>
      <c r="N420" s="342" t="s">
        <v>3653</v>
      </c>
      <c r="O420" s="342" t="s">
        <v>4981</v>
      </c>
      <c r="P420" s="342">
        <v>6144217423</v>
      </c>
      <c r="R420" s="342" t="s">
        <v>3649</v>
      </c>
      <c r="S420" s="343">
        <v>45646</v>
      </c>
      <c r="T420" s="343">
        <v>45646</v>
      </c>
      <c r="U420" s="343">
        <v>43194</v>
      </c>
      <c r="V420" s="343">
        <v>44551</v>
      </c>
      <c r="W420" s="343">
        <v>44580</v>
      </c>
      <c r="X420" s="342" t="s">
        <v>5164</v>
      </c>
      <c r="Y420" s="342" t="s">
        <v>3755</v>
      </c>
    </row>
    <row r="421" spans="1:25" ht="210">
      <c r="A421" s="342">
        <v>325267</v>
      </c>
      <c r="B421" s="342" t="s">
        <v>1412</v>
      </c>
      <c r="C421" s="342" t="s">
        <v>1416</v>
      </c>
      <c r="D421" s="342" t="s">
        <v>1413</v>
      </c>
      <c r="E421" s="342" t="s">
        <v>591</v>
      </c>
      <c r="F421" s="342" t="s">
        <v>41</v>
      </c>
      <c r="G421" s="342" t="s">
        <v>4608</v>
      </c>
      <c r="H421" s="342" t="s">
        <v>5837</v>
      </c>
      <c r="I421" s="342" t="s">
        <v>1571</v>
      </c>
      <c r="L421" s="342" t="s">
        <v>1571</v>
      </c>
      <c r="M421" s="342" t="s">
        <v>1571</v>
      </c>
      <c r="N421" s="342" t="s">
        <v>3653</v>
      </c>
      <c r="O421" s="344" t="s">
        <v>5229</v>
      </c>
      <c r="P421" s="342">
        <v>6152246347</v>
      </c>
      <c r="R421" s="342" t="s">
        <v>3649</v>
      </c>
      <c r="S421" s="343">
        <v>45710</v>
      </c>
      <c r="T421" s="343">
        <v>45710</v>
      </c>
      <c r="V421" s="343">
        <v>44615</v>
      </c>
      <c r="X421" s="342" t="s">
        <v>5232</v>
      </c>
      <c r="Y421" s="342" t="s">
        <v>5232</v>
      </c>
    </row>
    <row r="422" spans="1:25">
      <c r="A422" s="342">
        <v>325331</v>
      </c>
      <c r="B422" s="342" t="s">
        <v>1445</v>
      </c>
      <c r="C422" s="342" t="s">
        <v>1447</v>
      </c>
      <c r="D422" s="342" t="s">
        <v>1448</v>
      </c>
      <c r="E422" s="342" t="s">
        <v>591</v>
      </c>
      <c r="F422" s="342" t="s">
        <v>685</v>
      </c>
      <c r="G422" s="342" t="s">
        <v>1421</v>
      </c>
      <c r="H422" s="342" t="s">
        <v>4646</v>
      </c>
      <c r="I422" s="342" t="s">
        <v>1571</v>
      </c>
      <c r="L422" s="342" t="s">
        <v>1571</v>
      </c>
      <c r="M422" s="342" t="s">
        <v>1571</v>
      </c>
      <c r="N422" s="342" t="s">
        <v>3653</v>
      </c>
      <c r="O422" s="342" t="s">
        <v>4725</v>
      </c>
      <c r="P422" s="342">
        <v>6154323721</v>
      </c>
      <c r="R422" s="342" t="s">
        <v>3649</v>
      </c>
      <c r="S422" s="343">
        <v>45502</v>
      </c>
      <c r="T422" s="343">
        <v>45502</v>
      </c>
      <c r="V422" s="343">
        <v>44407</v>
      </c>
      <c r="X422" s="342" t="s">
        <v>4648</v>
      </c>
      <c r="Y422" s="342" t="s">
        <v>4648</v>
      </c>
    </row>
    <row r="423" spans="1:25">
      <c r="A423" s="342">
        <v>325804</v>
      </c>
      <c r="B423" s="342" t="s">
        <v>705</v>
      </c>
      <c r="C423" s="342" t="s">
        <v>4343</v>
      </c>
      <c r="D423" s="342" t="s">
        <v>51</v>
      </c>
      <c r="E423" s="342" t="s">
        <v>591</v>
      </c>
      <c r="F423" s="342" t="s">
        <v>40</v>
      </c>
      <c r="G423" s="342" t="s">
        <v>5281</v>
      </c>
      <c r="H423" s="342" t="s">
        <v>5053</v>
      </c>
      <c r="I423" s="342" t="s">
        <v>1568</v>
      </c>
      <c r="L423" s="342" t="s">
        <v>1568</v>
      </c>
      <c r="M423" s="342" t="s">
        <v>1568</v>
      </c>
      <c r="N423" s="342" t="s">
        <v>3652</v>
      </c>
      <c r="O423" s="342" t="s">
        <v>4690</v>
      </c>
      <c r="P423" s="342">
        <v>6153568163</v>
      </c>
      <c r="R423" s="342" t="s">
        <v>3649</v>
      </c>
      <c r="S423" s="343">
        <v>45550</v>
      </c>
      <c r="T423" s="343">
        <v>45550</v>
      </c>
      <c r="U423" s="343">
        <v>43942</v>
      </c>
      <c r="V423" s="343">
        <v>44455</v>
      </c>
      <c r="W423" s="343">
        <v>44455</v>
      </c>
      <c r="X423" s="342" t="s">
        <v>3734</v>
      </c>
      <c r="Y423" s="342" t="s">
        <v>3734</v>
      </c>
    </row>
    <row r="424" spans="1:25">
      <c r="A424" s="342">
        <v>325878</v>
      </c>
      <c r="B424" s="342" t="s">
        <v>1453</v>
      </c>
      <c r="C424" s="342" t="s">
        <v>336</v>
      </c>
      <c r="D424" s="342" t="s">
        <v>337</v>
      </c>
      <c r="E424" s="342" t="s">
        <v>591</v>
      </c>
      <c r="F424" s="342" t="s">
        <v>40</v>
      </c>
      <c r="G424" s="342" t="s">
        <v>5279</v>
      </c>
      <c r="H424" s="342" t="s">
        <v>4409</v>
      </c>
      <c r="I424" s="342" t="s">
        <v>1571</v>
      </c>
      <c r="L424" s="342" t="s">
        <v>1571</v>
      </c>
      <c r="M424" s="342" t="s">
        <v>1571</v>
      </c>
      <c r="N424" s="342" t="s">
        <v>3656</v>
      </c>
      <c r="O424" s="342" t="s">
        <v>4453</v>
      </c>
      <c r="P424" s="342">
        <v>6154226886</v>
      </c>
      <c r="R424" s="342" t="s">
        <v>3649</v>
      </c>
      <c r="S424" s="343">
        <v>45362</v>
      </c>
      <c r="T424" s="343">
        <v>45362</v>
      </c>
      <c r="U424" s="343">
        <v>44223</v>
      </c>
      <c r="V424" s="343">
        <v>44267</v>
      </c>
      <c r="X424" s="342" t="s">
        <v>4435</v>
      </c>
      <c r="Y424" s="342" t="s">
        <v>4435</v>
      </c>
    </row>
    <row r="425" spans="1:25" ht="409.5">
      <c r="A425" s="342">
        <v>325909</v>
      </c>
      <c r="B425" s="342" t="s">
        <v>746</v>
      </c>
      <c r="C425" s="342" t="s">
        <v>1485</v>
      </c>
      <c r="D425" s="342" t="s">
        <v>47</v>
      </c>
      <c r="E425" s="342" t="s">
        <v>591</v>
      </c>
      <c r="F425" s="342" t="s">
        <v>737</v>
      </c>
      <c r="G425" s="342" t="s">
        <v>5280</v>
      </c>
      <c r="H425" s="342" t="s">
        <v>5838</v>
      </c>
      <c r="I425" s="342" t="s">
        <v>1577</v>
      </c>
      <c r="L425" s="342" t="s">
        <v>1568</v>
      </c>
      <c r="M425" s="342" t="s">
        <v>1568</v>
      </c>
      <c r="N425" s="342" t="s">
        <v>3650</v>
      </c>
      <c r="O425" s="344" t="s">
        <v>5927</v>
      </c>
      <c r="P425" s="342">
        <v>6123305123</v>
      </c>
      <c r="R425" s="342" t="s">
        <v>3649</v>
      </c>
      <c r="S425" s="343">
        <v>45467</v>
      </c>
      <c r="T425" s="343">
        <v>45467</v>
      </c>
      <c r="U425" s="343">
        <v>44634</v>
      </c>
      <c r="V425" s="343">
        <v>44372</v>
      </c>
      <c r="W425" s="343">
        <v>44743</v>
      </c>
      <c r="X425" s="342" t="s">
        <v>5928</v>
      </c>
      <c r="Y425" s="342" t="s">
        <v>4582</v>
      </c>
    </row>
    <row r="426" spans="1:25">
      <c r="A426" s="342">
        <v>326373</v>
      </c>
      <c r="B426" s="342" t="s">
        <v>1455</v>
      </c>
      <c r="C426" s="342" t="s">
        <v>336</v>
      </c>
      <c r="D426" s="342" t="s">
        <v>337</v>
      </c>
      <c r="E426" s="342" t="s">
        <v>591</v>
      </c>
      <c r="F426" s="342" t="s">
        <v>40</v>
      </c>
      <c r="G426" s="342" t="s">
        <v>1288</v>
      </c>
      <c r="H426" s="342" t="s">
        <v>4410</v>
      </c>
      <c r="I426" s="342" t="s">
        <v>1571</v>
      </c>
      <c r="L426" s="342" t="s">
        <v>1571</v>
      </c>
      <c r="M426" s="342" t="s">
        <v>1571</v>
      </c>
      <c r="N426" s="342" t="s">
        <v>3656</v>
      </c>
      <c r="O426" s="342" t="s">
        <v>4726</v>
      </c>
      <c r="P426" s="342">
        <v>6154227063</v>
      </c>
      <c r="R426" s="342" t="s">
        <v>3649</v>
      </c>
      <c r="S426" s="343">
        <v>45369</v>
      </c>
      <c r="T426" s="343">
        <v>45369</v>
      </c>
      <c r="U426" s="343">
        <v>44250</v>
      </c>
      <c r="V426" s="343">
        <v>44274</v>
      </c>
      <c r="X426" s="342" t="s">
        <v>4436</v>
      </c>
      <c r="Y426" s="342" t="s">
        <v>4436</v>
      </c>
    </row>
    <row r="427" spans="1:25">
      <c r="A427" s="342">
        <v>326668</v>
      </c>
      <c r="B427" s="342" t="s">
        <v>1479</v>
      </c>
      <c r="C427" s="342" t="s">
        <v>1481</v>
      </c>
      <c r="D427" s="342" t="s">
        <v>51</v>
      </c>
      <c r="E427" s="342" t="s">
        <v>591</v>
      </c>
      <c r="F427" s="342" t="s">
        <v>40</v>
      </c>
      <c r="G427" s="342" t="s">
        <v>4441</v>
      </c>
      <c r="H427" s="342" t="s">
        <v>4426</v>
      </c>
      <c r="I427" s="342" t="s">
        <v>1568</v>
      </c>
      <c r="L427" s="342" t="s">
        <v>1568</v>
      </c>
      <c r="M427" s="342" t="s">
        <v>1568</v>
      </c>
      <c r="N427" s="342" t="s">
        <v>3652</v>
      </c>
      <c r="O427" s="342" t="s">
        <v>4031</v>
      </c>
      <c r="P427" s="342">
        <v>6110651822</v>
      </c>
      <c r="R427" s="342" t="s">
        <v>3649</v>
      </c>
      <c r="S427" s="343">
        <v>45400</v>
      </c>
      <c r="T427" s="343">
        <v>45400</v>
      </c>
      <c r="U427" s="343">
        <v>44627</v>
      </c>
      <c r="V427" s="343">
        <v>44305</v>
      </c>
      <c r="W427" s="343">
        <v>44333</v>
      </c>
      <c r="X427" s="342">
        <v>10672</v>
      </c>
      <c r="Y427" s="342">
        <v>10672</v>
      </c>
    </row>
    <row r="428" spans="1:25">
      <c r="A428" s="342">
        <v>327040</v>
      </c>
      <c r="B428" s="342" t="s">
        <v>1465</v>
      </c>
      <c r="C428" s="342" t="s">
        <v>918</v>
      </c>
      <c r="D428" s="342" t="s">
        <v>51</v>
      </c>
      <c r="E428" s="342" t="s">
        <v>591</v>
      </c>
      <c r="F428" s="342" t="s">
        <v>40</v>
      </c>
      <c r="G428" s="342" t="s">
        <v>5279</v>
      </c>
      <c r="H428" s="342" t="s">
        <v>5400</v>
      </c>
      <c r="I428" s="342" t="s">
        <v>1571</v>
      </c>
      <c r="L428" s="342" t="s">
        <v>1571</v>
      </c>
      <c r="M428" s="342" t="s">
        <v>1571</v>
      </c>
      <c r="S428" s="343">
        <v>45772</v>
      </c>
      <c r="Y428" s="342" t="s">
        <v>5380</v>
      </c>
    </row>
    <row r="429" spans="1:25">
      <c r="A429" s="342">
        <v>328334</v>
      </c>
      <c r="B429" s="342" t="s">
        <v>1512</v>
      </c>
      <c r="C429" s="342" t="s">
        <v>1514</v>
      </c>
      <c r="D429" s="342" t="s">
        <v>1515</v>
      </c>
      <c r="E429" s="342" t="s">
        <v>591</v>
      </c>
      <c r="F429" s="342" t="s">
        <v>40</v>
      </c>
      <c r="G429" s="342" t="s">
        <v>5282</v>
      </c>
      <c r="H429" s="342" t="s">
        <v>5057</v>
      </c>
      <c r="I429" s="342" t="s">
        <v>1571</v>
      </c>
      <c r="L429" s="342" t="s">
        <v>1571</v>
      </c>
      <c r="M429" s="342" t="s">
        <v>1571</v>
      </c>
      <c r="N429" s="342" t="s">
        <v>3656</v>
      </c>
      <c r="O429" s="342" t="s">
        <v>4032</v>
      </c>
      <c r="P429" s="342">
        <v>6111629808</v>
      </c>
      <c r="R429" s="342" t="s">
        <v>3649</v>
      </c>
      <c r="S429" s="343">
        <v>45676</v>
      </c>
      <c r="T429" s="343">
        <v>45676</v>
      </c>
      <c r="U429" s="343">
        <v>43878</v>
      </c>
      <c r="V429" s="343">
        <v>44581</v>
      </c>
      <c r="X429" s="342" t="s">
        <v>4033</v>
      </c>
      <c r="Y429" s="342" t="s">
        <v>4033</v>
      </c>
    </row>
    <row r="430" spans="1:25">
      <c r="A430" s="342">
        <v>328371</v>
      </c>
      <c r="B430" s="342" t="s">
        <v>4834</v>
      </c>
      <c r="C430" s="342" t="s">
        <v>4837</v>
      </c>
      <c r="D430" s="342" t="s">
        <v>4838</v>
      </c>
      <c r="E430" s="342" t="s">
        <v>591</v>
      </c>
      <c r="F430" s="342" t="s">
        <v>41</v>
      </c>
      <c r="G430" s="342" t="s">
        <v>786</v>
      </c>
      <c r="H430" s="342" t="s">
        <v>4849</v>
      </c>
      <c r="I430" s="342" t="s">
        <v>1568</v>
      </c>
      <c r="L430" s="342" t="s">
        <v>1568</v>
      </c>
      <c r="M430" s="342" t="s">
        <v>1568</v>
      </c>
      <c r="N430" s="342" t="s">
        <v>3652</v>
      </c>
      <c r="O430" s="342" t="s">
        <v>6077</v>
      </c>
      <c r="P430" s="342">
        <v>6150619840</v>
      </c>
      <c r="R430" s="342" t="s">
        <v>3649</v>
      </c>
      <c r="S430" s="343">
        <v>44834</v>
      </c>
      <c r="T430" s="343">
        <v>44834</v>
      </c>
      <c r="U430" s="343">
        <v>44663</v>
      </c>
      <c r="V430" s="343">
        <v>43739</v>
      </c>
      <c r="W430" s="343">
        <v>44746</v>
      </c>
      <c r="X430" s="342" t="s">
        <v>6080</v>
      </c>
      <c r="Y430" s="342">
        <v>116796</v>
      </c>
    </row>
    <row r="431" spans="1:25">
      <c r="A431" s="342">
        <v>329009</v>
      </c>
      <c r="B431" s="342" t="s">
        <v>4227</v>
      </c>
      <c r="C431" s="342" t="s">
        <v>4229</v>
      </c>
      <c r="D431" s="342" t="s">
        <v>51</v>
      </c>
      <c r="E431" s="342" t="s">
        <v>591</v>
      </c>
      <c r="F431" s="342" t="s">
        <v>40</v>
      </c>
      <c r="G431" s="342" t="s">
        <v>1510</v>
      </c>
      <c r="H431" s="342" t="s">
        <v>4250</v>
      </c>
      <c r="I431" s="342" t="s">
        <v>1571</v>
      </c>
      <c r="L431" s="342" t="s">
        <v>1571</v>
      </c>
      <c r="M431" s="342" t="s">
        <v>1571</v>
      </c>
      <c r="N431" s="342" t="s">
        <v>3656</v>
      </c>
      <c r="O431" s="342" t="s">
        <v>4243</v>
      </c>
      <c r="P431" s="342">
        <v>6153039401</v>
      </c>
      <c r="R431" s="342" t="s">
        <v>3649</v>
      </c>
      <c r="S431" s="343">
        <v>45269</v>
      </c>
      <c r="T431" s="343">
        <v>45269</v>
      </c>
      <c r="U431" s="343">
        <v>44495</v>
      </c>
      <c r="V431" s="343">
        <v>44175</v>
      </c>
      <c r="X431" s="342">
        <v>19328</v>
      </c>
      <c r="Y431" s="342">
        <v>19328</v>
      </c>
    </row>
    <row r="432" spans="1:25">
      <c r="A432" s="342">
        <v>329026</v>
      </c>
      <c r="B432" s="342" t="s">
        <v>4199</v>
      </c>
      <c r="C432" s="342" t="s">
        <v>4200</v>
      </c>
      <c r="D432" s="342" t="s">
        <v>126</v>
      </c>
      <c r="E432" s="342" t="s">
        <v>591</v>
      </c>
      <c r="F432" s="342" t="s">
        <v>40</v>
      </c>
      <c r="G432" s="342" t="s">
        <v>5282</v>
      </c>
      <c r="H432" s="342" t="s">
        <v>4206</v>
      </c>
      <c r="I432" s="342" t="s">
        <v>1568</v>
      </c>
      <c r="L432" s="342" t="s">
        <v>1568</v>
      </c>
      <c r="M432" s="342" t="s">
        <v>1568</v>
      </c>
      <c r="N432" s="342" t="s">
        <v>3652</v>
      </c>
      <c r="O432" s="342" t="s">
        <v>3838</v>
      </c>
      <c r="P432" s="342">
        <v>6115515345</v>
      </c>
      <c r="R432" s="342" t="s">
        <v>3649</v>
      </c>
      <c r="S432" s="343">
        <v>45126</v>
      </c>
      <c r="T432" s="343">
        <v>45126</v>
      </c>
      <c r="U432" s="343">
        <v>44672</v>
      </c>
      <c r="V432" s="343">
        <v>44032</v>
      </c>
      <c r="X432" s="342" t="s">
        <v>3839</v>
      </c>
      <c r="Y432" s="342" t="s">
        <v>4215</v>
      </c>
    </row>
    <row r="433" spans="1:25">
      <c r="A433" s="342">
        <v>329157</v>
      </c>
      <c r="B433" s="342" t="s">
        <v>4258</v>
      </c>
      <c r="C433" s="342" t="s">
        <v>4259</v>
      </c>
      <c r="D433" s="342" t="s">
        <v>51</v>
      </c>
      <c r="E433" s="342" t="s">
        <v>591</v>
      </c>
      <c r="F433" s="342" t="s">
        <v>40</v>
      </c>
      <c r="G433" s="342" t="s">
        <v>1288</v>
      </c>
      <c r="H433" s="342" t="s">
        <v>4290</v>
      </c>
      <c r="I433" s="342" t="s">
        <v>1568</v>
      </c>
      <c r="L433" s="342" t="s">
        <v>1568</v>
      </c>
      <c r="M433" s="342" t="s">
        <v>1568</v>
      </c>
      <c r="N433" s="342" t="s">
        <v>3652</v>
      </c>
      <c r="O433" s="342" t="s">
        <v>4293</v>
      </c>
      <c r="P433" s="342">
        <v>6124926925</v>
      </c>
      <c r="R433" s="342" t="s">
        <v>3649</v>
      </c>
      <c r="S433" s="343">
        <v>45116</v>
      </c>
      <c r="T433" s="343">
        <v>45116</v>
      </c>
      <c r="U433" s="343">
        <v>44705</v>
      </c>
      <c r="V433" s="343">
        <v>44022</v>
      </c>
      <c r="X433" s="342" t="s">
        <v>4294</v>
      </c>
      <c r="Y433" s="342">
        <v>743003436</v>
      </c>
    </row>
    <row r="434" spans="1:25">
      <c r="A434" s="342">
        <v>329161</v>
      </c>
      <c r="B434" s="342" t="s">
        <v>4260</v>
      </c>
      <c r="C434" s="342" t="s">
        <v>4262</v>
      </c>
      <c r="D434" s="342" t="s">
        <v>98</v>
      </c>
      <c r="E434" s="342" t="s">
        <v>591</v>
      </c>
      <c r="F434" s="342" t="s">
        <v>40</v>
      </c>
      <c r="G434" s="342" t="s">
        <v>5283</v>
      </c>
      <c r="H434" s="342" t="s">
        <v>4613</v>
      </c>
      <c r="I434" s="342" t="s">
        <v>1571</v>
      </c>
      <c r="L434" s="342" t="s">
        <v>1571</v>
      </c>
      <c r="M434" s="342" t="s">
        <v>1571</v>
      </c>
      <c r="N434" s="342" t="s">
        <v>3656</v>
      </c>
      <c r="O434" s="342" t="s">
        <v>4295</v>
      </c>
      <c r="P434" s="342">
        <v>6135383502</v>
      </c>
      <c r="R434" s="342" t="s">
        <v>3649</v>
      </c>
      <c r="S434" s="343">
        <v>45470</v>
      </c>
      <c r="T434" s="343">
        <v>45470</v>
      </c>
      <c r="U434" s="343">
        <v>43612</v>
      </c>
      <c r="V434" s="343">
        <v>44390</v>
      </c>
      <c r="X434" s="342">
        <v>29304</v>
      </c>
      <c r="Y434" s="342">
        <v>10377049</v>
      </c>
    </row>
    <row r="435" spans="1:25">
      <c r="A435" s="342">
        <v>329207</v>
      </c>
      <c r="B435" s="342" t="s">
        <v>5109</v>
      </c>
      <c r="C435" s="342" t="s">
        <v>5110</v>
      </c>
      <c r="D435" s="342" t="s">
        <v>55</v>
      </c>
      <c r="E435" s="342" t="s">
        <v>591</v>
      </c>
      <c r="F435" s="342" t="s">
        <v>40</v>
      </c>
      <c r="G435" s="342" t="s">
        <v>1277</v>
      </c>
      <c r="H435" s="342" t="s">
        <v>5133</v>
      </c>
      <c r="I435" s="342" t="s">
        <v>1571</v>
      </c>
      <c r="L435" s="342" t="s">
        <v>1571</v>
      </c>
      <c r="M435" s="342" t="s">
        <v>1571</v>
      </c>
      <c r="N435" s="342" t="s">
        <v>3653</v>
      </c>
      <c r="O435" s="342" t="s">
        <v>3885</v>
      </c>
      <c r="P435" s="342">
        <v>6110707569</v>
      </c>
      <c r="R435" s="342" t="s">
        <v>3649</v>
      </c>
      <c r="S435" s="343">
        <v>45626</v>
      </c>
      <c r="T435" s="343">
        <v>45626</v>
      </c>
      <c r="U435" s="343">
        <v>44424</v>
      </c>
      <c r="V435" s="343">
        <v>44531</v>
      </c>
      <c r="X435" s="342" t="s">
        <v>4821</v>
      </c>
      <c r="Y435" s="342" t="s">
        <v>4821</v>
      </c>
    </row>
    <row r="436" spans="1:25" ht="224">
      <c r="A436" s="342">
        <v>329276</v>
      </c>
      <c r="B436" s="342" t="s">
        <v>4298</v>
      </c>
      <c r="C436" s="342" t="s">
        <v>4299</v>
      </c>
      <c r="D436" s="342" t="s">
        <v>175</v>
      </c>
      <c r="E436" s="342" t="s">
        <v>591</v>
      </c>
      <c r="F436" s="342" t="s">
        <v>40</v>
      </c>
      <c r="G436" s="342" t="s">
        <v>1288</v>
      </c>
      <c r="H436" s="342" t="s">
        <v>5244</v>
      </c>
      <c r="I436" s="342" t="s">
        <v>1571</v>
      </c>
      <c r="L436" s="342" t="s">
        <v>1571</v>
      </c>
      <c r="M436" s="342" t="s">
        <v>1571</v>
      </c>
      <c r="N436" s="342" t="s">
        <v>3653</v>
      </c>
      <c r="O436" s="344" t="s">
        <v>4309</v>
      </c>
      <c r="P436" s="342">
        <v>6129647623</v>
      </c>
      <c r="R436" s="342" t="s">
        <v>3649</v>
      </c>
      <c r="S436" s="343">
        <v>45725</v>
      </c>
      <c r="T436" s="343">
        <v>45725</v>
      </c>
      <c r="U436" s="343">
        <v>44585</v>
      </c>
      <c r="V436" s="343">
        <v>44630</v>
      </c>
      <c r="X436" s="342" t="s">
        <v>5233</v>
      </c>
      <c r="Y436" s="342" t="s">
        <v>5233</v>
      </c>
    </row>
    <row r="437" spans="1:25">
      <c r="A437" s="342">
        <v>329752</v>
      </c>
      <c r="B437" s="342" t="s">
        <v>2141</v>
      </c>
      <c r="C437" s="342" t="s">
        <v>140</v>
      </c>
      <c r="D437" s="342" t="s">
        <v>45</v>
      </c>
      <c r="E437" s="342" t="s">
        <v>591</v>
      </c>
      <c r="F437" s="342" t="s">
        <v>40</v>
      </c>
      <c r="G437" s="342" t="s">
        <v>5283</v>
      </c>
      <c r="H437" s="342" t="s">
        <v>5205</v>
      </c>
      <c r="I437" s="342" t="s">
        <v>1571</v>
      </c>
      <c r="L437" s="342" t="s">
        <v>1571</v>
      </c>
      <c r="M437" s="342" t="s">
        <v>1571</v>
      </c>
      <c r="N437" s="342" t="s">
        <v>3653</v>
      </c>
      <c r="O437" s="342" t="s">
        <v>4879</v>
      </c>
      <c r="P437" s="342">
        <v>6153467141</v>
      </c>
      <c r="R437" s="342" t="s">
        <v>3649</v>
      </c>
      <c r="S437" s="343">
        <v>44952</v>
      </c>
      <c r="T437" s="343">
        <v>44952</v>
      </c>
      <c r="U437" s="343">
        <v>44650</v>
      </c>
      <c r="V437" s="343">
        <v>43857</v>
      </c>
      <c r="W437" s="343">
        <v>44670</v>
      </c>
      <c r="X437" s="342" t="s">
        <v>3701</v>
      </c>
      <c r="Y437" s="342" t="s">
        <v>5208</v>
      </c>
    </row>
    <row r="438" spans="1:25">
      <c r="A438" s="342">
        <v>330147</v>
      </c>
      <c r="B438" s="342" t="s">
        <v>4478</v>
      </c>
      <c r="C438" s="342" t="s">
        <v>1426</v>
      </c>
      <c r="D438" s="342" t="s">
        <v>175</v>
      </c>
      <c r="E438" s="342" t="s">
        <v>591</v>
      </c>
      <c r="F438" s="342" t="s">
        <v>40</v>
      </c>
      <c r="G438" s="342" t="s">
        <v>1510</v>
      </c>
      <c r="H438" s="342" t="s">
        <v>4895</v>
      </c>
      <c r="I438" s="342" t="s">
        <v>1573</v>
      </c>
      <c r="L438" s="342" t="s">
        <v>1571</v>
      </c>
      <c r="M438" s="342" t="s">
        <v>1571</v>
      </c>
      <c r="N438" s="342" t="s">
        <v>3656</v>
      </c>
      <c r="O438" s="342" t="s">
        <v>4898</v>
      </c>
      <c r="P438" s="342">
        <v>6148585106</v>
      </c>
      <c r="R438" s="342" t="s">
        <v>3649</v>
      </c>
      <c r="S438" s="343">
        <v>45495</v>
      </c>
      <c r="T438" s="343">
        <v>45495</v>
      </c>
      <c r="U438" s="343">
        <v>44339</v>
      </c>
      <c r="V438" s="343">
        <v>44400</v>
      </c>
      <c r="X438" s="342" t="s">
        <v>4905</v>
      </c>
      <c r="Y438" s="342" t="s">
        <v>4905</v>
      </c>
    </row>
    <row r="439" spans="1:25">
      <c r="A439" s="342">
        <v>330169</v>
      </c>
      <c r="B439" s="342" t="s">
        <v>4508</v>
      </c>
      <c r="C439" s="342" t="s">
        <v>578</v>
      </c>
      <c r="D439" s="342" t="s">
        <v>452</v>
      </c>
      <c r="E439" s="342" t="s">
        <v>591</v>
      </c>
      <c r="F439" s="342" t="s">
        <v>40</v>
      </c>
      <c r="G439" s="342" t="s">
        <v>1510</v>
      </c>
      <c r="H439" s="342" t="s">
        <v>4543</v>
      </c>
      <c r="I439" s="342" t="s">
        <v>1571</v>
      </c>
      <c r="L439" s="342" t="s">
        <v>1571</v>
      </c>
      <c r="M439" s="342" t="s">
        <v>1571</v>
      </c>
      <c r="N439" s="342" t="s">
        <v>3656</v>
      </c>
      <c r="O439" s="342" t="s">
        <v>4545</v>
      </c>
      <c r="P439" s="342">
        <v>6149764049</v>
      </c>
      <c r="R439" s="342" t="s">
        <v>3649</v>
      </c>
      <c r="S439" s="343">
        <v>45091</v>
      </c>
      <c r="T439" s="343">
        <v>45091</v>
      </c>
      <c r="U439" s="343">
        <v>43875</v>
      </c>
      <c r="V439" s="343">
        <v>43997</v>
      </c>
      <c r="X439" s="342" t="s">
        <v>4549</v>
      </c>
      <c r="Y439" s="342" t="s">
        <v>4550</v>
      </c>
    </row>
    <row r="440" spans="1:25" ht="378">
      <c r="A440" s="342">
        <v>330194</v>
      </c>
      <c r="B440" s="342" t="s">
        <v>4524</v>
      </c>
      <c r="C440" s="342" t="s">
        <v>4527</v>
      </c>
      <c r="D440" s="342" t="s">
        <v>107</v>
      </c>
      <c r="E440" s="342" t="s">
        <v>591</v>
      </c>
      <c r="F440" s="342" t="s">
        <v>40</v>
      </c>
      <c r="G440" s="342" t="s">
        <v>5280</v>
      </c>
      <c r="H440" s="342" t="s">
        <v>4953</v>
      </c>
      <c r="I440" s="342" t="s">
        <v>1571</v>
      </c>
      <c r="L440" s="342" t="s">
        <v>1571</v>
      </c>
      <c r="M440" s="342" t="s">
        <v>1571</v>
      </c>
      <c r="N440" s="342" t="s">
        <v>3656</v>
      </c>
      <c r="O440" s="344" t="s">
        <v>4534</v>
      </c>
      <c r="P440" s="342">
        <v>6127608923</v>
      </c>
      <c r="R440" s="342" t="s">
        <v>3649</v>
      </c>
      <c r="S440" s="343">
        <v>45677</v>
      </c>
      <c r="T440" s="343">
        <v>45677</v>
      </c>
      <c r="U440" s="343">
        <v>44466</v>
      </c>
      <c r="V440" s="343">
        <v>44582</v>
      </c>
      <c r="W440" s="343">
        <v>44582</v>
      </c>
      <c r="X440" s="342" t="s">
        <v>4959</v>
      </c>
      <c r="Y440" s="342">
        <v>107198542</v>
      </c>
    </row>
    <row r="441" spans="1:25">
      <c r="A441" s="342">
        <v>330529</v>
      </c>
      <c r="B441" s="342" t="s">
        <v>5324</v>
      </c>
      <c r="C441" s="342" t="s">
        <v>302</v>
      </c>
      <c r="D441" s="342" t="s">
        <v>549</v>
      </c>
      <c r="E441" s="342" t="s">
        <v>591</v>
      </c>
      <c r="F441" s="342" t="s">
        <v>1114</v>
      </c>
      <c r="G441" s="342" t="s">
        <v>4608</v>
      </c>
      <c r="H441" s="342" t="s">
        <v>5326</v>
      </c>
      <c r="I441" s="342" t="s">
        <v>1576</v>
      </c>
      <c r="L441" s="342" t="s">
        <v>1576</v>
      </c>
      <c r="M441" s="342" t="s">
        <v>1576</v>
      </c>
      <c r="N441" s="342" t="s">
        <v>3647</v>
      </c>
      <c r="O441" s="342" t="s">
        <v>5329</v>
      </c>
      <c r="P441" s="342">
        <v>6152134268</v>
      </c>
      <c r="R441" s="342" t="s">
        <v>3649</v>
      </c>
      <c r="S441" s="343">
        <v>45289</v>
      </c>
      <c r="T441" s="343">
        <v>45289</v>
      </c>
      <c r="U441" s="343">
        <v>43802</v>
      </c>
      <c r="V441" s="343">
        <v>44195</v>
      </c>
      <c r="X441" s="342" t="s">
        <v>5330</v>
      </c>
      <c r="Y441" s="342" t="s">
        <v>5330</v>
      </c>
    </row>
    <row r="442" spans="1:25">
      <c r="A442" s="342">
        <v>330761</v>
      </c>
      <c r="B442" s="342" t="s">
        <v>5899</v>
      </c>
      <c r="C442" s="342" t="s">
        <v>336</v>
      </c>
      <c r="D442" s="342" t="s">
        <v>337</v>
      </c>
      <c r="E442" s="342" t="s">
        <v>591</v>
      </c>
      <c r="F442" s="342" t="s">
        <v>40</v>
      </c>
      <c r="G442" s="342" t="s">
        <v>5283</v>
      </c>
      <c r="H442" s="342" t="s">
        <v>5926</v>
      </c>
      <c r="I442" s="342" t="s">
        <v>1571</v>
      </c>
      <c r="L442" s="342" t="s">
        <v>1571</v>
      </c>
      <c r="M442" s="342" t="s">
        <v>1571</v>
      </c>
      <c r="S442" s="343">
        <v>110559</v>
      </c>
      <c r="Y442" s="342">
        <v>10390413</v>
      </c>
    </row>
    <row r="443" spans="1:25" ht="238">
      <c r="A443" s="342">
        <v>330802</v>
      </c>
      <c r="B443" s="342" t="s">
        <v>5170</v>
      </c>
      <c r="C443" s="342" t="s">
        <v>68</v>
      </c>
      <c r="D443" s="342" t="s">
        <v>47</v>
      </c>
      <c r="E443" s="342" t="s">
        <v>591</v>
      </c>
      <c r="F443" s="342" t="s">
        <v>40</v>
      </c>
      <c r="G443" s="342" t="s">
        <v>1510</v>
      </c>
      <c r="H443" s="342" t="s">
        <v>2517</v>
      </c>
      <c r="I443" s="342" t="s">
        <v>1568</v>
      </c>
      <c r="L443" s="342" t="s">
        <v>1568</v>
      </c>
      <c r="M443" s="342" t="s">
        <v>1568</v>
      </c>
      <c r="N443" s="342" t="s">
        <v>3650</v>
      </c>
      <c r="O443" s="344" t="s">
        <v>5272</v>
      </c>
      <c r="P443" s="342">
        <v>6147220349</v>
      </c>
      <c r="R443" s="342" t="s">
        <v>3649</v>
      </c>
      <c r="S443" s="343">
        <v>45323</v>
      </c>
      <c r="T443" s="343">
        <v>45323</v>
      </c>
      <c r="U443" s="343">
        <v>44385</v>
      </c>
      <c r="V443" s="343">
        <v>44229</v>
      </c>
      <c r="W443" s="343">
        <v>44461</v>
      </c>
      <c r="X443" s="342" t="s">
        <v>3686</v>
      </c>
      <c r="Y443" s="342" t="s">
        <v>3686</v>
      </c>
    </row>
    <row r="444" spans="1:25">
      <c r="A444" s="342">
        <v>331014</v>
      </c>
      <c r="B444" s="342" t="s">
        <v>4609</v>
      </c>
      <c r="C444" s="342" t="s">
        <v>493</v>
      </c>
      <c r="D444" s="342" t="s">
        <v>51</v>
      </c>
      <c r="E444" s="342" t="s">
        <v>591</v>
      </c>
      <c r="F444" s="342" t="s">
        <v>1100</v>
      </c>
      <c r="G444" s="342" t="s">
        <v>1421</v>
      </c>
      <c r="H444" s="342" t="s">
        <v>5638</v>
      </c>
      <c r="I444" s="342" t="s">
        <v>1568</v>
      </c>
      <c r="L444" s="342" t="s">
        <v>1568</v>
      </c>
      <c r="M444" s="342" t="s">
        <v>1568</v>
      </c>
      <c r="N444" s="342" t="s">
        <v>3652</v>
      </c>
      <c r="O444" s="342" t="s">
        <v>5643</v>
      </c>
      <c r="P444" s="342">
        <v>6129486907</v>
      </c>
      <c r="R444" s="342" t="s">
        <v>3649</v>
      </c>
      <c r="S444" s="343">
        <v>45691</v>
      </c>
      <c r="T444" s="343">
        <v>45691</v>
      </c>
      <c r="U444" s="343">
        <v>44168</v>
      </c>
      <c r="V444" s="343">
        <v>44596</v>
      </c>
      <c r="X444" s="342">
        <v>1343</v>
      </c>
      <c r="Y444" s="342">
        <v>1343</v>
      </c>
    </row>
    <row r="445" spans="1:25">
      <c r="A445" s="342">
        <v>331544</v>
      </c>
      <c r="B445" s="342" t="s">
        <v>5364</v>
      </c>
      <c r="C445" s="342" t="s">
        <v>336</v>
      </c>
      <c r="D445" s="342" t="s">
        <v>337</v>
      </c>
      <c r="E445" s="342" t="s">
        <v>591</v>
      </c>
      <c r="F445" s="342" t="s">
        <v>40</v>
      </c>
      <c r="G445" s="342" t="s">
        <v>5281</v>
      </c>
      <c r="H445" s="342" t="s">
        <v>5377</v>
      </c>
      <c r="I445" s="342" t="s">
        <v>1571</v>
      </c>
      <c r="L445" s="342" t="s">
        <v>1571</v>
      </c>
      <c r="M445" s="342" t="s">
        <v>1571</v>
      </c>
      <c r="N445" s="342" t="s">
        <v>3656</v>
      </c>
      <c r="O445" s="342" t="s">
        <v>5378</v>
      </c>
      <c r="P445" s="342">
        <v>6136345484</v>
      </c>
      <c r="R445" s="342" t="s">
        <v>3649</v>
      </c>
      <c r="S445" s="343">
        <v>45690</v>
      </c>
      <c r="T445" s="343">
        <v>45690</v>
      </c>
      <c r="U445" s="343">
        <v>44173</v>
      </c>
      <c r="V445" s="343">
        <v>44595</v>
      </c>
      <c r="X445" s="342" t="s">
        <v>5381</v>
      </c>
      <c r="Y445" s="342" t="s">
        <v>5382</v>
      </c>
    </row>
    <row r="446" spans="1:25">
      <c r="A446" s="342">
        <v>332214</v>
      </c>
      <c r="B446" s="342" t="s">
        <v>4973</v>
      </c>
      <c r="C446" s="342" t="s">
        <v>4975</v>
      </c>
      <c r="D446" s="342" t="s">
        <v>4976</v>
      </c>
      <c r="E446" s="342" t="s">
        <v>591</v>
      </c>
      <c r="F446" s="342" t="s">
        <v>40</v>
      </c>
      <c r="G446" s="342" t="s">
        <v>1421</v>
      </c>
    </row>
    <row r="447" spans="1:25">
      <c r="A447" s="342">
        <v>332224</v>
      </c>
      <c r="B447" s="342" t="s">
        <v>5431</v>
      </c>
      <c r="C447" s="342" t="s">
        <v>918</v>
      </c>
      <c r="D447" s="342" t="s">
        <v>51</v>
      </c>
      <c r="E447" s="342" t="s">
        <v>591</v>
      </c>
      <c r="F447" s="342" t="s">
        <v>1114</v>
      </c>
      <c r="G447" s="342" t="s">
        <v>4608</v>
      </c>
      <c r="J447" s="342" t="s">
        <v>1576</v>
      </c>
      <c r="K447" s="343">
        <v>45016</v>
      </c>
    </row>
    <row r="448" spans="1:25">
      <c r="A448" s="342">
        <v>332230</v>
      </c>
      <c r="B448" s="342" t="s">
        <v>5590</v>
      </c>
      <c r="C448" s="342" t="s">
        <v>5593</v>
      </c>
      <c r="D448" s="342" t="s">
        <v>97</v>
      </c>
      <c r="E448" s="342" t="s">
        <v>591</v>
      </c>
      <c r="F448" s="342" t="s">
        <v>1114</v>
      </c>
      <c r="G448" s="342" t="s">
        <v>1288</v>
      </c>
      <c r="H448" s="342" t="s">
        <v>5639</v>
      </c>
      <c r="I448" s="342" t="s">
        <v>1581</v>
      </c>
      <c r="J448" s="342" t="s">
        <v>1576</v>
      </c>
      <c r="K448" s="343">
        <v>45107</v>
      </c>
      <c r="L448" s="342" t="s">
        <v>1581</v>
      </c>
      <c r="M448" s="342" t="s">
        <v>1581</v>
      </c>
      <c r="S448" s="343">
        <v>45549</v>
      </c>
      <c r="Y448" s="342" t="s">
        <v>5648</v>
      </c>
    </row>
    <row r="449" spans="1:25">
      <c r="A449" s="342">
        <v>332422</v>
      </c>
      <c r="B449" s="342" t="s">
        <v>5595</v>
      </c>
      <c r="C449" s="342" t="s">
        <v>5597</v>
      </c>
      <c r="D449" s="342" t="s">
        <v>51</v>
      </c>
      <c r="E449" s="342" t="s">
        <v>591</v>
      </c>
      <c r="F449" s="342" t="s">
        <v>1114</v>
      </c>
      <c r="G449" s="342" t="s">
        <v>1288</v>
      </c>
      <c r="H449" s="342" t="s">
        <v>5640</v>
      </c>
      <c r="I449" s="342" t="s">
        <v>1576</v>
      </c>
      <c r="L449" s="342" t="s">
        <v>1576</v>
      </c>
      <c r="M449" s="342" t="s">
        <v>1576</v>
      </c>
      <c r="N449" s="342" t="s">
        <v>3647</v>
      </c>
      <c r="O449" s="342" t="s">
        <v>5644</v>
      </c>
      <c r="P449" s="342">
        <v>6141190187</v>
      </c>
      <c r="R449" s="342" t="s">
        <v>3649</v>
      </c>
      <c r="S449" s="343">
        <v>45265</v>
      </c>
      <c r="T449" s="343">
        <v>45265</v>
      </c>
      <c r="U449" s="343">
        <v>44529</v>
      </c>
      <c r="V449" s="343">
        <v>44171</v>
      </c>
      <c r="W449" s="343">
        <v>44172</v>
      </c>
      <c r="X449" s="342" t="s">
        <v>5649</v>
      </c>
      <c r="Y449" s="342" t="s">
        <v>5650</v>
      </c>
    </row>
    <row r="450" spans="1:25">
      <c r="A450" s="342">
        <v>332469</v>
      </c>
      <c r="B450" s="342" t="s">
        <v>5452</v>
      </c>
      <c r="C450" s="342" t="s">
        <v>1589</v>
      </c>
      <c r="D450" s="342" t="s">
        <v>45</v>
      </c>
      <c r="E450" s="342" t="s">
        <v>591</v>
      </c>
      <c r="F450" s="342" t="s">
        <v>41</v>
      </c>
      <c r="G450" s="342" t="s">
        <v>1510</v>
      </c>
      <c r="J450" s="342" t="s">
        <v>1571</v>
      </c>
      <c r="K450" s="343">
        <v>45255</v>
      </c>
    </row>
    <row r="451" spans="1:25">
      <c r="A451" s="342">
        <v>332667</v>
      </c>
      <c r="B451" s="342" t="s">
        <v>5390</v>
      </c>
      <c r="C451" s="342" t="s">
        <v>5392</v>
      </c>
      <c r="D451" s="342" t="s">
        <v>47</v>
      </c>
      <c r="E451" s="342" t="s">
        <v>591</v>
      </c>
      <c r="F451" s="342" t="s">
        <v>1100</v>
      </c>
      <c r="G451" s="342" t="s">
        <v>4638</v>
      </c>
      <c r="J451" s="342" t="s">
        <v>1568</v>
      </c>
      <c r="K451" s="343">
        <v>44926</v>
      </c>
    </row>
    <row r="452" spans="1:25">
      <c r="A452" s="342">
        <v>333368</v>
      </c>
      <c r="B452" s="342" t="s">
        <v>5540</v>
      </c>
      <c r="C452" s="342" t="s">
        <v>5542</v>
      </c>
      <c r="D452" s="342" t="s">
        <v>47</v>
      </c>
      <c r="E452" s="342" t="s">
        <v>591</v>
      </c>
      <c r="F452" s="342" t="s">
        <v>737</v>
      </c>
      <c r="G452" s="342" t="s">
        <v>5280</v>
      </c>
      <c r="H452" s="342" t="s">
        <v>5580</v>
      </c>
      <c r="I452" s="342" t="s">
        <v>1583</v>
      </c>
      <c r="L452" s="342" t="s">
        <v>1571</v>
      </c>
      <c r="M452" s="342" t="s">
        <v>1571</v>
      </c>
      <c r="P452" s="342">
        <v>6113779264</v>
      </c>
      <c r="S452" s="343">
        <v>45549</v>
      </c>
      <c r="Y452" s="342" t="s">
        <v>5583</v>
      </c>
    </row>
    <row r="453" spans="1:25">
      <c r="A453" s="342">
        <v>333461</v>
      </c>
      <c r="B453" s="342" t="s">
        <v>5599</v>
      </c>
      <c r="C453" s="342" t="s">
        <v>5601</v>
      </c>
      <c r="D453" s="342" t="s">
        <v>51</v>
      </c>
      <c r="E453" s="342" t="s">
        <v>591</v>
      </c>
      <c r="F453" s="342" t="s">
        <v>40</v>
      </c>
      <c r="G453" s="342" t="s">
        <v>5281</v>
      </c>
      <c r="H453" s="342" t="s">
        <v>5641</v>
      </c>
      <c r="I453" s="342" t="s">
        <v>1571</v>
      </c>
      <c r="L453" s="342" t="s">
        <v>1571</v>
      </c>
      <c r="M453" s="342" t="s">
        <v>1571</v>
      </c>
      <c r="N453" s="342" t="s">
        <v>3656</v>
      </c>
      <c r="O453" s="342" t="s">
        <v>5645</v>
      </c>
      <c r="P453" s="342">
        <v>6124628184</v>
      </c>
      <c r="R453" s="342" t="s">
        <v>3649</v>
      </c>
      <c r="S453" s="343">
        <v>44775</v>
      </c>
      <c r="T453" s="343">
        <v>44775</v>
      </c>
      <c r="U453" s="343">
        <v>44354</v>
      </c>
      <c r="V453" s="343">
        <v>43680</v>
      </c>
      <c r="W453" s="343">
        <v>44727</v>
      </c>
      <c r="X453" s="342" t="s">
        <v>5651</v>
      </c>
      <c r="Y453" s="342" t="s">
        <v>5652</v>
      </c>
    </row>
    <row r="454" spans="1:25">
      <c r="A454" s="342">
        <v>333465</v>
      </c>
      <c r="B454" s="342" t="s">
        <v>5602</v>
      </c>
      <c r="C454" s="342" t="s">
        <v>195</v>
      </c>
      <c r="D454" s="342" t="s">
        <v>51</v>
      </c>
      <c r="E454" s="342" t="s">
        <v>591</v>
      </c>
      <c r="F454" s="342" t="s">
        <v>40</v>
      </c>
      <c r="G454" s="342" t="s">
        <v>5281</v>
      </c>
      <c r="H454" s="342" t="s">
        <v>5642</v>
      </c>
      <c r="I454" s="342" t="s">
        <v>1568</v>
      </c>
      <c r="L454" s="342" t="s">
        <v>1568</v>
      </c>
      <c r="M454" s="342" t="s">
        <v>1568</v>
      </c>
      <c r="N454" s="342" t="s">
        <v>3652</v>
      </c>
      <c r="O454" s="342" t="s">
        <v>5646</v>
      </c>
      <c r="P454" s="342">
        <v>6115360422</v>
      </c>
      <c r="R454" s="342" t="s">
        <v>3649</v>
      </c>
      <c r="S454" s="343">
        <v>45014</v>
      </c>
      <c r="T454" s="343">
        <v>45014</v>
      </c>
      <c r="U454" s="343">
        <v>43857</v>
      </c>
      <c r="V454" s="343">
        <v>43920</v>
      </c>
      <c r="W454" s="343">
        <v>44372</v>
      </c>
      <c r="X454" s="342">
        <v>13847</v>
      </c>
      <c r="Y454" s="342">
        <v>13847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454"/>
  <sheetViews>
    <sheetView workbookViewId="0"/>
  </sheetViews>
  <sheetFormatPr baseColWidth="10" defaultRowHeight="14"/>
  <cols>
    <col min="1" max="16384" width="10.90625" style="342"/>
  </cols>
  <sheetData>
    <row r="1" spans="1:38">
      <c r="A1" s="342" t="s">
        <v>38</v>
      </c>
      <c r="B1" s="342" t="s">
        <v>15</v>
      </c>
      <c r="C1" s="342" t="s">
        <v>16</v>
      </c>
      <c r="D1" s="342" t="s">
        <v>17</v>
      </c>
      <c r="E1" s="342" t="s">
        <v>37</v>
      </c>
      <c r="F1" s="342" t="s">
        <v>18</v>
      </c>
      <c r="G1" s="342" t="s">
        <v>19</v>
      </c>
      <c r="H1" s="342" t="s">
        <v>20</v>
      </c>
      <c r="I1" s="342" t="s">
        <v>36</v>
      </c>
      <c r="J1" s="342" t="s">
        <v>2545</v>
      </c>
      <c r="K1" s="342" t="s">
        <v>2546</v>
      </c>
      <c r="L1" s="342" t="s">
        <v>2547</v>
      </c>
      <c r="M1" s="342" t="s">
        <v>2548</v>
      </c>
      <c r="N1" s="342" t="s">
        <v>2549</v>
      </c>
      <c r="O1" s="342" t="s">
        <v>2550</v>
      </c>
      <c r="P1" s="342" t="s">
        <v>2551</v>
      </c>
      <c r="Q1" s="342" t="s">
        <v>2552</v>
      </c>
      <c r="R1" s="342" t="s">
        <v>2553</v>
      </c>
      <c r="S1" s="342" t="s">
        <v>2554</v>
      </c>
      <c r="T1" s="342" t="s">
        <v>2555</v>
      </c>
      <c r="U1" s="342" t="s">
        <v>2556</v>
      </c>
      <c r="V1" s="342" t="s">
        <v>4392</v>
      </c>
      <c r="W1" s="342" t="s">
        <v>4393</v>
      </c>
      <c r="X1" s="342" t="s">
        <v>1517</v>
      </c>
      <c r="Y1" s="342" t="s">
        <v>2557</v>
      </c>
      <c r="Z1" s="342" t="s">
        <v>2558</v>
      </c>
      <c r="AA1" s="342" t="s">
        <v>2559</v>
      </c>
      <c r="AB1" s="342" t="s">
        <v>2560</v>
      </c>
      <c r="AC1" s="342" t="s">
        <v>2561</v>
      </c>
      <c r="AD1" s="342" t="s">
        <v>2562</v>
      </c>
      <c r="AE1" s="342" t="s">
        <v>2563</v>
      </c>
      <c r="AF1" s="342" t="s">
        <v>2564</v>
      </c>
      <c r="AG1" s="342" t="s">
        <v>2565</v>
      </c>
      <c r="AH1" s="342" t="s">
        <v>2566</v>
      </c>
      <c r="AI1" s="342" t="s">
        <v>1518</v>
      </c>
      <c r="AJ1" s="342" t="s">
        <v>4375</v>
      </c>
      <c r="AK1" s="342" t="s">
        <v>4376</v>
      </c>
      <c r="AL1" s="342" t="s">
        <v>4377</v>
      </c>
    </row>
    <row r="2" spans="1:38">
      <c r="A2" s="342">
        <v>133572</v>
      </c>
      <c r="B2" s="342" t="s">
        <v>48</v>
      </c>
      <c r="C2" s="342" t="s">
        <v>50</v>
      </c>
      <c r="D2" s="342" t="s">
        <v>51</v>
      </c>
      <c r="E2" s="342" t="s">
        <v>591</v>
      </c>
      <c r="F2" s="342" t="s">
        <v>737</v>
      </c>
      <c r="G2" s="342" t="s">
        <v>1510</v>
      </c>
      <c r="H2" s="342" t="s">
        <v>1233</v>
      </c>
      <c r="I2" s="342" t="s">
        <v>1070</v>
      </c>
    </row>
    <row r="3" spans="1:38">
      <c r="A3" s="342">
        <v>133787</v>
      </c>
      <c r="B3" s="342" t="s">
        <v>52</v>
      </c>
      <c r="C3" s="342" t="s">
        <v>54</v>
      </c>
      <c r="D3" s="342" t="s">
        <v>55</v>
      </c>
      <c r="E3" s="342" t="s">
        <v>591</v>
      </c>
      <c r="F3" s="342" t="s">
        <v>40</v>
      </c>
      <c r="G3" s="342" t="s">
        <v>5278</v>
      </c>
      <c r="H3" s="342" t="s">
        <v>1402</v>
      </c>
      <c r="I3" s="342" t="s">
        <v>5543</v>
      </c>
      <c r="J3" s="342" t="s">
        <v>2567</v>
      </c>
      <c r="L3" s="342" t="s">
        <v>2568</v>
      </c>
      <c r="M3" s="343">
        <v>44985</v>
      </c>
      <c r="P3" s="342" t="s">
        <v>2569</v>
      </c>
      <c r="Q3" s="343">
        <v>44926</v>
      </c>
      <c r="X3" s="342" t="s">
        <v>1591</v>
      </c>
      <c r="AE3" s="342" t="s">
        <v>2570</v>
      </c>
      <c r="AI3" s="342" t="s">
        <v>1874</v>
      </c>
    </row>
    <row r="4" spans="1:38">
      <c r="A4" s="342">
        <v>133793</v>
      </c>
      <c r="B4" s="342" t="s">
        <v>56</v>
      </c>
      <c r="C4" s="342" t="s">
        <v>59</v>
      </c>
      <c r="D4" s="342" t="s">
        <v>51</v>
      </c>
      <c r="E4" s="342" t="s">
        <v>591</v>
      </c>
      <c r="F4" s="342" t="s">
        <v>40</v>
      </c>
      <c r="G4" s="342" t="s">
        <v>5278</v>
      </c>
      <c r="H4" s="342" t="s">
        <v>1402</v>
      </c>
      <c r="I4" s="342" t="s">
        <v>6010</v>
      </c>
      <c r="J4" s="342" t="s">
        <v>2571</v>
      </c>
      <c r="K4" s="343">
        <v>45504</v>
      </c>
      <c r="L4" s="342" t="s">
        <v>2572</v>
      </c>
      <c r="P4" s="342" t="s">
        <v>2573</v>
      </c>
      <c r="Q4" s="343">
        <v>45473</v>
      </c>
      <c r="X4" s="342" t="s">
        <v>1592</v>
      </c>
      <c r="AA4" s="342" t="s">
        <v>2953</v>
      </c>
      <c r="AI4" s="342" t="s">
        <v>1946</v>
      </c>
    </row>
    <row r="5" spans="1:38">
      <c r="A5" s="342">
        <v>134187</v>
      </c>
      <c r="B5" s="342" t="s">
        <v>1256</v>
      </c>
      <c r="C5" s="342" t="s">
        <v>349</v>
      </c>
      <c r="D5" s="342" t="s">
        <v>47</v>
      </c>
      <c r="E5" s="342" t="s">
        <v>591</v>
      </c>
      <c r="F5" s="342" t="s">
        <v>40</v>
      </c>
      <c r="G5" s="342" t="s">
        <v>5278</v>
      </c>
      <c r="H5" s="342" t="s">
        <v>1233</v>
      </c>
      <c r="I5" s="342" t="s">
        <v>1305</v>
      </c>
      <c r="J5" s="342" t="s">
        <v>2574</v>
      </c>
      <c r="X5" s="342" t="s">
        <v>1593</v>
      </c>
    </row>
    <row r="6" spans="1:38">
      <c r="A6" s="342">
        <v>134284</v>
      </c>
      <c r="B6" s="342" t="s">
        <v>60</v>
      </c>
      <c r="C6" s="342" t="s">
        <v>62</v>
      </c>
      <c r="D6" s="342" t="s">
        <v>51</v>
      </c>
      <c r="E6" s="342" t="s">
        <v>591</v>
      </c>
      <c r="F6" s="342" t="s">
        <v>40</v>
      </c>
      <c r="G6" s="342" t="s">
        <v>786</v>
      </c>
      <c r="H6" s="342" t="s">
        <v>1233</v>
      </c>
      <c r="I6" s="342" t="s">
        <v>5067</v>
      </c>
      <c r="J6" s="342" t="s">
        <v>2575</v>
      </c>
      <c r="K6" s="343">
        <v>45321</v>
      </c>
      <c r="L6" s="342" t="s">
        <v>2576</v>
      </c>
      <c r="X6" s="342" t="s">
        <v>1594</v>
      </c>
    </row>
    <row r="7" spans="1:38">
      <c r="A7" s="342">
        <v>134634</v>
      </c>
      <c r="B7" s="342" t="s">
        <v>1586</v>
      </c>
      <c r="C7" s="342" t="s">
        <v>1589</v>
      </c>
      <c r="D7" s="342" t="s">
        <v>45</v>
      </c>
      <c r="E7" s="342" t="s">
        <v>591</v>
      </c>
      <c r="F7" s="342" t="s">
        <v>40</v>
      </c>
      <c r="G7" s="342" t="s">
        <v>5280</v>
      </c>
      <c r="H7" s="342" t="s">
        <v>1402</v>
      </c>
      <c r="I7" s="342" t="s">
        <v>4810</v>
      </c>
      <c r="J7" s="342" t="s">
        <v>2577</v>
      </c>
      <c r="X7" s="342" t="s">
        <v>4813</v>
      </c>
    </row>
    <row r="8" spans="1:38">
      <c r="A8" s="342">
        <v>134654</v>
      </c>
      <c r="B8" s="342" t="s">
        <v>1458</v>
      </c>
      <c r="C8" s="342" t="s">
        <v>63</v>
      </c>
      <c r="D8" s="342" t="s">
        <v>47</v>
      </c>
      <c r="E8" s="342" t="s">
        <v>591</v>
      </c>
      <c r="F8" s="342" t="s">
        <v>40</v>
      </c>
      <c r="G8" s="342" t="s">
        <v>5280</v>
      </c>
      <c r="H8" s="342" t="s">
        <v>1233</v>
      </c>
      <c r="I8" s="342" t="s">
        <v>4356</v>
      </c>
      <c r="J8" s="342" t="s">
        <v>2578</v>
      </c>
      <c r="L8" s="342" t="s">
        <v>2579</v>
      </c>
      <c r="M8" s="343">
        <v>44985</v>
      </c>
      <c r="X8" s="342" t="s">
        <v>1595</v>
      </c>
      <c r="AE8" s="342" t="s">
        <v>2580</v>
      </c>
      <c r="AI8" s="342" t="s">
        <v>1875</v>
      </c>
    </row>
    <row r="9" spans="1:38">
      <c r="A9" s="342">
        <v>134661</v>
      </c>
      <c r="B9" s="342" t="s">
        <v>1397</v>
      </c>
      <c r="C9" s="342" t="s">
        <v>65</v>
      </c>
      <c r="D9" s="342" t="s">
        <v>47</v>
      </c>
      <c r="E9" s="342" t="s">
        <v>591</v>
      </c>
      <c r="F9" s="342" t="s">
        <v>40</v>
      </c>
      <c r="G9" s="342" t="s">
        <v>5449</v>
      </c>
      <c r="H9" s="342" t="s">
        <v>1402</v>
      </c>
      <c r="I9" s="342" t="s">
        <v>6011</v>
      </c>
      <c r="J9" s="342" t="s">
        <v>5479</v>
      </c>
      <c r="L9" s="342" t="s">
        <v>6071</v>
      </c>
      <c r="M9" s="343">
        <v>45107</v>
      </c>
      <c r="N9" s="342" t="s">
        <v>2581</v>
      </c>
      <c r="P9" s="342" t="s">
        <v>2582</v>
      </c>
      <c r="Q9" s="343">
        <v>44742</v>
      </c>
      <c r="X9" s="342" t="s">
        <v>6068</v>
      </c>
    </row>
    <row r="10" spans="1:38">
      <c r="A10" s="342">
        <v>134816</v>
      </c>
      <c r="B10" s="342" t="s">
        <v>792</v>
      </c>
      <c r="C10" s="342" t="s">
        <v>794</v>
      </c>
      <c r="D10" s="342" t="s">
        <v>47</v>
      </c>
      <c r="E10" s="342" t="s">
        <v>591</v>
      </c>
      <c r="F10" s="342" t="s">
        <v>737</v>
      </c>
      <c r="G10" s="342" t="s">
        <v>5280</v>
      </c>
      <c r="H10" s="342" t="s">
        <v>5218</v>
      </c>
      <c r="I10" s="342" t="s">
        <v>1070</v>
      </c>
    </row>
    <row r="11" spans="1:38">
      <c r="A11" s="342">
        <v>134956</v>
      </c>
      <c r="B11" s="342" t="s">
        <v>2504</v>
      </c>
      <c r="C11" s="342" t="s">
        <v>2507</v>
      </c>
      <c r="D11" s="342" t="s">
        <v>45</v>
      </c>
      <c r="E11" s="342" t="s">
        <v>591</v>
      </c>
      <c r="F11" s="342" t="s">
        <v>40</v>
      </c>
      <c r="G11" s="342" t="s">
        <v>5278</v>
      </c>
      <c r="H11" s="342" t="s">
        <v>1233</v>
      </c>
      <c r="I11" s="342" t="s">
        <v>5344</v>
      </c>
      <c r="J11" s="342" t="s">
        <v>2583</v>
      </c>
      <c r="L11" s="342" t="s">
        <v>2584</v>
      </c>
      <c r="M11" s="343">
        <v>45382</v>
      </c>
      <c r="X11" s="342" t="s">
        <v>2513</v>
      </c>
      <c r="AE11" s="342" t="s">
        <v>2585</v>
      </c>
      <c r="AI11" s="342" t="s">
        <v>2515</v>
      </c>
    </row>
    <row r="12" spans="1:38">
      <c r="A12" s="342">
        <v>135149</v>
      </c>
      <c r="B12" s="342" t="s">
        <v>1340</v>
      </c>
      <c r="C12" s="342" t="s">
        <v>559</v>
      </c>
      <c r="D12" s="342" t="s">
        <v>55</v>
      </c>
      <c r="E12" s="342" t="s">
        <v>591</v>
      </c>
      <c r="F12" s="342" t="s">
        <v>40</v>
      </c>
      <c r="G12" s="342" t="s">
        <v>1277</v>
      </c>
      <c r="I12" s="342" t="s">
        <v>1343</v>
      </c>
      <c r="J12" s="342" t="s">
        <v>2586</v>
      </c>
      <c r="X12" s="342" t="s">
        <v>1596</v>
      </c>
      <c r="AE12" s="342" t="s">
        <v>2587</v>
      </c>
      <c r="AI12" s="342" t="s">
        <v>1876</v>
      </c>
    </row>
    <row r="13" spans="1:38">
      <c r="A13" s="342">
        <v>135638</v>
      </c>
      <c r="B13" s="342" t="s">
        <v>4962</v>
      </c>
      <c r="C13" s="342" t="s">
        <v>4964</v>
      </c>
      <c r="D13" s="342" t="s">
        <v>51</v>
      </c>
      <c r="E13" s="342" t="s">
        <v>1194</v>
      </c>
      <c r="F13" s="342" t="s">
        <v>40</v>
      </c>
      <c r="G13" s="342" t="s">
        <v>1277</v>
      </c>
      <c r="L13" s="342" t="s">
        <v>5045</v>
      </c>
      <c r="X13" s="342" t="s">
        <v>5041</v>
      </c>
    </row>
    <row r="14" spans="1:38">
      <c r="A14" s="342">
        <v>135671</v>
      </c>
      <c r="B14" s="342" t="s">
        <v>67</v>
      </c>
      <c r="C14" s="342" t="s">
        <v>68</v>
      </c>
      <c r="D14" s="342" t="s">
        <v>47</v>
      </c>
      <c r="E14" s="342" t="s">
        <v>591</v>
      </c>
      <c r="F14" s="342" t="s">
        <v>41</v>
      </c>
      <c r="G14" s="342" t="s">
        <v>1421</v>
      </c>
      <c r="H14" s="342" t="s">
        <v>1402</v>
      </c>
      <c r="I14" s="342" t="s">
        <v>5669</v>
      </c>
      <c r="J14" s="342" t="s">
        <v>2588</v>
      </c>
      <c r="L14" s="342" t="s">
        <v>2589</v>
      </c>
      <c r="M14" s="343">
        <v>45473</v>
      </c>
      <c r="X14" s="342" t="s">
        <v>1597</v>
      </c>
    </row>
    <row r="15" spans="1:38">
      <c r="A15" s="342">
        <v>135673</v>
      </c>
      <c r="B15" s="342" t="s">
        <v>646</v>
      </c>
      <c r="C15" s="342" t="s">
        <v>647</v>
      </c>
      <c r="D15" s="342" t="s">
        <v>47</v>
      </c>
      <c r="E15" s="342" t="s">
        <v>591</v>
      </c>
      <c r="F15" s="342" t="s">
        <v>40</v>
      </c>
      <c r="G15" s="342" t="s">
        <v>1421</v>
      </c>
      <c r="H15" s="342" t="s">
        <v>1402</v>
      </c>
      <c r="I15" s="342" t="s">
        <v>5670</v>
      </c>
      <c r="J15" s="342" t="s">
        <v>2588</v>
      </c>
      <c r="L15" s="342" t="s">
        <v>2589</v>
      </c>
      <c r="M15" s="343">
        <v>45473</v>
      </c>
      <c r="N15" s="342" t="s">
        <v>2590</v>
      </c>
      <c r="O15" s="343">
        <v>45394</v>
      </c>
      <c r="P15" s="342" t="s">
        <v>2591</v>
      </c>
      <c r="Q15" s="343">
        <v>44926</v>
      </c>
      <c r="X15" s="342" t="s">
        <v>1598</v>
      </c>
      <c r="Y15" s="342" t="s">
        <v>2592</v>
      </c>
      <c r="AE15" s="342" t="s">
        <v>2593</v>
      </c>
      <c r="AI15" s="342" t="s">
        <v>1877</v>
      </c>
    </row>
    <row r="16" spans="1:38">
      <c r="A16" s="342">
        <v>135729</v>
      </c>
      <c r="B16" s="342" t="s">
        <v>70</v>
      </c>
      <c r="C16" s="342" t="s">
        <v>71</v>
      </c>
      <c r="D16" s="342" t="s">
        <v>47</v>
      </c>
      <c r="E16" s="342" t="s">
        <v>591</v>
      </c>
      <c r="F16" s="342" t="s">
        <v>40</v>
      </c>
      <c r="G16" s="342" t="s">
        <v>1277</v>
      </c>
      <c r="H16" s="342" t="s">
        <v>1233</v>
      </c>
      <c r="I16" s="342" t="s">
        <v>1313</v>
      </c>
      <c r="J16" s="342" t="s">
        <v>2594</v>
      </c>
      <c r="X16" s="342" t="s">
        <v>1599</v>
      </c>
      <c r="AE16" s="342" t="s">
        <v>2595</v>
      </c>
      <c r="AI16" s="342" t="s">
        <v>1878</v>
      </c>
    </row>
    <row r="17" spans="1:35">
      <c r="A17" s="342">
        <v>135762</v>
      </c>
      <c r="B17" s="342" t="s">
        <v>4355</v>
      </c>
      <c r="C17" s="342" t="s">
        <v>73</v>
      </c>
      <c r="D17" s="342" t="s">
        <v>47</v>
      </c>
      <c r="E17" s="342" t="s">
        <v>591</v>
      </c>
      <c r="F17" s="342" t="s">
        <v>40</v>
      </c>
      <c r="G17" s="342" t="s">
        <v>1336</v>
      </c>
      <c r="H17" s="342" t="s">
        <v>1233</v>
      </c>
      <c r="I17" s="342" t="s">
        <v>4423</v>
      </c>
      <c r="J17" s="342" t="s">
        <v>2596</v>
      </c>
      <c r="L17" s="342" t="s">
        <v>2597</v>
      </c>
      <c r="M17" s="343">
        <v>45016</v>
      </c>
      <c r="X17" s="342" t="s">
        <v>1600</v>
      </c>
      <c r="AE17" s="342" t="s">
        <v>2598</v>
      </c>
      <c r="AI17" s="342" t="s">
        <v>1879</v>
      </c>
    </row>
    <row r="18" spans="1:35">
      <c r="A18" s="342">
        <v>135873</v>
      </c>
      <c r="B18" s="342" t="s">
        <v>603</v>
      </c>
      <c r="C18" s="342" t="s">
        <v>68</v>
      </c>
      <c r="D18" s="342" t="s">
        <v>47</v>
      </c>
      <c r="E18" s="342" t="s">
        <v>591</v>
      </c>
      <c r="F18" s="342" t="s">
        <v>40</v>
      </c>
      <c r="G18" s="342" t="s">
        <v>1421</v>
      </c>
      <c r="H18" s="342" t="s">
        <v>1402</v>
      </c>
      <c r="I18" s="342" t="s">
        <v>5544</v>
      </c>
      <c r="J18" s="342" t="s">
        <v>2599</v>
      </c>
      <c r="L18" s="342" t="s">
        <v>2600</v>
      </c>
      <c r="M18" s="343">
        <v>44985</v>
      </c>
      <c r="P18" s="342" t="s">
        <v>2601</v>
      </c>
      <c r="Q18" s="343">
        <v>45291</v>
      </c>
      <c r="X18" s="342" t="s">
        <v>1601</v>
      </c>
    </row>
    <row r="19" spans="1:35">
      <c r="A19" s="342">
        <v>135907</v>
      </c>
      <c r="B19" s="342" t="s">
        <v>1430</v>
      </c>
      <c r="C19" s="342" t="s">
        <v>1433</v>
      </c>
      <c r="D19" s="342" t="s">
        <v>51</v>
      </c>
      <c r="E19" s="342" t="s">
        <v>591</v>
      </c>
      <c r="F19" s="342" t="s">
        <v>40</v>
      </c>
      <c r="G19" s="342" t="s">
        <v>5283</v>
      </c>
      <c r="H19" s="342" t="s">
        <v>1233</v>
      </c>
      <c r="I19" s="342" t="s">
        <v>5259</v>
      </c>
      <c r="J19" s="342" t="s">
        <v>2602</v>
      </c>
      <c r="K19" s="343">
        <v>44956</v>
      </c>
      <c r="L19" s="342" t="s">
        <v>2603</v>
      </c>
      <c r="X19" s="342" t="s">
        <v>1602</v>
      </c>
    </row>
    <row r="20" spans="1:35">
      <c r="A20" s="342">
        <v>135938</v>
      </c>
      <c r="B20" s="342" t="s">
        <v>75</v>
      </c>
      <c r="C20" s="342" t="s">
        <v>78</v>
      </c>
      <c r="D20" s="342" t="s">
        <v>45</v>
      </c>
      <c r="E20" s="342" t="s">
        <v>591</v>
      </c>
      <c r="F20" s="342" t="s">
        <v>40</v>
      </c>
      <c r="G20" s="342" t="s">
        <v>1277</v>
      </c>
      <c r="H20" s="342" t="s">
        <v>1233</v>
      </c>
      <c r="I20" s="342" t="s">
        <v>4590</v>
      </c>
      <c r="J20" s="342" t="s">
        <v>2604</v>
      </c>
      <c r="X20" s="342" t="s">
        <v>1603</v>
      </c>
      <c r="AE20" s="342" t="s">
        <v>4248</v>
      </c>
      <c r="AI20" s="342" t="s">
        <v>4247</v>
      </c>
    </row>
    <row r="21" spans="1:35">
      <c r="A21" s="342">
        <v>136036</v>
      </c>
      <c r="B21" s="342" t="s">
        <v>79</v>
      </c>
      <c r="C21" s="342" t="s">
        <v>82</v>
      </c>
      <c r="D21" s="342" t="s">
        <v>45</v>
      </c>
      <c r="E21" s="342" t="s">
        <v>591</v>
      </c>
      <c r="F21" s="342" t="s">
        <v>40</v>
      </c>
      <c r="G21" s="342" t="s">
        <v>5450</v>
      </c>
      <c r="I21" s="342" t="s">
        <v>4591</v>
      </c>
      <c r="J21" s="342" t="s">
        <v>2605</v>
      </c>
      <c r="X21" s="342" t="s">
        <v>1604</v>
      </c>
      <c r="AE21" s="342" t="s">
        <v>2606</v>
      </c>
      <c r="AI21" s="342" t="s">
        <v>1880</v>
      </c>
    </row>
    <row r="22" spans="1:35">
      <c r="A22" s="342">
        <v>136086</v>
      </c>
      <c r="B22" s="342" t="s">
        <v>1105</v>
      </c>
      <c r="C22" s="342" t="s">
        <v>1108</v>
      </c>
      <c r="D22" s="342" t="s">
        <v>45</v>
      </c>
      <c r="E22" s="342" t="s">
        <v>591</v>
      </c>
      <c r="F22" s="342" t="s">
        <v>1114</v>
      </c>
      <c r="G22" s="342" t="s">
        <v>1288</v>
      </c>
      <c r="H22" s="342" t="s">
        <v>1233</v>
      </c>
    </row>
    <row r="23" spans="1:35">
      <c r="A23" s="342">
        <v>136746</v>
      </c>
      <c r="B23" s="342" t="s">
        <v>1118</v>
      </c>
      <c r="C23" s="342" t="s">
        <v>1121</v>
      </c>
      <c r="D23" s="342" t="s">
        <v>45</v>
      </c>
      <c r="E23" s="342" t="s">
        <v>591</v>
      </c>
      <c r="F23" s="342" t="s">
        <v>40</v>
      </c>
      <c r="G23" s="342" t="s">
        <v>5450</v>
      </c>
      <c r="H23" s="342" t="s">
        <v>1233</v>
      </c>
      <c r="I23" s="342" t="s">
        <v>5902</v>
      </c>
      <c r="J23" s="342" t="s">
        <v>2607</v>
      </c>
      <c r="L23" s="342" t="s">
        <v>4869</v>
      </c>
      <c r="M23" s="343">
        <v>44925</v>
      </c>
      <c r="P23" s="342" t="s">
        <v>4657</v>
      </c>
      <c r="Q23" s="343">
        <v>44926</v>
      </c>
      <c r="X23" s="342" t="s">
        <v>4867</v>
      </c>
      <c r="AE23" s="342" t="s">
        <v>2609</v>
      </c>
      <c r="AI23" s="342" t="s">
        <v>1881</v>
      </c>
    </row>
    <row r="24" spans="1:35">
      <c r="A24" s="342">
        <v>137256</v>
      </c>
      <c r="B24" s="342" t="s">
        <v>83</v>
      </c>
      <c r="C24" s="342" t="s">
        <v>86</v>
      </c>
      <c r="D24" s="342" t="s">
        <v>51</v>
      </c>
      <c r="E24" s="342" t="s">
        <v>591</v>
      </c>
      <c r="F24" s="342" t="s">
        <v>40</v>
      </c>
      <c r="G24" s="342" t="s">
        <v>1421</v>
      </c>
      <c r="H24" s="342" t="s">
        <v>1402</v>
      </c>
      <c r="I24" s="342" t="s">
        <v>4681</v>
      </c>
      <c r="J24" s="342" t="s">
        <v>2610</v>
      </c>
      <c r="K24" s="343">
        <v>45169</v>
      </c>
      <c r="L24" s="342" t="s">
        <v>2611</v>
      </c>
      <c r="X24" s="342" t="s">
        <v>1605</v>
      </c>
    </row>
    <row r="25" spans="1:35">
      <c r="A25" s="342">
        <v>137312</v>
      </c>
      <c r="B25" s="342" t="s">
        <v>1236</v>
      </c>
      <c r="C25" s="342" t="s">
        <v>1239</v>
      </c>
      <c r="D25" s="342" t="s">
        <v>51</v>
      </c>
      <c r="E25" s="342" t="s">
        <v>591</v>
      </c>
      <c r="F25" s="342" t="s">
        <v>40</v>
      </c>
      <c r="G25" s="342" t="s">
        <v>5450</v>
      </c>
      <c r="H25" s="342" t="s">
        <v>1233</v>
      </c>
      <c r="I25" s="342" t="s">
        <v>1489</v>
      </c>
      <c r="J25" s="342" t="s">
        <v>2612</v>
      </c>
      <c r="K25" s="343">
        <v>44774</v>
      </c>
      <c r="L25" s="342" t="s">
        <v>2613</v>
      </c>
      <c r="X25" s="342" t="s">
        <v>1606</v>
      </c>
    </row>
    <row r="26" spans="1:35">
      <c r="A26" s="342">
        <v>137721</v>
      </c>
      <c r="B26" s="342" t="s">
        <v>4253</v>
      </c>
      <c r="C26" s="342" t="s">
        <v>4255</v>
      </c>
      <c r="D26" s="342" t="s">
        <v>47</v>
      </c>
      <c r="E26" s="342" t="s">
        <v>591</v>
      </c>
      <c r="F26" s="342" t="s">
        <v>40</v>
      </c>
      <c r="G26" s="342" t="s">
        <v>1288</v>
      </c>
      <c r="H26" s="342" t="s">
        <v>1233</v>
      </c>
      <c r="I26" s="342" t="s">
        <v>5545</v>
      </c>
      <c r="J26" s="342" t="s">
        <v>4283</v>
      </c>
      <c r="L26" s="342" t="s">
        <v>4266</v>
      </c>
      <c r="M26" s="343">
        <v>44895</v>
      </c>
      <c r="N26" s="342" t="s">
        <v>4284</v>
      </c>
      <c r="P26" s="342" t="s">
        <v>4285</v>
      </c>
      <c r="Q26" s="343">
        <v>44926</v>
      </c>
      <c r="X26" s="342" t="s">
        <v>4281</v>
      </c>
    </row>
    <row r="27" spans="1:35">
      <c r="A27" s="342">
        <v>137765</v>
      </c>
      <c r="B27" s="342" t="s">
        <v>1168</v>
      </c>
      <c r="C27" s="342" t="s">
        <v>88</v>
      </c>
      <c r="D27" s="342" t="s">
        <v>55</v>
      </c>
      <c r="E27" s="342" t="s">
        <v>591</v>
      </c>
      <c r="F27" s="342" t="s">
        <v>40</v>
      </c>
      <c r="G27" s="342" t="s">
        <v>4608</v>
      </c>
      <c r="H27" s="342" t="s">
        <v>1233</v>
      </c>
      <c r="I27" s="342" t="s">
        <v>4828</v>
      </c>
      <c r="J27" s="342" t="s">
        <v>2614</v>
      </c>
      <c r="L27" s="342" t="s">
        <v>2615</v>
      </c>
      <c r="M27" s="343">
        <v>45230</v>
      </c>
      <c r="N27" s="342" t="s">
        <v>2616</v>
      </c>
      <c r="X27" s="342" t="s">
        <v>1607</v>
      </c>
      <c r="AA27" s="342" t="s">
        <v>2617</v>
      </c>
      <c r="AI27" s="342" t="s">
        <v>2025</v>
      </c>
    </row>
    <row r="28" spans="1:35">
      <c r="A28" s="342">
        <v>137768</v>
      </c>
      <c r="B28" s="342" t="s">
        <v>1168</v>
      </c>
      <c r="C28" s="342" t="s">
        <v>90</v>
      </c>
      <c r="D28" s="342" t="s">
        <v>55</v>
      </c>
      <c r="E28" s="342" t="s">
        <v>591</v>
      </c>
      <c r="F28" s="342" t="s">
        <v>40</v>
      </c>
      <c r="G28" s="342" t="s">
        <v>4608</v>
      </c>
      <c r="H28" s="342" t="s">
        <v>1233</v>
      </c>
      <c r="I28" s="342" t="s">
        <v>4829</v>
      </c>
      <c r="J28" s="342" t="s">
        <v>2614</v>
      </c>
      <c r="L28" s="342" t="s">
        <v>2615</v>
      </c>
      <c r="M28" s="343">
        <v>45230</v>
      </c>
      <c r="N28" s="342" t="s">
        <v>2616</v>
      </c>
      <c r="X28" s="342" t="s">
        <v>1607</v>
      </c>
      <c r="AE28" s="342" t="s">
        <v>2618</v>
      </c>
      <c r="AI28" s="342" t="s">
        <v>1882</v>
      </c>
    </row>
    <row r="29" spans="1:35">
      <c r="A29" s="342">
        <v>138307</v>
      </c>
      <c r="B29" s="342" t="s">
        <v>1234</v>
      </c>
      <c r="C29" s="342" t="s">
        <v>1198</v>
      </c>
      <c r="D29" s="342" t="s">
        <v>51</v>
      </c>
      <c r="E29" s="342" t="s">
        <v>591</v>
      </c>
      <c r="F29" s="342" t="s">
        <v>40</v>
      </c>
      <c r="G29" s="342" t="s">
        <v>5279</v>
      </c>
      <c r="H29" s="342" t="s">
        <v>1402</v>
      </c>
      <c r="I29" s="342" t="s">
        <v>6012</v>
      </c>
      <c r="J29" s="342" t="s">
        <v>2619</v>
      </c>
      <c r="K29" s="343">
        <v>45504</v>
      </c>
      <c r="L29" s="342" t="s">
        <v>2620</v>
      </c>
      <c r="P29" s="342" t="s">
        <v>2621</v>
      </c>
      <c r="Q29" s="343">
        <v>45473</v>
      </c>
      <c r="X29" s="342" t="s">
        <v>1608</v>
      </c>
    </row>
    <row r="30" spans="1:35">
      <c r="A30" s="342">
        <v>138579</v>
      </c>
      <c r="B30" s="342" t="s">
        <v>1220</v>
      </c>
      <c r="C30" s="342" t="s">
        <v>92</v>
      </c>
      <c r="D30" s="342" t="s">
        <v>47</v>
      </c>
      <c r="E30" s="342" t="s">
        <v>591</v>
      </c>
      <c r="F30" s="342" t="s">
        <v>40</v>
      </c>
      <c r="G30" s="342" t="s">
        <v>5283</v>
      </c>
      <c r="H30" s="342" t="s">
        <v>1233</v>
      </c>
      <c r="I30" s="342" t="s">
        <v>4231</v>
      </c>
      <c r="J30" s="342" t="s">
        <v>2622</v>
      </c>
      <c r="N30" s="342" t="s">
        <v>2623</v>
      </c>
      <c r="P30" s="342" t="s">
        <v>2624</v>
      </c>
      <c r="Q30" s="343">
        <v>44926</v>
      </c>
      <c r="X30" s="342" t="s">
        <v>1609</v>
      </c>
      <c r="AE30" s="342" t="s">
        <v>2625</v>
      </c>
      <c r="AI30" s="342" t="s">
        <v>1883</v>
      </c>
    </row>
    <row r="31" spans="1:35">
      <c r="A31" s="342">
        <v>138708</v>
      </c>
      <c r="B31" s="342" t="s">
        <v>1279</v>
      </c>
      <c r="C31" s="342" t="s">
        <v>1281</v>
      </c>
      <c r="D31" s="342" t="s">
        <v>55</v>
      </c>
      <c r="E31" s="342" t="s">
        <v>591</v>
      </c>
      <c r="F31" s="342" t="s">
        <v>40</v>
      </c>
      <c r="G31" s="342" t="s">
        <v>1277</v>
      </c>
      <c r="H31" s="342" t="s">
        <v>1402</v>
      </c>
      <c r="I31" s="342" t="s">
        <v>1283</v>
      </c>
      <c r="J31" s="342" t="s">
        <v>2626</v>
      </c>
      <c r="X31" s="342" t="s">
        <v>1610</v>
      </c>
      <c r="AE31" s="342" t="s">
        <v>2627</v>
      </c>
      <c r="AI31" s="342" t="s">
        <v>1884</v>
      </c>
    </row>
    <row r="32" spans="1:35">
      <c r="A32" s="342">
        <v>138812</v>
      </c>
      <c r="B32" s="342" t="s">
        <v>5938</v>
      </c>
      <c r="C32" s="342" t="s">
        <v>74</v>
      </c>
      <c r="D32" s="342" t="s">
        <v>55</v>
      </c>
      <c r="E32" s="342" t="s">
        <v>591</v>
      </c>
      <c r="F32" s="342" t="s">
        <v>737</v>
      </c>
      <c r="G32" s="342" t="s">
        <v>1277</v>
      </c>
      <c r="H32" s="342" t="s">
        <v>1402</v>
      </c>
    </row>
    <row r="33" spans="1:38">
      <c r="A33" s="342">
        <v>139237</v>
      </c>
      <c r="B33" s="342" t="s">
        <v>1487</v>
      </c>
      <c r="C33" s="342" t="s">
        <v>68</v>
      </c>
      <c r="D33" s="342" t="s">
        <v>47</v>
      </c>
      <c r="E33" s="342" t="s">
        <v>591</v>
      </c>
      <c r="F33" s="342" t="s">
        <v>685</v>
      </c>
      <c r="G33" s="342" t="s">
        <v>4638</v>
      </c>
      <c r="H33" s="342" t="s">
        <v>1402</v>
      </c>
      <c r="I33" s="342" t="s">
        <v>5661</v>
      </c>
      <c r="AE33" s="342" t="s">
        <v>5665</v>
      </c>
      <c r="AI33" s="342" t="s">
        <v>5664</v>
      </c>
      <c r="AJ33" s="342" t="s">
        <v>4870</v>
      </c>
      <c r="AL33" s="342" t="s">
        <v>4868</v>
      </c>
    </row>
    <row r="34" spans="1:38">
      <c r="A34" s="342">
        <v>139879</v>
      </c>
      <c r="B34" s="342" t="s">
        <v>94</v>
      </c>
      <c r="C34" s="342" t="s">
        <v>96</v>
      </c>
      <c r="D34" s="342" t="s">
        <v>47</v>
      </c>
      <c r="E34" s="342" t="s">
        <v>591</v>
      </c>
      <c r="F34" s="342" t="s">
        <v>40</v>
      </c>
      <c r="G34" s="342" t="s">
        <v>1277</v>
      </c>
      <c r="H34" s="342" t="s">
        <v>1233</v>
      </c>
      <c r="I34" s="342" t="s">
        <v>4181</v>
      </c>
      <c r="J34" s="342" t="s">
        <v>2629</v>
      </c>
      <c r="L34" s="342" t="s">
        <v>2630</v>
      </c>
      <c r="M34" s="343">
        <v>44895</v>
      </c>
      <c r="N34" s="342" t="s">
        <v>2631</v>
      </c>
      <c r="X34" s="342" t="s">
        <v>1611</v>
      </c>
      <c r="AE34" s="342" t="s">
        <v>2632</v>
      </c>
      <c r="AI34" s="342" t="s">
        <v>1886</v>
      </c>
    </row>
    <row r="35" spans="1:38">
      <c r="A35" s="342">
        <v>139959</v>
      </c>
      <c r="B35" s="342" t="s">
        <v>746</v>
      </c>
      <c r="C35" s="342" t="s">
        <v>648</v>
      </c>
      <c r="D35" s="342" t="s">
        <v>47</v>
      </c>
      <c r="E35" s="342" t="s">
        <v>591</v>
      </c>
      <c r="F35" s="342" t="s">
        <v>40</v>
      </c>
      <c r="G35" s="342" t="s">
        <v>5280</v>
      </c>
      <c r="H35" s="342" t="s">
        <v>1233</v>
      </c>
      <c r="I35" s="342" t="s">
        <v>5546</v>
      </c>
      <c r="J35" s="342" t="s">
        <v>2633</v>
      </c>
      <c r="L35" s="342" t="s">
        <v>2634</v>
      </c>
      <c r="M35" s="343">
        <v>45046</v>
      </c>
      <c r="P35" s="342" t="s">
        <v>2635</v>
      </c>
      <c r="Q35" s="343">
        <v>44926</v>
      </c>
      <c r="X35" s="342" t="s">
        <v>1612</v>
      </c>
      <c r="AE35" s="342" t="s">
        <v>2636</v>
      </c>
      <c r="AI35" s="342" t="s">
        <v>1887</v>
      </c>
    </row>
    <row r="36" spans="1:38">
      <c r="A36" s="342">
        <v>140080</v>
      </c>
      <c r="B36" s="342" t="s">
        <v>99</v>
      </c>
      <c r="C36" s="342" t="s">
        <v>102</v>
      </c>
      <c r="D36" s="342" t="s">
        <v>51</v>
      </c>
      <c r="E36" s="342" t="s">
        <v>591</v>
      </c>
      <c r="F36" s="342" t="s">
        <v>40</v>
      </c>
      <c r="G36" s="342" t="s">
        <v>5281</v>
      </c>
      <c r="H36" s="342" t="s">
        <v>1233</v>
      </c>
      <c r="I36" s="342" t="s">
        <v>4580</v>
      </c>
      <c r="J36" s="342" t="s">
        <v>2637</v>
      </c>
      <c r="K36" s="343">
        <v>45107</v>
      </c>
      <c r="L36" s="342" t="s">
        <v>2638</v>
      </c>
      <c r="X36" s="342" t="s">
        <v>1613</v>
      </c>
      <c r="AA36" s="342" t="s">
        <v>2639</v>
      </c>
      <c r="AI36" s="342" t="s">
        <v>1888</v>
      </c>
    </row>
    <row r="37" spans="1:38">
      <c r="A37" s="342">
        <v>140339</v>
      </c>
      <c r="B37" s="342" t="s">
        <v>4754</v>
      </c>
      <c r="C37" s="342" t="s">
        <v>434</v>
      </c>
      <c r="D37" s="342" t="s">
        <v>51</v>
      </c>
      <c r="E37" s="342" t="s">
        <v>591</v>
      </c>
      <c r="F37" s="342" t="s">
        <v>40</v>
      </c>
      <c r="G37" s="342" t="s">
        <v>5282</v>
      </c>
      <c r="H37" s="342" t="s">
        <v>1402</v>
      </c>
      <c r="I37" s="342" t="s">
        <v>5414</v>
      </c>
      <c r="J37" s="342" t="s">
        <v>3178</v>
      </c>
      <c r="K37" s="343">
        <v>45412</v>
      </c>
      <c r="L37" s="342" t="s">
        <v>3179</v>
      </c>
      <c r="X37" s="342" t="s">
        <v>1753</v>
      </c>
    </row>
    <row r="38" spans="1:38">
      <c r="A38" s="342">
        <v>140534</v>
      </c>
      <c r="B38" s="342" t="s">
        <v>640</v>
      </c>
      <c r="C38" s="342" t="s">
        <v>643</v>
      </c>
      <c r="D38" s="342" t="s">
        <v>45</v>
      </c>
      <c r="E38" s="342" t="s">
        <v>591</v>
      </c>
      <c r="F38" s="342" t="s">
        <v>40</v>
      </c>
      <c r="G38" s="342" t="s">
        <v>5279</v>
      </c>
      <c r="H38" s="342" t="s">
        <v>1233</v>
      </c>
      <c r="I38" s="342" t="s">
        <v>5219</v>
      </c>
      <c r="J38" s="342" t="s">
        <v>2640</v>
      </c>
      <c r="L38" s="342" t="s">
        <v>2641</v>
      </c>
      <c r="M38" s="343">
        <v>45351</v>
      </c>
      <c r="N38" s="342" t="s">
        <v>2642</v>
      </c>
      <c r="X38" s="342" t="s">
        <v>1614</v>
      </c>
      <c r="AE38" s="342" t="s">
        <v>2643</v>
      </c>
      <c r="AI38" s="342" t="s">
        <v>1889</v>
      </c>
    </row>
    <row r="39" spans="1:38">
      <c r="A39" s="342">
        <v>140539</v>
      </c>
      <c r="B39" s="342" t="s">
        <v>103</v>
      </c>
      <c r="C39" s="342" t="s">
        <v>106</v>
      </c>
      <c r="D39" s="342" t="s">
        <v>107</v>
      </c>
      <c r="E39" s="342" t="s">
        <v>591</v>
      </c>
      <c r="F39" s="342" t="s">
        <v>40</v>
      </c>
      <c r="G39" s="342" t="s">
        <v>1277</v>
      </c>
      <c r="H39" s="342" t="s">
        <v>1233</v>
      </c>
      <c r="I39" s="342" t="s">
        <v>4884</v>
      </c>
      <c r="J39" s="342" t="s">
        <v>2644</v>
      </c>
      <c r="N39" s="342" t="s">
        <v>2645</v>
      </c>
      <c r="P39" s="342" t="s">
        <v>2646</v>
      </c>
      <c r="Q39" s="343">
        <v>45291</v>
      </c>
      <c r="R39" s="342" t="s">
        <v>2647</v>
      </c>
      <c r="T39" s="342" t="s">
        <v>2647</v>
      </c>
      <c r="X39" s="342" t="s">
        <v>1615</v>
      </c>
    </row>
    <row r="40" spans="1:38">
      <c r="A40" s="342">
        <v>141080</v>
      </c>
      <c r="B40" s="342" t="s">
        <v>108</v>
      </c>
      <c r="C40" s="342" t="s">
        <v>110</v>
      </c>
      <c r="D40" s="342" t="s">
        <v>51</v>
      </c>
      <c r="E40" s="342" t="s">
        <v>591</v>
      </c>
      <c r="F40" s="342" t="s">
        <v>40</v>
      </c>
      <c r="G40" s="342" t="s">
        <v>1288</v>
      </c>
      <c r="H40" s="342" t="s">
        <v>1233</v>
      </c>
      <c r="I40" s="342" t="s">
        <v>6013</v>
      </c>
      <c r="J40" s="342" t="s">
        <v>2648</v>
      </c>
      <c r="K40" s="343">
        <v>45504</v>
      </c>
      <c r="L40" s="342" t="s">
        <v>2649</v>
      </c>
      <c r="X40" s="342" t="s">
        <v>1616</v>
      </c>
    </row>
    <row r="41" spans="1:38">
      <c r="A41" s="342">
        <v>141168</v>
      </c>
      <c r="B41" s="342" t="s">
        <v>111</v>
      </c>
      <c r="C41" s="342" t="s">
        <v>113</v>
      </c>
      <c r="D41" s="342" t="s">
        <v>51</v>
      </c>
      <c r="E41" s="342" t="s">
        <v>591</v>
      </c>
      <c r="F41" s="342" t="s">
        <v>40</v>
      </c>
      <c r="G41" s="342" t="s">
        <v>1277</v>
      </c>
      <c r="H41" s="342" t="s">
        <v>5218</v>
      </c>
      <c r="I41" s="342" t="s">
        <v>6014</v>
      </c>
      <c r="J41" s="342" t="s">
        <v>2653</v>
      </c>
      <c r="K41" s="343">
        <v>45504</v>
      </c>
      <c r="L41" s="342" t="s">
        <v>2654</v>
      </c>
      <c r="X41" s="342" t="s">
        <v>1617</v>
      </c>
      <c r="AA41" s="342" t="s">
        <v>2655</v>
      </c>
      <c r="AI41" s="342" t="s">
        <v>1890</v>
      </c>
    </row>
    <row r="42" spans="1:38">
      <c r="A42" s="342">
        <v>141737</v>
      </c>
      <c r="B42" s="342" t="s">
        <v>114</v>
      </c>
      <c r="C42" s="342" t="s">
        <v>116</v>
      </c>
      <c r="D42" s="342" t="s">
        <v>55</v>
      </c>
      <c r="E42" s="342" t="s">
        <v>591</v>
      </c>
      <c r="F42" s="342" t="s">
        <v>40</v>
      </c>
      <c r="G42" s="342" t="s">
        <v>1277</v>
      </c>
      <c r="I42" s="342" t="s">
        <v>1423</v>
      </c>
      <c r="J42" s="342" t="s">
        <v>2656</v>
      </c>
      <c r="X42" s="342" t="s">
        <v>1618</v>
      </c>
      <c r="AE42" s="342" t="s">
        <v>2657</v>
      </c>
      <c r="AI42" s="342" t="s">
        <v>1891</v>
      </c>
    </row>
    <row r="43" spans="1:38">
      <c r="A43" s="342">
        <v>142610</v>
      </c>
      <c r="B43" s="342" t="s">
        <v>1498</v>
      </c>
      <c r="C43" s="342" t="s">
        <v>417</v>
      </c>
      <c r="D43" s="342" t="s">
        <v>51</v>
      </c>
      <c r="E43" s="342" t="s">
        <v>591</v>
      </c>
      <c r="F43" s="342" t="s">
        <v>40</v>
      </c>
      <c r="G43" s="342" t="s">
        <v>5282</v>
      </c>
      <c r="H43" s="342" t="s">
        <v>1233</v>
      </c>
      <c r="I43" s="342" t="s">
        <v>6015</v>
      </c>
      <c r="J43" s="342" t="s">
        <v>2658</v>
      </c>
      <c r="K43" s="343">
        <v>45504</v>
      </c>
      <c r="L43" s="342" t="s">
        <v>2659</v>
      </c>
      <c r="X43" s="342" t="s">
        <v>1619</v>
      </c>
    </row>
    <row r="44" spans="1:38">
      <c r="A44" s="342">
        <v>144548</v>
      </c>
      <c r="B44" s="342" t="s">
        <v>679</v>
      </c>
      <c r="C44" s="342" t="s">
        <v>682</v>
      </c>
      <c r="D44" s="342" t="s">
        <v>45</v>
      </c>
      <c r="E44" s="342" t="s">
        <v>591</v>
      </c>
      <c r="F44" s="342" t="s">
        <v>40</v>
      </c>
      <c r="G44" s="342" t="s">
        <v>1277</v>
      </c>
      <c r="H44" s="342" t="s">
        <v>5218</v>
      </c>
      <c r="I44" s="342" t="s">
        <v>4799</v>
      </c>
      <c r="J44" s="342" t="s">
        <v>2660</v>
      </c>
      <c r="L44" s="342" t="s">
        <v>2661</v>
      </c>
      <c r="M44" s="343">
        <v>45230</v>
      </c>
      <c r="X44" s="342" t="s">
        <v>1620</v>
      </c>
      <c r="AE44" s="342" t="s">
        <v>2662</v>
      </c>
      <c r="AI44" s="342" t="s">
        <v>1892</v>
      </c>
    </row>
    <row r="45" spans="1:38">
      <c r="A45" s="342">
        <v>146895</v>
      </c>
      <c r="B45" s="342" t="s">
        <v>669</v>
      </c>
      <c r="C45" s="342" t="s">
        <v>121</v>
      </c>
      <c r="D45" s="342" t="s">
        <v>51</v>
      </c>
      <c r="E45" s="342" t="s">
        <v>591</v>
      </c>
      <c r="F45" s="342" t="s">
        <v>40</v>
      </c>
      <c r="G45" s="342" t="s">
        <v>1277</v>
      </c>
      <c r="H45" s="342" t="s">
        <v>1402</v>
      </c>
      <c r="I45" s="342" t="s">
        <v>4278</v>
      </c>
      <c r="J45" s="342" t="s">
        <v>2663</v>
      </c>
      <c r="K45" s="343">
        <v>44958</v>
      </c>
      <c r="L45" s="342" t="s">
        <v>2664</v>
      </c>
      <c r="X45" s="342" t="s">
        <v>1621</v>
      </c>
    </row>
    <row r="46" spans="1:38">
      <c r="A46" s="342">
        <v>147189</v>
      </c>
      <c r="B46" s="342" t="s">
        <v>122</v>
      </c>
      <c r="C46" s="342" t="s">
        <v>123</v>
      </c>
      <c r="D46" s="342" t="s">
        <v>47</v>
      </c>
      <c r="E46" s="342" t="s">
        <v>591</v>
      </c>
      <c r="F46" s="342" t="s">
        <v>40</v>
      </c>
      <c r="G46" s="342" t="s">
        <v>1288</v>
      </c>
      <c r="H46" s="342" t="s">
        <v>1233</v>
      </c>
      <c r="I46" s="342" t="s">
        <v>1071</v>
      </c>
      <c r="J46" s="342" t="s">
        <v>2665</v>
      </c>
      <c r="X46" s="342" t="s">
        <v>1622</v>
      </c>
      <c r="AE46" s="342" t="s">
        <v>2666</v>
      </c>
      <c r="AI46" s="342" t="s">
        <v>1893</v>
      </c>
    </row>
    <row r="47" spans="1:38">
      <c r="A47" s="342">
        <v>147245</v>
      </c>
      <c r="B47" s="342" t="s">
        <v>1232</v>
      </c>
      <c r="C47" s="342" t="s">
        <v>125</v>
      </c>
      <c r="D47" s="342" t="s">
        <v>126</v>
      </c>
      <c r="E47" s="342" t="s">
        <v>591</v>
      </c>
      <c r="F47" s="342" t="s">
        <v>40</v>
      </c>
      <c r="G47" s="342" t="s">
        <v>5281</v>
      </c>
      <c r="H47" s="342" t="s">
        <v>1402</v>
      </c>
      <c r="I47" s="342" t="s">
        <v>5671</v>
      </c>
      <c r="J47" s="342" t="s">
        <v>2667</v>
      </c>
      <c r="L47" s="342" t="s">
        <v>2668</v>
      </c>
      <c r="M47" s="343">
        <v>44895</v>
      </c>
      <c r="N47" s="342" t="s">
        <v>2669</v>
      </c>
      <c r="P47" s="342" t="s">
        <v>2670</v>
      </c>
      <c r="Q47" s="343">
        <v>44926</v>
      </c>
      <c r="X47" s="342" t="s">
        <v>1623</v>
      </c>
      <c r="AE47" s="342" t="s">
        <v>2671</v>
      </c>
      <c r="AI47" s="342" t="s">
        <v>1894</v>
      </c>
    </row>
    <row r="48" spans="1:38">
      <c r="A48" s="342">
        <v>147463</v>
      </c>
      <c r="B48" s="342" t="s">
        <v>1322</v>
      </c>
      <c r="C48" s="342" t="s">
        <v>1325</v>
      </c>
      <c r="D48" s="342" t="s">
        <v>51</v>
      </c>
      <c r="E48" s="342" t="s">
        <v>591</v>
      </c>
      <c r="F48" s="342" t="s">
        <v>40</v>
      </c>
      <c r="G48" s="342" t="s">
        <v>5449</v>
      </c>
      <c r="H48" s="342" t="s">
        <v>1402</v>
      </c>
      <c r="I48" s="342" t="s">
        <v>6016</v>
      </c>
      <c r="J48" s="342" t="s">
        <v>2672</v>
      </c>
      <c r="K48" s="343">
        <v>45504</v>
      </c>
      <c r="L48" s="342" t="s">
        <v>2673</v>
      </c>
      <c r="X48" s="342" t="s">
        <v>1624</v>
      </c>
    </row>
    <row r="49" spans="1:35">
      <c r="A49" s="342">
        <v>147594</v>
      </c>
      <c r="B49" s="342" t="s">
        <v>5426</v>
      </c>
      <c r="C49" s="342" t="s">
        <v>5428</v>
      </c>
      <c r="D49" s="342" t="s">
        <v>47</v>
      </c>
      <c r="E49" s="342" t="s">
        <v>591</v>
      </c>
      <c r="F49" s="342" t="s">
        <v>40</v>
      </c>
      <c r="G49" s="342" t="s">
        <v>1336</v>
      </c>
      <c r="H49" s="342" t="s">
        <v>1233</v>
      </c>
      <c r="I49" s="342" t="s">
        <v>5979</v>
      </c>
      <c r="J49" s="342" t="s">
        <v>5983</v>
      </c>
      <c r="X49" s="342" t="s">
        <v>5982</v>
      </c>
      <c r="AA49" s="342" t="s">
        <v>5437</v>
      </c>
      <c r="AE49" s="342" t="s">
        <v>5437</v>
      </c>
      <c r="AI49" s="342" t="s">
        <v>5435</v>
      </c>
    </row>
    <row r="50" spans="1:35">
      <c r="A50" s="342">
        <v>148000</v>
      </c>
      <c r="B50" s="342" t="s">
        <v>127</v>
      </c>
      <c r="C50" s="342" t="s">
        <v>129</v>
      </c>
      <c r="D50" s="342" t="s">
        <v>51</v>
      </c>
      <c r="E50" s="342" t="s">
        <v>591</v>
      </c>
      <c r="F50" s="342" t="s">
        <v>40</v>
      </c>
      <c r="G50" s="342" t="s">
        <v>1277</v>
      </c>
      <c r="H50" s="342" t="s">
        <v>1402</v>
      </c>
      <c r="I50" s="342" t="s">
        <v>4642</v>
      </c>
      <c r="J50" s="342" t="s">
        <v>2674</v>
      </c>
      <c r="K50" s="343">
        <v>45169</v>
      </c>
      <c r="L50" s="342" t="s">
        <v>2675</v>
      </c>
      <c r="X50" s="342" t="s">
        <v>1625</v>
      </c>
      <c r="AA50" s="342" t="s">
        <v>2676</v>
      </c>
      <c r="AE50" s="342" t="s">
        <v>2628</v>
      </c>
      <c r="AI50" s="342" t="s">
        <v>1895</v>
      </c>
    </row>
    <row r="51" spans="1:35">
      <c r="A51" s="342">
        <v>148971</v>
      </c>
      <c r="B51" s="342" t="s">
        <v>130</v>
      </c>
      <c r="C51" s="342" t="s">
        <v>132</v>
      </c>
      <c r="D51" s="342" t="s">
        <v>47</v>
      </c>
      <c r="E51" s="342" t="s">
        <v>591</v>
      </c>
      <c r="F51" s="342" t="s">
        <v>40</v>
      </c>
      <c r="G51" s="342" t="s">
        <v>1277</v>
      </c>
      <c r="H51" s="342" t="s">
        <v>1402</v>
      </c>
      <c r="I51" s="342" t="s">
        <v>5547</v>
      </c>
      <c r="J51" s="342" t="s">
        <v>2677</v>
      </c>
      <c r="L51" s="342" t="s">
        <v>2678</v>
      </c>
      <c r="M51" s="343">
        <v>45077</v>
      </c>
      <c r="N51" s="342" t="s">
        <v>2679</v>
      </c>
      <c r="P51" s="342" t="s">
        <v>2680</v>
      </c>
      <c r="Q51" s="343">
        <v>44926</v>
      </c>
      <c r="X51" s="342" t="s">
        <v>1626</v>
      </c>
      <c r="AE51" s="342" t="s">
        <v>2681</v>
      </c>
      <c r="AI51" s="342" t="s">
        <v>1896</v>
      </c>
    </row>
    <row r="52" spans="1:35">
      <c r="A52" s="342">
        <v>150190</v>
      </c>
      <c r="B52" s="342" t="s">
        <v>4506</v>
      </c>
      <c r="C52" s="342" t="s">
        <v>134</v>
      </c>
      <c r="D52" s="342" t="s">
        <v>47</v>
      </c>
      <c r="E52" s="342" t="s">
        <v>591</v>
      </c>
      <c r="F52" s="342" t="s">
        <v>40</v>
      </c>
      <c r="G52" s="342" t="s">
        <v>1277</v>
      </c>
      <c r="H52" s="342" t="s">
        <v>1233</v>
      </c>
      <c r="I52" s="342" t="s">
        <v>1403</v>
      </c>
      <c r="J52" s="342" t="s">
        <v>2682</v>
      </c>
      <c r="X52" s="342" t="s">
        <v>1627</v>
      </c>
      <c r="AE52" s="342" t="s">
        <v>2683</v>
      </c>
      <c r="AI52" s="342" t="s">
        <v>1897</v>
      </c>
    </row>
    <row r="53" spans="1:35">
      <c r="A53" s="342">
        <v>150344</v>
      </c>
      <c r="B53" s="342" t="s">
        <v>1207</v>
      </c>
      <c r="C53" s="342" t="s">
        <v>1210</v>
      </c>
      <c r="D53" s="342" t="s">
        <v>1211</v>
      </c>
      <c r="E53" s="342" t="s">
        <v>591</v>
      </c>
      <c r="F53" s="342" t="s">
        <v>40</v>
      </c>
      <c r="G53" s="342" t="s">
        <v>4608</v>
      </c>
      <c r="H53" s="342" t="s">
        <v>1233</v>
      </c>
      <c r="I53" s="342" t="s">
        <v>4600</v>
      </c>
      <c r="J53" s="342" t="s">
        <v>2684</v>
      </c>
      <c r="L53" s="342" t="s">
        <v>2685</v>
      </c>
      <c r="M53" s="343">
        <v>45138</v>
      </c>
      <c r="N53" s="342" t="s">
        <v>2686</v>
      </c>
      <c r="X53" s="342" t="s">
        <v>1628</v>
      </c>
      <c r="AE53" s="342" t="s">
        <v>2687</v>
      </c>
      <c r="AF53" s="343">
        <v>55134</v>
      </c>
      <c r="AI53" s="342" t="s">
        <v>1898</v>
      </c>
    </row>
    <row r="54" spans="1:35">
      <c r="A54" s="342">
        <v>150991</v>
      </c>
      <c r="B54" s="342" t="s">
        <v>1169</v>
      </c>
      <c r="C54" s="342" t="s">
        <v>74</v>
      </c>
      <c r="D54" s="342" t="s">
        <v>55</v>
      </c>
      <c r="E54" s="342" t="s">
        <v>591</v>
      </c>
      <c r="F54" s="342" t="s">
        <v>40</v>
      </c>
      <c r="G54" s="342" t="s">
        <v>4608</v>
      </c>
      <c r="H54" s="342" t="s">
        <v>1233</v>
      </c>
      <c r="I54" s="342" t="s">
        <v>1330</v>
      </c>
      <c r="J54" s="342" t="s">
        <v>2690</v>
      </c>
      <c r="X54" s="342" t="s">
        <v>1629</v>
      </c>
      <c r="AE54" s="342" t="s">
        <v>2618</v>
      </c>
      <c r="AI54" s="342" t="s">
        <v>1882</v>
      </c>
    </row>
    <row r="55" spans="1:35">
      <c r="A55" s="342">
        <v>152824</v>
      </c>
      <c r="B55" s="342" t="s">
        <v>814</v>
      </c>
      <c r="C55" s="342" t="s">
        <v>816</v>
      </c>
      <c r="D55" s="342" t="s">
        <v>51</v>
      </c>
      <c r="E55" s="342" t="s">
        <v>591</v>
      </c>
      <c r="F55" s="342" t="s">
        <v>40</v>
      </c>
      <c r="G55" s="342" t="s">
        <v>5278</v>
      </c>
      <c r="H55" s="342" t="s">
        <v>1233</v>
      </c>
      <c r="I55" s="342" t="s">
        <v>4885</v>
      </c>
      <c r="J55" s="342" t="s">
        <v>2691</v>
      </c>
      <c r="K55" s="343">
        <v>44985</v>
      </c>
      <c r="L55" s="342" t="s">
        <v>2692</v>
      </c>
      <c r="P55" s="342" t="s">
        <v>2693</v>
      </c>
      <c r="Q55" s="343">
        <v>45291</v>
      </c>
      <c r="X55" s="342" t="s">
        <v>1630</v>
      </c>
    </row>
    <row r="56" spans="1:35">
      <c r="A56" s="342">
        <v>152826</v>
      </c>
      <c r="B56" s="342" t="s">
        <v>395</v>
      </c>
      <c r="C56" s="342" t="s">
        <v>137</v>
      </c>
      <c r="D56" s="342" t="s">
        <v>55</v>
      </c>
      <c r="E56" s="342" t="s">
        <v>591</v>
      </c>
      <c r="F56" s="342" t="s">
        <v>40</v>
      </c>
      <c r="G56" s="342" t="s">
        <v>5278</v>
      </c>
      <c r="H56" s="342" t="s">
        <v>1233</v>
      </c>
      <c r="I56" s="342" t="s">
        <v>5190</v>
      </c>
      <c r="J56" s="342" t="s">
        <v>2694</v>
      </c>
      <c r="L56" s="342" t="s">
        <v>2695</v>
      </c>
      <c r="M56" s="343">
        <v>45350</v>
      </c>
      <c r="N56" s="342" t="s">
        <v>2696</v>
      </c>
      <c r="O56" s="343">
        <v>72686</v>
      </c>
      <c r="X56" s="342" t="s">
        <v>1631</v>
      </c>
      <c r="AA56" s="342" t="s">
        <v>2697</v>
      </c>
      <c r="AE56" s="342" t="s">
        <v>2697</v>
      </c>
      <c r="AI56" s="342" t="s">
        <v>1900</v>
      </c>
    </row>
    <row r="57" spans="1:35">
      <c r="A57" s="342">
        <v>152827</v>
      </c>
      <c r="B57" s="342" t="s">
        <v>395</v>
      </c>
      <c r="C57" s="342" t="s">
        <v>139</v>
      </c>
      <c r="D57" s="342" t="s">
        <v>55</v>
      </c>
      <c r="E57" s="342" t="s">
        <v>591</v>
      </c>
      <c r="F57" s="342" t="s">
        <v>40</v>
      </c>
      <c r="G57" s="342" t="s">
        <v>5278</v>
      </c>
      <c r="H57" s="342" t="s">
        <v>1233</v>
      </c>
      <c r="I57" s="342" t="s">
        <v>5191</v>
      </c>
      <c r="J57" s="342" t="s">
        <v>2694</v>
      </c>
      <c r="L57" s="342" t="s">
        <v>2695</v>
      </c>
      <c r="M57" s="343">
        <v>45350</v>
      </c>
      <c r="N57" s="342" t="s">
        <v>2696</v>
      </c>
      <c r="O57" s="343">
        <v>72686</v>
      </c>
      <c r="X57" s="342" t="s">
        <v>1631</v>
      </c>
      <c r="AA57" s="342" t="s">
        <v>2698</v>
      </c>
      <c r="AE57" s="342" t="s">
        <v>2697</v>
      </c>
      <c r="AI57" s="342" t="s">
        <v>1901</v>
      </c>
    </row>
    <row r="58" spans="1:35">
      <c r="A58" s="342">
        <v>154705</v>
      </c>
      <c r="B58" s="342" t="s">
        <v>694</v>
      </c>
      <c r="C58" s="342" t="s">
        <v>90</v>
      </c>
      <c r="D58" s="342" t="s">
        <v>55</v>
      </c>
      <c r="E58" s="342" t="s">
        <v>591</v>
      </c>
      <c r="F58" s="342" t="s">
        <v>41</v>
      </c>
      <c r="G58" s="342" t="s">
        <v>786</v>
      </c>
      <c r="H58" s="342" t="s">
        <v>1402</v>
      </c>
      <c r="I58" s="342" t="s">
        <v>5548</v>
      </c>
      <c r="J58" s="342" t="s">
        <v>2703</v>
      </c>
      <c r="L58" s="342" t="s">
        <v>2704</v>
      </c>
      <c r="M58" s="343">
        <v>45138</v>
      </c>
      <c r="N58" s="342" t="s">
        <v>2705</v>
      </c>
      <c r="O58" s="343">
        <v>44838</v>
      </c>
      <c r="P58" s="342" t="s">
        <v>2706</v>
      </c>
      <c r="Q58" s="343">
        <v>44926</v>
      </c>
      <c r="X58" s="342" t="s">
        <v>1632</v>
      </c>
      <c r="Y58" s="342" t="s">
        <v>2707</v>
      </c>
      <c r="AE58" s="342" t="s">
        <v>2708</v>
      </c>
      <c r="AI58" s="342" t="s">
        <v>1903</v>
      </c>
    </row>
    <row r="59" spans="1:35">
      <c r="A59" s="342">
        <v>154705</v>
      </c>
      <c r="B59" s="342" t="s">
        <v>694</v>
      </c>
      <c r="C59" s="342" t="s">
        <v>90</v>
      </c>
      <c r="D59" s="342" t="s">
        <v>55</v>
      </c>
      <c r="E59" s="342" t="s">
        <v>591</v>
      </c>
      <c r="F59" s="342" t="s">
        <v>40</v>
      </c>
      <c r="G59" s="342" t="s">
        <v>786</v>
      </c>
      <c r="H59" s="342" t="s">
        <v>1402</v>
      </c>
      <c r="I59" s="342" t="s">
        <v>5548</v>
      </c>
      <c r="J59" s="342" t="s">
        <v>2703</v>
      </c>
      <c r="L59" s="342" t="s">
        <v>2704</v>
      </c>
      <c r="M59" s="343">
        <v>45138</v>
      </c>
      <c r="N59" s="342" t="s">
        <v>2705</v>
      </c>
      <c r="O59" s="343">
        <v>44838</v>
      </c>
      <c r="P59" s="342" t="s">
        <v>2706</v>
      </c>
      <c r="Q59" s="343">
        <v>44926</v>
      </c>
      <c r="X59" s="342" t="s">
        <v>1632</v>
      </c>
      <c r="Y59" s="342" t="s">
        <v>2707</v>
      </c>
      <c r="AE59" s="342" t="s">
        <v>2708</v>
      </c>
      <c r="AI59" s="342" t="s">
        <v>1903</v>
      </c>
    </row>
    <row r="60" spans="1:35">
      <c r="A60" s="342">
        <v>154726</v>
      </c>
      <c r="B60" s="342" t="s">
        <v>2525</v>
      </c>
      <c r="C60" s="342" t="s">
        <v>2527</v>
      </c>
      <c r="D60" s="342" t="s">
        <v>47</v>
      </c>
      <c r="E60" s="342" t="s">
        <v>591</v>
      </c>
      <c r="F60" s="342" t="s">
        <v>40</v>
      </c>
      <c r="G60" s="342" t="s">
        <v>1510</v>
      </c>
      <c r="H60" s="342" t="s">
        <v>1402</v>
      </c>
      <c r="I60" s="342" t="s">
        <v>2530</v>
      </c>
      <c r="J60" s="342" t="s">
        <v>2688</v>
      </c>
      <c r="L60" s="342" t="s">
        <v>2709</v>
      </c>
      <c r="X60" s="342" t="s">
        <v>2534</v>
      </c>
      <c r="AE60" s="342" t="s">
        <v>2689</v>
      </c>
      <c r="AI60" s="342" t="s">
        <v>1899</v>
      </c>
    </row>
    <row r="61" spans="1:35">
      <c r="A61" s="342">
        <v>154780</v>
      </c>
      <c r="B61" s="342" t="s">
        <v>1495</v>
      </c>
      <c r="C61" s="342" t="s">
        <v>110</v>
      </c>
      <c r="D61" s="342" t="s">
        <v>51</v>
      </c>
      <c r="E61" s="342" t="s">
        <v>591</v>
      </c>
      <c r="F61" s="342" t="s">
        <v>40</v>
      </c>
      <c r="G61" s="342" t="s">
        <v>5280</v>
      </c>
      <c r="H61" s="342" t="s">
        <v>1233</v>
      </c>
      <c r="I61" s="342" t="s">
        <v>4202</v>
      </c>
      <c r="J61" s="342" t="s">
        <v>2710</v>
      </c>
      <c r="K61" s="343">
        <v>44774</v>
      </c>
      <c r="L61" s="342" t="s">
        <v>2711</v>
      </c>
      <c r="X61" s="342" t="s">
        <v>1633</v>
      </c>
    </row>
    <row r="62" spans="1:35">
      <c r="A62" s="342">
        <v>154799</v>
      </c>
      <c r="B62" s="342" t="s">
        <v>1187</v>
      </c>
      <c r="C62" s="342" t="s">
        <v>422</v>
      </c>
      <c r="D62" s="342" t="s">
        <v>51</v>
      </c>
      <c r="E62" s="342" t="s">
        <v>591</v>
      </c>
      <c r="F62" s="342" t="s">
        <v>40</v>
      </c>
      <c r="G62" s="342" t="s">
        <v>5279</v>
      </c>
      <c r="H62" s="342" t="s">
        <v>1402</v>
      </c>
      <c r="I62" s="342" t="s">
        <v>4811</v>
      </c>
      <c r="J62" s="342" t="s">
        <v>2712</v>
      </c>
      <c r="K62" s="343">
        <v>44956</v>
      </c>
      <c r="L62" s="342" t="s">
        <v>2713</v>
      </c>
      <c r="X62" s="342" t="s">
        <v>1634</v>
      </c>
      <c r="AE62" s="342" t="s">
        <v>2628</v>
      </c>
      <c r="AI62" s="342" t="s">
        <v>1885</v>
      </c>
    </row>
    <row r="63" spans="1:35">
      <c r="A63" s="342">
        <v>154804</v>
      </c>
      <c r="B63" s="342" t="s">
        <v>1221</v>
      </c>
      <c r="C63" s="342" t="s">
        <v>1224</v>
      </c>
      <c r="D63" s="342" t="s">
        <v>51</v>
      </c>
      <c r="E63" s="342" t="s">
        <v>591</v>
      </c>
      <c r="F63" s="342" t="s">
        <v>40</v>
      </c>
      <c r="G63" s="342" t="s">
        <v>5279</v>
      </c>
      <c r="H63" s="342" t="s">
        <v>1402</v>
      </c>
      <c r="I63" s="342" t="s">
        <v>6017</v>
      </c>
      <c r="J63" s="342" t="s">
        <v>2714</v>
      </c>
      <c r="K63" s="343">
        <v>45504</v>
      </c>
      <c r="L63" s="342" t="s">
        <v>2715</v>
      </c>
      <c r="X63" s="342" t="s">
        <v>1635</v>
      </c>
      <c r="AG63" s="342" t="s">
        <v>2716</v>
      </c>
      <c r="AI63" s="342" t="s">
        <v>1904</v>
      </c>
    </row>
    <row r="64" spans="1:35">
      <c r="A64" s="342">
        <v>154822</v>
      </c>
      <c r="B64" s="342" t="s">
        <v>142</v>
      </c>
      <c r="C64" s="342" t="s">
        <v>145</v>
      </c>
      <c r="D64" s="342" t="s">
        <v>51</v>
      </c>
      <c r="E64" s="342" t="s">
        <v>591</v>
      </c>
      <c r="F64" s="342" t="s">
        <v>40</v>
      </c>
      <c r="G64" s="342" t="s">
        <v>5279</v>
      </c>
      <c r="H64" s="342" t="s">
        <v>1402</v>
      </c>
      <c r="I64" s="342" t="s">
        <v>6018</v>
      </c>
      <c r="J64" s="342" t="s">
        <v>2717</v>
      </c>
      <c r="K64" s="343">
        <v>45504</v>
      </c>
      <c r="L64" s="342" t="s">
        <v>2718</v>
      </c>
      <c r="P64" s="342" t="s">
        <v>2719</v>
      </c>
      <c r="Q64" s="343">
        <v>45291</v>
      </c>
      <c r="X64" s="342" t="s">
        <v>1636</v>
      </c>
    </row>
    <row r="65" spans="1:35">
      <c r="A65" s="342">
        <v>154827</v>
      </c>
      <c r="B65" s="342" t="s">
        <v>5251</v>
      </c>
      <c r="C65" s="342" t="s">
        <v>88</v>
      </c>
      <c r="D65" s="342" t="s">
        <v>55</v>
      </c>
      <c r="E65" s="342" t="s">
        <v>1194</v>
      </c>
      <c r="F65" s="342" t="s">
        <v>40</v>
      </c>
      <c r="G65" s="342" t="s">
        <v>5279</v>
      </c>
      <c r="AE65" s="342" t="s">
        <v>5263</v>
      </c>
      <c r="AI65" s="342" t="s">
        <v>5261</v>
      </c>
    </row>
    <row r="66" spans="1:35">
      <c r="A66" s="342">
        <v>155695</v>
      </c>
      <c r="B66" s="342" t="s">
        <v>604</v>
      </c>
      <c r="C66" s="342" t="s">
        <v>147</v>
      </c>
      <c r="D66" s="342" t="s">
        <v>51</v>
      </c>
      <c r="E66" s="342" t="s">
        <v>591</v>
      </c>
      <c r="F66" s="342" t="s">
        <v>40</v>
      </c>
      <c r="G66" s="342" t="s">
        <v>1421</v>
      </c>
      <c r="H66" s="342" t="s">
        <v>1402</v>
      </c>
      <c r="I66" s="342" t="s">
        <v>5605</v>
      </c>
      <c r="J66" s="342" t="s">
        <v>2720</v>
      </c>
      <c r="K66" s="343">
        <v>44774</v>
      </c>
      <c r="L66" s="342" t="s">
        <v>2721</v>
      </c>
      <c r="P66" s="342" t="s">
        <v>2722</v>
      </c>
      <c r="Q66" s="343">
        <v>45473</v>
      </c>
      <c r="X66" s="342" t="s">
        <v>1637</v>
      </c>
      <c r="AA66" s="342" t="s">
        <v>2721</v>
      </c>
      <c r="AI66" s="342" t="s">
        <v>1905</v>
      </c>
    </row>
    <row r="67" spans="1:35">
      <c r="A67" s="342">
        <v>155870</v>
      </c>
      <c r="B67" s="342" t="s">
        <v>148</v>
      </c>
      <c r="C67" s="342" t="s">
        <v>150</v>
      </c>
      <c r="D67" s="342" t="s">
        <v>55</v>
      </c>
      <c r="E67" s="342" t="s">
        <v>591</v>
      </c>
      <c r="F67" s="342" t="s">
        <v>40</v>
      </c>
      <c r="G67" s="342" t="s">
        <v>1277</v>
      </c>
      <c r="H67" s="342" t="s">
        <v>1402</v>
      </c>
      <c r="I67" s="342" t="s">
        <v>1490</v>
      </c>
      <c r="J67" s="342" t="s">
        <v>2723</v>
      </c>
      <c r="N67" s="342" t="s">
        <v>2724</v>
      </c>
      <c r="X67" s="342" t="s">
        <v>1638</v>
      </c>
      <c r="AE67" s="342" t="s">
        <v>2725</v>
      </c>
      <c r="AI67" s="342" t="s">
        <v>1906</v>
      </c>
    </row>
    <row r="68" spans="1:35">
      <c r="A68" s="342">
        <v>156442</v>
      </c>
      <c r="B68" s="342" t="s">
        <v>152</v>
      </c>
      <c r="C68" s="342" t="s">
        <v>154</v>
      </c>
      <c r="D68" s="342" t="s">
        <v>51</v>
      </c>
      <c r="E68" s="342" t="s">
        <v>591</v>
      </c>
      <c r="F68" s="342" t="s">
        <v>40</v>
      </c>
      <c r="G68" s="342" t="s">
        <v>5450</v>
      </c>
      <c r="H68" s="342" t="s">
        <v>1402</v>
      </c>
      <c r="I68" s="342" t="s">
        <v>5455</v>
      </c>
      <c r="J68" s="342" t="s">
        <v>2726</v>
      </c>
      <c r="K68" s="343">
        <v>44985</v>
      </c>
      <c r="L68" s="342" t="s">
        <v>2727</v>
      </c>
      <c r="P68" s="342" t="s">
        <v>5480</v>
      </c>
      <c r="Q68" s="343">
        <v>45291</v>
      </c>
      <c r="X68" s="342" t="s">
        <v>5471</v>
      </c>
      <c r="AG68" s="342" t="s">
        <v>2728</v>
      </c>
      <c r="AI68" s="342" t="s">
        <v>1907</v>
      </c>
    </row>
    <row r="69" spans="1:35">
      <c r="A69" s="342">
        <v>156721</v>
      </c>
      <c r="B69" s="342" t="s">
        <v>1468</v>
      </c>
      <c r="C69" s="342" t="s">
        <v>1174</v>
      </c>
      <c r="D69" s="342" t="s">
        <v>47</v>
      </c>
      <c r="E69" s="342" t="s">
        <v>591</v>
      </c>
      <c r="F69" s="342" t="s">
        <v>40</v>
      </c>
      <c r="G69" s="342" t="s">
        <v>5280</v>
      </c>
      <c r="H69" s="342" t="s">
        <v>5218</v>
      </c>
      <c r="I69" s="342" t="s">
        <v>5549</v>
      </c>
      <c r="J69" s="342" t="s">
        <v>2729</v>
      </c>
      <c r="L69" s="342" t="s">
        <v>2730</v>
      </c>
      <c r="M69" s="343">
        <v>44926</v>
      </c>
      <c r="N69" s="342" t="s">
        <v>2731</v>
      </c>
      <c r="P69" s="342" t="s">
        <v>2732</v>
      </c>
      <c r="Q69" s="343">
        <v>44926</v>
      </c>
      <c r="X69" s="342" t="s">
        <v>1639</v>
      </c>
      <c r="AA69" s="342" t="s">
        <v>2733</v>
      </c>
      <c r="AE69" s="342" t="s">
        <v>2733</v>
      </c>
      <c r="AI69" s="342" t="s">
        <v>1908</v>
      </c>
    </row>
    <row r="70" spans="1:35">
      <c r="A70" s="342">
        <v>157178</v>
      </c>
      <c r="B70" s="342" t="s">
        <v>5893</v>
      </c>
      <c r="C70" s="342" t="s">
        <v>155</v>
      </c>
      <c r="D70" s="342" t="s">
        <v>55</v>
      </c>
      <c r="E70" s="342" t="s">
        <v>591</v>
      </c>
      <c r="F70" s="342" t="s">
        <v>40</v>
      </c>
      <c r="G70" s="342" t="s">
        <v>5280</v>
      </c>
      <c r="H70" s="342" t="s">
        <v>1402</v>
      </c>
      <c r="I70" s="342" t="s">
        <v>5606</v>
      </c>
      <c r="J70" s="342" t="s">
        <v>2734</v>
      </c>
      <c r="L70" s="342" t="s">
        <v>2735</v>
      </c>
      <c r="M70" s="343">
        <v>45291</v>
      </c>
      <c r="N70" s="342" t="s">
        <v>2736</v>
      </c>
      <c r="P70" s="342" t="s">
        <v>2737</v>
      </c>
      <c r="Q70" s="343">
        <v>44926</v>
      </c>
      <c r="X70" s="342" t="s">
        <v>1640</v>
      </c>
      <c r="AE70" s="342" t="s">
        <v>2738</v>
      </c>
      <c r="AG70" s="342" t="s">
        <v>2739</v>
      </c>
      <c r="AI70" s="342" t="s">
        <v>1909</v>
      </c>
    </row>
    <row r="71" spans="1:35">
      <c r="A71" s="342">
        <v>157485</v>
      </c>
      <c r="B71" s="342" t="s">
        <v>156</v>
      </c>
      <c r="C71" s="342" t="s">
        <v>158</v>
      </c>
      <c r="D71" s="342" t="s">
        <v>55</v>
      </c>
      <c r="E71" s="342" t="s">
        <v>591</v>
      </c>
      <c r="F71" s="342" t="s">
        <v>40</v>
      </c>
      <c r="G71" s="342" t="s">
        <v>1421</v>
      </c>
      <c r="H71" s="342" t="s">
        <v>1402</v>
      </c>
      <c r="I71" s="342" t="s">
        <v>5125</v>
      </c>
      <c r="J71" s="342" t="s">
        <v>2740</v>
      </c>
      <c r="L71" s="342" t="s">
        <v>2741</v>
      </c>
      <c r="M71" s="343">
        <v>45291</v>
      </c>
      <c r="X71" s="342" t="s">
        <v>1641</v>
      </c>
      <c r="Y71" s="342" t="s">
        <v>2742</v>
      </c>
      <c r="AE71" s="342" t="s">
        <v>2743</v>
      </c>
      <c r="AI71" s="342" t="s">
        <v>1910</v>
      </c>
    </row>
    <row r="72" spans="1:35">
      <c r="A72" s="342">
        <v>159338</v>
      </c>
      <c r="B72" s="342" t="s">
        <v>160</v>
      </c>
      <c r="C72" s="342" t="s">
        <v>162</v>
      </c>
      <c r="D72" s="342" t="s">
        <v>163</v>
      </c>
      <c r="E72" s="342" t="s">
        <v>591</v>
      </c>
      <c r="F72" s="342" t="s">
        <v>40</v>
      </c>
      <c r="G72" s="342" t="s">
        <v>1288</v>
      </c>
      <c r="H72" s="342" t="s">
        <v>1233</v>
      </c>
      <c r="I72" s="342" t="s">
        <v>5415</v>
      </c>
      <c r="J72" s="342" t="s">
        <v>2744</v>
      </c>
      <c r="L72" s="342" t="s">
        <v>2745</v>
      </c>
      <c r="M72" s="343">
        <v>45412</v>
      </c>
      <c r="N72" s="342" t="s">
        <v>2746</v>
      </c>
      <c r="X72" s="342" t="s">
        <v>1642</v>
      </c>
      <c r="Y72" s="342" t="s">
        <v>2747</v>
      </c>
      <c r="AE72" s="342" t="s">
        <v>2748</v>
      </c>
      <c r="AI72" s="342" t="s">
        <v>1911</v>
      </c>
    </row>
    <row r="73" spans="1:35">
      <c r="A73" s="342">
        <v>159846</v>
      </c>
      <c r="B73" s="342" t="s">
        <v>1170</v>
      </c>
      <c r="C73" s="342" t="s">
        <v>166</v>
      </c>
      <c r="D73" s="342" t="s">
        <v>97</v>
      </c>
      <c r="E73" s="342" t="s">
        <v>591</v>
      </c>
      <c r="F73" s="342" t="s">
        <v>40</v>
      </c>
      <c r="G73" s="342" t="s">
        <v>1510</v>
      </c>
      <c r="H73" s="342" t="s">
        <v>1233</v>
      </c>
      <c r="I73" s="342" t="s">
        <v>4555</v>
      </c>
      <c r="J73" s="342" t="s">
        <v>2749</v>
      </c>
      <c r="L73" s="342" t="s">
        <v>2750</v>
      </c>
      <c r="M73" s="343">
        <v>44742</v>
      </c>
      <c r="N73" s="342" t="s">
        <v>2751</v>
      </c>
      <c r="O73" s="343">
        <v>45077</v>
      </c>
      <c r="X73" s="342" t="s">
        <v>1643</v>
      </c>
      <c r="Y73" s="342" t="s">
        <v>2752</v>
      </c>
      <c r="AE73" s="342" t="s">
        <v>2753</v>
      </c>
      <c r="AI73" s="342" t="s">
        <v>1912</v>
      </c>
    </row>
    <row r="74" spans="1:35">
      <c r="A74" s="342">
        <v>159850</v>
      </c>
      <c r="B74" s="342" t="s">
        <v>1436</v>
      </c>
      <c r="C74" s="342" t="s">
        <v>166</v>
      </c>
      <c r="D74" s="342" t="s">
        <v>97</v>
      </c>
      <c r="E74" s="342" t="s">
        <v>591</v>
      </c>
      <c r="F74" s="342" t="s">
        <v>40</v>
      </c>
      <c r="G74" s="342" t="s">
        <v>1510</v>
      </c>
      <c r="H74" s="342" t="s">
        <v>1233</v>
      </c>
      <c r="I74" s="342" t="s">
        <v>4263</v>
      </c>
      <c r="J74" s="342" t="s">
        <v>2754</v>
      </c>
      <c r="L74" s="342" t="s">
        <v>2755</v>
      </c>
      <c r="M74" s="343">
        <v>44865</v>
      </c>
      <c r="N74" s="342" t="s">
        <v>2756</v>
      </c>
      <c r="X74" s="342" t="s">
        <v>1644</v>
      </c>
      <c r="AE74" s="342" t="s">
        <v>2757</v>
      </c>
      <c r="AI74" s="342" t="s">
        <v>1913</v>
      </c>
    </row>
    <row r="75" spans="1:35">
      <c r="A75" s="342">
        <v>160225</v>
      </c>
      <c r="B75" s="342" t="s">
        <v>167</v>
      </c>
      <c r="C75" s="342" t="s">
        <v>170</v>
      </c>
      <c r="D75" s="342" t="s">
        <v>45</v>
      </c>
      <c r="E75" s="342" t="s">
        <v>591</v>
      </c>
      <c r="F75" s="342" t="s">
        <v>40</v>
      </c>
      <c r="G75" s="342" t="s">
        <v>5279</v>
      </c>
      <c r="H75" s="342" t="s">
        <v>1402</v>
      </c>
      <c r="I75" s="342" t="s">
        <v>5980</v>
      </c>
      <c r="J75" s="342" t="s">
        <v>2758</v>
      </c>
      <c r="L75" s="342" t="s">
        <v>2759</v>
      </c>
      <c r="M75" s="343">
        <v>45291</v>
      </c>
      <c r="N75" s="342" t="s">
        <v>2760</v>
      </c>
      <c r="P75" s="342" t="s">
        <v>2761</v>
      </c>
      <c r="Q75" s="343">
        <v>44926</v>
      </c>
      <c r="X75" s="342" t="s">
        <v>1645</v>
      </c>
      <c r="AE75" s="342" t="s">
        <v>2762</v>
      </c>
      <c r="AI75" s="342" t="s">
        <v>1914</v>
      </c>
    </row>
    <row r="76" spans="1:35">
      <c r="A76" s="342">
        <v>160759</v>
      </c>
      <c r="B76" s="342" t="s">
        <v>171</v>
      </c>
      <c r="C76" s="342" t="s">
        <v>173</v>
      </c>
      <c r="D76" s="342" t="s">
        <v>51</v>
      </c>
      <c r="E76" s="342" t="s">
        <v>591</v>
      </c>
      <c r="F76" s="342" t="s">
        <v>40</v>
      </c>
      <c r="G76" s="342" t="s">
        <v>786</v>
      </c>
      <c r="H76" s="342" t="s">
        <v>1402</v>
      </c>
      <c r="I76" s="342" t="s">
        <v>5456</v>
      </c>
      <c r="J76" s="342" t="s">
        <v>2763</v>
      </c>
      <c r="K76" s="343">
        <v>45535</v>
      </c>
      <c r="L76" s="342" t="s">
        <v>2764</v>
      </c>
      <c r="P76" s="342" t="s">
        <v>2765</v>
      </c>
      <c r="Q76" s="343">
        <v>45291</v>
      </c>
      <c r="X76" s="342" t="s">
        <v>1646</v>
      </c>
    </row>
    <row r="77" spans="1:35">
      <c r="A77" s="342">
        <v>161192</v>
      </c>
      <c r="B77" s="342" t="s">
        <v>726</v>
      </c>
      <c r="C77" s="342" t="s">
        <v>729</v>
      </c>
      <c r="D77" s="342" t="s">
        <v>51</v>
      </c>
      <c r="E77" s="342" t="s">
        <v>591</v>
      </c>
      <c r="F77" s="342" t="s">
        <v>40</v>
      </c>
      <c r="G77" s="342" t="s">
        <v>1277</v>
      </c>
      <c r="H77" s="342" t="s">
        <v>1402</v>
      </c>
      <c r="I77" s="342" t="s">
        <v>4345</v>
      </c>
      <c r="J77" s="342" t="s">
        <v>2766</v>
      </c>
      <c r="K77" s="343">
        <v>44958</v>
      </c>
      <c r="L77" s="342" t="s">
        <v>2767</v>
      </c>
      <c r="X77" s="342" t="s">
        <v>1647</v>
      </c>
    </row>
    <row r="78" spans="1:35">
      <c r="A78" s="342">
        <v>161320</v>
      </c>
      <c r="B78" s="342" t="s">
        <v>829</v>
      </c>
      <c r="C78" s="342" t="s">
        <v>174</v>
      </c>
      <c r="D78" s="342" t="s">
        <v>175</v>
      </c>
      <c r="E78" s="342" t="s">
        <v>591</v>
      </c>
      <c r="F78" s="342" t="s">
        <v>41</v>
      </c>
      <c r="G78" s="342" t="s">
        <v>786</v>
      </c>
      <c r="H78" s="342" t="s">
        <v>1402</v>
      </c>
      <c r="I78" s="342" t="s">
        <v>6019</v>
      </c>
      <c r="J78" s="342" t="s">
        <v>2768</v>
      </c>
      <c r="L78" s="342" t="s">
        <v>2769</v>
      </c>
      <c r="M78" s="343">
        <v>45199</v>
      </c>
      <c r="P78" s="342" t="s">
        <v>2770</v>
      </c>
      <c r="R78" s="342" t="s">
        <v>2771</v>
      </c>
      <c r="S78" s="343">
        <v>45107</v>
      </c>
      <c r="T78" s="342" t="s">
        <v>2772</v>
      </c>
      <c r="X78" s="342" t="s">
        <v>1648</v>
      </c>
    </row>
    <row r="79" spans="1:35">
      <c r="A79" s="342">
        <v>163288</v>
      </c>
      <c r="B79" s="342" t="s">
        <v>176</v>
      </c>
      <c r="C79" s="342" t="s">
        <v>178</v>
      </c>
      <c r="D79" s="342" t="s">
        <v>47</v>
      </c>
      <c r="E79" s="342" t="s">
        <v>591</v>
      </c>
      <c r="F79" s="342" t="s">
        <v>40</v>
      </c>
      <c r="G79" s="342" t="s">
        <v>5282</v>
      </c>
      <c r="H79" s="342" t="s">
        <v>1233</v>
      </c>
      <c r="I79" s="342" t="s">
        <v>5550</v>
      </c>
      <c r="J79" s="342" t="s">
        <v>2773</v>
      </c>
      <c r="L79" s="342" t="s">
        <v>2774</v>
      </c>
      <c r="M79" s="343">
        <v>45412</v>
      </c>
      <c r="N79" s="342" t="s">
        <v>2775</v>
      </c>
      <c r="P79" s="342" t="s">
        <v>2776</v>
      </c>
      <c r="Q79" s="343">
        <v>44926</v>
      </c>
      <c r="X79" s="342" t="s">
        <v>1649</v>
      </c>
      <c r="AE79" s="342" t="s">
        <v>2777</v>
      </c>
      <c r="AI79" s="342" t="s">
        <v>1915</v>
      </c>
    </row>
    <row r="80" spans="1:35">
      <c r="A80" s="342">
        <v>163308</v>
      </c>
      <c r="B80" s="342" t="s">
        <v>179</v>
      </c>
      <c r="C80" s="342" t="s">
        <v>181</v>
      </c>
      <c r="D80" s="342" t="s">
        <v>47</v>
      </c>
      <c r="E80" s="342" t="s">
        <v>591</v>
      </c>
      <c r="F80" s="342" t="s">
        <v>40</v>
      </c>
      <c r="G80" s="342" t="s">
        <v>5282</v>
      </c>
      <c r="H80" s="342" t="s">
        <v>1233</v>
      </c>
      <c r="I80" s="342" t="s">
        <v>5416</v>
      </c>
      <c r="J80" s="342" t="s">
        <v>2773</v>
      </c>
      <c r="L80" s="342" t="s">
        <v>2774</v>
      </c>
      <c r="M80" s="343">
        <v>45412</v>
      </c>
      <c r="N80" s="342" t="s">
        <v>2775</v>
      </c>
      <c r="P80" s="342" t="s">
        <v>2776</v>
      </c>
      <c r="Q80" s="343">
        <v>45107</v>
      </c>
      <c r="X80" s="342" t="s">
        <v>1649</v>
      </c>
      <c r="AE80" s="342" t="s">
        <v>2778</v>
      </c>
      <c r="AI80" s="342" t="s">
        <v>1916</v>
      </c>
    </row>
    <row r="81" spans="1:35">
      <c r="A81" s="342">
        <v>163325</v>
      </c>
      <c r="B81" s="342" t="s">
        <v>1374</v>
      </c>
      <c r="C81" s="342" t="s">
        <v>183</v>
      </c>
      <c r="D81" s="342" t="s">
        <v>55</v>
      </c>
      <c r="E81" s="342" t="s">
        <v>591</v>
      </c>
      <c r="F81" s="342" t="s">
        <v>40</v>
      </c>
      <c r="G81" s="342" t="s">
        <v>5282</v>
      </c>
      <c r="H81" s="342" t="s">
        <v>1402</v>
      </c>
      <c r="I81" s="342" t="s">
        <v>5203</v>
      </c>
      <c r="J81" s="342" t="s">
        <v>2779</v>
      </c>
      <c r="L81" s="342" t="s">
        <v>2780</v>
      </c>
      <c r="M81" s="343">
        <v>45351</v>
      </c>
      <c r="N81" s="342" t="s">
        <v>2781</v>
      </c>
      <c r="X81" s="342" t="s">
        <v>1650</v>
      </c>
      <c r="AE81" s="342" t="s">
        <v>2782</v>
      </c>
      <c r="AI81" s="342" t="s">
        <v>1917</v>
      </c>
    </row>
    <row r="82" spans="1:35">
      <c r="A82" s="342">
        <v>164991</v>
      </c>
      <c r="B82" s="342" t="s">
        <v>698</v>
      </c>
      <c r="C82" s="342" t="s">
        <v>606</v>
      </c>
      <c r="D82" s="342" t="s">
        <v>97</v>
      </c>
      <c r="E82" s="342" t="s">
        <v>591</v>
      </c>
      <c r="F82" s="342" t="s">
        <v>40</v>
      </c>
      <c r="G82" s="342" t="s">
        <v>5282</v>
      </c>
      <c r="H82" s="342" t="s">
        <v>1402</v>
      </c>
      <c r="I82" s="342" t="s">
        <v>5607</v>
      </c>
      <c r="J82" s="342" t="s">
        <v>2783</v>
      </c>
      <c r="L82" s="342" t="s">
        <v>2784</v>
      </c>
      <c r="M82" s="343">
        <v>45230</v>
      </c>
      <c r="N82" s="342" t="s">
        <v>2785</v>
      </c>
      <c r="P82" s="342" t="s">
        <v>2786</v>
      </c>
      <c r="Q82" s="343">
        <v>45291</v>
      </c>
      <c r="X82" s="342" t="s">
        <v>1651</v>
      </c>
    </row>
    <row r="83" spans="1:35">
      <c r="A83" s="342">
        <v>164994</v>
      </c>
      <c r="B83" s="342" t="s">
        <v>184</v>
      </c>
      <c r="C83" s="342" t="s">
        <v>189</v>
      </c>
      <c r="D83" s="342" t="s">
        <v>51</v>
      </c>
      <c r="E83" s="342" t="s">
        <v>591</v>
      </c>
      <c r="F83" s="342" t="s">
        <v>40</v>
      </c>
      <c r="G83" s="342" t="s">
        <v>5282</v>
      </c>
      <c r="H83" s="342" t="s">
        <v>1402</v>
      </c>
      <c r="I83" s="342" t="s">
        <v>6020</v>
      </c>
      <c r="J83" s="342" t="s">
        <v>2787</v>
      </c>
      <c r="K83" s="343">
        <v>45504</v>
      </c>
      <c r="L83" s="342" t="s">
        <v>2788</v>
      </c>
      <c r="P83" s="342" t="s">
        <v>2789</v>
      </c>
      <c r="Q83" s="343">
        <v>44926</v>
      </c>
      <c r="X83" s="342" t="s">
        <v>1652</v>
      </c>
      <c r="AA83" s="342" t="s">
        <v>2790</v>
      </c>
      <c r="AI83" s="342" t="s">
        <v>1918</v>
      </c>
    </row>
    <row r="84" spans="1:35">
      <c r="A84" s="342">
        <v>164995</v>
      </c>
      <c r="B84" s="342" t="s">
        <v>184</v>
      </c>
      <c r="C84" s="342" t="s">
        <v>192</v>
      </c>
      <c r="D84" s="342" t="s">
        <v>51</v>
      </c>
      <c r="E84" s="342" t="s">
        <v>591</v>
      </c>
      <c r="F84" s="342" t="s">
        <v>40</v>
      </c>
      <c r="G84" s="342" t="s">
        <v>5282</v>
      </c>
      <c r="H84" s="342" t="s">
        <v>1402</v>
      </c>
      <c r="I84" s="342" t="s">
        <v>6021</v>
      </c>
      <c r="J84" s="342" t="s">
        <v>2791</v>
      </c>
      <c r="K84" s="343">
        <v>45504</v>
      </c>
      <c r="L84" s="342" t="s">
        <v>2792</v>
      </c>
      <c r="P84" s="342" t="s">
        <v>2793</v>
      </c>
      <c r="Q84" s="343">
        <v>44926</v>
      </c>
      <c r="X84" s="342" t="s">
        <v>1653</v>
      </c>
    </row>
    <row r="85" spans="1:35">
      <c r="A85" s="342">
        <v>164998</v>
      </c>
      <c r="B85" s="342" t="s">
        <v>193</v>
      </c>
      <c r="C85" s="342" t="s">
        <v>195</v>
      </c>
      <c r="D85" s="342" t="s">
        <v>51</v>
      </c>
      <c r="E85" s="342" t="s">
        <v>591</v>
      </c>
      <c r="F85" s="342" t="s">
        <v>40</v>
      </c>
      <c r="G85" s="342" t="s">
        <v>5282</v>
      </c>
      <c r="H85" s="342" t="s">
        <v>1402</v>
      </c>
      <c r="I85" s="342" t="s">
        <v>6022</v>
      </c>
      <c r="J85" s="342" t="s">
        <v>2794</v>
      </c>
      <c r="K85" s="343">
        <v>45504</v>
      </c>
      <c r="L85" s="342" t="s">
        <v>2795</v>
      </c>
      <c r="P85" s="342" t="s">
        <v>2796</v>
      </c>
      <c r="Q85" s="343">
        <v>44926</v>
      </c>
      <c r="X85" s="342" t="s">
        <v>1654</v>
      </c>
    </row>
    <row r="86" spans="1:35">
      <c r="A86" s="342">
        <v>166186</v>
      </c>
      <c r="B86" s="342" t="s">
        <v>4824</v>
      </c>
      <c r="C86" s="342" t="s">
        <v>4826</v>
      </c>
      <c r="D86" s="342" t="s">
        <v>47</v>
      </c>
      <c r="E86" s="342" t="s">
        <v>591</v>
      </c>
      <c r="F86" s="342" t="s">
        <v>42</v>
      </c>
      <c r="G86" s="342" t="s">
        <v>1421</v>
      </c>
      <c r="H86" s="342" t="s">
        <v>5218</v>
      </c>
      <c r="I86" s="342" t="s">
        <v>4830</v>
      </c>
      <c r="J86" s="342" t="s">
        <v>4841</v>
      </c>
      <c r="X86" s="342" t="s">
        <v>4840</v>
      </c>
    </row>
    <row r="87" spans="1:35">
      <c r="A87" s="342">
        <v>167569</v>
      </c>
      <c r="B87" s="342" t="s">
        <v>196</v>
      </c>
      <c r="C87" s="342" t="s">
        <v>198</v>
      </c>
      <c r="D87" s="342" t="s">
        <v>55</v>
      </c>
      <c r="E87" s="342" t="s">
        <v>591</v>
      </c>
      <c r="F87" s="342" t="s">
        <v>40</v>
      </c>
      <c r="G87" s="342" t="s">
        <v>5283</v>
      </c>
      <c r="H87" s="342" t="s">
        <v>1402</v>
      </c>
      <c r="I87" s="342" t="s">
        <v>1314</v>
      </c>
      <c r="J87" s="342" t="s">
        <v>2797</v>
      </c>
      <c r="X87" s="342" t="s">
        <v>1655</v>
      </c>
      <c r="AE87" s="342" t="s">
        <v>2798</v>
      </c>
      <c r="AI87" s="342" t="s">
        <v>1919</v>
      </c>
    </row>
    <row r="88" spans="1:35">
      <c r="A88" s="342">
        <v>167659</v>
      </c>
      <c r="B88" s="342" t="s">
        <v>199</v>
      </c>
      <c r="C88" s="342" t="s">
        <v>201</v>
      </c>
      <c r="D88" s="342" t="s">
        <v>51</v>
      </c>
      <c r="E88" s="342" t="s">
        <v>591</v>
      </c>
      <c r="F88" s="342" t="s">
        <v>40</v>
      </c>
      <c r="G88" s="342" t="s">
        <v>5450</v>
      </c>
      <c r="H88" s="342" t="s">
        <v>1233</v>
      </c>
      <c r="I88" s="342" t="s">
        <v>6023</v>
      </c>
      <c r="J88" s="342" t="s">
        <v>2799</v>
      </c>
      <c r="K88" s="343">
        <v>45504</v>
      </c>
      <c r="L88" s="342" t="s">
        <v>2800</v>
      </c>
      <c r="P88" s="342" t="s">
        <v>2801</v>
      </c>
      <c r="Q88" s="343">
        <v>45291</v>
      </c>
      <c r="X88" s="342" t="s">
        <v>1656</v>
      </c>
      <c r="AE88" s="342" t="s">
        <v>2802</v>
      </c>
      <c r="AI88" s="342" t="s">
        <v>1920</v>
      </c>
    </row>
    <row r="89" spans="1:35">
      <c r="A89" s="342">
        <v>167661</v>
      </c>
      <c r="B89" s="342" t="s">
        <v>645</v>
      </c>
      <c r="C89" s="342" t="s">
        <v>203</v>
      </c>
      <c r="D89" s="342" t="s">
        <v>55</v>
      </c>
      <c r="E89" s="342" t="s">
        <v>591</v>
      </c>
      <c r="F89" s="342" t="s">
        <v>40</v>
      </c>
      <c r="G89" s="342" t="s">
        <v>5450</v>
      </c>
      <c r="H89" s="342" t="s">
        <v>1233</v>
      </c>
      <c r="I89" s="342" t="s">
        <v>4232</v>
      </c>
      <c r="J89" s="342" t="s">
        <v>2803</v>
      </c>
      <c r="L89" s="342" t="s">
        <v>2804</v>
      </c>
      <c r="M89" s="343">
        <v>44957</v>
      </c>
      <c r="N89" s="342" t="s">
        <v>2805</v>
      </c>
      <c r="X89" s="342" t="s">
        <v>1657</v>
      </c>
      <c r="AG89" s="342" t="s">
        <v>2628</v>
      </c>
      <c r="AI89" s="342" t="s">
        <v>1921</v>
      </c>
    </row>
    <row r="90" spans="1:35">
      <c r="A90" s="342">
        <v>167686</v>
      </c>
      <c r="B90" s="342" t="s">
        <v>651</v>
      </c>
      <c r="C90" s="342" t="s">
        <v>206</v>
      </c>
      <c r="D90" s="342" t="s">
        <v>107</v>
      </c>
      <c r="E90" s="342" t="s">
        <v>591</v>
      </c>
      <c r="F90" s="342" t="s">
        <v>40</v>
      </c>
      <c r="G90" s="342" t="s">
        <v>5450</v>
      </c>
      <c r="H90" s="342" t="s">
        <v>1233</v>
      </c>
      <c r="I90" s="342" t="s">
        <v>5210</v>
      </c>
      <c r="J90" s="342" t="s">
        <v>2806</v>
      </c>
      <c r="N90" s="342" t="s">
        <v>2807</v>
      </c>
      <c r="P90" s="342" t="s">
        <v>2808</v>
      </c>
      <c r="Q90" s="343">
        <v>45291</v>
      </c>
      <c r="R90" s="342" t="s">
        <v>2809</v>
      </c>
      <c r="T90" s="342" t="s">
        <v>2809</v>
      </c>
      <c r="X90" s="342" t="s">
        <v>1658</v>
      </c>
    </row>
    <row r="91" spans="1:35">
      <c r="A91" s="342">
        <v>167687</v>
      </c>
      <c r="B91" s="342" t="s">
        <v>207</v>
      </c>
      <c r="C91" s="342" t="s">
        <v>210</v>
      </c>
      <c r="D91" s="342" t="s">
        <v>45</v>
      </c>
      <c r="E91" s="342" t="s">
        <v>591</v>
      </c>
      <c r="F91" s="342" t="s">
        <v>40</v>
      </c>
      <c r="G91" s="342" t="s">
        <v>5450</v>
      </c>
      <c r="H91" s="342" t="s">
        <v>1233</v>
      </c>
      <c r="I91" s="342" t="s">
        <v>4592</v>
      </c>
      <c r="J91" s="342" t="s">
        <v>2810</v>
      </c>
      <c r="L91" s="342" t="s">
        <v>2811</v>
      </c>
      <c r="M91" s="343">
        <v>44742</v>
      </c>
      <c r="N91" s="342" t="s">
        <v>2812</v>
      </c>
      <c r="X91" s="342" t="s">
        <v>1659</v>
      </c>
    </row>
    <row r="92" spans="1:35">
      <c r="A92" s="342">
        <v>167696</v>
      </c>
      <c r="B92" s="342" t="s">
        <v>705</v>
      </c>
      <c r="C92" s="342" t="s">
        <v>195</v>
      </c>
      <c r="D92" s="342" t="s">
        <v>51</v>
      </c>
      <c r="E92" s="342" t="s">
        <v>591</v>
      </c>
      <c r="F92" s="342" t="s">
        <v>40</v>
      </c>
      <c r="G92" s="342" t="s">
        <v>5281</v>
      </c>
      <c r="H92" s="342" t="s">
        <v>1233</v>
      </c>
      <c r="I92" s="342" t="s">
        <v>6024</v>
      </c>
      <c r="J92" s="342" t="s">
        <v>2817</v>
      </c>
      <c r="K92" s="343">
        <v>45504</v>
      </c>
      <c r="L92" s="342" t="s">
        <v>2818</v>
      </c>
      <c r="P92" s="342" t="s">
        <v>4626</v>
      </c>
      <c r="Q92" s="343">
        <v>44926</v>
      </c>
      <c r="X92" s="342" t="s">
        <v>4625</v>
      </c>
      <c r="AG92" s="342" t="s">
        <v>2816</v>
      </c>
      <c r="AI92" s="342" t="s">
        <v>1922</v>
      </c>
    </row>
    <row r="93" spans="1:35">
      <c r="A93" s="342">
        <v>167700</v>
      </c>
      <c r="B93" s="342" t="s">
        <v>211</v>
      </c>
      <c r="C93" s="342" t="s">
        <v>632</v>
      </c>
      <c r="D93" s="342" t="s">
        <v>51</v>
      </c>
      <c r="E93" s="342" t="s">
        <v>591</v>
      </c>
      <c r="F93" s="342" t="s">
        <v>40</v>
      </c>
      <c r="G93" s="342" t="s">
        <v>5450</v>
      </c>
      <c r="H93" s="342" t="s">
        <v>1233</v>
      </c>
      <c r="I93" s="342" t="s">
        <v>5672</v>
      </c>
      <c r="J93" s="342" t="s">
        <v>2819</v>
      </c>
      <c r="K93" s="343">
        <v>44957</v>
      </c>
      <c r="L93" s="342" t="s">
        <v>2820</v>
      </c>
      <c r="P93" s="342" t="s">
        <v>2821</v>
      </c>
      <c r="Q93" s="343">
        <v>44926</v>
      </c>
      <c r="X93" s="342" t="s">
        <v>1661</v>
      </c>
      <c r="AA93" s="342" t="s">
        <v>2698</v>
      </c>
      <c r="AI93" s="342" t="s">
        <v>1923</v>
      </c>
    </row>
    <row r="94" spans="1:35">
      <c r="A94" s="342">
        <v>167703</v>
      </c>
      <c r="B94" s="342" t="s">
        <v>211</v>
      </c>
      <c r="C94" s="342" t="s">
        <v>213</v>
      </c>
      <c r="D94" s="342" t="s">
        <v>51</v>
      </c>
      <c r="E94" s="342" t="s">
        <v>591</v>
      </c>
      <c r="F94" s="342" t="s">
        <v>40</v>
      </c>
      <c r="G94" s="342" t="s">
        <v>5281</v>
      </c>
      <c r="H94" s="342" t="s">
        <v>1233</v>
      </c>
      <c r="I94" s="342" t="s">
        <v>1491</v>
      </c>
      <c r="J94" s="342" t="s">
        <v>2822</v>
      </c>
      <c r="K94" s="343">
        <v>44774</v>
      </c>
      <c r="L94" s="342" t="s">
        <v>2823</v>
      </c>
      <c r="X94" s="342" t="s">
        <v>1662</v>
      </c>
      <c r="AA94" s="342" t="s">
        <v>2824</v>
      </c>
      <c r="AI94" s="342" t="s">
        <v>1924</v>
      </c>
    </row>
    <row r="95" spans="1:35">
      <c r="A95" s="342">
        <v>167710</v>
      </c>
      <c r="B95" s="342" t="s">
        <v>214</v>
      </c>
      <c r="C95" s="342" t="s">
        <v>217</v>
      </c>
      <c r="D95" s="342" t="s">
        <v>51</v>
      </c>
      <c r="E95" s="342" t="s">
        <v>591</v>
      </c>
      <c r="F95" s="342" t="s">
        <v>40</v>
      </c>
      <c r="G95" s="342" t="s">
        <v>5450</v>
      </c>
      <c r="H95" s="342" t="s">
        <v>1233</v>
      </c>
      <c r="I95" s="342" t="s">
        <v>4977</v>
      </c>
      <c r="J95" s="342" t="s">
        <v>2825</v>
      </c>
      <c r="K95" s="343">
        <v>45138</v>
      </c>
      <c r="L95" s="342" t="s">
        <v>2826</v>
      </c>
      <c r="P95" s="342" t="s">
        <v>2827</v>
      </c>
      <c r="Q95" s="343">
        <v>45291</v>
      </c>
      <c r="X95" s="342" t="s">
        <v>1663</v>
      </c>
      <c r="AG95" s="342" t="s">
        <v>2816</v>
      </c>
      <c r="AI95" s="342" t="s">
        <v>1922</v>
      </c>
    </row>
    <row r="96" spans="1:35">
      <c r="A96" s="342">
        <v>167750</v>
      </c>
      <c r="B96" s="342" t="s">
        <v>1225</v>
      </c>
      <c r="C96" s="342" t="s">
        <v>195</v>
      </c>
      <c r="D96" s="342" t="s">
        <v>51</v>
      </c>
      <c r="E96" s="342" t="s">
        <v>591</v>
      </c>
      <c r="F96" s="342" t="s">
        <v>40</v>
      </c>
      <c r="G96" s="342" t="s">
        <v>5281</v>
      </c>
      <c r="H96" s="342" t="s">
        <v>1233</v>
      </c>
      <c r="I96" s="342" t="s">
        <v>4279</v>
      </c>
      <c r="J96" s="342" t="s">
        <v>2822</v>
      </c>
      <c r="K96" s="343">
        <v>44774</v>
      </c>
      <c r="L96" s="342" t="s">
        <v>2823</v>
      </c>
      <c r="P96" s="342" t="s">
        <v>2828</v>
      </c>
      <c r="Q96" s="343">
        <v>44926</v>
      </c>
      <c r="X96" s="342" t="s">
        <v>1664</v>
      </c>
    </row>
    <row r="97" spans="1:35">
      <c r="A97" s="342">
        <v>167783</v>
      </c>
      <c r="B97" s="342" t="s">
        <v>219</v>
      </c>
      <c r="C97" s="342" t="s">
        <v>222</v>
      </c>
      <c r="D97" s="342" t="s">
        <v>51</v>
      </c>
      <c r="E97" s="342" t="s">
        <v>591</v>
      </c>
      <c r="F97" s="342" t="s">
        <v>40</v>
      </c>
      <c r="G97" s="342" t="s">
        <v>5281</v>
      </c>
      <c r="H97" s="342" t="s">
        <v>1233</v>
      </c>
      <c r="I97" s="342" t="s">
        <v>4280</v>
      </c>
      <c r="J97" s="342" t="s">
        <v>2829</v>
      </c>
      <c r="K97" s="343">
        <v>44774</v>
      </c>
      <c r="L97" s="342" t="s">
        <v>2830</v>
      </c>
      <c r="X97" s="342" t="s">
        <v>1665</v>
      </c>
      <c r="AA97" s="342" t="s">
        <v>2698</v>
      </c>
      <c r="AI97" s="342" t="s">
        <v>1923</v>
      </c>
    </row>
    <row r="98" spans="1:35">
      <c r="A98" s="342">
        <v>168509</v>
      </c>
      <c r="B98" s="342" t="s">
        <v>223</v>
      </c>
      <c r="C98" s="342" t="s">
        <v>226</v>
      </c>
      <c r="D98" s="342" t="s">
        <v>45</v>
      </c>
      <c r="E98" s="342" t="s">
        <v>591</v>
      </c>
      <c r="F98" s="342" t="s">
        <v>40</v>
      </c>
      <c r="G98" s="342" t="s">
        <v>5282</v>
      </c>
      <c r="H98" s="342" t="s">
        <v>1233</v>
      </c>
      <c r="I98" s="342" t="s">
        <v>5673</v>
      </c>
      <c r="J98" s="342" t="s">
        <v>2831</v>
      </c>
      <c r="L98" s="342" t="s">
        <v>2832</v>
      </c>
      <c r="M98" s="343">
        <v>45322</v>
      </c>
      <c r="N98" s="342" t="s">
        <v>2833</v>
      </c>
      <c r="P98" s="342" t="s">
        <v>2834</v>
      </c>
      <c r="Q98" s="343">
        <v>44926</v>
      </c>
      <c r="X98" s="342" t="s">
        <v>1666</v>
      </c>
      <c r="AE98" s="342" t="s">
        <v>2835</v>
      </c>
      <c r="AI98" s="342" t="s">
        <v>1925</v>
      </c>
    </row>
    <row r="99" spans="1:35">
      <c r="A99" s="342">
        <v>168942</v>
      </c>
      <c r="B99" s="342" t="s">
        <v>1251</v>
      </c>
      <c r="C99" s="342" t="s">
        <v>478</v>
      </c>
      <c r="D99" s="342" t="s">
        <v>47</v>
      </c>
      <c r="E99" s="342" t="s">
        <v>591</v>
      </c>
      <c r="F99" s="342" t="s">
        <v>40</v>
      </c>
      <c r="G99" s="342" t="s">
        <v>5280</v>
      </c>
      <c r="H99" s="342" t="s">
        <v>1233</v>
      </c>
      <c r="I99" s="342" t="s">
        <v>5608</v>
      </c>
      <c r="J99" s="342" t="s">
        <v>2836</v>
      </c>
      <c r="L99" s="342" t="s">
        <v>2837</v>
      </c>
      <c r="M99" s="343">
        <v>45473</v>
      </c>
      <c r="N99" s="342" t="s">
        <v>2838</v>
      </c>
      <c r="P99" s="342" t="s">
        <v>2839</v>
      </c>
      <c r="Q99" s="343">
        <v>44926</v>
      </c>
      <c r="X99" s="342" t="s">
        <v>1667</v>
      </c>
    </row>
    <row r="100" spans="1:35">
      <c r="A100" s="342">
        <v>169995</v>
      </c>
      <c r="B100" s="342" t="s">
        <v>5412</v>
      </c>
      <c r="C100" s="342" t="s">
        <v>228</v>
      </c>
      <c r="D100" s="342" t="s">
        <v>47</v>
      </c>
      <c r="E100" s="342" t="s">
        <v>591</v>
      </c>
      <c r="F100" s="342" t="s">
        <v>40</v>
      </c>
      <c r="G100" s="342" t="s">
        <v>5449</v>
      </c>
      <c r="H100" s="342" t="s">
        <v>1402</v>
      </c>
      <c r="I100" s="342" t="s">
        <v>6025</v>
      </c>
      <c r="J100" s="342" t="s">
        <v>5479</v>
      </c>
      <c r="L100" s="342" t="s">
        <v>6071</v>
      </c>
      <c r="M100" s="343">
        <v>45107</v>
      </c>
      <c r="N100" s="342" t="s">
        <v>2840</v>
      </c>
      <c r="O100" s="343">
        <v>72686</v>
      </c>
      <c r="P100" s="342" t="s">
        <v>2841</v>
      </c>
      <c r="Q100" s="343">
        <v>44742</v>
      </c>
      <c r="X100" s="342" t="s">
        <v>6069</v>
      </c>
      <c r="AE100" s="342" t="s">
        <v>2580</v>
      </c>
      <c r="AI100" s="342" t="s">
        <v>1875</v>
      </c>
    </row>
    <row r="101" spans="1:35">
      <c r="A101" s="342">
        <v>170121</v>
      </c>
      <c r="B101" s="342" t="s">
        <v>229</v>
      </c>
      <c r="C101" s="342" t="s">
        <v>231</v>
      </c>
      <c r="D101" s="342" t="s">
        <v>47</v>
      </c>
      <c r="E101" s="342" t="s">
        <v>591</v>
      </c>
      <c r="F101" s="342" t="s">
        <v>40</v>
      </c>
      <c r="G101" s="342" t="s">
        <v>1277</v>
      </c>
      <c r="H101" s="342" t="s">
        <v>1402</v>
      </c>
      <c r="I101" s="342" t="s">
        <v>1501</v>
      </c>
      <c r="J101" s="342" t="s">
        <v>2842</v>
      </c>
      <c r="L101" s="342" t="s">
        <v>2843</v>
      </c>
      <c r="M101" s="343">
        <v>44773</v>
      </c>
      <c r="X101" s="342" t="s">
        <v>1668</v>
      </c>
      <c r="AE101" s="342" t="s">
        <v>2844</v>
      </c>
      <c r="AI101" s="342" t="s">
        <v>1926</v>
      </c>
    </row>
    <row r="102" spans="1:35">
      <c r="A102" s="342">
        <v>171379</v>
      </c>
      <c r="B102" s="342" t="s">
        <v>772</v>
      </c>
      <c r="C102" s="342" t="s">
        <v>775</v>
      </c>
      <c r="D102" s="342" t="s">
        <v>45</v>
      </c>
      <c r="E102" s="342" t="s">
        <v>591</v>
      </c>
      <c r="F102" s="342" t="s">
        <v>40</v>
      </c>
      <c r="G102" s="342" t="s">
        <v>5280</v>
      </c>
      <c r="H102" s="342" t="s">
        <v>1402</v>
      </c>
      <c r="I102" s="342" t="s">
        <v>5345</v>
      </c>
      <c r="J102" s="342" t="s">
        <v>2845</v>
      </c>
      <c r="L102" s="342" t="s">
        <v>2846</v>
      </c>
      <c r="M102" s="343">
        <v>45382</v>
      </c>
      <c r="N102" s="342" t="s">
        <v>2847</v>
      </c>
      <c r="X102" s="342" t="s">
        <v>1669</v>
      </c>
      <c r="AE102" s="342" t="s">
        <v>2848</v>
      </c>
      <c r="AI102" s="342" t="s">
        <v>1927</v>
      </c>
    </row>
    <row r="103" spans="1:35">
      <c r="A103" s="342">
        <v>171380</v>
      </c>
      <c r="B103" s="342" t="s">
        <v>1439</v>
      </c>
      <c r="C103" s="342" t="s">
        <v>232</v>
      </c>
      <c r="D103" s="342" t="s">
        <v>47</v>
      </c>
      <c r="E103" s="342" t="s">
        <v>591</v>
      </c>
      <c r="F103" s="342" t="s">
        <v>40</v>
      </c>
      <c r="G103" s="342" t="s">
        <v>5449</v>
      </c>
      <c r="H103" s="342" t="s">
        <v>1402</v>
      </c>
      <c r="I103" s="342" t="s">
        <v>6026</v>
      </c>
      <c r="J103" s="342" t="s">
        <v>5479</v>
      </c>
      <c r="L103" s="342" t="s">
        <v>6071</v>
      </c>
      <c r="M103" s="343">
        <v>45107</v>
      </c>
      <c r="N103" s="342" t="s">
        <v>2849</v>
      </c>
      <c r="P103" s="342" t="s">
        <v>2850</v>
      </c>
      <c r="Q103" s="343">
        <v>44742</v>
      </c>
      <c r="X103" s="342" t="s">
        <v>6070</v>
      </c>
      <c r="AA103" s="342" t="s">
        <v>2851</v>
      </c>
      <c r="AE103" s="342" t="s">
        <v>2580</v>
      </c>
      <c r="AI103" s="342" t="s">
        <v>5436</v>
      </c>
    </row>
    <row r="104" spans="1:35">
      <c r="A104" s="342">
        <v>171387</v>
      </c>
      <c r="B104" s="342" t="s">
        <v>5412</v>
      </c>
      <c r="C104" s="342" t="s">
        <v>234</v>
      </c>
      <c r="D104" s="342" t="s">
        <v>47</v>
      </c>
      <c r="E104" s="342" t="s">
        <v>591</v>
      </c>
      <c r="F104" s="342" t="s">
        <v>40</v>
      </c>
      <c r="G104" s="342" t="s">
        <v>5449</v>
      </c>
      <c r="H104" s="342" t="s">
        <v>1402</v>
      </c>
      <c r="I104" s="342" t="s">
        <v>6027</v>
      </c>
      <c r="J104" s="342" t="s">
        <v>5479</v>
      </c>
      <c r="L104" s="342" t="s">
        <v>6071</v>
      </c>
      <c r="M104" s="343">
        <v>45107</v>
      </c>
      <c r="N104" s="342" t="s">
        <v>2849</v>
      </c>
      <c r="P104" s="342" t="s">
        <v>2850</v>
      </c>
      <c r="Q104" s="343">
        <v>44742</v>
      </c>
      <c r="X104" s="342" t="s">
        <v>6070</v>
      </c>
      <c r="AE104" s="342" t="s">
        <v>2851</v>
      </c>
      <c r="AI104" s="342" t="s">
        <v>1928</v>
      </c>
    </row>
    <row r="105" spans="1:35">
      <c r="A105" s="342">
        <v>171397</v>
      </c>
      <c r="B105" s="342" t="s">
        <v>845</v>
      </c>
      <c r="C105" s="342" t="s">
        <v>235</v>
      </c>
      <c r="D105" s="342" t="s">
        <v>51</v>
      </c>
      <c r="E105" s="342" t="s">
        <v>591</v>
      </c>
      <c r="F105" s="342" t="s">
        <v>1114</v>
      </c>
      <c r="G105" s="342" t="s">
        <v>1510</v>
      </c>
      <c r="H105" s="342" t="s">
        <v>1233</v>
      </c>
    </row>
    <row r="106" spans="1:35">
      <c r="A106" s="342">
        <v>172190</v>
      </c>
      <c r="B106" s="342" t="s">
        <v>673</v>
      </c>
      <c r="C106" s="342" t="s">
        <v>675</v>
      </c>
      <c r="D106" s="342" t="s">
        <v>51</v>
      </c>
      <c r="E106" s="342" t="s">
        <v>591</v>
      </c>
      <c r="F106" s="342" t="s">
        <v>40</v>
      </c>
      <c r="G106" s="342" t="s">
        <v>1277</v>
      </c>
      <c r="I106" s="342" t="s">
        <v>2531</v>
      </c>
      <c r="J106" s="342" t="s">
        <v>2852</v>
      </c>
      <c r="K106" s="343">
        <v>44896</v>
      </c>
      <c r="L106" s="342" t="s">
        <v>2853</v>
      </c>
      <c r="X106" s="342" t="s">
        <v>1670</v>
      </c>
    </row>
    <row r="107" spans="1:35">
      <c r="A107" s="342">
        <v>172438</v>
      </c>
      <c r="B107" s="342" t="s">
        <v>4695</v>
      </c>
      <c r="C107" s="342" t="s">
        <v>4697</v>
      </c>
      <c r="D107" s="342" t="s">
        <v>66</v>
      </c>
      <c r="E107" s="342" t="s">
        <v>591</v>
      </c>
      <c r="F107" s="342" t="s">
        <v>784</v>
      </c>
      <c r="G107" s="342" t="s">
        <v>4638</v>
      </c>
      <c r="I107" s="342" t="s">
        <v>4864</v>
      </c>
      <c r="J107" s="342" t="s">
        <v>4710</v>
      </c>
      <c r="L107" s="342" t="s">
        <v>4711</v>
      </c>
      <c r="M107" s="343">
        <v>45260</v>
      </c>
      <c r="N107" s="342" t="s">
        <v>4712</v>
      </c>
      <c r="X107" s="342" t="s">
        <v>4705</v>
      </c>
      <c r="Y107" s="342" t="s">
        <v>4713</v>
      </c>
      <c r="AE107" s="342" t="s">
        <v>4714</v>
      </c>
      <c r="AI107" s="342" t="s">
        <v>4709</v>
      </c>
    </row>
    <row r="108" spans="1:35">
      <c r="A108" s="342">
        <v>172438</v>
      </c>
      <c r="B108" s="342" t="s">
        <v>4695</v>
      </c>
      <c r="C108" s="342" t="s">
        <v>4697</v>
      </c>
      <c r="D108" s="342" t="s">
        <v>66</v>
      </c>
      <c r="E108" s="342" t="s">
        <v>591</v>
      </c>
      <c r="F108" s="342" t="s">
        <v>787</v>
      </c>
      <c r="G108" s="342" t="s">
        <v>4638</v>
      </c>
      <c r="I108" s="342" t="s">
        <v>4864</v>
      </c>
      <c r="J108" s="342" t="s">
        <v>4710</v>
      </c>
      <c r="L108" s="342" t="s">
        <v>4711</v>
      </c>
      <c r="M108" s="343">
        <v>45260</v>
      </c>
      <c r="N108" s="342" t="s">
        <v>4712</v>
      </c>
      <c r="X108" s="342" t="s">
        <v>4705</v>
      </c>
      <c r="Y108" s="342" t="s">
        <v>4713</v>
      </c>
      <c r="AE108" s="342" t="s">
        <v>4714</v>
      </c>
      <c r="AI108" s="342" t="s">
        <v>4709</v>
      </c>
    </row>
    <row r="109" spans="1:35">
      <c r="A109" s="342">
        <v>172671</v>
      </c>
      <c r="B109" s="342" t="s">
        <v>1308</v>
      </c>
      <c r="C109" s="342" t="s">
        <v>1310</v>
      </c>
      <c r="D109" s="342" t="s">
        <v>1311</v>
      </c>
      <c r="E109" s="342" t="s">
        <v>591</v>
      </c>
      <c r="F109" s="342" t="s">
        <v>41</v>
      </c>
      <c r="G109" s="342" t="s">
        <v>1421</v>
      </c>
      <c r="H109" s="342" t="s">
        <v>1402</v>
      </c>
      <c r="I109" s="342" t="s">
        <v>4939</v>
      </c>
      <c r="J109" s="342" t="s">
        <v>2854</v>
      </c>
      <c r="L109" s="342" t="s">
        <v>2855</v>
      </c>
      <c r="M109" s="343">
        <v>44834</v>
      </c>
      <c r="X109" s="342" t="s">
        <v>1671</v>
      </c>
    </row>
    <row r="110" spans="1:35">
      <c r="A110" s="342">
        <v>173784</v>
      </c>
      <c r="B110" s="342" t="s">
        <v>237</v>
      </c>
      <c r="C110" s="342" t="s">
        <v>240</v>
      </c>
      <c r="D110" s="342" t="s">
        <v>51</v>
      </c>
      <c r="E110" s="342" t="s">
        <v>591</v>
      </c>
      <c r="F110" s="342" t="s">
        <v>40</v>
      </c>
      <c r="G110" s="342" t="s">
        <v>1277</v>
      </c>
      <c r="I110" s="342" t="s">
        <v>5034</v>
      </c>
      <c r="J110" s="342" t="s">
        <v>2856</v>
      </c>
      <c r="K110" s="343">
        <v>45138</v>
      </c>
      <c r="L110" s="342" t="s">
        <v>2857</v>
      </c>
      <c r="X110" s="342" t="s">
        <v>1672</v>
      </c>
      <c r="AA110" s="342" t="s">
        <v>2802</v>
      </c>
      <c r="AE110" s="342" t="s">
        <v>2628</v>
      </c>
      <c r="AI110" s="342" t="s">
        <v>1929</v>
      </c>
    </row>
    <row r="111" spans="1:35">
      <c r="A111" s="342">
        <v>173807</v>
      </c>
      <c r="B111" s="342" t="s">
        <v>5668</v>
      </c>
      <c r="C111" s="342" t="s">
        <v>242</v>
      </c>
      <c r="D111" s="342" t="s">
        <v>55</v>
      </c>
      <c r="E111" s="342" t="s">
        <v>591</v>
      </c>
      <c r="F111" s="342" t="s">
        <v>40</v>
      </c>
      <c r="G111" s="342" t="s">
        <v>1421</v>
      </c>
      <c r="H111" s="342" t="s">
        <v>1402</v>
      </c>
      <c r="I111" s="342" t="s">
        <v>5674</v>
      </c>
      <c r="J111" s="342" t="s">
        <v>2858</v>
      </c>
      <c r="L111" s="342" t="s">
        <v>2859</v>
      </c>
      <c r="M111" s="343">
        <v>45382</v>
      </c>
      <c r="P111" s="342" t="s">
        <v>2860</v>
      </c>
      <c r="Q111" s="343">
        <v>44926</v>
      </c>
      <c r="X111" s="342" t="s">
        <v>1673</v>
      </c>
      <c r="Y111" s="342" t="s">
        <v>2861</v>
      </c>
      <c r="AE111" s="342" t="s">
        <v>2862</v>
      </c>
      <c r="AI111" s="342" t="s">
        <v>1930</v>
      </c>
    </row>
    <row r="112" spans="1:35">
      <c r="A112" s="342">
        <v>173808</v>
      </c>
      <c r="B112" s="342" t="s">
        <v>1307</v>
      </c>
      <c r="C112" s="342" t="s">
        <v>245</v>
      </c>
      <c r="D112" s="342" t="s">
        <v>51</v>
      </c>
      <c r="E112" s="342" t="s">
        <v>591</v>
      </c>
      <c r="F112" s="342" t="s">
        <v>40</v>
      </c>
      <c r="G112" s="342" t="s">
        <v>5282</v>
      </c>
      <c r="H112" s="342" t="s">
        <v>1402</v>
      </c>
      <c r="I112" s="342" t="s">
        <v>6028</v>
      </c>
      <c r="J112" s="342" t="s">
        <v>2863</v>
      </c>
      <c r="K112" s="343">
        <v>45504</v>
      </c>
      <c r="L112" s="342" t="s">
        <v>2864</v>
      </c>
      <c r="P112" s="342" t="s">
        <v>2865</v>
      </c>
      <c r="Q112" s="343">
        <v>44926</v>
      </c>
      <c r="X112" s="342" t="s">
        <v>1674</v>
      </c>
    </row>
    <row r="113" spans="1:35">
      <c r="A113" s="342">
        <v>175626</v>
      </c>
      <c r="B113" s="342" t="s">
        <v>1451</v>
      </c>
      <c r="C113" s="342" t="s">
        <v>1375</v>
      </c>
      <c r="D113" s="342" t="s">
        <v>51</v>
      </c>
      <c r="E113" s="342" t="s">
        <v>591</v>
      </c>
      <c r="F113" s="342" t="s">
        <v>40</v>
      </c>
      <c r="G113" s="342" t="s">
        <v>5278</v>
      </c>
      <c r="H113" s="342" t="s">
        <v>1233</v>
      </c>
      <c r="I113" s="342" t="s">
        <v>5222</v>
      </c>
      <c r="J113" s="342" t="s">
        <v>2866</v>
      </c>
      <c r="K113" s="343">
        <v>45350</v>
      </c>
      <c r="L113" s="342" t="s">
        <v>2867</v>
      </c>
      <c r="P113" s="342" t="s">
        <v>2868</v>
      </c>
      <c r="Q113" s="343">
        <v>45291</v>
      </c>
      <c r="X113" s="342" t="s">
        <v>1675</v>
      </c>
    </row>
    <row r="114" spans="1:35">
      <c r="A114" s="342">
        <v>175845</v>
      </c>
      <c r="B114" s="342" t="s">
        <v>247</v>
      </c>
      <c r="C114" s="342" t="s">
        <v>249</v>
      </c>
      <c r="D114" s="342" t="s">
        <v>47</v>
      </c>
      <c r="E114" s="342" t="s">
        <v>591</v>
      </c>
      <c r="F114" s="342" t="s">
        <v>40</v>
      </c>
      <c r="G114" s="342" t="s">
        <v>5282</v>
      </c>
      <c r="H114" s="342" t="s">
        <v>1402</v>
      </c>
      <c r="I114" s="342" t="s">
        <v>4480</v>
      </c>
      <c r="J114" s="342" t="s">
        <v>2869</v>
      </c>
      <c r="L114" s="342" t="s">
        <v>2870</v>
      </c>
      <c r="M114" s="343">
        <v>45046</v>
      </c>
      <c r="N114" s="342" t="s">
        <v>2871</v>
      </c>
      <c r="X114" s="342" t="s">
        <v>1676</v>
      </c>
      <c r="AE114" s="342" t="s">
        <v>2872</v>
      </c>
      <c r="AI114" s="342" t="s">
        <v>1931</v>
      </c>
    </row>
    <row r="115" spans="1:35">
      <c r="A115" s="342">
        <v>176711</v>
      </c>
      <c r="B115" s="342" t="s">
        <v>250</v>
      </c>
      <c r="C115" s="342" t="s">
        <v>93</v>
      </c>
      <c r="D115" s="342" t="s">
        <v>47</v>
      </c>
      <c r="E115" s="342" t="s">
        <v>591</v>
      </c>
      <c r="F115" s="342" t="s">
        <v>40</v>
      </c>
      <c r="G115" s="342" t="s">
        <v>5278</v>
      </c>
      <c r="H115" s="342" t="s">
        <v>1233</v>
      </c>
      <c r="I115" s="342" t="s">
        <v>4784</v>
      </c>
      <c r="J115" s="342" t="s">
        <v>2873</v>
      </c>
      <c r="L115" s="342" t="s">
        <v>2874</v>
      </c>
      <c r="M115" s="343">
        <v>45230</v>
      </c>
      <c r="X115" s="342" t="s">
        <v>1677</v>
      </c>
      <c r="AE115" s="342" t="s">
        <v>2875</v>
      </c>
      <c r="AI115" s="342" t="s">
        <v>1932</v>
      </c>
    </row>
    <row r="116" spans="1:35">
      <c r="A116" s="342">
        <v>176864</v>
      </c>
      <c r="B116" s="342" t="s">
        <v>252</v>
      </c>
      <c r="C116" s="342" t="s">
        <v>254</v>
      </c>
      <c r="D116" s="342" t="s">
        <v>47</v>
      </c>
      <c r="E116" s="342" t="s">
        <v>591</v>
      </c>
      <c r="F116" s="342" t="s">
        <v>40</v>
      </c>
      <c r="G116" s="342" t="s">
        <v>1277</v>
      </c>
      <c r="H116" s="342" t="s">
        <v>1233</v>
      </c>
      <c r="I116" s="342" t="s">
        <v>1315</v>
      </c>
      <c r="J116" s="342" t="s">
        <v>2876</v>
      </c>
      <c r="X116" s="342" t="s">
        <v>1678</v>
      </c>
      <c r="AE116" s="342" t="s">
        <v>2877</v>
      </c>
      <c r="AI116" s="342" t="s">
        <v>1933</v>
      </c>
    </row>
    <row r="117" spans="1:35">
      <c r="A117" s="342">
        <v>177839</v>
      </c>
      <c r="B117" s="342" t="s">
        <v>256</v>
      </c>
      <c r="C117" s="342" t="s">
        <v>258</v>
      </c>
      <c r="D117" s="342" t="s">
        <v>47</v>
      </c>
      <c r="E117" s="342" t="s">
        <v>591</v>
      </c>
      <c r="F117" s="342" t="s">
        <v>40</v>
      </c>
      <c r="G117" s="342" t="s">
        <v>5279</v>
      </c>
      <c r="H117" s="342" t="s">
        <v>1233</v>
      </c>
      <c r="I117" s="342" t="s">
        <v>5675</v>
      </c>
      <c r="J117" s="342" t="s">
        <v>2878</v>
      </c>
      <c r="L117" s="342" t="s">
        <v>2879</v>
      </c>
      <c r="M117" s="343">
        <v>45107</v>
      </c>
      <c r="N117" s="342" t="s">
        <v>2880</v>
      </c>
      <c r="P117" s="342" t="s">
        <v>2881</v>
      </c>
      <c r="Q117" s="343">
        <v>44926</v>
      </c>
      <c r="X117" s="342" t="s">
        <v>1679</v>
      </c>
      <c r="AE117" s="342" t="s">
        <v>2882</v>
      </c>
      <c r="AI117" s="342" t="s">
        <v>1934</v>
      </c>
    </row>
    <row r="118" spans="1:35">
      <c r="A118" s="342">
        <v>177845</v>
      </c>
      <c r="B118" s="342" t="s">
        <v>852</v>
      </c>
      <c r="C118" s="342" t="s">
        <v>855</v>
      </c>
      <c r="D118" s="342" t="s">
        <v>51</v>
      </c>
      <c r="E118" s="342" t="s">
        <v>591</v>
      </c>
      <c r="F118" s="342" t="s">
        <v>40</v>
      </c>
      <c r="G118" s="342" t="s">
        <v>5279</v>
      </c>
      <c r="H118" s="342" t="s">
        <v>1233</v>
      </c>
      <c r="I118" s="342" t="s">
        <v>5150</v>
      </c>
      <c r="J118" s="342" t="s">
        <v>2883</v>
      </c>
      <c r="K118" s="343">
        <v>45322</v>
      </c>
      <c r="L118" s="342" t="s">
        <v>2884</v>
      </c>
      <c r="P118" s="342" t="s">
        <v>2885</v>
      </c>
      <c r="Q118" s="343">
        <v>45291</v>
      </c>
      <c r="X118" s="342" t="s">
        <v>1680</v>
      </c>
    </row>
    <row r="119" spans="1:35">
      <c r="A119" s="342">
        <v>178134</v>
      </c>
      <c r="B119" s="342" t="s">
        <v>259</v>
      </c>
      <c r="C119" s="342" t="s">
        <v>261</v>
      </c>
      <c r="D119" s="342" t="s">
        <v>55</v>
      </c>
      <c r="E119" s="342" t="s">
        <v>591</v>
      </c>
      <c r="F119" s="342" t="s">
        <v>40</v>
      </c>
      <c r="G119" s="342" t="s">
        <v>5278</v>
      </c>
      <c r="H119" s="342" t="s">
        <v>1233</v>
      </c>
      <c r="I119" s="342" t="s">
        <v>4886</v>
      </c>
      <c r="J119" s="342" t="s">
        <v>2886</v>
      </c>
      <c r="L119" s="342" t="s">
        <v>2887</v>
      </c>
      <c r="M119" s="343">
        <v>45260</v>
      </c>
      <c r="N119" s="342" t="s">
        <v>2888</v>
      </c>
      <c r="X119" s="342" t="s">
        <v>1681</v>
      </c>
      <c r="AE119" s="342" t="s">
        <v>2889</v>
      </c>
      <c r="AI119" s="342" t="s">
        <v>1935</v>
      </c>
    </row>
    <row r="120" spans="1:35">
      <c r="A120" s="342">
        <v>178633</v>
      </c>
      <c r="B120" s="342" t="s">
        <v>1175</v>
      </c>
      <c r="C120" s="342" t="s">
        <v>828</v>
      </c>
      <c r="D120" s="342" t="s">
        <v>47</v>
      </c>
      <c r="E120" s="342" t="s">
        <v>591</v>
      </c>
      <c r="F120" s="342" t="s">
        <v>40</v>
      </c>
      <c r="G120" s="342" t="s">
        <v>1510</v>
      </c>
      <c r="H120" s="342" t="s">
        <v>1402</v>
      </c>
      <c r="I120" s="342" t="s">
        <v>4742</v>
      </c>
      <c r="J120" s="342" t="s">
        <v>2890</v>
      </c>
      <c r="L120" s="342" t="s">
        <v>2891</v>
      </c>
      <c r="M120" s="343">
        <v>45199</v>
      </c>
      <c r="N120" s="342" t="s">
        <v>2892</v>
      </c>
      <c r="X120" s="342" t="s">
        <v>1682</v>
      </c>
      <c r="AE120" s="342" t="s">
        <v>2893</v>
      </c>
      <c r="AI120" s="342" t="s">
        <v>1936</v>
      </c>
    </row>
    <row r="121" spans="1:35">
      <c r="A121" s="342">
        <v>178963</v>
      </c>
      <c r="B121" s="342" t="s">
        <v>262</v>
      </c>
      <c r="C121" s="342" t="s">
        <v>74</v>
      </c>
      <c r="D121" s="342" t="s">
        <v>55</v>
      </c>
      <c r="E121" s="342" t="s">
        <v>591</v>
      </c>
      <c r="F121" s="342" t="s">
        <v>41</v>
      </c>
      <c r="G121" s="342" t="s">
        <v>4638</v>
      </c>
      <c r="H121" s="342" t="s">
        <v>1402</v>
      </c>
      <c r="I121" s="342" t="s">
        <v>5551</v>
      </c>
      <c r="J121" s="342" t="s">
        <v>2894</v>
      </c>
      <c r="L121" s="342" t="s">
        <v>2895</v>
      </c>
      <c r="M121" s="343">
        <v>44865</v>
      </c>
      <c r="N121" s="342" t="s">
        <v>4715</v>
      </c>
      <c r="O121" s="343">
        <v>45200</v>
      </c>
      <c r="P121" s="342" t="s">
        <v>2896</v>
      </c>
      <c r="Q121" s="343">
        <v>44926</v>
      </c>
      <c r="R121" s="342" t="s">
        <v>2897</v>
      </c>
      <c r="S121" s="343">
        <v>44773</v>
      </c>
      <c r="T121" s="342" t="s">
        <v>2898</v>
      </c>
      <c r="U121" s="343">
        <v>44867</v>
      </c>
      <c r="X121" s="342" t="s">
        <v>4706</v>
      </c>
      <c r="Y121" s="342" t="s">
        <v>2899</v>
      </c>
      <c r="AE121" s="342" t="s">
        <v>2900</v>
      </c>
      <c r="AI121" s="342" t="s">
        <v>1937</v>
      </c>
    </row>
    <row r="122" spans="1:35">
      <c r="A122" s="342">
        <v>178963</v>
      </c>
      <c r="B122" s="342" t="s">
        <v>262</v>
      </c>
      <c r="C122" s="342" t="s">
        <v>74</v>
      </c>
      <c r="D122" s="342" t="s">
        <v>55</v>
      </c>
      <c r="E122" s="342" t="s">
        <v>591</v>
      </c>
      <c r="F122" s="342" t="s">
        <v>40</v>
      </c>
      <c r="G122" s="342" t="s">
        <v>4638</v>
      </c>
      <c r="H122" s="342" t="s">
        <v>1402</v>
      </c>
      <c r="I122" s="342" t="s">
        <v>5551</v>
      </c>
      <c r="J122" s="342" t="s">
        <v>2894</v>
      </c>
      <c r="L122" s="342" t="s">
        <v>2895</v>
      </c>
      <c r="M122" s="343">
        <v>44865</v>
      </c>
      <c r="N122" s="342" t="s">
        <v>4715</v>
      </c>
      <c r="O122" s="343">
        <v>45200</v>
      </c>
      <c r="P122" s="342" t="s">
        <v>2896</v>
      </c>
      <c r="Q122" s="343">
        <v>44926</v>
      </c>
      <c r="R122" s="342" t="s">
        <v>2897</v>
      </c>
      <c r="S122" s="343">
        <v>44773</v>
      </c>
      <c r="T122" s="342" t="s">
        <v>2898</v>
      </c>
      <c r="U122" s="343">
        <v>44867</v>
      </c>
      <c r="X122" s="342" t="s">
        <v>4706</v>
      </c>
      <c r="Y122" s="342" t="s">
        <v>2899</v>
      </c>
      <c r="AE122" s="342" t="s">
        <v>2900</v>
      </c>
      <c r="AI122" s="342" t="s">
        <v>1937</v>
      </c>
    </row>
    <row r="123" spans="1:35">
      <c r="A123" s="342">
        <v>178963</v>
      </c>
      <c r="B123" s="342" t="s">
        <v>262</v>
      </c>
      <c r="C123" s="342" t="s">
        <v>74</v>
      </c>
      <c r="D123" s="342" t="s">
        <v>55</v>
      </c>
      <c r="E123" s="342" t="s">
        <v>591</v>
      </c>
      <c r="F123" s="342" t="s">
        <v>784</v>
      </c>
      <c r="G123" s="342" t="s">
        <v>4638</v>
      </c>
      <c r="H123" s="342" t="s">
        <v>1402</v>
      </c>
      <c r="I123" s="342" t="s">
        <v>5551</v>
      </c>
      <c r="J123" s="342" t="s">
        <v>2894</v>
      </c>
      <c r="L123" s="342" t="s">
        <v>2895</v>
      </c>
      <c r="M123" s="343">
        <v>44865</v>
      </c>
      <c r="N123" s="342" t="s">
        <v>4715</v>
      </c>
      <c r="O123" s="343">
        <v>45200</v>
      </c>
      <c r="P123" s="342" t="s">
        <v>2896</v>
      </c>
      <c r="Q123" s="343">
        <v>44926</v>
      </c>
      <c r="R123" s="342" t="s">
        <v>2897</v>
      </c>
      <c r="S123" s="343">
        <v>44773</v>
      </c>
      <c r="T123" s="342" t="s">
        <v>2898</v>
      </c>
      <c r="U123" s="343">
        <v>44867</v>
      </c>
      <c r="X123" s="342" t="s">
        <v>4706</v>
      </c>
      <c r="Y123" s="342" t="s">
        <v>2899</v>
      </c>
      <c r="AE123" s="342" t="s">
        <v>2900</v>
      </c>
      <c r="AI123" s="342" t="s">
        <v>1937</v>
      </c>
    </row>
    <row r="124" spans="1:35">
      <c r="A124" s="342">
        <v>179320</v>
      </c>
      <c r="B124" s="342" t="s">
        <v>264</v>
      </c>
      <c r="C124" s="342" t="s">
        <v>859</v>
      </c>
      <c r="D124" s="342" t="s">
        <v>47</v>
      </c>
      <c r="E124" s="342" t="s">
        <v>591</v>
      </c>
      <c r="F124" s="342" t="s">
        <v>40</v>
      </c>
      <c r="G124" s="342" t="s">
        <v>1277</v>
      </c>
      <c r="I124" s="342" t="s">
        <v>1072</v>
      </c>
      <c r="J124" s="342" t="s">
        <v>2901</v>
      </c>
      <c r="X124" s="342" t="s">
        <v>1683</v>
      </c>
      <c r="AE124" s="342" t="s">
        <v>2902</v>
      </c>
      <c r="AI124" s="342" t="s">
        <v>1938</v>
      </c>
    </row>
    <row r="125" spans="1:35">
      <c r="A125" s="342">
        <v>180121</v>
      </c>
      <c r="B125" s="342" t="s">
        <v>861</v>
      </c>
      <c r="C125" s="342" t="s">
        <v>265</v>
      </c>
      <c r="D125" s="342" t="s">
        <v>45</v>
      </c>
      <c r="E125" s="342" t="s">
        <v>591</v>
      </c>
      <c r="F125" s="342" t="s">
        <v>787</v>
      </c>
      <c r="G125" s="342" t="s">
        <v>1336</v>
      </c>
      <c r="I125" s="342" t="s">
        <v>5035</v>
      </c>
      <c r="Y125" s="342" t="s">
        <v>4918</v>
      </c>
      <c r="AE125" s="342" t="s">
        <v>2903</v>
      </c>
      <c r="AI125" s="342" t="s">
        <v>4914</v>
      </c>
    </row>
    <row r="126" spans="1:35">
      <c r="A126" s="342">
        <v>180458</v>
      </c>
      <c r="B126" s="342" t="s">
        <v>266</v>
      </c>
      <c r="C126" s="342" t="s">
        <v>267</v>
      </c>
      <c r="D126" s="342" t="s">
        <v>51</v>
      </c>
      <c r="E126" s="342" t="s">
        <v>591</v>
      </c>
      <c r="F126" s="342" t="s">
        <v>40</v>
      </c>
      <c r="G126" s="342" t="s">
        <v>4608</v>
      </c>
      <c r="H126" s="342" t="s">
        <v>5218</v>
      </c>
      <c r="I126" s="342" t="s">
        <v>6029</v>
      </c>
      <c r="J126" s="342" t="s">
        <v>2904</v>
      </c>
      <c r="K126" s="343">
        <v>45504</v>
      </c>
      <c r="L126" s="342" t="s">
        <v>2905</v>
      </c>
      <c r="P126" s="342" t="s">
        <v>2906</v>
      </c>
      <c r="Q126" s="343">
        <v>45291</v>
      </c>
      <c r="X126" s="342" t="s">
        <v>1684</v>
      </c>
      <c r="AA126" s="342" t="s">
        <v>2907</v>
      </c>
      <c r="AI126" s="342" t="s">
        <v>1939</v>
      </c>
    </row>
    <row r="127" spans="1:35">
      <c r="A127" s="342">
        <v>180954</v>
      </c>
      <c r="B127" s="342" t="s">
        <v>4562</v>
      </c>
      <c r="C127" s="342" t="s">
        <v>4565</v>
      </c>
      <c r="D127" s="342" t="s">
        <v>51</v>
      </c>
      <c r="E127" s="342" t="s">
        <v>591</v>
      </c>
      <c r="F127" s="342" t="s">
        <v>40</v>
      </c>
      <c r="G127" s="342" t="s">
        <v>5280</v>
      </c>
      <c r="H127" s="342" t="s">
        <v>5218</v>
      </c>
      <c r="I127" s="342" t="s">
        <v>6030</v>
      </c>
      <c r="J127" s="342" t="s">
        <v>4567</v>
      </c>
      <c r="K127" s="343">
        <v>45504</v>
      </c>
      <c r="L127" s="342" t="s">
        <v>4568</v>
      </c>
      <c r="M127" s="343">
        <v>44774</v>
      </c>
      <c r="X127" s="342" t="s">
        <v>4566</v>
      </c>
    </row>
    <row r="128" spans="1:35">
      <c r="A128" s="342">
        <v>181114</v>
      </c>
      <c r="B128" s="342" t="s">
        <v>1152</v>
      </c>
      <c r="C128" s="342" t="s">
        <v>159</v>
      </c>
      <c r="D128" s="342" t="s">
        <v>51</v>
      </c>
      <c r="E128" s="342" t="s">
        <v>591</v>
      </c>
      <c r="F128" s="342" t="s">
        <v>40</v>
      </c>
      <c r="G128" s="342" t="s">
        <v>5283</v>
      </c>
      <c r="H128" s="342" t="s">
        <v>1233</v>
      </c>
      <c r="I128" s="342" t="s">
        <v>4611</v>
      </c>
      <c r="J128" s="342" t="s">
        <v>2908</v>
      </c>
      <c r="K128" s="343">
        <v>45138</v>
      </c>
      <c r="L128" s="342" t="s">
        <v>2909</v>
      </c>
      <c r="X128" s="342" t="s">
        <v>1685</v>
      </c>
      <c r="AA128" s="342" t="s">
        <v>2910</v>
      </c>
      <c r="AI128" s="342" t="s">
        <v>1940</v>
      </c>
    </row>
    <row r="129" spans="1:35">
      <c r="A129" s="342">
        <v>181579</v>
      </c>
      <c r="B129" s="342" t="s">
        <v>866</v>
      </c>
      <c r="C129" s="342" t="s">
        <v>270</v>
      </c>
      <c r="D129" s="342" t="s">
        <v>47</v>
      </c>
      <c r="E129" s="342" t="s">
        <v>591</v>
      </c>
      <c r="F129" s="342" t="s">
        <v>40</v>
      </c>
      <c r="G129" s="342" t="s">
        <v>5280</v>
      </c>
      <c r="H129" s="342" t="s">
        <v>1233</v>
      </c>
      <c r="I129" s="342" t="s">
        <v>5001</v>
      </c>
      <c r="J129" s="342" t="s">
        <v>2911</v>
      </c>
      <c r="L129" s="342" t="s">
        <v>2912</v>
      </c>
      <c r="M129" s="343">
        <v>44895</v>
      </c>
      <c r="N129" s="342" t="s">
        <v>2913</v>
      </c>
      <c r="P129" s="342" t="s">
        <v>2914</v>
      </c>
      <c r="Q129" s="343">
        <v>45291</v>
      </c>
      <c r="X129" s="342" t="s">
        <v>1686</v>
      </c>
      <c r="AE129" s="342" t="s">
        <v>2915</v>
      </c>
      <c r="AI129" s="342" t="s">
        <v>1941</v>
      </c>
    </row>
    <row r="130" spans="1:35">
      <c r="A130" s="342">
        <v>181583</v>
      </c>
      <c r="B130" s="342" t="s">
        <v>743</v>
      </c>
      <c r="C130" s="342" t="s">
        <v>272</v>
      </c>
      <c r="D130" s="342" t="s">
        <v>47</v>
      </c>
      <c r="E130" s="342" t="s">
        <v>591</v>
      </c>
      <c r="F130" s="342" t="s">
        <v>40</v>
      </c>
      <c r="G130" s="342" t="s">
        <v>5280</v>
      </c>
      <c r="H130" s="342" t="s">
        <v>1233</v>
      </c>
      <c r="I130" s="342" t="s">
        <v>5002</v>
      </c>
      <c r="J130" s="342" t="s">
        <v>2911</v>
      </c>
      <c r="L130" s="342" t="s">
        <v>2912</v>
      </c>
      <c r="M130" s="343">
        <v>44895</v>
      </c>
      <c r="N130" s="342" t="s">
        <v>2913</v>
      </c>
      <c r="P130" s="342" t="s">
        <v>2914</v>
      </c>
      <c r="Q130" s="343">
        <v>45291</v>
      </c>
      <c r="X130" s="342" t="s">
        <v>1686</v>
      </c>
      <c r="AE130" s="342" t="s">
        <v>2915</v>
      </c>
      <c r="AI130" s="342" t="s">
        <v>1941</v>
      </c>
    </row>
    <row r="131" spans="1:35">
      <c r="A131" s="342">
        <v>181608</v>
      </c>
      <c r="B131" s="342" t="s">
        <v>869</v>
      </c>
      <c r="C131" s="342" t="s">
        <v>275</v>
      </c>
      <c r="D131" s="342" t="s">
        <v>45</v>
      </c>
      <c r="E131" s="342" t="s">
        <v>591</v>
      </c>
      <c r="F131" s="342" t="s">
        <v>40</v>
      </c>
      <c r="G131" s="342" t="s">
        <v>5280</v>
      </c>
      <c r="H131" s="342" t="s">
        <v>1233</v>
      </c>
      <c r="I131" s="342" t="s">
        <v>4699</v>
      </c>
      <c r="J131" s="342" t="s">
        <v>2916</v>
      </c>
      <c r="L131" s="342" t="s">
        <v>2917</v>
      </c>
      <c r="M131" s="343">
        <v>45199</v>
      </c>
      <c r="N131" s="342" t="s">
        <v>2918</v>
      </c>
      <c r="X131" s="342" t="s">
        <v>1687</v>
      </c>
      <c r="AE131" s="342" t="s">
        <v>2919</v>
      </c>
      <c r="AI131" s="342" t="s">
        <v>1942</v>
      </c>
    </row>
    <row r="132" spans="1:35">
      <c r="A132" s="342">
        <v>182320</v>
      </c>
      <c r="B132" s="342" t="s">
        <v>537</v>
      </c>
      <c r="C132" s="342" t="s">
        <v>696</v>
      </c>
      <c r="D132" s="342" t="s">
        <v>98</v>
      </c>
      <c r="E132" s="342" t="s">
        <v>591</v>
      </c>
      <c r="F132" s="342" t="s">
        <v>40</v>
      </c>
      <c r="G132" s="342" t="s">
        <v>5282</v>
      </c>
      <c r="H132" s="342" t="s">
        <v>1233</v>
      </c>
      <c r="I132" s="342" t="s">
        <v>4865</v>
      </c>
      <c r="J132" s="342" t="s">
        <v>2920</v>
      </c>
      <c r="L132" s="342" t="s">
        <v>2921</v>
      </c>
      <c r="M132" s="343">
        <v>45260</v>
      </c>
      <c r="N132" s="342" t="s">
        <v>2922</v>
      </c>
      <c r="P132" s="342" t="s">
        <v>2923</v>
      </c>
      <c r="Q132" s="343">
        <v>44926</v>
      </c>
      <c r="X132" s="342" t="s">
        <v>1688</v>
      </c>
      <c r="AE132" s="342" t="s">
        <v>2924</v>
      </c>
      <c r="AI132" s="342" t="s">
        <v>1943</v>
      </c>
    </row>
    <row r="133" spans="1:35">
      <c r="A133" s="342">
        <v>183135</v>
      </c>
      <c r="B133" s="342" t="s">
        <v>277</v>
      </c>
      <c r="C133" s="342" t="s">
        <v>222</v>
      </c>
      <c r="D133" s="342" t="s">
        <v>51</v>
      </c>
      <c r="E133" s="342" t="s">
        <v>591</v>
      </c>
      <c r="F133" s="342" t="s">
        <v>40</v>
      </c>
      <c r="G133" s="342" t="s">
        <v>5279</v>
      </c>
      <c r="H133" s="342" t="s">
        <v>1402</v>
      </c>
      <c r="I133" s="342" t="s">
        <v>5552</v>
      </c>
      <c r="J133" s="342" t="s">
        <v>2925</v>
      </c>
      <c r="K133" s="343">
        <v>45138</v>
      </c>
      <c r="L133" s="342" t="s">
        <v>2926</v>
      </c>
      <c r="P133" s="342" t="s">
        <v>2927</v>
      </c>
      <c r="Q133" s="343">
        <v>45473</v>
      </c>
      <c r="X133" s="342" t="s">
        <v>1689</v>
      </c>
    </row>
    <row r="134" spans="1:35">
      <c r="A134" s="342">
        <v>183137</v>
      </c>
      <c r="B134" s="342" t="s">
        <v>280</v>
      </c>
      <c r="C134" s="342" t="s">
        <v>283</v>
      </c>
      <c r="D134" s="342" t="s">
        <v>45</v>
      </c>
      <c r="E134" s="342" t="s">
        <v>591</v>
      </c>
      <c r="F134" s="342" t="s">
        <v>40</v>
      </c>
      <c r="G134" s="342" t="s">
        <v>5279</v>
      </c>
      <c r="H134" s="342" t="s">
        <v>1402</v>
      </c>
      <c r="I134" s="342" t="s">
        <v>5417</v>
      </c>
      <c r="J134" s="342" t="s">
        <v>2928</v>
      </c>
      <c r="L134" s="342" t="s">
        <v>2929</v>
      </c>
      <c r="M134" s="343">
        <v>45412</v>
      </c>
      <c r="N134" s="342" t="s">
        <v>4465</v>
      </c>
      <c r="P134" s="342" t="s">
        <v>2930</v>
      </c>
      <c r="Q134" s="343">
        <v>44926</v>
      </c>
      <c r="X134" s="342" t="s">
        <v>4463</v>
      </c>
      <c r="AE134" s="342" t="s">
        <v>2931</v>
      </c>
      <c r="AI134" s="342" t="s">
        <v>1944</v>
      </c>
    </row>
    <row r="135" spans="1:35">
      <c r="A135" s="342">
        <v>183144</v>
      </c>
      <c r="B135" s="342" t="s">
        <v>285</v>
      </c>
      <c r="C135" s="342" t="s">
        <v>286</v>
      </c>
      <c r="D135" s="342" t="s">
        <v>51</v>
      </c>
      <c r="E135" s="342" t="s">
        <v>591</v>
      </c>
      <c r="F135" s="342" t="s">
        <v>40</v>
      </c>
      <c r="G135" s="342" t="s">
        <v>5279</v>
      </c>
      <c r="H135" s="342" t="s">
        <v>1402</v>
      </c>
      <c r="I135" s="342" t="s">
        <v>6031</v>
      </c>
      <c r="J135" s="342" t="s">
        <v>2932</v>
      </c>
      <c r="K135" s="343">
        <v>45504</v>
      </c>
      <c r="L135" s="342" t="s">
        <v>2933</v>
      </c>
      <c r="P135" s="342" t="s">
        <v>2934</v>
      </c>
      <c r="Q135" s="343">
        <v>45473</v>
      </c>
      <c r="X135" s="342" t="s">
        <v>1690</v>
      </c>
    </row>
    <row r="136" spans="1:35">
      <c r="A136" s="342">
        <v>183727</v>
      </c>
      <c r="B136" s="342" t="s">
        <v>1351</v>
      </c>
      <c r="C136" s="342" t="s">
        <v>1354</v>
      </c>
      <c r="D136" s="342" t="s">
        <v>45</v>
      </c>
      <c r="E136" s="342" t="s">
        <v>591</v>
      </c>
      <c r="F136" s="342" t="s">
        <v>40</v>
      </c>
      <c r="G136" s="342" t="s">
        <v>1288</v>
      </c>
      <c r="H136" s="342" t="s">
        <v>1233</v>
      </c>
      <c r="I136" s="342" t="s">
        <v>5192</v>
      </c>
      <c r="J136" s="342" t="s">
        <v>2935</v>
      </c>
      <c r="L136" s="342" t="s">
        <v>2936</v>
      </c>
      <c r="M136" s="343">
        <v>45351</v>
      </c>
      <c r="N136" s="342" t="s">
        <v>2937</v>
      </c>
      <c r="X136" s="342" t="s">
        <v>1691</v>
      </c>
    </row>
    <row r="137" spans="1:35">
      <c r="A137" s="342">
        <v>184292</v>
      </c>
      <c r="B137" s="342" t="s">
        <v>1415</v>
      </c>
      <c r="C137" s="342" t="s">
        <v>93</v>
      </c>
      <c r="D137" s="342" t="s">
        <v>47</v>
      </c>
      <c r="E137" s="342" t="s">
        <v>591</v>
      </c>
      <c r="F137" s="342" t="s">
        <v>43</v>
      </c>
      <c r="G137" s="342" t="s">
        <v>786</v>
      </c>
      <c r="H137" s="342" t="s">
        <v>1233</v>
      </c>
      <c r="I137" s="342" t="s">
        <v>5457</v>
      </c>
      <c r="J137" s="342" t="s">
        <v>2938</v>
      </c>
      <c r="L137" s="342" t="s">
        <v>2939</v>
      </c>
      <c r="M137" s="343">
        <v>45138</v>
      </c>
      <c r="X137" s="342" t="s">
        <v>1692</v>
      </c>
      <c r="AE137" s="342" t="s">
        <v>4530</v>
      </c>
      <c r="AI137" s="342" t="s">
        <v>4529</v>
      </c>
    </row>
    <row r="138" spans="1:35">
      <c r="A138" s="342">
        <v>185056</v>
      </c>
      <c r="B138" s="342" t="s">
        <v>754</v>
      </c>
      <c r="C138" s="342" t="s">
        <v>290</v>
      </c>
      <c r="D138" s="342" t="s">
        <v>55</v>
      </c>
      <c r="E138" s="342" t="s">
        <v>591</v>
      </c>
      <c r="F138" s="342" t="s">
        <v>40</v>
      </c>
      <c r="G138" s="342" t="s">
        <v>5282</v>
      </c>
      <c r="H138" s="342" t="s">
        <v>1402</v>
      </c>
      <c r="I138" s="342" t="s">
        <v>5553</v>
      </c>
      <c r="J138" s="342" t="s">
        <v>2940</v>
      </c>
      <c r="L138" s="342" t="s">
        <v>2941</v>
      </c>
      <c r="M138" s="343">
        <v>45230</v>
      </c>
      <c r="N138" s="342" t="s">
        <v>2942</v>
      </c>
      <c r="P138" s="342" t="s">
        <v>2943</v>
      </c>
      <c r="Q138" s="343">
        <v>44926</v>
      </c>
      <c r="X138" s="342" t="s">
        <v>1693</v>
      </c>
      <c r="AE138" s="342" t="s">
        <v>2944</v>
      </c>
      <c r="AI138" s="342" t="s">
        <v>1945</v>
      </c>
    </row>
    <row r="139" spans="1:35">
      <c r="A139" s="342">
        <v>185063</v>
      </c>
      <c r="B139" s="342" t="s">
        <v>661</v>
      </c>
      <c r="C139" s="342" t="s">
        <v>119</v>
      </c>
      <c r="D139" s="342" t="s">
        <v>51</v>
      </c>
      <c r="E139" s="342" t="s">
        <v>591</v>
      </c>
      <c r="F139" s="342" t="s">
        <v>40</v>
      </c>
      <c r="G139" s="342" t="s">
        <v>1510</v>
      </c>
      <c r="I139" s="342" t="s">
        <v>5554</v>
      </c>
      <c r="J139" s="342" t="s">
        <v>2945</v>
      </c>
      <c r="K139" s="343">
        <v>44774</v>
      </c>
      <c r="L139" s="342" t="s">
        <v>2946</v>
      </c>
      <c r="P139" s="342" t="s">
        <v>2947</v>
      </c>
      <c r="Q139" s="343">
        <v>44926</v>
      </c>
      <c r="X139" s="342" t="s">
        <v>1694</v>
      </c>
    </row>
    <row r="140" spans="1:35">
      <c r="A140" s="342">
        <v>185279</v>
      </c>
      <c r="B140" s="342" t="s">
        <v>4998</v>
      </c>
      <c r="C140" s="342" t="s">
        <v>5000</v>
      </c>
      <c r="D140" s="342" t="s">
        <v>51</v>
      </c>
      <c r="E140" s="342" t="s">
        <v>591</v>
      </c>
      <c r="F140" s="342" t="s">
        <v>40</v>
      </c>
      <c r="G140" s="342" t="s">
        <v>4608</v>
      </c>
      <c r="H140" s="342" t="s">
        <v>5218</v>
      </c>
      <c r="I140" s="342" t="s">
        <v>5036</v>
      </c>
      <c r="J140" s="342" t="s">
        <v>5010</v>
      </c>
      <c r="K140" s="343">
        <v>44958</v>
      </c>
      <c r="L140" s="342" t="s">
        <v>5011</v>
      </c>
      <c r="P140" s="342" t="s">
        <v>5012</v>
      </c>
      <c r="Q140" s="343">
        <v>44742</v>
      </c>
      <c r="X140" s="342" t="s">
        <v>5008</v>
      </c>
    </row>
    <row r="141" spans="1:35">
      <c r="A141" s="342">
        <v>186779</v>
      </c>
      <c r="B141" s="342" t="s">
        <v>678</v>
      </c>
      <c r="C141" s="342" t="s">
        <v>110</v>
      </c>
      <c r="D141" s="342" t="s">
        <v>51</v>
      </c>
      <c r="E141" s="342" t="s">
        <v>591</v>
      </c>
      <c r="F141" s="342" t="s">
        <v>40</v>
      </c>
      <c r="G141" s="342" t="s">
        <v>5283</v>
      </c>
      <c r="H141" s="342" t="s">
        <v>1233</v>
      </c>
      <c r="I141" s="342" t="s">
        <v>5292</v>
      </c>
      <c r="J141" s="342" t="s">
        <v>2948</v>
      </c>
      <c r="K141" s="343">
        <v>45382</v>
      </c>
      <c r="L141" s="342" t="s">
        <v>2949</v>
      </c>
      <c r="X141" s="342" t="s">
        <v>1695</v>
      </c>
    </row>
    <row r="142" spans="1:35">
      <c r="A142" s="342">
        <v>187125</v>
      </c>
      <c r="B142" s="342" t="s">
        <v>747</v>
      </c>
      <c r="C142" s="342" t="s">
        <v>295</v>
      </c>
      <c r="D142" s="342" t="s">
        <v>51</v>
      </c>
      <c r="E142" s="342" t="s">
        <v>591</v>
      </c>
      <c r="F142" s="342" t="s">
        <v>40</v>
      </c>
      <c r="G142" s="342" t="s">
        <v>1336</v>
      </c>
      <c r="H142" s="342" t="s">
        <v>1402</v>
      </c>
      <c r="I142" s="342" t="s">
        <v>4887</v>
      </c>
      <c r="J142" s="342" t="s">
        <v>2950</v>
      </c>
      <c r="K142" s="343">
        <v>44774</v>
      </c>
      <c r="L142" s="342" t="s">
        <v>2951</v>
      </c>
      <c r="P142" s="342" t="s">
        <v>2952</v>
      </c>
      <c r="Q142" s="343">
        <v>45291</v>
      </c>
      <c r="X142" s="342" t="s">
        <v>1696</v>
      </c>
      <c r="AA142" s="342" t="s">
        <v>2953</v>
      </c>
      <c r="AI142" s="342" t="s">
        <v>1946</v>
      </c>
    </row>
    <row r="143" spans="1:35">
      <c r="A143" s="342">
        <v>187130</v>
      </c>
      <c r="B143" s="342" t="s">
        <v>296</v>
      </c>
      <c r="C143" s="342" t="s">
        <v>299</v>
      </c>
      <c r="D143" s="342" t="s">
        <v>51</v>
      </c>
      <c r="E143" s="342" t="s">
        <v>591</v>
      </c>
      <c r="F143" s="342" t="s">
        <v>40</v>
      </c>
      <c r="G143" s="342" t="s">
        <v>5278</v>
      </c>
      <c r="H143" s="342" t="s">
        <v>1402</v>
      </c>
      <c r="I143" s="342" t="s">
        <v>6032</v>
      </c>
      <c r="J143" s="342" t="s">
        <v>2954</v>
      </c>
      <c r="K143" s="343">
        <v>45504</v>
      </c>
      <c r="L143" s="342" t="s">
        <v>2955</v>
      </c>
      <c r="P143" s="342" t="s">
        <v>2956</v>
      </c>
      <c r="Q143" s="343">
        <v>45473</v>
      </c>
      <c r="X143" s="342" t="s">
        <v>1697</v>
      </c>
      <c r="AG143" s="342" t="s">
        <v>2957</v>
      </c>
      <c r="AI143" s="342" t="s">
        <v>1947</v>
      </c>
    </row>
    <row r="144" spans="1:35">
      <c r="A144" s="342">
        <v>187150</v>
      </c>
      <c r="B144" s="342" t="s">
        <v>300</v>
      </c>
      <c r="C144" s="342" t="s">
        <v>302</v>
      </c>
      <c r="D144" s="342" t="s">
        <v>51</v>
      </c>
      <c r="E144" s="342" t="s">
        <v>591</v>
      </c>
      <c r="F144" s="342" t="s">
        <v>40</v>
      </c>
      <c r="G144" s="342" t="s">
        <v>5278</v>
      </c>
      <c r="H144" s="342" t="s">
        <v>1402</v>
      </c>
      <c r="I144" s="342" t="s">
        <v>4481</v>
      </c>
      <c r="J144" s="342" t="s">
        <v>2958</v>
      </c>
      <c r="K144" s="343">
        <v>45046</v>
      </c>
      <c r="L144" s="342" t="s">
        <v>2959</v>
      </c>
      <c r="P144" s="342" t="s">
        <v>2960</v>
      </c>
      <c r="Q144" s="343">
        <v>44926</v>
      </c>
      <c r="X144" s="342" t="s">
        <v>1698</v>
      </c>
    </row>
    <row r="145" spans="1:35">
      <c r="A145" s="342">
        <v>187343</v>
      </c>
      <c r="B145" s="342" t="s">
        <v>303</v>
      </c>
      <c r="C145" s="342" t="s">
        <v>305</v>
      </c>
      <c r="D145" s="342" t="s">
        <v>47</v>
      </c>
      <c r="E145" s="342" t="s">
        <v>591</v>
      </c>
      <c r="F145" s="342" t="s">
        <v>40</v>
      </c>
      <c r="G145" s="342" t="s">
        <v>1277</v>
      </c>
      <c r="I145" s="342" t="s">
        <v>1306</v>
      </c>
      <c r="J145" s="342" t="s">
        <v>2961</v>
      </c>
      <c r="X145" s="342" t="s">
        <v>1699</v>
      </c>
      <c r="AE145" s="342" t="s">
        <v>2962</v>
      </c>
      <c r="AI145" s="342" t="s">
        <v>1948</v>
      </c>
    </row>
    <row r="146" spans="1:35">
      <c r="A146" s="342">
        <v>187722</v>
      </c>
      <c r="B146" s="342" t="s">
        <v>1199</v>
      </c>
      <c r="C146" s="342" t="s">
        <v>1201</v>
      </c>
      <c r="D146" s="342" t="s">
        <v>47</v>
      </c>
      <c r="E146" s="342" t="s">
        <v>591</v>
      </c>
      <c r="F146" s="342" t="s">
        <v>40</v>
      </c>
      <c r="G146" s="342" t="s">
        <v>5279</v>
      </c>
      <c r="H146" s="342" t="s">
        <v>1402</v>
      </c>
      <c r="I146" s="342" t="s">
        <v>2532</v>
      </c>
      <c r="J146" s="342" t="s">
        <v>2963</v>
      </c>
      <c r="L146" s="342" t="s">
        <v>2964</v>
      </c>
      <c r="M146" s="343">
        <v>44895</v>
      </c>
      <c r="X146" s="342" t="s">
        <v>1700</v>
      </c>
      <c r="AE146" s="342" t="s">
        <v>2965</v>
      </c>
      <c r="AI146" s="342" t="s">
        <v>1949</v>
      </c>
    </row>
    <row r="147" spans="1:35">
      <c r="A147" s="342">
        <v>187949</v>
      </c>
      <c r="B147" s="342" t="s">
        <v>306</v>
      </c>
      <c r="C147" s="342" t="s">
        <v>308</v>
      </c>
      <c r="D147" s="342" t="s">
        <v>55</v>
      </c>
      <c r="E147" s="342" t="s">
        <v>591</v>
      </c>
      <c r="F147" s="342" t="s">
        <v>40</v>
      </c>
      <c r="G147" s="342" t="s">
        <v>1510</v>
      </c>
      <c r="H147" s="342" t="s">
        <v>1402</v>
      </c>
      <c r="I147" s="342" t="s">
        <v>2533</v>
      </c>
      <c r="J147" s="342" t="s">
        <v>2966</v>
      </c>
      <c r="N147" s="342" t="s">
        <v>2967</v>
      </c>
      <c r="X147" s="342" t="s">
        <v>1701</v>
      </c>
      <c r="AE147" s="342" t="s">
        <v>2968</v>
      </c>
      <c r="AI147" s="342" t="s">
        <v>1950</v>
      </c>
    </row>
    <row r="148" spans="1:35">
      <c r="A148" s="342">
        <v>188701</v>
      </c>
      <c r="B148" s="342" t="s">
        <v>4932</v>
      </c>
      <c r="C148" s="342" t="s">
        <v>4934</v>
      </c>
      <c r="D148" s="342" t="s">
        <v>47</v>
      </c>
      <c r="E148" s="342" t="s">
        <v>591</v>
      </c>
      <c r="F148" s="342" t="s">
        <v>40</v>
      </c>
      <c r="G148" s="342" t="s">
        <v>1277</v>
      </c>
      <c r="H148" s="342" t="s">
        <v>5218</v>
      </c>
      <c r="I148" s="342" t="s">
        <v>4940</v>
      </c>
      <c r="J148" s="342" t="s">
        <v>4949</v>
      </c>
      <c r="X148" s="342" t="s">
        <v>4946</v>
      </c>
      <c r="AE148" s="342" t="s">
        <v>4950</v>
      </c>
      <c r="AI148" s="342" t="s">
        <v>4948</v>
      </c>
    </row>
    <row r="149" spans="1:35">
      <c r="A149" s="342">
        <v>189074</v>
      </c>
      <c r="B149" s="342" t="s">
        <v>309</v>
      </c>
      <c r="C149" s="342" t="s">
        <v>154</v>
      </c>
      <c r="D149" s="342" t="s">
        <v>51</v>
      </c>
      <c r="E149" s="342" t="s">
        <v>591</v>
      </c>
      <c r="F149" s="342" t="s">
        <v>40</v>
      </c>
      <c r="G149" s="342" t="s">
        <v>1336</v>
      </c>
      <c r="I149" s="342" t="s">
        <v>6033</v>
      </c>
      <c r="J149" s="342" t="s">
        <v>2969</v>
      </c>
      <c r="K149" s="343">
        <v>45504</v>
      </c>
      <c r="L149" s="342" t="s">
        <v>2970</v>
      </c>
      <c r="P149" s="342" t="s">
        <v>2971</v>
      </c>
      <c r="Q149" s="343">
        <v>44926</v>
      </c>
      <c r="X149" s="342" t="s">
        <v>1702</v>
      </c>
    </row>
    <row r="150" spans="1:35">
      <c r="A150" s="342">
        <v>189129</v>
      </c>
      <c r="B150" s="342" t="s">
        <v>1292</v>
      </c>
      <c r="C150" s="342" t="s">
        <v>1295</v>
      </c>
      <c r="D150" s="342" t="s">
        <v>107</v>
      </c>
      <c r="E150" s="342" t="s">
        <v>591</v>
      </c>
      <c r="F150" s="342" t="s">
        <v>737</v>
      </c>
      <c r="G150" s="342" t="s">
        <v>5281</v>
      </c>
      <c r="H150" s="342" t="s">
        <v>1233</v>
      </c>
      <c r="I150" s="342" t="s">
        <v>1296</v>
      </c>
    </row>
    <row r="151" spans="1:35">
      <c r="A151" s="342">
        <v>190670</v>
      </c>
      <c r="B151" s="342" t="s">
        <v>312</v>
      </c>
      <c r="C151" s="342" t="s">
        <v>313</v>
      </c>
      <c r="D151" s="342" t="s">
        <v>47</v>
      </c>
      <c r="E151" s="342" t="s">
        <v>591</v>
      </c>
      <c r="F151" s="342" t="s">
        <v>40</v>
      </c>
      <c r="G151" s="342" t="s">
        <v>5282</v>
      </c>
      <c r="H151" s="342" t="s">
        <v>1233</v>
      </c>
      <c r="I151" s="342" t="s">
        <v>5676</v>
      </c>
      <c r="J151" s="342" t="s">
        <v>2972</v>
      </c>
      <c r="L151" s="342" t="s">
        <v>2973</v>
      </c>
      <c r="M151" s="343">
        <v>44926</v>
      </c>
      <c r="N151" s="342" t="s">
        <v>2974</v>
      </c>
      <c r="P151" s="342" t="s">
        <v>2975</v>
      </c>
      <c r="Q151" s="343">
        <v>44926</v>
      </c>
      <c r="X151" s="342" t="s">
        <v>1703</v>
      </c>
      <c r="Y151" s="342" t="s">
        <v>2976</v>
      </c>
      <c r="AA151" s="342" t="s">
        <v>2977</v>
      </c>
      <c r="AE151" s="342" t="s">
        <v>2977</v>
      </c>
      <c r="AI151" s="342" t="s">
        <v>1951</v>
      </c>
    </row>
    <row r="152" spans="1:35">
      <c r="A152" s="342">
        <v>190829</v>
      </c>
      <c r="B152" s="342" t="s">
        <v>607</v>
      </c>
      <c r="C152" s="342" t="s">
        <v>608</v>
      </c>
      <c r="D152" s="342" t="s">
        <v>47</v>
      </c>
      <c r="E152" s="342" t="s">
        <v>591</v>
      </c>
      <c r="F152" s="342" t="s">
        <v>40</v>
      </c>
      <c r="G152" s="342" t="s">
        <v>1277</v>
      </c>
      <c r="H152" s="342" t="s">
        <v>1233</v>
      </c>
      <c r="I152" s="342" t="s">
        <v>1076</v>
      </c>
      <c r="J152" s="342" t="s">
        <v>2978</v>
      </c>
      <c r="X152" s="342" t="s">
        <v>1704</v>
      </c>
      <c r="AE152" s="342" t="s">
        <v>2979</v>
      </c>
      <c r="AI152" s="342" t="s">
        <v>1952</v>
      </c>
    </row>
    <row r="153" spans="1:35">
      <c r="A153" s="342">
        <v>192526</v>
      </c>
      <c r="B153" s="342" t="s">
        <v>316</v>
      </c>
      <c r="C153" s="342" t="s">
        <v>151</v>
      </c>
      <c r="D153" s="342" t="s">
        <v>47</v>
      </c>
      <c r="E153" s="342" t="s">
        <v>591</v>
      </c>
      <c r="F153" s="342" t="s">
        <v>40</v>
      </c>
      <c r="G153" s="342" t="s">
        <v>5282</v>
      </c>
      <c r="H153" s="342" t="s">
        <v>1233</v>
      </c>
      <c r="I153" s="342" t="s">
        <v>4203</v>
      </c>
      <c r="J153" s="342" t="s">
        <v>2980</v>
      </c>
      <c r="L153" s="342" t="s">
        <v>2981</v>
      </c>
      <c r="M153" s="343">
        <v>44926</v>
      </c>
      <c r="N153" s="342" t="s">
        <v>2982</v>
      </c>
      <c r="P153" s="342" t="s">
        <v>2983</v>
      </c>
      <c r="Q153" s="343">
        <v>44926</v>
      </c>
      <c r="X153" s="342" t="s">
        <v>1705</v>
      </c>
    </row>
    <row r="154" spans="1:35">
      <c r="A154" s="342">
        <v>192537</v>
      </c>
      <c r="B154" s="342" t="s">
        <v>318</v>
      </c>
      <c r="C154" s="342" t="s">
        <v>235</v>
      </c>
      <c r="D154" s="342" t="s">
        <v>51</v>
      </c>
      <c r="E154" s="342" t="s">
        <v>591</v>
      </c>
      <c r="F154" s="342" t="s">
        <v>40</v>
      </c>
      <c r="G154" s="342" t="s">
        <v>5282</v>
      </c>
      <c r="H154" s="342" t="s">
        <v>1233</v>
      </c>
      <c r="I154" s="342" t="s">
        <v>5126</v>
      </c>
      <c r="J154" s="342" t="s">
        <v>2984</v>
      </c>
      <c r="K154" s="343">
        <v>45322</v>
      </c>
      <c r="L154" s="342" t="s">
        <v>2985</v>
      </c>
      <c r="X154" s="342" t="s">
        <v>1706</v>
      </c>
      <c r="AG154" s="342" t="s">
        <v>2986</v>
      </c>
      <c r="AI154" s="342" t="s">
        <v>1953</v>
      </c>
    </row>
    <row r="155" spans="1:35">
      <c r="A155" s="342">
        <v>192768</v>
      </c>
      <c r="B155" s="342" t="s">
        <v>4967</v>
      </c>
      <c r="C155" s="342" t="s">
        <v>321</v>
      </c>
      <c r="D155" s="342" t="s">
        <v>51</v>
      </c>
      <c r="E155" s="342" t="s">
        <v>591</v>
      </c>
      <c r="F155" s="342" t="s">
        <v>40</v>
      </c>
      <c r="G155" s="342" t="s">
        <v>5282</v>
      </c>
      <c r="H155" s="342" t="s">
        <v>1402</v>
      </c>
      <c r="I155" s="342" t="s">
        <v>6034</v>
      </c>
      <c r="J155" s="342" t="s">
        <v>2987</v>
      </c>
      <c r="K155" s="343">
        <v>45504</v>
      </c>
      <c r="L155" s="342" t="s">
        <v>2988</v>
      </c>
      <c r="P155" s="342" t="s">
        <v>2989</v>
      </c>
      <c r="Q155" s="343">
        <v>44926</v>
      </c>
      <c r="X155" s="342" t="s">
        <v>1707</v>
      </c>
      <c r="AA155" s="342" t="s">
        <v>2990</v>
      </c>
      <c r="AG155" s="342" t="s">
        <v>4598</v>
      </c>
      <c r="AI155" s="342" t="s">
        <v>4597</v>
      </c>
    </row>
    <row r="156" spans="1:35">
      <c r="A156" s="342">
        <v>192949</v>
      </c>
      <c r="B156" s="342" t="s">
        <v>1363</v>
      </c>
      <c r="C156" s="342" t="s">
        <v>324</v>
      </c>
      <c r="D156" s="342" t="s">
        <v>51</v>
      </c>
      <c r="E156" s="342" t="s">
        <v>591</v>
      </c>
      <c r="F156" s="342" t="s">
        <v>40</v>
      </c>
      <c r="G156" s="342" t="s">
        <v>5282</v>
      </c>
      <c r="H156" s="342" t="s">
        <v>1402</v>
      </c>
      <c r="I156" s="342" t="s">
        <v>6035</v>
      </c>
      <c r="J156" s="342" t="s">
        <v>2991</v>
      </c>
      <c r="K156" s="343">
        <v>45504</v>
      </c>
      <c r="L156" s="342" t="s">
        <v>2992</v>
      </c>
      <c r="P156" s="342" t="s">
        <v>2993</v>
      </c>
      <c r="Q156" s="343">
        <v>44926</v>
      </c>
      <c r="X156" s="342" t="s">
        <v>1708</v>
      </c>
      <c r="AA156" s="342" t="s">
        <v>2994</v>
      </c>
      <c r="AE156" s="342" t="s">
        <v>3495</v>
      </c>
      <c r="AI156" s="342" t="s">
        <v>4486</v>
      </c>
    </row>
    <row r="157" spans="1:35">
      <c r="A157" s="342">
        <v>193845</v>
      </c>
      <c r="B157" s="342" t="s">
        <v>325</v>
      </c>
      <c r="C157" s="342" t="s">
        <v>610</v>
      </c>
      <c r="D157" s="342" t="s">
        <v>47</v>
      </c>
      <c r="E157" s="342" t="s">
        <v>591</v>
      </c>
      <c r="F157" s="342" t="s">
        <v>40</v>
      </c>
      <c r="G157" s="342" t="s">
        <v>5278</v>
      </c>
      <c r="H157" s="342" t="s">
        <v>1402</v>
      </c>
      <c r="I157" s="342" t="s">
        <v>1073</v>
      </c>
      <c r="J157" s="342" t="s">
        <v>2995</v>
      </c>
      <c r="X157" s="342" t="s">
        <v>1709</v>
      </c>
      <c r="AE157" s="342" t="s">
        <v>2996</v>
      </c>
      <c r="AI157" s="342" t="s">
        <v>1954</v>
      </c>
    </row>
    <row r="158" spans="1:35">
      <c r="A158" s="342">
        <v>193891</v>
      </c>
      <c r="B158" s="342" t="s">
        <v>748</v>
      </c>
      <c r="C158" s="342" t="s">
        <v>327</v>
      </c>
      <c r="D158" s="342" t="s">
        <v>47</v>
      </c>
      <c r="E158" s="342" t="s">
        <v>591</v>
      </c>
      <c r="F158" s="342" t="s">
        <v>40</v>
      </c>
      <c r="G158" s="342" t="s">
        <v>5280</v>
      </c>
      <c r="H158" s="342" t="s">
        <v>1233</v>
      </c>
      <c r="I158" s="342" t="s">
        <v>5555</v>
      </c>
      <c r="J158" s="342" t="s">
        <v>2633</v>
      </c>
      <c r="L158" s="342" t="s">
        <v>2634</v>
      </c>
      <c r="M158" s="343">
        <v>45046</v>
      </c>
      <c r="P158" s="342" t="s">
        <v>2635</v>
      </c>
      <c r="Q158" s="343">
        <v>44926</v>
      </c>
      <c r="X158" s="342" t="s">
        <v>1612</v>
      </c>
      <c r="AE158" s="342" t="s">
        <v>2636</v>
      </c>
      <c r="AI158" s="342" t="s">
        <v>1887</v>
      </c>
    </row>
    <row r="159" spans="1:35">
      <c r="A159" s="342">
        <v>193948</v>
      </c>
      <c r="B159" s="342" t="s">
        <v>328</v>
      </c>
      <c r="C159" s="342" t="s">
        <v>330</v>
      </c>
      <c r="D159" s="342" t="s">
        <v>47</v>
      </c>
      <c r="E159" s="342" t="s">
        <v>591</v>
      </c>
      <c r="F159" s="342" t="s">
        <v>40</v>
      </c>
      <c r="G159" s="342" t="s">
        <v>5283</v>
      </c>
      <c r="H159" s="342" t="s">
        <v>1402</v>
      </c>
      <c r="I159" s="342" t="s">
        <v>5556</v>
      </c>
      <c r="J159" s="342" t="s">
        <v>2997</v>
      </c>
      <c r="L159" s="342" t="s">
        <v>2998</v>
      </c>
      <c r="M159" s="343">
        <v>45016</v>
      </c>
      <c r="N159" s="342" t="s">
        <v>2999</v>
      </c>
      <c r="P159" s="342" t="s">
        <v>3000</v>
      </c>
      <c r="Q159" s="343">
        <v>44926</v>
      </c>
      <c r="X159" s="342" t="s">
        <v>1710</v>
      </c>
      <c r="AE159" s="342" t="s">
        <v>3001</v>
      </c>
      <c r="AI159" s="342" t="s">
        <v>1955</v>
      </c>
    </row>
    <row r="160" spans="1:35">
      <c r="A160" s="342">
        <v>196524</v>
      </c>
      <c r="B160" s="342" t="s">
        <v>686</v>
      </c>
      <c r="C160" s="342" t="s">
        <v>333</v>
      </c>
      <c r="D160" s="342" t="s">
        <v>47</v>
      </c>
      <c r="E160" s="342" t="s">
        <v>591</v>
      </c>
      <c r="F160" s="342" t="s">
        <v>40</v>
      </c>
      <c r="G160" s="342" t="s">
        <v>5281</v>
      </c>
      <c r="H160" s="342" t="s">
        <v>1233</v>
      </c>
      <c r="I160" s="342" t="s">
        <v>4424</v>
      </c>
      <c r="J160" s="342" t="s">
        <v>3002</v>
      </c>
      <c r="L160" s="342" t="s">
        <v>3003</v>
      </c>
      <c r="M160" s="343">
        <v>45016</v>
      </c>
      <c r="N160" s="342" t="s">
        <v>3004</v>
      </c>
      <c r="X160" s="342" t="s">
        <v>1711</v>
      </c>
    </row>
    <row r="161" spans="1:35">
      <c r="A161" s="342">
        <v>196561</v>
      </c>
      <c r="B161" s="342" t="s">
        <v>4968</v>
      </c>
      <c r="C161" s="342" t="s">
        <v>4970</v>
      </c>
      <c r="D161" s="342" t="s">
        <v>98</v>
      </c>
      <c r="E161" s="342" t="s">
        <v>591</v>
      </c>
      <c r="F161" s="342" t="s">
        <v>40</v>
      </c>
      <c r="G161" s="342" t="s">
        <v>5282</v>
      </c>
      <c r="H161" s="342" t="s">
        <v>1233</v>
      </c>
      <c r="I161" s="342" t="s">
        <v>5151</v>
      </c>
      <c r="J161" s="342" t="s">
        <v>5157</v>
      </c>
      <c r="L161" s="342" t="s">
        <v>4978</v>
      </c>
      <c r="M161" s="343">
        <v>45230</v>
      </c>
      <c r="X161" s="342" t="s">
        <v>5155</v>
      </c>
    </row>
    <row r="162" spans="1:35">
      <c r="A162" s="342">
        <v>197075</v>
      </c>
      <c r="B162" s="342" t="s">
        <v>1278</v>
      </c>
      <c r="C162" s="342" t="s">
        <v>418</v>
      </c>
      <c r="D162" s="342" t="s">
        <v>45</v>
      </c>
      <c r="E162" s="342" t="s">
        <v>591</v>
      </c>
      <c r="F162" s="342" t="s">
        <v>40</v>
      </c>
      <c r="G162" s="342" t="s">
        <v>5283</v>
      </c>
      <c r="H162" s="342" t="s">
        <v>1233</v>
      </c>
      <c r="I162" s="342" t="s">
        <v>4593</v>
      </c>
      <c r="J162" s="342" t="s">
        <v>2699</v>
      </c>
      <c r="L162" s="342" t="s">
        <v>2700</v>
      </c>
      <c r="M162" s="343">
        <v>44620</v>
      </c>
      <c r="P162" s="342" t="s">
        <v>2701</v>
      </c>
      <c r="Q162" s="343">
        <v>44926</v>
      </c>
      <c r="X162" s="342" t="s">
        <v>4302</v>
      </c>
      <c r="AE162" s="342" t="s">
        <v>3005</v>
      </c>
      <c r="AI162" s="342" t="s">
        <v>1956</v>
      </c>
    </row>
    <row r="163" spans="1:35">
      <c r="A163" s="342">
        <v>197134</v>
      </c>
      <c r="B163" s="342" t="s">
        <v>652</v>
      </c>
      <c r="C163" s="342" t="s">
        <v>654</v>
      </c>
      <c r="D163" s="342" t="s">
        <v>47</v>
      </c>
      <c r="E163" s="342" t="s">
        <v>591</v>
      </c>
      <c r="F163" s="342" t="s">
        <v>40</v>
      </c>
      <c r="G163" s="342" t="s">
        <v>1277</v>
      </c>
      <c r="H163" s="342" t="s">
        <v>1233</v>
      </c>
      <c r="I163" s="342" t="s">
        <v>1488</v>
      </c>
      <c r="J163" s="342" t="s">
        <v>3006</v>
      </c>
      <c r="L163" s="342" t="s">
        <v>3007</v>
      </c>
      <c r="X163" s="342" t="s">
        <v>1712</v>
      </c>
      <c r="AE163" s="342" t="s">
        <v>3008</v>
      </c>
      <c r="AI163" s="342" t="s">
        <v>1957</v>
      </c>
    </row>
    <row r="164" spans="1:35">
      <c r="A164" s="342">
        <v>197413</v>
      </c>
      <c r="B164" s="342" t="s">
        <v>746</v>
      </c>
      <c r="C164" s="342" t="s">
        <v>86</v>
      </c>
      <c r="D164" s="342" t="s">
        <v>51</v>
      </c>
      <c r="E164" s="342" t="s">
        <v>591</v>
      </c>
      <c r="F164" s="342" t="s">
        <v>40</v>
      </c>
      <c r="G164" s="342" t="s">
        <v>5280</v>
      </c>
      <c r="H164" s="342" t="s">
        <v>1233</v>
      </c>
      <c r="I164" s="342" t="s">
        <v>6036</v>
      </c>
      <c r="J164" s="342" t="s">
        <v>4267</v>
      </c>
      <c r="K164" s="343">
        <v>45504</v>
      </c>
      <c r="L164" s="342" t="s">
        <v>4268</v>
      </c>
      <c r="X164" s="342" t="s">
        <v>4265</v>
      </c>
    </row>
    <row r="165" spans="1:35">
      <c r="A165" s="342">
        <v>197511</v>
      </c>
      <c r="B165" s="342" t="s">
        <v>296</v>
      </c>
      <c r="C165" s="342" t="s">
        <v>335</v>
      </c>
      <c r="D165" s="342" t="s">
        <v>51</v>
      </c>
      <c r="E165" s="342" t="s">
        <v>591</v>
      </c>
      <c r="F165" s="342" t="s">
        <v>40</v>
      </c>
      <c r="G165" s="342" t="s">
        <v>1336</v>
      </c>
      <c r="H165" s="342" t="s">
        <v>1402</v>
      </c>
      <c r="I165" s="342" t="s">
        <v>6037</v>
      </c>
      <c r="J165" s="342" t="s">
        <v>3009</v>
      </c>
      <c r="K165" s="343">
        <v>45504</v>
      </c>
      <c r="L165" s="342" t="s">
        <v>3010</v>
      </c>
      <c r="P165" s="342" t="s">
        <v>3011</v>
      </c>
      <c r="Q165" s="343">
        <v>45291</v>
      </c>
      <c r="X165" s="342" t="s">
        <v>1713</v>
      </c>
    </row>
    <row r="166" spans="1:35">
      <c r="A166" s="342">
        <v>197643</v>
      </c>
      <c r="B166" s="342" t="s">
        <v>1242</v>
      </c>
      <c r="C166" s="342" t="s">
        <v>336</v>
      </c>
      <c r="D166" s="342" t="s">
        <v>337</v>
      </c>
      <c r="E166" s="342" t="s">
        <v>591</v>
      </c>
      <c r="F166" s="342" t="s">
        <v>41</v>
      </c>
      <c r="G166" s="342" t="s">
        <v>786</v>
      </c>
      <c r="H166" s="342" t="s">
        <v>1233</v>
      </c>
      <c r="I166" s="342" t="s">
        <v>5557</v>
      </c>
      <c r="J166" s="342" t="s">
        <v>3012</v>
      </c>
      <c r="L166" s="342" t="s">
        <v>3013</v>
      </c>
      <c r="M166" s="343">
        <v>45016</v>
      </c>
      <c r="N166" s="342" t="s">
        <v>3014</v>
      </c>
      <c r="O166" s="343">
        <v>44926</v>
      </c>
      <c r="P166" s="342" t="s">
        <v>3015</v>
      </c>
      <c r="Q166" s="343">
        <v>45291</v>
      </c>
      <c r="R166" s="342" t="s">
        <v>3016</v>
      </c>
      <c r="S166" s="343">
        <v>44926</v>
      </c>
      <c r="T166" s="342" t="s">
        <v>3014</v>
      </c>
      <c r="U166" s="343">
        <v>44926</v>
      </c>
      <c r="V166" s="342" t="s">
        <v>4394</v>
      </c>
      <c r="W166" s="343">
        <v>45013</v>
      </c>
      <c r="X166" s="342" t="s">
        <v>4395</v>
      </c>
    </row>
    <row r="167" spans="1:35">
      <c r="A167" s="342">
        <v>197643</v>
      </c>
      <c r="B167" s="342" t="s">
        <v>1242</v>
      </c>
      <c r="C167" s="342" t="s">
        <v>336</v>
      </c>
      <c r="D167" s="342" t="s">
        <v>337</v>
      </c>
      <c r="E167" s="342" t="s">
        <v>591</v>
      </c>
      <c r="F167" s="342" t="s">
        <v>40</v>
      </c>
      <c r="G167" s="342" t="s">
        <v>786</v>
      </c>
      <c r="H167" s="342" t="s">
        <v>1233</v>
      </c>
      <c r="I167" s="342" t="s">
        <v>5557</v>
      </c>
      <c r="J167" s="342" t="s">
        <v>3012</v>
      </c>
      <c r="L167" s="342" t="s">
        <v>3013</v>
      </c>
      <c r="M167" s="343">
        <v>45016</v>
      </c>
      <c r="N167" s="342" t="s">
        <v>3014</v>
      </c>
      <c r="O167" s="343">
        <v>44926</v>
      </c>
      <c r="P167" s="342" t="s">
        <v>3015</v>
      </c>
      <c r="Q167" s="343">
        <v>45291</v>
      </c>
      <c r="R167" s="342" t="s">
        <v>3016</v>
      </c>
      <c r="S167" s="343">
        <v>44926</v>
      </c>
      <c r="T167" s="342" t="s">
        <v>3014</v>
      </c>
      <c r="U167" s="343">
        <v>44926</v>
      </c>
      <c r="V167" s="342" t="s">
        <v>4394</v>
      </c>
      <c r="W167" s="343">
        <v>45013</v>
      </c>
      <c r="X167" s="342" t="s">
        <v>4395</v>
      </c>
    </row>
    <row r="168" spans="1:35">
      <c r="A168" s="342">
        <v>197643</v>
      </c>
      <c r="B168" s="342" t="s">
        <v>1242</v>
      </c>
      <c r="C168" s="342" t="s">
        <v>336</v>
      </c>
      <c r="D168" s="342" t="s">
        <v>337</v>
      </c>
      <c r="E168" s="342" t="s">
        <v>591</v>
      </c>
      <c r="F168" s="342" t="s">
        <v>685</v>
      </c>
      <c r="G168" s="342" t="s">
        <v>786</v>
      </c>
      <c r="H168" s="342" t="s">
        <v>1233</v>
      </c>
      <c r="I168" s="342" t="s">
        <v>5557</v>
      </c>
      <c r="J168" s="342" t="s">
        <v>3012</v>
      </c>
      <c r="L168" s="342" t="s">
        <v>3013</v>
      </c>
      <c r="M168" s="343">
        <v>45016</v>
      </c>
      <c r="N168" s="342" t="s">
        <v>3014</v>
      </c>
      <c r="O168" s="343">
        <v>44926</v>
      </c>
      <c r="P168" s="342" t="s">
        <v>3015</v>
      </c>
      <c r="Q168" s="343">
        <v>45291</v>
      </c>
      <c r="R168" s="342" t="s">
        <v>3016</v>
      </c>
      <c r="S168" s="343">
        <v>44926</v>
      </c>
      <c r="T168" s="342" t="s">
        <v>3014</v>
      </c>
      <c r="U168" s="343">
        <v>44926</v>
      </c>
      <c r="V168" s="342" t="s">
        <v>4394</v>
      </c>
      <c r="W168" s="343">
        <v>45013</v>
      </c>
      <c r="X168" s="342" t="s">
        <v>4395</v>
      </c>
    </row>
    <row r="169" spans="1:35">
      <c r="A169" s="342">
        <v>198164</v>
      </c>
      <c r="B169" s="342" t="s">
        <v>884</v>
      </c>
      <c r="C169" s="342" t="s">
        <v>403</v>
      </c>
      <c r="D169" s="342" t="s">
        <v>51</v>
      </c>
      <c r="E169" s="342" t="s">
        <v>591</v>
      </c>
      <c r="F169" s="342" t="s">
        <v>40</v>
      </c>
      <c r="G169" s="342" t="s">
        <v>5282</v>
      </c>
      <c r="H169" s="342" t="s">
        <v>1402</v>
      </c>
      <c r="I169" s="342" t="s">
        <v>6038</v>
      </c>
      <c r="J169" s="342" t="s">
        <v>3017</v>
      </c>
      <c r="K169" s="343">
        <v>45504</v>
      </c>
      <c r="L169" s="342" t="s">
        <v>3018</v>
      </c>
      <c r="P169" s="342" t="s">
        <v>3019</v>
      </c>
      <c r="Q169" s="343">
        <v>44926</v>
      </c>
      <c r="X169" s="342" t="s">
        <v>1714</v>
      </c>
    </row>
    <row r="170" spans="1:35">
      <c r="A170" s="342">
        <v>198305</v>
      </c>
      <c r="B170" s="342" t="s">
        <v>886</v>
      </c>
      <c r="C170" s="342" t="s">
        <v>656</v>
      </c>
      <c r="D170" s="342" t="s">
        <v>98</v>
      </c>
      <c r="E170" s="342" t="s">
        <v>591</v>
      </c>
      <c r="F170" s="342" t="s">
        <v>40</v>
      </c>
      <c r="G170" s="342" t="s">
        <v>5449</v>
      </c>
      <c r="H170" s="342" t="s">
        <v>1402</v>
      </c>
      <c r="I170" s="342" t="s">
        <v>4785</v>
      </c>
      <c r="J170" s="342" t="s">
        <v>3020</v>
      </c>
      <c r="L170" s="342" t="s">
        <v>3021</v>
      </c>
      <c r="M170" s="343">
        <v>45230</v>
      </c>
      <c r="N170" s="342" t="s">
        <v>3022</v>
      </c>
      <c r="X170" s="342" t="s">
        <v>1715</v>
      </c>
      <c r="AC170" s="342" t="s">
        <v>2628</v>
      </c>
      <c r="AE170" s="342" t="s">
        <v>3023</v>
      </c>
      <c r="AI170" s="342" t="s">
        <v>1958</v>
      </c>
    </row>
    <row r="171" spans="1:35">
      <c r="A171" s="342">
        <v>198312</v>
      </c>
      <c r="B171" s="342" t="s">
        <v>687</v>
      </c>
      <c r="C171" s="342" t="s">
        <v>690</v>
      </c>
      <c r="D171" s="342" t="s">
        <v>45</v>
      </c>
      <c r="E171" s="342" t="s">
        <v>591</v>
      </c>
      <c r="F171" s="342" t="s">
        <v>40</v>
      </c>
      <c r="G171" s="342" t="s">
        <v>1277</v>
      </c>
      <c r="H171" s="342" t="s">
        <v>5218</v>
      </c>
      <c r="I171" s="342" t="s">
        <v>4594</v>
      </c>
      <c r="J171" s="342" t="s">
        <v>3024</v>
      </c>
      <c r="X171" s="342" t="s">
        <v>1716</v>
      </c>
      <c r="AE171" s="342" t="s">
        <v>3025</v>
      </c>
      <c r="AI171" s="342" t="s">
        <v>1959</v>
      </c>
    </row>
    <row r="172" spans="1:35">
      <c r="A172" s="342">
        <v>198342</v>
      </c>
      <c r="B172" s="342" t="s">
        <v>338</v>
      </c>
      <c r="C172" s="342" t="s">
        <v>340</v>
      </c>
      <c r="D172" s="342" t="s">
        <v>55</v>
      </c>
      <c r="E172" s="342" t="s">
        <v>591</v>
      </c>
      <c r="F172" s="342" t="s">
        <v>40</v>
      </c>
      <c r="G172" s="342" t="s">
        <v>5279</v>
      </c>
      <c r="H172" s="342" t="s">
        <v>1402</v>
      </c>
      <c r="I172" s="342" t="s">
        <v>4462</v>
      </c>
      <c r="J172" s="342" t="s">
        <v>3026</v>
      </c>
      <c r="L172" s="342" t="s">
        <v>3027</v>
      </c>
      <c r="M172" s="343">
        <v>45046</v>
      </c>
      <c r="N172" s="342" t="s">
        <v>3028</v>
      </c>
      <c r="X172" s="342" t="s">
        <v>1717</v>
      </c>
      <c r="AE172" s="342" t="s">
        <v>3029</v>
      </c>
      <c r="AI172" s="342" t="s">
        <v>1960</v>
      </c>
    </row>
    <row r="173" spans="1:35">
      <c r="A173" s="342">
        <v>198586</v>
      </c>
      <c r="B173" s="342" t="s">
        <v>341</v>
      </c>
      <c r="C173" s="342" t="s">
        <v>226</v>
      </c>
      <c r="D173" s="342" t="s">
        <v>45</v>
      </c>
      <c r="E173" s="342" t="s">
        <v>591</v>
      </c>
      <c r="F173" s="342" t="s">
        <v>40</v>
      </c>
      <c r="G173" s="342" t="s">
        <v>5279</v>
      </c>
      <c r="H173" s="342" t="s">
        <v>1402</v>
      </c>
      <c r="I173" s="342" t="s">
        <v>5293</v>
      </c>
      <c r="J173" s="342" t="s">
        <v>3030</v>
      </c>
      <c r="L173" s="342" t="s">
        <v>3031</v>
      </c>
      <c r="M173" s="343">
        <v>45382</v>
      </c>
      <c r="N173" s="342" t="s">
        <v>3032</v>
      </c>
      <c r="X173" s="342" t="s">
        <v>1718</v>
      </c>
      <c r="Y173" s="342" t="s">
        <v>3033</v>
      </c>
      <c r="AE173" s="342" t="s">
        <v>3034</v>
      </c>
      <c r="AI173" s="342" t="s">
        <v>1961</v>
      </c>
    </row>
    <row r="174" spans="1:35">
      <c r="A174" s="342">
        <v>198587</v>
      </c>
      <c r="B174" s="342" t="s">
        <v>732</v>
      </c>
      <c r="C174" s="342" t="s">
        <v>345</v>
      </c>
      <c r="D174" s="342" t="s">
        <v>51</v>
      </c>
      <c r="E174" s="342" t="s">
        <v>591</v>
      </c>
      <c r="F174" s="342" t="s">
        <v>40</v>
      </c>
      <c r="G174" s="342" t="s">
        <v>786</v>
      </c>
      <c r="H174" s="342" t="s">
        <v>1402</v>
      </c>
      <c r="I174" s="342" t="s">
        <v>6039</v>
      </c>
      <c r="J174" s="342" t="s">
        <v>3035</v>
      </c>
      <c r="K174" s="343">
        <v>45504</v>
      </c>
      <c r="L174" s="342" t="s">
        <v>3036</v>
      </c>
      <c r="P174" s="342" t="s">
        <v>3037</v>
      </c>
      <c r="Q174" s="343">
        <v>45107</v>
      </c>
      <c r="X174" s="342" t="s">
        <v>1719</v>
      </c>
    </row>
    <row r="175" spans="1:35">
      <c r="A175" s="342">
        <v>198590</v>
      </c>
      <c r="B175" s="342" t="s">
        <v>346</v>
      </c>
      <c r="C175" s="342" t="s">
        <v>348</v>
      </c>
      <c r="D175" s="342" t="s">
        <v>45</v>
      </c>
      <c r="E175" s="342" t="s">
        <v>591</v>
      </c>
      <c r="F175" s="342" t="s">
        <v>40</v>
      </c>
      <c r="G175" s="342" t="s">
        <v>5280</v>
      </c>
      <c r="H175" s="342" t="s">
        <v>1233</v>
      </c>
      <c r="I175" s="342" t="s">
        <v>5458</v>
      </c>
      <c r="J175" s="342" t="s">
        <v>3038</v>
      </c>
      <c r="L175" s="342" t="s">
        <v>3039</v>
      </c>
      <c r="M175" s="343">
        <v>45443</v>
      </c>
      <c r="N175" s="342" t="s">
        <v>3040</v>
      </c>
      <c r="P175" s="342" t="s">
        <v>3041</v>
      </c>
      <c r="Q175" s="343">
        <v>44926</v>
      </c>
      <c r="X175" s="342" t="s">
        <v>1720</v>
      </c>
      <c r="AE175" s="342" t="s">
        <v>3042</v>
      </c>
      <c r="AI175" s="342" t="s">
        <v>1962</v>
      </c>
    </row>
    <row r="176" spans="1:35">
      <c r="A176" s="342">
        <v>198697</v>
      </c>
      <c r="B176" s="342" t="s">
        <v>4444</v>
      </c>
      <c r="C176" s="342" t="s">
        <v>4446</v>
      </c>
      <c r="D176" s="342" t="s">
        <v>47</v>
      </c>
      <c r="E176" s="342" t="s">
        <v>591</v>
      </c>
      <c r="F176" s="342" t="s">
        <v>40</v>
      </c>
      <c r="G176" s="342" t="s">
        <v>5280</v>
      </c>
      <c r="H176" s="342" t="s">
        <v>1402</v>
      </c>
      <c r="I176" s="342" t="s">
        <v>5558</v>
      </c>
      <c r="J176" s="342" t="s">
        <v>3043</v>
      </c>
      <c r="L176" s="342" t="s">
        <v>3044</v>
      </c>
      <c r="M176" s="343">
        <v>44865</v>
      </c>
      <c r="N176" s="342" t="s">
        <v>3045</v>
      </c>
      <c r="P176" s="342" t="s">
        <v>3046</v>
      </c>
      <c r="Q176" s="343">
        <v>45291</v>
      </c>
      <c r="R176" s="342" t="s">
        <v>3047</v>
      </c>
      <c r="S176" s="343">
        <v>44865</v>
      </c>
      <c r="X176" s="342" t="s">
        <v>1721</v>
      </c>
    </row>
    <row r="177" spans="1:35">
      <c r="A177" s="342">
        <v>198701</v>
      </c>
      <c r="B177" s="342" t="s">
        <v>1475</v>
      </c>
      <c r="C177" s="342" t="s">
        <v>1477</v>
      </c>
      <c r="D177" s="342" t="s">
        <v>47</v>
      </c>
      <c r="E177" s="342" t="s">
        <v>591</v>
      </c>
      <c r="F177" s="342" t="s">
        <v>40</v>
      </c>
      <c r="G177" s="342" t="s">
        <v>5280</v>
      </c>
      <c r="H177" s="342" t="s">
        <v>1402</v>
      </c>
      <c r="I177" s="342" t="s">
        <v>5559</v>
      </c>
      <c r="J177" s="342" t="s">
        <v>3043</v>
      </c>
      <c r="L177" s="342" t="s">
        <v>3044</v>
      </c>
      <c r="M177" s="343">
        <v>44865</v>
      </c>
      <c r="N177" s="342" t="s">
        <v>3045</v>
      </c>
      <c r="P177" s="342" t="s">
        <v>3046</v>
      </c>
      <c r="Q177" s="343">
        <v>44926</v>
      </c>
      <c r="R177" s="342" t="s">
        <v>3047</v>
      </c>
      <c r="S177" s="343">
        <v>44865</v>
      </c>
      <c r="X177" s="342" t="s">
        <v>1721</v>
      </c>
    </row>
    <row r="178" spans="1:35">
      <c r="A178" s="342">
        <v>198770</v>
      </c>
      <c r="B178" s="342" t="s">
        <v>893</v>
      </c>
      <c r="C178" s="342" t="s">
        <v>895</v>
      </c>
      <c r="D178" s="342" t="s">
        <v>47</v>
      </c>
      <c r="E178" s="342" t="s">
        <v>591</v>
      </c>
      <c r="F178" s="342" t="s">
        <v>749</v>
      </c>
      <c r="G178" s="342" t="s">
        <v>1421</v>
      </c>
      <c r="H178" s="342" t="s">
        <v>1402</v>
      </c>
    </row>
    <row r="179" spans="1:35">
      <c r="A179" s="342">
        <v>198967</v>
      </c>
      <c r="B179" s="342" t="s">
        <v>350</v>
      </c>
      <c r="C179" s="342" t="s">
        <v>352</v>
      </c>
      <c r="D179" s="342" t="s">
        <v>118</v>
      </c>
      <c r="E179" s="342" t="s">
        <v>591</v>
      </c>
      <c r="F179" s="342" t="s">
        <v>40</v>
      </c>
      <c r="G179" s="342" t="s">
        <v>1510</v>
      </c>
      <c r="H179" s="342" t="s">
        <v>1402</v>
      </c>
      <c r="I179" s="342" t="s">
        <v>4556</v>
      </c>
      <c r="J179" s="342" t="s">
        <v>3048</v>
      </c>
      <c r="L179" s="342" t="s">
        <v>3049</v>
      </c>
      <c r="M179" s="343">
        <v>45077</v>
      </c>
      <c r="X179" s="342" t="s">
        <v>1722</v>
      </c>
      <c r="AE179" s="342" t="s">
        <v>3050</v>
      </c>
      <c r="AI179" s="342" t="s">
        <v>1963</v>
      </c>
    </row>
    <row r="180" spans="1:35">
      <c r="A180" s="342">
        <v>199184</v>
      </c>
      <c r="B180" s="342" t="s">
        <v>1227</v>
      </c>
      <c r="C180" s="342" t="s">
        <v>1229</v>
      </c>
      <c r="D180" s="342" t="s">
        <v>47</v>
      </c>
      <c r="E180" s="342" t="s">
        <v>591</v>
      </c>
      <c r="F180" s="342" t="s">
        <v>737</v>
      </c>
      <c r="G180" s="342" t="s">
        <v>5280</v>
      </c>
      <c r="H180" s="342" t="s">
        <v>1233</v>
      </c>
      <c r="I180" s="342" t="s">
        <v>1231</v>
      </c>
      <c r="AE180" s="342" t="s">
        <v>3051</v>
      </c>
      <c r="AI180" s="342" t="s">
        <v>1964</v>
      </c>
    </row>
    <row r="181" spans="1:35">
      <c r="A181" s="342">
        <v>199281</v>
      </c>
      <c r="B181" s="342" t="s">
        <v>5025</v>
      </c>
      <c r="C181" s="342" t="s">
        <v>353</v>
      </c>
      <c r="D181" s="342" t="s">
        <v>47</v>
      </c>
      <c r="E181" s="342" t="s">
        <v>591</v>
      </c>
      <c r="F181" s="342" t="s">
        <v>40</v>
      </c>
      <c r="G181" s="342" t="s">
        <v>4638</v>
      </c>
      <c r="H181" s="342" t="s">
        <v>1233</v>
      </c>
      <c r="I181" s="342" t="s">
        <v>4643</v>
      </c>
      <c r="J181" s="342" t="s">
        <v>3052</v>
      </c>
      <c r="L181" s="342" t="s">
        <v>3053</v>
      </c>
      <c r="M181" s="343">
        <v>44895</v>
      </c>
      <c r="X181" s="342" t="s">
        <v>1723</v>
      </c>
      <c r="AE181" s="342" t="s">
        <v>3055</v>
      </c>
      <c r="AI181" s="342" t="s">
        <v>4644</v>
      </c>
    </row>
    <row r="182" spans="1:35">
      <c r="A182" s="342">
        <v>201000</v>
      </c>
      <c r="B182" s="342" t="s">
        <v>354</v>
      </c>
      <c r="C182" s="342" t="s">
        <v>356</v>
      </c>
      <c r="D182" s="342" t="s">
        <v>51</v>
      </c>
      <c r="E182" s="342" t="s">
        <v>591</v>
      </c>
      <c r="F182" s="342" t="s">
        <v>40</v>
      </c>
      <c r="G182" s="342" t="s">
        <v>5279</v>
      </c>
      <c r="H182" s="342" t="s">
        <v>1402</v>
      </c>
      <c r="I182" s="342" t="s">
        <v>6040</v>
      </c>
      <c r="J182" s="342" t="s">
        <v>3057</v>
      </c>
      <c r="K182" s="343">
        <v>45504</v>
      </c>
      <c r="L182" s="342" t="s">
        <v>3058</v>
      </c>
      <c r="P182" s="342" t="s">
        <v>3059</v>
      </c>
      <c r="Q182" s="343">
        <v>44926</v>
      </c>
      <c r="X182" s="342" t="s">
        <v>1724</v>
      </c>
      <c r="AG182" s="342" t="s">
        <v>3060</v>
      </c>
      <c r="AI182" s="342" t="s">
        <v>1965</v>
      </c>
    </row>
    <row r="183" spans="1:35">
      <c r="A183" s="342">
        <v>201798</v>
      </c>
      <c r="B183" s="342" t="s">
        <v>357</v>
      </c>
      <c r="C183" s="342" t="s">
        <v>360</v>
      </c>
      <c r="D183" s="342" t="s">
        <v>246</v>
      </c>
      <c r="E183" s="342" t="s">
        <v>591</v>
      </c>
      <c r="F183" s="342" t="s">
        <v>40</v>
      </c>
      <c r="G183" s="342" t="s">
        <v>1277</v>
      </c>
      <c r="H183" s="342" t="s">
        <v>1162</v>
      </c>
      <c r="I183" s="342" t="s">
        <v>5677</v>
      </c>
      <c r="J183" s="342" t="s">
        <v>3061</v>
      </c>
      <c r="L183" s="342" t="s">
        <v>3062</v>
      </c>
      <c r="M183" s="343">
        <v>44834</v>
      </c>
      <c r="P183" s="342" t="s">
        <v>3063</v>
      </c>
      <c r="Q183" s="343">
        <v>44926</v>
      </c>
      <c r="X183" s="342" t="s">
        <v>4802</v>
      </c>
    </row>
    <row r="184" spans="1:35">
      <c r="A184" s="342">
        <v>202699</v>
      </c>
      <c r="B184" s="342" t="s">
        <v>362</v>
      </c>
      <c r="C184" s="342" t="s">
        <v>900</v>
      </c>
      <c r="D184" s="342" t="s">
        <v>47</v>
      </c>
      <c r="E184" s="342" t="s">
        <v>591</v>
      </c>
      <c r="F184" s="342" t="s">
        <v>737</v>
      </c>
      <c r="G184" s="342" t="s">
        <v>1336</v>
      </c>
      <c r="H184" s="342" t="s">
        <v>1233</v>
      </c>
      <c r="I184" s="342" t="s">
        <v>4846</v>
      </c>
      <c r="J184" s="342" t="s">
        <v>3064</v>
      </c>
      <c r="X184" s="342" t="s">
        <v>1725</v>
      </c>
      <c r="AE184" s="342" t="s">
        <v>3065</v>
      </c>
      <c r="AI184" s="342" t="s">
        <v>1966</v>
      </c>
    </row>
    <row r="185" spans="1:35">
      <c r="A185" s="342">
        <v>202981</v>
      </c>
      <c r="B185" s="342" t="s">
        <v>902</v>
      </c>
      <c r="C185" s="342" t="s">
        <v>151</v>
      </c>
      <c r="D185" s="342" t="s">
        <v>47</v>
      </c>
      <c r="E185" s="342" t="s">
        <v>591</v>
      </c>
      <c r="F185" s="342" t="s">
        <v>40</v>
      </c>
      <c r="G185" s="342" t="s">
        <v>5280</v>
      </c>
      <c r="H185" s="342" t="s">
        <v>1402</v>
      </c>
      <c r="I185" s="342" t="s">
        <v>5560</v>
      </c>
      <c r="J185" s="342" t="s">
        <v>3066</v>
      </c>
      <c r="L185" s="342" t="s">
        <v>3067</v>
      </c>
      <c r="M185" s="343">
        <v>44926</v>
      </c>
      <c r="N185" s="342" t="s">
        <v>3068</v>
      </c>
      <c r="O185" s="343">
        <v>72686</v>
      </c>
      <c r="P185" s="342" t="s">
        <v>3069</v>
      </c>
      <c r="Q185" s="343">
        <v>44926</v>
      </c>
      <c r="X185" s="342" t="s">
        <v>1726</v>
      </c>
      <c r="AE185" s="342" t="s">
        <v>3070</v>
      </c>
      <c r="AI185" s="342" t="s">
        <v>1967</v>
      </c>
    </row>
    <row r="186" spans="1:35">
      <c r="A186" s="342">
        <v>203035</v>
      </c>
      <c r="B186" s="342" t="s">
        <v>744</v>
      </c>
      <c r="C186" s="342" t="s">
        <v>365</v>
      </c>
      <c r="D186" s="342" t="s">
        <v>118</v>
      </c>
      <c r="E186" s="342" t="s">
        <v>591</v>
      </c>
      <c r="F186" s="342" t="s">
        <v>40</v>
      </c>
      <c r="G186" s="342" t="s">
        <v>5280</v>
      </c>
      <c r="H186" s="342" t="s">
        <v>1233</v>
      </c>
      <c r="I186" s="342" t="s">
        <v>4391</v>
      </c>
      <c r="J186" s="342" t="s">
        <v>3071</v>
      </c>
      <c r="L186" s="342" t="s">
        <v>3072</v>
      </c>
      <c r="M186" s="343">
        <v>45016</v>
      </c>
      <c r="X186" s="342" t="s">
        <v>1727</v>
      </c>
      <c r="AE186" s="342" t="s">
        <v>3073</v>
      </c>
      <c r="AI186" s="342" t="s">
        <v>1968</v>
      </c>
    </row>
    <row r="187" spans="1:35">
      <c r="A187" s="342">
        <v>203249</v>
      </c>
      <c r="B187" s="342" t="s">
        <v>366</v>
      </c>
      <c r="C187" s="342" t="s">
        <v>369</v>
      </c>
      <c r="D187" s="342" t="s">
        <v>45</v>
      </c>
      <c r="E187" s="342" t="s">
        <v>591</v>
      </c>
      <c r="F187" s="342" t="s">
        <v>40</v>
      </c>
      <c r="G187" s="342" t="s">
        <v>5281</v>
      </c>
      <c r="H187" s="342" t="s">
        <v>5218</v>
      </c>
      <c r="I187" s="342" t="s">
        <v>5418</v>
      </c>
      <c r="L187" s="342" t="s">
        <v>3074</v>
      </c>
      <c r="M187" s="343">
        <v>45199</v>
      </c>
      <c r="X187" s="342" t="s">
        <v>5009</v>
      </c>
      <c r="Y187" s="342" t="s">
        <v>4919</v>
      </c>
      <c r="AE187" s="342" t="s">
        <v>3075</v>
      </c>
      <c r="AI187" s="342" t="s">
        <v>4915</v>
      </c>
    </row>
    <row r="188" spans="1:35">
      <c r="A188" s="342">
        <v>203252</v>
      </c>
      <c r="B188" s="342" t="s">
        <v>906</v>
      </c>
      <c r="C188" s="342" t="s">
        <v>372</v>
      </c>
      <c r="D188" s="342" t="s">
        <v>51</v>
      </c>
      <c r="E188" s="342" t="s">
        <v>591</v>
      </c>
      <c r="F188" s="342" t="s">
        <v>40</v>
      </c>
      <c r="G188" s="342" t="s">
        <v>5281</v>
      </c>
      <c r="H188" s="342" t="s">
        <v>5218</v>
      </c>
      <c r="I188" s="342" t="s">
        <v>6041</v>
      </c>
      <c r="J188" s="342" t="s">
        <v>3076</v>
      </c>
      <c r="K188" s="343">
        <v>45504</v>
      </c>
      <c r="L188" s="342" t="s">
        <v>3077</v>
      </c>
      <c r="P188" s="342" t="s">
        <v>3078</v>
      </c>
      <c r="Q188" s="343">
        <v>45291</v>
      </c>
      <c r="X188" s="342" t="s">
        <v>1728</v>
      </c>
      <c r="AG188" s="342" t="s">
        <v>3079</v>
      </c>
      <c r="AI188" s="342" t="s">
        <v>1969</v>
      </c>
    </row>
    <row r="189" spans="1:35">
      <c r="A189" s="342">
        <v>203617</v>
      </c>
      <c r="B189" s="342" t="s">
        <v>666</v>
      </c>
      <c r="C189" s="342" t="s">
        <v>668</v>
      </c>
      <c r="D189" s="342" t="s">
        <v>47</v>
      </c>
      <c r="E189" s="342" t="s">
        <v>591</v>
      </c>
      <c r="F189" s="342" t="s">
        <v>40</v>
      </c>
      <c r="G189" s="342" t="s">
        <v>5283</v>
      </c>
      <c r="H189" s="342" t="s">
        <v>1233</v>
      </c>
      <c r="I189" s="342" t="s">
        <v>4601</v>
      </c>
      <c r="J189" s="342" t="s">
        <v>3080</v>
      </c>
      <c r="L189" s="342" t="s">
        <v>3081</v>
      </c>
      <c r="M189" s="343">
        <v>45138</v>
      </c>
      <c r="N189" s="342" t="s">
        <v>3082</v>
      </c>
      <c r="O189" s="343">
        <v>72686</v>
      </c>
      <c r="P189" s="342" t="s">
        <v>3083</v>
      </c>
      <c r="Q189" s="343">
        <v>44926</v>
      </c>
      <c r="X189" s="342" t="s">
        <v>1729</v>
      </c>
      <c r="AE189" s="342" t="s">
        <v>3084</v>
      </c>
      <c r="AI189" s="342" t="s">
        <v>1970</v>
      </c>
    </row>
    <row r="190" spans="1:35">
      <c r="A190" s="342">
        <v>203630</v>
      </c>
      <c r="B190" s="342" t="s">
        <v>1178</v>
      </c>
      <c r="C190" s="342" t="s">
        <v>374</v>
      </c>
      <c r="D190" s="342" t="s">
        <v>47</v>
      </c>
      <c r="E190" s="342" t="s">
        <v>591</v>
      </c>
      <c r="F190" s="342" t="s">
        <v>40</v>
      </c>
      <c r="G190" s="342" t="s">
        <v>5283</v>
      </c>
      <c r="H190" s="342" t="s">
        <v>1233</v>
      </c>
      <c r="I190" s="342" t="s">
        <v>5561</v>
      </c>
      <c r="J190" s="342" t="s">
        <v>3085</v>
      </c>
      <c r="L190" s="342" t="s">
        <v>3086</v>
      </c>
      <c r="M190" s="343">
        <v>45230</v>
      </c>
      <c r="N190" s="342" t="s">
        <v>3087</v>
      </c>
      <c r="O190" s="343">
        <v>72686</v>
      </c>
      <c r="P190" s="342" t="s">
        <v>3088</v>
      </c>
      <c r="Q190" s="343">
        <v>44926</v>
      </c>
      <c r="X190" s="342" t="s">
        <v>1730</v>
      </c>
    </row>
    <row r="191" spans="1:35">
      <c r="A191" s="342">
        <v>206126</v>
      </c>
      <c r="B191" s="342" t="s">
        <v>1067</v>
      </c>
      <c r="C191" s="342" t="s">
        <v>348</v>
      </c>
      <c r="D191" s="342" t="s">
        <v>45</v>
      </c>
      <c r="E191" s="342" t="s">
        <v>591</v>
      </c>
      <c r="F191" s="342" t="s">
        <v>40</v>
      </c>
      <c r="G191" s="342" t="s">
        <v>1277</v>
      </c>
      <c r="H191" s="342" t="s">
        <v>1402</v>
      </c>
      <c r="I191" s="342" t="s">
        <v>5562</v>
      </c>
      <c r="J191" s="342" t="s">
        <v>5577</v>
      </c>
      <c r="L191" s="342" t="s">
        <v>3118</v>
      </c>
      <c r="M191" s="343">
        <v>45382</v>
      </c>
      <c r="P191" s="342" t="s">
        <v>3120</v>
      </c>
      <c r="Q191" s="343">
        <v>44742</v>
      </c>
      <c r="X191" s="342" t="s">
        <v>5574</v>
      </c>
      <c r="AA191" s="342" t="s">
        <v>5578</v>
      </c>
      <c r="AE191" s="342" t="s">
        <v>5578</v>
      </c>
      <c r="AI191" s="342" t="s">
        <v>5576</v>
      </c>
    </row>
    <row r="192" spans="1:35">
      <c r="A192" s="342">
        <v>206359</v>
      </c>
      <c r="B192" s="342" t="s">
        <v>376</v>
      </c>
      <c r="C192" s="342" t="s">
        <v>379</v>
      </c>
      <c r="D192" s="342" t="s">
        <v>51</v>
      </c>
      <c r="E192" s="342" t="s">
        <v>591</v>
      </c>
      <c r="F192" s="342" t="s">
        <v>40</v>
      </c>
      <c r="G192" s="342" t="s">
        <v>1277</v>
      </c>
      <c r="H192" s="342" t="s">
        <v>1233</v>
      </c>
      <c r="I192" s="342" t="s">
        <v>6042</v>
      </c>
      <c r="J192" s="342" t="s">
        <v>3089</v>
      </c>
      <c r="K192" s="343">
        <v>45504</v>
      </c>
      <c r="L192" s="342" t="s">
        <v>3090</v>
      </c>
      <c r="P192" s="342" t="s">
        <v>3091</v>
      </c>
      <c r="Q192" s="343">
        <v>44926</v>
      </c>
      <c r="X192" s="342" t="s">
        <v>1731</v>
      </c>
    </row>
    <row r="193" spans="1:38">
      <c r="A193" s="342">
        <v>207509</v>
      </c>
      <c r="B193" s="342" t="s">
        <v>382</v>
      </c>
      <c r="C193" s="342" t="s">
        <v>4457</v>
      </c>
      <c r="D193" s="342" t="s">
        <v>66</v>
      </c>
      <c r="E193" s="342" t="s">
        <v>591</v>
      </c>
      <c r="F193" s="342" t="s">
        <v>40</v>
      </c>
      <c r="G193" s="342" t="s">
        <v>5283</v>
      </c>
      <c r="H193" s="342" t="s">
        <v>1233</v>
      </c>
      <c r="I193" s="342" t="s">
        <v>5563</v>
      </c>
      <c r="J193" s="342" t="s">
        <v>3092</v>
      </c>
      <c r="L193" s="342" t="s">
        <v>3093</v>
      </c>
      <c r="M193" s="343">
        <v>45199</v>
      </c>
      <c r="N193" s="342" t="s">
        <v>3094</v>
      </c>
      <c r="P193" s="342" t="s">
        <v>3095</v>
      </c>
      <c r="Q193" s="343">
        <v>44926</v>
      </c>
      <c r="X193" s="342" t="s">
        <v>1732</v>
      </c>
      <c r="AE193" s="342" t="s">
        <v>3096</v>
      </c>
      <c r="AI193" s="342" t="s">
        <v>1971</v>
      </c>
    </row>
    <row r="194" spans="1:38">
      <c r="A194" s="342">
        <v>209435</v>
      </c>
      <c r="B194" s="342" t="s">
        <v>384</v>
      </c>
      <c r="C194" s="342" t="s">
        <v>386</v>
      </c>
      <c r="D194" s="342" t="s">
        <v>51</v>
      </c>
      <c r="E194" s="342" t="s">
        <v>591</v>
      </c>
      <c r="F194" s="342" t="s">
        <v>40</v>
      </c>
      <c r="G194" s="342" t="s">
        <v>5283</v>
      </c>
      <c r="H194" s="342" t="s">
        <v>1233</v>
      </c>
      <c r="I194" s="342" t="s">
        <v>6043</v>
      </c>
      <c r="J194" s="342" t="s">
        <v>3097</v>
      </c>
      <c r="K194" s="343">
        <v>45504</v>
      </c>
      <c r="L194" s="342" t="s">
        <v>3098</v>
      </c>
      <c r="P194" s="342" t="s">
        <v>3099</v>
      </c>
      <c r="Q194" s="343">
        <v>44926</v>
      </c>
      <c r="X194" s="342" t="s">
        <v>1733</v>
      </c>
    </row>
    <row r="195" spans="1:38">
      <c r="A195" s="342">
        <v>217495</v>
      </c>
      <c r="B195" s="342" t="s">
        <v>600</v>
      </c>
      <c r="C195" s="342" t="s">
        <v>601</v>
      </c>
      <c r="D195" s="342" t="s">
        <v>45</v>
      </c>
      <c r="E195" s="342" t="s">
        <v>591</v>
      </c>
      <c r="F195" s="342" t="s">
        <v>40</v>
      </c>
      <c r="G195" s="342" t="s">
        <v>5279</v>
      </c>
      <c r="H195" s="342" t="s">
        <v>1402</v>
      </c>
      <c r="I195" s="342" t="s">
        <v>6044</v>
      </c>
      <c r="J195" s="342" t="s">
        <v>3100</v>
      </c>
      <c r="L195" s="342" t="s">
        <v>3101</v>
      </c>
      <c r="M195" s="343">
        <v>45504</v>
      </c>
      <c r="N195" s="342" t="s">
        <v>3102</v>
      </c>
      <c r="P195" s="342" t="s">
        <v>3103</v>
      </c>
      <c r="Q195" s="343">
        <v>44926</v>
      </c>
      <c r="X195" s="342" t="s">
        <v>1734</v>
      </c>
      <c r="AE195" s="342" t="s">
        <v>3104</v>
      </c>
      <c r="AI195" s="342" t="s">
        <v>1972</v>
      </c>
    </row>
    <row r="196" spans="1:38">
      <c r="A196" s="342">
        <v>217647</v>
      </c>
      <c r="B196" s="342" t="s">
        <v>909</v>
      </c>
      <c r="C196" s="342" t="s">
        <v>68</v>
      </c>
      <c r="D196" s="342" t="s">
        <v>47</v>
      </c>
      <c r="E196" s="342" t="s">
        <v>591</v>
      </c>
      <c r="F196" s="342" t="s">
        <v>43</v>
      </c>
      <c r="G196" s="342" t="s">
        <v>1336</v>
      </c>
      <c r="H196" s="342" t="s">
        <v>1402</v>
      </c>
      <c r="I196" s="342" t="s">
        <v>4855</v>
      </c>
      <c r="J196" s="342" t="s">
        <v>3105</v>
      </c>
      <c r="X196" s="342" t="s">
        <v>1735</v>
      </c>
      <c r="Y196" s="342" t="s">
        <v>3106</v>
      </c>
      <c r="AE196" s="342" t="s">
        <v>3107</v>
      </c>
      <c r="AI196" s="342" t="s">
        <v>1973</v>
      </c>
      <c r="AJ196" s="342" t="s">
        <v>4857</v>
      </c>
      <c r="AL196" s="342" t="s">
        <v>4856</v>
      </c>
    </row>
    <row r="197" spans="1:38">
      <c r="A197" s="342">
        <v>217647</v>
      </c>
      <c r="B197" s="342" t="s">
        <v>909</v>
      </c>
      <c r="C197" s="342" t="s">
        <v>68</v>
      </c>
      <c r="D197" s="342" t="s">
        <v>47</v>
      </c>
      <c r="E197" s="342" t="s">
        <v>591</v>
      </c>
      <c r="F197" s="342" t="s">
        <v>1100</v>
      </c>
      <c r="G197" s="342" t="s">
        <v>1336</v>
      </c>
      <c r="H197" s="342" t="s">
        <v>1402</v>
      </c>
      <c r="I197" s="342" t="s">
        <v>4855</v>
      </c>
      <c r="J197" s="342" t="s">
        <v>3105</v>
      </c>
      <c r="X197" s="342" t="s">
        <v>1735</v>
      </c>
      <c r="Y197" s="342" t="s">
        <v>3106</v>
      </c>
      <c r="AE197" s="342" t="s">
        <v>3107</v>
      </c>
      <c r="AI197" s="342" t="s">
        <v>1973</v>
      </c>
      <c r="AJ197" s="342" t="s">
        <v>4857</v>
      </c>
      <c r="AL197" s="342" t="s">
        <v>4856</v>
      </c>
    </row>
    <row r="198" spans="1:38">
      <c r="A198" s="342">
        <v>217647</v>
      </c>
      <c r="B198" s="342" t="s">
        <v>909</v>
      </c>
      <c r="C198" s="342" t="s">
        <v>68</v>
      </c>
      <c r="D198" s="342" t="s">
        <v>47</v>
      </c>
      <c r="E198" s="342" t="s">
        <v>591</v>
      </c>
      <c r="F198" s="342" t="s">
        <v>685</v>
      </c>
      <c r="G198" s="342" t="s">
        <v>1336</v>
      </c>
      <c r="H198" s="342" t="s">
        <v>1402</v>
      </c>
      <c r="I198" s="342" t="s">
        <v>4855</v>
      </c>
      <c r="J198" s="342" t="s">
        <v>3105</v>
      </c>
      <c r="X198" s="342" t="s">
        <v>1735</v>
      </c>
      <c r="Y198" s="342" t="s">
        <v>3106</v>
      </c>
      <c r="AE198" s="342" t="s">
        <v>3107</v>
      </c>
      <c r="AI198" s="342" t="s">
        <v>1973</v>
      </c>
      <c r="AJ198" s="342" t="s">
        <v>4857</v>
      </c>
      <c r="AL198" s="342" t="s">
        <v>4856</v>
      </c>
    </row>
    <row r="199" spans="1:38">
      <c r="A199" s="342">
        <v>217725</v>
      </c>
      <c r="B199" s="342" t="s">
        <v>389</v>
      </c>
      <c r="C199" s="342" t="s">
        <v>226</v>
      </c>
      <c r="D199" s="342" t="s">
        <v>45</v>
      </c>
      <c r="E199" s="342" t="s">
        <v>591</v>
      </c>
      <c r="F199" s="342" t="s">
        <v>40</v>
      </c>
      <c r="G199" s="342" t="s">
        <v>5282</v>
      </c>
      <c r="H199" s="342" t="s">
        <v>1233</v>
      </c>
      <c r="I199" s="342" t="s">
        <v>5564</v>
      </c>
      <c r="J199" s="342" t="s">
        <v>3108</v>
      </c>
      <c r="L199" s="342" t="s">
        <v>3109</v>
      </c>
      <c r="M199" s="343">
        <v>45322</v>
      </c>
      <c r="N199" s="342">
        <v>803.02</v>
      </c>
      <c r="P199" s="342" t="s">
        <v>3110</v>
      </c>
      <c r="Q199" s="343">
        <v>44926</v>
      </c>
      <c r="X199" s="342" t="s">
        <v>4448</v>
      </c>
      <c r="AE199" s="342" t="s">
        <v>3111</v>
      </c>
      <c r="AI199" s="342" t="s">
        <v>1974</v>
      </c>
    </row>
    <row r="200" spans="1:38">
      <c r="A200" s="342">
        <v>217762</v>
      </c>
      <c r="B200" s="342" t="s">
        <v>738</v>
      </c>
      <c r="C200" s="342" t="s">
        <v>740</v>
      </c>
      <c r="D200" s="342" t="s">
        <v>51</v>
      </c>
      <c r="E200" s="342" t="s">
        <v>591</v>
      </c>
      <c r="F200" s="342" t="s">
        <v>40</v>
      </c>
      <c r="G200" s="342" t="s">
        <v>4608</v>
      </c>
      <c r="H200" s="342" t="s">
        <v>5218</v>
      </c>
      <c r="I200" s="342" t="s">
        <v>6045</v>
      </c>
      <c r="J200" s="342" t="s">
        <v>3112</v>
      </c>
      <c r="K200" s="343">
        <v>45504</v>
      </c>
      <c r="L200" s="342" t="s">
        <v>3113</v>
      </c>
      <c r="P200" s="342" t="s">
        <v>5481</v>
      </c>
      <c r="Q200" s="343">
        <v>44926</v>
      </c>
      <c r="X200" s="342" t="s">
        <v>5472</v>
      </c>
      <c r="AA200" s="342" t="s">
        <v>3114</v>
      </c>
      <c r="AI200" s="342" t="s">
        <v>1975</v>
      </c>
    </row>
    <row r="201" spans="1:38">
      <c r="A201" s="342">
        <v>217815</v>
      </c>
      <c r="B201" s="342" t="s">
        <v>670</v>
      </c>
      <c r="C201" s="342" t="s">
        <v>88</v>
      </c>
      <c r="D201" s="342" t="s">
        <v>55</v>
      </c>
      <c r="E201" s="342" t="s">
        <v>591</v>
      </c>
      <c r="F201" s="342" t="s">
        <v>40</v>
      </c>
      <c r="G201" s="342" t="s">
        <v>1510</v>
      </c>
      <c r="H201" s="342" t="s">
        <v>1402</v>
      </c>
      <c r="I201" s="342" t="s">
        <v>1428</v>
      </c>
      <c r="J201" s="342" t="s">
        <v>3115</v>
      </c>
      <c r="X201" s="342" t="s">
        <v>1736</v>
      </c>
      <c r="AE201" s="342" t="s">
        <v>3116</v>
      </c>
      <c r="AI201" s="342" t="s">
        <v>1976</v>
      </c>
    </row>
    <row r="202" spans="1:38">
      <c r="A202" s="342">
        <v>219523</v>
      </c>
      <c r="B202" s="342" t="s">
        <v>1067</v>
      </c>
      <c r="C202" s="342" t="s">
        <v>394</v>
      </c>
      <c r="D202" s="342" t="s">
        <v>45</v>
      </c>
      <c r="E202" s="342" t="s">
        <v>591</v>
      </c>
      <c r="F202" s="342" t="s">
        <v>40</v>
      </c>
      <c r="G202" s="342" t="s">
        <v>1277</v>
      </c>
      <c r="I202" s="342" t="s">
        <v>5346</v>
      </c>
      <c r="J202" s="342" t="s">
        <v>3117</v>
      </c>
      <c r="L202" s="342" t="s">
        <v>3118</v>
      </c>
      <c r="M202" s="343">
        <v>45382</v>
      </c>
      <c r="N202" s="342" t="s">
        <v>3119</v>
      </c>
      <c r="P202" s="342" t="s">
        <v>3120</v>
      </c>
      <c r="Q202" s="343">
        <v>44742</v>
      </c>
      <c r="X202" s="342" t="s">
        <v>1737</v>
      </c>
      <c r="Y202" s="342" t="s">
        <v>4920</v>
      </c>
      <c r="AE202" s="342" t="s">
        <v>3121</v>
      </c>
      <c r="AI202" s="342" t="s">
        <v>4916</v>
      </c>
    </row>
    <row r="203" spans="1:38">
      <c r="A203" s="342">
        <v>219552</v>
      </c>
      <c r="B203" s="342" t="s">
        <v>395</v>
      </c>
      <c r="C203" s="342" t="s">
        <v>397</v>
      </c>
      <c r="D203" s="342" t="s">
        <v>55</v>
      </c>
      <c r="E203" s="342" t="s">
        <v>591</v>
      </c>
      <c r="F203" s="342" t="s">
        <v>40</v>
      </c>
      <c r="G203" s="342" t="s">
        <v>5278</v>
      </c>
      <c r="H203" s="342" t="s">
        <v>1233</v>
      </c>
      <c r="I203" s="342" t="s">
        <v>5193</v>
      </c>
      <c r="J203" s="342" t="s">
        <v>2694</v>
      </c>
      <c r="L203" s="342" t="s">
        <v>2695</v>
      </c>
      <c r="M203" s="343">
        <v>45350</v>
      </c>
      <c r="X203" s="342" t="s">
        <v>1738</v>
      </c>
      <c r="AE203" s="342" t="s">
        <v>2697</v>
      </c>
      <c r="AI203" s="342" t="s">
        <v>1977</v>
      </c>
    </row>
    <row r="204" spans="1:38">
      <c r="A204" s="342">
        <v>220816</v>
      </c>
      <c r="B204" s="342" t="s">
        <v>398</v>
      </c>
      <c r="C204" s="342" t="s">
        <v>400</v>
      </c>
      <c r="D204" s="342" t="s">
        <v>55</v>
      </c>
      <c r="E204" s="342" t="s">
        <v>591</v>
      </c>
      <c r="F204" s="342" t="s">
        <v>40</v>
      </c>
      <c r="G204" s="342" t="s">
        <v>5279</v>
      </c>
      <c r="H204" s="342" t="s">
        <v>1233</v>
      </c>
      <c r="I204" s="342" t="s">
        <v>5565</v>
      </c>
      <c r="J204" s="342" t="s">
        <v>3122</v>
      </c>
      <c r="L204" s="342" t="s">
        <v>3123</v>
      </c>
      <c r="M204" s="343">
        <v>45230</v>
      </c>
      <c r="N204" s="342" t="s">
        <v>3124</v>
      </c>
      <c r="P204" s="342" t="s">
        <v>3125</v>
      </c>
      <c r="Q204" s="343">
        <v>44926</v>
      </c>
      <c r="X204" s="342" t="s">
        <v>1739</v>
      </c>
      <c r="AA204" s="342" t="s">
        <v>3126</v>
      </c>
      <c r="AE204" s="342" t="s">
        <v>3126</v>
      </c>
      <c r="AI204" s="342" t="s">
        <v>1978</v>
      </c>
    </row>
    <row r="205" spans="1:38">
      <c r="A205" s="342">
        <v>222739</v>
      </c>
      <c r="B205" s="342" t="s">
        <v>916</v>
      </c>
      <c r="C205" s="342" t="s">
        <v>918</v>
      </c>
      <c r="D205" s="342" t="s">
        <v>51</v>
      </c>
      <c r="E205" s="342" t="s">
        <v>591</v>
      </c>
      <c r="F205" s="342" t="s">
        <v>1114</v>
      </c>
      <c r="G205" s="342" t="s">
        <v>4608</v>
      </c>
      <c r="H205" s="342" t="s">
        <v>1402</v>
      </c>
    </row>
    <row r="206" spans="1:38">
      <c r="A206" s="342">
        <v>224029</v>
      </c>
      <c r="B206" s="342" t="s">
        <v>920</v>
      </c>
      <c r="C206" s="342" t="s">
        <v>922</v>
      </c>
      <c r="D206" s="342" t="s">
        <v>51</v>
      </c>
      <c r="E206" s="342" t="s">
        <v>591</v>
      </c>
      <c r="F206" s="342" t="s">
        <v>1114</v>
      </c>
      <c r="G206" s="342" t="s">
        <v>1288</v>
      </c>
      <c r="H206" s="342" t="s">
        <v>1402</v>
      </c>
    </row>
    <row r="207" spans="1:38">
      <c r="A207" s="342">
        <v>225159</v>
      </c>
      <c r="B207" s="342" t="s">
        <v>404</v>
      </c>
      <c r="C207" s="342" t="s">
        <v>406</v>
      </c>
      <c r="D207" s="342" t="s">
        <v>55</v>
      </c>
      <c r="E207" s="342" t="s">
        <v>591</v>
      </c>
      <c r="F207" s="342" t="s">
        <v>40</v>
      </c>
      <c r="G207" s="342" t="s">
        <v>5282</v>
      </c>
      <c r="H207" s="342" t="s">
        <v>1402</v>
      </c>
      <c r="I207" s="342" t="s">
        <v>4757</v>
      </c>
      <c r="J207" s="342" t="s">
        <v>3130</v>
      </c>
      <c r="X207" s="342" t="s">
        <v>1741</v>
      </c>
      <c r="AE207" s="342" t="s">
        <v>3131</v>
      </c>
      <c r="AI207" s="342" t="s">
        <v>1979</v>
      </c>
    </row>
    <row r="208" spans="1:38">
      <c r="A208" s="342">
        <v>225190</v>
      </c>
      <c r="B208" s="342" t="s">
        <v>1253</v>
      </c>
      <c r="C208" s="342" t="s">
        <v>93</v>
      </c>
      <c r="D208" s="342" t="s">
        <v>47</v>
      </c>
      <c r="E208" s="342" t="s">
        <v>591</v>
      </c>
      <c r="F208" s="342" t="s">
        <v>40</v>
      </c>
      <c r="G208" s="342" t="s">
        <v>5281</v>
      </c>
      <c r="H208" s="342" t="s">
        <v>1233</v>
      </c>
      <c r="I208" s="342" t="s">
        <v>4941</v>
      </c>
      <c r="J208" s="342" t="s">
        <v>3132</v>
      </c>
      <c r="L208" s="342" t="s">
        <v>3133</v>
      </c>
      <c r="M208" s="343">
        <v>45291</v>
      </c>
      <c r="N208" s="342" t="s">
        <v>3134</v>
      </c>
      <c r="O208" s="343">
        <v>72686</v>
      </c>
      <c r="P208" s="342" t="s">
        <v>4374</v>
      </c>
      <c r="Q208" s="343">
        <v>44926</v>
      </c>
      <c r="X208" s="342" t="s">
        <v>4373</v>
      </c>
    </row>
    <row r="209" spans="1:35">
      <c r="A209" s="342">
        <v>225218</v>
      </c>
      <c r="B209" s="342" t="s">
        <v>1132</v>
      </c>
      <c r="C209" s="342" t="s">
        <v>422</v>
      </c>
      <c r="D209" s="342" t="s">
        <v>51</v>
      </c>
      <c r="E209" s="342" t="s">
        <v>591</v>
      </c>
      <c r="F209" s="342" t="s">
        <v>40</v>
      </c>
      <c r="G209" s="342" t="s">
        <v>5283</v>
      </c>
      <c r="H209" s="342" t="s">
        <v>1233</v>
      </c>
      <c r="I209" s="342" t="s">
        <v>6046</v>
      </c>
      <c r="J209" s="342" t="s">
        <v>3135</v>
      </c>
      <c r="K209" s="343">
        <v>45504</v>
      </c>
      <c r="L209" s="342" t="s">
        <v>3136</v>
      </c>
      <c r="P209" s="342" t="s">
        <v>5482</v>
      </c>
      <c r="Q209" s="343">
        <v>45473</v>
      </c>
      <c r="X209" s="342" t="s">
        <v>5473</v>
      </c>
      <c r="AG209" s="342" t="s">
        <v>3136</v>
      </c>
      <c r="AH209" s="343">
        <v>43653</v>
      </c>
      <c r="AI209" s="342" t="s">
        <v>1980</v>
      </c>
    </row>
    <row r="210" spans="1:35">
      <c r="A210" s="342">
        <v>226247</v>
      </c>
      <c r="B210" s="342" t="s">
        <v>926</v>
      </c>
      <c r="C210" s="342" t="s">
        <v>410</v>
      </c>
      <c r="D210" s="342" t="s">
        <v>45</v>
      </c>
      <c r="E210" s="342" t="s">
        <v>591</v>
      </c>
      <c r="F210" s="342" t="s">
        <v>40</v>
      </c>
      <c r="G210" s="342" t="s">
        <v>5280</v>
      </c>
      <c r="H210" s="342" t="s">
        <v>5218</v>
      </c>
      <c r="I210" s="342" t="s">
        <v>5366</v>
      </c>
      <c r="J210" s="342" t="s">
        <v>3137</v>
      </c>
      <c r="L210" s="342" t="s">
        <v>3138</v>
      </c>
      <c r="M210" s="343">
        <v>45382</v>
      </c>
      <c r="N210" s="342" t="s">
        <v>3139</v>
      </c>
      <c r="P210" s="342" t="s">
        <v>3140</v>
      </c>
      <c r="Q210" s="343">
        <v>44926</v>
      </c>
      <c r="X210" s="342" t="s">
        <v>1742</v>
      </c>
      <c r="AE210" s="342" t="s">
        <v>3141</v>
      </c>
      <c r="AI210" s="342" t="s">
        <v>1981</v>
      </c>
    </row>
    <row r="211" spans="1:35">
      <c r="A211" s="342">
        <v>226516</v>
      </c>
      <c r="B211" s="342" t="s">
        <v>745</v>
      </c>
      <c r="C211" s="342" t="s">
        <v>272</v>
      </c>
      <c r="D211" s="342" t="s">
        <v>47</v>
      </c>
      <c r="E211" s="342" t="s">
        <v>591</v>
      </c>
      <c r="F211" s="342" t="s">
        <v>40</v>
      </c>
      <c r="G211" s="342" t="s">
        <v>5280</v>
      </c>
      <c r="H211" s="342" t="s">
        <v>1233</v>
      </c>
      <c r="I211" s="342" t="s">
        <v>5003</v>
      </c>
      <c r="J211" s="342" t="s">
        <v>2911</v>
      </c>
      <c r="L211" s="342" t="s">
        <v>2912</v>
      </c>
      <c r="M211" s="343">
        <v>44895</v>
      </c>
      <c r="N211" s="342" t="s">
        <v>2913</v>
      </c>
      <c r="P211" s="342" t="s">
        <v>2914</v>
      </c>
      <c r="Q211" s="343">
        <v>45291</v>
      </c>
      <c r="X211" s="342" t="s">
        <v>1686</v>
      </c>
      <c r="AE211" s="342" t="s">
        <v>2915</v>
      </c>
      <c r="AI211" s="342" t="s">
        <v>1941</v>
      </c>
    </row>
    <row r="212" spans="1:35">
      <c r="A212" s="342">
        <v>226917</v>
      </c>
      <c r="B212" s="342" t="s">
        <v>412</v>
      </c>
      <c r="C212" s="342" t="s">
        <v>414</v>
      </c>
      <c r="D212" s="342" t="s">
        <v>51</v>
      </c>
      <c r="E212" s="342" t="s">
        <v>591</v>
      </c>
      <c r="F212" s="342" t="s">
        <v>40</v>
      </c>
      <c r="G212" s="342" t="s">
        <v>5450</v>
      </c>
      <c r="H212" s="342" t="s">
        <v>1233</v>
      </c>
      <c r="I212" s="342" t="s">
        <v>6047</v>
      </c>
      <c r="J212" s="342" t="s">
        <v>3142</v>
      </c>
      <c r="K212" s="343">
        <v>45504</v>
      </c>
      <c r="L212" s="342" t="s">
        <v>3143</v>
      </c>
      <c r="X212" s="342" t="s">
        <v>1743</v>
      </c>
    </row>
    <row r="213" spans="1:35">
      <c r="A213" s="342">
        <v>226961</v>
      </c>
      <c r="B213" s="342" t="s">
        <v>4807</v>
      </c>
      <c r="C213" s="342" t="s">
        <v>4808</v>
      </c>
      <c r="D213" s="342" t="s">
        <v>47</v>
      </c>
      <c r="E213" s="342" t="s">
        <v>591</v>
      </c>
      <c r="F213" s="342" t="s">
        <v>42</v>
      </c>
      <c r="G213" s="342" t="s">
        <v>1510</v>
      </c>
      <c r="H213" s="342" t="s">
        <v>5218</v>
      </c>
      <c r="I213" s="342" t="s">
        <v>4812</v>
      </c>
      <c r="AE213" s="342" t="s">
        <v>4815</v>
      </c>
      <c r="AI213" s="342" t="s">
        <v>4814</v>
      </c>
    </row>
    <row r="214" spans="1:35">
      <c r="A214" s="342">
        <v>227939</v>
      </c>
      <c r="B214" s="342" t="s">
        <v>415</v>
      </c>
      <c r="C214" s="342" t="s">
        <v>195</v>
      </c>
      <c r="D214" s="342" t="s">
        <v>51</v>
      </c>
      <c r="E214" s="342" t="s">
        <v>591</v>
      </c>
      <c r="F214" s="342" t="s">
        <v>40</v>
      </c>
      <c r="G214" s="342" t="s">
        <v>5283</v>
      </c>
      <c r="H214" s="342" t="s">
        <v>1233</v>
      </c>
      <c r="I214" s="342" t="s">
        <v>5294</v>
      </c>
      <c r="J214" s="342" t="s">
        <v>3144</v>
      </c>
      <c r="K214" s="343">
        <v>45382</v>
      </c>
      <c r="L214" s="342" t="s">
        <v>3145</v>
      </c>
      <c r="P214" s="342" t="s">
        <v>3146</v>
      </c>
      <c r="Q214" s="343">
        <v>45291</v>
      </c>
      <c r="X214" s="342" t="s">
        <v>1744</v>
      </c>
    </row>
    <row r="215" spans="1:35">
      <c r="A215" s="342">
        <v>228180</v>
      </c>
      <c r="B215" s="342" t="s">
        <v>622</v>
      </c>
      <c r="C215" s="342" t="s">
        <v>311</v>
      </c>
      <c r="D215" s="342" t="s">
        <v>47</v>
      </c>
      <c r="E215" s="342" t="s">
        <v>591</v>
      </c>
      <c r="F215" s="342" t="s">
        <v>40</v>
      </c>
      <c r="G215" s="342" t="s">
        <v>1277</v>
      </c>
      <c r="H215" s="342" t="s">
        <v>5218</v>
      </c>
      <c r="I215" s="342" t="s">
        <v>5566</v>
      </c>
      <c r="J215" s="342" t="s">
        <v>3147</v>
      </c>
      <c r="L215" s="342" t="s">
        <v>3148</v>
      </c>
      <c r="M215" s="343">
        <v>45077</v>
      </c>
      <c r="N215" s="342" t="s">
        <v>3149</v>
      </c>
      <c r="O215" s="343">
        <v>72686</v>
      </c>
      <c r="P215" s="342" t="s">
        <v>3150</v>
      </c>
      <c r="Q215" s="343">
        <v>44926</v>
      </c>
      <c r="X215" s="342" t="s">
        <v>1745</v>
      </c>
      <c r="AE215" s="342" t="s">
        <v>3151</v>
      </c>
      <c r="AI215" s="342" t="s">
        <v>1982</v>
      </c>
    </row>
    <row r="216" spans="1:35">
      <c r="A216" s="342">
        <v>228866</v>
      </c>
      <c r="B216" s="342" t="s">
        <v>1262</v>
      </c>
      <c r="C216" s="342" t="s">
        <v>417</v>
      </c>
      <c r="D216" s="342" t="s">
        <v>51</v>
      </c>
      <c r="E216" s="342" t="s">
        <v>591</v>
      </c>
      <c r="F216" s="342" t="s">
        <v>737</v>
      </c>
      <c r="G216" s="342" t="s">
        <v>5282</v>
      </c>
      <c r="H216" s="342" t="s">
        <v>1233</v>
      </c>
    </row>
    <row r="217" spans="1:35">
      <c r="A217" s="342">
        <v>232717</v>
      </c>
      <c r="B217" s="342" t="s">
        <v>5106</v>
      </c>
      <c r="C217" s="342" t="s">
        <v>922</v>
      </c>
      <c r="D217" s="342" t="s">
        <v>51</v>
      </c>
      <c r="E217" s="342" t="s">
        <v>591</v>
      </c>
      <c r="F217" s="342" t="s">
        <v>737</v>
      </c>
      <c r="G217" s="342" t="s">
        <v>786</v>
      </c>
      <c r="H217" s="342" t="s">
        <v>1402</v>
      </c>
      <c r="I217" s="342" t="s">
        <v>1070</v>
      </c>
    </row>
    <row r="218" spans="1:35">
      <c r="A218" s="342">
        <v>235918</v>
      </c>
      <c r="B218" s="342" t="s">
        <v>346</v>
      </c>
      <c r="C218" s="342" t="s">
        <v>422</v>
      </c>
      <c r="D218" s="342" t="s">
        <v>51</v>
      </c>
      <c r="E218" s="342" t="s">
        <v>591</v>
      </c>
      <c r="F218" s="342" t="s">
        <v>40</v>
      </c>
      <c r="G218" s="342" t="s">
        <v>5280</v>
      </c>
      <c r="H218" s="342" t="s">
        <v>1233</v>
      </c>
      <c r="I218" s="342" t="s">
        <v>5419</v>
      </c>
      <c r="J218" s="342" t="s">
        <v>3154</v>
      </c>
      <c r="K218" s="343">
        <v>44835</v>
      </c>
      <c r="L218" s="342" t="s">
        <v>3155</v>
      </c>
      <c r="P218" s="342" t="s">
        <v>3156</v>
      </c>
      <c r="Q218" s="343">
        <v>45291</v>
      </c>
      <c r="X218" s="342" t="s">
        <v>1746</v>
      </c>
    </row>
    <row r="219" spans="1:35">
      <c r="A219" s="342">
        <v>235978</v>
      </c>
      <c r="B219" s="342" t="s">
        <v>2529</v>
      </c>
      <c r="C219" s="342" t="s">
        <v>425</v>
      </c>
      <c r="D219" s="342" t="s">
        <v>51</v>
      </c>
      <c r="E219" s="342" t="s">
        <v>591</v>
      </c>
      <c r="F219" s="342" t="s">
        <v>40</v>
      </c>
      <c r="G219" s="342" t="s">
        <v>5449</v>
      </c>
      <c r="H219" s="342" t="s">
        <v>1402</v>
      </c>
      <c r="I219" s="342" t="s">
        <v>5152</v>
      </c>
      <c r="J219" s="342" t="s">
        <v>3157</v>
      </c>
      <c r="K219" s="343">
        <v>45322</v>
      </c>
      <c r="L219" s="342" t="s">
        <v>3158</v>
      </c>
      <c r="X219" s="342" t="s">
        <v>1747</v>
      </c>
      <c r="AA219" s="342" t="s">
        <v>3159</v>
      </c>
      <c r="AI219" s="342" t="s">
        <v>1983</v>
      </c>
    </row>
    <row r="220" spans="1:35">
      <c r="A220" s="342">
        <v>236359</v>
      </c>
      <c r="B220" s="342" t="s">
        <v>426</v>
      </c>
      <c r="C220" s="342" t="s">
        <v>429</v>
      </c>
      <c r="D220" s="342" t="s">
        <v>51</v>
      </c>
      <c r="E220" s="342" t="s">
        <v>591</v>
      </c>
      <c r="F220" s="342" t="s">
        <v>40</v>
      </c>
      <c r="G220" s="342" t="s">
        <v>5278</v>
      </c>
      <c r="H220" s="342" t="s">
        <v>1233</v>
      </c>
      <c r="I220" s="342" t="s">
        <v>6048</v>
      </c>
      <c r="J220" s="342" t="s">
        <v>3160</v>
      </c>
      <c r="K220" s="343">
        <v>45504</v>
      </c>
      <c r="L220" s="342" t="s">
        <v>3161</v>
      </c>
      <c r="X220" s="342" t="s">
        <v>1748</v>
      </c>
    </row>
    <row r="221" spans="1:35">
      <c r="A221" s="342">
        <v>239712</v>
      </c>
      <c r="B221" s="342" t="s">
        <v>4335</v>
      </c>
      <c r="C221" s="342" t="s">
        <v>4338</v>
      </c>
      <c r="D221" s="342" t="s">
        <v>45</v>
      </c>
      <c r="E221" s="342" t="s">
        <v>591</v>
      </c>
      <c r="F221" s="342" t="s">
        <v>40</v>
      </c>
      <c r="G221" s="342" t="s">
        <v>5449</v>
      </c>
      <c r="H221" s="342" t="s">
        <v>1402</v>
      </c>
      <c r="I221" s="342" t="s">
        <v>4910</v>
      </c>
      <c r="J221" s="342" t="s">
        <v>4357</v>
      </c>
      <c r="X221" s="342" t="s">
        <v>4346</v>
      </c>
      <c r="Y221" s="342" t="s">
        <v>4921</v>
      </c>
      <c r="AE221" s="342" t="s">
        <v>4358</v>
      </c>
      <c r="AI221" s="342" t="s">
        <v>4917</v>
      </c>
    </row>
    <row r="222" spans="1:35">
      <c r="A222" s="342">
        <v>248068</v>
      </c>
      <c r="B222" s="342" t="s">
        <v>4458</v>
      </c>
      <c r="C222" s="342" t="s">
        <v>418</v>
      </c>
      <c r="D222" s="342" t="s">
        <v>45</v>
      </c>
      <c r="E222" s="342" t="s">
        <v>591</v>
      </c>
      <c r="F222" s="342" t="s">
        <v>40</v>
      </c>
      <c r="G222" s="342" t="s">
        <v>5282</v>
      </c>
      <c r="H222" s="342" t="s">
        <v>1402</v>
      </c>
      <c r="I222" s="342" t="s">
        <v>5567</v>
      </c>
      <c r="J222" s="342" t="s">
        <v>3152</v>
      </c>
      <c r="L222" s="342" t="s">
        <v>3153</v>
      </c>
      <c r="M222" s="343">
        <v>45412</v>
      </c>
      <c r="N222" s="342">
        <v>898.41</v>
      </c>
      <c r="P222" s="342" t="s">
        <v>4466</v>
      </c>
      <c r="Q222" s="343">
        <v>44926</v>
      </c>
      <c r="X222" s="342" t="s">
        <v>4464</v>
      </c>
    </row>
    <row r="223" spans="1:35">
      <c r="A223" s="342">
        <v>248123</v>
      </c>
      <c r="B223" s="342" t="s">
        <v>430</v>
      </c>
      <c r="C223" s="342" t="s">
        <v>140</v>
      </c>
      <c r="D223" s="342" t="s">
        <v>45</v>
      </c>
      <c r="E223" s="342" t="s">
        <v>591</v>
      </c>
      <c r="F223" s="342" t="s">
        <v>40</v>
      </c>
      <c r="G223" s="342" t="s">
        <v>5283</v>
      </c>
      <c r="H223" s="342" t="s">
        <v>1233</v>
      </c>
      <c r="I223" s="342" t="s">
        <v>5260</v>
      </c>
      <c r="J223" s="342" t="s">
        <v>2699</v>
      </c>
      <c r="L223" s="342" t="s">
        <v>2700</v>
      </c>
      <c r="M223" s="343">
        <v>44620</v>
      </c>
      <c r="P223" s="342" t="s">
        <v>2701</v>
      </c>
      <c r="Q223" s="343">
        <v>44926</v>
      </c>
      <c r="X223" s="342" t="s">
        <v>4302</v>
      </c>
      <c r="AE223" s="342" t="s">
        <v>2702</v>
      </c>
      <c r="AI223" s="342" t="s">
        <v>1902</v>
      </c>
    </row>
    <row r="224" spans="1:35">
      <c r="A224" s="342">
        <v>249210</v>
      </c>
      <c r="B224" s="342" t="s">
        <v>764</v>
      </c>
      <c r="C224" s="342" t="s">
        <v>766</v>
      </c>
      <c r="D224" s="342" t="s">
        <v>526</v>
      </c>
      <c r="E224" s="342" t="s">
        <v>591</v>
      </c>
      <c r="F224" s="342" t="s">
        <v>40</v>
      </c>
      <c r="G224" s="342" t="s">
        <v>1510</v>
      </c>
      <c r="H224" s="342" t="s">
        <v>1402</v>
      </c>
      <c r="I224" s="342" t="s">
        <v>4800</v>
      </c>
      <c r="J224" s="342" t="s">
        <v>3162</v>
      </c>
      <c r="L224" s="342" t="s">
        <v>3163</v>
      </c>
      <c r="M224" s="343">
        <v>44865</v>
      </c>
      <c r="N224" s="342" t="s">
        <v>3164</v>
      </c>
      <c r="O224" s="343">
        <v>45170</v>
      </c>
      <c r="P224" s="342" t="s">
        <v>3164</v>
      </c>
      <c r="Q224" s="343">
        <v>45170</v>
      </c>
      <c r="R224" s="342" t="s">
        <v>3164</v>
      </c>
      <c r="S224" s="343">
        <v>45170</v>
      </c>
      <c r="T224" s="342" t="s">
        <v>3165</v>
      </c>
      <c r="U224" s="343">
        <v>45170</v>
      </c>
      <c r="X224" s="342" t="s">
        <v>1749</v>
      </c>
    </row>
    <row r="225" spans="1:35">
      <c r="A225" s="342">
        <v>249853</v>
      </c>
      <c r="B225" s="342" t="s">
        <v>931</v>
      </c>
      <c r="C225" s="342" t="s">
        <v>488</v>
      </c>
      <c r="D225" s="342" t="s">
        <v>175</v>
      </c>
      <c r="E225" s="342" t="s">
        <v>591</v>
      </c>
      <c r="F225" s="342" t="s">
        <v>41</v>
      </c>
      <c r="G225" s="342" t="s">
        <v>1510</v>
      </c>
      <c r="H225" s="342" t="s">
        <v>1402</v>
      </c>
      <c r="I225" s="342" t="s">
        <v>5903</v>
      </c>
      <c r="J225" s="342" t="s">
        <v>3166</v>
      </c>
      <c r="L225" s="342" t="s">
        <v>3167</v>
      </c>
      <c r="M225" s="343">
        <v>44834</v>
      </c>
      <c r="P225" s="342" t="s">
        <v>3168</v>
      </c>
      <c r="R225" s="342" t="s">
        <v>3169</v>
      </c>
      <c r="S225" s="343">
        <v>44985</v>
      </c>
      <c r="T225" s="342" t="s">
        <v>3170</v>
      </c>
      <c r="U225" s="343">
        <v>45495</v>
      </c>
      <c r="X225" s="342" t="s">
        <v>1750</v>
      </c>
      <c r="Y225" s="342" t="s">
        <v>3171</v>
      </c>
      <c r="AI225" s="342" t="s">
        <v>1984</v>
      </c>
    </row>
    <row r="226" spans="1:35">
      <c r="A226" s="342">
        <v>249853</v>
      </c>
      <c r="B226" s="342" t="s">
        <v>931</v>
      </c>
      <c r="C226" s="342" t="s">
        <v>488</v>
      </c>
      <c r="D226" s="342" t="s">
        <v>175</v>
      </c>
      <c r="E226" s="342" t="s">
        <v>591</v>
      </c>
      <c r="F226" s="342" t="s">
        <v>784</v>
      </c>
      <c r="G226" s="342" t="s">
        <v>1336</v>
      </c>
      <c r="H226" s="342" t="s">
        <v>1402</v>
      </c>
      <c r="I226" s="342" t="s">
        <v>5903</v>
      </c>
      <c r="J226" s="342" t="s">
        <v>3166</v>
      </c>
      <c r="L226" s="342" t="s">
        <v>3167</v>
      </c>
      <c r="M226" s="343">
        <v>44834</v>
      </c>
      <c r="P226" s="342" t="s">
        <v>3168</v>
      </c>
      <c r="R226" s="342" t="s">
        <v>3169</v>
      </c>
      <c r="S226" s="343">
        <v>44985</v>
      </c>
      <c r="T226" s="342" t="s">
        <v>3170</v>
      </c>
      <c r="U226" s="343">
        <v>45495</v>
      </c>
      <c r="X226" s="342" t="s">
        <v>1750</v>
      </c>
      <c r="Y226" s="342" t="s">
        <v>3171</v>
      </c>
      <c r="AI226" s="342" t="s">
        <v>1984</v>
      </c>
    </row>
    <row r="227" spans="1:35">
      <c r="A227" s="342">
        <v>249853</v>
      </c>
      <c r="B227" s="342" t="s">
        <v>931</v>
      </c>
      <c r="C227" s="342" t="s">
        <v>488</v>
      </c>
      <c r="D227" s="342" t="s">
        <v>175</v>
      </c>
      <c r="E227" s="342" t="s">
        <v>591</v>
      </c>
      <c r="F227" s="342" t="s">
        <v>787</v>
      </c>
      <c r="G227" s="342" t="s">
        <v>1336</v>
      </c>
      <c r="H227" s="342" t="s">
        <v>1402</v>
      </c>
      <c r="I227" s="342" t="s">
        <v>5903</v>
      </c>
      <c r="J227" s="342" t="s">
        <v>3166</v>
      </c>
      <c r="L227" s="342" t="s">
        <v>3167</v>
      </c>
      <c r="M227" s="343">
        <v>44834</v>
      </c>
      <c r="P227" s="342" t="s">
        <v>3168</v>
      </c>
      <c r="R227" s="342" t="s">
        <v>3169</v>
      </c>
      <c r="S227" s="343">
        <v>44985</v>
      </c>
      <c r="T227" s="342" t="s">
        <v>3170</v>
      </c>
      <c r="U227" s="343">
        <v>45495</v>
      </c>
      <c r="X227" s="342" t="s">
        <v>1750</v>
      </c>
      <c r="Y227" s="342" t="s">
        <v>3171</v>
      </c>
      <c r="AI227" s="342" t="s">
        <v>1984</v>
      </c>
    </row>
    <row r="228" spans="1:35">
      <c r="A228" s="342">
        <v>250404</v>
      </c>
      <c r="B228" s="342" t="s">
        <v>1115</v>
      </c>
      <c r="C228" s="342" t="s">
        <v>431</v>
      </c>
      <c r="D228" s="342" t="s">
        <v>126</v>
      </c>
      <c r="E228" s="342" t="s">
        <v>591</v>
      </c>
      <c r="F228" s="342" t="s">
        <v>40</v>
      </c>
      <c r="G228" s="342" t="s">
        <v>1510</v>
      </c>
      <c r="H228" s="342" t="s">
        <v>1402</v>
      </c>
      <c r="I228" s="342" t="s">
        <v>4233</v>
      </c>
      <c r="J228" s="342" t="s">
        <v>3172</v>
      </c>
      <c r="L228" s="342" t="s">
        <v>3173</v>
      </c>
      <c r="M228" s="343">
        <v>44926</v>
      </c>
      <c r="X228" s="342" t="s">
        <v>1751</v>
      </c>
      <c r="AE228" s="342" t="s">
        <v>3174</v>
      </c>
      <c r="AI228" s="342" t="s">
        <v>1985</v>
      </c>
    </row>
    <row r="229" spans="1:35">
      <c r="A229" s="342">
        <v>250555</v>
      </c>
      <c r="B229" s="342" t="s">
        <v>933</v>
      </c>
      <c r="C229" s="342" t="s">
        <v>419</v>
      </c>
      <c r="D229" s="342" t="s">
        <v>45</v>
      </c>
      <c r="E229" s="342" t="s">
        <v>591</v>
      </c>
      <c r="F229" s="342" t="s">
        <v>40</v>
      </c>
      <c r="G229" s="342" t="s">
        <v>5281</v>
      </c>
      <c r="H229" s="342" t="s">
        <v>1233</v>
      </c>
      <c r="I229" s="342" t="s">
        <v>4888</v>
      </c>
      <c r="J229" s="342" t="s">
        <v>3175</v>
      </c>
      <c r="L229" s="342" t="s">
        <v>2608</v>
      </c>
      <c r="M229" s="343">
        <v>45260</v>
      </c>
      <c r="N229" s="342" t="s">
        <v>3176</v>
      </c>
      <c r="P229" s="342" t="s">
        <v>3177</v>
      </c>
      <c r="Q229" s="343">
        <v>45291</v>
      </c>
      <c r="X229" s="342" t="s">
        <v>1752</v>
      </c>
    </row>
    <row r="230" spans="1:35">
      <c r="A230" s="342">
        <v>251277</v>
      </c>
      <c r="B230" s="342" t="s">
        <v>435</v>
      </c>
      <c r="C230" s="342" t="s">
        <v>437</v>
      </c>
      <c r="D230" s="342" t="s">
        <v>55</v>
      </c>
      <c r="E230" s="342" t="s">
        <v>591</v>
      </c>
      <c r="F230" s="342" t="s">
        <v>40</v>
      </c>
      <c r="G230" s="342" t="s">
        <v>4638</v>
      </c>
      <c r="H230" s="342" t="s">
        <v>1233</v>
      </c>
      <c r="I230" s="342" t="s">
        <v>5153</v>
      </c>
      <c r="J230" s="342" t="s">
        <v>3180</v>
      </c>
      <c r="L230" s="342" t="s">
        <v>3181</v>
      </c>
      <c r="M230" s="343">
        <v>45291</v>
      </c>
      <c r="N230" s="342" t="s">
        <v>3182</v>
      </c>
      <c r="O230" s="343">
        <v>72686</v>
      </c>
      <c r="X230" s="342" t="s">
        <v>1754</v>
      </c>
      <c r="Y230" s="342" t="s">
        <v>3183</v>
      </c>
      <c r="AE230" s="342" t="s">
        <v>5158</v>
      </c>
      <c r="AI230" s="342" t="s">
        <v>5156</v>
      </c>
    </row>
    <row r="231" spans="1:35">
      <c r="A231" s="342">
        <v>251321</v>
      </c>
      <c r="B231" s="342" t="s">
        <v>1255</v>
      </c>
      <c r="C231" s="342" t="s">
        <v>742</v>
      </c>
      <c r="D231" s="342" t="s">
        <v>51</v>
      </c>
      <c r="E231" s="342" t="s">
        <v>591</v>
      </c>
      <c r="F231" s="342" t="s">
        <v>40</v>
      </c>
      <c r="G231" s="342" t="s">
        <v>5449</v>
      </c>
      <c r="H231" s="342" t="s">
        <v>1402</v>
      </c>
      <c r="I231" s="342" t="s">
        <v>1503</v>
      </c>
      <c r="J231" s="342" t="s">
        <v>3184</v>
      </c>
      <c r="K231" s="343">
        <v>44835</v>
      </c>
      <c r="L231" s="342" t="s">
        <v>3185</v>
      </c>
      <c r="X231" s="342" t="s">
        <v>1755</v>
      </c>
    </row>
    <row r="232" spans="1:35">
      <c r="A232" s="342">
        <v>251706</v>
      </c>
      <c r="B232" s="342" t="s">
        <v>1083</v>
      </c>
      <c r="C232" s="342" t="s">
        <v>439</v>
      </c>
      <c r="D232" s="342" t="s">
        <v>51</v>
      </c>
      <c r="E232" s="342" t="s">
        <v>591</v>
      </c>
      <c r="F232" s="342" t="s">
        <v>40</v>
      </c>
      <c r="G232" s="342" t="s">
        <v>5283</v>
      </c>
      <c r="H232" s="342" t="s">
        <v>1233</v>
      </c>
      <c r="I232" s="342" t="s">
        <v>4313</v>
      </c>
      <c r="J232" s="342" t="s">
        <v>3186</v>
      </c>
      <c r="K232" s="343">
        <v>44958</v>
      </c>
      <c r="L232" s="342" t="s">
        <v>3187</v>
      </c>
      <c r="X232" s="342" t="s">
        <v>1756</v>
      </c>
      <c r="AG232" s="342" t="s">
        <v>3188</v>
      </c>
      <c r="AI232" s="342" t="s">
        <v>1986</v>
      </c>
    </row>
    <row r="233" spans="1:35">
      <c r="A233" s="342">
        <v>251933</v>
      </c>
      <c r="B233" s="342" t="s">
        <v>296</v>
      </c>
      <c r="C233" s="342" t="s">
        <v>295</v>
      </c>
      <c r="D233" s="342" t="s">
        <v>51</v>
      </c>
      <c r="E233" s="342" t="s">
        <v>591</v>
      </c>
      <c r="F233" s="342" t="s">
        <v>40</v>
      </c>
      <c r="G233" s="342" t="s">
        <v>5278</v>
      </c>
      <c r="H233" s="342" t="s">
        <v>1402</v>
      </c>
      <c r="I233" s="342" t="s">
        <v>4889</v>
      </c>
      <c r="J233" s="342" t="s">
        <v>3189</v>
      </c>
      <c r="K233" s="343">
        <v>45107</v>
      </c>
      <c r="L233" s="342" t="s">
        <v>3190</v>
      </c>
      <c r="P233" s="342" t="s">
        <v>3191</v>
      </c>
      <c r="Q233" s="343">
        <v>45291</v>
      </c>
      <c r="X233" s="342" t="s">
        <v>1757</v>
      </c>
      <c r="AG233" s="342" t="s">
        <v>2953</v>
      </c>
      <c r="AI233" s="342" t="s">
        <v>1987</v>
      </c>
    </row>
    <row r="234" spans="1:35">
      <c r="A234" s="342">
        <v>255340</v>
      </c>
      <c r="B234" s="342" t="s">
        <v>442</v>
      </c>
      <c r="C234" s="342" t="s">
        <v>444</v>
      </c>
      <c r="D234" s="342" t="s">
        <v>55</v>
      </c>
      <c r="E234" s="342" t="s">
        <v>591</v>
      </c>
      <c r="F234" s="342" t="s">
        <v>40</v>
      </c>
      <c r="G234" s="342" t="s">
        <v>5280</v>
      </c>
      <c r="H234" s="342" t="s">
        <v>1402</v>
      </c>
      <c r="I234" s="342" t="s">
        <v>5459</v>
      </c>
      <c r="J234" s="342" t="s">
        <v>3192</v>
      </c>
      <c r="L234" s="342" t="s">
        <v>5483</v>
      </c>
      <c r="M234" s="343">
        <v>45443</v>
      </c>
      <c r="X234" s="342" t="s">
        <v>5474</v>
      </c>
      <c r="AE234" s="342" t="s">
        <v>3193</v>
      </c>
      <c r="AI234" s="342" t="s">
        <v>1988</v>
      </c>
    </row>
    <row r="235" spans="1:35">
      <c r="A235" s="342">
        <v>256985</v>
      </c>
      <c r="B235" s="342" t="s">
        <v>446</v>
      </c>
      <c r="C235" s="342" t="s">
        <v>449</v>
      </c>
      <c r="D235" s="342" t="s">
        <v>51</v>
      </c>
      <c r="E235" s="342" t="s">
        <v>591</v>
      </c>
      <c r="F235" s="342" t="s">
        <v>40</v>
      </c>
      <c r="G235" s="342" t="s">
        <v>5282</v>
      </c>
      <c r="H235" s="342" t="s">
        <v>1233</v>
      </c>
      <c r="I235" s="342" t="s">
        <v>5295</v>
      </c>
      <c r="J235" s="342" t="s">
        <v>3194</v>
      </c>
      <c r="K235" s="343">
        <v>45382</v>
      </c>
      <c r="L235" s="342" t="s">
        <v>3195</v>
      </c>
      <c r="P235" s="342" t="s">
        <v>3196</v>
      </c>
      <c r="Q235" s="343">
        <v>45107</v>
      </c>
      <c r="X235" s="342" t="s">
        <v>1758</v>
      </c>
    </row>
    <row r="236" spans="1:35">
      <c r="A236" s="342">
        <v>258509</v>
      </c>
      <c r="B236" s="342" t="s">
        <v>1240</v>
      </c>
      <c r="C236" s="342" t="s">
        <v>315</v>
      </c>
      <c r="D236" s="342" t="s">
        <v>47</v>
      </c>
      <c r="E236" s="342" t="s">
        <v>591</v>
      </c>
      <c r="F236" s="342" t="s">
        <v>40</v>
      </c>
      <c r="G236" s="342" t="s">
        <v>5281</v>
      </c>
      <c r="H236" s="342" t="s">
        <v>1233</v>
      </c>
      <c r="I236" s="342" t="s">
        <v>5568</v>
      </c>
      <c r="J236" s="342" t="s">
        <v>3197</v>
      </c>
      <c r="L236" s="342" t="s">
        <v>3198</v>
      </c>
      <c r="M236" s="343">
        <v>45291</v>
      </c>
      <c r="N236" s="342" t="s">
        <v>3199</v>
      </c>
      <c r="P236" s="342" t="s">
        <v>3200</v>
      </c>
      <c r="Q236" s="343">
        <v>44926</v>
      </c>
      <c r="R236" s="342" t="s">
        <v>3201</v>
      </c>
      <c r="S236" s="343">
        <v>44865</v>
      </c>
      <c r="X236" s="342" t="s">
        <v>1759</v>
      </c>
    </row>
    <row r="237" spans="1:35">
      <c r="A237" s="342">
        <v>260328</v>
      </c>
      <c r="B237" s="342" t="s">
        <v>450</v>
      </c>
      <c r="C237" s="342" t="s">
        <v>1112</v>
      </c>
      <c r="D237" s="342" t="s">
        <v>47</v>
      </c>
      <c r="E237" s="342" t="s">
        <v>591</v>
      </c>
      <c r="F237" s="342" t="s">
        <v>40</v>
      </c>
      <c r="G237" s="342" t="s">
        <v>5278</v>
      </c>
      <c r="H237" s="342" t="s">
        <v>1233</v>
      </c>
      <c r="I237" s="342" t="s">
        <v>5569</v>
      </c>
      <c r="J237" s="342" t="s">
        <v>3202</v>
      </c>
      <c r="L237" s="342" t="s">
        <v>3203</v>
      </c>
      <c r="M237" s="343">
        <v>44834</v>
      </c>
      <c r="N237" s="342" t="s">
        <v>3204</v>
      </c>
      <c r="P237" s="342" t="s">
        <v>3205</v>
      </c>
      <c r="Q237" s="343">
        <v>44926</v>
      </c>
      <c r="X237" s="342" t="s">
        <v>1760</v>
      </c>
      <c r="AE237" s="342" t="s">
        <v>3206</v>
      </c>
      <c r="AI237" s="342" t="s">
        <v>1989</v>
      </c>
    </row>
    <row r="238" spans="1:35">
      <c r="A238" s="342">
        <v>260431</v>
      </c>
      <c r="B238" s="342" t="s">
        <v>676</v>
      </c>
      <c r="C238" s="342" t="s">
        <v>74</v>
      </c>
      <c r="D238" s="342" t="s">
        <v>55</v>
      </c>
      <c r="E238" s="342" t="s">
        <v>591</v>
      </c>
      <c r="F238" s="342" t="s">
        <v>40</v>
      </c>
      <c r="G238" s="342" t="s">
        <v>5449</v>
      </c>
      <c r="H238" s="342" t="s">
        <v>1402</v>
      </c>
      <c r="I238" s="342" t="s">
        <v>4510</v>
      </c>
      <c r="J238" s="342" t="s">
        <v>3207</v>
      </c>
      <c r="L238" s="342" t="s">
        <v>3208</v>
      </c>
      <c r="M238" s="343">
        <v>44804</v>
      </c>
      <c r="N238" s="342" t="s">
        <v>4515</v>
      </c>
      <c r="X238" s="342" t="s">
        <v>4512</v>
      </c>
      <c r="AE238" s="342" t="s">
        <v>3209</v>
      </c>
      <c r="AI238" s="342" t="s">
        <v>1990</v>
      </c>
    </row>
    <row r="239" spans="1:35">
      <c r="A239" s="342">
        <v>261526</v>
      </c>
      <c r="B239" s="342" t="s">
        <v>1344</v>
      </c>
      <c r="C239" s="342" t="s">
        <v>1346</v>
      </c>
      <c r="D239" s="342" t="s">
        <v>55</v>
      </c>
      <c r="E239" s="342" t="s">
        <v>591</v>
      </c>
      <c r="F239" s="342" t="s">
        <v>40</v>
      </c>
      <c r="G239" s="342" t="s">
        <v>5279</v>
      </c>
      <c r="H239" s="342" t="s">
        <v>1233</v>
      </c>
      <c r="I239" s="342" t="s">
        <v>5678</v>
      </c>
      <c r="J239" s="342" t="s">
        <v>3210</v>
      </c>
      <c r="L239" s="342" t="s">
        <v>3211</v>
      </c>
      <c r="M239" s="343">
        <v>45230</v>
      </c>
      <c r="P239" s="342" t="s">
        <v>4236</v>
      </c>
      <c r="Q239" s="343">
        <v>45473</v>
      </c>
      <c r="X239" s="342" t="s">
        <v>4234</v>
      </c>
      <c r="AE239" s="342" t="s">
        <v>3212</v>
      </c>
      <c r="AI239" s="342" t="s">
        <v>1991</v>
      </c>
    </row>
    <row r="240" spans="1:35">
      <c r="A240" s="342">
        <v>261563</v>
      </c>
      <c r="B240" s="342" t="s">
        <v>691</v>
      </c>
      <c r="C240" s="342" t="s">
        <v>692</v>
      </c>
      <c r="D240" s="342" t="s">
        <v>47</v>
      </c>
      <c r="E240" s="342" t="s">
        <v>591</v>
      </c>
      <c r="F240" s="342" t="s">
        <v>40</v>
      </c>
      <c r="G240" s="342" t="s">
        <v>5283</v>
      </c>
      <c r="H240" s="342" t="s">
        <v>1233</v>
      </c>
      <c r="I240" s="342" t="s">
        <v>1410</v>
      </c>
      <c r="J240" s="342" t="s">
        <v>3213</v>
      </c>
      <c r="X240" s="342" t="s">
        <v>1761</v>
      </c>
      <c r="AE240" s="342" t="s">
        <v>3214</v>
      </c>
      <c r="AI240" s="342" t="s">
        <v>1992</v>
      </c>
    </row>
    <row r="241" spans="1:35">
      <c r="A241" s="342">
        <v>262821</v>
      </c>
      <c r="B241" s="342" t="s">
        <v>1497</v>
      </c>
      <c r="C241" s="342" t="s">
        <v>759</v>
      </c>
      <c r="D241" s="342" t="s">
        <v>51</v>
      </c>
      <c r="E241" s="342" t="s">
        <v>591</v>
      </c>
      <c r="F241" s="342" t="s">
        <v>40</v>
      </c>
      <c r="G241" s="342" t="s">
        <v>5449</v>
      </c>
      <c r="H241" s="342" t="s">
        <v>1402</v>
      </c>
      <c r="I241" s="342" t="s">
        <v>5068</v>
      </c>
      <c r="J241" s="342" t="s">
        <v>3215</v>
      </c>
      <c r="K241" s="343">
        <v>45260</v>
      </c>
      <c r="L241" s="342" t="s">
        <v>3216</v>
      </c>
      <c r="X241" s="342" t="s">
        <v>1762</v>
      </c>
    </row>
    <row r="242" spans="1:35">
      <c r="A242" s="342">
        <v>265355</v>
      </c>
      <c r="B242" s="342" t="s">
        <v>946</v>
      </c>
      <c r="C242" s="342" t="s">
        <v>336</v>
      </c>
      <c r="D242" s="342" t="s">
        <v>337</v>
      </c>
      <c r="E242" s="342" t="s">
        <v>591</v>
      </c>
      <c r="F242" s="342" t="s">
        <v>40</v>
      </c>
      <c r="G242" s="342" t="s">
        <v>5280</v>
      </c>
      <c r="H242" s="342" t="s">
        <v>1233</v>
      </c>
      <c r="I242" s="342" t="s">
        <v>5679</v>
      </c>
      <c r="J242" s="342" t="s">
        <v>3217</v>
      </c>
      <c r="L242" s="342" t="s">
        <v>3218</v>
      </c>
      <c r="M242" s="343">
        <v>45230</v>
      </c>
      <c r="N242" s="342" t="s">
        <v>3219</v>
      </c>
      <c r="O242" s="343">
        <v>45107</v>
      </c>
      <c r="P242" s="342" t="s">
        <v>3220</v>
      </c>
      <c r="Q242" s="343">
        <v>45107</v>
      </c>
      <c r="R242" s="342" t="s">
        <v>3221</v>
      </c>
      <c r="S242" s="343">
        <v>45107</v>
      </c>
      <c r="T242" s="342" t="s">
        <v>3221</v>
      </c>
      <c r="U242" s="343">
        <v>45107</v>
      </c>
      <c r="X242" s="342" t="s">
        <v>4773</v>
      </c>
    </row>
    <row r="243" spans="1:35">
      <c r="A243" s="342">
        <v>266317</v>
      </c>
      <c r="B243" s="342" t="s">
        <v>1179</v>
      </c>
      <c r="C243" s="342" t="s">
        <v>1157</v>
      </c>
      <c r="D243" s="342" t="s">
        <v>51</v>
      </c>
      <c r="E243" s="342" t="s">
        <v>591</v>
      </c>
      <c r="F243" s="342" t="s">
        <v>41</v>
      </c>
      <c r="G243" s="342" t="s">
        <v>786</v>
      </c>
      <c r="H243" s="342" t="s">
        <v>1233</v>
      </c>
      <c r="I243" s="342" t="s">
        <v>1504</v>
      </c>
      <c r="J243" s="342" t="s">
        <v>3222</v>
      </c>
      <c r="K243" s="343">
        <v>44805</v>
      </c>
      <c r="L243" s="342" t="s">
        <v>3223</v>
      </c>
      <c r="X243" s="342" t="s">
        <v>1763</v>
      </c>
    </row>
    <row r="244" spans="1:35">
      <c r="A244" s="342">
        <v>266318</v>
      </c>
      <c r="B244" s="342" t="s">
        <v>1384</v>
      </c>
      <c r="C244" s="342" t="s">
        <v>336</v>
      </c>
      <c r="D244" s="342" t="s">
        <v>337</v>
      </c>
      <c r="E244" s="342" t="s">
        <v>591</v>
      </c>
      <c r="F244" s="342" t="s">
        <v>41</v>
      </c>
      <c r="G244" s="342" t="s">
        <v>786</v>
      </c>
      <c r="H244" s="342" t="s">
        <v>1162</v>
      </c>
      <c r="I244" s="342" t="s">
        <v>5021</v>
      </c>
      <c r="J244" s="342" t="s">
        <v>3224</v>
      </c>
      <c r="L244" s="342" t="s">
        <v>3225</v>
      </c>
      <c r="M244" s="343">
        <v>44804</v>
      </c>
      <c r="N244" s="342" t="s">
        <v>3226</v>
      </c>
      <c r="O244" s="343">
        <v>44834</v>
      </c>
      <c r="P244" s="342" t="s">
        <v>3227</v>
      </c>
      <c r="Q244" s="343">
        <v>45291</v>
      </c>
      <c r="R244" s="342" t="s">
        <v>3228</v>
      </c>
      <c r="S244" s="343">
        <v>44834</v>
      </c>
      <c r="T244" s="342" t="s">
        <v>3226</v>
      </c>
      <c r="U244" s="343">
        <v>44834</v>
      </c>
      <c r="X244" s="342" t="s">
        <v>1764</v>
      </c>
    </row>
    <row r="245" spans="1:35">
      <c r="A245" s="342">
        <v>266728</v>
      </c>
      <c r="B245" s="342" t="s">
        <v>4738</v>
      </c>
      <c r="C245" s="342" t="s">
        <v>4740</v>
      </c>
      <c r="D245" s="342" t="s">
        <v>175</v>
      </c>
      <c r="E245" s="342" t="s">
        <v>591</v>
      </c>
      <c r="F245" s="342" t="s">
        <v>40</v>
      </c>
      <c r="G245" s="342" t="s">
        <v>5450</v>
      </c>
      <c r="H245" s="342" t="s">
        <v>1402</v>
      </c>
      <c r="I245" s="342" t="s">
        <v>6049</v>
      </c>
      <c r="J245" s="342" t="s">
        <v>2894</v>
      </c>
      <c r="L245" s="342" t="s">
        <v>4744</v>
      </c>
      <c r="M245" s="343">
        <v>45230</v>
      </c>
      <c r="N245" s="342" t="s">
        <v>4745</v>
      </c>
      <c r="P245" s="342" t="s">
        <v>4746</v>
      </c>
      <c r="R245" s="342" t="s">
        <v>4747</v>
      </c>
      <c r="S245" s="343">
        <v>45138</v>
      </c>
      <c r="V245" s="342" t="s">
        <v>4748</v>
      </c>
      <c r="W245" s="343">
        <v>44925</v>
      </c>
      <c r="X245" s="342" t="s">
        <v>4743</v>
      </c>
    </row>
    <row r="246" spans="1:35">
      <c r="A246" s="342">
        <v>267008</v>
      </c>
      <c r="B246" s="342" t="s">
        <v>1068</v>
      </c>
      <c r="C246" s="342" t="s">
        <v>455</v>
      </c>
      <c r="D246" s="342" t="s">
        <v>47</v>
      </c>
      <c r="E246" s="342" t="s">
        <v>591</v>
      </c>
      <c r="F246" s="342" t="s">
        <v>40</v>
      </c>
      <c r="G246" s="342" t="s">
        <v>5280</v>
      </c>
      <c r="H246" s="342" t="s">
        <v>1233</v>
      </c>
      <c r="I246" s="342" t="s">
        <v>5570</v>
      </c>
      <c r="J246" s="342" t="s">
        <v>3229</v>
      </c>
      <c r="L246" s="342" t="s">
        <v>3230</v>
      </c>
      <c r="M246" s="343">
        <v>44773</v>
      </c>
      <c r="N246" s="342" t="s">
        <v>3231</v>
      </c>
      <c r="P246" s="342" t="s">
        <v>3232</v>
      </c>
      <c r="Q246" s="343">
        <v>44926</v>
      </c>
      <c r="X246" s="342" t="s">
        <v>1765</v>
      </c>
    </row>
    <row r="247" spans="1:35">
      <c r="A247" s="342">
        <v>267698</v>
      </c>
      <c r="B247" s="342" t="s">
        <v>4245</v>
      </c>
      <c r="C247" s="342" t="s">
        <v>456</v>
      </c>
      <c r="D247" s="342" t="s">
        <v>55</v>
      </c>
      <c r="E247" s="342" t="s">
        <v>591</v>
      </c>
      <c r="F247" s="342" t="s">
        <v>737</v>
      </c>
      <c r="G247" s="342" t="s">
        <v>1277</v>
      </c>
      <c r="H247" s="342" t="s">
        <v>5218</v>
      </c>
      <c r="I247" s="342" t="s">
        <v>4758</v>
      </c>
      <c r="J247" s="342" t="s">
        <v>3233</v>
      </c>
      <c r="X247" s="342" t="s">
        <v>1766</v>
      </c>
      <c r="AE247" s="342" t="s">
        <v>4762</v>
      </c>
      <c r="AI247" s="342" t="s">
        <v>4761</v>
      </c>
    </row>
    <row r="248" spans="1:35">
      <c r="A248" s="342">
        <v>268930</v>
      </c>
      <c r="B248" s="342" t="s">
        <v>457</v>
      </c>
      <c r="C248" s="342" t="s">
        <v>336</v>
      </c>
      <c r="D248" s="342" t="s">
        <v>337</v>
      </c>
      <c r="E248" s="342" t="s">
        <v>591</v>
      </c>
      <c r="F248" s="342" t="s">
        <v>40</v>
      </c>
      <c r="G248" s="342" t="s">
        <v>5283</v>
      </c>
      <c r="H248" s="342" t="s">
        <v>1233</v>
      </c>
      <c r="I248" s="342" t="s">
        <v>5004</v>
      </c>
      <c r="J248" s="342" t="s">
        <v>3234</v>
      </c>
      <c r="L248" s="342" t="s">
        <v>3235</v>
      </c>
      <c r="M248" s="343">
        <v>44926</v>
      </c>
      <c r="N248" s="342" t="s">
        <v>3236</v>
      </c>
      <c r="O248" s="343">
        <v>44834</v>
      </c>
      <c r="P248" s="342" t="s">
        <v>3237</v>
      </c>
      <c r="Q248" s="343">
        <v>45291</v>
      </c>
      <c r="R248" s="342" t="s">
        <v>3238</v>
      </c>
      <c r="S248" s="343">
        <v>44834</v>
      </c>
      <c r="X248" s="342" t="s">
        <v>1767</v>
      </c>
    </row>
    <row r="249" spans="1:35">
      <c r="A249" s="342">
        <v>269036</v>
      </c>
      <c r="B249" s="342" t="s">
        <v>296</v>
      </c>
      <c r="C249" s="342" t="s">
        <v>255</v>
      </c>
      <c r="D249" s="342" t="s">
        <v>51</v>
      </c>
      <c r="E249" s="342" t="s">
        <v>591</v>
      </c>
      <c r="F249" s="342" t="s">
        <v>40</v>
      </c>
      <c r="G249" s="342" t="s">
        <v>5278</v>
      </c>
      <c r="H249" s="342" t="s">
        <v>1402</v>
      </c>
      <c r="I249" s="342" t="s">
        <v>4182</v>
      </c>
      <c r="J249" s="342" t="s">
        <v>3239</v>
      </c>
      <c r="K249" s="343">
        <v>44774</v>
      </c>
      <c r="L249" s="342" t="s">
        <v>3240</v>
      </c>
      <c r="P249" s="342" t="s">
        <v>3241</v>
      </c>
      <c r="Q249" s="343">
        <v>44926</v>
      </c>
      <c r="X249" s="342" t="s">
        <v>1768</v>
      </c>
      <c r="AA249" s="342" t="s">
        <v>3242</v>
      </c>
      <c r="AI249" s="342" t="s">
        <v>1993</v>
      </c>
    </row>
    <row r="250" spans="1:35">
      <c r="A250" s="342">
        <v>270438</v>
      </c>
      <c r="B250" s="342" t="s">
        <v>5430</v>
      </c>
      <c r="C250" s="342" t="s">
        <v>336</v>
      </c>
      <c r="D250" s="342" t="s">
        <v>337</v>
      </c>
      <c r="E250" s="342" t="s">
        <v>591</v>
      </c>
      <c r="F250" s="342" t="s">
        <v>40</v>
      </c>
      <c r="G250" s="342" t="s">
        <v>5281</v>
      </c>
      <c r="H250" s="342" t="s">
        <v>1233</v>
      </c>
      <c r="I250" s="342" t="s">
        <v>5571</v>
      </c>
      <c r="J250" s="342" t="s">
        <v>3243</v>
      </c>
      <c r="L250" s="342" t="s">
        <v>3244</v>
      </c>
      <c r="M250" s="343">
        <v>45046</v>
      </c>
      <c r="N250" s="342" t="s">
        <v>3245</v>
      </c>
      <c r="O250" s="343">
        <v>44957</v>
      </c>
      <c r="P250" s="342" t="s">
        <v>3246</v>
      </c>
      <c r="Q250" s="343">
        <v>45291</v>
      </c>
      <c r="R250" s="342" t="s">
        <v>3247</v>
      </c>
      <c r="S250" s="343">
        <v>44957</v>
      </c>
      <c r="X250" s="342" t="s">
        <v>1769</v>
      </c>
    </row>
    <row r="251" spans="1:35">
      <c r="A251" s="342">
        <v>271203</v>
      </c>
      <c r="B251" s="342" t="s">
        <v>461</v>
      </c>
      <c r="C251" s="342" t="s">
        <v>4341</v>
      </c>
      <c r="D251" s="342" t="s">
        <v>47</v>
      </c>
      <c r="E251" s="342" t="s">
        <v>591</v>
      </c>
      <c r="F251" s="342" t="s">
        <v>40</v>
      </c>
      <c r="G251" s="342" t="s">
        <v>4638</v>
      </c>
      <c r="H251" s="342" t="s">
        <v>5218</v>
      </c>
      <c r="I251" s="342" t="s">
        <v>4551</v>
      </c>
      <c r="J251" s="342" t="s">
        <v>3248</v>
      </c>
      <c r="L251" s="342" t="s">
        <v>3249</v>
      </c>
      <c r="M251" s="343">
        <v>45077</v>
      </c>
      <c r="X251" s="342" t="s">
        <v>1770</v>
      </c>
      <c r="AE251" s="342" t="s">
        <v>3250</v>
      </c>
      <c r="AI251" s="342" t="s">
        <v>1994</v>
      </c>
    </row>
    <row r="252" spans="1:35">
      <c r="A252" s="342">
        <v>271309</v>
      </c>
      <c r="B252" s="342" t="s">
        <v>462</v>
      </c>
      <c r="C252" s="342" t="s">
        <v>464</v>
      </c>
      <c r="D252" s="342" t="s">
        <v>465</v>
      </c>
      <c r="E252" s="342" t="s">
        <v>591</v>
      </c>
      <c r="F252" s="342" t="s">
        <v>40</v>
      </c>
      <c r="G252" s="342" t="s">
        <v>5279</v>
      </c>
      <c r="H252" s="342" t="s">
        <v>1402</v>
      </c>
      <c r="I252" s="342" t="s">
        <v>5347</v>
      </c>
      <c r="J252" s="342" t="s">
        <v>3251</v>
      </c>
      <c r="L252" s="342" t="s">
        <v>3252</v>
      </c>
      <c r="M252" s="343">
        <v>45230</v>
      </c>
      <c r="N252" s="342" t="s">
        <v>3253</v>
      </c>
      <c r="O252" s="343">
        <v>45230</v>
      </c>
      <c r="P252" s="342" t="s">
        <v>3254</v>
      </c>
      <c r="Q252" s="343">
        <v>44926</v>
      </c>
      <c r="R252" s="342" t="s">
        <v>3255</v>
      </c>
      <c r="S252" s="343">
        <v>45016</v>
      </c>
      <c r="X252" s="342" t="s">
        <v>2542</v>
      </c>
    </row>
    <row r="253" spans="1:35">
      <c r="A253" s="342">
        <v>273158</v>
      </c>
      <c r="B253" s="342" t="s">
        <v>466</v>
      </c>
      <c r="C253" s="342" t="s">
        <v>468</v>
      </c>
      <c r="D253" s="342" t="s">
        <v>51</v>
      </c>
      <c r="E253" s="342" t="s">
        <v>591</v>
      </c>
      <c r="F253" s="342" t="s">
        <v>40</v>
      </c>
      <c r="G253" s="342" t="s">
        <v>5282</v>
      </c>
      <c r="H253" s="342" t="s">
        <v>1233</v>
      </c>
      <c r="I253" s="342" t="s">
        <v>5239</v>
      </c>
      <c r="J253" s="342" t="s">
        <v>3256</v>
      </c>
      <c r="K253" s="343">
        <v>45350</v>
      </c>
      <c r="L253" s="342" t="s">
        <v>3257</v>
      </c>
      <c r="P253" s="342" t="s">
        <v>3258</v>
      </c>
      <c r="Q253" s="343">
        <v>45291</v>
      </c>
      <c r="X253" s="342" t="s">
        <v>1771</v>
      </c>
      <c r="AG253" s="342" t="s">
        <v>3259</v>
      </c>
      <c r="AI253" s="342" t="s">
        <v>1995</v>
      </c>
    </row>
    <row r="254" spans="1:35">
      <c r="A254" s="342">
        <v>273520</v>
      </c>
      <c r="B254" s="342" t="s">
        <v>746</v>
      </c>
      <c r="C254" s="342" t="s">
        <v>2510</v>
      </c>
      <c r="D254" s="342" t="s">
        <v>55</v>
      </c>
      <c r="E254" s="342" t="s">
        <v>591</v>
      </c>
      <c r="F254" s="342" t="s">
        <v>40</v>
      </c>
      <c r="G254" s="342" t="s">
        <v>5283</v>
      </c>
      <c r="H254" s="342" t="s">
        <v>1233</v>
      </c>
      <c r="I254" s="342" t="s">
        <v>4942</v>
      </c>
      <c r="J254" s="342" t="s">
        <v>3260</v>
      </c>
      <c r="L254" s="342" t="s">
        <v>3261</v>
      </c>
      <c r="M254" s="343">
        <v>45291</v>
      </c>
      <c r="N254" s="342" t="s">
        <v>3262</v>
      </c>
      <c r="X254" s="342" t="s">
        <v>2514</v>
      </c>
    </row>
    <row r="255" spans="1:35">
      <c r="A255" s="342">
        <v>273521</v>
      </c>
      <c r="B255" s="342" t="s">
        <v>1235</v>
      </c>
      <c r="C255" s="342" t="s">
        <v>470</v>
      </c>
      <c r="D255" s="342" t="s">
        <v>47</v>
      </c>
      <c r="E255" s="342" t="s">
        <v>591</v>
      </c>
      <c r="F255" s="342" t="s">
        <v>40</v>
      </c>
      <c r="G255" s="342" t="s">
        <v>5283</v>
      </c>
      <c r="H255" s="342" t="s">
        <v>1233</v>
      </c>
      <c r="I255" s="342" t="s">
        <v>5037</v>
      </c>
      <c r="J255" s="342" t="s">
        <v>3263</v>
      </c>
      <c r="L255" s="342" t="s">
        <v>3264</v>
      </c>
      <c r="M255" s="343">
        <v>45138</v>
      </c>
      <c r="N255" s="342" t="s">
        <v>3265</v>
      </c>
      <c r="P255" s="342" t="s">
        <v>3266</v>
      </c>
      <c r="Q255" s="343">
        <v>45291</v>
      </c>
      <c r="X255" s="342" t="s">
        <v>1772</v>
      </c>
      <c r="AE255" s="342" t="s">
        <v>3267</v>
      </c>
      <c r="AI255" s="342" t="s">
        <v>1996</v>
      </c>
    </row>
    <row r="256" spans="1:35">
      <c r="A256" s="342">
        <v>273986</v>
      </c>
      <c r="B256" s="342" t="s">
        <v>4649</v>
      </c>
      <c r="C256" s="342" t="s">
        <v>380</v>
      </c>
      <c r="D256" s="342" t="s">
        <v>381</v>
      </c>
      <c r="E256" s="342" t="s">
        <v>591</v>
      </c>
      <c r="F256" s="342" t="s">
        <v>40</v>
      </c>
      <c r="G256" s="342" t="s">
        <v>1421</v>
      </c>
      <c r="H256" s="342" t="s">
        <v>1402</v>
      </c>
      <c r="I256" s="342" t="s">
        <v>5194</v>
      </c>
      <c r="J256" s="342" t="s">
        <v>4658</v>
      </c>
      <c r="L256" s="342" t="s">
        <v>4659</v>
      </c>
      <c r="M256" s="343">
        <v>45199</v>
      </c>
      <c r="X256" s="342" t="s">
        <v>4655</v>
      </c>
    </row>
    <row r="257" spans="1:35">
      <c r="A257" s="342">
        <v>274446</v>
      </c>
      <c r="B257" s="342" t="s">
        <v>471</v>
      </c>
      <c r="C257" s="342" t="s">
        <v>473</v>
      </c>
      <c r="D257" s="342" t="s">
        <v>47</v>
      </c>
      <c r="E257" s="342" t="s">
        <v>591</v>
      </c>
      <c r="F257" s="342" t="s">
        <v>41</v>
      </c>
      <c r="G257" s="342" t="s">
        <v>1336</v>
      </c>
      <c r="H257" s="342" t="s">
        <v>1233</v>
      </c>
      <c r="I257" s="342" t="s">
        <v>5572</v>
      </c>
      <c r="J257" s="342" t="s">
        <v>3268</v>
      </c>
      <c r="L257" s="342" t="s">
        <v>3269</v>
      </c>
      <c r="M257" s="343">
        <v>44926</v>
      </c>
      <c r="N257" s="342" t="s">
        <v>3270</v>
      </c>
      <c r="O257" s="343">
        <v>45462</v>
      </c>
      <c r="P257" s="342" t="s">
        <v>3271</v>
      </c>
      <c r="Q257" s="343">
        <v>44926</v>
      </c>
      <c r="X257" s="342" t="s">
        <v>1773</v>
      </c>
      <c r="Y257" s="342" t="s">
        <v>3054</v>
      </c>
      <c r="AE257" s="342" t="s">
        <v>2628</v>
      </c>
      <c r="AI257" s="342" t="s">
        <v>1997</v>
      </c>
    </row>
    <row r="258" spans="1:35">
      <c r="A258" s="342">
        <v>274446</v>
      </c>
      <c r="B258" s="342" t="s">
        <v>471</v>
      </c>
      <c r="C258" s="342" t="s">
        <v>473</v>
      </c>
      <c r="D258" s="342" t="s">
        <v>47</v>
      </c>
      <c r="E258" s="342" t="s">
        <v>591</v>
      </c>
      <c r="F258" s="342" t="s">
        <v>40</v>
      </c>
      <c r="G258" s="342" t="s">
        <v>1336</v>
      </c>
      <c r="H258" s="342" t="s">
        <v>1402</v>
      </c>
      <c r="I258" s="342" t="s">
        <v>5572</v>
      </c>
      <c r="J258" s="342" t="s">
        <v>3268</v>
      </c>
      <c r="L258" s="342" t="s">
        <v>3269</v>
      </c>
      <c r="M258" s="343">
        <v>44926</v>
      </c>
      <c r="N258" s="342" t="s">
        <v>3270</v>
      </c>
      <c r="O258" s="343">
        <v>45462</v>
      </c>
      <c r="P258" s="342" t="s">
        <v>3271</v>
      </c>
      <c r="Q258" s="343">
        <v>44926</v>
      </c>
      <c r="X258" s="342" t="s">
        <v>1773</v>
      </c>
      <c r="Y258" s="342" t="s">
        <v>3054</v>
      </c>
      <c r="AE258" s="342" t="s">
        <v>2628</v>
      </c>
      <c r="AI258" s="342" t="s">
        <v>1997</v>
      </c>
    </row>
    <row r="259" spans="1:35">
      <c r="A259" s="342">
        <v>274446</v>
      </c>
      <c r="B259" s="342" t="s">
        <v>471</v>
      </c>
      <c r="C259" s="342" t="s">
        <v>473</v>
      </c>
      <c r="D259" s="342" t="s">
        <v>47</v>
      </c>
      <c r="E259" s="342" t="s">
        <v>591</v>
      </c>
      <c r="F259" s="342" t="s">
        <v>1100</v>
      </c>
      <c r="G259" s="342" t="s">
        <v>1336</v>
      </c>
      <c r="H259" s="342" t="s">
        <v>1233</v>
      </c>
      <c r="I259" s="342" t="s">
        <v>5572</v>
      </c>
      <c r="J259" s="342" t="s">
        <v>3268</v>
      </c>
      <c r="L259" s="342" t="s">
        <v>3269</v>
      </c>
      <c r="M259" s="343">
        <v>44926</v>
      </c>
      <c r="N259" s="342" t="s">
        <v>3270</v>
      </c>
      <c r="O259" s="343">
        <v>45462</v>
      </c>
      <c r="P259" s="342" t="s">
        <v>3271</v>
      </c>
      <c r="Q259" s="343">
        <v>44926</v>
      </c>
      <c r="X259" s="342" t="s">
        <v>1773</v>
      </c>
      <c r="Y259" s="342" t="s">
        <v>3054</v>
      </c>
      <c r="AE259" s="342" t="s">
        <v>2628</v>
      </c>
      <c r="AI259" s="342" t="s">
        <v>1997</v>
      </c>
    </row>
    <row r="260" spans="1:35">
      <c r="A260" s="342">
        <v>274446</v>
      </c>
      <c r="B260" s="342" t="s">
        <v>471</v>
      </c>
      <c r="C260" s="342" t="s">
        <v>473</v>
      </c>
      <c r="D260" s="342" t="s">
        <v>47</v>
      </c>
      <c r="E260" s="342" t="s">
        <v>591</v>
      </c>
      <c r="F260" s="342" t="s">
        <v>685</v>
      </c>
      <c r="G260" s="342" t="s">
        <v>1336</v>
      </c>
      <c r="H260" s="342" t="s">
        <v>1233</v>
      </c>
      <c r="I260" s="342" t="s">
        <v>5572</v>
      </c>
      <c r="J260" s="342" t="s">
        <v>3268</v>
      </c>
      <c r="L260" s="342" t="s">
        <v>3269</v>
      </c>
      <c r="M260" s="343">
        <v>44926</v>
      </c>
      <c r="N260" s="342" t="s">
        <v>3270</v>
      </c>
      <c r="O260" s="343">
        <v>45462</v>
      </c>
      <c r="P260" s="342" t="s">
        <v>3271</v>
      </c>
      <c r="Q260" s="343">
        <v>44926</v>
      </c>
      <c r="X260" s="342" t="s">
        <v>1773</v>
      </c>
      <c r="Y260" s="342" t="s">
        <v>3054</v>
      </c>
      <c r="AE260" s="342" t="s">
        <v>2628</v>
      </c>
      <c r="AI260" s="342" t="s">
        <v>1997</v>
      </c>
    </row>
    <row r="261" spans="1:35">
      <c r="A261" s="342">
        <v>274888</v>
      </c>
      <c r="B261" s="342" t="s">
        <v>1250</v>
      </c>
      <c r="C261" s="342" t="s">
        <v>475</v>
      </c>
      <c r="D261" s="342" t="s">
        <v>47</v>
      </c>
      <c r="E261" s="342" t="s">
        <v>591</v>
      </c>
      <c r="F261" s="342" t="s">
        <v>40</v>
      </c>
      <c r="G261" s="342" t="s">
        <v>5449</v>
      </c>
      <c r="H261" s="342" t="s">
        <v>1402</v>
      </c>
      <c r="I261" s="342" t="s">
        <v>4602</v>
      </c>
      <c r="J261" s="342" t="s">
        <v>3272</v>
      </c>
      <c r="L261" s="342" t="s">
        <v>3273</v>
      </c>
      <c r="M261" s="343">
        <v>45138</v>
      </c>
      <c r="X261" s="342" t="s">
        <v>1774</v>
      </c>
      <c r="AE261" s="342" t="s">
        <v>3274</v>
      </c>
      <c r="AI261" s="342" t="s">
        <v>1998</v>
      </c>
    </row>
    <row r="262" spans="1:35">
      <c r="A262" s="342">
        <v>275410</v>
      </c>
      <c r="B262" s="342" t="s">
        <v>1133</v>
      </c>
      <c r="C262" s="342" t="s">
        <v>959</v>
      </c>
      <c r="D262" s="342" t="s">
        <v>98</v>
      </c>
      <c r="E262" s="342" t="s">
        <v>591</v>
      </c>
      <c r="F262" s="342" t="s">
        <v>737</v>
      </c>
      <c r="G262" s="342" t="s">
        <v>5449</v>
      </c>
      <c r="H262" s="342" t="s">
        <v>1402</v>
      </c>
    </row>
    <row r="263" spans="1:35">
      <c r="A263" s="342">
        <v>275809</v>
      </c>
      <c r="B263" s="342" t="s">
        <v>5894</v>
      </c>
      <c r="C263" s="342" t="s">
        <v>380</v>
      </c>
      <c r="D263" s="342" t="s">
        <v>381</v>
      </c>
      <c r="E263" s="342" t="s">
        <v>591</v>
      </c>
      <c r="F263" s="342" t="s">
        <v>40</v>
      </c>
      <c r="G263" s="342" t="s">
        <v>1277</v>
      </c>
      <c r="H263" s="342" t="s">
        <v>1402</v>
      </c>
      <c r="I263" s="342" t="s">
        <v>5038</v>
      </c>
      <c r="J263" s="342" t="s">
        <v>5046</v>
      </c>
      <c r="L263" s="342" t="s">
        <v>3275</v>
      </c>
      <c r="M263" s="343">
        <v>44834</v>
      </c>
      <c r="X263" s="342" t="s">
        <v>5042</v>
      </c>
    </row>
    <row r="264" spans="1:35">
      <c r="A264" s="342">
        <v>277046</v>
      </c>
      <c r="B264" s="342" t="s">
        <v>476</v>
      </c>
      <c r="C264" s="342" t="s">
        <v>478</v>
      </c>
      <c r="D264" s="342" t="s">
        <v>47</v>
      </c>
      <c r="E264" s="342" t="s">
        <v>591</v>
      </c>
      <c r="F264" s="342" t="s">
        <v>40</v>
      </c>
      <c r="G264" s="342" t="s">
        <v>1336</v>
      </c>
      <c r="H264" s="342" t="s">
        <v>1402</v>
      </c>
      <c r="I264" s="342" t="s">
        <v>5420</v>
      </c>
      <c r="J264" s="342" t="s">
        <v>3276</v>
      </c>
      <c r="L264" s="342" t="s">
        <v>3277</v>
      </c>
      <c r="M264" s="343">
        <v>44834</v>
      </c>
      <c r="N264" s="342" t="s">
        <v>3278</v>
      </c>
      <c r="O264" s="343">
        <v>45413</v>
      </c>
      <c r="X264" s="342" t="s">
        <v>1775</v>
      </c>
    </row>
    <row r="265" spans="1:35">
      <c r="A265" s="342">
        <v>278127</v>
      </c>
      <c r="B265" s="342" t="s">
        <v>1424</v>
      </c>
      <c r="C265" s="342" t="s">
        <v>1426</v>
      </c>
      <c r="D265" s="342" t="s">
        <v>175</v>
      </c>
      <c r="E265" s="342" t="s">
        <v>591</v>
      </c>
      <c r="F265" s="342" t="s">
        <v>737</v>
      </c>
      <c r="G265" s="342" t="s">
        <v>5281</v>
      </c>
      <c r="H265" s="342" t="s">
        <v>1233</v>
      </c>
    </row>
    <row r="266" spans="1:35">
      <c r="A266" s="342">
        <v>284291</v>
      </c>
      <c r="B266" s="342" t="s">
        <v>479</v>
      </c>
      <c r="C266" s="342" t="s">
        <v>380</v>
      </c>
      <c r="D266" s="342" t="s">
        <v>381</v>
      </c>
      <c r="E266" s="342" t="s">
        <v>591</v>
      </c>
      <c r="F266" s="342" t="s">
        <v>40</v>
      </c>
      <c r="G266" s="342" t="s">
        <v>5282</v>
      </c>
      <c r="H266" s="342" t="s">
        <v>1233</v>
      </c>
      <c r="I266" s="342" t="s">
        <v>4700</v>
      </c>
      <c r="J266" s="342" t="s">
        <v>3279</v>
      </c>
      <c r="L266" s="342" t="s">
        <v>3280</v>
      </c>
      <c r="M266" s="343">
        <v>44834</v>
      </c>
      <c r="X266" s="342" t="s">
        <v>1776</v>
      </c>
    </row>
    <row r="267" spans="1:35">
      <c r="A267" s="342">
        <v>284316</v>
      </c>
      <c r="B267" s="342" t="s">
        <v>634</v>
      </c>
      <c r="C267" s="342" t="s">
        <v>636</v>
      </c>
      <c r="D267" s="342" t="s">
        <v>51</v>
      </c>
      <c r="E267" s="342" t="s">
        <v>591</v>
      </c>
      <c r="F267" s="342" t="s">
        <v>737</v>
      </c>
      <c r="G267" s="342" t="s">
        <v>5281</v>
      </c>
      <c r="H267" s="342" t="s">
        <v>1233</v>
      </c>
    </row>
    <row r="268" spans="1:35">
      <c r="A268" s="342">
        <v>284407</v>
      </c>
      <c r="B268" s="342" t="s">
        <v>1380</v>
      </c>
      <c r="C268" s="342" t="s">
        <v>1383</v>
      </c>
      <c r="D268" s="342" t="s">
        <v>45</v>
      </c>
      <c r="E268" s="342" t="s">
        <v>591</v>
      </c>
      <c r="F268" s="342" t="s">
        <v>1114</v>
      </c>
      <c r="G268" s="342" t="s">
        <v>1510</v>
      </c>
      <c r="H268" s="342" t="s">
        <v>1233</v>
      </c>
    </row>
    <row r="269" spans="1:35">
      <c r="A269" s="342">
        <v>284672</v>
      </c>
      <c r="B269" s="342" t="s">
        <v>1348</v>
      </c>
      <c r="C269" s="342" t="s">
        <v>1350</v>
      </c>
      <c r="D269" s="342" t="s">
        <v>51</v>
      </c>
      <c r="E269" s="342" t="s">
        <v>591</v>
      </c>
      <c r="F269" s="342" t="s">
        <v>40</v>
      </c>
      <c r="G269" s="342" t="s">
        <v>5280</v>
      </c>
      <c r="H269" s="342" t="s">
        <v>1233</v>
      </c>
      <c r="I269" s="342" t="s">
        <v>5460</v>
      </c>
      <c r="J269" s="342" t="s">
        <v>3281</v>
      </c>
      <c r="K269" s="343">
        <v>44958</v>
      </c>
      <c r="L269" s="342" t="s">
        <v>3282</v>
      </c>
      <c r="P269" s="342" t="s">
        <v>5484</v>
      </c>
      <c r="Q269" s="343">
        <v>44926</v>
      </c>
      <c r="X269" s="342" t="s">
        <v>5475</v>
      </c>
    </row>
    <row r="270" spans="1:35">
      <c r="A270" s="342">
        <v>284673</v>
      </c>
      <c r="B270" s="342" t="s">
        <v>1318</v>
      </c>
      <c r="C270" s="342" t="s">
        <v>565</v>
      </c>
      <c r="D270" s="342" t="s">
        <v>51</v>
      </c>
      <c r="E270" s="342" t="s">
        <v>591</v>
      </c>
      <c r="F270" s="342" t="s">
        <v>40</v>
      </c>
      <c r="G270" s="342" t="s">
        <v>5280</v>
      </c>
      <c r="H270" s="342" t="s">
        <v>1233</v>
      </c>
      <c r="I270" s="342" t="s">
        <v>6050</v>
      </c>
      <c r="J270" s="342" t="s">
        <v>3283</v>
      </c>
      <c r="K270" s="343">
        <v>45504</v>
      </c>
      <c r="L270" s="342" t="s">
        <v>3284</v>
      </c>
      <c r="P270" s="342" t="s">
        <v>5485</v>
      </c>
      <c r="Q270" s="343">
        <v>45107</v>
      </c>
      <c r="X270" s="342" t="s">
        <v>5476</v>
      </c>
    </row>
    <row r="271" spans="1:35">
      <c r="A271" s="342">
        <v>284674</v>
      </c>
      <c r="B271" s="342" t="s">
        <v>482</v>
      </c>
      <c r="C271" s="342" t="s">
        <v>485</v>
      </c>
      <c r="D271" s="342" t="s">
        <v>51</v>
      </c>
      <c r="E271" s="342" t="s">
        <v>591</v>
      </c>
      <c r="F271" s="342" t="s">
        <v>40</v>
      </c>
      <c r="G271" s="342" t="s">
        <v>786</v>
      </c>
      <c r="H271" s="342" t="s">
        <v>1233</v>
      </c>
      <c r="I271" s="342" t="s">
        <v>4772</v>
      </c>
      <c r="J271" s="342" t="s">
        <v>3285</v>
      </c>
      <c r="K271" s="343">
        <v>45223</v>
      </c>
      <c r="L271" s="342" t="s">
        <v>3286</v>
      </c>
      <c r="X271" s="342" t="s">
        <v>1777</v>
      </c>
    </row>
    <row r="272" spans="1:35">
      <c r="A272" s="342">
        <v>285021</v>
      </c>
      <c r="B272" s="342" t="s">
        <v>486</v>
      </c>
      <c r="C272" s="342" t="s">
        <v>488</v>
      </c>
      <c r="D272" s="342" t="s">
        <v>175</v>
      </c>
      <c r="E272" s="342" t="s">
        <v>591</v>
      </c>
      <c r="F272" s="342" t="s">
        <v>40</v>
      </c>
      <c r="G272" s="342" t="s">
        <v>5282</v>
      </c>
      <c r="H272" s="342" t="s">
        <v>1402</v>
      </c>
      <c r="I272" s="342" t="s">
        <v>4911</v>
      </c>
      <c r="J272" s="342" t="s">
        <v>3287</v>
      </c>
      <c r="L272" s="342" t="s">
        <v>3288</v>
      </c>
      <c r="M272" s="343">
        <v>44865</v>
      </c>
      <c r="P272" s="342" t="s">
        <v>3289</v>
      </c>
      <c r="R272" s="342" t="s">
        <v>3290</v>
      </c>
      <c r="S272" s="343">
        <v>44926</v>
      </c>
      <c r="T272" s="342" t="s">
        <v>3291</v>
      </c>
      <c r="X272" s="342" t="s">
        <v>1778</v>
      </c>
    </row>
    <row r="273" spans="1:35">
      <c r="A273" s="342">
        <v>285038</v>
      </c>
      <c r="B273" s="342" t="s">
        <v>963</v>
      </c>
      <c r="C273" s="342" t="s">
        <v>270</v>
      </c>
      <c r="D273" s="342" t="s">
        <v>47</v>
      </c>
      <c r="E273" s="342" t="s">
        <v>591</v>
      </c>
      <c r="F273" s="342" t="s">
        <v>40</v>
      </c>
      <c r="G273" s="342" t="s">
        <v>5280</v>
      </c>
      <c r="H273" s="342" t="s">
        <v>1233</v>
      </c>
      <c r="I273" s="342" t="s">
        <v>5005</v>
      </c>
      <c r="J273" s="342" t="s">
        <v>2911</v>
      </c>
      <c r="L273" s="342" t="s">
        <v>2912</v>
      </c>
      <c r="M273" s="343">
        <v>44895</v>
      </c>
      <c r="N273" s="342" t="s">
        <v>2913</v>
      </c>
      <c r="P273" s="342" t="s">
        <v>2914</v>
      </c>
      <c r="Q273" s="343">
        <v>45291</v>
      </c>
      <c r="X273" s="342" t="s">
        <v>1686</v>
      </c>
    </row>
    <row r="274" spans="1:35">
      <c r="A274" s="342">
        <v>285200</v>
      </c>
      <c r="B274" s="342" t="s">
        <v>4187</v>
      </c>
      <c r="C274" s="342" t="s">
        <v>4189</v>
      </c>
      <c r="D274" s="342" t="s">
        <v>51</v>
      </c>
      <c r="E274" s="342" t="s">
        <v>591</v>
      </c>
      <c r="F274" s="342" t="s">
        <v>40</v>
      </c>
      <c r="G274" s="342" t="s">
        <v>1336</v>
      </c>
      <c r="H274" s="342" t="s">
        <v>1402</v>
      </c>
      <c r="I274" s="342" t="s">
        <v>4890</v>
      </c>
      <c r="J274" s="342" t="s">
        <v>4191</v>
      </c>
      <c r="K274" s="343">
        <v>44896</v>
      </c>
      <c r="L274" s="342" t="s">
        <v>4192</v>
      </c>
      <c r="P274" s="342" t="s">
        <v>4193</v>
      </c>
      <c r="Q274" s="343">
        <v>45291</v>
      </c>
      <c r="X274" s="342" t="s">
        <v>4190</v>
      </c>
    </row>
    <row r="275" spans="1:35">
      <c r="A275" s="342">
        <v>285440</v>
      </c>
      <c r="B275" s="342" t="s">
        <v>490</v>
      </c>
      <c r="C275" s="342" t="s">
        <v>492</v>
      </c>
      <c r="D275" s="342" t="s">
        <v>175</v>
      </c>
      <c r="E275" s="342" t="s">
        <v>591</v>
      </c>
      <c r="F275" s="342" t="s">
        <v>40</v>
      </c>
      <c r="G275" s="342" t="s">
        <v>1510</v>
      </c>
      <c r="H275" s="342" t="s">
        <v>1402</v>
      </c>
      <c r="I275" s="342" t="s">
        <v>4786</v>
      </c>
      <c r="J275" s="342" t="s">
        <v>3292</v>
      </c>
      <c r="L275" s="342" t="s">
        <v>3293</v>
      </c>
      <c r="M275" s="343">
        <v>44865</v>
      </c>
      <c r="P275" s="342" t="s">
        <v>3294</v>
      </c>
      <c r="R275" s="342" t="s">
        <v>3295</v>
      </c>
      <c r="S275" s="343">
        <v>44834</v>
      </c>
      <c r="T275" s="342" t="s">
        <v>3296</v>
      </c>
      <c r="V275" s="342" t="s">
        <v>4396</v>
      </c>
      <c r="W275" s="343">
        <v>44813</v>
      </c>
      <c r="X275" s="342" t="s">
        <v>4397</v>
      </c>
    </row>
    <row r="276" spans="1:35">
      <c r="A276" s="342">
        <v>286796</v>
      </c>
      <c r="B276" s="342" t="s">
        <v>494</v>
      </c>
      <c r="C276" s="342" t="s">
        <v>330</v>
      </c>
      <c r="D276" s="342" t="s">
        <v>47</v>
      </c>
      <c r="E276" s="342" t="s">
        <v>591</v>
      </c>
      <c r="F276" s="342" t="s">
        <v>40</v>
      </c>
      <c r="G276" s="342" t="s">
        <v>5279</v>
      </c>
      <c r="H276" s="342" t="s">
        <v>1233</v>
      </c>
      <c r="I276" s="342" t="s">
        <v>4654</v>
      </c>
      <c r="J276" s="342" t="s">
        <v>3297</v>
      </c>
      <c r="L276" s="342" t="s">
        <v>3298</v>
      </c>
      <c r="M276" s="343">
        <v>45169</v>
      </c>
      <c r="X276" s="342" t="s">
        <v>1779</v>
      </c>
    </row>
    <row r="277" spans="1:35">
      <c r="A277" s="342">
        <v>287067</v>
      </c>
      <c r="B277" s="342" t="s">
        <v>965</v>
      </c>
      <c r="C277" s="342" t="s">
        <v>967</v>
      </c>
      <c r="D277" s="342" t="s">
        <v>47</v>
      </c>
      <c r="E277" s="342" t="s">
        <v>591</v>
      </c>
      <c r="F277" s="342" t="s">
        <v>41</v>
      </c>
      <c r="G277" s="342" t="s">
        <v>786</v>
      </c>
      <c r="H277" s="342" t="s">
        <v>1402</v>
      </c>
      <c r="I277" s="342" t="s">
        <v>5296</v>
      </c>
      <c r="J277" s="342" t="s">
        <v>3299</v>
      </c>
      <c r="L277" s="342" t="s">
        <v>3300</v>
      </c>
      <c r="M277" s="343">
        <v>45382</v>
      </c>
      <c r="X277" s="342" t="s">
        <v>1780</v>
      </c>
    </row>
    <row r="278" spans="1:35">
      <c r="A278" s="342">
        <v>287463</v>
      </c>
      <c r="B278" s="342" t="s">
        <v>1166</v>
      </c>
      <c r="C278" s="342" t="s">
        <v>499</v>
      </c>
      <c r="D278" s="342" t="s">
        <v>55</v>
      </c>
      <c r="E278" s="342" t="s">
        <v>591</v>
      </c>
      <c r="F278" s="342" t="s">
        <v>40</v>
      </c>
      <c r="G278" s="342" t="s">
        <v>4608</v>
      </c>
      <c r="H278" s="342" t="s">
        <v>1233</v>
      </c>
      <c r="I278" s="342" t="s">
        <v>5195</v>
      </c>
      <c r="J278" s="342" t="s">
        <v>3302</v>
      </c>
      <c r="L278" s="342" t="s">
        <v>3303</v>
      </c>
      <c r="M278" s="343">
        <v>45350</v>
      </c>
      <c r="N278" s="342" t="s">
        <v>3304</v>
      </c>
      <c r="O278" s="343">
        <v>72686</v>
      </c>
      <c r="X278" s="342" t="s">
        <v>1781</v>
      </c>
      <c r="AE278" s="342" t="s">
        <v>2618</v>
      </c>
      <c r="AI278" s="342" t="s">
        <v>1882</v>
      </c>
    </row>
    <row r="279" spans="1:35">
      <c r="A279" s="342">
        <v>287466</v>
      </c>
      <c r="B279" s="342" t="s">
        <v>500</v>
      </c>
      <c r="C279" s="342" t="s">
        <v>336</v>
      </c>
      <c r="D279" s="342" t="s">
        <v>337</v>
      </c>
      <c r="E279" s="342" t="s">
        <v>591</v>
      </c>
      <c r="F279" s="342" t="s">
        <v>40</v>
      </c>
      <c r="G279" s="342" t="s">
        <v>5282</v>
      </c>
      <c r="H279" s="342" t="s">
        <v>1233</v>
      </c>
      <c r="I279" s="342" t="s">
        <v>5680</v>
      </c>
      <c r="J279" s="342" t="s">
        <v>3305</v>
      </c>
      <c r="L279" s="342" t="s">
        <v>3306</v>
      </c>
      <c r="M279" s="343">
        <v>44834</v>
      </c>
      <c r="N279" s="342" t="s">
        <v>3307</v>
      </c>
      <c r="O279" s="343">
        <v>45107</v>
      </c>
      <c r="P279" s="342" t="s">
        <v>3308</v>
      </c>
      <c r="Q279" s="343">
        <v>45291</v>
      </c>
      <c r="R279" s="342" t="s">
        <v>3309</v>
      </c>
      <c r="S279" s="343">
        <v>45107</v>
      </c>
      <c r="X279" s="342" t="s">
        <v>1782</v>
      </c>
    </row>
    <row r="280" spans="1:35">
      <c r="A280" s="342">
        <v>287479</v>
      </c>
      <c r="B280" s="342" t="s">
        <v>502</v>
      </c>
      <c r="C280" s="342" t="s">
        <v>1190</v>
      </c>
      <c r="D280" s="342" t="s">
        <v>47</v>
      </c>
      <c r="E280" s="342" t="s">
        <v>591</v>
      </c>
      <c r="F280" s="342" t="s">
        <v>737</v>
      </c>
      <c r="G280" s="342" t="s">
        <v>1421</v>
      </c>
      <c r="H280" s="342" t="s">
        <v>1233</v>
      </c>
      <c r="I280" s="342" t="s">
        <v>1070</v>
      </c>
    </row>
    <row r="281" spans="1:35">
      <c r="A281" s="342">
        <v>287490</v>
      </c>
      <c r="B281" s="342" t="s">
        <v>504</v>
      </c>
      <c r="C281" s="342" t="s">
        <v>46</v>
      </c>
      <c r="D281" s="342" t="s">
        <v>47</v>
      </c>
      <c r="E281" s="342" t="s">
        <v>591</v>
      </c>
      <c r="F281" s="342" t="s">
        <v>40</v>
      </c>
      <c r="G281" s="342" t="s">
        <v>1336</v>
      </c>
      <c r="H281" s="342" t="s">
        <v>1402</v>
      </c>
      <c r="I281" s="342" t="s">
        <v>5609</v>
      </c>
      <c r="J281" s="342" t="s">
        <v>3310</v>
      </c>
      <c r="L281" s="342" t="s">
        <v>3311</v>
      </c>
      <c r="M281" s="343">
        <v>44895</v>
      </c>
      <c r="N281" s="342" t="s">
        <v>3312</v>
      </c>
      <c r="P281" s="342" t="s">
        <v>3313</v>
      </c>
      <c r="Q281" s="343">
        <v>44926</v>
      </c>
      <c r="X281" s="342" t="s">
        <v>1783</v>
      </c>
    </row>
    <row r="282" spans="1:35">
      <c r="A282" s="342">
        <v>287523</v>
      </c>
      <c r="B282" s="342" t="s">
        <v>506</v>
      </c>
      <c r="C282" s="342" t="s">
        <v>336</v>
      </c>
      <c r="D282" s="342" t="s">
        <v>337</v>
      </c>
      <c r="E282" s="342" t="s">
        <v>591</v>
      </c>
      <c r="F282" s="342" t="s">
        <v>40</v>
      </c>
      <c r="G282" s="342" t="s">
        <v>4608</v>
      </c>
      <c r="H282" s="342" t="s">
        <v>1233</v>
      </c>
      <c r="I282" s="342" t="s">
        <v>5610</v>
      </c>
      <c r="J282" s="342" t="s">
        <v>3314</v>
      </c>
      <c r="L282" s="342" t="s">
        <v>3315</v>
      </c>
      <c r="M282" s="343">
        <v>44834</v>
      </c>
      <c r="P282" s="342" t="s">
        <v>3316</v>
      </c>
      <c r="Q282" s="343">
        <v>45107</v>
      </c>
      <c r="R282" s="342" t="s">
        <v>3317</v>
      </c>
      <c r="S282" s="343">
        <v>45107</v>
      </c>
      <c r="V282" s="342" t="s">
        <v>4398</v>
      </c>
      <c r="W282" s="343">
        <v>44976</v>
      </c>
      <c r="X282" s="342" t="s">
        <v>4399</v>
      </c>
      <c r="AE282" s="342" t="s">
        <v>2628</v>
      </c>
      <c r="AI282" s="342" t="s">
        <v>1885</v>
      </c>
    </row>
    <row r="283" spans="1:35">
      <c r="A283" s="342">
        <v>287718</v>
      </c>
      <c r="B283" s="342" t="s">
        <v>407</v>
      </c>
      <c r="C283" s="342" t="s">
        <v>973</v>
      </c>
      <c r="D283" s="342" t="s">
        <v>66</v>
      </c>
      <c r="E283" s="342" t="s">
        <v>591</v>
      </c>
      <c r="F283" s="342" t="s">
        <v>737</v>
      </c>
      <c r="G283" s="342" t="s">
        <v>5281</v>
      </c>
      <c r="H283" s="342" t="s">
        <v>1233</v>
      </c>
    </row>
    <row r="284" spans="1:35">
      <c r="A284" s="342">
        <v>287722</v>
      </c>
      <c r="B284" s="342" t="s">
        <v>743</v>
      </c>
      <c r="C284" s="342" t="s">
        <v>1419</v>
      </c>
      <c r="D284" s="342" t="s">
        <v>1088</v>
      </c>
      <c r="E284" s="342" t="s">
        <v>591</v>
      </c>
      <c r="F284" s="342" t="s">
        <v>737</v>
      </c>
      <c r="G284" s="342" t="s">
        <v>5280</v>
      </c>
      <c r="H284" s="342" t="s">
        <v>1233</v>
      </c>
      <c r="I284" s="342" t="s">
        <v>4912</v>
      </c>
      <c r="J284" s="342" t="s">
        <v>3318</v>
      </c>
      <c r="L284" s="342" t="s">
        <v>3319</v>
      </c>
      <c r="M284" s="343">
        <v>44834</v>
      </c>
      <c r="X284" s="342" t="s">
        <v>1784</v>
      </c>
    </row>
    <row r="285" spans="1:35">
      <c r="A285" s="342">
        <v>287746</v>
      </c>
      <c r="B285" s="342" t="s">
        <v>1101</v>
      </c>
      <c r="C285" s="342" t="s">
        <v>1103</v>
      </c>
      <c r="D285" s="342" t="s">
        <v>55</v>
      </c>
      <c r="E285" s="342" t="s">
        <v>591</v>
      </c>
      <c r="F285" s="342" t="s">
        <v>40</v>
      </c>
      <c r="G285" s="342" t="s">
        <v>1336</v>
      </c>
      <c r="H285" s="342" t="s">
        <v>1233</v>
      </c>
      <c r="I285" s="342" t="s">
        <v>1082</v>
      </c>
      <c r="J285" s="342" t="s">
        <v>3320</v>
      </c>
      <c r="X285" s="342" t="s">
        <v>1785</v>
      </c>
      <c r="AE285" s="342" t="s">
        <v>3321</v>
      </c>
      <c r="AI285" s="342" t="s">
        <v>2000</v>
      </c>
    </row>
    <row r="286" spans="1:35">
      <c r="A286" s="342">
        <v>287747</v>
      </c>
      <c r="B286" s="342" t="s">
        <v>509</v>
      </c>
      <c r="C286" s="342" t="s">
        <v>511</v>
      </c>
      <c r="D286" s="342" t="s">
        <v>55</v>
      </c>
      <c r="E286" s="342" t="s">
        <v>591</v>
      </c>
      <c r="F286" s="342" t="s">
        <v>737</v>
      </c>
      <c r="G286" s="342" t="s">
        <v>1336</v>
      </c>
      <c r="H286" s="342" t="s">
        <v>1233</v>
      </c>
      <c r="I286" s="342" t="s">
        <v>2541</v>
      </c>
      <c r="AE286" s="342" t="s">
        <v>3321</v>
      </c>
      <c r="AI286" s="342" t="s">
        <v>2000</v>
      </c>
    </row>
    <row r="287" spans="1:35">
      <c r="A287" s="342">
        <v>287941</v>
      </c>
      <c r="B287" s="342" t="s">
        <v>5363</v>
      </c>
      <c r="C287" s="342" t="s">
        <v>4937</v>
      </c>
      <c r="D287" s="342" t="s">
        <v>55</v>
      </c>
      <c r="E287" s="342" t="s">
        <v>591</v>
      </c>
      <c r="F287" s="342" t="s">
        <v>40</v>
      </c>
      <c r="G287" s="342" t="s">
        <v>1277</v>
      </c>
      <c r="H287" s="342" t="s">
        <v>5218</v>
      </c>
      <c r="I287" s="342" t="s">
        <v>4943</v>
      </c>
      <c r="J287" s="342" t="s">
        <v>4951</v>
      </c>
      <c r="X287" s="342" t="s">
        <v>4947</v>
      </c>
    </row>
    <row r="288" spans="1:35">
      <c r="A288" s="342">
        <v>287980</v>
      </c>
      <c r="B288" s="342" t="s">
        <v>767</v>
      </c>
      <c r="C288" s="342" t="s">
        <v>769</v>
      </c>
      <c r="D288" s="342" t="s">
        <v>526</v>
      </c>
      <c r="E288" s="342" t="s">
        <v>591</v>
      </c>
      <c r="F288" s="342" t="s">
        <v>40</v>
      </c>
      <c r="G288" s="342" t="s">
        <v>1510</v>
      </c>
      <c r="H288" s="342" t="s">
        <v>1402</v>
      </c>
      <c r="I288" s="342" t="s">
        <v>4800</v>
      </c>
      <c r="J288" s="342" t="s">
        <v>3162</v>
      </c>
      <c r="L288" s="342" t="s">
        <v>3163</v>
      </c>
      <c r="M288" s="343">
        <v>44865</v>
      </c>
      <c r="N288" s="342" t="s">
        <v>3164</v>
      </c>
      <c r="O288" s="343">
        <v>45170</v>
      </c>
      <c r="P288" s="342" t="s">
        <v>3164</v>
      </c>
      <c r="Q288" s="343">
        <v>45170</v>
      </c>
      <c r="R288" s="342" t="s">
        <v>3164</v>
      </c>
      <c r="S288" s="343">
        <v>45170</v>
      </c>
      <c r="T288" s="342" t="s">
        <v>3165</v>
      </c>
      <c r="U288" s="343">
        <v>45170</v>
      </c>
      <c r="X288" s="342" t="s">
        <v>1749</v>
      </c>
    </row>
    <row r="289" spans="1:35">
      <c r="A289" s="342">
        <v>288222</v>
      </c>
      <c r="B289" s="342" t="s">
        <v>512</v>
      </c>
      <c r="C289" s="342" t="s">
        <v>336</v>
      </c>
      <c r="D289" s="342" t="s">
        <v>337</v>
      </c>
      <c r="E289" s="342" t="s">
        <v>591</v>
      </c>
      <c r="F289" s="342" t="s">
        <v>40</v>
      </c>
      <c r="G289" s="342" t="s">
        <v>5282</v>
      </c>
      <c r="H289" s="342" t="s">
        <v>1233</v>
      </c>
      <c r="I289" s="342" t="s">
        <v>5662</v>
      </c>
      <c r="J289" s="342" t="s">
        <v>3322</v>
      </c>
      <c r="L289" s="342" t="s">
        <v>3323</v>
      </c>
      <c r="M289" s="343">
        <v>44895</v>
      </c>
      <c r="N289" s="342" t="s">
        <v>3324</v>
      </c>
      <c r="O289" s="343">
        <v>44804</v>
      </c>
      <c r="P289" s="342" t="s">
        <v>3325</v>
      </c>
      <c r="Q289" s="343">
        <v>45473</v>
      </c>
      <c r="R289" s="342" t="s">
        <v>3326</v>
      </c>
      <c r="S289" s="343">
        <v>44804</v>
      </c>
      <c r="V289" s="342" t="s">
        <v>4683</v>
      </c>
      <c r="X289" s="342" t="s">
        <v>4682</v>
      </c>
    </row>
    <row r="290" spans="1:35">
      <c r="A290" s="342">
        <v>288401</v>
      </c>
      <c r="B290" s="342" t="s">
        <v>514</v>
      </c>
      <c r="C290" s="342" t="s">
        <v>516</v>
      </c>
      <c r="D290" s="342" t="s">
        <v>51</v>
      </c>
      <c r="E290" s="342" t="s">
        <v>591</v>
      </c>
      <c r="F290" s="342" t="s">
        <v>40</v>
      </c>
      <c r="G290" s="342" t="s">
        <v>1336</v>
      </c>
      <c r="H290" s="342" t="s">
        <v>1402</v>
      </c>
      <c r="I290" s="342" t="s">
        <v>4300</v>
      </c>
      <c r="J290" s="342" t="s">
        <v>3327</v>
      </c>
      <c r="K290" s="343">
        <v>44958</v>
      </c>
      <c r="L290" s="342" t="s">
        <v>3328</v>
      </c>
      <c r="X290" s="342" t="s">
        <v>1786</v>
      </c>
    </row>
    <row r="291" spans="1:35">
      <c r="A291" s="342">
        <v>288403</v>
      </c>
      <c r="B291" s="342" t="s">
        <v>4386</v>
      </c>
      <c r="C291" s="342" t="s">
        <v>336</v>
      </c>
      <c r="D291" s="342" t="s">
        <v>337</v>
      </c>
      <c r="E291" s="342" t="s">
        <v>591</v>
      </c>
      <c r="F291" s="342" t="s">
        <v>40</v>
      </c>
      <c r="G291" s="342" t="s">
        <v>5279</v>
      </c>
      <c r="H291" s="342" t="s">
        <v>1233</v>
      </c>
      <c r="I291" s="342" t="s">
        <v>5461</v>
      </c>
      <c r="J291" s="342" t="s">
        <v>3329</v>
      </c>
      <c r="L291" s="342" t="s">
        <v>3330</v>
      </c>
      <c r="M291" s="343">
        <v>44895</v>
      </c>
      <c r="N291" s="342" t="s">
        <v>3331</v>
      </c>
      <c r="O291" s="343">
        <v>44804</v>
      </c>
      <c r="P291" s="342" t="s">
        <v>3332</v>
      </c>
      <c r="Q291" s="343">
        <v>45291</v>
      </c>
      <c r="R291" s="342" t="s">
        <v>3333</v>
      </c>
      <c r="S291" s="343">
        <v>44804</v>
      </c>
      <c r="T291" s="342" t="s">
        <v>3331</v>
      </c>
      <c r="U291" s="343">
        <v>44804</v>
      </c>
      <c r="X291" s="342" t="s">
        <v>1787</v>
      </c>
    </row>
    <row r="292" spans="1:35">
      <c r="A292" s="342">
        <v>288404</v>
      </c>
      <c r="B292" s="342" t="s">
        <v>1497</v>
      </c>
      <c r="C292" s="342" t="s">
        <v>493</v>
      </c>
      <c r="D292" s="342" t="s">
        <v>51</v>
      </c>
      <c r="E292" s="342" t="s">
        <v>591</v>
      </c>
      <c r="F292" s="342" t="s">
        <v>40</v>
      </c>
      <c r="G292" s="342" t="s">
        <v>5449</v>
      </c>
      <c r="H292" s="342" t="s">
        <v>1402</v>
      </c>
      <c r="I292" s="342" t="s">
        <v>1492</v>
      </c>
      <c r="J292" s="342" t="s">
        <v>3334</v>
      </c>
      <c r="K292" s="343">
        <v>44774</v>
      </c>
      <c r="L292" s="342" t="s">
        <v>3335</v>
      </c>
      <c r="X292" s="342" t="s">
        <v>1788</v>
      </c>
    </row>
    <row r="293" spans="1:35">
      <c r="A293" s="342">
        <v>288412</v>
      </c>
      <c r="B293" s="342" t="s">
        <v>519</v>
      </c>
      <c r="C293" s="342" t="s">
        <v>236</v>
      </c>
      <c r="D293" s="342" t="s">
        <v>51</v>
      </c>
      <c r="E293" s="342" t="s">
        <v>591</v>
      </c>
      <c r="F293" s="342" t="s">
        <v>40</v>
      </c>
      <c r="G293" s="342" t="s">
        <v>5282</v>
      </c>
      <c r="H293" s="342" t="s">
        <v>1402</v>
      </c>
      <c r="I293" s="342" t="s">
        <v>5611</v>
      </c>
      <c r="J293" s="342" t="s">
        <v>3336</v>
      </c>
      <c r="K293" s="343">
        <v>44805</v>
      </c>
      <c r="L293" s="342" t="s">
        <v>3337</v>
      </c>
      <c r="P293" s="342" t="s">
        <v>3338</v>
      </c>
      <c r="Q293" s="343">
        <v>44926</v>
      </c>
      <c r="X293" s="342" t="s">
        <v>1789</v>
      </c>
    </row>
    <row r="294" spans="1:35">
      <c r="A294" s="342">
        <v>288414</v>
      </c>
      <c r="B294" s="342" t="s">
        <v>522</v>
      </c>
      <c r="C294" s="342" t="s">
        <v>782</v>
      </c>
      <c r="D294" s="342" t="s">
        <v>51</v>
      </c>
      <c r="E294" s="342" t="s">
        <v>591</v>
      </c>
      <c r="F294" s="342" t="s">
        <v>40</v>
      </c>
      <c r="G294" s="342" t="s">
        <v>5282</v>
      </c>
      <c r="H294" s="342" t="s">
        <v>1233</v>
      </c>
      <c r="I294" s="342" t="s">
        <v>6051</v>
      </c>
      <c r="J294" s="342" t="s">
        <v>3339</v>
      </c>
      <c r="K294" s="343">
        <v>45504</v>
      </c>
      <c r="L294" s="342" t="s">
        <v>3340</v>
      </c>
      <c r="P294" s="342" t="s">
        <v>3341</v>
      </c>
      <c r="Q294" s="343">
        <v>45291</v>
      </c>
      <c r="X294" s="342" t="s">
        <v>1790</v>
      </c>
    </row>
    <row r="295" spans="1:35">
      <c r="A295" s="342">
        <v>288415</v>
      </c>
      <c r="B295" s="342" t="s">
        <v>4387</v>
      </c>
      <c r="C295" s="342" t="s">
        <v>336</v>
      </c>
      <c r="D295" s="342" t="s">
        <v>337</v>
      </c>
      <c r="E295" s="342" t="s">
        <v>591</v>
      </c>
      <c r="F295" s="342" t="s">
        <v>40</v>
      </c>
      <c r="G295" s="342" t="s">
        <v>5449</v>
      </c>
      <c r="H295" s="342" t="s">
        <v>1402</v>
      </c>
      <c r="I295" s="342" t="s">
        <v>5462</v>
      </c>
      <c r="J295" s="342" t="s">
        <v>3342</v>
      </c>
      <c r="L295" s="342" t="s">
        <v>3343</v>
      </c>
      <c r="M295" s="343">
        <v>44895</v>
      </c>
      <c r="N295" s="342" t="s">
        <v>3344</v>
      </c>
      <c r="O295" s="343">
        <v>44804</v>
      </c>
      <c r="P295" s="342" t="s">
        <v>3345</v>
      </c>
      <c r="Q295" s="343">
        <v>45291</v>
      </c>
      <c r="R295" s="342" t="s">
        <v>3346</v>
      </c>
      <c r="S295" s="343">
        <v>44804</v>
      </c>
      <c r="X295" s="342" t="s">
        <v>1791</v>
      </c>
    </row>
    <row r="296" spans="1:35">
      <c r="A296" s="342">
        <v>288416</v>
      </c>
      <c r="B296" s="342" t="s">
        <v>522</v>
      </c>
      <c r="C296" s="342" t="s">
        <v>331</v>
      </c>
      <c r="D296" s="342" t="s">
        <v>51</v>
      </c>
      <c r="E296" s="342" t="s">
        <v>591</v>
      </c>
      <c r="F296" s="342" t="s">
        <v>40</v>
      </c>
      <c r="G296" s="342" t="s">
        <v>5282</v>
      </c>
      <c r="H296" s="342" t="s">
        <v>1233</v>
      </c>
      <c r="I296" s="342" t="s">
        <v>6052</v>
      </c>
      <c r="J296" s="342" t="s">
        <v>3347</v>
      </c>
      <c r="K296" s="343">
        <v>45504</v>
      </c>
      <c r="L296" s="342" t="s">
        <v>3348</v>
      </c>
      <c r="X296" s="342" t="s">
        <v>1792</v>
      </c>
    </row>
    <row r="297" spans="1:35">
      <c r="A297" s="342">
        <v>288429</v>
      </c>
      <c r="B297" s="342" t="s">
        <v>525</v>
      </c>
      <c r="C297" s="342" t="s">
        <v>566</v>
      </c>
      <c r="D297" s="342" t="s">
        <v>526</v>
      </c>
      <c r="E297" s="342" t="s">
        <v>591</v>
      </c>
      <c r="F297" s="342" t="s">
        <v>40</v>
      </c>
      <c r="G297" s="342" t="s">
        <v>5282</v>
      </c>
      <c r="H297" s="342" t="s">
        <v>1233</v>
      </c>
      <c r="I297" s="342" t="s">
        <v>4839</v>
      </c>
      <c r="J297" s="342" t="s">
        <v>3349</v>
      </c>
      <c r="L297" s="342" t="s">
        <v>3350</v>
      </c>
      <c r="M297" s="343">
        <v>44865</v>
      </c>
      <c r="R297" s="342" t="s">
        <v>3351</v>
      </c>
      <c r="S297" s="343">
        <v>45168</v>
      </c>
      <c r="T297" s="342" t="s">
        <v>3352</v>
      </c>
      <c r="U297" s="343">
        <v>45168</v>
      </c>
      <c r="X297" s="342" t="s">
        <v>1793</v>
      </c>
    </row>
    <row r="298" spans="1:35">
      <c r="A298" s="342">
        <v>288457</v>
      </c>
      <c r="B298" s="342" t="s">
        <v>527</v>
      </c>
      <c r="C298" s="342" t="s">
        <v>660</v>
      </c>
      <c r="D298" s="342" t="s">
        <v>45</v>
      </c>
      <c r="E298" s="342" t="s">
        <v>591</v>
      </c>
      <c r="F298" s="342" t="s">
        <v>40</v>
      </c>
      <c r="G298" s="342" t="s">
        <v>5282</v>
      </c>
      <c r="H298" s="342" t="s">
        <v>1233</v>
      </c>
      <c r="I298" s="342" t="s">
        <v>6053</v>
      </c>
      <c r="J298" s="342" t="s">
        <v>3353</v>
      </c>
      <c r="L298" s="342" t="s">
        <v>3354</v>
      </c>
      <c r="M298" s="343">
        <v>45504</v>
      </c>
      <c r="X298" s="342" t="s">
        <v>1794</v>
      </c>
    </row>
    <row r="299" spans="1:35">
      <c r="A299" s="342">
        <v>288653</v>
      </c>
      <c r="B299" s="342" t="s">
        <v>750</v>
      </c>
      <c r="C299" s="342" t="s">
        <v>753</v>
      </c>
      <c r="D299" s="342" t="s">
        <v>51</v>
      </c>
      <c r="E299" s="342" t="s">
        <v>591</v>
      </c>
      <c r="F299" s="342" t="s">
        <v>40</v>
      </c>
      <c r="G299" s="342" t="s">
        <v>4441</v>
      </c>
      <c r="H299" s="342" t="s">
        <v>1233</v>
      </c>
      <c r="I299" s="342" t="s">
        <v>1516</v>
      </c>
      <c r="J299" s="342" t="s">
        <v>3355</v>
      </c>
      <c r="K299" s="343">
        <v>44805</v>
      </c>
      <c r="L299" s="342" t="s">
        <v>3356</v>
      </c>
      <c r="X299" s="342" t="s">
        <v>1795</v>
      </c>
    </row>
    <row r="300" spans="1:35">
      <c r="A300" s="342">
        <v>289048</v>
      </c>
      <c r="B300" s="342" t="s">
        <v>1385</v>
      </c>
      <c r="C300" s="342" t="s">
        <v>1387</v>
      </c>
      <c r="D300" s="342" t="s">
        <v>51</v>
      </c>
      <c r="E300" s="342" t="s">
        <v>591</v>
      </c>
      <c r="F300" s="342" t="s">
        <v>1114</v>
      </c>
      <c r="G300" s="342" t="s">
        <v>4608</v>
      </c>
      <c r="H300" s="342" t="s">
        <v>1233</v>
      </c>
    </row>
    <row r="301" spans="1:35">
      <c r="A301" s="342">
        <v>289064</v>
      </c>
      <c r="B301" s="342" t="s">
        <v>760</v>
      </c>
      <c r="C301" s="342" t="s">
        <v>763</v>
      </c>
      <c r="D301" s="342" t="s">
        <v>107</v>
      </c>
      <c r="E301" s="342" t="s">
        <v>591</v>
      </c>
      <c r="F301" s="342" t="s">
        <v>40</v>
      </c>
      <c r="G301" s="342" t="s">
        <v>4441</v>
      </c>
      <c r="H301" s="342" t="s">
        <v>1233</v>
      </c>
      <c r="I301" s="342" t="s">
        <v>5612</v>
      </c>
      <c r="J301" s="342" t="s">
        <v>3357</v>
      </c>
      <c r="N301" s="342" t="s">
        <v>3358</v>
      </c>
      <c r="P301" s="342" t="s">
        <v>3359</v>
      </c>
      <c r="Q301" s="343">
        <v>44926</v>
      </c>
      <c r="R301" s="342" t="s">
        <v>3360</v>
      </c>
      <c r="T301" s="342" t="s">
        <v>3360</v>
      </c>
      <c r="X301" s="342" t="s">
        <v>1796</v>
      </c>
    </row>
    <row r="302" spans="1:35">
      <c r="A302" s="342">
        <v>289087</v>
      </c>
      <c r="B302" s="342" t="s">
        <v>5284</v>
      </c>
      <c r="C302" s="342" t="s">
        <v>5286</v>
      </c>
      <c r="D302" s="342" t="s">
        <v>1088</v>
      </c>
      <c r="E302" s="342" t="s">
        <v>591</v>
      </c>
      <c r="F302" s="342" t="s">
        <v>40</v>
      </c>
      <c r="G302" s="342" t="s">
        <v>5281</v>
      </c>
      <c r="H302" s="342" t="s">
        <v>1233</v>
      </c>
      <c r="I302" s="342" t="s">
        <v>5297</v>
      </c>
      <c r="J302" s="342" t="s">
        <v>5306</v>
      </c>
      <c r="L302" s="342" t="s">
        <v>5307</v>
      </c>
      <c r="M302" s="343">
        <v>44834</v>
      </c>
      <c r="X302" s="342" t="s">
        <v>5303</v>
      </c>
    </row>
    <row r="303" spans="1:35">
      <c r="A303" s="342">
        <v>289129</v>
      </c>
      <c r="B303" s="342" t="s">
        <v>528</v>
      </c>
      <c r="C303" s="342" t="s">
        <v>93</v>
      </c>
      <c r="D303" s="342" t="s">
        <v>47</v>
      </c>
      <c r="E303" s="342" t="s">
        <v>591</v>
      </c>
      <c r="F303" s="342" t="s">
        <v>40</v>
      </c>
      <c r="G303" s="342" t="s">
        <v>5278</v>
      </c>
      <c r="H303" s="342" t="s">
        <v>1233</v>
      </c>
      <c r="I303" s="342" t="s">
        <v>5681</v>
      </c>
      <c r="J303" s="342" t="s">
        <v>2694</v>
      </c>
      <c r="L303" s="342" t="s">
        <v>2695</v>
      </c>
      <c r="M303" s="343">
        <v>45350</v>
      </c>
      <c r="N303" s="342" t="s">
        <v>2696</v>
      </c>
      <c r="O303" s="343">
        <v>72686</v>
      </c>
      <c r="P303" s="342" t="s">
        <v>3361</v>
      </c>
      <c r="Q303" s="343">
        <v>44926</v>
      </c>
      <c r="X303" s="342" t="s">
        <v>1797</v>
      </c>
      <c r="AE303" s="342" t="s">
        <v>2697</v>
      </c>
      <c r="AI303" s="342" t="s">
        <v>1977</v>
      </c>
    </row>
    <row r="304" spans="1:35">
      <c r="A304" s="342">
        <v>290257</v>
      </c>
      <c r="B304" s="342" t="s">
        <v>530</v>
      </c>
      <c r="C304" s="342" t="s">
        <v>119</v>
      </c>
      <c r="D304" s="342" t="s">
        <v>51</v>
      </c>
      <c r="E304" s="342" t="s">
        <v>591</v>
      </c>
      <c r="F304" s="342" t="s">
        <v>40</v>
      </c>
      <c r="G304" s="342" t="s">
        <v>5450</v>
      </c>
      <c r="H304" s="342" t="s">
        <v>1233</v>
      </c>
      <c r="I304" s="342" t="s">
        <v>4891</v>
      </c>
      <c r="J304" s="342" t="s">
        <v>3362</v>
      </c>
      <c r="K304" s="343">
        <v>44774</v>
      </c>
      <c r="L304" s="342" t="s">
        <v>3363</v>
      </c>
      <c r="P304" s="342" t="s">
        <v>3364</v>
      </c>
      <c r="Q304" s="343">
        <v>44742</v>
      </c>
      <c r="X304" s="342" t="s">
        <v>1798</v>
      </c>
    </row>
    <row r="305" spans="1:35">
      <c r="A305" s="342">
        <v>291012</v>
      </c>
      <c r="B305" s="342" t="s">
        <v>533</v>
      </c>
      <c r="C305" s="342" t="s">
        <v>536</v>
      </c>
      <c r="D305" s="342" t="s">
        <v>51</v>
      </c>
      <c r="E305" s="342" t="s">
        <v>591</v>
      </c>
      <c r="F305" s="342" t="s">
        <v>40</v>
      </c>
      <c r="G305" s="342" t="s">
        <v>5449</v>
      </c>
      <c r="I305" s="342" t="s">
        <v>1499</v>
      </c>
      <c r="J305" s="342" t="s">
        <v>3365</v>
      </c>
      <c r="K305" s="343">
        <v>44774</v>
      </c>
      <c r="L305" s="342" t="s">
        <v>3366</v>
      </c>
      <c r="X305" s="342" t="s">
        <v>1799</v>
      </c>
    </row>
    <row r="306" spans="1:35">
      <c r="A306" s="342">
        <v>291146</v>
      </c>
      <c r="B306" s="342" t="s">
        <v>1134</v>
      </c>
      <c r="C306" s="342" t="s">
        <v>1136</v>
      </c>
      <c r="D306" s="342" t="s">
        <v>51</v>
      </c>
      <c r="E306" s="342" t="s">
        <v>591</v>
      </c>
      <c r="F306" s="342" t="s">
        <v>40</v>
      </c>
      <c r="G306" s="342" t="s">
        <v>5450</v>
      </c>
      <c r="H306" s="342" t="s">
        <v>1233</v>
      </c>
      <c r="I306" s="342" t="s">
        <v>6054</v>
      </c>
      <c r="J306" s="342" t="s">
        <v>3367</v>
      </c>
      <c r="K306" s="343">
        <v>45504</v>
      </c>
      <c r="L306" s="342" t="s">
        <v>3368</v>
      </c>
      <c r="X306" s="342" t="s">
        <v>1800</v>
      </c>
    </row>
    <row r="307" spans="1:35">
      <c r="A307" s="342">
        <v>292561</v>
      </c>
      <c r="B307" s="342" t="s">
        <v>537</v>
      </c>
      <c r="C307" s="342" t="s">
        <v>539</v>
      </c>
      <c r="D307" s="342" t="s">
        <v>98</v>
      </c>
      <c r="E307" s="342" t="s">
        <v>591</v>
      </c>
      <c r="F307" s="342" t="s">
        <v>40</v>
      </c>
      <c r="G307" s="342" t="s">
        <v>5282</v>
      </c>
      <c r="H307" s="342" t="s">
        <v>1233</v>
      </c>
      <c r="I307" s="342" t="s">
        <v>4866</v>
      </c>
      <c r="J307" s="342" t="s">
        <v>2920</v>
      </c>
      <c r="L307" s="342" t="s">
        <v>2921</v>
      </c>
      <c r="M307" s="343">
        <v>45260</v>
      </c>
      <c r="P307" s="342" t="s">
        <v>2923</v>
      </c>
      <c r="Q307" s="343">
        <v>44926</v>
      </c>
      <c r="X307" s="342" t="s">
        <v>1801</v>
      </c>
      <c r="AE307" s="342" t="s">
        <v>2924</v>
      </c>
      <c r="AI307" s="342" t="s">
        <v>1943</v>
      </c>
    </row>
    <row r="308" spans="1:35">
      <c r="A308" s="342">
        <v>292565</v>
      </c>
      <c r="B308" s="342" t="s">
        <v>1389</v>
      </c>
      <c r="C308" s="342" t="s">
        <v>1392</v>
      </c>
      <c r="D308" s="342" t="s">
        <v>246</v>
      </c>
      <c r="E308" s="342" t="s">
        <v>591</v>
      </c>
      <c r="F308" s="342" t="s">
        <v>40</v>
      </c>
      <c r="G308" s="342" t="s">
        <v>1277</v>
      </c>
      <c r="H308" s="342" t="s">
        <v>1233</v>
      </c>
      <c r="I308" s="342" t="s">
        <v>5613</v>
      </c>
      <c r="J308" s="342" t="s">
        <v>3369</v>
      </c>
      <c r="L308" s="342" t="s">
        <v>3370</v>
      </c>
      <c r="M308" s="343">
        <v>44865</v>
      </c>
      <c r="P308" s="342" t="s">
        <v>3371</v>
      </c>
      <c r="Q308" s="343">
        <v>44926</v>
      </c>
      <c r="R308" s="342" t="s">
        <v>4487</v>
      </c>
      <c r="S308" s="343">
        <v>45277</v>
      </c>
      <c r="X308" s="342" t="s">
        <v>4483</v>
      </c>
    </row>
    <row r="309" spans="1:35">
      <c r="A309" s="342">
        <v>292673</v>
      </c>
      <c r="B309" s="342" t="s">
        <v>1137</v>
      </c>
      <c r="C309" s="342" t="s">
        <v>987</v>
      </c>
      <c r="D309" s="342" t="s">
        <v>66</v>
      </c>
      <c r="E309" s="342" t="s">
        <v>591</v>
      </c>
      <c r="F309" s="342" t="s">
        <v>784</v>
      </c>
      <c r="G309" s="342" t="s">
        <v>4638</v>
      </c>
      <c r="H309" s="342" t="s">
        <v>1402</v>
      </c>
      <c r="I309" s="342" t="s">
        <v>1316</v>
      </c>
      <c r="J309" s="342" t="s">
        <v>3372</v>
      </c>
      <c r="X309" s="342" t="s">
        <v>1802</v>
      </c>
      <c r="Y309" s="342" t="s">
        <v>3373</v>
      </c>
      <c r="AE309" s="342" t="s">
        <v>3374</v>
      </c>
      <c r="AI309" s="342" t="s">
        <v>2001</v>
      </c>
    </row>
    <row r="310" spans="1:35">
      <c r="A310" s="342">
        <v>293442</v>
      </c>
      <c r="B310" s="342" t="s">
        <v>1140</v>
      </c>
      <c r="C310" s="342" t="s">
        <v>1142</v>
      </c>
      <c r="D310" s="342" t="s">
        <v>51</v>
      </c>
      <c r="E310" s="342" t="s">
        <v>591</v>
      </c>
      <c r="F310" s="342" t="s">
        <v>40</v>
      </c>
      <c r="G310" s="342" t="s">
        <v>5449</v>
      </c>
      <c r="H310" s="342" t="s">
        <v>1233</v>
      </c>
      <c r="I310" s="342" t="s">
        <v>4314</v>
      </c>
      <c r="J310" s="342" t="s">
        <v>3375</v>
      </c>
      <c r="K310" s="343">
        <v>44958</v>
      </c>
      <c r="L310" s="342" t="s">
        <v>3376</v>
      </c>
      <c r="P310" s="342" t="s">
        <v>3377</v>
      </c>
      <c r="Q310" s="343">
        <v>44926</v>
      </c>
      <c r="X310" s="342" t="s">
        <v>1803</v>
      </c>
    </row>
    <row r="311" spans="1:35">
      <c r="A311" s="342">
        <v>294094</v>
      </c>
      <c r="B311" s="342" t="s">
        <v>684</v>
      </c>
      <c r="C311" s="342" t="s">
        <v>614</v>
      </c>
      <c r="D311" s="342" t="s">
        <v>558</v>
      </c>
      <c r="E311" s="342" t="s">
        <v>591</v>
      </c>
      <c r="F311" s="342" t="s">
        <v>40</v>
      </c>
      <c r="G311" s="342" t="s">
        <v>5282</v>
      </c>
      <c r="H311" s="342" t="s">
        <v>1402</v>
      </c>
      <c r="I311" s="342" t="s">
        <v>5663</v>
      </c>
      <c r="J311" s="342" t="s">
        <v>3378</v>
      </c>
      <c r="L311" s="342" t="s">
        <v>3379</v>
      </c>
      <c r="M311" s="343">
        <v>44804</v>
      </c>
      <c r="N311" s="342" t="s">
        <v>3380</v>
      </c>
      <c r="O311" s="343">
        <v>45473</v>
      </c>
      <c r="P311" s="342" t="s">
        <v>3381</v>
      </c>
      <c r="Q311" s="343">
        <v>44926</v>
      </c>
      <c r="R311" s="342" t="s">
        <v>3382</v>
      </c>
      <c r="S311" s="343">
        <v>44926</v>
      </c>
      <c r="V311" s="342" t="s">
        <v>4674</v>
      </c>
      <c r="W311" s="343">
        <v>45041</v>
      </c>
      <c r="X311" s="342" t="s">
        <v>4673</v>
      </c>
    </row>
    <row r="312" spans="1:35">
      <c r="A312" s="342">
        <v>294096</v>
      </c>
      <c r="B312" s="342" t="s">
        <v>989</v>
      </c>
      <c r="C312" s="342" t="s">
        <v>991</v>
      </c>
      <c r="D312" s="342" t="s">
        <v>381</v>
      </c>
      <c r="E312" s="342" t="s">
        <v>591</v>
      </c>
      <c r="F312" s="342" t="s">
        <v>41</v>
      </c>
      <c r="G312" s="342" t="s">
        <v>786</v>
      </c>
      <c r="H312" s="342" t="s">
        <v>1233</v>
      </c>
      <c r="I312" s="342" t="s">
        <v>4787</v>
      </c>
      <c r="J312" s="342" t="s">
        <v>3383</v>
      </c>
      <c r="L312" s="342" t="s">
        <v>3384</v>
      </c>
      <c r="M312" s="343">
        <v>44834</v>
      </c>
      <c r="X312" s="342" t="s">
        <v>4449</v>
      </c>
    </row>
    <row r="313" spans="1:35">
      <c r="A313" s="342">
        <v>295409</v>
      </c>
      <c r="B313" s="342" t="s">
        <v>540</v>
      </c>
      <c r="C313" s="342" t="s">
        <v>417</v>
      </c>
      <c r="D313" s="342" t="s">
        <v>51</v>
      </c>
      <c r="E313" s="342" t="s">
        <v>591</v>
      </c>
      <c r="F313" s="342" t="s">
        <v>40</v>
      </c>
      <c r="G313" s="342" t="s">
        <v>5281</v>
      </c>
      <c r="H313" s="342" t="s">
        <v>1233</v>
      </c>
      <c r="I313" s="342" t="s">
        <v>5298</v>
      </c>
      <c r="J313" s="342" t="s">
        <v>3385</v>
      </c>
      <c r="K313" s="343">
        <v>45382</v>
      </c>
      <c r="L313" s="342" t="s">
        <v>3386</v>
      </c>
      <c r="X313" s="342" t="s">
        <v>1804</v>
      </c>
    </row>
    <row r="314" spans="1:35">
      <c r="A314" s="342">
        <v>295568</v>
      </c>
      <c r="B314" s="342" t="s">
        <v>5026</v>
      </c>
      <c r="C314" s="342" t="s">
        <v>1136</v>
      </c>
      <c r="D314" s="342" t="s">
        <v>51</v>
      </c>
      <c r="E314" s="342" t="s">
        <v>591</v>
      </c>
      <c r="F314" s="342" t="s">
        <v>40</v>
      </c>
      <c r="G314" s="342" t="s">
        <v>1336</v>
      </c>
      <c r="H314" s="342" t="s">
        <v>1402</v>
      </c>
      <c r="I314" s="342" t="s">
        <v>5069</v>
      </c>
      <c r="J314" s="342" t="s">
        <v>5047</v>
      </c>
      <c r="K314" s="343">
        <v>45260</v>
      </c>
      <c r="L314" s="342" t="s">
        <v>5048</v>
      </c>
      <c r="X314" s="342" t="s">
        <v>5043</v>
      </c>
    </row>
    <row r="315" spans="1:35">
      <c r="A315" s="342">
        <v>295609</v>
      </c>
      <c r="B315" s="342" t="s">
        <v>1312</v>
      </c>
      <c r="C315" s="342" t="s">
        <v>349</v>
      </c>
      <c r="D315" s="342" t="s">
        <v>47</v>
      </c>
      <c r="E315" s="342" t="s">
        <v>591</v>
      </c>
      <c r="F315" s="342" t="s">
        <v>40</v>
      </c>
      <c r="G315" s="342" t="s">
        <v>5449</v>
      </c>
      <c r="H315" s="342" t="s">
        <v>1402</v>
      </c>
      <c r="I315" s="342" t="s">
        <v>1338</v>
      </c>
      <c r="J315" s="342" t="s">
        <v>3387</v>
      </c>
      <c r="X315" s="342" t="s">
        <v>1805</v>
      </c>
      <c r="AE315" s="342" t="s">
        <v>3388</v>
      </c>
      <c r="AI315" s="342" t="s">
        <v>2002</v>
      </c>
    </row>
    <row r="316" spans="1:35">
      <c r="A316" s="342">
        <v>296146</v>
      </c>
      <c r="B316" s="342" t="s">
        <v>543</v>
      </c>
      <c r="C316" s="342" t="s">
        <v>295</v>
      </c>
      <c r="D316" s="342" t="s">
        <v>51</v>
      </c>
      <c r="E316" s="342" t="s">
        <v>591</v>
      </c>
      <c r="F316" s="342" t="s">
        <v>40</v>
      </c>
      <c r="G316" s="342" t="s">
        <v>5279</v>
      </c>
      <c r="H316" s="342" t="s">
        <v>1402</v>
      </c>
      <c r="I316" s="342" t="s">
        <v>6055</v>
      </c>
      <c r="J316" s="342" t="s">
        <v>3389</v>
      </c>
      <c r="K316" s="343">
        <v>45504</v>
      </c>
      <c r="L316" s="342" t="s">
        <v>3390</v>
      </c>
      <c r="X316" s="342" t="s">
        <v>1806</v>
      </c>
      <c r="AG316" s="342" t="s">
        <v>3391</v>
      </c>
      <c r="AI316" s="342" t="s">
        <v>2003</v>
      </c>
    </row>
    <row r="317" spans="1:35">
      <c r="A317" s="342">
        <v>296322</v>
      </c>
      <c r="B317" s="342" t="s">
        <v>994</v>
      </c>
      <c r="C317" s="342" t="s">
        <v>336</v>
      </c>
      <c r="D317" s="342" t="s">
        <v>337</v>
      </c>
      <c r="E317" s="342" t="s">
        <v>591</v>
      </c>
      <c r="F317" s="342" t="s">
        <v>40</v>
      </c>
      <c r="G317" s="342" t="s">
        <v>4608</v>
      </c>
      <c r="H317" s="342" t="s">
        <v>1233</v>
      </c>
      <c r="I317" s="342" t="s">
        <v>5614</v>
      </c>
      <c r="J317" s="342" t="s">
        <v>3392</v>
      </c>
      <c r="L317" s="342" t="s">
        <v>3393</v>
      </c>
      <c r="M317" s="343">
        <v>45046</v>
      </c>
      <c r="N317" s="342" t="s">
        <v>3394</v>
      </c>
      <c r="O317" s="343">
        <v>44957</v>
      </c>
      <c r="P317" s="342" t="s">
        <v>3395</v>
      </c>
      <c r="Q317" s="343">
        <v>45107</v>
      </c>
      <c r="R317" s="342" t="s">
        <v>3396</v>
      </c>
      <c r="S317" s="343">
        <v>44957</v>
      </c>
      <c r="V317" s="342" t="s">
        <v>4400</v>
      </c>
      <c r="W317" s="343">
        <v>45041</v>
      </c>
      <c r="X317" s="342" t="s">
        <v>4401</v>
      </c>
    </row>
    <row r="318" spans="1:35">
      <c r="A318" s="342">
        <v>296804</v>
      </c>
      <c r="B318" s="342" t="s">
        <v>546</v>
      </c>
      <c r="C318" s="342" t="s">
        <v>548</v>
      </c>
      <c r="D318" s="342" t="s">
        <v>47</v>
      </c>
      <c r="E318" s="342" t="s">
        <v>591</v>
      </c>
      <c r="F318" s="342" t="s">
        <v>40</v>
      </c>
      <c r="G318" s="342" t="s">
        <v>1277</v>
      </c>
      <c r="H318" s="342" t="s">
        <v>1402</v>
      </c>
      <c r="I318" s="342" t="s">
        <v>2021</v>
      </c>
      <c r="J318" s="342" t="s">
        <v>3397</v>
      </c>
      <c r="L318" s="342" t="s">
        <v>3398</v>
      </c>
      <c r="M318" s="343">
        <v>44834</v>
      </c>
      <c r="N318" s="342" t="s">
        <v>3399</v>
      </c>
      <c r="X318" s="342" t="s">
        <v>2023</v>
      </c>
    </row>
    <row r="319" spans="1:35">
      <c r="A319" s="342">
        <v>296804</v>
      </c>
      <c r="B319" s="342" t="s">
        <v>546</v>
      </c>
      <c r="C319" s="342" t="s">
        <v>548</v>
      </c>
      <c r="D319" s="342" t="s">
        <v>47</v>
      </c>
      <c r="E319" s="342" t="s">
        <v>591</v>
      </c>
      <c r="F319" s="342" t="s">
        <v>1114</v>
      </c>
      <c r="G319" s="342" t="s">
        <v>1421</v>
      </c>
      <c r="H319" s="342" t="s">
        <v>1162</v>
      </c>
      <c r="I319" s="342" t="s">
        <v>2021</v>
      </c>
      <c r="J319" s="342" t="s">
        <v>3397</v>
      </c>
      <c r="L319" s="342" t="s">
        <v>3398</v>
      </c>
      <c r="M319" s="343">
        <v>44834</v>
      </c>
      <c r="N319" s="342" t="s">
        <v>3399</v>
      </c>
      <c r="X319" s="342" t="s">
        <v>2023</v>
      </c>
    </row>
    <row r="320" spans="1:35">
      <c r="A320" s="342">
        <v>297471</v>
      </c>
      <c r="B320" s="342" t="s">
        <v>776</v>
      </c>
      <c r="C320" s="342" t="s">
        <v>777</v>
      </c>
      <c r="D320" s="342" t="s">
        <v>779</v>
      </c>
      <c r="E320" s="342" t="s">
        <v>591</v>
      </c>
      <c r="F320" s="342" t="s">
        <v>40</v>
      </c>
      <c r="G320" s="342" t="s">
        <v>5281</v>
      </c>
      <c r="H320" s="342" t="s">
        <v>1233</v>
      </c>
      <c r="I320" s="342" t="s">
        <v>5904</v>
      </c>
      <c r="J320" s="342" t="s">
        <v>3400</v>
      </c>
      <c r="L320" s="342" t="s">
        <v>3401</v>
      </c>
      <c r="M320" s="343">
        <v>45230</v>
      </c>
      <c r="N320" s="342" t="s">
        <v>3402</v>
      </c>
      <c r="P320" s="342" t="s">
        <v>3403</v>
      </c>
      <c r="Q320" s="343">
        <v>44926</v>
      </c>
      <c r="R320" s="342" t="s">
        <v>3404</v>
      </c>
      <c r="S320" s="343">
        <v>44773</v>
      </c>
      <c r="X320" s="342" t="s">
        <v>1807</v>
      </c>
      <c r="AE320" s="342" t="s">
        <v>5912</v>
      </c>
      <c r="AI320" s="342" t="s">
        <v>5911</v>
      </c>
    </row>
    <row r="321" spans="1:35">
      <c r="A321" s="342">
        <v>297951</v>
      </c>
      <c r="B321" s="342" t="s">
        <v>999</v>
      </c>
      <c r="C321" s="342" t="s">
        <v>336</v>
      </c>
      <c r="D321" s="342" t="s">
        <v>337</v>
      </c>
      <c r="E321" s="342" t="s">
        <v>591</v>
      </c>
      <c r="F321" s="342" t="s">
        <v>40</v>
      </c>
      <c r="G321" s="342" t="s">
        <v>5282</v>
      </c>
      <c r="H321" s="342" t="s">
        <v>1402</v>
      </c>
      <c r="I321" s="342" t="s">
        <v>5393</v>
      </c>
      <c r="J321" s="342" t="s">
        <v>3405</v>
      </c>
      <c r="L321" s="342" t="s">
        <v>3406</v>
      </c>
      <c r="M321" s="343">
        <v>44804</v>
      </c>
      <c r="N321" s="342" t="s">
        <v>3407</v>
      </c>
      <c r="O321" s="343">
        <v>44834</v>
      </c>
      <c r="P321" s="342" t="s">
        <v>3408</v>
      </c>
      <c r="Q321" s="343">
        <v>45291</v>
      </c>
      <c r="R321" s="342" t="s">
        <v>3409</v>
      </c>
      <c r="S321" s="343">
        <v>44834</v>
      </c>
      <c r="V321" s="342" t="s">
        <v>5397</v>
      </c>
      <c r="W321" s="343">
        <v>45016</v>
      </c>
      <c r="X321" s="342" t="s">
        <v>5395</v>
      </c>
    </row>
    <row r="322" spans="1:35">
      <c r="A322" s="342">
        <v>298128</v>
      </c>
      <c r="B322" s="342" t="s">
        <v>1002</v>
      </c>
      <c r="C322" s="342" t="s">
        <v>550</v>
      </c>
      <c r="D322" s="342" t="s">
        <v>51</v>
      </c>
      <c r="E322" s="342" t="s">
        <v>591</v>
      </c>
      <c r="F322" s="342" t="s">
        <v>41</v>
      </c>
      <c r="G322" s="342" t="s">
        <v>786</v>
      </c>
      <c r="H322" s="342" t="s">
        <v>1402</v>
      </c>
      <c r="I322" s="342" t="s">
        <v>5070</v>
      </c>
      <c r="J322" s="342" t="s">
        <v>3410</v>
      </c>
      <c r="K322" s="343">
        <v>45260</v>
      </c>
      <c r="L322" s="342" t="s">
        <v>3411</v>
      </c>
      <c r="N322" s="342" t="s">
        <v>3412</v>
      </c>
      <c r="X322" s="342" t="s">
        <v>1808</v>
      </c>
    </row>
    <row r="323" spans="1:35">
      <c r="A323" s="342">
        <v>298364</v>
      </c>
      <c r="B323" s="342" t="s">
        <v>551</v>
      </c>
      <c r="C323" s="342" t="s">
        <v>348</v>
      </c>
      <c r="D323" s="342" t="s">
        <v>45</v>
      </c>
      <c r="E323" s="342" t="s">
        <v>591</v>
      </c>
      <c r="F323" s="342" t="s">
        <v>40</v>
      </c>
      <c r="G323" s="342" t="s">
        <v>786</v>
      </c>
      <c r="H323" s="342" t="s">
        <v>1402</v>
      </c>
      <c r="I323" s="342" t="s">
        <v>4944</v>
      </c>
      <c r="J323" s="342" t="s">
        <v>3413</v>
      </c>
      <c r="L323" s="342" t="s">
        <v>3414</v>
      </c>
      <c r="M323" s="343">
        <v>45260</v>
      </c>
      <c r="N323" s="342" t="s">
        <v>3415</v>
      </c>
      <c r="P323" s="342" t="s">
        <v>4775</v>
      </c>
      <c r="Q323" s="343">
        <v>45291</v>
      </c>
      <c r="X323" s="342" t="s">
        <v>4774</v>
      </c>
      <c r="AE323" s="342" t="s">
        <v>3416</v>
      </c>
      <c r="AI323" s="342" t="s">
        <v>2004</v>
      </c>
    </row>
    <row r="324" spans="1:35">
      <c r="A324" s="342">
        <v>298473</v>
      </c>
      <c r="B324" s="342" t="s">
        <v>5288</v>
      </c>
      <c r="C324" s="342" t="s">
        <v>5291</v>
      </c>
      <c r="D324" s="342" t="s">
        <v>45</v>
      </c>
      <c r="E324" s="342" t="s">
        <v>591</v>
      </c>
      <c r="F324" s="342" t="s">
        <v>41</v>
      </c>
      <c r="G324" s="342" t="s">
        <v>1421</v>
      </c>
      <c r="H324" s="342" t="s">
        <v>1233</v>
      </c>
      <c r="I324" s="342" t="s">
        <v>5299</v>
      </c>
      <c r="J324" s="342" t="s">
        <v>5308</v>
      </c>
      <c r="X324" s="342" t="s">
        <v>5304</v>
      </c>
    </row>
    <row r="325" spans="1:35">
      <c r="A325" s="342">
        <v>298528</v>
      </c>
      <c r="B325" s="342" t="s">
        <v>1461</v>
      </c>
      <c r="C325" s="342" t="s">
        <v>1463</v>
      </c>
      <c r="D325" s="342" t="s">
        <v>558</v>
      </c>
      <c r="E325" s="342" t="s">
        <v>591</v>
      </c>
      <c r="F325" s="342" t="s">
        <v>40</v>
      </c>
      <c r="G325" s="342" t="s">
        <v>5281</v>
      </c>
      <c r="H325" s="342" t="s">
        <v>1233</v>
      </c>
      <c r="I325" s="342" t="s">
        <v>5905</v>
      </c>
      <c r="J325" s="342" t="s">
        <v>3417</v>
      </c>
      <c r="L325" s="342" t="s">
        <v>3418</v>
      </c>
      <c r="M325" s="343">
        <v>45077</v>
      </c>
      <c r="P325" s="342" t="s">
        <v>3419</v>
      </c>
      <c r="Q325" s="343">
        <v>45473</v>
      </c>
      <c r="X325" s="342" t="s">
        <v>1809</v>
      </c>
    </row>
    <row r="326" spans="1:35">
      <c r="A326" s="342">
        <v>298721</v>
      </c>
      <c r="B326" s="342" t="s">
        <v>362</v>
      </c>
      <c r="C326" s="342" t="s">
        <v>555</v>
      </c>
      <c r="D326" s="342" t="s">
        <v>47</v>
      </c>
      <c r="E326" s="342" t="s">
        <v>591</v>
      </c>
      <c r="F326" s="342" t="s">
        <v>40</v>
      </c>
      <c r="G326" s="342" t="s">
        <v>1336</v>
      </c>
      <c r="H326" s="342" t="s">
        <v>1233</v>
      </c>
      <c r="I326" s="342" t="s">
        <v>5615</v>
      </c>
      <c r="J326" s="342" t="s">
        <v>3064</v>
      </c>
      <c r="L326" s="342" t="s">
        <v>3420</v>
      </c>
      <c r="M326" s="343">
        <v>45138</v>
      </c>
      <c r="N326" s="342" t="s">
        <v>3421</v>
      </c>
      <c r="P326" s="342" t="s">
        <v>3422</v>
      </c>
      <c r="Q326" s="343">
        <v>44926</v>
      </c>
      <c r="X326" s="342" t="s">
        <v>1810</v>
      </c>
      <c r="AE326" s="342" t="s">
        <v>3065</v>
      </c>
      <c r="AI326" s="342" t="s">
        <v>1966</v>
      </c>
    </row>
    <row r="327" spans="1:35">
      <c r="A327" s="342">
        <v>298788</v>
      </c>
      <c r="B327" s="342" t="s">
        <v>556</v>
      </c>
      <c r="C327" s="342" t="s">
        <v>693</v>
      </c>
      <c r="D327" s="342" t="s">
        <v>558</v>
      </c>
      <c r="E327" s="342" t="s">
        <v>591</v>
      </c>
      <c r="F327" s="342" t="s">
        <v>41</v>
      </c>
      <c r="G327" s="342" t="s">
        <v>1421</v>
      </c>
      <c r="H327" s="342" t="s">
        <v>1402</v>
      </c>
      <c r="I327" s="342" t="s">
        <v>5616</v>
      </c>
      <c r="J327" s="342" t="s">
        <v>3423</v>
      </c>
      <c r="L327" s="342" t="s">
        <v>3424</v>
      </c>
      <c r="M327" s="343">
        <v>44834</v>
      </c>
      <c r="P327" s="342" t="s">
        <v>3425</v>
      </c>
      <c r="Q327" s="343">
        <v>44926</v>
      </c>
      <c r="R327" s="342" t="s">
        <v>3426</v>
      </c>
      <c r="S327" s="343">
        <v>44957</v>
      </c>
      <c r="V327" s="342" t="s">
        <v>4793</v>
      </c>
      <c r="W327" s="343">
        <v>44843</v>
      </c>
      <c r="X327" s="342" t="s">
        <v>4791</v>
      </c>
    </row>
    <row r="328" spans="1:35">
      <c r="A328" s="342">
        <v>298788</v>
      </c>
      <c r="B328" s="342" t="s">
        <v>556</v>
      </c>
      <c r="C328" s="342" t="s">
        <v>693</v>
      </c>
      <c r="D328" s="342" t="s">
        <v>558</v>
      </c>
      <c r="E328" s="342" t="s">
        <v>591</v>
      </c>
      <c r="F328" s="342" t="s">
        <v>40</v>
      </c>
      <c r="G328" s="342" t="s">
        <v>1421</v>
      </c>
      <c r="H328" s="342" t="s">
        <v>1233</v>
      </c>
      <c r="I328" s="342" t="s">
        <v>5616</v>
      </c>
      <c r="J328" s="342" t="s">
        <v>3423</v>
      </c>
      <c r="L328" s="342" t="s">
        <v>3424</v>
      </c>
      <c r="M328" s="343">
        <v>44834</v>
      </c>
      <c r="P328" s="342" t="s">
        <v>3425</v>
      </c>
      <c r="Q328" s="343">
        <v>44926</v>
      </c>
      <c r="R328" s="342" t="s">
        <v>3426</v>
      </c>
      <c r="S328" s="343">
        <v>44957</v>
      </c>
      <c r="V328" s="342" t="s">
        <v>4793</v>
      </c>
      <c r="W328" s="343">
        <v>44843</v>
      </c>
      <c r="X328" s="342" t="s">
        <v>4791</v>
      </c>
    </row>
    <row r="329" spans="1:35">
      <c r="A329" s="342">
        <v>298953</v>
      </c>
      <c r="B329" s="342" t="s">
        <v>649</v>
      </c>
      <c r="C329" s="342" t="s">
        <v>650</v>
      </c>
      <c r="D329" s="342" t="s">
        <v>51</v>
      </c>
      <c r="E329" s="342" t="s">
        <v>591</v>
      </c>
      <c r="F329" s="342" t="s">
        <v>40</v>
      </c>
      <c r="G329" s="342" t="s">
        <v>5450</v>
      </c>
      <c r="H329" s="342" t="s">
        <v>1233</v>
      </c>
      <c r="I329" s="342" t="s">
        <v>4315</v>
      </c>
      <c r="J329" s="342" t="s">
        <v>3427</v>
      </c>
      <c r="K329" s="343">
        <v>44958</v>
      </c>
      <c r="L329" s="342" t="s">
        <v>3428</v>
      </c>
      <c r="X329" s="342" t="s">
        <v>1811</v>
      </c>
    </row>
    <row r="330" spans="1:35">
      <c r="A330" s="342">
        <v>299072</v>
      </c>
      <c r="B330" s="342" t="s">
        <v>1008</v>
      </c>
      <c r="C330" s="342" t="s">
        <v>1010</v>
      </c>
      <c r="D330" s="342" t="s">
        <v>51</v>
      </c>
      <c r="E330" s="342" t="s">
        <v>591</v>
      </c>
      <c r="F330" s="342" t="s">
        <v>784</v>
      </c>
      <c r="G330" s="342" t="s">
        <v>1336</v>
      </c>
      <c r="H330" s="342" t="s">
        <v>1233</v>
      </c>
      <c r="I330" s="342" t="s">
        <v>4316</v>
      </c>
      <c r="J330" s="342" t="s">
        <v>3429</v>
      </c>
      <c r="K330" s="343">
        <v>44958</v>
      </c>
      <c r="L330" s="342" t="s">
        <v>3430</v>
      </c>
      <c r="X330" s="342" t="s">
        <v>1812</v>
      </c>
    </row>
    <row r="331" spans="1:35">
      <c r="A331" s="342">
        <v>299072</v>
      </c>
      <c r="B331" s="342" t="s">
        <v>1008</v>
      </c>
      <c r="C331" s="342" t="s">
        <v>1010</v>
      </c>
      <c r="D331" s="342" t="s">
        <v>51</v>
      </c>
      <c r="E331" s="342" t="s">
        <v>591</v>
      </c>
      <c r="F331" s="342" t="s">
        <v>787</v>
      </c>
      <c r="G331" s="342" t="s">
        <v>1336</v>
      </c>
      <c r="H331" s="342" t="s">
        <v>1233</v>
      </c>
      <c r="I331" s="342" t="s">
        <v>4316</v>
      </c>
      <c r="J331" s="342" t="s">
        <v>3429</v>
      </c>
      <c r="K331" s="343">
        <v>44958</v>
      </c>
      <c r="L331" s="342" t="s">
        <v>3430</v>
      </c>
      <c r="X331" s="342" t="s">
        <v>1812</v>
      </c>
    </row>
    <row r="332" spans="1:35">
      <c r="A332" s="342">
        <v>299640</v>
      </c>
      <c r="B332" s="342" t="s">
        <v>4475</v>
      </c>
      <c r="C332" s="342" t="s">
        <v>174</v>
      </c>
      <c r="D332" s="342" t="s">
        <v>175</v>
      </c>
      <c r="E332" s="342" t="s">
        <v>591</v>
      </c>
      <c r="F332" s="342" t="s">
        <v>40</v>
      </c>
      <c r="G332" s="342" t="s">
        <v>1510</v>
      </c>
      <c r="H332" s="342" t="s">
        <v>1402</v>
      </c>
      <c r="I332" s="342" t="s">
        <v>4482</v>
      </c>
      <c r="J332" s="342" t="s">
        <v>4488</v>
      </c>
      <c r="L332" s="342" t="s">
        <v>4489</v>
      </c>
      <c r="M332" s="343">
        <v>44834</v>
      </c>
      <c r="P332" s="342" t="s">
        <v>4490</v>
      </c>
      <c r="X332" s="342" t="s">
        <v>4484</v>
      </c>
    </row>
    <row r="333" spans="1:35">
      <c r="A333" s="342">
        <v>300205</v>
      </c>
      <c r="B333" s="342" t="s">
        <v>1011</v>
      </c>
      <c r="C333" s="342" t="s">
        <v>1193</v>
      </c>
      <c r="D333" s="342" t="s">
        <v>47</v>
      </c>
      <c r="E333" s="342" t="s">
        <v>591</v>
      </c>
      <c r="F333" s="342" t="s">
        <v>1100</v>
      </c>
      <c r="G333" s="342" t="s">
        <v>4638</v>
      </c>
      <c r="H333" s="342" t="s">
        <v>1402</v>
      </c>
      <c r="I333" s="342" t="s">
        <v>1317</v>
      </c>
      <c r="Y333" s="342" t="s">
        <v>3431</v>
      </c>
      <c r="AI333" s="342" t="s">
        <v>2005</v>
      </c>
    </row>
    <row r="334" spans="1:35">
      <c r="A334" s="342">
        <v>300583</v>
      </c>
      <c r="B334" s="342" t="s">
        <v>1077</v>
      </c>
      <c r="C334" s="342" t="s">
        <v>275</v>
      </c>
      <c r="D334" s="342" t="s">
        <v>45</v>
      </c>
      <c r="E334" s="342" t="s">
        <v>591</v>
      </c>
      <c r="F334" s="342" t="s">
        <v>40</v>
      </c>
      <c r="G334" s="342" t="s">
        <v>786</v>
      </c>
      <c r="H334" s="342" t="s">
        <v>1402</v>
      </c>
      <c r="I334" s="342" t="s">
        <v>5348</v>
      </c>
      <c r="J334" s="342" t="s">
        <v>3432</v>
      </c>
      <c r="L334" s="342" t="s">
        <v>3433</v>
      </c>
      <c r="M334" s="343">
        <v>44742</v>
      </c>
      <c r="X334" s="342" t="s">
        <v>1813</v>
      </c>
      <c r="AE334" s="342" t="s">
        <v>3042</v>
      </c>
      <c r="AI334" s="342" t="s">
        <v>1962</v>
      </c>
    </row>
    <row r="335" spans="1:35">
      <c r="A335" s="342">
        <v>300812</v>
      </c>
      <c r="B335" s="342" t="s">
        <v>1441</v>
      </c>
      <c r="C335" s="342" t="s">
        <v>1443</v>
      </c>
      <c r="D335" s="342" t="s">
        <v>47</v>
      </c>
      <c r="E335" s="342" t="s">
        <v>591</v>
      </c>
      <c r="F335" s="342" t="s">
        <v>40</v>
      </c>
      <c r="G335" s="342" t="s">
        <v>1277</v>
      </c>
      <c r="H335" s="342" t="s">
        <v>1402</v>
      </c>
      <c r="I335" s="342" t="s">
        <v>4759</v>
      </c>
      <c r="J335" s="342" t="s">
        <v>4763</v>
      </c>
      <c r="L335" s="342" t="s">
        <v>3434</v>
      </c>
      <c r="M335" s="343">
        <v>44985</v>
      </c>
      <c r="N335" s="342" t="s">
        <v>3435</v>
      </c>
      <c r="X335" s="342" t="s">
        <v>4760</v>
      </c>
      <c r="AE335" s="342" t="s">
        <v>3436</v>
      </c>
      <c r="AI335" s="342" t="s">
        <v>2006</v>
      </c>
    </row>
    <row r="336" spans="1:35">
      <c r="A336" s="342">
        <v>301127</v>
      </c>
      <c r="B336" s="342" t="s">
        <v>1411</v>
      </c>
      <c r="C336" s="342" t="s">
        <v>1080</v>
      </c>
      <c r="D336" s="342" t="s">
        <v>51</v>
      </c>
      <c r="E336" s="342" t="s">
        <v>591</v>
      </c>
      <c r="F336" s="342" t="s">
        <v>40</v>
      </c>
      <c r="G336" s="342" t="s">
        <v>5449</v>
      </c>
      <c r="H336" s="342" t="s">
        <v>1402</v>
      </c>
      <c r="I336" s="342" t="s">
        <v>4892</v>
      </c>
      <c r="J336" s="342" t="s">
        <v>3437</v>
      </c>
      <c r="K336" s="343">
        <v>45260</v>
      </c>
      <c r="L336" s="342" t="s">
        <v>3438</v>
      </c>
      <c r="X336" s="342" t="s">
        <v>1814</v>
      </c>
    </row>
    <row r="337" spans="1:38">
      <c r="A337" s="342">
        <v>301185</v>
      </c>
      <c r="B337" s="342" t="s">
        <v>1151</v>
      </c>
      <c r="C337" s="342" t="s">
        <v>1321</v>
      </c>
      <c r="D337" s="342" t="s">
        <v>55</v>
      </c>
      <c r="E337" s="342" t="s">
        <v>591</v>
      </c>
      <c r="F337" s="342" t="s">
        <v>40</v>
      </c>
      <c r="G337" s="342" t="s">
        <v>1277</v>
      </c>
      <c r="H337" s="342" t="s">
        <v>5218</v>
      </c>
      <c r="I337" s="342" t="s">
        <v>1327</v>
      </c>
      <c r="J337" s="342" t="s">
        <v>3233</v>
      </c>
      <c r="X337" s="342" t="s">
        <v>1766</v>
      </c>
    </row>
    <row r="338" spans="1:38">
      <c r="A338" s="342">
        <v>301672</v>
      </c>
      <c r="B338" s="342" t="s">
        <v>624</v>
      </c>
      <c r="C338" s="342" t="s">
        <v>559</v>
      </c>
      <c r="D338" s="342" t="s">
        <v>55</v>
      </c>
      <c r="E338" s="342" t="s">
        <v>591</v>
      </c>
      <c r="F338" s="342" t="s">
        <v>40</v>
      </c>
      <c r="G338" s="342" t="s">
        <v>1421</v>
      </c>
      <c r="H338" s="342" t="s">
        <v>1402</v>
      </c>
      <c r="I338" s="342" t="s">
        <v>4788</v>
      </c>
      <c r="J338" s="342" t="s">
        <v>3439</v>
      </c>
      <c r="N338" s="342" t="s">
        <v>4794</v>
      </c>
      <c r="X338" s="342" t="s">
        <v>4792</v>
      </c>
      <c r="AE338" s="342" t="s">
        <v>3440</v>
      </c>
      <c r="AI338" s="342" t="s">
        <v>2007</v>
      </c>
    </row>
    <row r="339" spans="1:38">
      <c r="A339" s="342">
        <v>301799</v>
      </c>
      <c r="B339" s="342" t="s">
        <v>1013</v>
      </c>
      <c r="C339" s="342" t="s">
        <v>1015</v>
      </c>
      <c r="D339" s="342" t="s">
        <v>51</v>
      </c>
      <c r="E339" s="342" t="s">
        <v>591</v>
      </c>
      <c r="F339" s="342" t="s">
        <v>40</v>
      </c>
      <c r="G339" s="342" t="s">
        <v>1277</v>
      </c>
      <c r="H339" s="342" t="s">
        <v>1233</v>
      </c>
      <c r="I339" s="342" t="s">
        <v>5463</v>
      </c>
      <c r="J339" s="342" t="s">
        <v>3441</v>
      </c>
      <c r="K339" s="343">
        <v>44986</v>
      </c>
      <c r="L339" s="342" t="s">
        <v>3442</v>
      </c>
      <c r="P339" s="342" t="s">
        <v>5486</v>
      </c>
      <c r="Q339" s="343">
        <v>45107</v>
      </c>
      <c r="X339" s="342" t="s">
        <v>5477</v>
      </c>
    </row>
    <row r="340" spans="1:38">
      <c r="A340" s="342">
        <v>301805</v>
      </c>
      <c r="B340" s="342" t="s">
        <v>560</v>
      </c>
      <c r="C340" s="342" t="s">
        <v>562</v>
      </c>
      <c r="D340" s="342" t="s">
        <v>549</v>
      </c>
      <c r="E340" s="342" t="s">
        <v>591</v>
      </c>
      <c r="F340" s="342" t="s">
        <v>40</v>
      </c>
      <c r="G340" s="342" t="s">
        <v>5282</v>
      </c>
      <c r="H340" s="342" t="s">
        <v>1233</v>
      </c>
      <c r="I340" s="342" t="s">
        <v>4301</v>
      </c>
      <c r="J340" s="342" t="s">
        <v>3443</v>
      </c>
      <c r="L340" s="342" t="s">
        <v>3444</v>
      </c>
      <c r="M340" s="343">
        <v>44834</v>
      </c>
      <c r="N340" s="342" t="s">
        <v>3445</v>
      </c>
      <c r="P340" s="342" t="s">
        <v>3446</v>
      </c>
      <c r="Q340" s="343">
        <v>44926</v>
      </c>
      <c r="X340" s="342" t="s">
        <v>1815</v>
      </c>
      <c r="Y340" s="342" t="s">
        <v>3447</v>
      </c>
      <c r="AI340" s="342" t="s">
        <v>2008</v>
      </c>
    </row>
    <row r="341" spans="1:38">
      <c r="A341" s="342">
        <v>302146</v>
      </c>
      <c r="B341" s="342" t="s">
        <v>563</v>
      </c>
      <c r="C341" s="342" t="s">
        <v>565</v>
      </c>
      <c r="D341" s="342" t="s">
        <v>51</v>
      </c>
      <c r="E341" s="342" t="s">
        <v>591</v>
      </c>
      <c r="F341" s="342" t="s">
        <v>40</v>
      </c>
      <c r="G341" s="342" t="s">
        <v>5449</v>
      </c>
      <c r="I341" s="342" t="s">
        <v>6056</v>
      </c>
      <c r="J341" s="342" t="s">
        <v>3448</v>
      </c>
      <c r="K341" s="343">
        <v>45504</v>
      </c>
      <c r="L341" s="342" t="s">
        <v>3449</v>
      </c>
      <c r="P341" s="342" t="s">
        <v>3450</v>
      </c>
      <c r="Q341" s="343">
        <v>44926</v>
      </c>
      <c r="X341" s="342" t="s">
        <v>1816</v>
      </c>
    </row>
    <row r="342" spans="1:38">
      <c r="A342" s="342">
        <v>302236</v>
      </c>
      <c r="B342" s="342" t="s">
        <v>733</v>
      </c>
      <c r="C342" s="342" t="s">
        <v>735</v>
      </c>
      <c r="D342" s="342" t="s">
        <v>51</v>
      </c>
      <c r="E342" s="342" t="s">
        <v>591</v>
      </c>
      <c r="F342" s="342" t="s">
        <v>40</v>
      </c>
      <c r="G342" s="342" t="s">
        <v>5450</v>
      </c>
      <c r="I342" s="342" t="s">
        <v>4511</v>
      </c>
      <c r="J342" s="342" t="s">
        <v>3451</v>
      </c>
      <c r="K342" s="343">
        <v>45046</v>
      </c>
      <c r="L342" s="342" t="s">
        <v>3452</v>
      </c>
      <c r="X342" s="342" t="s">
        <v>1817</v>
      </c>
    </row>
    <row r="343" spans="1:38">
      <c r="A343" s="342">
        <v>302643</v>
      </c>
      <c r="B343" s="342" t="s">
        <v>1017</v>
      </c>
      <c r="C343" s="342" t="s">
        <v>137</v>
      </c>
      <c r="D343" s="342" t="s">
        <v>55</v>
      </c>
      <c r="E343" s="342" t="s">
        <v>591</v>
      </c>
      <c r="F343" s="342" t="s">
        <v>41</v>
      </c>
      <c r="G343" s="342" t="s">
        <v>4638</v>
      </c>
      <c r="H343" s="342" t="s">
        <v>1402</v>
      </c>
      <c r="I343" s="342" t="s">
        <v>5617</v>
      </c>
      <c r="J343" s="342" t="s">
        <v>2894</v>
      </c>
      <c r="L343" s="342" t="s">
        <v>2895</v>
      </c>
      <c r="M343" s="343">
        <v>44865</v>
      </c>
      <c r="P343" s="342" t="s">
        <v>2896</v>
      </c>
      <c r="Q343" s="343">
        <v>44926</v>
      </c>
      <c r="R343" s="342" t="s">
        <v>2897</v>
      </c>
      <c r="S343" s="343">
        <v>44773</v>
      </c>
      <c r="X343" s="342" t="s">
        <v>1818</v>
      </c>
    </row>
    <row r="344" spans="1:38">
      <c r="A344" s="342">
        <v>302784</v>
      </c>
      <c r="B344" s="342" t="s">
        <v>1376</v>
      </c>
      <c r="C344" s="342" t="s">
        <v>1378</v>
      </c>
      <c r="D344" s="342" t="s">
        <v>1379</v>
      </c>
      <c r="E344" s="342" t="s">
        <v>591</v>
      </c>
      <c r="F344" s="342" t="s">
        <v>41</v>
      </c>
      <c r="G344" s="342" t="s">
        <v>4638</v>
      </c>
      <c r="H344" s="342" t="s">
        <v>1402</v>
      </c>
      <c r="I344" s="342" t="s">
        <v>4701</v>
      </c>
      <c r="J344" s="342" t="s">
        <v>2894</v>
      </c>
      <c r="N344" s="342" t="s">
        <v>4715</v>
      </c>
      <c r="O344" s="343">
        <v>45200</v>
      </c>
      <c r="X344" s="342" t="s">
        <v>4707</v>
      </c>
    </row>
    <row r="345" spans="1:38">
      <c r="A345" s="342">
        <v>302792</v>
      </c>
      <c r="B345" s="342" t="s">
        <v>1018</v>
      </c>
      <c r="C345" s="342" t="s">
        <v>1020</v>
      </c>
      <c r="D345" s="342" t="s">
        <v>465</v>
      </c>
      <c r="E345" s="342" t="s">
        <v>591</v>
      </c>
      <c r="F345" s="342" t="s">
        <v>41</v>
      </c>
      <c r="G345" s="342" t="s">
        <v>4638</v>
      </c>
      <c r="H345" s="342" t="s">
        <v>1402</v>
      </c>
      <c r="I345" s="342" t="s">
        <v>1509</v>
      </c>
      <c r="J345" s="342" t="s">
        <v>2894</v>
      </c>
      <c r="L345" s="342" t="s">
        <v>3453</v>
      </c>
      <c r="M345" s="343">
        <v>44773</v>
      </c>
      <c r="X345" s="342" t="s">
        <v>1819</v>
      </c>
    </row>
    <row r="346" spans="1:38">
      <c r="A346" s="342">
        <v>302825</v>
      </c>
      <c r="B346" s="342" t="s">
        <v>730</v>
      </c>
      <c r="C346" s="342" t="s">
        <v>731</v>
      </c>
      <c r="D346" s="342" t="s">
        <v>47</v>
      </c>
      <c r="E346" s="342" t="s">
        <v>591</v>
      </c>
      <c r="F346" s="342" t="s">
        <v>40</v>
      </c>
      <c r="G346" s="342" t="s">
        <v>5282</v>
      </c>
      <c r="H346" s="342" t="s">
        <v>1402</v>
      </c>
      <c r="I346" s="342" t="s">
        <v>4204</v>
      </c>
      <c r="J346" s="342" t="s">
        <v>3454</v>
      </c>
      <c r="L346" s="342" t="s">
        <v>3455</v>
      </c>
      <c r="M346" s="343">
        <v>44895</v>
      </c>
      <c r="N346" s="342" t="s">
        <v>3456</v>
      </c>
      <c r="P346" s="342" t="s">
        <v>3457</v>
      </c>
      <c r="Q346" s="343">
        <v>44926</v>
      </c>
      <c r="X346" s="342" t="s">
        <v>1820</v>
      </c>
    </row>
    <row r="347" spans="1:38">
      <c r="A347" s="342">
        <v>302990</v>
      </c>
      <c r="B347" s="342" t="s">
        <v>1269</v>
      </c>
      <c r="C347" s="342" t="s">
        <v>1271</v>
      </c>
      <c r="D347" s="342" t="s">
        <v>47</v>
      </c>
      <c r="E347" s="342" t="s">
        <v>591</v>
      </c>
      <c r="F347" s="342" t="s">
        <v>685</v>
      </c>
      <c r="G347" s="342" t="s">
        <v>1421</v>
      </c>
      <c r="H347" s="342" t="s">
        <v>1233</v>
      </c>
      <c r="I347" s="342" t="s">
        <v>1272</v>
      </c>
      <c r="AJ347" s="342" t="s">
        <v>4378</v>
      </c>
      <c r="AL347" s="342" t="s">
        <v>4379</v>
      </c>
    </row>
    <row r="348" spans="1:38">
      <c r="A348" s="342">
        <v>303127</v>
      </c>
      <c r="B348" s="342" t="s">
        <v>1130</v>
      </c>
      <c r="C348" s="342" t="s">
        <v>1131</v>
      </c>
      <c r="D348" s="342" t="s">
        <v>45</v>
      </c>
      <c r="E348" s="342" t="s">
        <v>591</v>
      </c>
      <c r="F348" s="342" t="s">
        <v>43</v>
      </c>
      <c r="G348" s="342" t="s">
        <v>1421</v>
      </c>
      <c r="H348" s="342" t="s">
        <v>1233</v>
      </c>
      <c r="I348" s="342" t="s">
        <v>4913</v>
      </c>
      <c r="J348" s="342" t="s">
        <v>3458</v>
      </c>
      <c r="L348" s="342" t="s">
        <v>3459</v>
      </c>
      <c r="M348" s="343">
        <v>45291</v>
      </c>
      <c r="X348" s="342" t="s">
        <v>1821</v>
      </c>
    </row>
    <row r="349" spans="1:38">
      <c r="A349" s="342">
        <v>303386</v>
      </c>
      <c r="B349" s="342" t="s">
        <v>567</v>
      </c>
      <c r="C349" s="342" t="s">
        <v>569</v>
      </c>
      <c r="D349" s="342" t="s">
        <v>51</v>
      </c>
      <c r="E349" s="342" t="s">
        <v>591</v>
      </c>
      <c r="F349" s="342" t="s">
        <v>40</v>
      </c>
      <c r="G349" s="342" t="s">
        <v>786</v>
      </c>
      <c r="H349" s="342" t="s">
        <v>1402</v>
      </c>
      <c r="I349" s="342" t="s">
        <v>5618</v>
      </c>
      <c r="J349" s="342" t="s">
        <v>3460</v>
      </c>
      <c r="K349" s="343">
        <v>45015</v>
      </c>
      <c r="L349" s="342" t="s">
        <v>3461</v>
      </c>
      <c r="P349" s="342" t="s">
        <v>4586</v>
      </c>
      <c r="Q349" s="343">
        <v>44926</v>
      </c>
      <c r="X349" s="342" t="s">
        <v>4585</v>
      </c>
    </row>
    <row r="350" spans="1:38">
      <c r="A350" s="342">
        <v>303561</v>
      </c>
      <c r="B350" s="342" t="s">
        <v>1212</v>
      </c>
      <c r="C350" s="342" t="s">
        <v>1214</v>
      </c>
      <c r="D350" s="342" t="s">
        <v>47</v>
      </c>
      <c r="E350" s="342" t="s">
        <v>591</v>
      </c>
      <c r="F350" s="342" t="s">
        <v>40</v>
      </c>
      <c r="G350" s="342" t="s">
        <v>5281</v>
      </c>
      <c r="H350" s="342" t="s">
        <v>1402</v>
      </c>
      <c r="I350" s="342" t="s">
        <v>4317</v>
      </c>
      <c r="J350" s="342" t="s">
        <v>3462</v>
      </c>
      <c r="L350" s="342" t="s">
        <v>3463</v>
      </c>
      <c r="M350" s="343">
        <v>44957</v>
      </c>
      <c r="N350" s="342" t="s">
        <v>3464</v>
      </c>
      <c r="O350" s="343">
        <v>72686</v>
      </c>
      <c r="P350" s="342" t="s">
        <v>3465</v>
      </c>
      <c r="Q350" s="343">
        <v>44926</v>
      </c>
      <c r="X350" s="342" t="s">
        <v>1822</v>
      </c>
      <c r="AE350" s="342" t="s">
        <v>3466</v>
      </c>
      <c r="AI350" s="342" t="s">
        <v>2009</v>
      </c>
    </row>
    <row r="351" spans="1:38">
      <c r="A351" s="342">
        <v>304445</v>
      </c>
      <c r="B351" s="342" t="s">
        <v>1297</v>
      </c>
      <c r="C351" s="342" t="s">
        <v>1300</v>
      </c>
      <c r="D351" s="342" t="s">
        <v>779</v>
      </c>
      <c r="E351" s="342" t="s">
        <v>591</v>
      </c>
      <c r="F351" s="342" t="s">
        <v>40</v>
      </c>
      <c r="G351" s="342" t="s">
        <v>5282</v>
      </c>
      <c r="H351" s="342" t="s">
        <v>1402</v>
      </c>
      <c r="I351" s="342" t="s">
        <v>5464</v>
      </c>
      <c r="J351" s="342" t="s">
        <v>3467</v>
      </c>
      <c r="L351" s="342" t="s">
        <v>3468</v>
      </c>
      <c r="M351" s="343">
        <v>45016</v>
      </c>
      <c r="N351" s="342" t="s">
        <v>3469</v>
      </c>
      <c r="P351" s="342" t="s">
        <v>3470</v>
      </c>
      <c r="Q351" s="343">
        <v>44742</v>
      </c>
      <c r="X351" s="342" t="s">
        <v>1823</v>
      </c>
      <c r="AE351" s="342" t="s">
        <v>3471</v>
      </c>
      <c r="AI351" s="342" t="s">
        <v>2010</v>
      </c>
    </row>
    <row r="352" spans="1:38">
      <c r="A352" s="342">
        <v>304473</v>
      </c>
      <c r="B352" s="342" t="s">
        <v>1364</v>
      </c>
      <c r="C352" s="342" t="s">
        <v>1367</v>
      </c>
      <c r="D352" s="342" t="s">
        <v>51</v>
      </c>
      <c r="E352" s="342" t="s">
        <v>591</v>
      </c>
      <c r="F352" s="342" t="s">
        <v>40</v>
      </c>
      <c r="G352" s="342" t="s">
        <v>5279</v>
      </c>
      <c r="H352" s="342" t="s">
        <v>1233</v>
      </c>
      <c r="I352" s="342" t="s">
        <v>6057</v>
      </c>
      <c r="J352" s="342" t="s">
        <v>3472</v>
      </c>
      <c r="K352" s="343">
        <v>45504</v>
      </c>
      <c r="L352" s="342" t="s">
        <v>3473</v>
      </c>
      <c r="X352" s="342" t="s">
        <v>1824</v>
      </c>
    </row>
    <row r="353" spans="1:35">
      <c r="A353" s="342">
        <v>305007</v>
      </c>
      <c r="B353" s="342" t="s">
        <v>570</v>
      </c>
      <c r="C353" s="342" t="s">
        <v>265</v>
      </c>
      <c r="D353" s="342" t="s">
        <v>107</v>
      </c>
      <c r="E353" s="342" t="s">
        <v>591</v>
      </c>
      <c r="F353" s="342" t="s">
        <v>40</v>
      </c>
      <c r="G353" s="342" t="s">
        <v>1277</v>
      </c>
      <c r="H353" s="342" t="s">
        <v>1233</v>
      </c>
      <c r="I353" s="342" t="s">
        <v>4595</v>
      </c>
      <c r="J353" s="342" t="s">
        <v>3474</v>
      </c>
      <c r="N353" s="342" t="s">
        <v>3475</v>
      </c>
      <c r="P353" s="342" t="s">
        <v>4599</v>
      </c>
      <c r="Q353" s="343">
        <v>45107</v>
      </c>
      <c r="R353" s="342" t="s">
        <v>3476</v>
      </c>
      <c r="T353" s="342" t="s">
        <v>3476</v>
      </c>
      <c r="X353" s="342" t="s">
        <v>4596</v>
      </c>
    </row>
    <row r="354" spans="1:35">
      <c r="A354" s="342">
        <v>305015</v>
      </c>
      <c r="B354" s="342" t="s">
        <v>4553</v>
      </c>
      <c r="C354" s="342" t="s">
        <v>4538</v>
      </c>
      <c r="D354" s="342" t="s">
        <v>51</v>
      </c>
      <c r="E354" s="342" t="s">
        <v>591</v>
      </c>
      <c r="F354" s="342" t="s">
        <v>737</v>
      </c>
      <c r="G354" s="342" t="s">
        <v>5280</v>
      </c>
      <c r="H354" s="342" t="s">
        <v>1233</v>
      </c>
    </row>
    <row r="355" spans="1:35">
      <c r="A355" s="342">
        <v>305252</v>
      </c>
      <c r="B355" s="342" t="s">
        <v>1460</v>
      </c>
      <c r="C355" s="342" t="s">
        <v>336</v>
      </c>
      <c r="D355" s="342" t="s">
        <v>337</v>
      </c>
      <c r="E355" s="342" t="s">
        <v>591</v>
      </c>
      <c r="F355" s="342" t="s">
        <v>40</v>
      </c>
      <c r="G355" s="342" t="s">
        <v>5283</v>
      </c>
      <c r="H355" s="342" t="s">
        <v>1233</v>
      </c>
      <c r="I355" s="342" t="s">
        <v>5619</v>
      </c>
      <c r="J355" s="342" t="s">
        <v>3477</v>
      </c>
      <c r="L355" s="342" t="s">
        <v>3478</v>
      </c>
      <c r="M355" s="343">
        <v>44834</v>
      </c>
      <c r="N355" s="342" t="s">
        <v>3479</v>
      </c>
      <c r="O355" s="343">
        <v>45107</v>
      </c>
      <c r="P355" s="342" t="s">
        <v>3480</v>
      </c>
      <c r="Q355" s="343">
        <v>45107</v>
      </c>
      <c r="R355" s="342" t="s">
        <v>3481</v>
      </c>
      <c r="S355" s="343">
        <v>45107</v>
      </c>
      <c r="X355" s="342" t="s">
        <v>1825</v>
      </c>
    </row>
    <row r="356" spans="1:35">
      <c r="A356" s="342">
        <v>306044</v>
      </c>
      <c r="B356" s="342" t="s">
        <v>574</v>
      </c>
      <c r="C356" s="342" t="s">
        <v>336</v>
      </c>
      <c r="D356" s="342" t="s">
        <v>337</v>
      </c>
      <c r="E356" s="342" t="s">
        <v>591</v>
      </c>
      <c r="F356" s="342" t="s">
        <v>40</v>
      </c>
      <c r="G356" s="342" t="s">
        <v>5278</v>
      </c>
      <c r="H356" s="342" t="s">
        <v>1402</v>
      </c>
      <c r="I356" s="342" t="s">
        <v>5071</v>
      </c>
      <c r="J356" s="342" t="s">
        <v>3482</v>
      </c>
      <c r="L356" s="342" t="s">
        <v>3483</v>
      </c>
      <c r="M356" s="343">
        <v>44956</v>
      </c>
      <c r="N356" s="342" t="s">
        <v>3484</v>
      </c>
      <c r="O356" s="343">
        <v>44865</v>
      </c>
      <c r="P356" s="342" t="s">
        <v>3485</v>
      </c>
      <c r="Q356" s="343">
        <v>45107</v>
      </c>
      <c r="R356" s="342" t="s">
        <v>3486</v>
      </c>
      <c r="S356" s="343">
        <v>44865</v>
      </c>
      <c r="X356" s="342" t="s">
        <v>1826</v>
      </c>
    </row>
    <row r="357" spans="1:35">
      <c r="A357" s="342">
        <v>306131</v>
      </c>
      <c r="B357" s="342" t="s">
        <v>576</v>
      </c>
      <c r="C357" s="342" t="s">
        <v>578</v>
      </c>
      <c r="D357" s="342" t="s">
        <v>452</v>
      </c>
      <c r="E357" s="342" t="s">
        <v>591</v>
      </c>
      <c r="F357" s="342" t="s">
        <v>40</v>
      </c>
      <c r="G357" s="342" t="s">
        <v>1288</v>
      </c>
      <c r="H357" s="342" t="s">
        <v>1402</v>
      </c>
      <c r="I357" s="342" t="s">
        <v>5620</v>
      </c>
      <c r="J357" s="342" t="s">
        <v>3487</v>
      </c>
      <c r="L357" s="342" t="s">
        <v>3488</v>
      </c>
      <c r="M357" s="343">
        <v>45230</v>
      </c>
      <c r="P357" s="342" t="s">
        <v>3489</v>
      </c>
      <c r="Q357" s="343">
        <v>44926</v>
      </c>
      <c r="R357" s="342" t="s">
        <v>3490</v>
      </c>
      <c r="S357" s="343">
        <v>44773</v>
      </c>
      <c r="X357" s="342" t="s">
        <v>1827</v>
      </c>
    </row>
    <row r="358" spans="1:35">
      <c r="A358" s="342">
        <v>306148</v>
      </c>
      <c r="B358" s="342" t="s">
        <v>1326</v>
      </c>
      <c r="C358" s="342" t="s">
        <v>580</v>
      </c>
      <c r="D358" s="342" t="s">
        <v>47</v>
      </c>
      <c r="E358" s="342" t="s">
        <v>591</v>
      </c>
      <c r="F358" s="342" t="s">
        <v>40</v>
      </c>
      <c r="G358" s="342" t="s">
        <v>5280</v>
      </c>
      <c r="H358" s="342" t="s">
        <v>1233</v>
      </c>
      <c r="I358" s="342" t="s">
        <v>5465</v>
      </c>
      <c r="J358" s="342" t="s">
        <v>3491</v>
      </c>
      <c r="L358" s="342" t="s">
        <v>3492</v>
      </c>
      <c r="M358" s="343">
        <v>45443</v>
      </c>
      <c r="X358" s="342" t="s">
        <v>1828</v>
      </c>
    </row>
    <row r="359" spans="1:35">
      <c r="A359" s="342">
        <v>306307</v>
      </c>
      <c r="B359" s="342" t="s">
        <v>1184</v>
      </c>
      <c r="C359" s="342" t="s">
        <v>1186</v>
      </c>
      <c r="D359" s="342" t="s">
        <v>51</v>
      </c>
      <c r="E359" s="342" t="s">
        <v>591</v>
      </c>
      <c r="F359" s="342" t="s">
        <v>40</v>
      </c>
      <c r="G359" s="342" t="s">
        <v>1277</v>
      </c>
      <c r="H359" s="342" t="s">
        <v>1233</v>
      </c>
      <c r="I359" s="342" t="s">
        <v>5466</v>
      </c>
      <c r="J359" s="342" t="s">
        <v>3493</v>
      </c>
      <c r="K359" s="343">
        <v>45434</v>
      </c>
      <c r="L359" s="342" t="s">
        <v>3494</v>
      </c>
      <c r="X359" s="342" t="s">
        <v>1829</v>
      </c>
      <c r="AE359" s="342" t="s">
        <v>3495</v>
      </c>
      <c r="AG359" s="342" t="s">
        <v>3496</v>
      </c>
      <c r="AI359" s="342" t="s">
        <v>2011</v>
      </c>
    </row>
    <row r="360" spans="1:35">
      <c r="A360" s="342">
        <v>306387</v>
      </c>
      <c r="B360" s="342" t="s">
        <v>581</v>
      </c>
      <c r="C360" s="342" t="s">
        <v>336</v>
      </c>
      <c r="D360" s="342" t="s">
        <v>337</v>
      </c>
      <c r="E360" s="342" t="s">
        <v>591</v>
      </c>
      <c r="F360" s="342" t="s">
        <v>40</v>
      </c>
      <c r="G360" s="342" t="s">
        <v>4638</v>
      </c>
      <c r="H360" s="342" t="s">
        <v>1233</v>
      </c>
      <c r="I360" s="342" t="s">
        <v>5621</v>
      </c>
      <c r="J360" s="342" t="s">
        <v>3497</v>
      </c>
      <c r="L360" s="342" t="s">
        <v>3498</v>
      </c>
      <c r="M360" s="343">
        <v>44834</v>
      </c>
      <c r="P360" s="342" t="s">
        <v>3499</v>
      </c>
      <c r="Q360" s="343">
        <v>45107</v>
      </c>
      <c r="R360" s="342" t="s">
        <v>3500</v>
      </c>
      <c r="S360" s="343">
        <v>45107</v>
      </c>
      <c r="X360" s="342" t="s">
        <v>1830</v>
      </c>
    </row>
    <row r="361" spans="1:35">
      <c r="A361" s="342">
        <v>306393</v>
      </c>
      <c r="B361" s="342" t="s">
        <v>1027</v>
      </c>
      <c r="C361" s="342" t="s">
        <v>1030</v>
      </c>
      <c r="D361" s="342" t="s">
        <v>45</v>
      </c>
      <c r="E361" s="342" t="s">
        <v>591</v>
      </c>
      <c r="F361" s="342" t="s">
        <v>1114</v>
      </c>
      <c r="G361" s="342" t="s">
        <v>1288</v>
      </c>
      <c r="H361" s="342" t="s">
        <v>1402</v>
      </c>
    </row>
    <row r="362" spans="1:35">
      <c r="A362" s="342">
        <v>306704</v>
      </c>
      <c r="B362" s="342" t="s">
        <v>4670</v>
      </c>
      <c r="C362" s="342" t="s">
        <v>4341</v>
      </c>
      <c r="D362" s="342" t="s">
        <v>47</v>
      </c>
      <c r="E362" s="342" t="s">
        <v>591</v>
      </c>
      <c r="F362" s="342" t="s">
        <v>737</v>
      </c>
      <c r="G362" s="342" t="s">
        <v>4638</v>
      </c>
      <c r="H362" s="342" t="s">
        <v>5218</v>
      </c>
    </row>
    <row r="363" spans="1:35">
      <c r="A363" s="342">
        <v>306731</v>
      </c>
      <c r="B363" s="342" t="s">
        <v>582</v>
      </c>
      <c r="C363" s="342" t="s">
        <v>550</v>
      </c>
      <c r="D363" s="342" t="s">
        <v>51</v>
      </c>
      <c r="E363" s="342" t="s">
        <v>591</v>
      </c>
      <c r="F363" s="342" t="s">
        <v>40</v>
      </c>
      <c r="G363" s="342" t="s">
        <v>5450</v>
      </c>
      <c r="H363" s="342" t="s">
        <v>1233</v>
      </c>
      <c r="I363" s="342" t="s">
        <v>6058</v>
      </c>
      <c r="J363" s="342" t="s">
        <v>3501</v>
      </c>
      <c r="K363" s="343">
        <v>45504</v>
      </c>
      <c r="L363" s="342" t="s">
        <v>3502</v>
      </c>
      <c r="P363" s="342" t="s">
        <v>3503</v>
      </c>
      <c r="Q363" s="343">
        <v>44926</v>
      </c>
      <c r="X363" s="342" t="s">
        <v>1831</v>
      </c>
    </row>
    <row r="364" spans="1:35">
      <c r="A364" s="342">
        <v>306925</v>
      </c>
      <c r="B364" s="342" t="s">
        <v>746</v>
      </c>
      <c r="C364" s="342" t="s">
        <v>5898</v>
      </c>
      <c r="D364" s="342" t="s">
        <v>47</v>
      </c>
      <c r="E364" s="342" t="s">
        <v>591</v>
      </c>
      <c r="F364" s="342" t="s">
        <v>40</v>
      </c>
      <c r="G364" s="342" t="s">
        <v>5280</v>
      </c>
      <c r="H364" s="342" t="s">
        <v>1402</v>
      </c>
      <c r="I364" s="342" t="s">
        <v>5906</v>
      </c>
      <c r="J364" s="342" t="s">
        <v>2633</v>
      </c>
      <c r="L364" s="342" t="s">
        <v>2634</v>
      </c>
      <c r="M364" s="343">
        <v>45046</v>
      </c>
      <c r="N364" s="342" t="s">
        <v>3556</v>
      </c>
      <c r="X364" s="342" t="s">
        <v>5909</v>
      </c>
    </row>
    <row r="365" spans="1:35">
      <c r="A365" s="342">
        <v>307050</v>
      </c>
      <c r="B365" s="342" t="s">
        <v>655</v>
      </c>
      <c r="C365" s="342" t="s">
        <v>586</v>
      </c>
      <c r="D365" s="342" t="s">
        <v>107</v>
      </c>
      <c r="E365" s="342" t="s">
        <v>591</v>
      </c>
      <c r="F365" s="342" t="s">
        <v>40</v>
      </c>
      <c r="G365" s="342" t="s">
        <v>5450</v>
      </c>
      <c r="H365" s="342" t="s">
        <v>1233</v>
      </c>
      <c r="I365" s="342" t="s">
        <v>5006</v>
      </c>
      <c r="J365" s="342" t="s">
        <v>3504</v>
      </c>
      <c r="N365" s="342" t="s">
        <v>3505</v>
      </c>
      <c r="P365" s="342" t="s">
        <v>3506</v>
      </c>
      <c r="Q365" s="343">
        <v>45291</v>
      </c>
      <c r="R365" s="342" t="s">
        <v>3507</v>
      </c>
      <c r="T365" s="342" t="s">
        <v>3507</v>
      </c>
      <c r="X365" s="342" t="s">
        <v>1832</v>
      </c>
    </row>
    <row r="366" spans="1:35">
      <c r="A366" s="342">
        <v>307055</v>
      </c>
      <c r="B366" s="342" t="s">
        <v>5941</v>
      </c>
      <c r="C366" s="342" t="s">
        <v>5944</v>
      </c>
      <c r="D366" s="342" t="s">
        <v>45</v>
      </c>
      <c r="E366" s="342" t="s">
        <v>1194</v>
      </c>
      <c r="F366" s="342" t="s">
        <v>40</v>
      </c>
      <c r="G366" s="342" t="s">
        <v>1336</v>
      </c>
      <c r="J366" s="342" t="s">
        <v>5948</v>
      </c>
      <c r="L366" s="342" t="s">
        <v>5949</v>
      </c>
      <c r="M366" s="343">
        <v>44592</v>
      </c>
      <c r="N366" s="342" t="s">
        <v>5950</v>
      </c>
      <c r="X366" s="342" t="s">
        <v>5947</v>
      </c>
    </row>
    <row r="367" spans="1:35">
      <c r="A367" s="342">
        <v>307127</v>
      </c>
      <c r="B367" s="342" t="s">
        <v>587</v>
      </c>
      <c r="C367" s="342" t="s">
        <v>590</v>
      </c>
      <c r="D367" s="342" t="s">
        <v>107</v>
      </c>
      <c r="E367" s="342" t="s">
        <v>591</v>
      </c>
      <c r="F367" s="342" t="s">
        <v>40</v>
      </c>
      <c r="G367" s="342" t="s">
        <v>5281</v>
      </c>
      <c r="H367" s="342" t="s">
        <v>1233</v>
      </c>
      <c r="I367" s="342" t="s">
        <v>5622</v>
      </c>
      <c r="J367" s="342" t="s">
        <v>3508</v>
      </c>
      <c r="N367" s="342" t="s">
        <v>3509</v>
      </c>
      <c r="P367" s="342" t="s">
        <v>3510</v>
      </c>
      <c r="Q367" s="343">
        <v>44926</v>
      </c>
      <c r="T367" s="342" t="s">
        <v>3511</v>
      </c>
      <c r="X367" s="342" t="s">
        <v>1833</v>
      </c>
    </row>
    <row r="368" spans="1:35">
      <c r="A368" s="342">
        <v>307680</v>
      </c>
      <c r="B368" s="342" t="s">
        <v>592</v>
      </c>
      <c r="C368" s="342" t="s">
        <v>594</v>
      </c>
      <c r="D368" s="342" t="s">
        <v>51</v>
      </c>
      <c r="E368" s="342" t="s">
        <v>591</v>
      </c>
      <c r="F368" s="342" t="s">
        <v>40</v>
      </c>
      <c r="G368" s="342" t="s">
        <v>1277</v>
      </c>
      <c r="H368" s="342" t="s">
        <v>1233</v>
      </c>
      <c r="I368" s="342" t="s">
        <v>6059</v>
      </c>
      <c r="J368" s="342" t="s">
        <v>3512</v>
      </c>
      <c r="K368" s="343">
        <v>45504</v>
      </c>
      <c r="L368" s="342" t="s">
        <v>3513</v>
      </c>
      <c r="P368" s="342" t="s">
        <v>3514</v>
      </c>
      <c r="Q368" s="343">
        <v>45473</v>
      </c>
      <c r="X368" s="342" t="s">
        <v>1834</v>
      </c>
    </row>
    <row r="369" spans="1:35">
      <c r="A369" s="342">
        <v>307687</v>
      </c>
      <c r="B369" s="342" t="s">
        <v>1404</v>
      </c>
      <c r="C369" s="342" t="s">
        <v>1406</v>
      </c>
      <c r="D369" s="342" t="s">
        <v>126</v>
      </c>
      <c r="E369" s="342" t="s">
        <v>591</v>
      </c>
      <c r="F369" s="342" t="s">
        <v>41</v>
      </c>
      <c r="G369" s="342" t="s">
        <v>786</v>
      </c>
      <c r="H369" s="342" t="s">
        <v>1402</v>
      </c>
      <c r="I369" s="342" t="s">
        <v>5300</v>
      </c>
      <c r="J369" s="342" t="s">
        <v>3299</v>
      </c>
      <c r="L369" s="342" t="s">
        <v>3300</v>
      </c>
      <c r="M369" s="343">
        <v>45382</v>
      </c>
      <c r="X369" s="342" t="s">
        <v>1780</v>
      </c>
      <c r="AE369" s="342" t="s">
        <v>3301</v>
      </c>
      <c r="AI369" s="342" t="s">
        <v>1999</v>
      </c>
    </row>
    <row r="370" spans="1:35">
      <c r="A370" s="342">
        <v>307766</v>
      </c>
      <c r="B370" s="342" t="s">
        <v>595</v>
      </c>
      <c r="C370" s="342" t="s">
        <v>598</v>
      </c>
      <c r="D370" s="342" t="s">
        <v>51</v>
      </c>
      <c r="E370" s="342" t="s">
        <v>591</v>
      </c>
      <c r="F370" s="342" t="s">
        <v>40</v>
      </c>
      <c r="G370" s="342" t="s">
        <v>5283</v>
      </c>
      <c r="H370" s="342" t="s">
        <v>1233</v>
      </c>
      <c r="I370" s="342" t="s">
        <v>5007</v>
      </c>
      <c r="J370" s="342" t="s">
        <v>3515</v>
      </c>
      <c r="K370" s="343">
        <v>44774</v>
      </c>
      <c r="L370" s="342" t="s">
        <v>3516</v>
      </c>
      <c r="P370" s="342" t="s">
        <v>3517</v>
      </c>
      <c r="Q370" s="343">
        <v>45291</v>
      </c>
      <c r="X370" s="342" t="s">
        <v>1835</v>
      </c>
    </row>
    <row r="371" spans="1:35">
      <c r="A371" s="342">
        <v>307918</v>
      </c>
      <c r="B371" s="342" t="s">
        <v>615</v>
      </c>
      <c r="C371" s="342" t="s">
        <v>213</v>
      </c>
      <c r="D371" s="342" t="s">
        <v>51</v>
      </c>
      <c r="E371" s="342" t="s">
        <v>591</v>
      </c>
      <c r="F371" s="342" t="s">
        <v>40</v>
      </c>
      <c r="G371" s="342" t="s">
        <v>5281</v>
      </c>
      <c r="H371" s="342" t="s">
        <v>1233</v>
      </c>
      <c r="I371" s="342" t="s">
        <v>5907</v>
      </c>
      <c r="J371" s="342" t="s">
        <v>3518</v>
      </c>
      <c r="K371" s="343">
        <v>45473</v>
      </c>
      <c r="L371" s="342" t="s">
        <v>3519</v>
      </c>
      <c r="X371" s="342" t="s">
        <v>1836</v>
      </c>
    </row>
    <row r="372" spans="1:35">
      <c r="A372" s="342">
        <v>308105</v>
      </c>
      <c r="B372" s="342" t="s">
        <v>617</v>
      </c>
      <c r="C372" s="342" t="s">
        <v>620</v>
      </c>
      <c r="D372" s="342" t="s">
        <v>107</v>
      </c>
      <c r="E372" s="342" t="s">
        <v>591</v>
      </c>
      <c r="F372" s="342" t="s">
        <v>40</v>
      </c>
      <c r="G372" s="342" t="s">
        <v>5282</v>
      </c>
      <c r="H372" s="342" t="s">
        <v>1233</v>
      </c>
      <c r="I372" s="342" t="s">
        <v>4264</v>
      </c>
      <c r="J372" s="342" t="s">
        <v>3520</v>
      </c>
      <c r="N372" s="342" t="s">
        <v>3521</v>
      </c>
      <c r="X372" s="342" t="s">
        <v>1837</v>
      </c>
    </row>
    <row r="373" spans="1:35">
      <c r="A373" s="342">
        <v>308229</v>
      </c>
      <c r="B373" s="342" t="s">
        <v>1328</v>
      </c>
      <c r="C373" s="342" t="s">
        <v>93</v>
      </c>
      <c r="D373" s="342" t="s">
        <v>47</v>
      </c>
      <c r="E373" s="342" t="s">
        <v>591</v>
      </c>
      <c r="F373" s="342" t="s">
        <v>40</v>
      </c>
      <c r="G373" s="342" t="s">
        <v>1421</v>
      </c>
      <c r="I373" s="342" t="s">
        <v>1483</v>
      </c>
      <c r="J373" s="342" t="s">
        <v>3522</v>
      </c>
      <c r="L373" s="342" t="s">
        <v>3523</v>
      </c>
      <c r="M373" s="343">
        <v>44681</v>
      </c>
      <c r="X373" s="342" t="s">
        <v>1838</v>
      </c>
      <c r="AE373" s="342" t="s">
        <v>3524</v>
      </c>
      <c r="AI373" s="342" t="s">
        <v>2012</v>
      </c>
    </row>
    <row r="374" spans="1:35">
      <c r="A374" s="342">
        <v>308383</v>
      </c>
      <c r="B374" s="342" t="s">
        <v>1478</v>
      </c>
      <c r="C374" s="342" t="s">
        <v>336</v>
      </c>
      <c r="D374" s="342" t="s">
        <v>337</v>
      </c>
      <c r="E374" s="342" t="s">
        <v>591</v>
      </c>
      <c r="F374" s="342" t="s">
        <v>40</v>
      </c>
      <c r="G374" s="342" t="s">
        <v>1288</v>
      </c>
      <c r="H374" s="342" t="s">
        <v>1402</v>
      </c>
      <c r="I374" s="342" t="s">
        <v>5981</v>
      </c>
      <c r="J374" s="342" t="s">
        <v>3525</v>
      </c>
      <c r="L374" s="342" t="s">
        <v>3526</v>
      </c>
      <c r="M374" s="343">
        <v>44834</v>
      </c>
      <c r="N374" s="342" t="s">
        <v>3527</v>
      </c>
      <c r="O374" s="343">
        <v>45107</v>
      </c>
      <c r="P374" s="342" t="s">
        <v>3528</v>
      </c>
      <c r="Q374" s="343">
        <v>45107</v>
      </c>
      <c r="R374" s="342" t="s">
        <v>3529</v>
      </c>
      <c r="S374" s="343">
        <v>45107</v>
      </c>
      <c r="V374" s="342" t="s">
        <v>4402</v>
      </c>
      <c r="W374" s="343">
        <v>45128</v>
      </c>
      <c r="X374" s="342" t="s">
        <v>4403</v>
      </c>
    </row>
    <row r="375" spans="1:35">
      <c r="A375" s="342">
        <v>308413</v>
      </c>
      <c r="B375" s="342" t="s">
        <v>626</v>
      </c>
      <c r="C375" s="342" t="s">
        <v>628</v>
      </c>
      <c r="D375" s="342" t="s">
        <v>51</v>
      </c>
      <c r="E375" s="342" t="s">
        <v>591</v>
      </c>
      <c r="F375" s="342" t="s">
        <v>40</v>
      </c>
      <c r="G375" s="342" t="s">
        <v>5282</v>
      </c>
      <c r="H375" s="342" t="s">
        <v>1233</v>
      </c>
      <c r="I375" s="342" t="s">
        <v>6060</v>
      </c>
      <c r="J375" s="342" t="s">
        <v>3530</v>
      </c>
      <c r="K375" s="343">
        <v>45504</v>
      </c>
      <c r="L375" s="342" t="s">
        <v>3531</v>
      </c>
      <c r="X375" s="342" t="s">
        <v>1839</v>
      </c>
    </row>
    <row r="376" spans="1:35">
      <c r="A376" s="342">
        <v>308573</v>
      </c>
      <c r="B376" s="342" t="s">
        <v>1245</v>
      </c>
      <c r="C376" s="342" t="s">
        <v>639</v>
      </c>
      <c r="D376" s="342" t="s">
        <v>51</v>
      </c>
      <c r="E376" s="342" t="s">
        <v>591</v>
      </c>
      <c r="F376" s="342" t="s">
        <v>40</v>
      </c>
      <c r="G376" s="342" t="s">
        <v>1277</v>
      </c>
      <c r="H376" s="342" t="s">
        <v>1233</v>
      </c>
      <c r="I376" s="342" t="s">
        <v>1493</v>
      </c>
      <c r="J376" s="342" t="s">
        <v>3532</v>
      </c>
      <c r="K376" s="343">
        <v>44774</v>
      </c>
      <c r="L376" s="342" t="s">
        <v>3533</v>
      </c>
      <c r="X376" s="342" t="s">
        <v>1840</v>
      </c>
    </row>
    <row r="377" spans="1:35">
      <c r="A377" s="342">
        <v>308735</v>
      </c>
      <c r="B377" s="342" t="s">
        <v>662</v>
      </c>
      <c r="C377" s="342" t="s">
        <v>665</v>
      </c>
      <c r="D377" s="342" t="s">
        <v>107</v>
      </c>
      <c r="E377" s="342" t="s">
        <v>591</v>
      </c>
      <c r="F377" s="342" t="s">
        <v>40</v>
      </c>
      <c r="G377" s="342" t="s">
        <v>5282</v>
      </c>
      <c r="H377" s="342" t="s">
        <v>1233</v>
      </c>
      <c r="I377" s="342" t="s">
        <v>1331</v>
      </c>
      <c r="J377" s="342" t="s">
        <v>3534</v>
      </c>
      <c r="N377" s="342" t="s">
        <v>3535</v>
      </c>
      <c r="R377" s="342" t="s">
        <v>3536</v>
      </c>
      <c r="X377" s="342" t="s">
        <v>1841</v>
      </c>
    </row>
    <row r="378" spans="1:35">
      <c r="A378" s="342">
        <v>308773</v>
      </c>
      <c r="B378" s="342" t="s">
        <v>657</v>
      </c>
      <c r="C378" s="342" t="s">
        <v>659</v>
      </c>
      <c r="D378" s="342" t="s">
        <v>51</v>
      </c>
      <c r="E378" s="342" t="s">
        <v>591</v>
      </c>
      <c r="F378" s="342" t="s">
        <v>40</v>
      </c>
      <c r="G378" s="342" t="s">
        <v>5281</v>
      </c>
      <c r="H378" s="342" t="s">
        <v>1233</v>
      </c>
      <c r="I378" s="342" t="s">
        <v>6061</v>
      </c>
      <c r="J378" s="342" t="s">
        <v>3537</v>
      </c>
      <c r="K378" s="343">
        <v>45504</v>
      </c>
      <c r="L378" s="342" t="s">
        <v>3538</v>
      </c>
      <c r="P378" s="342" t="s">
        <v>3539</v>
      </c>
      <c r="Q378" s="343">
        <v>45291</v>
      </c>
      <c r="X378" s="342" t="s">
        <v>1842</v>
      </c>
    </row>
    <row r="379" spans="1:35">
      <c r="A379" s="342">
        <v>309281</v>
      </c>
      <c r="B379" s="342" t="s">
        <v>2016</v>
      </c>
      <c r="C379" s="342" t="s">
        <v>1395</v>
      </c>
      <c r="D379" s="342" t="s">
        <v>51</v>
      </c>
      <c r="E379" s="342" t="s">
        <v>591</v>
      </c>
      <c r="F379" s="342" t="s">
        <v>40</v>
      </c>
      <c r="G379" s="342" t="s">
        <v>1277</v>
      </c>
      <c r="H379" s="342" t="s">
        <v>1233</v>
      </c>
      <c r="I379" s="342" t="s">
        <v>6062</v>
      </c>
      <c r="J379" s="342" t="s">
        <v>3127</v>
      </c>
      <c r="K379" s="343">
        <v>45504</v>
      </c>
      <c r="L379" s="342" t="s">
        <v>3128</v>
      </c>
      <c r="P379" s="342" t="s">
        <v>3129</v>
      </c>
      <c r="Q379" s="343">
        <v>45291</v>
      </c>
      <c r="X379" s="342" t="s">
        <v>1740</v>
      </c>
    </row>
    <row r="380" spans="1:35">
      <c r="A380" s="342">
        <v>309537</v>
      </c>
      <c r="B380" s="342" t="s">
        <v>5120</v>
      </c>
      <c r="C380" s="342" t="s">
        <v>5122</v>
      </c>
      <c r="D380" s="342" t="s">
        <v>5123</v>
      </c>
      <c r="E380" s="342" t="s">
        <v>1194</v>
      </c>
      <c r="F380" s="342" t="s">
        <v>41</v>
      </c>
      <c r="G380" s="342" t="s">
        <v>1421</v>
      </c>
      <c r="I380" s="342" t="s">
        <v>5127</v>
      </c>
      <c r="J380" s="342" t="s">
        <v>5131</v>
      </c>
      <c r="X380" s="342" t="s">
        <v>5129</v>
      </c>
    </row>
    <row r="381" spans="1:35">
      <c r="A381" s="342">
        <v>309838</v>
      </c>
      <c r="B381" s="342" t="s">
        <v>1246</v>
      </c>
      <c r="C381" s="342" t="s">
        <v>1248</v>
      </c>
      <c r="D381" s="342" t="s">
        <v>55</v>
      </c>
      <c r="E381" s="342" t="s">
        <v>591</v>
      </c>
      <c r="F381" s="342" t="s">
        <v>40</v>
      </c>
      <c r="G381" s="342" t="s">
        <v>1277</v>
      </c>
      <c r="H381" s="342" t="s">
        <v>1233</v>
      </c>
      <c r="I381" s="342" t="s">
        <v>1339</v>
      </c>
      <c r="J381" s="342" t="s">
        <v>3540</v>
      </c>
      <c r="X381" s="342" t="s">
        <v>1843</v>
      </c>
      <c r="AE381" s="342" t="s">
        <v>3541</v>
      </c>
      <c r="AF381" s="343">
        <v>47592</v>
      </c>
      <c r="AI381" s="342" t="s">
        <v>2013</v>
      </c>
    </row>
    <row r="382" spans="1:35">
      <c r="A382" s="342">
        <v>310055</v>
      </c>
      <c r="B382" s="342" t="s">
        <v>706</v>
      </c>
      <c r="C382" s="342" t="s">
        <v>86</v>
      </c>
      <c r="D382" s="342" t="s">
        <v>51</v>
      </c>
      <c r="E382" s="342" t="s">
        <v>591</v>
      </c>
      <c r="F382" s="342" t="s">
        <v>40</v>
      </c>
      <c r="G382" s="342" t="s">
        <v>1288</v>
      </c>
      <c r="H382" s="342" t="s">
        <v>1402</v>
      </c>
      <c r="I382" s="342" t="s">
        <v>6063</v>
      </c>
      <c r="J382" s="342" t="s">
        <v>3542</v>
      </c>
      <c r="K382" s="343">
        <v>45504</v>
      </c>
      <c r="L382" s="342" t="s">
        <v>3543</v>
      </c>
      <c r="P382" s="342" t="s">
        <v>3544</v>
      </c>
      <c r="Q382" s="343">
        <v>44926</v>
      </c>
      <c r="X382" s="342" t="s">
        <v>1844</v>
      </c>
    </row>
    <row r="383" spans="1:35">
      <c r="A383" s="342">
        <v>310151</v>
      </c>
      <c r="B383" s="342" t="s">
        <v>1123</v>
      </c>
      <c r="C383" s="342" t="s">
        <v>1125</v>
      </c>
      <c r="D383" s="342" t="s">
        <v>51</v>
      </c>
      <c r="E383" s="342" t="s">
        <v>591</v>
      </c>
      <c r="F383" s="342" t="s">
        <v>41</v>
      </c>
      <c r="G383" s="342" t="s">
        <v>786</v>
      </c>
      <c r="H383" s="342" t="s">
        <v>1233</v>
      </c>
      <c r="I383" s="342" t="s">
        <v>4367</v>
      </c>
      <c r="J383" s="342" t="s">
        <v>3545</v>
      </c>
      <c r="K383" s="343">
        <v>44958</v>
      </c>
      <c r="L383" s="342" t="s">
        <v>3546</v>
      </c>
      <c r="X383" s="342" t="s">
        <v>1845</v>
      </c>
    </row>
    <row r="384" spans="1:35">
      <c r="A384" s="342">
        <v>310514</v>
      </c>
      <c r="B384" s="342" t="s">
        <v>920</v>
      </c>
      <c r="C384" s="342" t="s">
        <v>1043</v>
      </c>
      <c r="D384" s="342" t="s">
        <v>45</v>
      </c>
      <c r="E384" s="342" t="s">
        <v>591</v>
      </c>
      <c r="F384" s="342" t="s">
        <v>1114</v>
      </c>
      <c r="G384" s="342" t="s">
        <v>1288</v>
      </c>
      <c r="H384" s="342" t="s">
        <v>1402</v>
      </c>
    </row>
    <row r="385" spans="1:38">
      <c r="A385" s="342">
        <v>310756</v>
      </c>
      <c r="B385" s="342" t="s">
        <v>743</v>
      </c>
      <c r="C385" s="342" t="s">
        <v>757</v>
      </c>
      <c r="D385" s="342" t="s">
        <v>558</v>
      </c>
      <c r="E385" s="342" t="s">
        <v>591</v>
      </c>
      <c r="F385" s="342" t="s">
        <v>40</v>
      </c>
      <c r="G385" s="342" t="s">
        <v>5280</v>
      </c>
      <c r="H385" s="342" t="s">
        <v>1233</v>
      </c>
      <c r="I385" s="342" t="s">
        <v>1074</v>
      </c>
      <c r="J385" s="342" t="s">
        <v>2911</v>
      </c>
      <c r="X385" s="342" t="s">
        <v>1846</v>
      </c>
    </row>
    <row r="386" spans="1:38">
      <c r="A386" s="342">
        <v>310956</v>
      </c>
      <c r="B386" s="342" t="s">
        <v>771</v>
      </c>
      <c r="C386" s="342" t="s">
        <v>488</v>
      </c>
      <c r="D386" s="342" t="s">
        <v>175</v>
      </c>
      <c r="E386" s="342" t="s">
        <v>591</v>
      </c>
      <c r="F386" s="342" t="s">
        <v>40</v>
      </c>
      <c r="G386" s="342" t="s">
        <v>1510</v>
      </c>
      <c r="H386" s="342" t="s">
        <v>1402</v>
      </c>
      <c r="I386" s="342" t="s">
        <v>4789</v>
      </c>
      <c r="J386" s="342" t="s">
        <v>3547</v>
      </c>
      <c r="L386" s="342" t="s">
        <v>3548</v>
      </c>
      <c r="M386" s="343">
        <v>44865</v>
      </c>
      <c r="P386" s="342" t="s">
        <v>3549</v>
      </c>
      <c r="T386" s="342" t="s">
        <v>3550</v>
      </c>
      <c r="X386" s="342" t="s">
        <v>1847</v>
      </c>
    </row>
    <row r="387" spans="1:38">
      <c r="A387" s="342">
        <v>311186</v>
      </c>
      <c r="B387" s="342" t="s">
        <v>1126</v>
      </c>
      <c r="C387" s="342" t="s">
        <v>159</v>
      </c>
      <c r="D387" s="342" t="s">
        <v>51</v>
      </c>
      <c r="E387" s="342" t="s">
        <v>591</v>
      </c>
      <c r="F387" s="342" t="s">
        <v>40</v>
      </c>
      <c r="G387" s="342" t="s">
        <v>4441</v>
      </c>
      <c r="H387" s="342" t="s">
        <v>1233</v>
      </c>
      <c r="I387" s="342" t="s">
        <v>4603</v>
      </c>
      <c r="J387" s="342" t="s">
        <v>3551</v>
      </c>
      <c r="K387" s="343">
        <v>45136</v>
      </c>
      <c r="L387" s="342" t="s">
        <v>3552</v>
      </c>
      <c r="X387" s="342" t="s">
        <v>1848</v>
      </c>
    </row>
    <row r="388" spans="1:38">
      <c r="A388" s="342">
        <v>311530</v>
      </c>
      <c r="B388" s="342" t="s">
        <v>1046</v>
      </c>
      <c r="C388" s="342" t="s">
        <v>1048</v>
      </c>
      <c r="D388" s="342" t="s">
        <v>1022</v>
      </c>
      <c r="E388" s="342" t="s">
        <v>591</v>
      </c>
      <c r="F388" s="342" t="s">
        <v>40</v>
      </c>
      <c r="G388" s="342" t="s">
        <v>5282</v>
      </c>
      <c r="H388" s="342" t="s">
        <v>1233</v>
      </c>
      <c r="I388" s="342" t="s">
        <v>4702</v>
      </c>
      <c r="J388" s="342" t="s">
        <v>3553</v>
      </c>
      <c r="K388" s="343">
        <v>44785</v>
      </c>
      <c r="L388" s="342" t="s">
        <v>3554</v>
      </c>
      <c r="M388" s="343">
        <v>44834</v>
      </c>
      <c r="X388" s="342" t="s">
        <v>1849</v>
      </c>
    </row>
    <row r="389" spans="1:38">
      <c r="A389" s="342">
        <v>311711</v>
      </c>
      <c r="B389" s="342" t="s">
        <v>1265</v>
      </c>
      <c r="C389" s="342" t="s">
        <v>1267</v>
      </c>
      <c r="D389" s="342" t="s">
        <v>47</v>
      </c>
      <c r="E389" s="342" t="s">
        <v>591</v>
      </c>
      <c r="F389" s="342" t="s">
        <v>40</v>
      </c>
      <c r="G389" s="342" t="s">
        <v>5280</v>
      </c>
      <c r="H389" s="342" t="s">
        <v>1233</v>
      </c>
      <c r="I389" s="342" t="s">
        <v>5623</v>
      </c>
      <c r="J389" s="342" t="s">
        <v>2633</v>
      </c>
      <c r="L389" s="342" t="s">
        <v>3555</v>
      </c>
      <c r="M389" s="343">
        <v>45046</v>
      </c>
      <c r="N389" s="342" t="s">
        <v>3556</v>
      </c>
      <c r="P389" s="342" t="s">
        <v>2635</v>
      </c>
      <c r="Q389" s="343">
        <v>44926</v>
      </c>
      <c r="X389" s="342" t="s">
        <v>1850</v>
      </c>
      <c r="AE389" s="342" t="s">
        <v>3557</v>
      </c>
      <c r="AI389" s="342" t="s">
        <v>2014</v>
      </c>
    </row>
    <row r="390" spans="1:38">
      <c r="A390" s="342">
        <v>311796</v>
      </c>
      <c r="B390" s="342" t="s">
        <v>1411</v>
      </c>
      <c r="C390" s="342" t="s">
        <v>1205</v>
      </c>
      <c r="D390" s="342" t="s">
        <v>51</v>
      </c>
      <c r="E390" s="342" t="s">
        <v>591</v>
      </c>
      <c r="F390" s="342" t="s">
        <v>737</v>
      </c>
      <c r="G390" s="342" t="s">
        <v>5449</v>
      </c>
      <c r="H390" s="342" t="s">
        <v>1402</v>
      </c>
    </row>
    <row r="391" spans="1:38">
      <c r="A391" s="342">
        <v>311876</v>
      </c>
      <c r="B391" s="342" t="s">
        <v>1049</v>
      </c>
      <c r="C391" s="342" t="s">
        <v>1051</v>
      </c>
      <c r="D391" s="342" t="s">
        <v>51</v>
      </c>
      <c r="E391" s="342" t="s">
        <v>591</v>
      </c>
      <c r="F391" s="342" t="s">
        <v>40</v>
      </c>
      <c r="G391" s="342" t="s">
        <v>5450</v>
      </c>
      <c r="H391" s="342" t="s">
        <v>1233</v>
      </c>
      <c r="I391" s="342" t="s">
        <v>6064</v>
      </c>
      <c r="J391" s="342" t="s">
        <v>3558</v>
      </c>
      <c r="K391" s="343">
        <v>45504</v>
      </c>
      <c r="L391" s="342" t="s">
        <v>3559</v>
      </c>
      <c r="P391" s="342" t="s">
        <v>3560</v>
      </c>
      <c r="Q391" s="343">
        <v>45107</v>
      </c>
      <c r="X391" s="342" t="s">
        <v>1851</v>
      </c>
    </row>
    <row r="392" spans="1:38">
      <c r="A392" s="342">
        <v>311909</v>
      </c>
      <c r="B392" s="342" t="s">
        <v>1053</v>
      </c>
      <c r="C392" s="342" t="s">
        <v>1056</v>
      </c>
      <c r="D392" s="342" t="s">
        <v>45</v>
      </c>
      <c r="E392" s="342" t="s">
        <v>591</v>
      </c>
      <c r="F392" s="342" t="s">
        <v>685</v>
      </c>
      <c r="G392" s="342" t="s">
        <v>4638</v>
      </c>
      <c r="I392" s="342" t="s">
        <v>4624</v>
      </c>
      <c r="J392" s="342" t="s">
        <v>3561</v>
      </c>
      <c r="X392" s="342" t="s">
        <v>2024</v>
      </c>
      <c r="AJ392" s="342" t="s">
        <v>4380</v>
      </c>
      <c r="AL392" s="342" t="s">
        <v>4381</v>
      </c>
    </row>
    <row r="393" spans="1:38">
      <c r="A393" s="342">
        <v>312248</v>
      </c>
      <c r="B393" s="342" t="s">
        <v>1422</v>
      </c>
      <c r="C393" s="342" t="s">
        <v>1260</v>
      </c>
      <c r="D393" s="342" t="s">
        <v>118</v>
      </c>
      <c r="E393" s="342" t="s">
        <v>591</v>
      </c>
      <c r="F393" s="342" t="s">
        <v>40</v>
      </c>
      <c r="G393" s="342" t="s">
        <v>5278</v>
      </c>
      <c r="H393" s="342" t="s">
        <v>1233</v>
      </c>
      <c r="I393" s="342" t="s">
        <v>5039</v>
      </c>
      <c r="J393" s="342" t="s">
        <v>3562</v>
      </c>
      <c r="L393" s="342" t="s">
        <v>3563</v>
      </c>
      <c r="M393" s="343">
        <v>45291</v>
      </c>
      <c r="X393" s="342" t="s">
        <v>1852</v>
      </c>
    </row>
    <row r="394" spans="1:38">
      <c r="A394" s="342">
        <v>312649</v>
      </c>
      <c r="B394" s="342" t="s">
        <v>5200</v>
      </c>
      <c r="C394" s="342" t="s">
        <v>562</v>
      </c>
      <c r="D394" s="342" t="s">
        <v>549</v>
      </c>
      <c r="E394" s="342" t="s">
        <v>591</v>
      </c>
      <c r="F394" s="342" t="s">
        <v>749</v>
      </c>
      <c r="G394" s="342" t="s">
        <v>1510</v>
      </c>
      <c r="H394" s="342" t="s">
        <v>1233</v>
      </c>
      <c r="I394" s="342" t="s">
        <v>5211</v>
      </c>
      <c r="J394" s="342" t="s">
        <v>5213</v>
      </c>
      <c r="X394" s="342" t="s">
        <v>5212</v>
      </c>
    </row>
    <row r="395" spans="1:38">
      <c r="A395" s="342">
        <v>313589</v>
      </c>
      <c r="B395" s="342" t="s">
        <v>1393</v>
      </c>
      <c r="C395" s="342" t="s">
        <v>380</v>
      </c>
      <c r="D395" s="342" t="s">
        <v>381</v>
      </c>
      <c r="E395" s="342" t="s">
        <v>591</v>
      </c>
      <c r="F395" s="342" t="s">
        <v>40</v>
      </c>
      <c r="G395" s="342" t="s">
        <v>5449</v>
      </c>
      <c r="H395" s="342" t="s">
        <v>1402</v>
      </c>
      <c r="I395" s="342" t="s">
        <v>4703</v>
      </c>
      <c r="J395" s="342" t="s">
        <v>3564</v>
      </c>
      <c r="L395" s="342" t="s">
        <v>3565</v>
      </c>
      <c r="M395" s="343">
        <v>44834</v>
      </c>
      <c r="X395" s="342" t="s">
        <v>1853</v>
      </c>
    </row>
    <row r="396" spans="1:38">
      <c r="A396" s="342">
        <v>313831</v>
      </c>
      <c r="B396" s="342" t="s">
        <v>1163</v>
      </c>
      <c r="C396" s="342" t="s">
        <v>336</v>
      </c>
      <c r="D396" s="342" t="s">
        <v>337</v>
      </c>
      <c r="E396" s="342" t="s">
        <v>591</v>
      </c>
      <c r="F396" s="342" t="s">
        <v>40</v>
      </c>
      <c r="G396" s="342" t="s">
        <v>1288</v>
      </c>
      <c r="H396" s="342" t="s">
        <v>1233</v>
      </c>
      <c r="I396" s="342" t="s">
        <v>5467</v>
      </c>
      <c r="J396" s="342" t="s">
        <v>3566</v>
      </c>
      <c r="L396" s="342" t="s">
        <v>3567</v>
      </c>
      <c r="M396" s="343">
        <v>45077</v>
      </c>
      <c r="P396" s="342" t="s">
        <v>3568</v>
      </c>
      <c r="Q396" s="343">
        <v>45107</v>
      </c>
      <c r="R396" s="342" t="s">
        <v>3569</v>
      </c>
      <c r="S396" s="343">
        <v>44985</v>
      </c>
      <c r="V396" s="342" t="s">
        <v>4404</v>
      </c>
      <c r="W396" s="343">
        <v>44848</v>
      </c>
      <c r="X396" s="342" t="s">
        <v>4405</v>
      </c>
    </row>
    <row r="397" spans="1:38">
      <c r="A397" s="342">
        <v>313897</v>
      </c>
      <c r="B397" s="342" t="s">
        <v>1057</v>
      </c>
      <c r="C397" s="342" t="s">
        <v>788</v>
      </c>
      <c r="D397" s="342" t="s">
        <v>45</v>
      </c>
      <c r="E397" s="342" t="s">
        <v>591</v>
      </c>
      <c r="F397" s="342" t="s">
        <v>40</v>
      </c>
      <c r="G397" s="342" t="s">
        <v>5449</v>
      </c>
      <c r="I397" s="342" t="s">
        <v>5072</v>
      </c>
      <c r="J397" s="342" t="s">
        <v>3570</v>
      </c>
      <c r="L397" s="342" t="s">
        <v>3571</v>
      </c>
      <c r="M397" s="343">
        <v>45322</v>
      </c>
      <c r="N397" s="342" t="s">
        <v>3572</v>
      </c>
      <c r="P397" s="342" t="s">
        <v>3573</v>
      </c>
      <c r="Q397" s="343">
        <v>44926</v>
      </c>
      <c r="X397" s="342" t="s">
        <v>1854</v>
      </c>
    </row>
    <row r="398" spans="1:38">
      <c r="A398" s="342">
        <v>313936</v>
      </c>
      <c r="B398" s="342" t="s">
        <v>1061</v>
      </c>
      <c r="C398" s="342" t="s">
        <v>1064</v>
      </c>
      <c r="D398" s="342" t="s">
        <v>45</v>
      </c>
      <c r="E398" s="342" t="s">
        <v>591</v>
      </c>
      <c r="F398" s="342" t="s">
        <v>40</v>
      </c>
      <c r="G398" s="342" t="s">
        <v>5450</v>
      </c>
      <c r="H398" s="342" t="s">
        <v>1233</v>
      </c>
      <c r="I398" s="342" t="s">
        <v>4945</v>
      </c>
      <c r="J398" s="342" t="s">
        <v>3574</v>
      </c>
      <c r="L398" s="342" t="s">
        <v>3575</v>
      </c>
      <c r="M398" s="343">
        <v>45291</v>
      </c>
      <c r="N398" s="342" t="s">
        <v>3576</v>
      </c>
      <c r="X398" s="342" t="s">
        <v>1855</v>
      </c>
    </row>
    <row r="399" spans="1:38">
      <c r="A399" s="342">
        <v>314059</v>
      </c>
      <c r="B399" s="342" t="s">
        <v>1094</v>
      </c>
      <c r="C399" s="342" t="s">
        <v>1097</v>
      </c>
      <c r="D399" s="342" t="s">
        <v>45</v>
      </c>
      <c r="E399" s="342" t="s">
        <v>591</v>
      </c>
      <c r="F399" s="342" t="s">
        <v>43</v>
      </c>
      <c r="G399" s="342" t="s">
        <v>1421</v>
      </c>
      <c r="H399" s="342" t="s">
        <v>1233</v>
      </c>
      <c r="I399" s="342" t="s">
        <v>6065</v>
      </c>
      <c r="J399" s="342" t="s">
        <v>3577</v>
      </c>
      <c r="L399" s="342" t="s">
        <v>3578</v>
      </c>
      <c r="M399" s="343">
        <v>45504</v>
      </c>
      <c r="X399" s="342" t="s">
        <v>1856</v>
      </c>
    </row>
    <row r="400" spans="1:38">
      <c r="A400" s="342">
        <v>314094</v>
      </c>
      <c r="B400" s="342" t="s">
        <v>1089</v>
      </c>
      <c r="C400" s="342" t="s">
        <v>1091</v>
      </c>
      <c r="D400" s="342" t="s">
        <v>51</v>
      </c>
      <c r="E400" s="342" t="s">
        <v>591</v>
      </c>
      <c r="F400" s="342" t="s">
        <v>43</v>
      </c>
      <c r="G400" s="342" t="s">
        <v>1421</v>
      </c>
      <c r="H400" s="342" t="s">
        <v>1402</v>
      </c>
      <c r="I400" s="342" t="s">
        <v>1500</v>
      </c>
      <c r="J400" s="342" t="s">
        <v>3579</v>
      </c>
      <c r="K400" s="343">
        <v>44805</v>
      </c>
      <c r="L400" s="342" t="s">
        <v>3580</v>
      </c>
      <c r="X400" s="342" t="s">
        <v>1857</v>
      </c>
    </row>
    <row r="401" spans="1:35">
      <c r="A401" s="342">
        <v>314403</v>
      </c>
      <c r="B401" s="342" t="s">
        <v>1085</v>
      </c>
      <c r="C401" s="342" t="s">
        <v>1087</v>
      </c>
      <c r="D401" s="342" t="s">
        <v>1088</v>
      </c>
      <c r="E401" s="342" t="s">
        <v>591</v>
      </c>
      <c r="F401" s="342" t="s">
        <v>40</v>
      </c>
      <c r="G401" s="342" t="s">
        <v>5450</v>
      </c>
      <c r="I401" s="342" t="s">
        <v>5468</v>
      </c>
      <c r="J401" s="342" t="s">
        <v>3581</v>
      </c>
      <c r="L401" s="342" t="s">
        <v>3582</v>
      </c>
      <c r="M401" s="343">
        <v>44834</v>
      </c>
      <c r="N401" s="342" t="s">
        <v>3583</v>
      </c>
      <c r="O401" s="343">
        <v>44834</v>
      </c>
      <c r="P401" s="342" t="s">
        <v>3584</v>
      </c>
      <c r="Q401" s="343">
        <v>45291</v>
      </c>
      <c r="R401" s="342" t="s">
        <v>3585</v>
      </c>
      <c r="S401" s="343">
        <v>45077</v>
      </c>
      <c r="X401" s="342" t="s">
        <v>1858</v>
      </c>
    </row>
    <row r="402" spans="1:35">
      <c r="A402" s="342">
        <v>316391</v>
      </c>
      <c r="B402" s="342" t="s">
        <v>1159</v>
      </c>
      <c r="C402" s="342" t="s">
        <v>1161</v>
      </c>
      <c r="D402" s="342" t="s">
        <v>51</v>
      </c>
      <c r="E402" s="342" t="s">
        <v>591</v>
      </c>
      <c r="F402" s="342" t="s">
        <v>40</v>
      </c>
      <c r="G402" s="342" t="s">
        <v>1288</v>
      </c>
      <c r="H402" s="342" t="s">
        <v>1402</v>
      </c>
      <c r="I402" s="342" t="s">
        <v>5624</v>
      </c>
      <c r="J402" s="342" t="s">
        <v>3586</v>
      </c>
      <c r="K402" s="343">
        <v>44957</v>
      </c>
      <c r="L402" s="342" t="s">
        <v>3587</v>
      </c>
      <c r="P402" s="342" t="s">
        <v>3588</v>
      </c>
      <c r="Q402" s="343">
        <v>44926</v>
      </c>
      <c r="X402" s="342" t="s">
        <v>1859</v>
      </c>
    </row>
    <row r="403" spans="1:35">
      <c r="A403" s="342">
        <v>316791</v>
      </c>
      <c r="B403" s="342" t="s">
        <v>1398</v>
      </c>
      <c r="C403" s="342" t="s">
        <v>1400</v>
      </c>
      <c r="D403" s="342" t="s">
        <v>51</v>
      </c>
      <c r="E403" s="342" t="s">
        <v>591</v>
      </c>
      <c r="F403" s="342" t="s">
        <v>737</v>
      </c>
      <c r="G403" s="342" t="s">
        <v>1277</v>
      </c>
      <c r="H403" s="342" t="s">
        <v>1233</v>
      </c>
    </row>
    <row r="404" spans="1:35">
      <c r="A404" s="342">
        <v>316849</v>
      </c>
      <c r="B404" s="342" t="s">
        <v>1143</v>
      </c>
      <c r="C404" s="342" t="s">
        <v>1146</v>
      </c>
      <c r="D404" s="342" t="s">
        <v>107</v>
      </c>
      <c r="E404" s="342" t="s">
        <v>591</v>
      </c>
      <c r="F404" s="342" t="s">
        <v>40</v>
      </c>
      <c r="G404" s="342" t="s">
        <v>4441</v>
      </c>
      <c r="H404" s="342" t="s">
        <v>1233</v>
      </c>
      <c r="I404" s="342" t="s">
        <v>1502</v>
      </c>
      <c r="J404" s="342" t="s">
        <v>3589</v>
      </c>
      <c r="N404" s="342" t="s">
        <v>3590</v>
      </c>
      <c r="R404" s="342" t="s">
        <v>3591</v>
      </c>
      <c r="T404" s="342" t="s">
        <v>3591</v>
      </c>
      <c r="X404" s="342" t="s">
        <v>1860</v>
      </c>
    </row>
    <row r="405" spans="1:35">
      <c r="A405" s="342">
        <v>316979</v>
      </c>
      <c r="B405" s="342" t="s">
        <v>965</v>
      </c>
      <c r="C405" s="342" t="s">
        <v>1408</v>
      </c>
      <c r="D405" s="342" t="s">
        <v>47</v>
      </c>
      <c r="E405" s="342" t="s">
        <v>591</v>
      </c>
      <c r="F405" s="342" t="s">
        <v>41</v>
      </c>
      <c r="G405" s="342" t="s">
        <v>786</v>
      </c>
      <c r="H405" s="342" t="s">
        <v>1402</v>
      </c>
      <c r="I405" s="342" t="s">
        <v>5296</v>
      </c>
      <c r="J405" s="342" t="s">
        <v>3299</v>
      </c>
      <c r="L405" s="342" t="s">
        <v>3300</v>
      </c>
      <c r="M405" s="343">
        <v>45382</v>
      </c>
      <c r="X405" s="342" t="s">
        <v>1780</v>
      </c>
    </row>
    <row r="406" spans="1:35">
      <c r="A406" s="342">
        <v>317041</v>
      </c>
      <c r="B406" s="342" t="s">
        <v>1148</v>
      </c>
      <c r="C406" s="342" t="s">
        <v>1150</v>
      </c>
      <c r="D406" s="342" t="s">
        <v>51</v>
      </c>
      <c r="E406" s="342" t="s">
        <v>591</v>
      </c>
      <c r="F406" s="342" t="s">
        <v>40</v>
      </c>
      <c r="G406" s="342" t="s">
        <v>5449</v>
      </c>
      <c r="H406" s="342" t="s">
        <v>1402</v>
      </c>
      <c r="I406" s="342" t="s">
        <v>5301</v>
      </c>
      <c r="J406" s="342" t="s">
        <v>3592</v>
      </c>
      <c r="K406" s="343">
        <v>45382</v>
      </c>
      <c r="L406" s="342" t="s">
        <v>3593</v>
      </c>
      <c r="X406" s="342" t="s">
        <v>1861</v>
      </c>
    </row>
    <row r="407" spans="1:35">
      <c r="A407" s="342">
        <v>317124</v>
      </c>
      <c r="B407" s="342" t="s">
        <v>5254</v>
      </c>
      <c r="C407" s="342" t="s">
        <v>5256</v>
      </c>
      <c r="D407" s="342" t="s">
        <v>5257</v>
      </c>
      <c r="E407" s="342" t="s">
        <v>591</v>
      </c>
      <c r="F407" s="342" t="s">
        <v>40</v>
      </c>
      <c r="G407" s="342" t="s">
        <v>1288</v>
      </c>
      <c r="H407" s="342" t="s">
        <v>1233</v>
      </c>
      <c r="I407" s="342" t="s">
        <v>5302</v>
      </c>
      <c r="J407" s="342" t="s">
        <v>5309</v>
      </c>
      <c r="L407" s="342" t="s">
        <v>5310</v>
      </c>
      <c r="M407" s="343">
        <v>44834</v>
      </c>
      <c r="X407" s="342" t="s">
        <v>5305</v>
      </c>
      <c r="AE407" s="342" t="s">
        <v>5264</v>
      </c>
      <c r="AI407" s="342" t="s">
        <v>5262</v>
      </c>
    </row>
    <row r="408" spans="1:35">
      <c r="A408" s="342">
        <v>317378</v>
      </c>
      <c r="B408" s="342" t="s">
        <v>1215</v>
      </c>
      <c r="C408" s="342" t="s">
        <v>1218</v>
      </c>
      <c r="D408" s="342" t="s">
        <v>45</v>
      </c>
      <c r="E408" s="342" t="s">
        <v>591</v>
      </c>
      <c r="F408" s="342" t="s">
        <v>40</v>
      </c>
      <c r="G408" s="342" t="s">
        <v>5278</v>
      </c>
      <c r="H408" s="342" t="s">
        <v>1402</v>
      </c>
      <c r="I408" s="342" t="s">
        <v>5349</v>
      </c>
      <c r="J408" s="342" t="s">
        <v>3594</v>
      </c>
      <c r="L408" s="342" t="s">
        <v>3595</v>
      </c>
      <c r="M408" s="343">
        <v>45382</v>
      </c>
      <c r="X408" s="342" t="s">
        <v>1862</v>
      </c>
    </row>
    <row r="409" spans="1:35">
      <c r="A409" s="342">
        <v>317423</v>
      </c>
      <c r="B409" s="342" t="s">
        <v>4422</v>
      </c>
      <c r="C409" s="342" t="s">
        <v>1155</v>
      </c>
      <c r="D409" s="342" t="s">
        <v>45</v>
      </c>
      <c r="E409" s="342" t="s">
        <v>591</v>
      </c>
      <c r="F409" s="342" t="s">
        <v>40</v>
      </c>
      <c r="G409" s="342" t="s">
        <v>5449</v>
      </c>
      <c r="H409" s="342" t="s">
        <v>1402</v>
      </c>
      <c r="I409" s="342" t="s">
        <v>5240</v>
      </c>
      <c r="J409" s="342" t="s">
        <v>3596</v>
      </c>
      <c r="L409" s="342" t="s">
        <v>3597</v>
      </c>
      <c r="M409" s="343">
        <v>45351</v>
      </c>
      <c r="N409" s="342" t="s">
        <v>3598</v>
      </c>
      <c r="X409" s="342" t="s">
        <v>1863</v>
      </c>
    </row>
    <row r="410" spans="1:35">
      <c r="A410" s="342">
        <v>317750</v>
      </c>
      <c r="B410" s="342" t="s">
        <v>1180</v>
      </c>
      <c r="C410" s="342" t="s">
        <v>1182</v>
      </c>
      <c r="D410" s="342" t="s">
        <v>51</v>
      </c>
      <c r="E410" s="342" t="s">
        <v>591</v>
      </c>
      <c r="F410" s="342" t="s">
        <v>41</v>
      </c>
      <c r="G410" s="342" t="s">
        <v>1510</v>
      </c>
      <c r="H410" s="342" t="s">
        <v>1233</v>
      </c>
      <c r="I410" s="342" t="s">
        <v>4631</v>
      </c>
      <c r="J410" s="342" t="s">
        <v>3599</v>
      </c>
      <c r="K410" s="343">
        <v>44805</v>
      </c>
      <c r="L410" s="342" t="s">
        <v>3600</v>
      </c>
      <c r="X410" s="342" t="s">
        <v>4632</v>
      </c>
    </row>
    <row r="411" spans="1:35">
      <c r="A411" s="342">
        <v>317753</v>
      </c>
      <c r="B411" s="342" t="s">
        <v>1506</v>
      </c>
      <c r="C411" s="342" t="s">
        <v>1167</v>
      </c>
      <c r="D411" s="342" t="s">
        <v>45</v>
      </c>
      <c r="E411" s="342" t="s">
        <v>591</v>
      </c>
      <c r="F411" s="342" t="s">
        <v>41</v>
      </c>
      <c r="G411" s="342" t="s">
        <v>1288</v>
      </c>
      <c r="H411" s="342" t="s">
        <v>1402</v>
      </c>
      <c r="I411" s="342" t="s">
        <v>5154</v>
      </c>
      <c r="J411" s="342" t="s">
        <v>3601</v>
      </c>
      <c r="L411" s="342" t="s">
        <v>3602</v>
      </c>
      <c r="M411" s="343">
        <v>45322</v>
      </c>
      <c r="X411" s="342" t="s">
        <v>1864</v>
      </c>
    </row>
    <row r="412" spans="1:35">
      <c r="A412" s="342">
        <v>318065</v>
      </c>
      <c r="B412" s="342" t="s">
        <v>1302</v>
      </c>
      <c r="C412" s="342" t="s">
        <v>218</v>
      </c>
      <c r="D412" s="342" t="s">
        <v>51</v>
      </c>
      <c r="E412" s="342" t="s">
        <v>591</v>
      </c>
      <c r="F412" s="342" t="s">
        <v>40</v>
      </c>
      <c r="G412" s="342" t="s">
        <v>5282</v>
      </c>
      <c r="H412" s="342" t="s">
        <v>1233</v>
      </c>
      <c r="I412" s="342" t="s">
        <v>6066</v>
      </c>
      <c r="J412" s="342" t="s">
        <v>3603</v>
      </c>
      <c r="K412" s="343">
        <v>45504</v>
      </c>
      <c r="L412" s="342" t="s">
        <v>3604</v>
      </c>
      <c r="P412" s="342" t="s">
        <v>3605</v>
      </c>
      <c r="Q412" s="343">
        <v>45291</v>
      </c>
      <c r="X412" s="342" t="s">
        <v>1865</v>
      </c>
    </row>
    <row r="413" spans="1:35">
      <c r="A413" s="342">
        <v>319140</v>
      </c>
      <c r="B413" s="342" t="s">
        <v>4651</v>
      </c>
      <c r="C413" s="342" t="s">
        <v>4653</v>
      </c>
      <c r="D413" s="342" t="s">
        <v>51</v>
      </c>
      <c r="E413" s="342" t="s">
        <v>591</v>
      </c>
      <c r="F413" s="342" t="s">
        <v>40</v>
      </c>
      <c r="G413" s="342" t="s">
        <v>5283</v>
      </c>
      <c r="H413" s="342" t="s">
        <v>1233</v>
      </c>
      <c r="I413" s="342" t="s">
        <v>5223</v>
      </c>
      <c r="J413" s="342" t="s">
        <v>4660</v>
      </c>
      <c r="K413" s="343">
        <v>44985</v>
      </c>
      <c r="L413" s="342" t="s">
        <v>4661</v>
      </c>
      <c r="P413" s="342" t="s">
        <v>4662</v>
      </c>
      <c r="Q413" s="343">
        <v>45291</v>
      </c>
      <c r="X413" s="342" t="s">
        <v>4656</v>
      </c>
    </row>
    <row r="414" spans="1:35">
      <c r="A414" s="342">
        <v>319735</v>
      </c>
      <c r="B414" s="342" t="s">
        <v>5030</v>
      </c>
      <c r="C414" s="342" t="s">
        <v>5032</v>
      </c>
      <c r="D414" s="342" t="s">
        <v>51</v>
      </c>
      <c r="E414" s="342" t="s">
        <v>591</v>
      </c>
      <c r="F414" s="342" t="s">
        <v>40</v>
      </c>
      <c r="G414" s="342" t="s">
        <v>5282</v>
      </c>
      <c r="H414" s="342" t="s">
        <v>1402</v>
      </c>
      <c r="I414" s="342" t="s">
        <v>5040</v>
      </c>
      <c r="J414" s="342" t="s">
        <v>5049</v>
      </c>
      <c r="K414" s="343">
        <v>44822</v>
      </c>
      <c r="L414" s="342" t="s">
        <v>5050</v>
      </c>
      <c r="X414" s="342" t="s">
        <v>5044</v>
      </c>
    </row>
    <row r="415" spans="1:35">
      <c r="A415" s="342">
        <v>321538</v>
      </c>
      <c r="B415" s="342" t="s">
        <v>1273</v>
      </c>
      <c r="C415" s="342" t="s">
        <v>1511</v>
      </c>
      <c r="D415" s="342" t="s">
        <v>1275</v>
      </c>
      <c r="E415" s="342" t="s">
        <v>591</v>
      </c>
      <c r="F415" s="342" t="s">
        <v>41</v>
      </c>
      <c r="G415" s="342" t="s">
        <v>1510</v>
      </c>
      <c r="I415" s="342" t="s">
        <v>1276</v>
      </c>
      <c r="J415" s="342" t="s">
        <v>3606</v>
      </c>
      <c r="X415" s="342" t="s">
        <v>1866</v>
      </c>
    </row>
    <row r="416" spans="1:35">
      <c r="A416" s="342">
        <v>323306</v>
      </c>
      <c r="B416" s="342" t="s">
        <v>1471</v>
      </c>
      <c r="C416" s="342" t="s">
        <v>1474</v>
      </c>
      <c r="D416" s="342" t="s">
        <v>45</v>
      </c>
      <c r="E416" s="342" t="s">
        <v>591</v>
      </c>
      <c r="F416" s="342" t="s">
        <v>1114</v>
      </c>
      <c r="G416" s="342" t="s">
        <v>1288</v>
      </c>
    </row>
    <row r="417" spans="1:38">
      <c r="A417" s="342">
        <v>323416</v>
      </c>
      <c r="B417" s="342" t="s">
        <v>1333</v>
      </c>
      <c r="C417" s="342" t="s">
        <v>236</v>
      </c>
      <c r="D417" s="342" t="s">
        <v>51</v>
      </c>
      <c r="E417" s="342" t="s">
        <v>591</v>
      </c>
      <c r="F417" s="342" t="s">
        <v>40</v>
      </c>
      <c r="G417" s="342" t="s">
        <v>5282</v>
      </c>
      <c r="H417" s="342" t="s">
        <v>1402</v>
      </c>
      <c r="I417" s="342" t="s">
        <v>5625</v>
      </c>
      <c r="J417" s="342" t="s">
        <v>3607</v>
      </c>
      <c r="K417" s="343">
        <v>44995</v>
      </c>
      <c r="L417" s="342" t="s">
        <v>3608</v>
      </c>
      <c r="P417" s="342" t="s">
        <v>3609</v>
      </c>
      <c r="Q417" s="343">
        <v>44926</v>
      </c>
      <c r="X417" s="342" t="s">
        <v>1867</v>
      </c>
    </row>
    <row r="418" spans="1:38">
      <c r="A418" s="342">
        <v>323974</v>
      </c>
      <c r="B418" s="342" t="s">
        <v>1356</v>
      </c>
      <c r="C418" s="342" t="s">
        <v>1358</v>
      </c>
      <c r="D418" s="342" t="s">
        <v>558</v>
      </c>
      <c r="E418" s="342" t="s">
        <v>591</v>
      </c>
      <c r="F418" s="342" t="s">
        <v>40</v>
      </c>
      <c r="G418" s="342" t="s">
        <v>1510</v>
      </c>
      <c r="H418" s="342" t="s">
        <v>1233</v>
      </c>
      <c r="I418" s="342" t="s">
        <v>5626</v>
      </c>
      <c r="J418" s="342" t="s">
        <v>3056</v>
      </c>
      <c r="L418" s="342" t="s">
        <v>3610</v>
      </c>
      <c r="M418" s="343">
        <v>45230</v>
      </c>
      <c r="P418" s="342" t="s">
        <v>3611</v>
      </c>
      <c r="Q418" s="343">
        <v>44926</v>
      </c>
      <c r="X418" s="342" t="s">
        <v>1868</v>
      </c>
    </row>
    <row r="419" spans="1:38">
      <c r="A419" s="342">
        <v>324051</v>
      </c>
      <c r="B419" s="342" t="s">
        <v>1369</v>
      </c>
      <c r="C419" s="342" t="s">
        <v>1361</v>
      </c>
      <c r="D419" s="342" t="s">
        <v>1362</v>
      </c>
      <c r="E419" s="342" t="s">
        <v>591</v>
      </c>
      <c r="F419" s="342" t="s">
        <v>41</v>
      </c>
      <c r="G419" s="342" t="s">
        <v>4638</v>
      </c>
      <c r="H419" s="342" t="s">
        <v>1402</v>
      </c>
      <c r="I419" s="342" t="s">
        <v>4704</v>
      </c>
      <c r="J419" s="342" t="s">
        <v>2894</v>
      </c>
      <c r="L419" s="342" t="s">
        <v>2895</v>
      </c>
      <c r="M419" s="343">
        <v>44865</v>
      </c>
      <c r="N419" s="342" t="s">
        <v>4715</v>
      </c>
      <c r="O419" s="343">
        <v>45200</v>
      </c>
      <c r="X419" s="342" t="s">
        <v>4708</v>
      </c>
    </row>
    <row r="420" spans="1:38">
      <c r="A420" s="342">
        <v>324140</v>
      </c>
      <c r="B420" s="342" t="s">
        <v>1370</v>
      </c>
      <c r="C420" s="342" t="s">
        <v>1372</v>
      </c>
      <c r="D420" s="342" t="s">
        <v>1373</v>
      </c>
      <c r="E420" s="342" t="s">
        <v>591</v>
      </c>
      <c r="F420" s="342" t="s">
        <v>41</v>
      </c>
      <c r="G420" s="342" t="s">
        <v>4638</v>
      </c>
      <c r="H420" s="342" t="s">
        <v>1402</v>
      </c>
      <c r="I420" s="342" t="s">
        <v>2022</v>
      </c>
      <c r="J420" s="342" t="s">
        <v>2894</v>
      </c>
      <c r="L420" s="342" t="s">
        <v>2895</v>
      </c>
      <c r="M420" s="343">
        <v>44865</v>
      </c>
      <c r="X420" s="342" t="s">
        <v>1869</v>
      </c>
    </row>
    <row r="421" spans="1:38">
      <c r="A421" s="342">
        <v>325267</v>
      </c>
      <c r="B421" s="342" t="s">
        <v>1412</v>
      </c>
      <c r="C421" s="342" t="s">
        <v>1416</v>
      </c>
      <c r="D421" s="342" t="s">
        <v>1413</v>
      </c>
      <c r="E421" s="342" t="s">
        <v>591</v>
      </c>
      <c r="F421" s="342" t="s">
        <v>41</v>
      </c>
      <c r="G421" s="342" t="s">
        <v>4608</v>
      </c>
      <c r="H421" s="342" t="s">
        <v>1233</v>
      </c>
      <c r="I421" s="342" t="s">
        <v>5627</v>
      </c>
      <c r="J421" s="342" t="s">
        <v>3612</v>
      </c>
      <c r="L421" s="342" t="s">
        <v>3613</v>
      </c>
      <c r="M421" s="343">
        <v>44834</v>
      </c>
      <c r="P421" s="342" t="s">
        <v>5225</v>
      </c>
      <c r="Q421" s="343">
        <v>44926</v>
      </c>
      <c r="X421" s="342" t="s">
        <v>5224</v>
      </c>
    </row>
    <row r="422" spans="1:38">
      <c r="A422" s="342">
        <v>325331</v>
      </c>
      <c r="B422" s="342" t="s">
        <v>1445</v>
      </c>
      <c r="C422" s="342" t="s">
        <v>1447</v>
      </c>
      <c r="D422" s="342" t="s">
        <v>1448</v>
      </c>
      <c r="E422" s="342" t="s">
        <v>591</v>
      </c>
      <c r="F422" s="342" t="s">
        <v>685</v>
      </c>
      <c r="G422" s="342" t="s">
        <v>1421</v>
      </c>
      <c r="H422" s="342" t="s">
        <v>1233</v>
      </c>
      <c r="I422" s="342" t="s">
        <v>1450</v>
      </c>
      <c r="AJ422" s="342" t="s">
        <v>4382</v>
      </c>
      <c r="AL422" s="342" t="s">
        <v>4383</v>
      </c>
    </row>
    <row r="423" spans="1:38">
      <c r="A423" s="342">
        <v>325804</v>
      </c>
      <c r="B423" s="342" t="s">
        <v>705</v>
      </c>
      <c r="C423" s="342" t="s">
        <v>4343</v>
      </c>
      <c r="D423" s="342" t="s">
        <v>51</v>
      </c>
      <c r="E423" s="342" t="s">
        <v>591</v>
      </c>
      <c r="F423" s="342" t="s">
        <v>40</v>
      </c>
      <c r="G423" s="342" t="s">
        <v>5281</v>
      </c>
      <c r="H423" s="342" t="s">
        <v>1233</v>
      </c>
      <c r="I423" s="342" t="s">
        <v>6067</v>
      </c>
      <c r="J423" s="342" t="s">
        <v>2813</v>
      </c>
      <c r="K423" s="343">
        <v>45504</v>
      </c>
      <c r="L423" s="342" t="s">
        <v>2814</v>
      </c>
      <c r="P423" s="342" t="s">
        <v>2815</v>
      </c>
      <c r="Q423" s="343">
        <v>44926</v>
      </c>
      <c r="X423" s="342" t="s">
        <v>1660</v>
      </c>
      <c r="AG423" s="342" t="s">
        <v>2816</v>
      </c>
      <c r="AI423" s="342" t="s">
        <v>1922</v>
      </c>
    </row>
    <row r="424" spans="1:38">
      <c r="A424" s="342">
        <v>325878</v>
      </c>
      <c r="B424" s="342" t="s">
        <v>1453</v>
      </c>
      <c r="C424" s="342" t="s">
        <v>336</v>
      </c>
      <c r="D424" s="342" t="s">
        <v>337</v>
      </c>
      <c r="E424" s="342" t="s">
        <v>591</v>
      </c>
      <c r="F424" s="342" t="s">
        <v>40</v>
      </c>
      <c r="G424" s="342" t="s">
        <v>5279</v>
      </c>
      <c r="H424" s="342" t="s">
        <v>1402</v>
      </c>
      <c r="I424" s="342" t="s">
        <v>5469</v>
      </c>
      <c r="J424" s="342" t="s">
        <v>3614</v>
      </c>
      <c r="L424" s="342" t="s">
        <v>3615</v>
      </c>
      <c r="M424" s="343">
        <v>44804</v>
      </c>
      <c r="N424" s="342" t="s">
        <v>3616</v>
      </c>
      <c r="O424" s="343">
        <v>45077</v>
      </c>
      <c r="R424" s="342" t="s">
        <v>3617</v>
      </c>
      <c r="S424" s="343">
        <v>45077</v>
      </c>
      <c r="X424" s="342" t="s">
        <v>1870</v>
      </c>
    </row>
    <row r="425" spans="1:38">
      <c r="A425" s="342">
        <v>325909</v>
      </c>
      <c r="B425" s="342" t="s">
        <v>746</v>
      </c>
      <c r="C425" s="342" t="s">
        <v>1485</v>
      </c>
      <c r="D425" s="342" t="s">
        <v>47</v>
      </c>
      <c r="E425" s="342" t="s">
        <v>591</v>
      </c>
      <c r="F425" s="342" t="s">
        <v>737</v>
      </c>
      <c r="G425" s="342" t="s">
        <v>5280</v>
      </c>
      <c r="H425" s="342" t="s">
        <v>1233</v>
      </c>
      <c r="I425" s="342" t="s">
        <v>1070</v>
      </c>
    </row>
    <row r="426" spans="1:38">
      <c r="A426" s="342">
        <v>326373</v>
      </c>
      <c r="B426" s="342" t="s">
        <v>1455</v>
      </c>
      <c r="C426" s="342" t="s">
        <v>336</v>
      </c>
      <c r="D426" s="342" t="s">
        <v>337</v>
      </c>
      <c r="E426" s="342" t="s">
        <v>591</v>
      </c>
      <c r="F426" s="342" t="s">
        <v>40</v>
      </c>
      <c r="G426" s="342" t="s">
        <v>1288</v>
      </c>
      <c r="H426" s="342" t="s">
        <v>1402</v>
      </c>
      <c r="I426" s="342" t="s">
        <v>5204</v>
      </c>
      <c r="J426" s="342" t="s">
        <v>3618</v>
      </c>
      <c r="L426" s="342" t="s">
        <v>3619</v>
      </c>
      <c r="M426" s="343">
        <v>44985</v>
      </c>
      <c r="N426" s="342" t="s">
        <v>3620</v>
      </c>
      <c r="O426" s="343">
        <v>44895</v>
      </c>
      <c r="P426" s="342" t="s">
        <v>4848</v>
      </c>
      <c r="Q426" s="343">
        <v>45107</v>
      </c>
      <c r="R426" s="342" t="s">
        <v>3621</v>
      </c>
      <c r="S426" s="343">
        <v>44895</v>
      </c>
      <c r="X426" s="342" t="s">
        <v>4847</v>
      </c>
    </row>
    <row r="427" spans="1:38">
      <c r="A427" s="342">
        <v>326668</v>
      </c>
      <c r="B427" s="342" t="s">
        <v>1479</v>
      </c>
      <c r="C427" s="342" t="s">
        <v>1481</v>
      </c>
      <c r="D427" s="342" t="s">
        <v>51</v>
      </c>
      <c r="E427" s="342" t="s">
        <v>591</v>
      </c>
      <c r="F427" s="342" t="s">
        <v>40</v>
      </c>
      <c r="G427" s="342" t="s">
        <v>4441</v>
      </c>
      <c r="H427" s="342" t="s">
        <v>1233</v>
      </c>
      <c r="I427" s="342" t="s">
        <v>1486</v>
      </c>
      <c r="J427" s="342" t="s">
        <v>3622</v>
      </c>
      <c r="K427" s="343">
        <v>44774</v>
      </c>
      <c r="L427" s="342" t="s">
        <v>3623</v>
      </c>
      <c r="X427" s="342" t="s">
        <v>1871</v>
      </c>
    </row>
    <row r="428" spans="1:38">
      <c r="A428" s="342">
        <v>327040</v>
      </c>
      <c r="B428" s="342" t="s">
        <v>1465</v>
      </c>
      <c r="C428" s="342" t="s">
        <v>918</v>
      </c>
      <c r="D428" s="342" t="s">
        <v>51</v>
      </c>
      <c r="E428" s="342" t="s">
        <v>591</v>
      </c>
      <c r="F428" s="342" t="s">
        <v>40</v>
      </c>
      <c r="G428" s="342" t="s">
        <v>5279</v>
      </c>
      <c r="H428" s="342" t="s">
        <v>1233</v>
      </c>
      <c r="I428" s="342" t="s">
        <v>1494</v>
      </c>
      <c r="J428" s="342" t="s">
        <v>3624</v>
      </c>
      <c r="K428" s="343">
        <v>44774</v>
      </c>
      <c r="L428" s="342" t="s">
        <v>3625</v>
      </c>
      <c r="X428" s="342" t="s">
        <v>1872</v>
      </c>
    </row>
    <row r="429" spans="1:38">
      <c r="A429" s="342">
        <v>328334</v>
      </c>
      <c r="B429" s="342" t="s">
        <v>1512</v>
      </c>
      <c r="C429" s="342" t="s">
        <v>1514</v>
      </c>
      <c r="D429" s="342" t="s">
        <v>1515</v>
      </c>
      <c r="E429" s="342" t="s">
        <v>591</v>
      </c>
      <c r="F429" s="342" t="s">
        <v>40</v>
      </c>
      <c r="G429" s="342" t="s">
        <v>5282</v>
      </c>
      <c r="H429" s="342" t="s">
        <v>1402</v>
      </c>
      <c r="I429" s="342" t="s">
        <v>5022</v>
      </c>
      <c r="J429" s="342" t="s">
        <v>3626</v>
      </c>
      <c r="K429" s="343">
        <v>45291</v>
      </c>
      <c r="L429" s="342" t="s">
        <v>3627</v>
      </c>
      <c r="P429" s="342" t="s">
        <v>3628</v>
      </c>
      <c r="Q429" s="343">
        <v>44926</v>
      </c>
      <c r="X429" s="342" t="s">
        <v>1873</v>
      </c>
    </row>
    <row r="430" spans="1:38">
      <c r="A430" s="342">
        <v>328371</v>
      </c>
      <c r="B430" s="342" t="s">
        <v>4834</v>
      </c>
      <c r="C430" s="342" t="s">
        <v>4837</v>
      </c>
      <c r="D430" s="342" t="s">
        <v>4838</v>
      </c>
      <c r="E430" s="342" t="s">
        <v>591</v>
      </c>
      <c r="F430" s="342" t="s">
        <v>41</v>
      </c>
      <c r="G430" s="342" t="s">
        <v>786</v>
      </c>
      <c r="H430" s="342" t="s">
        <v>5218</v>
      </c>
      <c r="I430" s="342" t="s">
        <v>4871</v>
      </c>
      <c r="J430" s="342" t="s">
        <v>4842</v>
      </c>
      <c r="L430" s="342" t="s">
        <v>4843</v>
      </c>
      <c r="M430" s="343">
        <v>45230</v>
      </c>
      <c r="N430" s="342" t="s">
        <v>4873</v>
      </c>
      <c r="O430" s="343">
        <v>45262</v>
      </c>
      <c r="X430" s="342" t="s">
        <v>4872</v>
      </c>
    </row>
    <row r="431" spans="1:38">
      <c r="A431" s="342">
        <v>329009</v>
      </c>
      <c r="B431" s="342" t="s">
        <v>4227</v>
      </c>
      <c r="C431" s="342" t="s">
        <v>4229</v>
      </c>
      <c r="D431" s="342" t="s">
        <v>51</v>
      </c>
      <c r="E431" s="342" t="s">
        <v>591</v>
      </c>
      <c r="F431" s="342" t="s">
        <v>40</v>
      </c>
      <c r="G431" s="342" t="s">
        <v>1510</v>
      </c>
      <c r="H431" s="342" t="s">
        <v>1233</v>
      </c>
      <c r="I431" s="342" t="s">
        <v>4246</v>
      </c>
      <c r="J431" s="342" t="s">
        <v>4237</v>
      </c>
      <c r="K431" s="343">
        <v>44774</v>
      </c>
      <c r="L431" s="342" t="s">
        <v>4238</v>
      </c>
      <c r="X431" s="342" t="s">
        <v>4235</v>
      </c>
    </row>
    <row r="432" spans="1:38">
      <c r="A432" s="342">
        <v>329026</v>
      </c>
      <c r="B432" s="342" t="s">
        <v>4199</v>
      </c>
      <c r="C432" s="342" t="s">
        <v>4200</v>
      </c>
      <c r="D432" s="342" t="s">
        <v>126</v>
      </c>
      <c r="E432" s="342" t="s">
        <v>591</v>
      </c>
      <c r="F432" s="342" t="s">
        <v>40</v>
      </c>
      <c r="G432" s="342" t="s">
        <v>5282</v>
      </c>
      <c r="H432" s="342" t="s">
        <v>1402</v>
      </c>
      <c r="I432" s="342" t="s">
        <v>4318</v>
      </c>
      <c r="J432" s="342" t="s">
        <v>4320</v>
      </c>
      <c r="X432" s="342" t="s">
        <v>4205</v>
      </c>
    </row>
    <row r="433" spans="1:24">
      <c r="A433" s="342">
        <v>329157</v>
      </c>
      <c r="B433" s="342" t="s">
        <v>4258</v>
      </c>
      <c r="C433" s="342" t="s">
        <v>4259</v>
      </c>
      <c r="D433" s="342" t="s">
        <v>51</v>
      </c>
      <c r="E433" s="342" t="s">
        <v>591</v>
      </c>
      <c r="F433" s="342" t="s">
        <v>40</v>
      </c>
      <c r="G433" s="342" t="s">
        <v>1288</v>
      </c>
      <c r="H433" s="342" t="s">
        <v>1402</v>
      </c>
      <c r="I433" s="342" t="s">
        <v>5682</v>
      </c>
      <c r="J433" s="342" t="s">
        <v>4321</v>
      </c>
      <c r="K433" s="343">
        <v>44956</v>
      </c>
      <c r="L433" s="342" t="s">
        <v>4269</v>
      </c>
      <c r="P433" s="342" t="s">
        <v>4286</v>
      </c>
      <c r="Q433" s="343">
        <v>44926</v>
      </c>
      <c r="X433" s="342" t="s">
        <v>4319</v>
      </c>
    </row>
    <row r="434" spans="1:24">
      <c r="A434" s="342">
        <v>329161</v>
      </c>
      <c r="B434" s="342" t="s">
        <v>4260</v>
      </c>
      <c r="C434" s="342" t="s">
        <v>4262</v>
      </c>
      <c r="D434" s="342" t="s">
        <v>98</v>
      </c>
      <c r="E434" s="342" t="s">
        <v>591</v>
      </c>
      <c r="F434" s="342" t="s">
        <v>40</v>
      </c>
      <c r="G434" s="342" t="s">
        <v>5283</v>
      </c>
      <c r="H434" s="342" t="s">
        <v>1233</v>
      </c>
      <c r="I434" s="342" t="s">
        <v>5241</v>
      </c>
      <c r="J434" s="342" t="s">
        <v>4287</v>
      </c>
      <c r="L434" s="342" t="s">
        <v>4288</v>
      </c>
      <c r="M434" s="343">
        <v>45351</v>
      </c>
      <c r="N434" s="342" t="s">
        <v>4289</v>
      </c>
      <c r="X434" s="342" t="s">
        <v>4282</v>
      </c>
    </row>
    <row r="435" spans="1:24">
      <c r="A435" s="342">
        <v>329207</v>
      </c>
      <c r="B435" s="342" t="s">
        <v>5109</v>
      </c>
      <c r="C435" s="342" t="s">
        <v>5110</v>
      </c>
      <c r="D435" s="342" t="s">
        <v>55</v>
      </c>
      <c r="E435" s="342" t="s">
        <v>591</v>
      </c>
      <c r="F435" s="342" t="s">
        <v>40</v>
      </c>
      <c r="G435" s="342" t="s">
        <v>1277</v>
      </c>
      <c r="H435" s="342" t="s">
        <v>1402</v>
      </c>
      <c r="I435" s="342" t="s">
        <v>5128</v>
      </c>
      <c r="J435" s="342" t="s">
        <v>5046</v>
      </c>
      <c r="L435" s="342" t="s">
        <v>5132</v>
      </c>
      <c r="M435" s="343">
        <v>45016</v>
      </c>
      <c r="X435" s="342" t="s">
        <v>5130</v>
      </c>
    </row>
    <row r="436" spans="1:24">
      <c r="A436" s="342">
        <v>329276</v>
      </c>
      <c r="B436" s="342" t="s">
        <v>4298</v>
      </c>
      <c r="C436" s="342" t="s">
        <v>4299</v>
      </c>
      <c r="D436" s="342" t="s">
        <v>175</v>
      </c>
      <c r="E436" s="342" t="s">
        <v>591</v>
      </c>
      <c r="F436" s="342" t="s">
        <v>40</v>
      </c>
      <c r="G436" s="342" t="s">
        <v>1288</v>
      </c>
      <c r="H436" s="342" t="s">
        <v>1233</v>
      </c>
      <c r="I436" s="342" t="s">
        <v>4801</v>
      </c>
      <c r="J436" s="342" t="s">
        <v>4304</v>
      </c>
      <c r="L436" s="342" t="s">
        <v>4305</v>
      </c>
      <c r="M436" s="343">
        <v>44865</v>
      </c>
      <c r="P436" s="342" t="s">
        <v>4306</v>
      </c>
      <c r="X436" s="342" t="s">
        <v>4303</v>
      </c>
    </row>
    <row r="437" spans="1:24">
      <c r="A437" s="342">
        <v>329752</v>
      </c>
      <c r="B437" s="342" t="s">
        <v>2141</v>
      </c>
      <c r="C437" s="342" t="s">
        <v>140</v>
      </c>
      <c r="D437" s="342" t="s">
        <v>45</v>
      </c>
      <c r="E437" s="342" t="s">
        <v>591</v>
      </c>
      <c r="F437" s="342" t="s">
        <v>40</v>
      </c>
      <c r="G437" s="342" t="s">
        <v>5283</v>
      </c>
      <c r="H437" s="342" t="s">
        <v>1233</v>
      </c>
      <c r="I437" s="342" t="s">
        <v>5173</v>
      </c>
      <c r="J437" s="342" t="s">
        <v>4516</v>
      </c>
      <c r="L437" s="342" t="s">
        <v>2700</v>
      </c>
      <c r="M437" s="343">
        <v>45351</v>
      </c>
      <c r="P437" s="342" t="s">
        <v>2701</v>
      </c>
      <c r="Q437" s="343">
        <v>44926</v>
      </c>
      <c r="X437" s="342" t="s">
        <v>4513</v>
      </c>
    </row>
    <row r="438" spans="1:24">
      <c r="A438" s="342">
        <v>330147</v>
      </c>
      <c r="B438" s="342" t="s">
        <v>4478</v>
      </c>
      <c r="C438" s="342" t="s">
        <v>1426</v>
      </c>
      <c r="D438" s="342" t="s">
        <v>175</v>
      </c>
      <c r="E438" s="342" t="s">
        <v>591</v>
      </c>
      <c r="F438" s="342" t="s">
        <v>40</v>
      </c>
      <c r="G438" s="342" t="s">
        <v>1510</v>
      </c>
      <c r="H438" s="342" t="s">
        <v>1402</v>
      </c>
      <c r="I438" s="342" t="s">
        <v>4790</v>
      </c>
      <c r="J438" s="342" t="s">
        <v>4491</v>
      </c>
      <c r="L438" s="342" t="s">
        <v>4492</v>
      </c>
      <c r="M438" s="343">
        <v>44865</v>
      </c>
      <c r="P438" s="342" t="s">
        <v>4493</v>
      </c>
      <c r="X438" s="342" t="s">
        <v>4485</v>
      </c>
    </row>
    <row r="439" spans="1:24">
      <c r="A439" s="342">
        <v>330169</v>
      </c>
      <c r="B439" s="342" t="s">
        <v>4508</v>
      </c>
      <c r="C439" s="342" t="s">
        <v>578</v>
      </c>
      <c r="D439" s="342" t="s">
        <v>452</v>
      </c>
      <c r="E439" s="342" t="s">
        <v>591</v>
      </c>
      <c r="F439" s="342" t="s">
        <v>40</v>
      </c>
      <c r="G439" s="342" t="s">
        <v>1510</v>
      </c>
      <c r="I439" s="342" t="s">
        <v>5628</v>
      </c>
      <c r="J439" s="342" t="s">
        <v>4517</v>
      </c>
      <c r="L439" s="342" t="s">
        <v>4518</v>
      </c>
      <c r="M439" s="343">
        <v>44804</v>
      </c>
      <c r="P439" s="342" t="s">
        <v>4519</v>
      </c>
      <c r="Q439" s="343">
        <v>44926</v>
      </c>
      <c r="X439" s="342" t="s">
        <v>4514</v>
      </c>
    </row>
    <row r="440" spans="1:24">
      <c r="A440" s="342">
        <v>330194</v>
      </c>
      <c r="B440" s="342" t="s">
        <v>4524</v>
      </c>
      <c r="C440" s="342" t="s">
        <v>4527</v>
      </c>
      <c r="D440" s="342" t="s">
        <v>107</v>
      </c>
      <c r="E440" s="342" t="s">
        <v>591</v>
      </c>
      <c r="F440" s="342" t="s">
        <v>40</v>
      </c>
      <c r="G440" s="342" t="s">
        <v>5280</v>
      </c>
      <c r="H440" s="342" t="s">
        <v>1233</v>
      </c>
      <c r="I440" s="342" t="s">
        <v>5367</v>
      </c>
      <c r="J440" s="342" t="s">
        <v>5371</v>
      </c>
      <c r="N440" s="342" t="s">
        <v>4684</v>
      </c>
      <c r="P440" s="342" t="s">
        <v>4531</v>
      </c>
      <c r="Q440" s="343">
        <v>45291</v>
      </c>
      <c r="X440" s="342" t="s">
        <v>5369</v>
      </c>
    </row>
    <row r="441" spans="1:24">
      <c r="A441" s="342">
        <v>330529</v>
      </c>
      <c r="B441" s="342" t="s">
        <v>5324</v>
      </c>
      <c r="C441" s="342" t="s">
        <v>302</v>
      </c>
      <c r="D441" s="342" t="s">
        <v>549</v>
      </c>
      <c r="E441" s="342" t="s">
        <v>591</v>
      </c>
      <c r="F441" s="342" t="s">
        <v>1114</v>
      </c>
      <c r="G441" s="342" t="s">
        <v>4608</v>
      </c>
      <c r="H441" s="342" t="s">
        <v>1402</v>
      </c>
    </row>
    <row r="442" spans="1:24">
      <c r="A442" s="342">
        <v>330761</v>
      </c>
      <c r="B442" s="342" t="s">
        <v>5899</v>
      </c>
      <c r="C442" s="342" t="s">
        <v>336</v>
      </c>
      <c r="D442" s="342" t="s">
        <v>337</v>
      </c>
      <c r="E442" s="342" t="s">
        <v>591</v>
      </c>
      <c r="F442" s="342" t="s">
        <v>40</v>
      </c>
      <c r="G442" s="342" t="s">
        <v>5283</v>
      </c>
      <c r="H442" s="342" t="s">
        <v>1402</v>
      </c>
      <c r="I442" s="342" t="s">
        <v>5908</v>
      </c>
      <c r="J442" s="342" t="s">
        <v>5913</v>
      </c>
      <c r="L442" s="342" t="s">
        <v>5914</v>
      </c>
      <c r="M442" s="343">
        <v>45169</v>
      </c>
      <c r="P442" s="342" t="s">
        <v>5915</v>
      </c>
      <c r="Q442" s="343">
        <v>45291</v>
      </c>
      <c r="R442" s="342" t="s">
        <v>5916</v>
      </c>
      <c r="S442" s="343">
        <v>45107</v>
      </c>
      <c r="X442" s="342" t="s">
        <v>5910</v>
      </c>
    </row>
    <row r="443" spans="1:24">
      <c r="A443" s="342">
        <v>330802</v>
      </c>
      <c r="B443" s="342" t="s">
        <v>5170</v>
      </c>
      <c r="C443" s="342" t="s">
        <v>68</v>
      </c>
      <c r="D443" s="342" t="s">
        <v>47</v>
      </c>
      <c r="E443" s="342" t="s">
        <v>591</v>
      </c>
      <c r="F443" s="342" t="s">
        <v>40</v>
      </c>
      <c r="G443" s="342" t="s">
        <v>1510</v>
      </c>
      <c r="H443" s="342" t="s">
        <v>5218</v>
      </c>
      <c r="I443" s="342" t="s">
        <v>5573</v>
      </c>
      <c r="J443" s="342" t="s">
        <v>2650</v>
      </c>
      <c r="L443" s="342" t="s">
        <v>2651</v>
      </c>
      <c r="M443" s="343">
        <v>45322</v>
      </c>
      <c r="N443" s="342" t="s">
        <v>5175</v>
      </c>
      <c r="P443" s="342" t="s">
        <v>2652</v>
      </c>
      <c r="Q443" s="343">
        <v>44926</v>
      </c>
      <c r="X443" s="342" t="s">
        <v>5174</v>
      </c>
    </row>
    <row r="444" spans="1:24">
      <c r="A444" s="342">
        <v>331014</v>
      </c>
      <c r="B444" s="342" t="s">
        <v>4609</v>
      </c>
      <c r="C444" s="342" t="s">
        <v>493</v>
      </c>
      <c r="D444" s="342" t="s">
        <v>51</v>
      </c>
      <c r="E444" s="342" t="s">
        <v>591</v>
      </c>
      <c r="F444" s="342" t="s">
        <v>1100</v>
      </c>
      <c r="G444" s="342" t="s">
        <v>1421</v>
      </c>
      <c r="H444" s="342" t="s">
        <v>1402</v>
      </c>
    </row>
    <row r="445" spans="1:24">
      <c r="A445" s="342">
        <v>331544</v>
      </c>
      <c r="B445" s="342" t="s">
        <v>5364</v>
      </c>
      <c r="C445" s="342" t="s">
        <v>336</v>
      </c>
      <c r="D445" s="342" t="s">
        <v>337</v>
      </c>
      <c r="E445" s="342" t="s">
        <v>591</v>
      </c>
      <c r="F445" s="342" t="s">
        <v>40</v>
      </c>
      <c r="G445" s="342" t="s">
        <v>5281</v>
      </c>
      <c r="H445" s="342" t="s">
        <v>1233</v>
      </c>
      <c r="I445" s="342" t="s">
        <v>5368</v>
      </c>
      <c r="J445" s="342" t="s">
        <v>5372</v>
      </c>
      <c r="L445" s="342" t="s">
        <v>5373</v>
      </c>
      <c r="M445" s="343">
        <v>44895</v>
      </c>
      <c r="R445" s="342" t="s">
        <v>5374</v>
      </c>
      <c r="S445" s="343">
        <v>44804</v>
      </c>
      <c r="X445" s="342" t="s">
        <v>5370</v>
      </c>
    </row>
    <row r="446" spans="1:24">
      <c r="A446" s="342">
        <v>332214</v>
      </c>
      <c r="B446" s="342" t="s">
        <v>4973</v>
      </c>
      <c r="C446" s="342" t="s">
        <v>4975</v>
      </c>
      <c r="D446" s="342" t="s">
        <v>4976</v>
      </c>
      <c r="E446" s="342" t="s">
        <v>591</v>
      </c>
      <c r="F446" s="342" t="s">
        <v>40</v>
      </c>
      <c r="G446" s="342" t="s">
        <v>1421</v>
      </c>
      <c r="H446" s="342" t="s">
        <v>1233</v>
      </c>
    </row>
    <row r="447" spans="1:24">
      <c r="A447" s="342">
        <v>332224</v>
      </c>
      <c r="B447" s="342" t="s">
        <v>5431</v>
      </c>
      <c r="C447" s="342" t="s">
        <v>918</v>
      </c>
      <c r="D447" s="342" t="s">
        <v>51</v>
      </c>
      <c r="E447" s="342" t="s">
        <v>591</v>
      </c>
      <c r="F447" s="342" t="s">
        <v>1114</v>
      </c>
      <c r="G447" s="342" t="s">
        <v>4608</v>
      </c>
      <c r="H447" s="342" t="s">
        <v>1402</v>
      </c>
    </row>
    <row r="448" spans="1:24">
      <c r="A448" s="342">
        <v>332230</v>
      </c>
      <c r="B448" s="342" t="s">
        <v>5590</v>
      </c>
      <c r="C448" s="342" t="s">
        <v>5593</v>
      </c>
      <c r="D448" s="342" t="s">
        <v>97</v>
      </c>
      <c r="E448" s="342" t="s">
        <v>591</v>
      </c>
      <c r="F448" s="342" t="s">
        <v>1114</v>
      </c>
      <c r="G448" s="342" t="s">
        <v>1288</v>
      </c>
      <c r="H448" s="342" t="s">
        <v>1402</v>
      </c>
    </row>
    <row r="449" spans="1:35">
      <c r="A449" s="342">
        <v>332422</v>
      </c>
      <c r="B449" s="342" t="s">
        <v>5595</v>
      </c>
      <c r="C449" s="342" t="s">
        <v>5597</v>
      </c>
      <c r="D449" s="342" t="s">
        <v>51</v>
      </c>
      <c r="E449" s="342" t="s">
        <v>591</v>
      </c>
      <c r="F449" s="342" t="s">
        <v>1114</v>
      </c>
      <c r="G449" s="342" t="s">
        <v>1288</v>
      </c>
      <c r="H449" s="342" t="s">
        <v>1402</v>
      </c>
    </row>
    <row r="450" spans="1:35">
      <c r="A450" s="342">
        <v>332469</v>
      </c>
      <c r="B450" s="342" t="s">
        <v>5452</v>
      </c>
      <c r="C450" s="342" t="s">
        <v>1589</v>
      </c>
      <c r="D450" s="342" t="s">
        <v>45</v>
      </c>
      <c r="E450" s="342" t="s">
        <v>591</v>
      </c>
      <c r="F450" s="342" t="s">
        <v>41</v>
      </c>
      <c r="G450" s="342" t="s">
        <v>1510</v>
      </c>
      <c r="H450" s="342" t="s">
        <v>1233</v>
      </c>
      <c r="I450" s="342" t="s">
        <v>5470</v>
      </c>
      <c r="J450" s="342" t="s">
        <v>5487</v>
      </c>
      <c r="N450" s="342" t="s">
        <v>5488</v>
      </c>
      <c r="X450" s="342" t="s">
        <v>5478</v>
      </c>
    </row>
    <row r="451" spans="1:35">
      <c r="A451" s="342">
        <v>332667</v>
      </c>
      <c r="B451" s="342" t="s">
        <v>5390</v>
      </c>
      <c r="C451" s="342" t="s">
        <v>5392</v>
      </c>
      <c r="D451" s="342" t="s">
        <v>47</v>
      </c>
      <c r="E451" s="342" t="s">
        <v>591</v>
      </c>
      <c r="F451" s="342" t="s">
        <v>1100</v>
      </c>
      <c r="G451" s="342" t="s">
        <v>4638</v>
      </c>
      <c r="H451" s="342" t="s">
        <v>1402</v>
      </c>
      <c r="I451" s="342" t="s">
        <v>5394</v>
      </c>
      <c r="Y451" s="342" t="s">
        <v>5398</v>
      </c>
      <c r="AI451" s="342" t="s">
        <v>5396</v>
      </c>
    </row>
    <row r="452" spans="1:35">
      <c r="A452" s="342">
        <v>333368</v>
      </c>
      <c r="B452" s="342" t="s">
        <v>5540</v>
      </c>
      <c r="C452" s="342" t="s">
        <v>5542</v>
      </c>
      <c r="D452" s="342" t="s">
        <v>47</v>
      </c>
      <c r="E452" s="342" t="s">
        <v>591</v>
      </c>
      <c r="F452" s="342" t="s">
        <v>737</v>
      </c>
      <c r="G452" s="342" t="s">
        <v>5280</v>
      </c>
      <c r="H452" s="342" t="s">
        <v>1402</v>
      </c>
      <c r="I452" s="342" t="s">
        <v>5629</v>
      </c>
      <c r="J452" s="342" t="s">
        <v>3043</v>
      </c>
      <c r="L452" s="342" t="s">
        <v>3044</v>
      </c>
      <c r="M452" s="343">
        <v>44865</v>
      </c>
      <c r="N452" s="342" t="s">
        <v>3045</v>
      </c>
      <c r="P452" s="342" t="s">
        <v>3046</v>
      </c>
      <c r="Q452" s="343">
        <v>44926</v>
      </c>
      <c r="X452" s="342" t="s">
        <v>5575</v>
      </c>
    </row>
    <row r="453" spans="1:35">
      <c r="A453" s="342">
        <v>333461</v>
      </c>
      <c r="B453" s="342" t="s">
        <v>5599</v>
      </c>
      <c r="C453" s="342" t="s">
        <v>5601</v>
      </c>
      <c r="D453" s="342" t="s">
        <v>51</v>
      </c>
      <c r="E453" s="342" t="s">
        <v>591</v>
      </c>
      <c r="F453" s="342" t="s">
        <v>40</v>
      </c>
      <c r="G453" s="342" t="s">
        <v>5281</v>
      </c>
      <c r="H453" s="342" t="s">
        <v>1233</v>
      </c>
      <c r="I453" s="342" t="s">
        <v>5630</v>
      </c>
      <c r="J453" s="342" t="s">
        <v>5633</v>
      </c>
      <c r="K453" s="343">
        <v>45473</v>
      </c>
      <c r="L453" s="342" t="s">
        <v>5634</v>
      </c>
      <c r="X453" s="342" t="s">
        <v>5631</v>
      </c>
    </row>
    <row r="454" spans="1:35">
      <c r="A454" s="342">
        <v>333465</v>
      </c>
      <c r="B454" s="342" t="s">
        <v>5602</v>
      </c>
      <c r="C454" s="342" t="s">
        <v>195</v>
      </c>
      <c r="D454" s="342" t="s">
        <v>51</v>
      </c>
      <c r="E454" s="342" t="s">
        <v>591</v>
      </c>
      <c r="F454" s="342" t="s">
        <v>40</v>
      </c>
      <c r="G454" s="342" t="s">
        <v>5281</v>
      </c>
      <c r="H454" s="342" t="s">
        <v>1233</v>
      </c>
      <c r="I454" s="342" t="s">
        <v>5683</v>
      </c>
      <c r="J454" s="342" t="s">
        <v>5635</v>
      </c>
      <c r="K454" s="343">
        <v>45504</v>
      </c>
      <c r="L454" s="342" t="s">
        <v>5636</v>
      </c>
      <c r="P454" s="342" t="s">
        <v>5637</v>
      </c>
      <c r="Q454" s="343">
        <v>44926</v>
      </c>
      <c r="X454" s="342" t="s">
        <v>5632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4"/>
  <sheetViews>
    <sheetView topLeftCell="A22" workbookViewId="0">
      <selection activeCell="A24" sqref="A24:XFD24"/>
    </sheetView>
  </sheetViews>
  <sheetFormatPr baseColWidth="10" defaultRowHeight="14"/>
  <cols>
    <col min="1" max="1" width="12.08984375" style="342" customWidth="1"/>
    <col min="2" max="2" width="31.81640625" style="342" customWidth="1"/>
    <col min="3" max="3" width="28.08984375" style="342" customWidth="1"/>
    <col min="4" max="4" width="19.6328125" style="342" customWidth="1"/>
    <col min="5" max="5" width="14.90625" style="342" customWidth="1"/>
    <col min="6" max="6" width="46.08984375" style="342" customWidth="1"/>
    <col min="7" max="7" width="23.453125" style="342" customWidth="1"/>
    <col min="8" max="8" width="53.08984375" style="342" customWidth="1"/>
    <col min="9" max="9" width="23.81640625" style="342" customWidth="1"/>
    <col min="10" max="12" width="16.36328125" style="342" customWidth="1"/>
    <col min="13" max="14" width="18.90625" style="342" customWidth="1"/>
    <col min="15" max="15" width="30.1796875" style="342" customWidth="1"/>
    <col min="16" max="16384" width="10.90625" style="342"/>
  </cols>
  <sheetData>
    <row r="1" spans="1:15" s="316" customFormat="1" ht="31">
      <c r="A1" s="256" t="s">
        <v>38</v>
      </c>
      <c r="B1" s="256" t="s">
        <v>15</v>
      </c>
      <c r="C1" s="256" t="s">
        <v>16</v>
      </c>
      <c r="D1" s="256" t="s">
        <v>17</v>
      </c>
      <c r="E1" s="256" t="s">
        <v>37</v>
      </c>
      <c r="F1" s="313" t="s">
        <v>18</v>
      </c>
      <c r="G1" s="258" t="s">
        <v>19</v>
      </c>
      <c r="H1" s="257" t="s">
        <v>35</v>
      </c>
      <c r="I1" s="257" t="s">
        <v>1521</v>
      </c>
      <c r="J1" s="259" t="s">
        <v>3630</v>
      </c>
      <c r="K1" s="313" t="s">
        <v>3631</v>
      </c>
      <c r="L1" s="313" t="s">
        <v>3632</v>
      </c>
      <c r="M1" s="314" t="s">
        <v>4034</v>
      </c>
      <c r="N1" s="314" t="s">
        <v>4035</v>
      </c>
      <c r="O1" s="315" t="s">
        <v>4036</v>
      </c>
    </row>
    <row r="2" spans="1:15" s="316" customFormat="1" ht="59.15" customHeight="1">
      <c r="A2" s="414">
        <v>333461</v>
      </c>
      <c r="B2" s="320" t="s">
        <v>5599</v>
      </c>
      <c r="C2" s="320" t="s">
        <v>5601</v>
      </c>
      <c r="D2" s="320" t="s">
        <v>51</v>
      </c>
      <c r="E2" s="319" t="s">
        <v>591</v>
      </c>
      <c r="F2" s="320" t="s">
        <v>40</v>
      </c>
      <c r="G2" s="320" t="s">
        <v>5281</v>
      </c>
      <c r="H2" s="321" t="s">
        <v>5641</v>
      </c>
      <c r="I2" s="322" t="s">
        <v>4352</v>
      </c>
      <c r="J2" s="319"/>
      <c r="K2" s="323"/>
      <c r="L2" s="413">
        <v>44775</v>
      </c>
      <c r="M2" s="320"/>
      <c r="N2" s="320"/>
      <c r="O2" s="320"/>
    </row>
    <row r="3" spans="1:15" s="316" customFormat="1" ht="59.15" customHeight="1">
      <c r="A3" s="414">
        <v>228866</v>
      </c>
      <c r="B3" s="320" t="s">
        <v>1262</v>
      </c>
      <c r="C3" s="320" t="s">
        <v>417</v>
      </c>
      <c r="D3" s="320" t="s">
        <v>51</v>
      </c>
      <c r="E3" s="319" t="s">
        <v>591</v>
      </c>
      <c r="F3" s="320" t="s">
        <v>737</v>
      </c>
      <c r="G3" s="320" t="s">
        <v>5282</v>
      </c>
      <c r="H3" s="321" t="s">
        <v>5789</v>
      </c>
      <c r="I3" s="322" t="s">
        <v>4350</v>
      </c>
      <c r="J3" s="319"/>
      <c r="K3" s="323"/>
      <c r="L3" s="413">
        <v>44777</v>
      </c>
      <c r="M3" s="320"/>
      <c r="N3" s="320"/>
      <c r="O3" s="320"/>
    </row>
    <row r="4" spans="1:15" s="316" customFormat="1" ht="59.15" customHeight="1">
      <c r="A4" s="414">
        <v>201000</v>
      </c>
      <c r="B4" s="320" t="s">
        <v>354</v>
      </c>
      <c r="C4" s="320" t="s">
        <v>356</v>
      </c>
      <c r="D4" s="320" t="s">
        <v>51</v>
      </c>
      <c r="E4" s="319" t="s">
        <v>591</v>
      </c>
      <c r="F4" s="320" t="s">
        <v>40</v>
      </c>
      <c r="G4" s="320" t="s">
        <v>5279</v>
      </c>
      <c r="H4" s="321" t="s">
        <v>5771</v>
      </c>
      <c r="I4" s="322" t="s">
        <v>4350</v>
      </c>
      <c r="J4" s="319"/>
      <c r="K4" s="323"/>
      <c r="L4" s="413">
        <v>44781</v>
      </c>
      <c r="M4" s="412" t="s">
        <v>5965</v>
      </c>
      <c r="N4" s="320"/>
      <c r="O4" s="320"/>
    </row>
    <row r="5" spans="1:15" s="316" customFormat="1" ht="59.15" customHeight="1">
      <c r="A5" s="414">
        <v>187949</v>
      </c>
      <c r="B5" s="320" t="s">
        <v>306</v>
      </c>
      <c r="C5" s="320" t="s">
        <v>308</v>
      </c>
      <c r="D5" s="320" t="s">
        <v>55</v>
      </c>
      <c r="E5" s="319" t="s">
        <v>591</v>
      </c>
      <c r="F5" s="320" t="s">
        <v>40</v>
      </c>
      <c r="G5" s="320" t="s">
        <v>1510</v>
      </c>
      <c r="H5" s="321" t="s">
        <v>4922</v>
      </c>
      <c r="I5" s="322" t="s">
        <v>4351</v>
      </c>
      <c r="J5" s="319"/>
      <c r="K5" s="323"/>
      <c r="L5" s="413">
        <v>44785</v>
      </c>
      <c r="M5" s="320"/>
      <c r="N5" s="320"/>
      <c r="O5" s="320"/>
    </row>
    <row r="6" spans="1:15" s="316" customFormat="1" ht="59.15" customHeight="1">
      <c r="A6" s="414">
        <v>164998</v>
      </c>
      <c r="B6" s="320" t="s">
        <v>193</v>
      </c>
      <c r="C6" s="320" t="s">
        <v>195</v>
      </c>
      <c r="D6" s="320" t="s">
        <v>51</v>
      </c>
      <c r="E6" s="319" t="s">
        <v>591</v>
      </c>
      <c r="F6" s="320" t="s">
        <v>40</v>
      </c>
      <c r="G6" s="320" t="s">
        <v>5282</v>
      </c>
      <c r="H6" s="321" t="s">
        <v>5726</v>
      </c>
      <c r="I6" s="322" t="s">
        <v>4352</v>
      </c>
      <c r="J6" s="319"/>
      <c r="K6" s="323"/>
      <c r="L6" s="413">
        <v>44796</v>
      </c>
      <c r="M6" s="320"/>
      <c r="N6" s="320"/>
      <c r="O6" s="320"/>
    </row>
    <row r="7" spans="1:15" s="316" customFormat="1" ht="59.15" customHeight="1">
      <c r="A7" s="414">
        <v>294096</v>
      </c>
      <c r="B7" s="320" t="s">
        <v>989</v>
      </c>
      <c r="C7" s="320" t="s">
        <v>991</v>
      </c>
      <c r="D7" s="320" t="s">
        <v>381</v>
      </c>
      <c r="E7" s="319" t="s">
        <v>591</v>
      </c>
      <c r="F7" s="320" t="s">
        <v>41</v>
      </c>
      <c r="G7" s="320" t="s">
        <v>786</v>
      </c>
      <c r="H7" s="321" t="s">
        <v>1554</v>
      </c>
      <c r="I7" s="322" t="s">
        <v>4352</v>
      </c>
      <c r="J7" s="319"/>
      <c r="K7" s="323"/>
      <c r="L7" s="413">
        <v>44798</v>
      </c>
      <c r="M7" s="320"/>
      <c r="N7" s="320"/>
      <c r="O7" s="320"/>
    </row>
    <row r="8" spans="1:15" s="316" customFormat="1" ht="59.15" customHeight="1">
      <c r="A8" s="414">
        <v>305015</v>
      </c>
      <c r="B8" s="320" t="s">
        <v>4553</v>
      </c>
      <c r="C8" s="320" t="s">
        <v>4538</v>
      </c>
      <c r="D8" s="320" t="s">
        <v>51</v>
      </c>
      <c r="E8" s="319" t="s">
        <v>591</v>
      </c>
      <c r="F8" s="320" t="s">
        <v>737</v>
      </c>
      <c r="G8" s="320" t="s">
        <v>5280</v>
      </c>
      <c r="H8" s="321" t="s">
        <v>4719</v>
      </c>
      <c r="I8" s="322" t="s">
        <v>4350</v>
      </c>
      <c r="J8" s="319"/>
      <c r="K8" s="323"/>
      <c r="L8" s="413">
        <v>44800</v>
      </c>
      <c r="M8" s="320"/>
      <c r="N8" s="320"/>
      <c r="O8" s="320"/>
    </row>
    <row r="9" spans="1:15" s="316" customFormat="1" ht="59.15" customHeight="1">
      <c r="A9" s="414">
        <v>137256</v>
      </c>
      <c r="B9" s="320" t="s">
        <v>83</v>
      </c>
      <c r="C9" s="320" t="s">
        <v>86</v>
      </c>
      <c r="D9" s="320" t="s">
        <v>51</v>
      </c>
      <c r="E9" s="319" t="s">
        <v>591</v>
      </c>
      <c r="F9" s="320" t="s">
        <v>40</v>
      </c>
      <c r="G9" s="320" t="s">
        <v>1421</v>
      </c>
      <c r="H9" s="321" t="s">
        <v>1534</v>
      </c>
      <c r="I9" s="322" t="s">
        <v>4350</v>
      </c>
      <c r="J9" s="319"/>
      <c r="K9" s="323"/>
      <c r="L9" s="413">
        <v>44807</v>
      </c>
      <c r="M9" s="320"/>
      <c r="N9" s="320"/>
      <c r="O9" s="320"/>
    </row>
    <row r="10" spans="1:15" s="316" customFormat="1" ht="59.15" customHeight="1">
      <c r="A10" s="414">
        <v>296322</v>
      </c>
      <c r="B10" s="320" t="s">
        <v>994</v>
      </c>
      <c r="C10" s="320" t="s">
        <v>336</v>
      </c>
      <c r="D10" s="320" t="s">
        <v>337</v>
      </c>
      <c r="E10" s="319" t="s">
        <v>591</v>
      </c>
      <c r="F10" s="320" t="s">
        <v>40</v>
      </c>
      <c r="G10" s="320" t="s">
        <v>4608</v>
      </c>
      <c r="H10" s="321" t="s">
        <v>5823</v>
      </c>
      <c r="I10" s="322" t="s">
        <v>4352</v>
      </c>
      <c r="J10" s="319"/>
      <c r="K10" s="323"/>
      <c r="L10" s="413">
        <v>44808</v>
      </c>
      <c r="M10" s="320"/>
      <c r="N10" s="320"/>
      <c r="O10" s="320"/>
    </row>
    <row r="11" spans="1:15" s="316" customFormat="1" ht="59.15" customHeight="1">
      <c r="A11" s="414">
        <v>172671</v>
      </c>
      <c r="B11" s="320" t="s">
        <v>1308</v>
      </c>
      <c r="C11" s="320" t="s">
        <v>1310</v>
      </c>
      <c r="D11" s="320" t="s">
        <v>1311</v>
      </c>
      <c r="E11" s="319" t="s">
        <v>591</v>
      </c>
      <c r="F11" s="320" t="s">
        <v>41</v>
      </c>
      <c r="G11" s="320" t="s">
        <v>1421</v>
      </c>
      <c r="H11" s="321" t="s">
        <v>1540</v>
      </c>
      <c r="I11" s="322" t="s">
        <v>4604</v>
      </c>
      <c r="J11" s="319"/>
      <c r="K11" s="323"/>
      <c r="L11" s="413">
        <v>44809</v>
      </c>
      <c r="M11" s="320"/>
      <c r="N11" s="320"/>
      <c r="O11" s="320"/>
    </row>
    <row r="12" spans="1:15" s="316" customFormat="1" ht="59.15" customHeight="1">
      <c r="A12" s="414">
        <v>251933</v>
      </c>
      <c r="B12" s="320" t="s">
        <v>296</v>
      </c>
      <c r="C12" s="320" t="s">
        <v>295</v>
      </c>
      <c r="D12" s="320" t="s">
        <v>51</v>
      </c>
      <c r="E12" s="319" t="s">
        <v>591</v>
      </c>
      <c r="F12" s="320" t="s">
        <v>40</v>
      </c>
      <c r="G12" s="320" t="s">
        <v>5278</v>
      </c>
      <c r="H12" s="321" t="s">
        <v>5799</v>
      </c>
      <c r="I12" s="322" t="s">
        <v>4350</v>
      </c>
      <c r="J12" s="319"/>
      <c r="K12" s="323"/>
      <c r="L12" s="413">
        <v>44813</v>
      </c>
      <c r="M12" s="320"/>
      <c r="N12" s="320"/>
      <c r="O12" s="320"/>
    </row>
    <row r="13" spans="1:15" s="316" customFormat="1" ht="59.15" customHeight="1">
      <c r="A13" s="414">
        <v>287523</v>
      </c>
      <c r="B13" s="320" t="s">
        <v>506</v>
      </c>
      <c r="C13" s="320" t="s">
        <v>336</v>
      </c>
      <c r="D13" s="320" t="s">
        <v>337</v>
      </c>
      <c r="E13" s="319" t="s">
        <v>591</v>
      </c>
      <c r="F13" s="320" t="s">
        <v>40</v>
      </c>
      <c r="G13" s="320" t="s">
        <v>4608</v>
      </c>
      <c r="H13" s="321" t="s">
        <v>5088</v>
      </c>
      <c r="I13" s="322" t="s">
        <v>4352</v>
      </c>
      <c r="J13" s="319"/>
      <c r="K13" s="323"/>
      <c r="L13" s="413">
        <v>44813</v>
      </c>
      <c r="M13" s="320"/>
      <c r="N13" s="320"/>
      <c r="O13" s="320"/>
    </row>
    <row r="14" spans="1:15" s="316" customFormat="1" ht="59.15" customHeight="1">
      <c r="A14" s="414">
        <v>323416</v>
      </c>
      <c r="B14" s="320" t="s">
        <v>1333</v>
      </c>
      <c r="C14" s="320" t="s">
        <v>236</v>
      </c>
      <c r="D14" s="320" t="s">
        <v>51</v>
      </c>
      <c r="E14" s="319" t="s">
        <v>591</v>
      </c>
      <c r="F14" s="320" t="s">
        <v>40</v>
      </c>
      <c r="G14" s="320" t="s">
        <v>5282</v>
      </c>
      <c r="H14" s="321" t="s">
        <v>1566</v>
      </c>
      <c r="I14" s="322" t="s">
        <v>4350</v>
      </c>
      <c r="J14" s="319"/>
      <c r="K14" s="323"/>
      <c r="L14" s="413">
        <v>44818</v>
      </c>
      <c r="M14" s="320"/>
      <c r="N14" s="320"/>
      <c r="O14" s="320"/>
    </row>
    <row r="15" spans="1:15" s="316" customFormat="1" ht="59.15" customHeight="1">
      <c r="A15" s="414">
        <v>295609</v>
      </c>
      <c r="B15" s="320" t="s">
        <v>1312</v>
      </c>
      <c r="C15" s="320" t="s">
        <v>349</v>
      </c>
      <c r="D15" s="320" t="s">
        <v>47</v>
      </c>
      <c r="E15" s="319" t="s">
        <v>591</v>
      </c>
      <c r="F15" s="320" t="s">
        <v>40</v>
      </c>
      <c r="G15" s="320" t="s">
        <v>5449</v>
      </c>
      <c r="H15" s="321" t="s">
        <v>5822</v>
      </c>
      <c r="I15" s="322" t="s">
        <v>4351</v>
      </c>
      <c r="J15" s="319"/>
      <c r="K15" s="323"/>
      <c r="L15" s="413">
        <v>44822</v>
      </c>
      <c r="M15" s="320"/>
      <c r="N15" s="320"/>
      <c r="O15" s="320"/>
    </row>
    <row r="16" spans="1:15" s="316" customFormat="1" ht="59.15" customHeight="1">
      <c r="A16" s="414">
        <v>154780</v>
      </c>
      <c r="B16" s="320" t="s">
        <v>1495</v>
      </c>
      <c r="C16" s="320" t="s">
        <v>110</v>
      </c>
      <c r="D16" s="320" t="s">
        <v>51</v>
      </c>
      <c r="E16" s="319" t="s">
        <v>591</v>
      </c>
      <c r="F16" s="320" t="s">
        <v>40</v>
      </c>
      <c r="G16" s="320" t="s">
        <v>5280</v>
      </c>
      <c r="H16" s="321" t="s">
        <v>5712</v>
      </c>
      <c r="I16" s="322" t="s">
        <v>4350</v>
      </c>
      <c r="J16" s="319"/>
      <c r="K16" s="323"/>
      <c r="L16" s="413">
        <v>44832</v>
      </c>
      <c r="M16" s="320"/>
      <c r="N16" s="320"/>
      <c r="O16" s="320"/>
    </row>
    <row r="17" spans="1:15" s="316" customFormat="1" ht="59.15" customHeight="1">
      <c r="A17" s="414">
        <v>262821</v>
      </c>
      <c r="B17" s="320" t="s">
        <v>1497</v>
      </c>
      <c r="C17" s="320" t="s">
        <v>759</v>
      </c>
      <c r="D17" s="320" t="s">
        <v>51</v>
      </c>
      <c r="E17" s="319" t="s">
        <v>591</v>
      </c>
      <c r="F17" s="320" t="s">
        <v>40</v>
      </c>
      <c r="G17" s="320" t="s">
        <v>5449</v>
      </c>
      <c r="H17" s="321" t="s">
        <v>1546</v>
      </c>
      <c r="I17" s="322" t="s">
        <v>4604</v>
      </c>
      <c r="J17" s="319"/>
      <c r="K17" s="323"/>
      <c r="L17" s="323"/>
      <c r="M17" s="412" t="s">
        <v>5966</v>
      </c>
      <c r="N17" s="320"/>
      <c r="O17" s="320"/>
    </row>
    <row r="18" spans="1:15" s="316" customFormat="1" ht="59.15" customHeight="1">
      <c r="A18" s="414">
        <v>288404</v>
      </c>
      <c r="B18" s="320" t="s">
        <v>1497</v>
      </c>
      <c r="C18" s="320" t="s">
        <v>493</v>
      </c>
      <c r="D18" s="320" t="s">
        <v>51</v>
      </c>
      <c r="E18" s="319" t="s">
        <v>591</v>
      </c>
      <c r="F18" s="320" t="s">
        <v>40</v>
      </c>
      <c r="G18" s="320" t="s">
        <v>5449</v>
      </c>
      <c r="H18" s="321" t="s">
        <v>1546</v>
      </c>
      <c r="I18" s="322" t="s">
        <v>4604</v>
      </c>
      <c r="J18" s="319"/>
      <c r="K18" s="323"/>
      <c r="L18" s="323"/>
      <c r="M18" s="412" t="s">
        <v>5966</v>
      </c>
      <c r="N18" s="320"/>
      <c r="O18" s="320"/>
    </row>
    <row r="19" spans="1:15" s="316" customFormat="1" ht="59.15" customHeight="1">
      <c r="A19" s="414">
        <v>301127</v>
      </c>
      <c r="B19" s="320" t="s">
        <v>1411</v>
      </c>
      <c r="C19" s="320" t="s">
        <v>1080</v>
      </c>
      <c r="D19" s="320" t="s">
        <v>51</v>
      </c>
      <c r="E19" s="319" t="s">
        <v>591</v>
      </c>
      <c r="F19" s="320" t="s">
        <v>40</v>
      </c>
      <c r="G19" s="320" t="s">
        <v>5449</v>
      </c>
      <c r="H19" s="321" t="s">
        <v>5826</v>
      </c>
      <c r="I19" s="322" t="s">
        <v>4604</v>
      </c>
      <c r="J19" s="319"/>
      <c r="K19" s="323"/>
      <c r="L19" s="323"/>
      <c r="M19" s="412" t="s">
        <v>5966</v>
      </c>
      <c r="N19" s="320"/>
      <c r="O19" s="320"/>
    </row>
    <row r="20" spans="1:15" s="316" customFormat="1" ht="59.15" customHeight="1">
      <c r="A20" s="414">
        <v>219523</v>
      </c>
      <c r="B20" s="320" t="s">
        <v>1067</v>
      </c>
      <c r="C20" s="320" t="s">
        <v>394</v>
      </c>
      <c r="D20" s="320" t="s">
        <v>45</v>
      </c>
      <c r="E20" s="319" t="s">
        <v>591</v>
      </c>
      <c r="F20" s="320" t="s">
        <v>40</v>
      </c>
      <c r="G20" s="320" t="s">
        <v>1277</v>
      </c>
      <c r="H20" s="321" t="s">
        <v>5341</v>
      </c>
      <c r="I20" s="322" t="s">
        <v>4351</v>
      </c>
      <c r="J20" s="319"/>
      <c r="K20" s="323"/>
      <c r="L20" s="323"/>
      <c r="M20" s="412" t="s">
        <v>5513</v>
      </c>
      <c r="N20" s="320"/>
      <c r="O20" s="320"/>
    </row>
    <row r="21" spans="1:15" s="316" customFormat="1" ht="59.15" customHeight="1">
      <c r="A21" s="414">
        <v>273158</v>
      </c>
      <c r="B21" s="320" t="s">
        <v>466</v>
      </c>
      <c r="C21" s="320" t="s">
        <v>468</v>
      </c>
      <c r="D21" s="320" t="s">
        <v>51</v>
      </c>
      <c r="E21" s="319" t="s">
        <v>591</v>
      </c>
      <c r="F21" s="320" t="s">
        <v>40</v>
      </c>
      <c r="G21" s="320" t="s">
        <v>5282</v>
      </c>
      <c r="H21" s="321" t="s">
        <v>4541</v>
      </c>
      <c r="I21" s="322" t="s">
        <v>4350</v>
      </c>
      <c r="J21" s="319"/>
      <c r="K21" s="323"/>
      <c r="L21" s="323"/>
      <c r="M21" s="412" t="s">
        <v>5234</v>
      </c>
      <c r="N21" s="320"/>
      <c r="O21" s="320"/>
    </row>
    <row r="22" spans="1:15" s="316" customFormat="1" ht="59.15" customHeight="1">
      <c r="A22" s="414">
        <v>199281</v>
      </c>
      <c r="B22" s="320" t="s">
        <v>5025</v>
      </c>
      <c r="C22" s="320" t="s">
        <v>353</v>
      </c>
      <c r="D22" s="320" t="s">
        <v>47</v>
      </c>
      <c r="E22" s="319" t="s">
        <v>591</v>
      </c>
      <c r="F22" s="320" t="s">
        <v>40</v>
      </c>
      <c r="G22" s="320" t="s">
        <v>4638</v>
      </c>
      <c r="H22" s="321" t="s">
        <v>6074</v>
      </c>
      <c r="I22" s="322" t="s">
        <v>4351</v>
      </c>
      <c r="J22" s="319"/>
      <c r="K22" s="323"/>
      <c r="L22" s="323"/>
      <c r="M22" s="412" t="s">
        <v>6081</v>
      </c>
      <c r="N22" s="320"/>
      <c r="O22" s="320"/>
    </row>
    <row r="23" spans="1:15" s="316" customFormat="1" ht="59.15" customHeight="1">
      <c r="A23" s="415">
        <v>198305</v>
      </c>
      <c r="B23" s="320" t="s">
        <v>886</v>
      </c>
      <c r="C23" s="320" t="s">
        <v>656</v>
      </c>
      <c r="D23" s="320" t="s">
        <v>98</v>
      </c>
      <c r="E23" s="319" t="s">
        <v>591</v>
      </c>
      <c r="F23" s="320" t="s">
        <v>40</v>
      </c>
      <c r="G23" s="320" t="s">
        <v>5449</v>
      </c>
      <c r="H23" s="321" t="s">
        <v>5764</v>
      </c>
      <c r="I23" s="322" t="s">
        <v>4351</v>
      </c>
      <c r="J23" s="319"/>
      <c r="K23" s="323"/>
      <c r="L23" s="323"/>
      <c r="M23" s="320"/>
      <c r="N23" s="408" t="s">
        <v>5582</v>
      </c>
      <c r="O23" s="320"/>
    </row>
    <row r="24" spans="1:15" s="316" customFormat="1" ht="59.15" customHeight="1">
      <c r="A24" s="415">
        <v>314059</v>
      </c>
      <c r="B24" s="320" t="s">
        <v>1094</v>
      </c>
      <c r="C24" s="320" t="s">
        <v>1097</v>
      </c>
      <c r="D24" s="320" t="s">
        <v>45</v>
      </c>
      <c r="E24" s="319" t="s">
        <v>591</v>
      </c>
      <c r="F24" s="320" t="s">
        <v>43</v>
      </c>
      <c r="G24" s="320" t="s">
        <v>1421</v>
      </c>
      <c r="H24" s="321"/>
      <c r="I24" s="322"/>
      <c r="J24" s="319"/>
      <c r="K24" s="323"/>
      <c r="L24" s="323"/>
      <c r="M24" s="320"/>
      <c r="N24" s="320"/>
      <c r="O24" s="408" t="s">
        <v>5841</v>
      </c>
    </row>
  </sheetData>
  <autoFilter ref="A1:O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37"/>
  <sheetViews>
    <sheetView topLeftCell="A133" workbookViewId="0">
      <selection activeCell="A137" sqref="A137:XFD137"/>
    </sheetView>
  </sheetViews>
  <sheetFormatPr baseColWidth="10" defaultRowHeight="14"/>
  <cols>
    <col min="1" max="1" width="13.36328125" style="342" customWidth="1"/>
    <col min="2" max="2" width="61.36328125" style="342" customWidth="1"/>
    <col min="3" max="3" width="20.36328125" style="342" customWidth="1"/>
    <col min="4" max="4" width="19.453125" style="342" customWidth="1"/>
    <col min="5" max="5" width="18.81640625" style="342" customWidth="1"/>
    <col min="6" max="6" width="47.90625" style="342" customWidth="1"/>
    <col min="7" max="7" width="31.36328125" style="342" customWidth="1"/>
    <col min="8" max="8" width="30.08984375" style="342" customWidth="1"/>
    <col min="9" max="9" width="21.36328125" style="342" customWidth="1"/>
    <col min="10" max="10" width="19.36328125" style="342" customWidth="1"/>
    <col min="11" max="12" width="17.453125" style="342" customWidth="1"/>
    <col min="13" max="13" width="16.08984375" style="342" customWidth="1"/>
    <col min="14" max="16384" width="10.90625" style="342"/>
  </cols>
  <sheetData>
    <row r="1" spans="1:13" s="316" customFormat="1" ht="53.25" customHeight="1">
      <c r="A1" s="256" t="s">
        <v>38</v>
      </c>
      <c r="B1" s="256" t="s">
        <v>15</v>
      </c>
      <c r="C1" s="256" t="s">
        <v>16</v>
      </c>
      <c r="D1" s="256" t="s">
        <v>17</v>
      </c>
      <c r="E1" s="256" t="s">
        <v>37</v>
      </c>
      <c r="F1" s="313" t="s">
        <v>18</v>
      </c>
      <c r="G1" s="258" t="s">
        <v>19</v>
      </c>
      <c r="H1" s="258" t="s">
        <v>20</v>
      </c>
      <c r="I1" s="257" t="s">
        <v>36</v>
      </c>
      <c r="J1" s="257" t="s">
        <v>3629</v>
      </c>
      <c r="K1" s="313" t="s">
        <v>3630</v>
      </c>
      <c r="L1" s="313" t="s">
        <v>3631</v>
      </c>
      <c r="M1" s="313" t="s">
        <v>4239</v>
      </c>
    </row>
    <row r="2" spans="1:13" s="316" customFormat="1" ht="50.25" customHeight="1">
      <c r="A2" s="408">
        <v>307055</v>
      </c>
      <c r="B2" s="320" t="s">
        <v>5941</v>
      </c>
      <c r="C2" s="320" t="s">
        <v>5944</v>
      </c>
      <c r="D2" s="320" t="s">
        <v>45</v>
      </c>
      <c r="E2" s="319" t="s">
        <v>1194</v>
      </c>
      <c r="F2" s="320" t="s">
        <v>40</v>
      </c>
      <c r="G2" s="320" t="s">
        <v>1336</v>
      </c>
      <c r="H2" s="320"/>
      <c r="I2" s="322"/>
      <c r="J2" s="323" t="s">
        <v>2547</v>
      </c>
      <c r="K2" s="409">
        <v>44592</v>
      </c>
      <c r="L2" s="323"/>
      <c r="M2" s="323"/>
    </row>
    <row r="3" spans="1:13" s="316" customFormat="1" ht="50.25" customHeight="1">
      <c r="A3" s="408">
        <v>197075</v>
      </c>
      <c r="B3" s="320" t="s">
        <v>1278</v>
      </c>
      <c r="C3" s="320" t="s">
        <v>418</v>
      </c>
      <c r="D3" s="320" t="s">
        <v>45</v>
      </c>
      <c r="E3" s="319" t="s">
        <v>591</v>
      </c>
      <c r="F3" s="320" t="s">
        <v>40</v>
      </c>
      <c r="G3" s="320" t="s">
        <v>5283</v>
      </c>
      <c r="H3" s="320" t="s">
        <v>1233</v>
      </c>
      <c r="I3" s="322" t="s">
        <v>4593</v>
      </c>
      <c r="J3" s="323" t="s">
        <v>2547</v>
      </c>
      <c r="K3" s="409">
        <v>44620</v>
      </c>
      <c r="L3" s="323"/>
      <c r="M3" s="323"/>
    </row>
    <row r="4" spans="1:13" s="316" customFormat="1" ht="50.25" customHeight="1">
      <c r="A4" s="408">
        <v>248123</v>
      </c>
      <c r="B4" s="320" t="s">
        <v>430</v>
      </c>
      <c r="C4" s="320" t="s">
        <v>140</v>
      </c>
      <c r="D4" s="320" t="s">
        <v>45</v>
      </c>
      <c r="E4" s="319" t="s">
        <v>591</v>
      </c>
      <c r="F4" s="320" t="s">
        <v>40</v>
      </c>
      <c r="G4" s="320" t="s">
        <v>5283</v>
      </c>
      <c r="H4" s="320" t="s">
        <v>1233</v>
      </c>
      <c r="I4" s="322" t="s">
        <v>5260</v>
      </c>
      <c r="J4" s="323" t="s">
        <v>2547</v>
      </c>
      <c r="K4" s="409">
        <v>44620</v>
      </c>
      <c r="L4" s="323"/>
      <c r="M4" s="323"/>
    </row>
    <row r="5" spans="1:13" s="316" customFormat="1" ht="50.25" customHeight="1">
      <c r="A5" s="408">
        <v>308229</v>
      </c>
      <c r="B5" s="320" t="s">
        <v>1328</v>
      </c>
      <c r="C5" s="320" t="s">
        <v>93</v>
      </c>
      <c r="D5" s="320" t="s">
        <v>47</v>
      </c>
      <c r="E5" s="319" t="s">
        <v>591</v>
      </c>
      <c r="F5" s="320" t="s">
        <v>40</v>
      </c>
      <c r="G5" s="320" t="s">
        <v>1421</v>
      </c>
      <c r="H5" s="320"/>
      <c r="I5" s="322" t="s">
        <v>1483</v>
      </c>
      <c r="J5" s="323" t="s">
        <v>2547</v>
      </c>
      <c r="K5" s="409">
        <v>44681</v>
      </c>
      <c r="L5" s="323"/>
      <c r="M5" s="323"/>
    </row>
    <row r="6" spans="1:13" s="316" customFormat="1" ht="50.25" customHeight="1">
      <c r="A6" s="408">
        <v>159846</v>
      </c>
      <c r="B6" s="320" t="s">
        <v>1170</v>
      </c>
      <c r="C6" s="320" t="s">
        <v>166</v>
      </c>
      <c r="D6" s="320" t="s">
        <v>97</v>
      </c>
      <c r="E6" s="319" t="s">
        <v>591</v>
      </c>
      <c r="F6" s="320" t="s">
        <v>40</v>
      </c>
      <c r="G6" s="320" t="s">
        <v>1510</v>
      </c>
      <c r="H6" s="320" t="s">
        <v>1233</v>
      </c>
      <c r="I6" s="322" t="s">
        <v>4555</v>
      </c>
      <c r="J6" s="323" t="s">
        <v>2547</v>
      </c>
      <c r="K6" s="323"/>
      <c r="L6" s="409">
        <v>44742</v>
      </c>
      <c r="M6" s="323"/>
    </row>
    <row r="7" spans="1:13" s="316" customFormat="1" ht="50.25" customHeight="1">
      <c r="A7" s="408">
        <v>167687</v>
      </c>
      <c r="B7" s="320" t="s">
        <v>207</v>
      </c>
      <c r="C7" s="320" t="s">
        <v>210</v>
      </c>
      <c r="D7" s="320" t="s">
        <v>45</v>
      </c>
      <c r="E7" s="319" t="s">
        <v>591</v>
      </c>
      <c r="F7" s="320" t="s">
        <v>40</v>
      </c>
      <c r="G7" s="320" t="s">
        <v>5450</v>
      </c>
      <c r="H7" s="320" t="s">
        <v>1233</v>
      </c>
      <c r="I7" s="322" t="s">
        <v>4592</v>
      </c>
      <c r="J7" s="323" t="s">
        <v>2547</v>
      </c>
      <c r="K7" s="323"/>
      <c r="L7" s="409">
        <v>44742</v>
      </c>
      <c r="M7" s="323"/>
    </row>
    <row r="8" spans="1:13" s="316" customFormat="1" ht="50.25" customHeight="1">
      <c r="A8" s="408">
        <v>300583</v>
      </c>
      <c r="B8" s="320" t="s">
        <v>1077</v>
      </c>
      <c r="C8" s="320" t="s">
        <v>275</v>
      </c>
      <c r="D8" s="320" t="s">
        <v>45</v>
      </c>
      <c r="E8" s="319" t="s">
        <v>591</v>
      </c>
      <c r="F8" s="320" t="s">
        <v>40</v>
      </c>
      <c r="G8" s="320" t="s">
        <v>786</v>
      </c>
      <c r="H8" s="320" t="s">
        <v>1402</v>
      </c>
      <c r="I8" s="322" t="s">
        <v>5348</v>
      </c>
      <c r="J8" s="323" t="s">
        <v>2547</v>
      </c>
      <c r="K8" s="323"/>
      <c r="L8" s="409">
        <v>44742</v>
      </c>
      <c r="M8" s="323"/>
    </row>
    <row r="9" spans="1:13" s="316" customFormat="1" ht="50.25" customHeight="1">
      <c r="A9" s="410">
        <v>134661</v>
      </c>
      <c r="B9" s="320" t="s">
        <v>1397</v>
      </c>
      <c r="C9" s="320" t="s">
        <v>65</v>
      </c>
      <c r="D9" s="320" t="s">
        <v>47</v>
      </c>
      <c r="E9" s="319" t="s">
        <v>591</v>
      </c>
      <c r="F9" s="320" t="s">
        <v>40</v>
      </c>
      <c r="G9" s="320" t="s">
        <v>5449</v>
      </c>
      <c r="H9" s="320" t="s">
        <v>1402</v>
      </c>
      <c r="I9" s="322" t="s">
        <v>6011</v>
      </c>
      <c r="J9" s="323" t="s">
        <v>2551</v>
      </c>
      <c r="K9" s="323"/>
      <c r="L9" s="411">
        <v>44742</v>
      </c>
      <c r="M9" s="323"/>
    </row>
    <row r="10" spans="1:13" s="316" customFormat="1" ht="50.25" customHeight="1">
      <c r="A10" s="410">
        <v>169995</v>
      </c>
      <c r="B10" s="320" t="s">
        <v>5412</v>
      </c>
      <c r="C10" s="320" t="s">
        <v>228</v>
      </c>
      <c r="D10" s="320" t="s">
        <v>47</v>
      </c>
      <c r="E10" s="319" t="s">
        <v>591</v>
      </c>
      <c r="F10" s="320" t="s">
        <v>40</v>
      </c>
      <c r="G10" s="320" t="s">
        <v>5449</v>
      </c>
      <c r="H10" s="320" t="s">
        <v>1402</v>
      </c>
      <c r="I10" s="322" t="s">
        <v>6025</v>
      </c>
      <c r="J10" s="323" t="s">
        <v>2551</v>
      </c>
      <c r="K10" s="323"/>
      <c r="L10" s="411">
        <v>44742</v>
      </c>
      <c r="M10" s="323"/>
    </row>
    <row r="11" spans="1:13" s="316" customFormat="1" ht="50.25" customHeight="1">
      <c r="A11" s="410">
        <v>171380</v>
      </c>
      <c r="B11" s="320" t="s">
        <v>1439</v>
      </c>
      <c r="C11" s="320" t="s">
        <v>232</v>
      </c>
      <c r="D11" s="320" t="s">
        <v>47</v>
      </c>
      <c r="E11" s="319" t="s">
        <v>591</v>
      </c>
      <c r="F11" s="320" t="s">
        <v>40</v>
      </c>
      <c r="G11" s="320" t="s">
        <v>5449</v>
      </c>
      <c r="H11" s="320" t="s">
        <v>1402</v>
      </c>
      <c r="I11" s="322" t="s">
        <v>6026</v>
      </c>
      <c r="J11" s="323" t="s">
        <v>2551</v>
      </c>
      <c r="K11" s="323"/>
      <c r="L11" s="411">
        <v>44742</v>
      </c>
      <c r="M11" s="323"/>
    </row>
    <row r="12" spans="1:13" s="316" customFormat="1" ht="50.25" customHeight="1">
      <c r="A12" s="410">
        <v>171387</v>
      </c>
      <c r="B12" s="320" t="s">
        <v>5412</v>
      </c>
      <c r="C12" s="320" t="s">
        <v>234</v>
      </c>
      <c r="D12" s="320" t="s">
        <v>47</v>
      </c>
      <c r="E12" s="319" t="s">
        <v>591</v>
      </c>
      <c r="F12" s="320" t="s">
        <v>40</v>
      </c>
      <c r="G12" s="320" t="s">
        <v>5449</v>
      </c>
      <c r="H12" s="320" t="s">
        <v>1402</v>
      </c>
      <c r="I12" s="322" t="s">
        <v>6027</v>
      </c>
      <c r="J12" s="323" t="s">
        <v>2551</v>
      </c>
      <c r="K12" s="323"/>
      <c r="L12" s="411">
        <v>44742</v>
      </c>
      <c r="M12" s="323"/>
    </row>
    <row r="13" spans="1:13" s="316" customFormat="1" ht="50.25" customHeight="1">
      <c r="A13" s="410">
        <v>185279</v>
      </c>
      <c r="B13" s="320" t="s">
        <v>4998</v>
      </c>
      <c r="C13" s="320" t="s">
        <v>5000</v>
      </c>
      <c r="D13" s="320" t="s">
        <v>51</v>
      </c>
      <c r="E13" s="319" t="s">
        <v>591</v>
      </c>
      <c r="F13" s="320" t="s">
        <v>40</v>
      </c>
      <c r="G13" s="320" t="s">
        <v>4608</v>
      </c>
      <c r="H13" s="320" t="s">
        <v>5218</v>
      </c>
      <c r="I13" s="322" t="s">
        <v>5036</v>
      </c>
      <c r="J13" s="323" t="s">
        <v>2551</v>
      </c>
      <c r="K13" s="323"/>
      <c r="L13" s="411">
        <v>44742</v>
      </c>
      <c r="M13" s="323"/>
    </row>
    <row r="14" spans="1:13" s="316" customFormat="1" ht="50.25" customHeight="1">
      <c r="A14" s="410">
        <v>206126</v>
      </c>
      <c r="B14" s="320" t="s">
        <v>1067</v>
      </c>
      <c r="C14" s="320" t="s">
        <v>348</v>
      </c>
      <c r="D14" s="320" t="s">
        <v>45</v>
      </c>
      <c r="E14" s="319" t="s">
        <v>591</v>
      </c>
      <c r="F14" s="320" t="s">
        <v>40</v>
      </c>
      <c r="G14" s="320" t="s">
        <v>1277</v>
      </c>
      <c r="H14" s="320" t="s">
        <v>1402</v>
      </c>
      <c r="I14" s="322" t="s">
        <v>5562</v>
      </c>
      <c r="J14" s="323" t="s">
        <v>2551</v>
      </c>
      <c r="K14" s="323"/>
      <c r="L14" s="411">
        <v>44742</v>
      </c>
      <c r="M14" s="323"/>
    </row>
    <row r="15" spans="1:13" s="316" customFormat="1" ht="50.25" customHeight="1">
      <c r="A15" s="410">
        <v>219523</v>
      </c>
      <c r="B15" s="320" t="s">
        <v>1067</v>
      </c>
      <c r="C15" s="320" t="s">
        <v>394</v>
      </c>
      <c r="D15" s="320" t="s">
        <v>45</v>
      </c>
      <c r="E15" s="319" t="s">
        <v>591</v>
      </c>
      <c r="F15" s="320" t="s">
        <v>40</v>
      </c>
      <c r="G15" s="320" t="s">
        <v>1277</v>
      </c>
      <c r="H15" s="320"/>
      <c r="I15" s="322" t="s">
        <v>5346</v>
      </c>
      <c r="J15" s="323" t="s">
        <v>2551</v>
      </c>
      <c r="K15" s="323"/>
      <c r="L15" s="411">
        <v>44742</v>
      </c>
      <c r="M15" s="323"/>
    </row>
    <row r="16" spans="1:13" s="316" customFormat="1" ht="50.25" customHeight="1">
      <c r="A16" s="410">
        <v>290257</v>
      </c>
      <c r="B16" s="320" t="s">
        <v>530</v>
      </c>
      <c r="C16" s="320" t="s">
        <v>119</v>
      </c>
      <c r="D16" s="320" t="s">
        <v>51</v>
      </c>
      <c r="E16" s="319" t="s">
        <v>591</v>
      </c>
      <c r="F16" s="320" t="s">
        <v>40</v>
      </c>
      <c r="G16" s="320" t="s">
        <v>5450</v>
      </c>
      <c r="H16" s="320" t="s">
        <v>1233</v>
      </c>
      <c r="I16" s="322" t="s">
        <v>4891</v>
      </c>
      <c r="J16" s="323" t="s">
        <v>2551</v>
      </c>
      <c r="K16" s="323"/>
      <c r="L16" s="411">
        <v>44742</v>
      </c>
      <c r="M16" s="323"/>
    </row>
    <row r="17" spans="1:13" s="316" customFormat="1" ht="50.25" customHeight="1">
      <c r="A17" s="410">
        <v>304445</v>
      </c>
      <c r="B17" s="320" t="s">
        <v>1297</v>
      </c>
      <c r="C17" s="320" t="s">
        <v>1300</v>
      </c>
      <c r="D17" s="320" t="s">
        <v>779</v>
      </c>
      <c r="E17" s="319" t="s">
        <v>591</v>
      </c>
      <c r="F17" s="320" t="s">
        <v>40</v>
      </c>
      <c r="G17" s="320" t="s">
        <v>5282</v>
      </c>
      <c r="H17" s="320" t="s">
        <v>1402</v>
      </c>
      <c r="I17" s="322" t="s">
        <v>5464</v>
      </c>
      <c r="J17" s="323" t="s">
        <v>2551</v>
      </c>
      <c r="K17" s="323"/>
      <c r="L17" s="411">
        <v>44742</v>
      </c>
      <c r="M17" s="323"/>
    </row>
    <row r="18" spans="1:13" s="316" customFormat="1" ht="50.25" customHeight="1">
      <c r="A18" s="408">
        <v>170121</v>
      </c>
      <c r="B18" s="320" t="s">
        <v>229</v>
      </c>
      <c r="C18" s="320" t="s">
        <v>231</v>
      </c>
      <c r="D18" s="320" t="s">
        <v>47</v>
      </c>
      <c r="E18" s="319" t="s">
        <v>591</v>
      </c>
      <c r="F18" s="320" t="s">
        <v>40</v>
      </c>
      <c r="G18" s="320" t="s">
        <v>1277</v>
      </c>
      <c r="H18" s="320" t="s">
        <v>1402</v>
      </c>
      <c r="I18" s="322" t="s">
        <v>1501</v>
      </c>
      <c r="J18" s="323" t="s">
        <v>2547</v>
      </c>
      <c r="K18" s="323"/>
      <c r="L18" s="409">
        <v>44773</v>
      </c>
      <c r="M18" s="323"/>
    </row>
    <row r="19" spans="1:13" s="316" customFormat="1" ht="50.25" customHeight="1">
      <c r="A19" s="408">
        <v>267008</v>
      </c>
      <c r="B19" s="320" t="s">
        <v>1068</v>
      </c>
      <c r="C19" s="320" t="s">
        <v>455</v>
      </c>
      <c r="D19" s="320" t="s">
        <v>47</v>
      </c>
      <c r="E19" s="319" t="s">
        <v>591</v>
      </c>
      <c r="F19" s="320" t="s">
        <v>40</v>
      </c>
      <c r="G19" s="320" t="s">
        <v>5280</v>
      </c>
      <c r="H19" s="320" t="s">
        <v>1233</v>
      </c>
      <c r="I19" s="322" t="s">
        <v>5570</v>
      </c>
      <c r="J19" s="323" t="s">
        <v>2547</v>
      </c>
      <c r="K19" s="323"/>
      <c r="L19" s="409">
        <v>44773</v>
      </c>
      <c r="M19" s="323"/>
    </row>
    <row r="20" spans="1:13" s="316" customFormat="1" ht="50.25" customHeight="1">
      <c r="A20" s="408">
        <v>302792</v>
      </c>
      <c r="B20" s="320" t="s">
        <v>1018</v>
      </c>
      <c r="C20" s="320" t="s">
        <v>1020</v>
      </c>
      <c r="D20" s="320" t="s">
        <v>465</v>
      </c>
      <c r="E20" s="319" t="s">
        <v>591</v>
      </c>
      <c r="F20" s="320" t="s">
        <v>41</v>
      </c>
      <c r="G20" s="320" t="s">
        <v>4638</v>
      </c>
      <c r="H20" s="320" t="s">
        <v>1402</v>
      </c>
      <c r="I20" s="322" t="s">
        <v>1509</v>
      </c>
      <c r="J20" s="323" t="s">
        <v>2547</v>
      </c>
      <c r="K20" s="323"/>
      <c r="L20" s="409">
        <v>44773</v>
      </c>
      <c r="M20" s="323"/>
    </row>
    <row r="21" spans="1:13" s="316" customFormat="1" ht="50.25" customHeight="1">
      <c r="A21" s="410">
        <v>178963</v>
      </c>
      <c r="B21" s="320" t="s">
        <v>262</v>
      </c>
      <c r="C21" s="320" t="s">
        <v>74</v>
      </c>
      <c r="D21" s="320" t="s">
        <v>55</v>
      </c>
      <c r="E21" s="319" t="s">
        <v>591</v>
      </c>
      <c r="F21" s="320" t="s">
        <v>41</v>
      </c>
      <c r="G21" s="320" t="s">
        <v>4638</v>
      </c>
      <c r="H21" s="320" t="s">
        <v>1402</v>
      </c>
      <c r="I21" s="322" t="s">
        <v>5551</v>
      </c>
      <c r="J21" s="323" t="s">
        <v>2553</v>
      </c>
      <c r="K21" s="323"/>
      <c r="L21" s="411">
        <v>44773</v>
      </c>
      <c r="M21" s="323"/>
    </row>
    <row r="22" spans="1:13" s="316" customFormat="1" ht="50.25" customHeight="1">
      <c r="A22" s="410">
        <v>178963</v>
      </c>
      <c r="B22" s="320" t="s">
        <v>262</v>
      </c>
      <c r="C22" s="320" t="s">
        <v>74</v>
      </c>
      <c r="D22" s="320" t="s">
        <v>55</v>
      </c>
      <c r="E22" s="319" t="s">
        <v>591</v>
      </c>
      <c r="F22" s="320" t="s">
        <v>40</v>
      </c>
      <c r="G22" s="320" t="s">
        <v>4638</v>
      </c>
      <c r="H22" s="320" t="s">
        <v>1402</v>
      </c>
      <c r="I22" s="322" t="s">
        <v>5551</v>
      </c>
      <c r="J22" s="323" t="s">
        <v>2553</v>
      </c>
      <c r="K22" s="323"/>
      <c r="L22" s="411">
        <v>44773</v>
      </c>
      <c r="M22" s="323"/>
    </row>
    <row r="23" spans="1:13" s="316" customFormat="1" ht="50.25" customHeight="1">
      <c r="A23" s="410">
        <v>178963</v>
      </c>
      <c r="B23" s="320" t="s">
        <v>262</v>
      </c>
      <c r="C23" s="320" t="s">
        <v>74</v>
      </c>
      <c r="D23" s="320" t="s">
        <v>55</v>
      </c>
      <c r="E23" s="319" t="s">
        <v>591</v>
      </c>
      <c r="F23" s="320" t="s">
        <v>784</v>
      </c>
      <c r="G23" s="320" t="s">
        <v>4638</v>
      </c>
      <c r="H23" s="320" t="s">
        <v>1402</v>
      </c>
      <c r="I23" s="322" t="s">
        <v>5551</v>
      </c>
      <c r="J23" s="323" t="s">
        <v>2553</v>
      </c>
      <c r="K23" s="323"/>
      <c r="L23" s="411">
        <v>44773</v>
      </c>
      <c r="M23" s="323"/>
    </row>
    <row r="24" spans="1:13" s="316" customFormat="1" ht="50.25" customHeight="1">
      <c r="A24" s="410">
        <v>297471</v>
      </c>
      <c r="B24" s="320" t="s">
        <v>776</v>
      </c>
      <c r="C24" s="320" t="s">
        <v>777</v>
      </c>
      <c r="D24" s="320" t="s">
        <v>779</v>
      </c>
      <c r="E24" s="319" t="s">
        <v>591</v>
      </c>
      <c r="F24" s="320" t="s">
        <v>40</v>
      </c>
      <c r="G24" s="320" t="s">
        <v>5281</v>
      </c>
      <c r="H24" s="320" t="s">
        <v>1233</v>
      </c>
      <c r="I24" s="322" t="s">
        <v>5904</v>
      </c>
      <c r="J24" s="323" t="s">
        <v>2553</v>
      </c>
      <c r="K24" s="323"/>
      <c r="L24" s="411">
        <v>44773</v>
      </c>
      <c r="M24" s="323"/>
    </row>
    <row r="25" spans="1:13" s="316" customFormat="1" ht="50.25" customHeight="1">
      <c r="A25" s="410">
        <v>302643</v>
      </c>
      <c r="B25" s="320" t="s">
        <v>1017</v>
      </c>
      <c r="C25" s="320" t="s">
        <v>137</v>
      </c>
      <c r="D25" s="320" t="s">
        <v>55</v>
      </c>
      <c r="E25" s="319" t="s">
        <v>591</v>
      </c>
      <c r="F25" s="320" t="s">
        <v>41</v>
      </c>
      <c r="G25" s="320" t="s">
        <v>4638</v>
      </c>
      <c r="H25" s="320" t="s">
        <v>1402</v>
      </c>
      <c r="I25" s="322" t="s">
        <v>5617</v>
      </c>
      <c r="J25" s="323" t="s">
        <v>2553</v>
      </c>
      <c r="K25" s="323"/>
      <c r="L25" s="411">
        <v>44773</v>
      </c>
      <c r="M25" s="323"/>
    </row>
    <row r="26" spans="1:13" s="316" customFormat="1" ht="50.25" customHeight="1">
      <c r="A26" s="410">
        <v>306131</v>
      </c>
      <c r="B26" s="320" t="s">
        <v>576</v>
      </c>
      <c r="C26" s="320" t="s">
        <v>578</v>
      </c>
      <c r="D26" s="320" t="s">
        <v>452</v>
      </c>
      <c r="E26" s="319" t="s">
        <v>591</v>
      </c>
      <c r="F26" s="320" t="s">
        <v>40</v>
      </c>
      <c r="G26" s="320" t="s">
        <v>1288</v>
      </c>
      <c r="H26" s="320" t="s">
        <v>1402</v>
      </c>
      <c r="I26" s="322" t="s">
        <v>5620</v>
      </c>
      <c r="J26" s="323" t="s">
        <v>2553</v>
      </c>
      <c r="K26" s="323"/>
      <c r="L26" s="411">
        <v>44773</v>
      </c>
      <c r="M26" s="323"/>
    </row>
    <row r="27" spans="1:13" s="316" customFormat="1" ht="50.25" customHeight="1">
      <c r="A27" s="412">
        <v>137312</v>
      </c>
      <c r="B27" s="320" t="s">
        <v>1236</v>
      </c>
      <c r="C27" s="320" t="s">
        <v>1239</v>
      </c>
      <c r="D27" s="320" t="s">
        <v>51</v>
      </c>
      <c r="E27" s="319" t="s">
        <v>591</v>
      </c>
      <c r="F27" s="320" t="s">
        <v>40</v>
      </c>
      <c r="G27" s="320" t="s">
        <v>5450</v>
      </c>
      <c r="H27" s="320" t="s">
        <v>1233</v>
      </c>
      <c r="I27" s="322" t="s">
        <v>1489</v>
      </c>
      <c r="J27" s="323" t="s">
        <v>2545</v>
      </c>
      <c r="K27" s="323"/>
      <c r="L27" s="323"/>
      <c r="M27" s="413">
        <v>44774</v>
      </c>
    </row>
    <row r="28" spans="1:13" s="316" customFormat="1" ht="50.25" customHeight="1">
      <c r="A28" s="412">
        <v>154780</v>
      </c>
      <c r="B28" s="320" t="s">
        <v>1495</v>
      </c>
      <c r="C28" s="320" t="s">
        <v>110</v>
      </c>
      <c r="D28" s="320" t="s">
        <v>51</v>
      </c>
      <c r="E28" s="319" t="s">
        <v>591</v>
      </c>
      <c r="F28" s="320" t="s">
        <v>40</v>
      </c>
      <c r="G28" s="320" t="s">
        <v>5280</v>
      </c>
      <c r="H28" s="320" t="s">
        <v>1233</v>
      </c>
      <c r="I28" s="322" t="s">
        <v>4202</v>
      </c>
      <c r="J28" s="323" t="s">
        <v>2545</v>
      </c>
      <c r="K28" s="323"/>
      <c r="L28" s="323"/>
      <c r="M28" s="413">
        <v>44774</v>
      </c>
    </row>
    <row r="29" spans="1:13" s="316" customFormat="1" ht="50.25" customHeight="1">
      <c r="A29" s="412">
        <v>155695</v>
      </c>
      <c r="B29" s="320" t="s">
        <v>604</v>
      </c>
      <c r="C29" s="320" t="s">
        <v>147</v>
      </c>
      <c r="D29" s="320" t="s">
        <v>51</v>
      </c>
      <c r="E29" s="319" t="s">
        <v>591</v>
      </c>
      <c r="F29" s="320" t="s">
        <v>40</v>
      </c>
      <c r="G29" s="320" t="s">
        <v>1421</v>
      </c>
      <c r="H29" s="320" t="s">
        <v>1402</v>
      </c>
      <c r="I29" s="322" t="s">
        <v>5605</v>
      </c>
      <c r="J29" s="323" t="s">
        <v>2545</v>
      </c>
      <c r="K29" s="323"/>
      <c r="L29" s="323"/>
      <c r="M29" s="413">
        <v>44774</v>
      </c>
    </row>
    <row r="30" spans="1:13" s="316" customFormat="1" ht="50.25" customHeight="1">
      <c r="A30" s="412">
        <v>167703</v>
      </c>
      <c r="B30" s="320" t="s">
        <v>211</v>
      </c>
      <c r="C30" s="320" t="s">
        <v>213</v>
      </c>
      <c r="D30" s="320" t="s">
        <v>51</v>
      </c>
      <c r="E30" s="319" t="s">
        <v>591</v>
      </c>
      <c r="F30" s="320" t="s">
        <v>40</v>
      </c>
      <c r="G30" s="320" t="s">
        <v>5281</v>
      </c>
      <c r="H30" s="320" t="s">
        <v>1233</v>
      </c>
      <c r="I30" s="322" t="s">
        <v>1491</v>
      </c>
      <c r="J30" s="323" t="s">
        <v>2545</v>
      </c>
      <c r="K30" s="323"/>
      <c r="L30" s="323"/>
      <c r="M30" s="413">
        <v>44774</v>
      </c>
    </row>
    <row r="31" spans="1:13" s="316" customFormat="1" ht="50.25" customHeight="1">
      <c r="A31" s="412">
        <v>167750</v>
      </c>
      <c r="B31" s="320" t="s">
        <v>1225</v>
      </c>
      <c r="C31" s="320" t="s">
        <v>195</v>
      </c>
      <c r="D31" s="320" t="s">
        <v>51</v>
      </c>
      <c r="E31" s="319" t="s">
        <v>591</v>
      </c>
      <c r="F31" s="320" t="s">
        <v>40</v>
      </c>
      <c r="G31" s="320" t="s">
        <v>5281</v>
      </c>
      <c r="H31" s="320" t="s">
        <v>1233</v>
      </c>
      <c r="I31" s="322" t="s">
        <v>4279</v>
      </c>
      <c r="J31" s="323" t="s">
        <v>2545</v>
      </c>
      <c r="K31" s="323"/>
      <c r="L31" s="323"/>
      <c r="M31" s="413">
        <v>44774</v>
      </c>
    </row>
    <row r="32" spans="1:13" s="316" customFormat="1" ht="50.25" customHeight="1">
      <c r="A32" s="412">
        <v>167783</v>
      </c>
      <c r="B32" s="320" t="s">
        <v>219</v>
      </c>
      <c r="C32" s="320" t="s">
        <v>222</v>
      </c>
      <c r="D32" s="320" t="s">
        <v>51</v>
      </c>
      <c r="E32" s="319" t="s">
        <v>591</v>
      </c>
      <c r="F32" s="320" t="s">
        <v>40</v>
      </c>
      <c r="G32" s="320" t="s">
        <v>5281</v>
      </c>
      <c r="H32" s="320" t="s">
        <v>1233</v>
      </c>
      <c r="I32" s="322" t="s">
        <v>4280</v>
      </c>
      <c r="J32" s="323" t="s">
        <v>2545</v>
      </c>
      <c r="K32" s="323"/>
      <c r="L32" s="323"/>
      <c r="M32" s="413">
        <v>44774</v>
      </c>
    </row>
    <row r="33" spans="1:13" s="316" customFormat="1" ht="50.25" customHeight="1">
      <c r="A33" s="412">
        <v>185063</v>
      </c>
      <c r="B33" s="320" t="s">
        <v>661</v>
      </c>
      <c r="C33" s="320" t="s">
        <v>119</v>
      </c>
      <c r="D33" s="320" t="s">
        <v>51</v>
      </c>
      <c r="E33" s="319" t="s">
        <v>591</v>
      </c>
      <c r="F33" s="320" t="s">
        <v>40</v>
      </c>
      <c r="G33" s="320" t="s">
        <v>1510</v>
      </c>
      <c r="H33" s="320"/>
      <c r="I33" s="322" t="s">
        <v>5554</v>
      </c>
      <c r="J33" s="323" t="s">
        <v>2545</v>
      </c>
      <c r="K33" s="323"/>
      <c r="L33" s="323"/>
      <c r="M33" s="413">
        <v>44774</v>
      </c>
    </row>
    <row r="34" spans="1:13" s="316" customFormat="1" ht="50.25" customHeight="1">
      <c r="A34" s="412">
        <v>187125</v>
      </c>
      <c r="B34" s="320" t="s">
        <v>747</v>
      </c>
      <c r="C34" s="320" t="s">
        <v>295</v>
      </c>
      <c r="D34" s="320" t="s">
        <v>51</v>
      </c>
      <c r="E34" s="319" t="s">
        <v>591</v>
      </c>
      <c r="F34" s="320" t="s">
        <v>40</v>
      </c>
      <c r="G34" s="320" t="s">
        <v>1336</v>
      </c>
      <c r="H34" s="320" t="s">
        <v>1402</v>
      </c>
      <c r="I34" s="322" t="s">
        <v>4887</v>
      </c>
      <c r="J34" s="323" t="s">
        <v>2545</v>
      </c>
      <c r="K34" s="323"/>
      <c r="L34" s="323"/>
      <c r="M34" s="413">
        <v>44774</v>
      </c>
    </row>
    <row r="35" spans="1:13" s="316" customFormat="1" ht="50.25" customHeight="1">
      <c r="A35" s="412">
        <v>269036</v>
      </c>
      <c r="B35" s="320" t="s">
        <v>296</v>
      </c>
      <c r="C35" s="320" t="s">
        <v>255</v>
      </c>
      <c r="D35" s="320" t="s">
        <v>51</v>
      </c>
      <c r="E35" s="319" t="s">
        <v>591</v>
      </c>
      <c r="F35" s="320" t="s">
        <v>40</v>
      </c>
      <c r="G35" s="320" t="s">
        <v>5278</v>
      </c>
      <c r="H35" s="320" t="s">
        <v>1402</v>
      </c>
      <c r="I35" s="322" t="s">
        <v>4182</v>
      </c>
      <c r="J35" s="323" t="s">
        <v>2545</v>
      </c>
      <c r="K35" s="323"/>
      <c r="L35" s="323"/>
      <c r="M35" s="413">
        <v>44774</v>
      </c>
    </row>
    <row r="36" spans="1:13" s="316" customFormat="1" ht="50.25" customHeight="1">
      <c r="A36" s="412">
        <v>288404</v>
      </c>
      <c r="B36" s="320" t="s">
        <v>1497</v>
      </c>
      <c r="C36" s="320" t="s">
        <v>493</v>
      </c>
      <c r="D36" s="320" t="s">
        <v>51</v>
      </c>
      <c r="E36" s="319" t="s">
        <v>591</v>
      </c>
      <c r="F36" s="320" t="s">
        <v>40</v>
      </c>
      <c r="G36" s="320" t="s">
        <v>5449</v>
      </c>
      <c r="H36" s="320" t="s">
        <v>1402</v>
      </c>
      <c r="I36" s="322" t="s">
        <v>1492</v>
      </c>
      <c r="J36" s="323" t="s">
        <v>2545</v>
      </c>
      <c r="K36" s="323"/>
      <c r="L36" s="323"/>
      <c r="M36" s="413">
        <v>44774</v>
      </c>
    </row>
    <row r="37" spans="1:13" s="316" customFormat="1" ht="50.25" customHeight="1">
      <c r="A37" s="412">
        <v>290257</v>
      </c>
      <c r="B37" s="320" t="s">
        <v>530</v>
      </c>
      <c r="C37" s="320" t="s">
        <v>119</v>
      </c>
      <c r="D37" s="320" t="s">
        <v>51</v>
      </c>
      <c r="E37" s="319" t="s">
        <v>591</v>
      </c>
      <c r="F37" s="320" t="s">
        <v>40</v>
      </c>
      <c r="G37" s="320" t="s">
        <v>5450</v>
      </c>
      <c r="H37" s="320" t="s">
        <v>1233</v>
      </c>
      <c r="I37" s="322" t="s">
        <v>4891</v>
      </c>
      <c r="J37" s="323" t="s">
        <v>2545</v>
      </c>
      <c r="K37" s="323"/>
      <c r="L37" s="323"/>
      <c r="M37" s="413">
        <v>44774</v>
      </c>
    </row>
    <row r="38" spans="1:13" s="316" customFormat="1" ht="50.25" customHeight="1">
      <c r="A38" s="412">
        <v>291012</v>
      </c>
      <c r="B38" s="320" t="s">
        <v>533</v>
      </c>
      <c r="C38" s="320" t="s">
        <v>536</v>
      </c>
      <c r="D38" s="320" t="s">
        <v>51</v>
      </c>
      <c r="E38" s="319" t="s">
        <v>591</v>
      </c>
      <c r="F38" s="320" t="s">
        <v>40</v>
      </c>
      <c r="G38" s="320" t="s">
        <v>5449</v>
      </c>
      <c r="H38" s="320"/>
      <c r="I38" s="322" t="s">
        <v>1499</v>
      </c>
      <c r="J38" s="323" t="s">
        <v>2545</v>
      </c>
      <c r="K38" s="323"/>
      <c r="L38" s="323"/>
      <c r="M38" s="413">
        <v>44774</v>
      </c>
    </row>
    <row r="39" spans="1:13" s="316" customFormat="1" ht="50.25" customHeight="1">
      <c r="A39" s="412">
        <v>307766</v>
      </c>
      <c r="B39" s="320" t="s">
        <v>595</v>
      </c>
      <c r="C39" s="320" t="s">
        <v>598</v>
      </c>
      <c r="D39" s="320" t="s">
        <v>51</v>
      </c>
      <c r="E39" s="319" t="s">
        <v>591</v>
      </c>
      <c r="F39" s="320" t="s">
        <v>40</v>
      </c>
      <c r="G39" s="320" t="s">
        <v>5283</v>
      </c>
      <c r="H39" s="320" t="s">
        <v>1233</v>
      </c>
      <c r="I39" s="322" t="s">
        <v>5007</v>
      </c>
      <c r="J39" s="323" t="s">
        <v>2545</v>
      </c>
      <c r="K39" s="323"/>
      <c r="L39" s="323"/>
      <c r="M39" s="413">
        <v>44774</v>
      </c>
    </row>
    <row r="40" spans="1:13" s="316" customFormat="1" ht="50.25" customHeight="1">
      <c r="A40" s="412">
        <v>308573</v>
      </c>
      <c r="B40" s="320" t="s">
        <v>1245</v>
      </c>
      <c r="C40" s="320" t="s">
        <v>639</v>
      </c>
      <c r="D40" s="320" t="s">
        <v>51</v>
      </c>
      <c r="E40" s="319" t="s">
        <v>591</v>
      </c>
      <c r="F40" s="320" t="s">
        <v>40</v>
      </c>
      <c r="G40" s="320" t="s">
        <v>1277</v>
      </c>
      <c r="H40" s="320" t="s">
        <v>1233</v>
      </c>
      <c r="I40" s="322" t="s">
        <v>1493</v>
      </c>
      <c r="J40" s="323" t="s">
        <v>2545</v>
      </c>
      <c r="K40" s="323"/>
      <c r="L40" s="323"/>
      <c r="M40" s="413">
        <v>44774</v>
      </c>
    </row>
    <row r="41" spans="1:13" s="316" customFormat="1" ht="50.25" customHeight="1">
      <c r="A41" s="412">
        <v>326668</v>
      </c>
      <c r="B41" s="320" t="s">
        <v>1479</v>
      </c>
      <c r="C41" s="320" t="s">
        <v>1481</v>
      </c>
      <c r="D41" s="320" t="s">
        <v>51</v>
      </c>
      <c r="E41" s="319" t="s">
        <v>591</v>
      </c>
      <c r="F41" s="320" t="s">
        <v>40</v>
      </c>
      <c r="G41" s="320" t="s">
        <v>4441</v>
      </c>
      <c r="H41" s="320" t="s">
        <v>1233</v>
      </c>
      <c r="I41" s="322" t="s">
        <v>1486</v>
      </c>
      <c r="J41" s="323" t="s">
        <v>2545</v>
      </c>
      <c r="K41" s="323"/>
      <c r="L41" s="323"/>
      <c r="M41" s="413">
        <v>44774</v>
      </c>
    </row>
    <row r="42" spans="1:13" s="316" customFormat="1" ht="50.25" customHeight="1">
      <c r="A42" s="412">
        <v>327040</v>
      </c>
      <c r="B42" s="320" t="s">
        <v>1465</v>
      </c>
      <c r="C42" s="320" t="s">
        <v>918</v>
      </c>
      <c r="D42" s="320" t="s">
        <v>51</v>
      </c>
      <c r="E42" s="319" t="s">
        <v>591</v>
      </c>
      <c r="F42" s="320" t="s">
        <v>40</v>
      </c>
      <c r="G42" s="320" t="s">
        <v>5279</v>
      </c>
      <c r="H42" s="320" t="s">
        <v>1233</v>
      </c>
      <c r="I42" s="322" t="s">
        <v>1494</v>
      </c>
      <c r="J42" s="323" t="s">
        <v>2545</v>
      </c>
      <c r="K42" s="323"/>
      <c r="L42" s="323"/>
      <c r="M42" s="413">
        <v>44774</v>
      </c>
    </row>
    <row r="43" spans="1:13" s="316" customFormat="1" ht="50.25" customHeight="1">
      <c r="A43" s="412">
        <v>329009</v>
      </c>
      <c r="B43" s="320" t="s">
        <v>4227</v>
      </c>
      <c r="C43" s="320" t="s">
        <v>4229</v>
      </c>
      <c r="D43" s="320" t="s">
        <v>51</v>
      </c>
      <c r="E43" s="319" t="s">
        <v>591</v>
      </c>
      <c r="F43" s="320" t="s">
        <v>40</v>
      </c>
      <c r="G43" s="320" t="s">
        <v>1510</v>
      </c>
      <c r="H43" s="320" t="s">
        <v>1233</v>
      </c>
      <c r="I43" s="322" t="s">
        <v>4246</v>
      </c>
      <c r="J43" s="323" t="s">
        <v>2545</v>
      </c>
      <c r="K43" s="323"/>
      <c r="L43" s="323"/>
      <c r="M43" s="413">
        <v>44774</v>
      </c>
    </row>
    <row r="44" spans="1:13" s="316" customFormat="1" ht="50.25" customHeight="1">
      <c r="A44" s="412">
        <v>180954</v>
      </c>
      <c r="B44" s="320" t="s">
        <v>4562</v>
      </c>
      <c r="C44" s="320" t="s">
        <v>4565</v>
      </c>
      <c r="D44" s="320" t="s">
        <v>51</v>
      </c>
      <c r="E44" s="319" t="s">
        <v>591</v>
      </c>
      <c r="F44" s="320" t="s">
        <v>40</v>
      </c>
      <c r="G44" s="320" t="s">
        <v>5280</v>
      </c>
      <c r="H44" s="320" t="s">
        <v>5218</v>
      </c>
      <c r="I44" s="322" t="s">
        <v>6030</v>
      </c>
      <c r="J44" s="323" t="s">
        <v>2547</v>
      </c>
      <c r="K44" s="323"/>
      <c r="L44" s="323"/>
      <c r="M44" s="413">
        <v>44774</v>
      </c>
    </row>
    <row r="45" spans="1:13" s="316" customFormat="1" ht="50.25" customHeight="1">
      <c r="A45" s="412">
        <v>311530</v>
      </c>
      <c r="B45" s="320" t="s">
        <v>1046</v>
      </c>
      <c r="C45" s="320" t="s">
        <v>1048</v>
      </c>
      <c r="D45" s="320" t="s">
        <v>1022</v>
      </c>
      <c r="E45" s="319" t="s">
        <v>591</v>
      </c>
      <c r="F45" s="320" t="s">
        <v>40</v>
      </c>
      <c r="G45" s="320" t="s">
        <v>5282</v>
      </c>
      <c r="H45" s="320" t="s">
        <v>1233</v>
      </c>
      <c r="I45" s="322" t="s">
        <v>4702</v>
      </c>
      <c r="J45" s="323" t="s">
        <v>2545</v>
      </c>
      <c r="K45" s="323"/>
      <c r="L45" s="323"/>
      <c r="M45" s="413">
        <v>44785</v>
      </c>
    </row>
    <row r="46" spans="1:13" s="316" customFormat="1" ht="50.25" customHeight="1">
      <c r="A46" s="412">
        <v>260431</v>
      </c>
      <c r="B46" s="320" t="s">
        <v>676</v>
      </c>
      <c r="C46" s="320" t="s">
        <v>74</v>
      </c>
      <c r="D46" s="320" t="s">
        <v>55</v>
      </c>
      <c r="E46" s="319" t="s">
        <v>591</v>
      </c>
      <c r="F46" s="320" t="s">
        <v>40</v>
      </c>
      <c r="G46" s="320" t="s">
        <v>5449</v>
      </c>
      <c r="H46" s="320" t="s">
        <v>1402</v>
      </c>
      <c r="I46" s="322" t="s">
        <v>4510</v>
      </c>
      <c r="J46" s="323" t="s">
        <v>2547</v>
      </c>
      <c r="K46" s="323"/>
      <c r="L46" s="323"/>
      <c r="M46" s="413">
        <v>44804</v>
      </c>
    </row>
    <row r="47" spans="1:13" s="316" customFormat="1" ht="50.25" customHeight="1">
      <c r="A47" s="412">
        <v>266318</v>
      </c>
      <c r="B47" s="320" t="s">
        <v>1384</v>
      </c>
      <c r="C47" s="320" t="s">
        <v>336</v>
      </c>
      <c r="D47" s="320" t="s">
        <v>337</v>
      </c>
      <c r="E47" s="319" t="s">
        <v>591</v>
      </c>
      <c r="F47" s="320" t="s">
        <v>41</v>
      </c>
      <c r="G47" s="320" t="s">
        <v>786</v>
      </c>
      <c r="H47" s="320" t="s">
        <v>1162</v>
      </c>
      <c r="I47" s="322" t="s">
        <v>5021</v>
      </c>
      <c r="J47" s="323" t="s">
        <v>2547</v>
      </c>
      <c r="K47" s="323"/>
      <c r="L47" s="323"/>
      <c r="M47" s="413">
        <v>44804</v>
      </c>
    </row>
    <row r="48" spans="1:13" s="316" customFormat="1" ht="50.25" customHeight="1">
      <c r="A48" s="412">
        <v>294094</v>
      </c>
      <c r="B48" s="320" t="s">
        <v>684</v>
      </c>
      <c r="C48" s="320" t="s">
        <v>614</v>
      </c>
      <c r="D48" s="320" t="s">
        <v>558</v>
      </c>
      <c r="E48" s="319" t="s">
        <v>591</v>
      </c>
      <c r="F48" s="320" t="s">
        <v>40</v>
      </c>
      <c r="G48" s="320" t="s">
        <v>5282</v>
      </c>
      <c r="H48" s="320" t="s">
        <v>1402</v>
      </c>
      <c r="I48" s="322" t="s">
        <v>5663</v>
      </c>
      <c r="J48" s="323" t="s">
        <v>2547</v>
      </c>
      <c r="K48" s="323"/>
      <c r="L48" s="323"/>
      <c r="M48" s="413">
        <v>44804</v>
      </c>
    </row>
    <row r="49" spans="1:13" s="316" customFormat="1" ht="50.25" customHeight="1">
      <c r="A49" s="412">
        <v>297951</v>
      </c>
      <c r="B49" s="320" t="s">
        <v>999</v>
      </c>
      <c r="C49" s="320" t="s">
        <v>336</v>
      </c>
      <c r="D49" s="320" t="s">
        <v>337</v>
      </c>
      <c r="E49" s="319" t="s">
        <v>591</v>
      </c>
      <c r="F49" s="320" t="s">
        <v>40</v>
      </c>
      <c r="G49" s="320" t="s">
        <v>5282</v>
      </c>
      <c r="H49" s="320" t="s">
        <v>1402</v>
      </c>
      <c r="I49" s="322" t="s">
        <v>5393</v>
      </c>
      <c r="J49" s="323" t="s">
        <v>2547</v>
      </c>
      <c r="K49" s="323"/>
      <c r="L49" s="323"/>
      <c r="M49" s="413">
        <v>44804</v>
      </c>
    </row>
    <row r="50" spans="1:13" s="316" customFormat="1" ht="50.25" customHeight="1">
      <c r="A50" s="412">
        <v>325878</v>
      </c>
      <c r="B50" s="320" t="s">
        <v>1453</v>
      </c>
      <c r="C50" s="320" t="s">
        <v>336</v>
      </c>
      <c r="D50" s="320" t="s">
        <v>337</v>
      </c>
      <c r="E50" s="319" t="s">
        <v>591</v>
      </c>
      <c r="F50" s="320" t="s">
        <v>40</v>
      </c>
      <c r="G50" s="320" t="s">
        <v>5279</v>
      </c>
      <c r="H50" s="320" t="s">
        <v>1402</v>
      </c>
      <c r="I50" s="322" t="s">
        <v>5469</v>
      </c>
      <c r="J50" s="323" t="s">
        <v>2547</v>
      </c>
      <c r="K50" s="323"/>
      <c r="L50" s="323"/>
      <c r="M50" s="413">
        <v>44804</v>
      </c>
    </row>
    <row r="51" spans="1:13" s="316" customFormat="1" ht="50.25" customHeight="1">
      <c r="A51" s="412">
        <v>330169</v>
      </c>
      <c r="B51" s="320" t="s">
        <v>4508</v>
      </c>
      <c r="C51" s="320" t="s">
        <v>578</v>
      </c>
      <c r="D51" s="320" t="s">
        <v>452</v>
      </c>
      <c r="E51" s="319" t="s">
        <v>591</v>
      </c>
      <c r="F51" s="320" t="s">
        <v>40</v>
      </c>
      <c r="G51" s="320" t="s">
        <v>1510</v>
      </c>
      <c r="H51" s="320"/>
      <c r="I51" s="322" t="s">
        <v>5628</v>
      </c>
      <c r="J51" s="323" t="s">
        <v>2547</v>
      </c>
      <c r="K51" s="323"/>
      <c r="L51" s="323"/>
      <c r="M51" s="413">
        <v>44804</v>
      </c>
    </row>
    <row r="52" spans="1:13" s="316" customFormat="1" ht="50.25" customHeight="1">
      <c r="A52" s="412">
        <v>288222</v>
      </c>
      <c r="B52" s="320" t="s">
        <v>512</v>
      </c>
      <c r="C52" s="320" t="s">
        <v>336</v>
      </c>
      <c r="D52" s="320" t="s">
        <v>337</v>
      </c>
      <c r="E52" s="319" t="s">
        <v>591</v>
      </c>
      <c r="F52" s="320" t="s">
        <v>40</v>
      </c>
      <c r="G52" s="320" t="s">
        <v>5282</v>
      </c>
      <c r="H52" s="320" t="s">
        <v>1233</v>
      </c>
      <c r="I52" s="322" t="s">
        <v>5662</v>
      </c>
      <c r="J52" s="323" t="s">
        <v>2549</v>
      </c>
      <c r="K52" s="323"/>
      <c r="L52" s="323"/>
      <c r="M52" s="413">
        <v>44804</v>
      </c>
    </row>
    <row r="53" spans="1:13" s="316" customFormat="1" ht="50.25" customHeight="1">
      <c r="A53" s="412">
        <v>288403</v>
      </c>
      <c r="B53" s="320" t="s">
        <v>4386</v>
      </c>
      <c r="C53" s="320" t="s">
        <v>336</v>
      </c>
      <c r="D53" s="320" t="s">
        <v>337</v>
      </c>
      <c r="E53" s="319" t="s">
        <v>591</v>
      </c>
      <c r="F53" s="320" t="s">
        <v>40</v>
      </c>
      <c r="G53" s="320" t="s">
        <v>5279</v>
      </c>
      <c r="H53" s="320" t="s">
        <v>1233</v>
      </c>
      <c r="I53" s="322" t="s">
        <v>5461</v>
      </c>
      <c r="J53" s="323" t="s">
        <v>2549</v>
      </c>
      <c r="K53" s="323"/>
      <c r="L53" s="323"/>
      <c r="M53" s="413">
        <v>44804</v>
      </c>
    </row>
    <row r="54" spans="1:13" s="316" customFormat="1" ht="50.25" customHeight="1">
      <c r="A54" s="412">
        <v>288415</v>
      </c>
      <c r="B54" s="320" t="s">
        <v>4387</v>
      </c>
      <c r="C54" s="320" t="s">
        <v>336</v>
      </c>
      <c r="D54" s="320" t="s">
        <v>337</v>
      </c>
      <c r="E54" s="319" t="s">
        <v>591</v>
      </c>
      <c r="F54" s="320" t="s">
        <v>40</v>
      </c>
      <c r="G54" s="320" t="s">
        <v>5449</v>
      </c>
      <c r="H54" s="320" t="s">
        <v>1402</v>
      </c>
      <c r="I54" s="322" t="s">
        <v>5462</v>
      </c>
      <c r="J54" s="323" t="s">
        <v>2549</v>
      </c>
      <c r="K54" s="323"/>
      <c r="L54" s="323"/>
      <c r="M54" s="413">
        <v>44804</v>
      </c>
    </row>
    <row r="55" spans="1:13" s="316" customFormat="1" ht="50.25" customHeight="1">
      <c r="A55" s="412">
        <v>288222</v>
      </c>
      <c r="B55" s="320" t="s">
        <v>512</v>
      </c>
      <c r="C55" s="320" t="s">
        <v>336</v>
      </c>
      <c r="D55" s="320" t="s">
        <v>337</v>
      </c>
      <c r="E55" s="319" t="s">
        <v>591</v>
      </c>
      <c r="F55" s="320" t="s">
        <v>40</v>
      </c>
      <c r="G55" s="320" t="s">
        <v>5282</v>
      </c>
      <c r="H55" s="320" t="s">
        <v>1233</v>
      </c>
      <c r="I55" s="322" t="s">
        <v>5662</v>
      </c>
      <c r="J55" s="323" t="s">
        <v>2553</v>
      </c>
      <c r="K55" s="323"/>
      <c r="L55" s="323"/>
      <c r="M55" s="413">
        <v>44804</v>
      </c>
    </row>
    <row r="56" spans="1:13" s="316" customFormat="1" ht="50.25" customHeight="1">
      <c r="A56" s="412">
        <v>288403</v>
      </c>
      <c r="B56" s="320" t="s">
        <v>4386</v>
      </c>
      <c r="C56" s="320" t="s">
        <v>336</v>
      </c>
      <c r="D56" s="320" t="s">
        <v>337</v>
      </c>
      <c r="E56" s="319" t="s">
        <v>591</v>
      </c>
      <c r="F56" s="320" t="s">
        <v>40</v>
      </c>
      <c r="G56" s="320" t="s">
        <v>5279</v>
      </c>
      <c r="H56" s="320" t="s">
        <v>1233</v>
      </c>
      <c r="I56" s="322" t="s">
        <v>5461</v>
      </c>
      <c r="J56" s="323" t="s">
        <v>2553</v>
      </c>
      <c r="K56" s="323"/>
      <c r="L56" s="323"/>
      <c r="M56" s="413">
        <v>44804</v>
      </c>
    </row>
    <row r="57" spans="1:13" s="316" customFormat="1" ht="50.25" customHeight="1">
      <c r="A57" s="412">
        <v>288415</v>
      </c>
      <c r="B57" s="320" t="s">
        <v>4387</v>
      </c>
      <c r="C57" s="320" t="s">
        <v>336</v>
      </c>
      <c r="D57" s="320" t="s">
        <v>337</v>
      </c>
      <c r="E57" s="319" t="s">
        <v>591</v>
      </c>
      <c r="F57" s="320" t="s">
        <v>40</v>
      </c>
      <c r="G57" s="320" t="s">
        <v>5449</v>
      </c>
      <c r="H57" s="320" t="s">
        <v>1402</v>
      </c>
      <c r="I57" s="322" t="s">
        <v>5462</v>
      </c>
      <c r="J57" s="323" t="s">
        <v>2553</v>
      </c>
      <c r="K57" s="323"/>
      <c r="L57" s="323"/>
      <c r="M57" s="413">
        <v>44804</v>
      </c>
    </row>
    <row r="58" spans="1:13" s="316" customFormat="1" ht="50.25" customHeight="1">
      <c r="A58" s="412">
        <v>331544</v>
      </c>
      <c r="B58" s="320" t="s">
        <v>5364</v>
      </c>
      <c r="C58" s="320" t="s">
        <v>336</v>
      </c>
      <c r="D58" s="320" t="s">
        <v>337</v>
      </c>
      <c r="E58" s="319" t="s">
        <v>591</v>
      </c>
      <c r="F58" s="320" t="s">
        <v>40</v>
      </c>
      <c r="G58" s="320" t="s">
        <v>5281</v>
      </c>
      <c r="H58" s="320" t="s">
        <v>1233</v>
      </c>
      <c r="I58" s="322" t="s">
        <v>5368</v>
      </c>
      <c r="J58" s="323" t="s">
        <v>2553</v>
      </c>
      <c r="K58" s="323"/>
      <c r="L58" s="323"/>
      <c r="M58" s="413">
        <v>44804</v>
      </c>
    </row>
    <row r="59" spans="1:13" s="316" customFormat="1" ht="50.25" customHeight="1">
      <c r="A59" s="412">
        <v>288403</v>
      </c>
      <c r="B59" s="320" t="s">
        <v>4386</v>
      </c>
      <c r="C59" s="320" t="s">
        <v>336</v>
      </c>
      <c r="D59" s="320" t="s">
        <v>337</v>
      </c>
      <c r="E59" s="319" t="s">
        <v>591</v>
      </c>
      <c r="F59" s="320" t="s">
        <v>40</v>
      </c>
      <c r="G59" s="320" t="s">
        <v>5279</v>
      </c>
      <c r="H59" s="320" t="s">
        <v>1233</v>
      </c>
      <c r="I59" s="322" t="s">
        <v>5461</v>
      </c>
      <c r="J59" s="323" t="s">
        <v>2555</v>
      </c>
      <c r="K59" s="323"/>
      <c r="L59" s="323"/>
      <c r="M59" s="413">
        <v>44804</v>
      </c>
    </row>
    <row r="60" spans="1:13" s="316" customFormat="1" ht="50.25" customHeight="1">
      <c r="A60" s="412">
        <v>266317</v>
      </c>
      <c r="B60" s="320" t="s">
        <v>1179</v>
      </c>
      <c r="C60" s="320" t="s">
        <v>1157</v>
      </c>
      <c r="D60" s="320" t="s">
        <v>51</v>
      </c>
      <c r="E60" s="319" t="s">
        <v>591</v>
      </c>
      <c r="F60" s="320" t="s">
        <v>41</v>
      </c>
      <c r="G60" s="320" t="s">
        <v>786</v>
      </c>
      <c r="H60" s="320" t="s">
        <v>1233</v>
      </c>
      <c r="I60" s="322" t="s">
        <v>1504</v>
      </c>
      <c r="J60" s="323" t="s">
        <v>2545</v>
      </c>
      <c r="K60" s="323"/>
      <c r="L60" s="323"/>
      <c r="M60" s="413">
        <v>44805</v>
      </c>
    </row>
    <row r="61" spans="1:13" s="316" customFormat="1" ht="50.25" customHeight="1">
      <c r="A61" s="412">
        <v>288412</v>
      </c>
      <c r="B61" s="320" t="s">
        <v>519</v>
      </c>
      <c r="C61" s="320" t="s">
        <v>236</v>
      </c>
      <c r="D61" s="320" t="s">
        <v>51</v>
      </c>
      <c r="E61" s="319" t="s">
        <v>591</v>
      </c>
      <c r="F61" s="320" t="s">
        <v>40</v>
      </c>
      <c r="G61" s="320" t="s">
        <v>5282</v>
      </c>
      <c r="H61" s="320" t="s">
        <v>1402</v>
      </c>
      <c r="I61" s="322" t="s">
        <v>5611</v>
      </c>
      <c r="J61" s="323" t="s">
        <v>2545</v>
      </c>
      <c r="K61" s="323"/>
      <c r="L61" s="323"/>
      <c r="M61" s="413">
        <v>44805</v>
      </c>
    </row>
    <row r="62" spans="1:13" s="316" customFormat="1" ht="50.25" customHeight="1">
      <c r="A62" s="412">
        <v>288653</v>
      </c>
      <c r="B62" s="320" t="s">
        <v>750</v>
      </c>
      <c r="C62" s="320" t="s">
        <v>753</v>
      </c>
      <c r="D62" s="320" t="s">
        <v>51</v>
      </c>
      <c r="E62" s="319" t="s">
        <v>591</v>
      </c>
      <c r="F62" s="320" t="s">
        <v>40</v>
      </c>
      <c r="G62" s="320" t="s">
        <v>4441</v>
      </c>
      <c r="H62" s="320" t="s">
        <v>1233</v>
      </c>
      <c r="I62" s="322" t="s">
        <v>1516</v>
      </c>
      <c r="J62" s="323" t="s">
        <v>2545</v>
      </c>
      <c r="K62" s="323"/>
      <c r="L62" s="323"/>
      <c r="M62" s="413">
        <v>44805</v>
      </c>
    </row>
    <row r="63" spans="1:13" s="316" customFormat="1" ht="50.25" customHeight="1">
      <c r="A63" s="412">
        <v>314094</v>
      </c>
      <c r="B63" s="320" t="s">
        <v>1089</v>
      </c>
      <c r="C63" s="320" t="s">
        <v>1091</v>
      </c>
      <c r="D63" s="320" t="s">
        <v>51</v>
      </c>
      <c r="E63" s="319" t="s">
        <v>591</v>
      </c>
      <c r="F63" s="320" t="s">
        <v>43</v>
      </c>
      <c r="G63" s="320" t="s">
        <v>1421</v>
      </c>
      <c r="H63" s="320" t="s">
        <v>1402</v>
      </c>
      <c r="I63" s="322" t="s">
        <v>1500</v>
      </c>
      <c r="J63" s="323" t="s">
        <v>2545</v>
      </c>
      <c r="K63" s="323"/>
      <c r="L63" s="323"/>
      <c r="M63" s="413">
        <v>44805</v>
      </c>
    </row>
    <row r="64" spans="1:13" s="316" customFormat="1" ht="50.25" customHeight="1">
      <c r="A64" s="412">
        <v>317750</v>
      </c>
      <c r="B64" s="320" t="s">
        <v>1180</v>
      </c>
      <c r="C64" s="320" t="s">
        <v>1182</v>
      </c>
      <c r="D64" s="320" t="s">
        <v>51</v>
      </c>
      <c r="E64" s="319" t="s">
        <v>591</v>
      </c>
      <c r="F64" s="320" t="s">
        <v>41</v>
      </c>
      <c r="G64" s="320" t="s">
        <v>1510</v>
      </c>
      <c r="H64" s="320" t="s">
        <v>1233</v>
      </c>
      <c r="I64" s="322" t="s">
        <v>4631</v>
      </c>
      <c r="J64" s="323" t="s">
        <v>2545</v>
      </c>
      <c r="K64" s="323"/>
      <c r="L64" s="323"/>
      <c r="M64" s="413">
        <v>44805</v>
      </c>
    </row>
    <row r="65" spans="1:13" s="316" customFormat="1" ht="50.25" customHeight="1">
      <c r="A65" s="412">
        <v>285440</v>
      </c>
      <c r="B65" s="320" t="s">
        <v>490</v>
      </c>
      <c r="C65" s="320" t="s">
        <v>492</v>
      </c>
      <c r="D65" s="320" t="s">
        <v>175</v>
      </c>
      <c r="E65" s="319" t="s">
        <v>591</v>
      </c>
      <c r="F65" s="320" t="s">
        <v>40</v>
      </c>
      <c r="G65" s="320" t="s">
        <v>1510</v>
      </c>
      <c r="H65" s="320" t="s">
        <v>1402</v>
      </c>
      <c r="I65" s="322" t="s">
        <v>4786</v>
      </c>
      <c r="J65" s="323" t="s">
        <v>4392</v>
      </c>
      <c r="K65" s="323"/>
      <c r="L65" s="323"/>
      <c r="M65" s="413">
        <v>44813</v>
      </c>
    </row>
    <row r="66" spans="1:13" s="316" customFormat="1" ht="50.25" customHeight="1">
      <c r="A66" s="412">
        <v>319735</v>
      </c>
      <c r="B66" s="320" t="s">
        <v>5030</v>
      </c>
      <c r="C66" s="320" t="s">
        <v>5032</v>
      </c>
      <c r="D66" s="320" t="s">
        <v>51</v>
      </c>
      <c r="E66" s="319" t="s">
        <v>591</v>
      </c>
      <c r="F66" s="320" t="s">
        <v>40</v>
      </c>
      <c r="G66" s="320" t="s">
        <v>5282</v>
      </c>
      <c r="H66" s="320" t="s">
        <v>1402</v>
      </c>
      <c r="I66" s="322" t="s">
        <v>5040</v>
      </c>
      <c r="J66" s="323" t="s">
        <v>2545</v>
      </c>
      <c r="K66" s="323"/>
      <c r="L66" s="323"/>
      <c r="M66" s="413">
        <v>44822</v>
      </c>
    </row>
    <row r="67" spans="1:13" s="316" customFormat="1" ht="50.25" customHeight="1">
      <c r="A67" s="412">
        <v>172671</v>
      </c>
      <c r="B67" s="320" t="s">
        <v>1308</v>
      </c>
      <c r="C67" s="320" t="s">
        <v>1310</v>
      </c>
      <c r="D67" s="320" t="s">
        <v>1311</v>
      </c>
      <c r="E67" s="319" t="s">
        <v>591</v>
      </c>
      <c r="F67" s="320" t="s">
        <v>41</v>
      </c>
      <c r="G67" s="320" t="s">
        <v>1421</v>
      </c>
      <c r="H67" s="320" t="s">
        <v>1402</v>
      </c>
      <c r="I67" s="322" t="s">
        <v>4939</v>
      </c>
      <c r="J67" s="323" t="s">
        <v>2547</v>
      </c>
      <c r="K67" s="323"/>
      <c r="L67" s="323"/>
      <c r="M67" s="413">
        <v>44834</v>
      </c>
    </row>
    <row r="68" spans="1:13" s="316" customFormat="1" ht="50.25" customHeight="1">
      <c r="A68" s="412">
        <v>201798</v>
      </c>
      <c r="B68" s="320" t="s">
        <v>357</v>
      </c>
      <c r="C68" s="320" t="s">
        <v>360</v>
      </c>
      <c r="D68" s="320" t="s">
        <v>246</v>
      </c>
      <c r="E68" s="319" t="s">
        <v>591</v>
      </c>
      <c r="F68" s="320" t="s">
        <v>40</v>
      </c>
      <c r="G68" s="320" t="s">
        <v>1277</v>
      </c>
      <c r="H68" s="320" t="s">
        <v>1162</v>
      </c>
      <c r="I68" s="322" t="s">
        <v>5677</v>
      </c>
      <c r="J68" s="323" t="s">
        <v>2547</v>
      </c>
      <c r="K68" s="323"/>
      <c r="L68" s="323"/>
      <c r="M68" s="413">
        <v>44834</v>
      </c>
    </row>
    <row r="69" spans="1:13" s="316" customFormat="1" ht="50.25" customHeight="1">
      <c r="A69" s="412">
        <v>249853</v>
      </c>
      <c r="B69" s="320" t="s">
        <v>931</v>
      </c>
      <c r="C69" s="320" t="s">
        <v>488</v>
      </c>
      <c r="D69" s="320" t="s">
        <v>175</v>
      </c>
      <c r="E69" s="319" t="s">
        <v>591</v>
      </c>
      <c r="F69" s="320" t="s">
        <v>41</v>
      </c>
      <c r="G69" s="320" t="s">
        <v>1510</v>
      </c>
      <c r="H69" s="320" t="s">
        <v>1402</v>
      </c>
      <c r="I69" s="322" t="s">
        <v>5903</v>
      </c>
      <c r="J69" s="323" t="s">
        <v>2547</v>
      </c>
      <c r="K69" s="323"/>
      <c r="L69" s="323"/>
      <c r="M69" s="413">
        <v>44834</v>
      </c>
    </row>
    <row r="70" spans="1:13" s="316" customFormat="1" ht="50.25" customHeight="1">
      <c r="A70" s="412">
        <v>249853</v>
      </c>
      <c r="B70" s="320" t="s">
        <v>931</v>
      </c>
      <c r="C70" s="320" t="s">
        <v>488</v>
      </c>
      <c r="D70" s="320" t="s">
        <v>175</v>
      </c>
      <c r="E70" s="319" t="s">
        <v>591</v>
      </c>
      <c r="F70" s="320" t="s">
        <v>784</v>
      </c>
      <c r="G70" s="320" t="s">
        <v>1336</v>
      </c>
      <c r="H70" s="320" t="s">
        <v>1402</v>
      </c>
      <c r="I70" s="322" t="s">
        <v>5903</v>
      </c>
      <c r="J70" s="323" t="s">
        <v>2547</v>
      </c>
      <c r="K70" s="323"/>
      <c r="L70" s="323"/>
      <c r="M70" s="413">
        <v>44834</v>
      </c>
    </row>
    <row r="71" spans="1:13" s="316" customFormat="1" ht="50.25" customHeight="1">
      <c r="A71" s="412">
        <v>249853</v>
      </c>
      <c r="B71" s="320" t="s">
        <v>931</v>
      </c>
      <c r="C71" s="320" t="s">
        <v>488</v>
      </c>
      <c r="D71" s="320" t="s">
        <v>175</v>
      </c>
      <c r="E71" s="319" t="s">
        <v>591</v>
      </c>
      <c r="F71" s="320" t="s">
        <v>787</v>
      </c>
      <c r="G71" s="320" t="s">
        <v>1336</v>
      </c>
      <c r="H71" s="320" t="s">
        <v>1402</v>
      </c>
      <c r="I71" s="322" t="s">
        <v>5903</v>
      </c>
      <c r="J71" s="323" t="s">
        <v>2547</v>
      </c>
      <c r="K71" s="323"/>
      <c r="L71" s="323"/>
      <c r="M71" s="413">
        <v>44834</v>
      </c>
    </row>
    <row r="72" spans="1:13" s="316" customFormat="1" ht="50.25" customHeight="1">
      <c r="A72" s="412">
        <v>260328</v>
      </c>
      <c r="B72" s="320" t="s">
        <v>450</v>
      </c>
      <c r="C72" s="320" t="s">
        <v>1112</v>
      </c>
      <c r="D72" s="320" t="s">
        <v>47</v>
      </c>
      <c r="E72" s="319" t="s">
        <v>591</v>
      </c>
      <c r="F72" s="320" t="s">
        <v>40</v>
      </c>
      <c r="G72" s="320" t="s">
        <v>5278</v>
      </c>
      <c r="H72" s="320" t="s">
        <v>1233</v>
      </c>
      <c r="I72" s="322" t="s">
        <v>5569</v>
      </c>
      <c r="J72" s="323" t="s">
        <v>2547</v>
      </c>
      <c r="K72" s="323"/>
      <c r="L72" s="323"/>
      <c r="M72" s="413">
        <v>44834</v>
      </c>
    </row>
    <row r="73" spans="1:13" s="316" customFormat="1" ht="50.25" customHeight="1">
      <c r="A73" s="412">
        <v>275809</v>
      </c>
      <c r="B73" s="320" t="s">
        <v>5894</v>
      </c>
      <c r="C73" s="320" t="s">
        <v>380</v>
      </c>
      <c r="D73" s="320" t="s">
        <v>381</v>
      </c>
      <c r="E73" s="319" t="s">
        <v>591</v>
      </c>
      <c r="F73" s="320" t="s">
        <v>40</v>
      </c>
      <c r="G73" s="320" t="s">
        <v>1277</v>
      </c>
      <c r="H73" s="320" t="s">
        <v>1402</v>
      </c>
      <c r="I73" s="322" t="s">
        <v>5038</v>
      </c>
      <c r="J73" s="323" t="s">
        <v>2547</v>
      </c>
      <c r="K73" s="323"/>
      <c r="L73" s="323"/>
      <c r="M73" s="413">
        <v>44834</v>
      </c>
    </row>
    <row r="74" spans="1:13" s="316" customFormat="1" ht="50.25" customHeight="1">
      <c r="A74" s="412">
        <v>277046</v>
      </c>
      <c r="B74" s="320" t="s">
        <v>476</v>
      </c>
      <c r="C74" s="320" t="s">
        <v>478</v>
      </c>
      <c r="D74" s="320" t="s">
        <v>47</v>
      </c>
      <c r="E74" s="319" t="s">
        <v>591</v>
      </c>
      <c r="F74" s="320" t="s">
        <v>40</v>
      </c>
      <c r="G74" s="320" t="s">
        <v>1336</v>
      </c>
      <c r="H74" s="320" t="s">
        <v>1402</v>
      </c>
      <c r="I74" s="322" t="s">
        <v>5420</v>
      </c>
      <c r="J74" s="323" t="s">
        <v>2547</v>
      </c>
      <c r="K74" s="323"/>
      <c r="L74" s="323"/>
      <c r="M74" s="413">
        <v>44834</v>
      </c>
    </row>
    <row r="75" spans="1:13" s="316" customFormat="1" ht="50.25" customHeight="1">
      <c r="A75" s="412">
        <v>284291</v>
      </c>
      <c r="B75" s="320" t="s">
        <v>479</v>
      </c>
      <c r="C75" s="320" t="s">
        <v>380</v>
      </c>
      <c r="D75" s="320" t="s">
        <v>381</v>
      </c>
      <c r="E75" s="319" t="s">
        <v>591</v>
      </c>
      <c r="F75" s="320" t="s">
        <v>40</v>
      </c>
      <c r="G75" s="320" t="s">
        <v>5282</v>
      </c>
      <c r="H75" s="320" t="s">
        <v>1233</v>
      </c>
      <c r="I75" s="322" t="s">
        <v>4700</v>
      </c>
      <c r="J75" s="323" t="s">
        <v>2547</v>
      </c>
      <c r="K75" s="323"/>
      <c r="L75" s="323"/>
      <c r="M75" s="413">
        <v>44834</v>
      </c>
    </row>
    <row r="76" spans="1:13" s="316" customFormat="1" ht="50.25" customHeight="1">
      <c r="A76" s="412">
        <v>287466</v>
      </c>
      <c r="B76" s="320" t="s">
        <v>500</v>
      </c>
      <c r="C76" s="320" t="s">
        <v>336</v>
      </c>
      <c r="D76" s="320" t="s">
        <v>337</v>
      </c>
      <c r="E76" s="319" t="s">
        <v>591</v>
      </c>
      <c r="F76" s="320" t="s">
        <v>40</v>
      </c>
      <c r="G76" s="320" t="s">
        <v>5282</v>
      </c>
      <c r="H76" s="320" t="s">
        <v>1233</v>
      </c>
      <c r="I76" s="322" t="s">
        <v>5680</v>
      </c>
      <c r="J76" s="323" t="s">
        <v>2547</v>
      </c>
      <c r="K76" s="323"/>
      <c r="L76" s="323"/>
      <c r="M76" s="413">
        <v>44834</v>
      </c>
    </row>
    <row r="77" spans="1:13" s="316" customFormat="1" ht="50.25" customHeight="1">
      <c r="A77" s="412">
        <v>287523</v>
      </c>
      <c r="B77" s="320" t="s">
        <v>506</v>
      </c>
      <c r="C77" s="320" t="s">
        <v>336</v>
      </c>
      <c r="D77" s="320" t="s">
        <v>337</v>
      </c>
      <c r="E77" s="319" t="s">
        <v>591</v>
      </c>
      <c r="F77" s="320" t="s">
        <v>40</v>
      </c>
      <c r="G77" s="320" t="s">
        <v>4608</v>
      </c>
      <c r="H77" s="320" t="s">
        <v>1233</v>
      </c>
      <c r="I77" s="322" t="s">
        <v>5610</v>
      </c>
      <c r="J77" s="323" t="s">
        <v>2547</v>
      </c>
      <c r="K77" s="323"/>
      <c r="L77" s="323"/>
      <c r="M77" s="413">
        <v>44834</v>
      </c>
    </row>
    <row r="78" spans="1:13" s="316" customFormat="1" ht="50.25" customHeight="1">
      <c r="A78" s="412">
        <v>287722</v>
      </c>
      <c r="B78" s="320" t="s">
        <v>743</v>
      </c>
      <c r="C78" s="320" t="s">
        <v>1419</v>
      </c>
      <c r="D78" s="320" t="s">
        <v>1088</v>
      </c>
      <c r="E78" s="319" t="s">
        <v>591</v>
      </c>
      <c r="F78" s="320" t="s">
        <v>737</v>
      </c>
      <c r="G78" s="320" t="s">
        <v>5280</v>
      </c>
      <c r="H78" s="320" t="s">
        <v>1233</v>
      </c>
      <c r="I78" s="322" t="s">
        <v>4912</v>
      </c>
      <c r="J78" s="323" t="s">
        <v>2547</v>
      </c>
      <c r="K78" s="323"/>
      <c r="L78" s="323"/>
      <c r="M78" s="413">
        <v>44834</v>
      </c>
    </row>
    <row r="79" spans="1:13" s="316" customFormat="1" ht="50.25" customHeight="1">
      <c r="A79" s="412">
        <v>289087</v>
      </c>
      <c r="B79" s="320" t="s">
        <v>5284</v>
      </c>
      <c r="C79" s="320" t="s">
        <v>5286</v>
      </c>
      <c r="D79" s="320" t="s">
        <v>1088</v>
      </c>
      <c r="E79" s="319" t="s">
        <v>591</v>
      </c>
      <c r="F79" s="320" t="s">
        <v>40</v>
      </c>
      <c r="G79" s="320" t="s">
        <v>5281</v>
      </c>
      <c r="H79" s="320" t="s">
        <v>1233</v>
      </c>
      <c r="I79" s="322" t="s">
        <v>5297</v>
      </c>
      <c r="J79" s="323" t="s">
        <v>2547</v>
      </c>
      <c r="K79" s="323"/>
      <c r="L79" s="323"/>
      <c r="M79" s="413">
        <v>44834</v>
      </c>
    </row>
    <row r="80" spans="1:13" s="316" customFormat="1" ht="50.25" customHeight="1">
      <c r="A80" s="412">
        <v>294096</v>
      </c>
      <c r="B80" s="320" t="s">
        <v>989</v>
      </c>
      <c r="C80" s="320" t="s">
        <v>991</v>
      </c>
      <c r="D80" s="320" t="s">
        <v>381</v>
      </c>
      <c r="E80" s="319" t="s">
        <v>591</v>
      </c>
      <c r="F80" s="320" t="s">
        <v>41</v>
      </c>
      <c r="G80" s="320" t="s">
        <v>786</v>
      </c>
      <c r="H80" s="320" t="s">
        <v>1233</v>
      </c>
      <c r="I80" s="322" t="s">
        <v>4787</v>
      </c>
      <c r="J80" s="323" t="s">
        <v>2547</v>
      </c>
      <c r="K80" s="323"/>
      <c r="L80" s="323"/>
      <c r="M80" s="413">
        <v>44834</v>
      </c>
    </row>
    <row r="81" spans="1:13" s="316" customFormat="1" ht="50.25" customHeight="1">
      <c r="A81" s="412">
        <v>296804</v>
      </c>
      <c r="B81" s="320" t="s">
        <v>546</v>
      </c>
      <c r="C81" s="320" t="s">
        <v>548</v>
      </c>
      <c r="D81" s="320" t="s">
        <v>47</v>
      </c>
      <c r="E81" s="319" t="s">
        <v>591</v>
      </c>
      <c r="F81" s="320" t="s">
        <v>40</v>
      </c>
      <c r="G81" s="320" t="s">
        <v>1277</v>
      </c>
      <c r="H81" s="320" t="s">
        <v>1402</v>
      </c>
      <c r="I81" s="322" t="s">
        <v>2021</v>
      </c>
      <c r="J81" s="323" t="s">
        <v>2547</v>
      </c>
      <c r="K81" s="323"/>
      <c r="L81" s="323"/>
      <c r="M81" s="413">
        <v>44834</v>
      </c>
    </row>
    <row r="82" spans="1:13" s="316" customFormat="1" ht="50.25" customHeight="1">
      <c r="A82" s="412">
        <v>296804</v>
      </c>
      <c r="B82" s="320" t="s">
        <v>546</v>
      </c>
      <c r="C82" s="320" t="s">
        <v>548</v>
      </c>
      <c r="D82" s="320" t="s">
        <v>47</v>
      </c>
      <c r="E82" s="319" t="s">
        <v>591</v>
      </c>
      <c r="F82" s="320" t="s">
        <v>1114</v>
      </c>
      <c r="G82" s="320" t="s">
        <v>1421</v>
      </c>
      <c r="H82" s="320" t="s">
        <v>1162</v>
      </c>
      <c r="I82" s="322" t="s">
        <v>2021</v>
      </c>
      <c r="J82" s="323" t="s">
        <v>2547</v>
      </c>
      <c r="K82" s="323"/>
      <c r="L82" s="323"/>
      <c r="M82" s="413">
        <v>44834</v>
      </c>
    </row>
    <row r="83" spans="1:13" s="316" customFormat="1" ht="50.25" customHeight="1">
      <c r="A83" s="412">
        <v>298788</v>
      </c>
      <c r="B83" s="320" t="s">
        <v>556</v>
      </c>
      <c r="C83" s="320" t="s">
        <v>693</v>
      </c>
      <c r="D83" s="320" t="s">
        <v>558</v>
      </c>
      <c r="E83" s="319" t="s">
        <v>591</v>
      </c>
      <c r="F83" s="320" t="s">
        <v>41</v>
      </c>
      <c r="G83" s="320" t="s">
        <v>1421</v>
      </c>
      <c r="H83" s="320" t="s">
        <v>1402</v>
      </c>
      <c r="I83" s="322" t="s">
        <v>5616</v>
      </c>
      <c r="J83" s="323" t="s">
        <v>2547</v>
      </c>
      <c r="K83" s="323"/>
      <c r="L83" s="323"/>
      <c r="M83" s="413">
        <v>44834</v>
      </c>
    </row>
    <row r="84" spans="1:13" s="316" customFormat="1" ht="50.25" customHeight="1">
      <c r="A84" s="412">
        <v>298788</v>
      </c>
      <c r="B84" s="320" t="s">
        <v>556</v>
      </c>
      <c r="C84" s="320" t="s">
        <v>693</v>
      </c>
      <c r="D84" s="320" t="s">
        <v>558</v>
      </c>
      <c r="E84" s="319" t="s">
        <v>591</v>
      </c>
      <c r="F84" s="320" t="s">
        <v>40</v>
      </c>
      <c r="G84" s="320" t="s">
        <v>1421</v>
      </c>
      <c r="H84" s="320" t="s">
        <v>1233</v>
      </c>
      <c r="I84" s="322" t="s">
        <v>5616</v>
      </c>
      <c r="J84" s="323" t="s">
        <v>2547</v>
      </c>
      <c r="K84" s="323"/>
      <c r="L84" s="323"/>
      <c r="M84" s="413">
        <v>44834</v>
      </c>
    </row>
    <row r="85" spans="1:13" s="316" customFormat="1" ht="50.25" customHeight="1">
      <c r="A85" s="412">
        <v>299640</v>
      </c>
      <c r="B85" s="320" t="s">
        <v>4475</v>
      </c>
      <c r="C85" s="320" t="s">
        <v>174</v>
      </c>
      <c r="D85" s="320" t="s">
        <v>175</v>
      </c>
      <c r="E85" s="319" t="s">
        <v>591</v>
      </c>
      <c r="F85" s="320" t="s">
        <v>40</v>
      </c>
      <c r="G85" s="320" t="s">
        <v>1510</v>
      </c>
      <c r="H85" s="320" t="s">
        <v>1402</v>
      </c>
      <c r="I85" s="322" t="s">
        <v>4482</v>
      </c>
      <c r="J85" s="323" t="s">
        <v>2547</v>
      </c>
      <c r="K85" s="323"/>
      <c r="L85" s="323"/>
      <c r="M85" s="413">
        <v>44834</v>
      </c>
    </row>
    <row r="86" spans="1:13" s="316" customFormat="1" ht="50.25" customHeight="1">
      <c r="A86" s="412">
        <v>301805</v>
      </c>
      <c r="B86" s="320" t="s">
        <v>560</v>
      </c>
      <c r="C86" s="320" t="s">
        <v>562</v>
      </c>
      <c r="D86" s="320" t="s">
        <v>549</v>
      </c>
      <c r="E86" s="319" t="s">
        <v>591</v>
      </c>
      <c r="F86" s="320" t="s">
        <v>40</v>
      </c>
      <c r="G86" s="320" t="s">
        <v>5282</v>
      </c>
      <c r="H86" s="320" t="s">
        <v>1233</v>
      </c>
      <c r="I86" s="322" t="s">
        <v>4301</v>
      </c>
      <c r="J86" s="323" t="s">
        <v>2547</v>
      </c>
      <c r="K86" s="323"/>
      <c r="L86" s="323"/>
      <c r="M86" s="413">
        <v>44834</v>
      </c>
    </row>
    <row r="87" spans="1:13" s="316" customFormat="1" ht="50.25" customHeight="1">
      <c r="A87" s="412">
        <v>305252</v>
      </c>
      <c r="B87" s="320" t="s">
        <v>1460</v>
      </c>
      <c r="C87" s="320" t="s">
        <v>336</v>
      </c>
      <c r="D87" s="320" t="s">
        <v>337</v>
      </c>
      <c r="E87" s="319" t="s">
        <v>591</v>
      </c>
      <c r="F87" s="320" t="s">
        <v>40</v>
      </c>
      <c r="G87" s="320" t="s">
        <v>5283</v>
      </c>
      <c r="H87" s="320" t="s">
        <v>1233</v>
      </c>
      <c r="I87" s="322" t="s">
        <v>5619</v>
      </c>
      <c r="J87" s="323" t="s">
        <v>2547</v>
      </c>
      <c r="K87" s="323"/>
      <c r="L87" s="323"/>
      <c r="M87" s="413">
        <v>44834</v>
      </c>
    </row>
    <row r="88" spans="1:13" s="316" customFormat="1" ht="50.25" customHeight="1">
      <c r="A88" s="412">
        <v>306387</v>
      </c>
      <c r="B88" s="320" t="s">
        <v>581</v>
      </c>
      <c r="C88" s="320" t="s">
        <v>336</v>
      </c>
      <c r="D88" s="320" t="s">
        <v>337</v>
      </c>
      <c r="E88" s="319" t="s">
        <v>591</v>
      </c>
      <c r="F88" s="320" t="s">
        <v>40</v>
      </c>
      <c r="G88" s="320" t="s">
        <v>4638</v>
      </c>
      <c r="H88" s="320" t="s">
        <v>1233</v>
      </c>
      <c r="I88" s="322" t="s">
        <v>5621</v>
      </c>
      <c r="J88" s="323" t="s">
        <v>2547</v>
      </c>
      <c r="K88" s="323"/>
      <c r="L88" s="323"/>
      <c r="M88" s="413">
        <v>44834</v>
      </c>
    </row>
    <row r="89" spans="1:13" s="316" customFormat="1" ht="50.25" customHeight="1">
      <c r="A89" s="412">
        <v>308383</v>
      </c>
      <c r="B89" s="320" t="s">
        <v>1478</v>
      </c>
      <c r="C89" s="320" t="s">
        <v>336</v>
      </c>
      <c r="D89" s="320" t="s">
        <v>337</v>
      </c>
      <c r="E89" s="319" t="s">
        <v>591</v>
      </c>
      <c r="F89" s="320" t="s">
        <v>40</v>
      </c>
      <c r="G89" s="320" t="s">
        <v>1288</v>
      </c>
      <c r="H89" s="320" t="s">
        <v>1402</v>
      </c>
      <c r="I89" s="322" t="s">
        <v>5981</v>
      </c>
      <c r="J89" s="323" t="s">
        <v>2547</v>
      </c>
      <c r="K89" s="323"/>
      <c r="L89" s="323"/>
      <c r="M89" s="413">
        <v>44834</v>
      </c>
    </row>
    <row r="90" spans="1:13" s="316" customFormat="1" ht="50.25" customHeight="1">
      <c r="A90" s="412">
        <v>311530</v>
      </c>
      <c r="B90" s="320" t="s">
        <v>1046</v>
      </c>
      <c r="C90" s="320" t="s">
        <v>1048</v>
      </c>
      <c r="D90" s="320" t="s">
        <v>1022</v>
      </c>
      <c r="E90" s="319" t="s">
        <v>591</v>
      </c>
      <c r="F90" s="320" t="s">
        <v>40</v>
      </c>
      <c r="G90" s="320" t="s">
        <v>5282</v>
      </c>
      <c r="H90" s="320" t="s">
        <v>1233</v>
      </c>
      <c r="I90" s="322" t="s">
        <v>4702</v>
      </c>
      <c r="J90" s="323" t="s">
        <v>2547</v>
      </c>
      <c r="K90" s="323"/>
      <c r="L90" s="323"/>
      <c r="M90" s="413">
        <v>44834</v>
      </c>
    </row>
    <row r="91" spans="1:13" s="316" customFormat="1" ht="50.25" customHeight="1">
      <c r="A91" s="412">
        <v>313589</v>
      </c>
      <c r="B91" s="320" t="s">
        <v>1393</v>
      </c>
      <c r="C91" s="320" t="s">
        <v>380</v>
      </c>
      <c r="D91" s="320" t="s">
        <v>381</v>
      </c>
      <c r="E91" s="319" t="s">
        <v>591</v>
      </c>
      <c r="F91" s="320" t="s">
        <v>40</v>
      </c>
      <c r="G91" s="320" t="s">
        <v>5449</v>
      </c>
      <c r="H91" s="320" t="s">
        <v>1402</v>
      </c>
      <c r="I91" s="322" t="s">
        <v>4703</v>
      </c>
      <c r="J91" s="323" t="s">
        <v>2547</v>
      </c>
      <c r="K91" s="323"/>
      <c r="L91" s="323"/>
      <c r="M91" s="413">
        <v>44834</v>
      </c>
    </row>
    <row r="92" spans="1:13" s="316" customFormat="1" ht="50.25" customHeight="1">
      <c r="A92" s="412">
        <v>314403</v>
      </c>
      <c r="B92" s="320" t="s">
        <v>1085</v>
      </c>
      <c r="C92" s="320" t="s">
        <v>1087</v>
      </c>
      <c r="D92" s="320" t="s">
        <v>1088</v>
      </c>
      <c r="E92" s="319" t="s">
        <v>591</v>
      </c>
      <c r="F92" s="320" t="s">
        <v>40</v>
      </c>
      <c r="G92" s="320" t="s">
        <v>5450</v>
      </c>
      <c r="H92" s="320"/>
      <c r="I92" s="322" t="s">
        <v>5468</v>
      </c>
      <c r="J92" s="323" t="s">
        <v>2547</v>
      </c>
      <c r="K92" s="323"/>
      <c r="L92" s="323"/>
      <c r="M92" s="413">
        <v>44834</v>
      </c>
    </row>
    <row r="93" spans="1:13" s="316" customFormat="1" ht="50.25" customHeight="1">
      <c r="A93" s="412">
        <v>317124</v>
      </c>
      <c r="B93" s="320" t="s">
        <v>5254</v>
      </c>
      <c r="C93" s="320" t="s">
        <v>5256</v>
      </c>
      <c r="D93" s="320" t="s">
        <v>5257</v>
      </c>
      <c r="E93" s="319" t="s">
        <v>591</v>
      </c>
      <c r="F93" s="320" t="s">
        <v>40</v>
      </c>
      <c r="G93" s="320" t="s">
        <v>1288</v>
      </c>
      <c r="H93" s="320" t="s">
        <v>1233</v>
      </c>
      <c r="I93" s="322" t="s">
        <v>5302</v>
      </c>
      <c r="J93" s="323" t="s">
        <v>2547</v>
      </c>
      <c r="K93" s="323"/>
      <c r="L93" s="323"/>
      <c r="M93" s="413">
        <v>44834</v>
      </c>
    </row>
    <row r="94" spans="1:13" s="316" customFormat="1" ht="50.25" customHeight="1">
      <c r="A94" s="412">
        <v>325267</v>
      </c>
      <c r="B94" s="320" t="s">
        <v>1412</v>
      </c>
      <c r="C94" s="320" t="s">
        <v>1416</v>
      </c>
      <c r="D94" s="320" t="s">
        <v>1413</v>
      </c>
      <c r="E94" s="319" t="s">
        <v>591</v>
      </c>
      <c r="F94" s="320" t="s">
        <v>41</v>
      </c>
      <c r="G94" s="320" t="s">
        <v>4608</v>
      </c>
      <c r="H94" s="320" t="s">
        <v>1233</v>
      </c>
      <c r="I94" s="322" t="s">
        <v>5627</v>
      </c>
      <c r="J94" s="323" t="s">
        <v>2547</v>
      </c>
      <c r="K94" s="323"/>
      <c r="L94" s="323"/>
      <c r="M94" s="413">
        <v>44834</v>
      </c>
    </row>
    <row r="95" spans="1:13" s="316" customFormat="1" ht="50.25" customHeight="1">
      <c r="A95" s="412">
        <v>266318</v>
      </c>
      <c r="B95" s="320" t="s">
        <v>1384</v>
      </c>
      <c r="C95" s="320" t="s">
        <v>336</v>
      </c>
      <c r="D95" s="320" t="s">
        <v>337</v>
      </c>
      <c r="E95" s="319" t="s">
        <v>591</v>
      </c>
      <c r="F95" s="320" t="s">
        <v>41</v>
      </c>
      <c r="G95" s="320" t="s">
        <v>786</v>
      </c>
      <c r="H95" s="320" t="s">
        <v>1162</v>
      </c>
      <c r="I95" s="322" t="s">
        <v>5021</v>
      </c>
      <c r="J95" s="323" t="s">
        <v>2549</v>
      </c>
      <c r="K95" s="323"/>
      <c r="L95" s="323"/>
      <c r="M95" s="413">
        <v>44834</v>
      </c>
    </row>
    <row r="96" spans="1:13" s="316" customFormat="1" ht="50.25" customHeight="1">
      <c r="A96" s="412">
        <v>268930</v>
      </c>
      <c r="B96" s="320" t="s">
        <v>457</v>
      </c>
      <c r="C96" s="320" t="s">
        <v>336</v>
      </c>
      <c r="D96" s="320" t="s">
        <v>337</v>
      </c>
      <c r="E96" s="319" t="s">
        <v>591</v>
      </c>
      <c r="F96" s="320" t="s">
        <v>40</v>
      </c>
      <c r="G96" s="320" t="s">
        <v>5283</v>
      </c>
      <c r="H96" s="320" t="s">
        <v>1233</v>
      </c>
      <c r="I96" s="322" t="s">
        <v>5004</v>
      </c>
      <c r="J96" s="323" t="s">
        <v>2549</v>
      </c>
      <c r="K96" s="323"/>
      <c r="L96" s="323"/>
      <c r="M96" s="413">
        <v>44834</v>
      </c>
    </row>
    <row r="97" spans="1:13" s="316" customFormat="1" ht="50.25" customHeight="1">
      <c r="A97" s="412">
        <v>297951</v>
      </c>
      <c r="B97" s="320" t="s">
        <v>999</v>
      </c>
      <c r="C97" s="320" t="s">
        <v>336</v>
      </c>
      <c r="D97" s="320" t="s">
        <v>337</v>
      </c>
      <c r="E97" s="319" t="s">
        <v>591</v>
      </c>
      <c r="F97" s="320" t="s">
        <v>40</v>
      </c>
      <c r="G97" s="320" t="s">
        <v>5282</v>
      </c>
      <c r="H97" s="320" t="s">
        <v>1402</v>
      </c>
      <c r="I97" s="322" t="s">
        <v>5393</v>
      </c>
      <c r="J97" s="323" t="s">
        <v>2549</v>
      </c>
      <c r="K97" s="323"/>
      <c r="L97" s="323"/>
      <c r="M97" s="413">
        <v>44834</v>
      </c>
    </row>
    <row r="98" spans="1:13" s="316" customFormat="1" ht="50.25" customHeight="1">
      <c r="A98" s="412">
        <v>314403</v>
      </c>
      <c r="B98" s="320" t="s">
        <v>1085</v>
      </c>
      <c r="C98" s="320" t="s">
        <v>1087</v>
      </c>
      <c r="D98" s="320" t="s">
        <v>1088</v>
      </c>
      <c r="E98" s="319" t="s">
        <v>591</v>
      </c>
      <c r="F98" s="320" t="s">
        <v>40</v>
      </c>
      <c r="G98" s="320" t="s">
        <v>5450</v>
      </c>
      <c r="H98" s="320"/>
      <c r="I98" s="322" t="s">
        <v>5468</v>
      </c>
      <c r="J98" s="323" t="s">
        <v>2549</v>
      </c>
      <c r="K98" s="323"/>
      <c r="L98" s="323"/>
      <c r="M98" s="413">
        <v>44834</v>
      </c>
    </row>
    <row r="99" spans="1:13" s="316" customFormat="1" ht="50.25" customHeight="1">
      <c r="A99" s="412">
        <v>266318</v>
      </c>
      <c r="B99" s="320" t="s">
        <v>1384</v>
      </c>
      <c r="C99" s="320" t="s">
        <v>336</v>
      </c>
      <c r="D99" s="320" t="s">
        <v>337</v>
      </c>
      <c r="E99" s="319" t="s">
        <v>591</v>
      </c>
      <c r="F99" s="320" t="s">
        <v>41</v>
      </c>
      <c r="G99" s="320" t="s">
        <v>786</v>
      </c>
      <c r="H99" s="320" t="s">
        <v>1162</v>
      </c>
      <c r="I99" s="322" t="s">
        <v>5021</v>
      </c>
      <c r="J99" s="323" t="s">
        <v>2553</v>
      </c>
      <c r="K99" s="323"/>
      <c r="L99" s="323"/>
      <c r="M99" s="413">
        <v>44834</v>
      </c>
    </row>
    <row r="100" spans="1:13" s="316" customFormat="1" ht="50.25" customHeight="1">
      <c r="A100" s="412">
        <v>268930</v>
      </c>
      <c r="B100" s="320" t="s">
        <v>457</v>
      </c>
      <c r="C100" s="320" t="s">
        <v>336</v>
      </c>
      <c r="D100" s="320" t="s">
        <v>337</v>
      </c>
      <c r="E100" s="319" t="s">
        <v>591</v>
      </c>
      <c r="F100" s="320" t="s">
        <v>40</v>
      </c>
      <c r="G100" s="320" t="s">
        <v>5283</v>
      </c>
      <c r="H100" s="320" t="s">
        <v>1233</v>
      </c>
      <c r="I100" s="322" t="s">
        <v>5004</v>
      </c>
      <c r="J100" s="323" t="s">
        <v>2553</v>
      </c>
      <c r="K100" s="323"/>
      <c r="L100" s="323"/>
      <c r="M100" s="413">
        <v>44834</v>
      </c>
    </row>
    <row r="101" spans="1:13" s="316" customFormat="1" ht="50.25" customHeight="1">
      <c r="A101" s="412">
        <v>285440</v>
      </c>
      <c r="B101" s="320" t="s">
        <v>490</v>
      </c>
      <c r="C101" s="320" t="s">
        <v>492</v>
      </c>
      <c r="D101" s="320" t="s">
        <v>175</v>
      </c>
      <c r="E101" s="319" t="s">
        <v>591</v>
      </c>
      <c r="F101" s="320" t="s">
        <v>40</v>
      </c>
      <c r="G101" s="320" t="s">
        <v>1510</v>
      </c>
      <c r="H101" s="320" t="s">
        <v>1402</v>
      </c>
      <c r="I101" s="322" t="s">
        <v>4786</v>
      </c>
      <c r="J101" s="323" t="s">
        <v>2553</v>
      </c>
      <c r="K101" s="323"/>
      <c r="L101" s="323"/>
      <c r="M101" s="413">
        <v>44834</v>
      </c>
    </row>
    <row r="102" spans="1:13" s="316" customFormat="1" ht="50.25" customHeight="1">
      <c r="A102" s="412">
        <v>297951</v>
      </c>
      <c r="B102" s="320" t="s">
        <v>999</v>
      </c>
      <c r="C102" s="320" t="s">
        <v>336</v>
      </c>
      <c r="D102" s="320" t="s">
        <v>337</v>
      </c>
      <c r="E102" s="319" t="s">
        <v>591</v>
      </c>
      <c r="F102" s="320" t="s">
        <v>40</v>
      </c>
      <c r="G102" s="320" t="s">
        <v>5282</v>
      </c>
      <c r="H102" s="320" t="s">
        <v>1402</v>
      </c>
      <c r="I102" s="322" t="s">
        <v>5393</v>
      </c>
      <c r="J102" s="323" t="s">
        <v>2553</v>
      </c>
      <c r="K102" s="323"/>
      <c r="L102" s="323"/>
      <c r="M102" s="413">
        <v>44834</v>
      </c>
    </row>
    <row r="103" spans="1:13" s="316" customFormat="1" ht="50.25" customHeight="1">
      <c r="A103" s="412">
        <v>266318</v>
      </c>
      <c r="B103" s="320" t="s">
        <v>1384</v>
      </c>
      <c r="C103" s="320" t="s">
        <v>336</v>
      </c>
      <c r="D103" s="320" t="s">
        <v>337</v>
      </c>
      <c r="E103" s="319" t="s">
        <v>591</v>
      </c>
      <c r="F103" s="320" t="s">
        <v>41</v>
      </c>
      <c r="G103" s="320" t="s">
        <v>786</v>
      </c>
      <c r="H103" s="320" t="s">
        <v>1162</v>
      </c>
      <c r="I103" s="322" t="s">
        <v>5021</v>
      </c>
      <c r="J103" s="323" t="s">
        <v>2555</v>
      </c>
      <c r="K103" s="323"/>
      <c r="L103" s="323"/>
      <c r="M103" s="413">
        <v>44834</v>
      </c>
    </row>
    <row r="104" spans="1:13" s="316" customFormat="1" ht="50.25" customHeight="1">
      <c r="A104" s="412">
        <v>235918</v>
      </c>
      <c r="B104" s="320" t="s">
        <v>346</v>
      </c>
      <c r="C104" s="320" t="s">
        <v>422</v>
      </c>
      <c r="D104" s="320" t="s">
        <v>51</v>
      </c>
      <c r="E104" s="319" t="s">
        <v>591</v>
      </c>
      <c r="F104" s="320" t="s">
        <v>40</v>
      </c>
      <c r="G104" s="320" t="s">
        <v>5280</v>
      </c>
      <c r="H104" s="320" t="s">
        <v>1233</v>
      </c>
      <c r="I104" s="322" t="s">
        <v>5419</v>
      </c>
      <c r="J104" s="323" t="s">
        <v>2545</v>
      </c>
      <c r="K104" s="323"/>
      <c r="L104" s="323"/>
      <c r="M104" s="413">
        <v>44835</v>
      </c>
    </row>
    <row r="105" spans="1:13" s="316" customFormat="1" ht="50.25" customHeight="1">
      <c r="A105" s="412">
        <v>251321</v>
      </c>
      <c r="B105" s="320" t="s">
        <v>1255</v>
      </c>
      <c r="C105" s="320" t="s">
        <v>742</v>
      </c>
      <c r="D105" s="320" t="s">
        <v>51</v>
      </c>
      <c r="E105" s="319" t="s">
        <v>591</v>
      </c>
      <c r="F105" s="320" t="s">
        <v>40</v>
      </c>
      <c r="G105" s="320" t="s">
        <v>5449</v>
      </c>
      <c r="H105" s="320" t="s">
        <v>1402</v>
      </c>
      <c r="I105" s="322" t="s">
        <v>1503</v>
      </c>
      <c r="J105" s="323" t="s">
        <v>2545</v>
      </c>
      <c r="K105" s="323"/>
      <c r="L105" s="323"/>
      <c r="M105" s="413">
        <v>44835</v>
      </c>
    </row>
    <row r="106" spans="1:13" s="316" customFormat="1" ht="50.25" customHeight="1">
      <c r="A106" s="412">
        <v>154705</v>
      </c>
      <c r="B106" s="320" t="s">
        <v>694</v>
      </c>
      <c r="C106" s="320" t="s">
        <v>90</v>
      </c>
      <c r="D106" s="320" t="s">
        <v>55</v>
      </c>
      <c r="E106" s="319" t="s">
        <v>591</v>
      </c>
      <c r="F106" s="320" t="s">
        <v>41</v>
      </c>
      <c r="G106" s="320" t="s">
        <v>786</v>
      </c>
      <c r="H106" s="320" t="s">
        <v>1402</v>
      </c>
      <c r="I106" s="322" t="s">
        <v>5548</v>
      </c>
      <c r="J106" s="323" t="s">
        <v>2549</v>
      </c>
      <c r="K106" s="323"/>
      <c r="L106" s="323"/>
      <c r="M106" s="413">
        <v>44838</v>
      </c>
    </row>
    <row r="107" spans="1:13" s="316" customFormat="1" ht="50.25" customHeight="1">
      <c r="A107" s="412">
        <v>154705</v>
      </c>
      <c r="B107" s="320" t="s">
        <v>694</v>
      </c>
      <c r="C107" s="320" t="s">
        <v>90</v>
      </c>
      <c r="D107" s="320" t="s">
        <v>55</v>
      </c>
      <c r="E107" s="319" t="s">
        <v>591</v>
      </c>
      <c r="F107" s="320" t="s">
        <v>40</v>
      </c>
      <c r="G107" s="320" t="s">
        <v>786</v>
      </c>
      <c r="H107" s="320" t="s">
        <v>1402</v>
      </c>
      <c r="I107" s="322" t="s">
        <v>5548</v>
      </c>
      <c r="J107" s="323" t="s">
        <v>2549</v>
      </c>
      <c r="K107" s="323"/>
      <c r="L107" s="323"/>
      <c r="M107" s="413">
        <v>44838</v>
      </c>
    </row>
    <row r="108" spans="1:13" s="316" customFormat="1" ht="50.25" customHeight="1">
      <c r="A108" s="412">
        <v>298788</v>
      </c>
      <c r="B108" s="320" t="s">
        <v>556</v>
      </c>
      <c r="C108" s="320" t="s">
        <v>693</v>
      </c>
      <c r="D108" s="320" t="s">
        <v>558</v>
      </c>
      <c r="E108" s="319" t="s">
        <v>591</v>
      </c>
      <c r="F108" s="320" t="s">
        <v>41</v>
      </c>
      <c r="G108" s="320" t="s">
        <v>1421</v>
      </c>
      <c r="H108" s="320" t="s">
        <v>1402</v>
      </c>
      <c r="I108" s="322" t="s">
        <v>5616</v>
      </c>
      <c r="J108" s="323" t="s">
        <v>4392</v>
      </c>
      <c r="K108" s="323"/>
      <c r="L108" s="323"/>
      <c r="M108" s="413">
        <v>44843</v>
      </c>
    </row>
    <row r="109" spans="1:13" s="316" customFormat="1" ht="50.25" customHeight="1">
      <c r="A109" s="412">
        <v>298788</v>
      </c>
      <c r="B109" s="320" t="s">
        <v>556</v>
      </c>
      <c r="C109" s="320" t="s">
        <v>693</v>
      </c>
      <c r="D109" s="320" t="s">
        <v>558</v>
      </c>
      <c r="E109" s="319" t="s">
        <v>591</v>
      </c>
      <c r="F109" s="320" t="s">
        <v>40</v>
      </c>
      <c r="G109" s="320" t="s">
        <v>1421</v>
      </c>
      <c r="H109" s="320" t="s">
        <v>1233</v>
      </c>
      <c r="I109" s="322" t="s">
        <v>5616</v>
      </c>
      <c r="J109" s="323" t="s">
        <v>4392</v>
      </c>
      <c r="K109" s="323"/>
      <c r="L109" s="323"/>
      <c r="M109" s="413">
        <v>44843</v>
      </c>
    </row>
    <row r="110" spans="1:13" s="316" customFormat="1" ht="50.25" customHeight="1">
      <c r="A110" s="412">
        <v>313831</v>
      </c>
      <c r="B110" s="320" t="s">
        <v>1163</v>
      </c>
      <c r="C110" s="320" t="s">
        <v>336</v>
      </c>
      <c r="D110" s="320" t="s">
        <v>337</v>
      </c>
      <c r="E110" s="319" t="s">
        <v>591</v>
      </c>
      <c r="F110" s="320" t="s">
        <v>40</v>
      </c>
      <c r="G110" s="320" t="s">
        <v>1288</v>
      </c>
      <c r="H110" s="320" t="s">
        <v>1233</v>
      </c>
      <c r="I110" s="322" t="s">
        <v>5467</v>
      </c>
      <c r="J110" s="323" t="s">
        <v>4392</v>
      </c>
      <c r="K110" s="323"/>
      <c r="L110" s="323"/>
      <c r="M110" s="413">
        <v>44848</v>
      </c>
    </row>
    <row r="111" spans="1:13" s="316" customFormat="1" ht="50.25" customHeight="1">
      <c r="A111" s="412">
        <v>159850</v>
      </c>
      <c r="B111" s="320" t="s">
        <v>1436</v>
      </c>
      <c r="C111" s="320" t="s">
        <v>166</v>
      </c>
      <c r="D111" s="320" t="s">
        <v>97</v>
      </c>
      <c r="E111" s="319" t="s">
        <v>591</v>
      </c>
      <c r="F111" s="320" t="s">
        <v>40</v>
      </c>
      <c r="G111" s="320" t="s">
        <v>1510</v>
      </c>
      <c r="H111" s="320" t="s">
        <v>1233</v>
      </c>
      <c r="I111" s="322" t="s">
        <v>4263</v>
      </c>
      <c r="J111" s="323" t="s">
        <v>2547</v>
      </c>
      <c r="K111" s="323"/>
      <c r="L111" s="323"/>
      <c r="M111" s="413">
        <v>44865</v>
      </c>
    </row>
    <row r="112" spans="1:13" s="316" customFormat="1" ht="50.25" customHeight="1">
      <c r="A112" s="412">
        <v>178963</v>
      </c>
      <c r="B112" s="320" t="s">
        <v>262</v>
      </c>
      <c r="C112" s="320" t="s">
        <v>74</v>
      </c>
      <c r="D112" s="320" t="s">
        <v>55</v>
      </c>
      <c r="E112" s="319" t="s">
        <v>591</v>
      </c>
      <c r="F112" s="320" t="s">
        <v>41</v>
      </c>
      <c r="G112" s="320" t="s">
        <v>4638</v>
      </c>
      <c r="H112" s="320" t="s">
        <v>1402</v>
      </c>
      <c r="I112" s="322" t="s">
        <v>5551</v>
      </c>
      <c r="J112" s="323" t="s">
        <v>2547</v>
      </c>
      <c r="K112" s="323"/>
      <c r="L112" s="323"/>
      <c r="M112" s="413">
        <v>44865</v>
      </c>
    </row>
    <row r="113" spans="1:13" s="316" customFormat="1" ht="50.25" customHeight="1">
      <c r="A113" s="412">
        <v>178963</v>
      </c>
      <c r="B113" s="320" t="s">
        <v>262</v>
      </c>
      <c r="C113" s="320" t="s">
        <v>74</v>
      </c>
      <c r="D113" s="320" t="s">
        <v>55</v>
      </c>
      <c r="E113" s="319" t="s">
        <v>591</v>
      </c>
      <c r="F113" s="320" t="s">
        <v>40</v>
      </c>
      <c r="G113" s="320" t="s">
        <v>4638</v>
      </c>
      <c r="H113" s="320" t="s">
        <v>1402</v>
      </c>
      <c r="I113" s="322" t="s">
        <v>5551</v>
      </c>
      <c r="J113" s="323" t="s">
        <v>2547</v>
      </c>
      <c r="K113" s="323"/>
      <c r="L113" s="323"/>
      <c r="M113" s="413">
        <v>44865</v>
      </c>
    </row>
    <row r="114" spans="1:13" s="316" customFormat="1" ht="50.25" customHeight="1">
      <c r="A114" s="412">
        <v>178963</v>
      </c>
      <c r="B114" s="320" t="s">
        <v>262</v>
      </c>
      <c r="C114" s="320" t="s">
        <v>74</v>
      </c>
      <c r="D114" s="320" t="s">
        <v>55</v>
      </c>
      <c r="E114" s="319" t="s">
        <v>591</v>
      </c>
      <c r="F114" s="320" t="s">
        <v>784</v>
      </c>
      <c r="G114" s="320" t="s">
        <v>4638</v>
      </c>
      <c r="H114" s="320" t="s">
        <v>1402</v>
      </c>
      <c r="I114" s="322" t="s">
        <v>5551</v>
      </c>
      <c r="J114" s="323" t="s">
        <v>2547</v>
      </c>
      <c r="K114" s="323"/>
      <c r="L114" s="323"/>
      <c r="M114" s="413">
        <v>44865</v>
      </c>
    </row>
    <row r="115" spans="1:13" s="316" customFormat="1" ht="50.25" customHeight="1">
      <c r="A115" s="412">
        <v>198697</v>
      </c>
      <c r="B115" s="320" t="s">
        <v>4444</v>
      </c>
      <c r="C115" s="320" t="s">
        <v>4446</v>
      </c>
      <c r="D115" s="320" t="s">
        <v>47</v>
      </c>
      <c r="E115" s="319" t="s">
        <v>591</v>
      </c>
      <c r="F115" s="320" t="s">
        <v>40</v>
      </c>
      <c r="G115" s="320" t="s">
        <v>5280</v>
      </c>
      <c r="H115" s="320" t="s">
        <v>1402</v>
      </c>
      <c r="I115" s="322" t="s">
        <v>5558</v>
      </c>
      <c r="J115" s="323" t="s">
        <v>2547</v>
      </c>
      <c r="K115" s="323"/>
      <c r="L115" s="323"/>
      <c r="M115" s="413">
        <v>44865</v>
      </c>
    </row>
    <row r="116" spans="1:13" s="316" customFormat="1" ht="50.25" customHeight="1">
      <c r="A116" s="412">
        <v>198701</v>
      </c>
      <c r="B116" s="320" t="s">
        <v>1475</v>
      </c>
      <c r="C116" s="320" t="s">
        <v>1477</v>
      </c>
      <c r="D116" s="320" t="s">
        <v>47</v>
      </c>
      <c r="E116" s="319" t="s">
        <v>591</v>
      </c>
      <c r="F116" s="320" t="s">
        <v>40</v>
      </c>
      <c r="G116" s="320" t="s">
        <v>5280</v>
      </c>
      <c r="H116" s="320" t="s">
        <v>1402</v>
      </c>
      <c r="I116" s="322" t="s">
        <v>5559</v>
      </c>
      <c r="J116" s="323" t="s">
        <v>2547</v>
      </c>
      <c r="K116" s="323"/>
      <c r="L116" s="323"/>
      <c r="M116" s="413">
        <v>44865</v>
      </c>
    </row>
    <row r="117" spans="1:13" s="316" customFormat="1" ht="50.25" customHeight="1">
      <c r="A117" s="412">
        <v>249210</v>
      </c>
      <c r="B117" s="320" t="s">
        <v>764</v>
      </c>
      <c r="C117" s="320" t="s">
        <v>766</v>
      </c>
      <c r="D117" s="320" t="s">
        <v>526</v>
      </c>
      <c r="E117" s="319" t="s">
        <v>591</v>
      </c>
      <c r="F117" s="320" t="s">
        <v>40</v>
      </c>
      <c r="G117" s="320" t="s">
        <v>1510</v>
      </c>
      <c r="H117" s="320" t="s">
        <v>1402</v>
      </c>
      <c r="I117" s="322" t="s">
        <v>4800</v>
      </c>
      <c r="J117" s="323" t="s">
        <v>2547</v>
      </c>
      <c r="K117" s="323"/>
      <c r="L117" s="323"/>
      <c r="M117" s="413">
        <v>44865</v>
      </c>
    </row>
    <row r="118" spans="1:13" s="316" customFormat="1" ht="50.25" customHeight="1">
      <c r="A118" s="412">
        <v>285021</v>
      </c>
      <c r="B118" s="320" t="s">
        <v>486</v>
      </c>
      <c r="C118" s="320" t="s">
        <v>488</v>
      </c>
      <c r="D118" s="320" t="s">
        <v>175</v>
      </c>
      <c r="E118" s="319" t="s">
        <v>591</v>
      </c>
      <c r="F118" s="320" t="s">
        <v>40</v>
      </c>
      <c r="G118" s="320" t="s">
        <v>5282</v>
      </c>
      <c r="H118" s="320" t="s">
        <v>1402</v>
      </c>
      <c r="I118" s="322" t="s">
        <v>4911</v>
      </c>
      <c r="J118" s="323" t="s">
        <v>2547</v>
      </c>
      <c r="K118" s="323"/>
      <c r="L118" s="323"/>
      <c r="M118" s="413">
        <v>44865</v>
      </c>
    </row>
    <row r="119" spans="1:13" s="316" customFormat="1" ht="50.25" customHeight="1">
      <c r="A119" s="412">
        <v>285440</v>
      </c>
      <c r="B119" s="320" t="s">
        <v>490</v>
      </c>
      <c r="C119" s="320" t="s">
        <v>492</v>
      </c>
      <c r="D119" s="320" t="s">
        <v>175</v>
      </c>
      <c r="E119" s="319" t="s">
        <v>591</v>
      </c>
      <c r="F119" s="320" t="s">
        <v>40</v>
      </c>
      <c r="G119" s="320" t="s">
        <v>1510</v>
      </c>
      <c r="H119" s="320" t="s">
        <v>1402</v>
      </c>
      <c r="I119" s="322" t="s">
        <v>4786</v>
      </c>
      <c r="J119" s="323" t="s">
        <v>2547</v>
      </c>
      <c r="K119" s="323"/>
      <c r="L119" s="323"/>
      <c r="M119" s="413">
        <v>44865</v>
      </c>
    </row>
    <row r="120" spans="1:13" s="316" customFormat="1" ht="50.25" customHeight="1">
      <c r="A120" s="412">
        <v>287980</v>
      </c>
      <c r="B120" s="320" t="s">
        <v>767</v>
      </c>
      <c r="C120" s="320" t="s">
        <v>769</v>
      </c>
      <c r="D120" s="320" t="s">
        <v>526</v>
      </c>
      <c r="E120" s="319" t="s">
        <v>591</v>
      </c>
      <c r="F120" s="320" t="s">
        <v>40</v>
      </c>
      <c r="G120" s="320" t="s">
        <v>1510</v>
      </c>
      <c r="H120" s="320" t="s">
        <v>1402</v>
      </c>
      <c r="I120" s="322" t="s">
        <v>4800</v>
      </c>
      <c r="J120" s="323" t="s">
        <v>2547</v>
      </c>
      <c r="K120" s="323"/>
      <c r="L120" s="323"/>
      <c r="M120" s="413">
        <v>44865</v>
      </c>
    </row>
    <row r="121" spans="1:13" s="316" customFormat="1" ht="50.25" customHeight="1">
      <c r="A121" s="412">
        <v>288429</v>
      </c>
      <c r="B121" s="320" t="s">
        <v>525</v>
      </c>
      <c r="C121" s="320" t="s">
        <v>566</v>
      </c>
      <c r="D121" s="320" t="s">
        <v>526</v>
      </c>
      <c r="E121" s="319" t="s">
        <v>591</v>
      </c>
      <c r="F121" s="320" t="s">
        <v>40</v>
      </c>
      <c r="G121" s="320" t="s">
        <v>5282</v>
      </c>
      <c r="H121" s="320" t="s">
        <v>1233</v>
      </c>
      <c r="I121" s="322" t="s">
        <v>4839</v>
      </c>
      <c r="J121" s="323" t="s">
        <v>2547</v>
      </c>
      <c r="K121" s="323"/>
      <c r="L121" s="323"/>
      <c r="M121" s="413">
        <v>44865</v>
      </c>
    </row>
    <row r="122" spans="1:13" s="316" customFormat="1" ht="50.25" customHeight="1">
      <c r="A122" s="412">
        <v>292565</v>
      </c>
      <c r="B122" s="320" t="s">
        <v>1389</v>
      </c>
      <c r="C122" s="320" t="s">
        <v>1392</v>
      </c>
      <c r="D122" s="320" t="s">
        <v>246</v>
      </c>
      <c r="E122" s="319" t="s">
        <v>591</v>
      </c>
      <c r="F122" s="320" t="s">
        <v>40</v>
      </c>
      <c r="G122" s="320" t="s">
        <v>1277</v>
      </c>
      <c r="H122" s="320" t="s">
        <v>1233</v>
      </c>
      <c r="I122" s="322" t="s">
        <v>5613</v>
      </c>
      <c r="J122" s="323" t="s">
        <v>2547</v>
      </c>
      <c r="K122" s="323"/>
      <c r="L122" s="323"/>
      <c r="M122" s="413">
        <v>44865</v>
      </c>
    </row>
    <row r="123" spans="1:13" s="316" customFormat="1" ht="50.25" customHeight="1">
      <c r="A123" s="412">
        <v>302643</v>
      </c>
      <c r="B123" s="320" t="s">
        <v>1017</v>
      </c>
      <c r="C123" s="320" t="s">
        <v>137</v>
      </c>
      <c r="D123" s="320" t="s">
        <v>55</v>
      </c>
      <c r="E123" s="319" t="s">
        <v>591</v>
      </c>
      <c r="F123" s="320" t="s">
        <v>41</v>
      </c>
      <c r="G123" s="320" t="s">
        <v>4638</v>
      </c>
      <c r="H123" s="320" t="s">
        <v>1402</v>
      </c>
      <c r="I123" s="322" t="s">
        <v>5617</v>
      </c>
      <c r="J123" s="323" t="s">
        <v>2547</v>
      </c>
      <c r="K123" s="323"/>
      <c r="L123" s="323"/>
      <c r="M123" s="413">
        <v>44865</v>
      </c>
    </row>
    <row r="124" spans="1:13" s="316" customFormat="1" ht="50.25" customHeight="1">
      <c r="A124" s="412">
        <v>310956</v>
      </c>
      <c r="B124" s="320" t="s">
        <v>771</v>
      </c>
      <c r="C124" s="320" t="s">
        <v>488</v>
      </c>
      <c r="D124" s="320" t="s">
        <v>175</v>
      </c>
      <c r="E124" s="319" t="s">
        <v>591</v>
      </c>
      <c r="F124" s="320" t="s">
        <v>40</v>
      </c>
      <c r="G124" s="320" t="s">
        <v>1510</v>
      </c>
      <c r="H124" s="320" t="s">
        <v>1402</v>
      </c>
      <c r="I124" s="322" t="s">
        <v>4789</v>
      </c>
      <c r="J124" s="323" t="s">
        <v>2547</v>
      </c>
      <c r="K124" s="323"/>
      <c r="L124" s="323"/>
      <c r="M124" s="413">
        <v>44865</v>
      </c>
    </row>
    <row r="125" spans="1:13" s="316" customFormat="1" ht="50.25" customHeight="1">
      <c r="A125" s="412">
        <v>324051</v>
      </c>
      <c r="B125" s="320" t="s">
        <v>1369</v>
      </c>
      <c r="C125" s="320" t="s">
        <v>1361</v>
      </c>
      <c r="D125" s="320" t="s">
        <v>1362</v>
      </c>
      <c r="E125" s="319" t="s">
        <v>591</v>
      </c>
      <c r="F125" s="320" t="s">
        <v>41</v>
      </c>
      <c r="G125" s="320" t="s">
        <v>4638</v>
      </c>
      <c r="H125" s="320" t="s">
        <v>1402</v>
      </c>
      <c r="I125" s="322" t="s">
        <v>4704</v>
      </c>
      <c r="J125" s="323" t="s">
        <v>2547</v>
      </c>
      <c r="K125" s="323"/>
      <c r="L125" s="323"/>
      <c r="M125" s="413">
        <v>44865</v>
      </c>
    </row>
    <row r="126" spans="1:13" s="316" customFormat="1" ht="50.25" customHeight="1">
      <c r="A126" s="412">
        <v>324140</v>
      </c>
      <c r="B126" s="320" t="s">
        <v>1370</v>
      </c>
      <c r="C126" s="320" t="s">
        <v>1372</v>
      </c>
      <c r="D126" s="320" t="s">
        <v>1373</v>
      </c>
      <c r="E126" s="319" t="s">
        <v>591</v>
      </c>
      <c r="F126" s="320" t="s">
        <v>41</v>
      </c>
      <c r="G126" s="320" t="s">
        <v>4638</v>
      </c>
      <c r="H126" s="320" t="s">
        <v>1402</v>
      </c>
      <c r="I126" s="322" t="s">
        <v>2022</v>
      </c>
      <c r="J126" s="323" t="s">
        <v>2547</v>
      </c>
      <c r="K126" s="323"/>
      <c r="L126" s="323"/>
      <c r="M126" s="413">
        <v>44865</v>
      </c>
    </row>
    <row r="127" spans="1:13" s="316" customFormat="1" ht="50.25" customHeight="1">
      <c r="A127" s="412">
        <v>329276</v>
      </c>
      <c r="B127" s="320" t="s">
        <v>4298</v>
      </c>
      <c r="C127" s="320" t="s">
        <v>4299</v>
      </c>
      <c r="D127" s="320" t="s">
        <v>175</v>
      </c>
      <c r="E127" s="319" t="s">
        <v>591</v>
      </c>
      <c r="F127" s="320" t="s">
        <v>40</v>
      </c>
      <c r="G127" s="320" t="s">
        <v>1288</v>
      </c>
      <c r="H127" s="320" t="s">
        <v>1233</v>
      </c>
      <c r="I127" s="322" t="s">
        <v>4801</v>
      </c>
      <c r="J127" s="323" t="s">
        <v>2547</v>
      </c>
      <c r="K127" s="323"/>
      <c r="L127" s="323"/>
      <c r="M127" s="413">
        <v>44865</v>
      </c>
    </row>
    <row r="128" spans="1:13" s="316" customFormat="1" ht="50.25" customHeight="1">
      <c r="A128" s="412">
        <v>330147</v>
      </c>
      <c r="B128" s="320" t="s">
        <v>4478</v>
      </c>
      <c r="C128" s="320" t="s">
        <v>1426</v>
      </c>
      <c r="D128" s="320" t="s">
        <v>175</v>
      </c>
      <c r="E128" s="319" t="s">
        <v>591</v>
      </c>
      <c r="F128" s="320" t="s">
        <v>40</v>
      </c>
      <c r="G128" s="320" t="s">
        <v>1510</v>
      </c>
      <c r="H128" s="320" t="s">
        <v>1402</v>
      </c>
      <c r="I128" s="322" t="s">
        <v>4790</v>
      </c>
      <c r="J128" s="323" t="s">
        <v>2547</v>
      </c>
      <c r="K128" s="323"/>
      <c r="L128" s="323"/>
      <c r="M128" s="413">
        <v>44865</v>
      </c>
    </row>
    <row r="129" spans="1:13" s="316" customFormat="1" ht="50.25" customHeight="1">
      <c r="A129" s="412">
        <v>333368</v>
      </c>
      <c r="B129" s="320" t="s">
        <v>5540</v>
      </c>
      <c r="C129" s="320" t="s">
        <v>5542</v>
      </c>
      <c r="D129" s="320" t="s">
        <v>47</v>
      </c>
      <c r="E129" s="319" t="s">
        <v>591</v>
      </c>
      <c r="F129" s="320" t="s">
        <v>737</v>
      </c>
      <c r="G129" s="320" t="s">
        <v>5280</v>
      </c>
      <c r="H129" s="320" t="s">
        <v>1402</v>
      </c>
      <c r="I129" s="322" t="s">
        <v>5629</v>
      </c>
      <c r="J129" s="323" t="s">
        <v>2547</v>
      </c>
      <c r="K129" s="323"/>
      <c r="L129" s="323"/>
      <c r="M129" s="413">
        <v>44865</v>
      </c>
    </row>
    <row r="130" spans="1:13" s="316" customFormat="1" ht="50.25" customHeight="1">
      <c r="A130" s="412">
        <v>306044</v>
      </c>
      <c r="B130" s="320" t="s">
        <v>574</v>
      </c>
      <c r="C130" s="320" t="s">
        <v>336</v>
      </c>
      <c r="D130" s="320" t="s">
        <v>337</v>
      </c>
      <c r="E130" s="319" t="s">
        <v>591</v>
      </c>
      <c r="F130" s="320" t="s">
        <v>40</v>
      </c>
      <c r="G130" s="320" t="s">
        <v>5278</v>
      </c>
      <c r="H130" s="320" t="s">
        <v>1402</v>
      </c>
      <c r="I130" s="322" t="s">
        <v>5071</v>
      </c>
      <c r="J130" s="323" t="s">
        <v>2549</v>
      </c>
      <c r="K130" s="323"/>
      <c r="L130" s="323"/>
      <c r="M130" s="413">
        <v>44865</v>
      </c>
    </row>
    <row r="131" spans="1:13" s="316" customFormat="1" ht="50.25" customHeight="1">
      <c r="A131" s="412">
        <v>198697</v>
      </c>
      <c r="B131" s="320" t="s">
        <v>4444</v>
      </c>
      <c r="C131" s="320" t="s">
        <v>4446</v>
      </c>
      <c r="D131" s="320" t="s">
        <v>47</v>
      </c>
      <c r="E131" s="319" t="s">
        <v>591</v>
      </c>
      <c r="F131" s="320" t="s">
        <v>40</v>
      </c>
      <c r="G131" s="320" t="s">
        <v>5280</v>
      </c>
      <c r="H131" s="320" t="s">
        <v>1402</v>
      </c>
      <c r="I131" s="322" t="s">
        <v>5558</v>
      </c>
      <c r="J131" s="323" t="s">
        <v>2553</v>
      </c>
      <c r="K131" s="323"/>
      <c r="L131" s="323"/>
      <c r="M131" s="413">
        <v>44865</v>
      </c>
    </row>
    <row r="132" spans="1:13" s="316" customFormat="1" ht="50.25" customHeight="1">
      <c r="A132" s="412">
        <v>198701</v>
      </c>
      <c r="B132" s="320" t="s">
        <v>1475</v>
      </c>
      <c r="C132" s="320" t="s">
        <v>1477</v>
      </c>
      <c r="D132" s="320" t="s">
        <v>47</v>
      </c>
      <c r="E132" s="319" t="s">
        <v>591</v>
      </c>
      <c r="F132" s="320" t="s">
        <v>40</v>
      </c>
      <c r="G132" s="320" t="s">
        <v>5280</v>
      </c>
      <c r="H132" s="320" t="s">
        <v>1402</v>
      </c>
      <c r="I132" s="322" t="s">
        <v>5559</v>
      </c>
      <c r="J132" s="323" t="s">
        <v>2553</v>
      </c>
      <c r="K132" s="323"/>
      <c r="L132" s="323"/>
      <c r="M132" s="413">
        <v>44865</v>
      </c>
    </row>
    <row r="133" spans="1:13" s="316" customFormat="1" ht="50.25" customHeight="1">
      <c r="A133" s="412">
        <v>258509</v>
      </c>
      <c r="B133" s="320" t="s">
        <v>1240</v>
      </c>
      <c r="C133" s="320" t="s">
        <v>315</v>
      </c>
      <c r="D133" s="320" t="s">
        <v>47</v>
      </c>
      <c r="E133" s="319" t="s">
        <v>591</v>
      </c>
      <c r="F133" s="320" t="s">
        <v>40</v>
      </c>
      <c r="G133" s="320" t="s">
        <v>5281</v>
      </c>
      <c r="H133" s="320" t="s">
        <v>1233</v>
      </c>
      <c r="I133" s="322" t="s">
        <v>5568</v>
      </c>
      <c r="J133" s="323" t="s">
        <v>2553</v>
      </c>
      <c r="K133" s="323"/>
      <c r="L133" s="323"/>
      <c r="M133" s="413">
        <v>44865</v>
      </c>
    </row>
    <row r="134" spans="1:13" s="316" customFormat="1" ht="50.25" customHeight="1">
      <c r="A134" s="412">
        <v>306044</v>
      </c>
      <c r="B134" s="320" t="s">
        <v>574</v>
      </c>
      <c r="C134" s="320" t="s">
        <v>336</v>
      </c>
      <c r="D134" s="320" t="s">
        <v>337</v>
      </c>
      <c r="E134" s="319" t="s">
        <v>591</v>
      </c>
      <c r="F134" s="320" t="s">
        <v>40</v>
      </c>
      <c r="G134" s="320" t="s">
        <v>5278</v>
      </c>
      <c r="H134" s="320" t="s">
        <v>1402</v>
      </c>
      <c r="I134" s="322" t="s">
        <v>5071</v>
      </c>
      <c r="J134" s="323" t="s">
        <v>2553</v>
      </c>
      <c r="K134" s="323"/>
      <c r="L134" s="323"/>
      <c r="M134" s="413">
        <v>44865</v>
      </c>
    </row>
    <row r="135" spans="1:13" s="316" customFormat="1" ht="50.25" customHeight="1">
      <c r="A135" s="412">
        <v>178963</v>
      </c>
      <c r="B135" s="320" t="s">
        <v>262</v>
      </c>
      <c r="C135" s="320" t="s">
        <v>74</v>
      </c>
      <c r="D135" s="320" t="s">
        <v>55</v>
      </c>
      <c r="E135" s="319" t="s">
        <v>591</v>
      </c>
      <c r="F135" s="320" t="s">
        <v>41</v>
      </c>
      <c r="G135" s="320" t="s">
        <v>4638</v>
      </c>
      <c r="H135" s="320" t="s">
        <v>1402</v>
      </c>
      <c r="I135" s="322" t="s">
        <v>5551</v>
      </c>
      <c r="J135" s="323" t="s">
        <v>2555</v>
      </c>
      <c r="K135" s="323"/>
      <c r="L135" s="323"/>
      <c r="M135" s="413">
        <v>44867</v>
      </c>
    </row>
    <row r="136" spans="1:13" s="316" customFormat="1" ht="50.25" customHeight="1">
      <c r="A136" s="412">
        <v>178963</v>
      </c>
      <c r="B136" s="320" t="s">
        <v>262</v>
      </c>
      <c r="C136" s="320" t="s">
        <v>74</v>
      </c>
      <c r="D136" s="320" t="s">
        <v>55</v>
      </c>
      <c r="E136" s="319" t="s">
        <v>591</v>
      </c>
      <c r="F136" s="320" t="s">
        <v>40</v>
      </c>
      <c r="G136" s="320" t="s">
        <v>4638</v>
      </c>
      <c r="H136" s="320" t="s">
        <v>1402</v>
      </c>
      <c r="I136" s="322" t="s">
        <v>5551</v>
      </c>
      <c r="J136" s="323" t="s">
        <v>2555</v>
      </c>
      <c r="K136" s="323"/>
      <c r="L136" s="323"/>
      <c r="M136" s="413">
        <v>44867</v>
      </c>
    </row>
    <row r="137" spans="1:13" s="316" customFormat="1" ht="50.25" customHeight="1">
      <c r="A137" s="412">
        <v>178963</v>
      </c>
      <c r="B137" s="320" t="s">
        <v>262</v>
      </c>
      <c r="C137" s="320" t="s">
        <v>74</v>
      </c>
      <c r="D137" s="320" t="s">
        <v>55</v>
      </c>
      <c r="E137" s="319" t="s">
        <v>591</v>
      </c>
      <c r="F137" s="320" t="s">
        <v>784</v>
      </c>
      <c r="G137" s="320" t="s">
        <v>4638</v>
      </c>
      <c r="H137" s="320" t="s">
        <v>1402</v>
      </c>
      <c r="I137" s="322" t="s">
        <v>5551</v>
      </c>
      <c r="J137" s="323" t="s">
        <v>2555</v>
      </c>
      <c r="K137" s="323"/>
      <c r="L137" s="323"/>
      <c r="M137" s="413">
        <v>44867</v>
      </c>
    </row>
  </sheetData>
  <autoFilter ref="A1:M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
  <sheetViews>
    <sheetView workbookViewId="0"/>
  </sheetViews>
  <sheetFormatPr baseColWidth="10" defaultRowHeight="1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454"/>
  <sheetViews>
    <sheetView workbookViewId="0"/>
  </sheetViews>
  <sheetFormatPr baseColWidth="10" defaultRowHeight="14"/>
  <cols>
    <col min="1" max="16384" width="10.90625" style="342"/>
  </cols>
  <sheetData>
    <row r="1" spans="1:21">
      <c r="A1" s="342" t="s">
        <v>38</v>
      </c>
      <c r="B1" s="342" t="s">
        <v>15</v>
      </c>
      <c r="C1" s="342" t="s">
        <v>16</v>
      </c>
      <c r="D1" s="342" t="s">
        <v>17</v>
      </c>
      <c r="E1" s="342" t="s">
        <v>37</v>
      </c>
      <c r="F1" s="342" t="s">
        <v>18</v>
      </c>
      <c r="G1" s="342" t="s">
        <v>19</v>
      </c>
      <c r="H1" s="342" t="s">
        <v>1522</v>
      </c>
      <c r="I1" s="342" t="s">
        <v>1523</v>
      </c>
      <c r="J1" s="342" t="s">
        <v>4438</v>
      </c>
      <c r="K1" s="342" t="s">
        <v>4439</v>
      </c>
      <c r="L1" s="342" t="s">
        <v>4473</v>
      </c>
      <c r="M1" s="342" t="s">
        <v>1524</v>
      </c>
      <c r="N1" s="342" t="s">
        <v>1525</v>
      </c>
      <c r="O1" s="342" t="s">
        <v>1526</v>
      </c>
      <c r="P1" s="342" t="s">
        <v>1527</v>
      </c>
      <c r="Q1" s="342" t="s">
        <v>1528</v>
      </c>
      <c r="R1" s="342" t="s">
        <v>1529</v>
      </c>
      <c r="S1" s="342" t="s">
        <v>1530</v>
      </c>
      <c r="T1" s="342" t="s">
        <v>1531</v>
      </c>
      <c r="U1" s="342" t="s">
        <v>1532</v>
      </c>
    </row>
    <row r="2" spans="1:21">
      <c r="A2" s="342">
        <v>133572</v>
      </c>
      <c r="B2" s="342" t="s">
        <v>48</v>
      </c>
      <c r="C2" s="342" t="s">
        <v>50</v>
      </c>
      <c r="D2" s="342" t="s">
        <v>51</v>
      </c>
      <c r="E2" s="342" t="s">
        <v>591</v>
      </c>
      <c r="F2" s="342" t="s">
        <v>737</v>
      </c>
      <c r="G2" s="342" t="s">
        <v>1510</v>
      </c>
    </row>
    <row r="3" spans="1:21" ht="196">
      <c r="A3" s="342">
        <v>133787</v>
      </c>
      <c r="B3" s="342" t="s">
        <v>52</v>
      </c>
      <c r="C3" s="342" t="s">
        <v>54</v>
      </c>
      <c r="D3" s="342" t="s">
        <v>55</v>
      </c>
      <c r="E3" s="342" t="s">
        <v>591</v>
      </c>
      <c r="F3" s="342" t="s">
        <v>40</v>
      </c>
      <c r="G3" s="342" t="s">
        <v>5278</v>
      </c>
      <c r="H3" s="342" t="s">
        <v>2071</v>
      </c>
      <c r="I3" s="342" t="s">
        <v>2072</v>
      </c>
      <c r="M3" s="342" t="s">
        <v>1336</v>
      </c>
      <c r="N3" s="342" t="s">
        <v>2079</v>
      </c>
      <c r="O3" s="342" t="s">
        <v>2074</v>
      </c>
      <c r="P3" s="342" t="s">
        <v>2075</v>
      </c>
      <c r="Q3" s="342">
        <v>2</v>
      </c>
      <c r="R3" s="342" t="s">
        <v>2076</v>
      </c>
      <c r="S3" s="344" t="s">
        <v>2495</v>
      </c>
      <c r="T3" s="342" t="s">
        <v>2077</v>
      </c>
    </row>
    <row r="4" spans="1:21" ht="196">
      <c r="A4" s="342">
        <v>133793</v>
      </c>
      <c r="B4" s="342" t="s">
        <v>56</v>
      </c>
      <c r="C4" s="342" t="s">
        <v>59</v>
      </c>
      <c r="D4" s="342" t="s">
        <v>51</v>
      </c>
      <c r="E4" s="342" t="s">
        <v>591</v>
      </c>
      <c r="F4" s="342" t="s">
        <v>40</v>
      </c>
      <c r="G4" s="342" t="s">
        <v>5278</v>
      </c>
      <c r="H4" s="342" t="s">
        <v>2071</v>
      </c>
      <c r="I4" s="342" t="s">
        <v>2072</v>
      </c>
      <c r="M4" s="342" t="s">
        <v>1336</v>
      </c>
      <c r="N4" s="342" t="s">
        <v>2079</v>
      </c>
      <c r="O4" s="342" t="s">
        <v>2074</v>
      </c>
      <c r="P4" s="342" t="s">
        <v>2075</v>
      </c>
      <c r="Q4" s="342">
        <v>2</v>
      </c>
      <c r="R4" s="342" t="s">
        <v>2076</v>
      </c>
      <c r="S4" s="344" t="s">
        <v>2495</v>
      </c>
      <c r="T4" s="342" t="s">
        <v>2077</v>
      </c>
    </row>
    <row r="5" spans="1:21" ht="252">
      <c r="A5" s="342">
        <v>134187</v>
      </c>
      <c r="B5" s="342" t="s">
        <v>1256</v>
      </c>
      <c r="C5" s="342" t="s">
        <v>349</v>
      </c>
      <c r="D5" s="342" t="s">
        <v>47</v>
      </c>
      <c r="E5" s="342" t="s">
        <v>591</v>
      </c>
      <c r="F5" s="342" t="s">
        <v>40</v>
      </c>
      <c r="G5" s="342" t="s">
        <v>5278</v>
      </c>
      <c r="H5" s="342" t="s">
        <v>2078</v>
      </c>
      <c r="I5" s="342" t="s">
        <v>2079</v>
      </c>
      <c r="J5" s="344" t="s">
        <v>5384</v>
      </c>
      <c r="L5" s="342" t="s">
        <v>5247</v>
      </c>
      <c r="M5" s="342" t="s">
        <v>5278</v>
      </c>
      <c r="N5" s="342" t="s">
        <v>4417</v>
      </c>
      <c r="Q5" s="342">
        <v>4</v>
      </c>
      <c r="R5" s="342" t="s">
        <v>2080</v>
      </c>
      <c r="S5" s="342" t="s">
        <v>2081</v>
      </c>
      <c r="T5" s="342" t="s">
        <v>2082</v>
      </c>
      <c r="U5" s="342" t="s">
        <v>2083</v>
      </c>
    </row>
    <row r="6" spans="1:21" ht="168">
      <c r="A6" s="342">
        <v>134284</v>
      </c>
      <c r="B6" s="342" t="s">
        <v>60</v>
      </c>
      <c r="C6" s="342" t="s">
        <v>62</v>
      </c>
      <c r="D6" s="342" t="s">
        <v>51</v>
      </c>
      <c r="E6" s="342" t="s">
        <v>591</v>
      </c>
      <c r="F6" s="342" t="s">
        <v>40</v>
      </c>
      <c r="G6" s="342" t="s">
        <v>786</v>
      </c>
      <c r="H6" s="342" t="s">
        <v>2084</v>
      </c>
      <c r="I6" s="342" t="s">
        <v>2072</v>
      </c>
      <c r="M6" s="342" t="s">
        <v>786</v>
      </c>
      <c r="N6" s="342" t="s">
        <v>2073</v>
      </c>
      <c r="O6" s="342" t="s">
        <v>2074</v>
      </c>
      <c r="P6" s="342" t="s">
        <v>2075</v>
      </c>
      <c r="Q6" s="342">
        <v>3</v>
      </c>
      <c r="R6" s="342" t="s">
        <v>2085</v>
      </c>
      <c r="S6" s="344" t="s">
        <v>2086</v>
      </c>
      <c r="T6" s="342" t="s">
        <v>2087</v>
      </c>
      <c r="U6" s="344" t="s">
        <v>2088</v>
      </c>
    </row>
    <row r="7" spans="1:21" ht="168">
      <c r="A7" s="342">
        <v>134634</v>
      </c>
      <c r="B7" s="342" t="s">
        <v>1586</v>
      </c>
      <c r="C7" s="342" t="s">
        <v>1589</v>
      </c>
      <c r="D7" s="342" t="s">
        <v>45</v>
      </c>
      <c r="E7" s="342" t="s">
        <v>591</v>
      </c>
      <c r="F7" s="342" t="s">
        <v>40</v>
      </c>
      <c r="G7" s="342" t="s">
        <v>5280</v>
      </c>
      <c r="H7" s="342" t="s">
        <v>2089</v>
      </c>
      <c r="I7" s="342" t="s">
        <v>2079</v>
      </c>
      <c r="J7" s="344" t="s">
        <v>2091</v>
      </c>
      <c r="L7" s="342" t="s">
        <v>2028</v>
      </c>
      <c r="M7" s="342" t="s">
        <v>5280</v>
      </c>
      <c r="N7" s="342" t="s">
        <v>2092</v>
      </c>
      <c r="O7" s="342" t="s">
        <v>2074</v>
      </c>
      <c r="Q7" s="342">
        <v>4</v>
      </c>
      <c r="R7" s="342" t="s">
        <v>2085</v>
      </c>
      <c r="S7" s="342" t="s">
        <v>4217</v>
      </c>
    </row>
    <row r="8" spans="1:21" ht="168">
      <c r="A8" s="342">
        <v>134654</v>
      </c>
      <c r="B8" s="342" t="s">
        <v>1458</v>
      </c>
      <c r="C8" s="342" t="s">
        <v>63</v>
      </c>
      <c r="D8" s="342" t="s">
        <v>47</v>
      </c>
      <c r="E8" s="342" t="s">
        <v>591</v>
      </c>
      <c r="F8" s="342" t="s">
        <v>40</v>
      </c>
      <c r="G8" s="342" t="s">
        <v>5280</v>
      </c>
      <c r="H8" s="342" t="s">
        <v>743</v>
      </c>
      <c r="I8" s="342" t="s">
        <v>2079</v>
      </c>
      <c r="J8" s="344" t="s">
        <v>2095</v>
      </c>
      <c r="L8" s="342" t="s">
        <v>5316</v>
      </c>
      <c r="M8" s="342" t="s">
        <v>5280</v>
      </c>
      <c r="N8" s="342" t="s">
        <v>2073</v>
      </c>
      <c r="O8" s="342" t="s">
        <v>2074</v>
      </c>
      <c r="P8" s="342" t="s">
        <v>2075</v>
      </c>
      <c r="Q8" s="342">
        <v>2</v>
      </c>
      <c r="R8" s="342" t="s">
        <v>2076</v>
      </c>
      <c r="S8" s="344" t="s">
        <v>2096</v>
      </c>
      <c r="T8" s="342" t="s">
        <v>2077</v>
      </c>
    </row>
    <row r="9" spans="1:21">
      <c r="A9" s="342">
        <v>134661</v>
      </c>
      <c r="B9" s="342" t="s">
        <v>1397</v>
      </c>
      <c r="C9" s="342" t="s">
        <v>65</v>
      </c>
      <c r="D9" s="342" t="s">
        <v>47</v>
      </c>
      <c r="E9" s="342" t="s">
        <v>591</v>
      </c>
      <c r="F9" s="342" t="s">
        <v>40</v>
      </c>
      <c r="G9" s="342" t="s">
        <v>5449</v>
      </c>
      <c r="H9" s="342" t="s">
        <v>2097</v>
      </c>
      <c r="I9" s="342" t="s">
        <v>2072</v>
      </c>
      <c r="M9" s="342" t="s">
        <v>5449</v>
      </c>
      <c r="N9" s="342" t="s">
        <v>2073</v>
      </c>
      <c r="O9" s="342" t="s">
        <v>2074</v>
      </c>
      <c r="P9" s="342" t="s">
        <v>2075</v>
      </c>
      <c r="Q9" s="342">
        <v>2</v>
      </c>
      <c r="R9" s="342" t="s">
        <v>2076</v>
      </c>
      <c r="S9" s="342" t="s">
        <v>2098</v>
      </c>
      <c r="T9" s="342" t="s">
        <v>2099</v>
      </c>
    </row>
    <row r="10" spans="1:21">
      <c r="A10" s="342">
        <v>134816</v>
      </c>
      <c r="B10" s="342" t="s">
        <v>792</v>
      </c>
      <c r="C10" s="342" t="s">
        <v>794</v>
      </c>
      <c r="D10" s="342" t="s">
        <v>47</v>
      </c>
      <c r="E10" s="342" t="s">
        <v>591</v>
      </c>
      <c r="F10" s="342" t="s">
        <v>737</v>
      </c>
      <c r="G10" s="342" t="s">
        <v>5280</v>
      </c>
    </row>
    <row r="11" spans="1:21" ht="168">
      <c r="A11" s="342">
        <v>134956</v>
      </c>
      <c r="B11" s="342" t="s">
        <v>2504</v>
      </c>
      <c r="C11" s="342" t="s">
        <v>2507</v>
      </c>
      <c r="D11" s="342" t="s">
        <v>45</v>
      </c>
      <c r="E11" s="342" t="s">
        <v>591</v>
      </c>
      <c r="F11" s="342" t="s">
        <v>40</v>
      </c>
      <c r="G11" s="342" t="s">
        <v>5278</v>
      </c>
      <c r="H11" s="342" t="s">
        <v>2347</v>
      </c>
      <c r="I11" s="342" t="s">
        <v>2072</v>
      </c>
      <c r="M11" s="342" t="s">
        <v>5278</v>
      </c>
      <c r="N11" s="342" t="s">
        <v>2073</v>
      </c>
      <c r="O11" s="342" t="s">
        <v>2113</v>
      </c>
      <c r="Q11" s="342">
        <v>4</v>
      </c>
      <c r="R11" s="342" t="s">
        <v>2085</v>
      </c>
      <c r="S11" s="344" t="s">
        <v>2522</v>
      </c>
      <c r="T11" s="342" t="s">
        <v>2523</v>
      </c>
    </row>
    <row r="12" spans="1:21" ht="182">
      <c r="A12" s="342">
        <v>135149</v>
      </c>
      <c r="B12" s="342" t="s">
        <v>1340</v>
      </c>
      <c r="C12" s="342" t="s">
        <v>559</v>
      </c>
      <c r="D12" s="342" t="s">
        <v>55</v>
      </c>
      <c r="E12" s="342" t="s">
        <v>591</v>
      </c>
      <c r="F12" s="342" t="s">
        <v>40</v>
      </c>
      <c r="G12" s="342" t="s">
        <v>1277</v>
      </c>
      <c r="H12" s="342" t="s">
        <v>1340</v>
      </c>
      <c r="I12" s="342" t="s">
        <v>2072</v>
      </c>
      <c r="J12" s="344" t="s">
        <v>2102</v>
      </c>
      <c r="L12" s="342" t="s">
        <v>2029</v>
      </c>
      <c r="M12" s="342" t="s">
        <v>1277</v>
      </c>
      <c r="N12" s="342" t="s">
        <v>2073</v>
      </c>
      <c r="O12" s="342" t="s">
        <v>2074</v>
      </c>
      <c r="Q12" s="342">
        <v>4</v>
      </c>
      <c r="R12" s="342" t="s">
        <v>2076</v>
      </c>
      <c r="S12" s="342" t="s">
        <v>2103</v>
      </c>
    </row>
    <row r="13" spans="1:21" ht="196">
      <c r="A13" s="342">
        <v>135638</v>
      </c>
      <c r="B13" s="342" t="s">
        <v>4962</v>
      </c>
      <c r="C13" s="342" t="s">
        <v>4964</v>
      </c>
      <c r="D13" s="342" t="s">
        <v>51</v>
      </c>
      <c r="E13" s="342" t="s">
        <v>1194</v>
      </c>
      <c r="F13" s="342" t="s">
        <v>40</v>
      </c>
      <c r="G13" s="342" t="s">
        <v>1277</v>
      </c>
      <c r="H13" s="342" t="s">
        <v>2097</v>
      </c>
      <c r="I13" s="342" t="s">
        <v>2073</v>
      </c>
      <c r="J13" s="344" t="s">
        <v>5334</v>
      </c>
      <c r="M13" s="342" t="s">
        <v>5449</v>
      </c>
      <c r="N13" s="342" t="s">
        <v>2073</v>
      </c>
      <c r="O13" s="342" t="s">
        <v>2074</v>
      </c>
      <c r="P13" s="342" t="s">
        <v>2075</v>
      </c>
      <c r="Q13" s="342">
        <v>2</v>
      </c>
      <c r="R13" s="342" t="s">
        <v>2076</v>
      </c>
      <c r="S13" s="342" t="s">
        <v>2098</v>
      </c>
      <c r="T13" s="342" t="s">
        <v>2099</v>
      </c>
    </row>
    <row r="14" spans="1:21">
      <c r="A14" s="342">
        <v>135671</v>
      </c>
      <c r="B14" s="342" t="s">
        <v>67</v>
      </c>
      <c r="C14" s="342" t="s">
        <v>68</v>
      </c>
      <c r="D14" s="342" t="s">
        <v>47</v>
      </c>
      <c r="E14" s="342" t="s">
        <v>591</v>
      </c>
      <c r="F14" s="342" t="s">
        <v>41</v>
      </c>
      <c r="G14" s="342" t="s">
        <v>1421</v>
      </c>
      <c r="H14" s="342" t="s">
        <v>67</v>
      </c>
      <c r="I14" s="342" t="s">
        <v>2090</v>
      </c>
      <c r="M14" s="342" t="s">
        <v>1421</v>
      </c>
      <c r="N14" s="342" t="s">
        <v>2104</v>
      </c>
      <c r="O14" s="342" t="s">
        <v>2105</v>
      </c>
      <c r="P14" s="342" t="s">
        <v>2106</v>
      </c>
      <c r="Q14" s="342">
        <v>1</v>
      </c>
      <c r="R14" s="342" t="s">
        <v>2107</v>
      </c>
      <c r="S14" s="342" t="s">
        <v>2108</v>
      </c>
      <c r="T14" s="342" t="s">
        <v>2109</v>
      </c>
      <c r="U14" s="342" t="s">
        <v>2110</v>
      </c>
    </row>
    <row r="15" spans="1:21">
      <c r="A15" s="342">
        <v>135673</v>
      </c>
      <c r="B15" s="342" t="s">
        <v>646</v>
      </c>
      <c r="C15" s="342" t="s">
        <v>647</v>
      </c>
      <c r="D15" s="342" t="s">
        <v>47</v>
      </c>
      <c r="E15" s="342" t="s">
        <v>591</v>
      </c>
      <c r="F15" s="342" t="s">
        <v>40</v>
      </c>
      <c r="G15" s="342" t="s">
        <v>1421</v>
      </c>
      <c r="H15" s="342" t="s">
        <v>67</v>
      </c>
      <c r="I15" s="342" t="s">
        <v>2090</v>
      </c>
      <c r="M15" s="342" t="s">
        <v>1421</v>
      </c>
      <c r="N15" s="342" t="s">
        <v>2090</v>
      </c>
      <c r="O15" s="342" t="s">
        <v>2105</v>
      </c>
      <c r="Q15" s="342">
        <v>3</v>
      </c>
      <c r="R15" s="342" t="s">
        <v>2111</v>
      </c>
      <c r="S15" s="342" t="s">
        <v>2112</v>
      </c>
    </row>
    <row r="16" spans="1:21">
      <c r="A16" s="342">
        <v>135729</v>
      </c>
      <c r="B16" s="342" t="s">
        <v>70</v>
      </c>
      <c r="C16" s="342" t="s">
        <v>71</v>
      </c>
      <c r="D16" s="342" t="s">
        <v>47</v>
      </c>
      <c r="E16" s="342" t="s">
        <v>591</v>
      </c>
      <c r="F16" s="342" t="s">
        <v>40</v>
      </c>
      <c r="G16" s="342" t="s">
        <v>1277</v>
      </c>
      <c r="H16" s="342" t="s">
        <v>70</v>
      </c>
      <c r="I16" s="342" t="s">
        <v>2072</v>
      </c>
      <c r="M16" s="342" t="s">
        <v>1277</v>
      </c>
      <c r="N16" s="342" t="s">
        <v>2073</v>
      </c>
      <c r="O16" s="342" t="s">
        <v>2113</v>
      </c>
      <c r="Q16" s="342">
        <v>4</v>
      </c>
      <c r="R16" s="342" t="s">
        <v>2085</v>
      </c>
      <c r="S16" s="342" t="s">
        <v>2114</v>
      </c>
    </row>
    <row r="17" spans="1:21" ht="378">
      <c r="A17" s="342">
        <v>135762</v>
      </c>
      <c r="B17" s="342" t="s">
        <v>4355</v>
      </c>
      <c r="C17" s="342" t="s">
        <v>73</v>
      </c>
      <c r="D17" s="342" t="s">
        <v>47</v>
      </c>
      <c r="E17" s="342" t="s">
        <v>591</v>
      </c>
      <c r="F17" s="342" t="s">
        <v>40</v>
      </c>
      <c r="G17" s="342" t="s">
        <v>1336</v>
      </c>
      <c r="H17" s="342" t="s">
        <v>2115</v>
      </c>
      <c r="I17" s="342" t="s">
        <v>2072</v>
      </c>
      <c r="M17" s="342" t="s">
        <v>1336</v>
      </c>
      <c r="N17" s="342" t="s">
        <v>2073</v>
      </c>
      <c r="O17" s="342" t="s">
        <v>2116</v>
      </c>
      <c r="P17" s="342" t="s">
        <v>2075</v>
      </c>
      <c r="Q17" s="342">
        <v>3</v>
      </c>
      <c r="R17" s="342" t="s">
        <v>2076</v>
      </c>
      <c r="S17" s="342" t="s">
        <v>5177</v>
      </c>
      <c r="T17" s="342" t="s">
        <v>2099</v>
      </c>
      <c r="U17" s="344" t="s">
        <v>2117</v>
      </c>
    </row>
    <row r="18" spans="1:21">
      <c r="A18" s="342">
        <v>135873</v>
      </c>
      <c r="B18" s="342" t="s">
        <v>603</v>
      </c>
      <c r="C18" s="342" t="s">
        <v>68</v>
      </c>
      <c r="D18" s="342" t="s">
        <v>47</v>
      </c>
      <c r="E18" s="342" t="s">
        <v>591</v>
      </c>
      <c r="F18" s="342" t="s">
        <v>40</v>
      </c>
      <c r="G18" s="342" t="s">
        <v>1421</v>
      </c>
      <c r="H18" s="342" t="s">
        <v>2118</v>
      </c>
      <c r="I18" s="342" t="s">
        <v>2072</v>
      </c>
      <c r="M18" s="342" t="s">
        <v>1421</v>
      </c>
      <c r="N18" s="342" t="s">
        <v>4417</v>
      </c>
      <c r="Q18" s="342">
        <v>4</v>
      </c>
      <c r="R18" s="342" t="s">
        <v>2080</v>
      </c>
      <c r="S18" s="342" t="s">
        <v>2119</v>
      </c>
    </row>
    <row r="19" spans="1:21" ht="409.5">
      <c r="A19" s="342">
        <v>135907</v>
      </c>
      <c r="B19" s="342" t="s">
        <v>1430</v>
      </c>
      <c r="C19" s="342" t="s">
        <v>1433</v>
      </c>
      <c r="D19" s="342" t="s">
        <v>51</v>
      </c>
      <c r="E19" s="342" t="s">
        <v>591</v>
      </c>
      <c r="F19" s="342" t="s">
        <v>40</v>
      </c>
      <c r="G19" s="342" t="s">
        <v>5283</v>
      </c>
      <c r="H19" s="342" t="s">
        <v>2141</v>
      </c>
      <c r="I19" s="342" t="s">
        <v>2072</v>
      </c>
      <c r="J19" s="344" t="s">
        <v>2544</v>
      </c>
      <c r="L19" s="342" t="s">
        <v>2543</v>
      </c>
      <c r="M19" s="342" t="s">
        <v>5283</v>
      </c>
      <c r="N19" s="342" t="s">
        <v>2073</v>
      </c>
      <c r="O19" s="342" t="s">
        <v>2074</v>
      </c>
      <c r="Q19" s="342">
        <v>2</v>
      </c>
      <c r="R19" s="342" t="s">
        <v>2076</v>
      </c>
      <c r="S19" s="344" t="s">
        <v>2496</v>
      </c>
      <c r="T19" s="342" t="s">
        <v>2099</v>
      </c>
      <c r="U19" s="344" t="s">
        <v>2142</v>
      </c>
    </row>
    <row r="20" spans="1:21" ht="322">
      <c r="A20" s="342">
        <v>135938</v>
      </c>
      <c r="B20" s="342" t="s">
        <v>75</v>
      </c>
      <c r="C20" s="342" t="s">
        <v>78</v>
      </c>
      <c r="D20" s="342" t="s">
        <v>45</v>
      </c>
      <c r="E20" s="342" t="s">
        <v>591</v>
      </c>
      <c r="F20" s="342" t="s">
        <v>40</v>
      </c>
      <c r="G20" s="342" t="s">
        <v>1277</v>
      </c>
      <c r="H20" s="342" t="s">
        <v>75</v>
      </c>
      <c r="I20" s="342" t="s">
        <v>2072</v>
      </c>
      <c r="M20" s="342" t="s">
        <v>1277</v>
      </c>
      <c r="N20" s="342" t="s">
        <v>2073</v>
      </c>
      <c r="O20" s="342" t="s">
        <v>2113</v>
      </c>
      <c r="Q20" s="342">
        <v>4</v>
      </c>
      <c r="R20" s="342" t="s">
        <v>2085</v>
      </c>
      <c r="S20" s="344" t="s">
        <v>2123</v>
      </c>
    </row>
    <row r="21" spans="1:21" ht="196">
      <c r="A21" s="342">
        <v>136036</v>
      </c>
      <c r="B21" s="342" t="s">
        <v>79</v>
      </c>
      <c r="C21" s="342" t="s">
        <v>82</v>
      </c>
      <c r="D21" s="342" t="s">
        <v>45</v>
      </c>
      <c r="E21" s="342" t="s">
        <v>591</v>
      </c>
      <c r="F21" s="342" t="s">
        <v>40</v>
      </c>
      <c r="G21" s="342" t="s">
        <v>5450</v>
      </c>
      <c r="H21" s="342" t="s">
        <v>2124</v>
      </c>
      <c r="I21" s="342" t="s">
        <v>2072</v>
      </c>
      <c r="M21" s="342" t="s">
        <v>5517</v>
      </c>
      <c r="N21" s="342" t="s">
        <v>2073</v>
      </c>
      <c r="O21" s="342" t="s">
        <v>2116</v>
      </c>
      <c r="P21" s="342" t="s">
        <v>2125</v>
      </c>
      <c r="Q21" s="342">
        <v>3</v>
      </c>
      <c r="R21" s="342" t="s">
        <v>2085</v>
      </c>
      <c r="S21" s="344" t="s">
        <v>2126</v>
      </c>
      <c r="T21" s="342" t="s">
        <v>2087</v>
      </c>
    </row>
    <row r="22" spans="1:21" ht="98">
      <c r="A22" s="342">
        <v>136086</v>
      </c>
      <c r="B22" s="342" t="s">
        <v>1105</v>
      </c>
      <c r="C22" s="342" t="s">
        <v>1108</v>
      </c>
      <c r="D22" s="342" t="s">
        <v>45</v>
      </c>
      <c r="E22" s="342" t="s">
        <v>591</v>
      </c>
      <c r="F22" s="342" t="s">
        <v>1114</v>
      </c>
      <c r="G22" s="342" t="s">
        <v>1288</v>
      </c>
      <c r="H22" s="342" t="s">
        <v>2127</v>
      </c>
      <c r="I22" s="342" t="s">
        <v>2128</v>
      </c>
      <c r="J22" s="344" t="s">
        <v>2129</v>
      </c>
      <c r="M22" s="342" t="s">
        <v>1288</v>
      </c>
      <c r="N22" s="342" t="s">
        <v>2128</v>
      </c>
      <c r="Q22" s="342">
        <v>1</v>
      </c>
      <c r="R22" s="342" t="s">
        <v>2107</v>
      </c>
      <c r="S22" s="342" t="s">
        <v>2130</v>
      </c>
      <c r="T22" s="342" t="s">
        <v>2131</v>
      </c>
    </row>
    <row r="23" spans="1:21" ht="154">
      <c r="A23" s="342">
        <v>136746</v>
      </c>
      <c r="B23" s="342" t="s">
        <v>1118</v>
      </c>
      <c r="C23" s="342" t="s">
        <v>1121</v>
      </c>
      <c r="D23" s="342" t="s">
        <v>45</v>
      </c>
      <c r="E23" s="342" t="s">
        <v>591</v>
      </c>
      <c r="F23" s="342" t="s">
        <v>40</v>
      </c>
      <c r="G23" s="342" t="s">
        <v>5450</v>
      </c>
      <c r="H23" s="342" t="s">
        <v>2132</v>
      </c>
      <c r="I23" s="342" t="s">
        <v>2072</v>
      </c>
      <c r="M23" s="342" t="s">
        <v>5517</v>
      </c>
      <c r="N23" s="342" t="s">
        <v>2073</v>
      </c>
      <c r="O23" s="342" t="s">
        <v>2074</v>
      </c>
      <c r="P23" s="342" t="s">
        <v>2075</v>
      </c>
      <c r="Q23" s="342">
        <v>2</v>
      </c>
      <c r="R23" s="342" t="s">
        <v>2133</v>
      </c>
      <c r="S23" s="344" t="s">
        <v>2134</v>
      </c>
      <c r="T23" s="342" t="s">
        <v>2099</v>
      </c>
      <c r="U23" s="342" t="s">
        <v>2135</v>
      </c>
    </row>
    <row r="24" spans="1:21">
      <c r="A24" s="342">
        <v>137256</v>
      </c>
      <c r="B24" s="342" t="s">
        <v>83</v>
      </c>
      <c r="C24" s="342" t="s">
        <v>86</v>
      </c>
      <c r="D24" s="342" t="s">
        <v>51</v>
      </c>
      <c r="E24" s="342" t="s">
        <v>591</v>
      </c>
      <c r="F24" s="342" t="s">
        <v>40</v>
      </c>
      <c r="G24" s="342" t="s">
        <v>1421</v>
      </c>
      <c r="H24" s="342" t="s">
        <v>2136</v>
      </c>
      <c r="I24" s="342" t="s">
        <v>2072</v>
      </c>
      <c r="M24" s="342" t="s">
        <v>1421</v>
      </c>
      <c r="N24" s="342" t="s">
        <v>2143</v>
      </c>
      <c r="O24" s="342" t="s">
        <v>2137</v>
      </c>
      <c r="Q24" s="342">
        <v>3</v>
      </c>
      <c r="R24" s="342" t="s">
        <v>2144</v>
      </c>
    </row>
    <row r="25" spans="1:21" ht="196">
      <c r="A25" s="342">
        <v>137312</v>
      </c>
      <c r="B25" s="342" t="s">
        <v>1236</v>
      </c>
      <c r="C25" s="342" t="s">
        <v>1239</v>
      </c>
      <c r="D25" s="342" t="s">
        <v>51</v>
      </c>
      <c r="E25" s="342" t="s">
        <v>591</v>
      </c>
      <c r="F25" s="342" t="s">
        <v>40</v>
      </c>
      <c r="G25" s="342" t="s">
        <v>5450</v>
      </c>
      <c r="H25" s="342" t="s">
        <v>2124</v>
      </c>
      <c r="I25" s="342" t="s">
        <v>2072</v>
      </c>
      <c r="J25" s="344" t="s">
        <v>2138</v>
      </c>
      <c r="L25" s="342" t="s">
        <v>2031</v>
      </c>
      <c r="M25" s="342" t="s">
        <v>5517</v>
      </c>
      <c r="N25" s="342" t="s">
        <v>2073</v>
      </c>
      <c r="O25" s="342" t="s">
        <v>2116</v>
      </c>
      <c r="P25" s="342" t="s">
        <v>2125</v>
      </c>
      <c r="Q25" s="342">
        <v>3</v>
      </c>
      <c r="R25" s="342" t="s">
        <v>2085</v>
      </c>
      <c r="S25" s="344" t="s">
        <v>2126</v>
      </c>
      <c r="T25" s="342" t="s">
        <v>2087</v>
      </c>
    </row>
    <row r="26" spans="1:21">
      <c r="A26" s="342">
        <v>137721</v>
      </c>
      <c r="B26" s="342" t="s">
        <v>4253</v>
      </c>
      <c r="C26" s="342" t="s">
        <v>4255</v>
      </c>
      <c r="D26" s="342" t="s">
        <v>47</v>
      </c>
      <c r="E26" s="342" t="s">
        <v>591</v>
      </c>
      <c r="F26" s="342" t="s">
        <v>40</v>
      </c>
      <c r="G26" s="342" t="s">
        <v>1288</v>
      </c>
      <c r="H26" s="342" t="s">
        <v>2265</v>
      </c>
      <c r="I26" s="342" t="s">
        <v>2090</v>
      </c>
      <c r="M26" s="342" t="s">
        <v>1288</v>
      </c>
      <c r="N26" s="342" t="s">
        <v>2090</v>
      </c>
      <c r="O26" s="342" t="s">
        <v>2214</v>
      </c>
      <c r="P26" s="342" t="s">
        <v>2122</v>
      </c>
      <c r="Q26" s="342">
        <v>3</v>
      </c>
      <c r="R26" s="342" t="s">
        <v>2133</v>
      </c>
      <c r="S26" s="342" t="s">
        <v>2266</v>
      </c>
      <c r="T26" s="342" t="s">
        <v>2099</v>
      </c>
      <c r="U26" s="342" t="s">
        <v>2267</v>
      </c>
    </row>
    <row r="27" spans="1:21" ht="252">
      <c r="A27" s="342">
        <v>137765</v>
      </c>
      <c r="B27" s="342" t="s">
        <v>1168</v>
      </c>
      <c r="C27" s="342" t="s">
        <v>88</v>
      </c>
      <c r="D27" s="342" t="s">
        <v>55</v>
      </c>
      <c r="E27" s="342" t="s">
        <v>591</v>
      </c>
      <c r="F27" s="342" t="s">
        <v>40</v>
      </c>
      <c r="G27" s="342" t="s">
        <v>4608</v>
      </c>
      <c r="H27" s="342" t="s">
        <v>1168</v>
      </c>
      <c r="I27" s="342" t="s">
        <v>2072</v>
      </c>
      <c r="M27" s="342" t="s">
        <v>5278</v>
      </c>
      <c r="N27" s="342" t="s">
        <v>2073</v>
      </c>
      <c r="O27" s="342" t="s">
        <v>2074</v>
      </c>
      <c r="P27" s="342" t="s">
        <v>2075</v>
      </c>
      <c r="Q27" s="342">
        <v>2</v>
      </c>
      <c r="R27" s="342" t="s">
        <v>2076</v>
      </c>
      <c r="S27" s="344" t="s">
        <v>2139</v>
      </c>
      <c r="T27" s="342" t="s">
        <v>2099</v>
      </c>
      <c r="U27" s="344" t="s">
        <v>2140</v>
      </c>
    </row>
    <row r="28" spans="1:21" ht="252">
      <c r="A28" s="342">
        <v>137768</v>
      </c>
      <c r="B28" s="342" t="s">
        <v>1168</v>
      </c>
      <c r="C28" s="342" t="s">
        <v>90</v>
      </c>
      <c r="D28" s="342" t="s">
        <v>55</v>
      </c>
      <c r="E28" s="342" t="s">
        <v>591</v>
      </c>
      <c r="F28" s="342" t="s">
        <v>40</v>
      </c>
      <c r="G28" s="342" t="s">
        <v>4608</v>
      </c>
      <c r="H28" s="342" t="s">
        <v>1168</v>
      </c>
      <c r="I28" s="342" t="s">
        <v>2072</v>
      </c>
      <c r="M28" s="342" t="s">
        <v>5278</v>
      </c>
      <c r="N28" s="342" t="s">
        <v>2073</v>
      </c>
      <c r="O28" s="342" t="s">
        <v>2074</v>
      </c>
      <c r="P28" s="342" t="s">
        <v>2075</v>
      </c>
      <c r="Q28" s="342">
        <v>2</v>
      </c>
      <c r="R28" s="342" t="s">
        <v>2076</v>
      </c>
      <c r="S28" s="344" t="s">
        <v>2139</v>
      </c>
      <c r="T28" s="342" t="s">
        <v>2099</v>
      </c>
      <c r="U28" s="344" t="s">
        <v>2140</v>
      </c>
    </row>
    <row r="29" spans="1:21">
      <c r="A29" s="342">
        <v>138307</v>
      </c>
      <c r="B29" s="342" t="s">
        <v>1234</v>
      </c>
      <c r="C29" s="342" t="s">
        <v>1198</v>
      </c>
      <c r="D29" s="342" t="s">
        <v>51</v>
      </c>
      <c r="E29" s="342" t="s">
        <v>591</v>
      </c>
      <c r="F29" s="342" t="s">
        <v>40</v>
      </c>
      <c r="G29" s="342" t="s">
        <v>5279</v>
      </c>
      <c r="H29" s="342" t="s">
        <v>2100</v>
      </c>
      <c r="I29" s="342" t="s">
        <v>2072</v>
      </c>
      <c r="M29" s="342" t="s">
        <v>5279</v>
      </c>
      <c r="N29" s="342" t="s">
        <v>2073</v>
      </c>
      <c r="O29" s="342" t="s">
        <v>2074</v>
      </c>
      <c r="P29" s="342" t="s">
        <v>2075</v>
      </c>
      <c r="Q29" s="342">
        <v>2</v>
      </c>
      <c r="R29" s="342" t="s">
        <v>2076</v>
      </c>
      <c r="S29" s="342" t="s">
        <v>2101</v>
      </c>
      <c r="T29" s="342" t="s">
        <v>2099</v>
      </c>
    </row>
    <row r="30" spans="1:21" ht="409.5">
      <c r="A30" s="342">
        <v>138579</v>
      </c>
      <c r="B30" s="342" t="s">
        <v>1220</v>
      </c>
      <c r="C30" s="342" t="s">
        <v>92</v>
      </c>
      <c r="D30" s="342" t="s">
        <v>47</v>
      </c>
      <c r="E30" s="342" t="s">
        <v>591</v>
      </c>
      <c r="F30" s="342" t="s">
        <v>40</v>
      </c>
      <c r="G30" s="342" t="s">
        <v>5283</v>
      </c>
      <c r="H30" s="342" t="s">
        <v>2141</v>
      </c>
      <c r="I30" s="342" t="s">
        <v>2072</v>
      </c>
      <c r="M30" s="342" t="s">
        <v>5283</v>
      </c>
      <c r="N30" s="342" t="s">
        <v>2073</v>
      </c>
      <c r="O30" s="342" t="s">
        <v>2074</v>
      </c>
      <c r="Q30" s="342">
        <v>2</v>
      </c>
      <c r="R30" s="342" t="s">
        <v>2076</v>
      </c>
      <c r="S30" s="344" t="s">
        <v>2496</v>
      </c>
      <c r="T30" s="342" t="s">
        <v>2099</v>
      </c>
      <c r="U30" s="344" t="s">
        <v>2142</v>
      </c>
    </row>
    <row r="31" spans="1:21" ht="84">
      <c r="A31" s="342">
        <v>138708</v>
      </c>
      <c r="B31" s="342" t="s">
        <v>1279</v>
      </c>
      <c r="C31" s="342" t="s">
        <v>1281</v>
      </c>
      <c r="D31" s="342" t="s">
        <v>55</v>
      </c>
      <c r="E31" s="342" t="s">
        <v>591</v>
      </c>
      <c r="F31" s="342" t="s">
        <v>40</v>
      </c>
      <c r="G31" s="342" t="s">
        <v>1277</v>
      </c>
      <c r="H31" s="342" t="s">
        <v>2145</v>
      </c>
      <c r="I31" s="342" t="s">
        <v>2072</v>
      </c>
      <c r="J31" s="344" t="s">
        <v>2146</v>
      </c>
      <c r="L31" s="342" t="s">
        <v>2033</v>
      </c>
      <c r="M31" s="342" t="s">
        <v>1277</v>
      </c>
      <c r="N31" s="342" t="s">
        <v>2073</v>
      </c>
      <c r="Q31" s="342">
        <v>4</v>
      </c>
      <c r="R31" s="342" t="s">
        <v>2085</v>
      </c>
      <c r="S31" s="342" t="s">
        <v>2147</v>
      </c>
      <c r="T31" s="342" t="s">
        <v>2148</v>
      </c>
    </row>
    <row r="32" spans="1:21">
      <c r="A32" s="342">
        <v>138812</v>
      </c>
      <c r="B32" s="342" t="s">
        <v>5938</v>
      </c>
      <c r="C32" s="342" t="s">
        <v>74</v>
      </c>
      <c r="D32" s="342" t="s">
        <v>55</v>
      </c>
      <c r="E32" s="342" t="s">
        <v>591</v>
      </c>
      <c r="F32" s="342" t="s">
        <v>737</v>
      </c>
      <c r="G32" s="342" t="s">
        <v>1277</v>
      </c>
    </row>
    <row r="33" spans="1:21" ht="252">
      <c r="A33" s="342">
        <v>139237</v>
      </c>
      <c r="B33" s="342" t="s">
        <v>1487</v>
      </c>
      <c r="C33" s="342" t="s">
        <v>68</v>
      </c>
      <c r="D33" s="342" t="s">
        <v>47</v>
      </c>
      <c r="E33" s="342" t="s">
        <v>591</v>
      </c>
      <c r="F33" s="342" t="s">
        <v>685</v>
      </c>
      <c r="G33" s="342" t="s">
        <v>4638</v>
      </c>
      <c r="H33" s="342" t="s">
        <v>2149</v>
      </c>
      <c r="I33" s="342" t="s">
        <v>2120</v>
      </c>
      <c r="J33" s="344" t="s">
        <v>2150</v>
      </c>
      <c r="M33" s="342" t="s">
        <v>4638</v>
      </c>
      <c r="N33" s="342" t="s">
        <v>2120</v>
      </c>
      <c r="Q33" s="342">
        <v>2</v>
      </c>
      <c r="R33" s="342" t="s">
        <v>2107</v>
      </c>
      <c r="S33" s="342" t="s">
        <v>2151</v>
      </c>
      <c r="T33" s="342" t="s">
        <v>2152</v>
      </c>
      <c r="U33" s="342" t="s">
        <v>2153</v>
      </c>
    </row>
    <row r="34" spans="1:21">
      <c r="A34" s="342">
        <v>139879</v>
      </c>
      <c r="B34" s="342" t="s">
        <v>94</v>
      </c>
      <c r="C34" s="342" t="s">
        <v>96</v>
      </c>
      <c r="D34" s="342" t="s">
        <v>47</v>
      </c>
      <c r="E34" s="342" t="s">
        <v>591</v>
      </c>
      <c r="F34" s="342" t="s">
        <v>40</v>
      </c>
      <c r="G34" s="342" t="s">
        <v>1277</v>
      </c>
      <c r="H34" s="342" t="s">
        <v>2154</v>
      </c>
      <c r="I34" s="342" t="s">
        <v>2072</v>
      </c>
      <c r="M34" s="342" t="s">
        <v>1277</v>
      </c>
      <c r="N34" s="342" t="s">
        <v>2073</v>
      </c>
      <c r="Q34" s="342">
        <v>3</v>
      </c>
      <c r="R34" s="342" t="s">
        <v>2085</v>
      </c>
      <c r="S34" s="342" t="s">
        <v>2155</v>
      </c>
      <c r="T34" s="342" t="s">
        <v>2087</v>
      </c>
    </row>
    <row r="35" spans="1:21" ht="409.5">
      <c r="A35" s="342">
        <v>139959</v>
      </c>
      <c r="B35" s="342" t="s">
        <v>746</v>
      </c>
      <c r="C35" s="342" t="s">
        <v>648</v>
      </c>
      <c r="D35" s="342" t="s">
        <v>47</v>
      </c>
      <c r="E35" s="342" t="s">
        <v>591</v>
      </c>
      <c r="F35" s="342" t="s">
        <v>40</v>
      </c>
      <c r="G35" s="342" t="s">
        <v>5280</v>
      </c>
      <c r="H35" s="342" t="s">
        <v>1265</v>
      </c>
      <c r="I35" s="342" t="s">
        <v>2072</v>
      </c>
      <c r="M35" s="342" t="s">
        <v>5280</v>
      </c>
      <c r="N35" s="342" t="s">
        <v>2073</v>
      </c>
      <c r="O35" s="342" t="s">
        <v>2074</v>
      </c>
      <c r="Q35" s="342">
        <v>3</v>
      </c>
      <c r="R35" s="342" t="s">
        <v>2076</v>
      </c>
      <c r="S35" s="344" t="s">
        <v>4875</v>
      </c>
      <c r="T35" s="342" t="s">
        <v>2077</v>
      </c>
    </row>
    <row r="36" spans="1:21">
      <c r="A36" s="342">
        <v>140080</v>
      </c>
      <c r="B36" s="342" t="s">
        <v>99</v>
      </c>
      <c r="C36" s="342" t="s">
        <v>102</v>
      </c>
      <c r="D36" s="342" t="s">
        <v>51</v>
      </c>
      <c r="E36" s="342" t="s">
        <v>591</v>
      </c>
      <c r="F36" s="342" t="s">
        <v>40</v>
      </c>
      <c r="G36" s="342" t="s">
        <v>5281</v>
      </c>
      <c r="H36" s="342" t="s">
        <v>2156</v>
      </c>
      <c r="I36" s="342" t="s">
        <v>2072</v>
      </c>
      <c r="M36" s="342" t="s">
        <v>5281</v>
      </c>
      <c r="N36" s="342" t="s">
        <v>2073</v>
      </c>
      <c r="O36" s="342" t="s">
        <v>2116</v>
      </c>
      <c r="Q36" s="342">
        <v>4</v>
      </c>
      <c r="R36" s="342" t="s">
        <v>2076</v>
      </c>
      <c r="S36" s="342" t="s">
        <v>2157</v>
      </c>
      <c r="T36" s="342" t="s">
        <v>2099</v>
      </c>
      <c r="U36" s="342" t="s">
        <v>2158</v>
      </c>
    </row>
    <row r="37" spans="1:21" ht="280">
      <c r="A37" s="342">
        <v>140339</v>
      </c>
      <c r="B37" s="342" t="s">
        <v>4754</v>
      </c>
      <c r="C37" s="342" t="s">
        <v>434</v>
      </c>
      <c r="D37" s="342" t="s">
        <v>51</v>
      </c>
      <c r="E37" s="342" t="s">
        <v>591</v>
      </c>
      <c r="F37" s="342" t="s">
        <v>40</v>
      </c>
      <c r="G37" s="342" t="s">
        <v>5282</v>
      </c>
      <c r="H37" s="342" t="s">
        <v>2159</v>
      </c>
      <c r="I37" s="342" t="s">
        <v>2072</v>
      </c>
      <c r="M37" s="342" t="s">
        <v>5282</v>
      </c>
      <c r="N37" s="342" t="s">
        <v>2073</v>
      </c>
      <c r="O37" s="342" t="s">
        <v>2113</v>
      </c>
      <c r="P37" s="342" t="s">
        <v>2075</v>
      </c>
      <c r="Q37" s="342">
        <v>3</v>
      </c>
      <c r="R37" s="342" t="s">
        <v>2085</v>
      </c>
      <c r="S37" s="344" t="s">
        <v>2160</v>
      </c>
    </row>
    <row r="38" spans="1:21" ht="126">
      <c r="A38" s="342">
        <v>140534</v>
      </c>
      <c r="B38" s="342" t="s">
        <v>640</v>
      </c>
      <c r="C38" s="342" t="s">
        <v>643</v>
      </c>
      <c r="D38" s="342" t="s">
        <v>45</v>
      </c>
      <c r="E38" s="342" t="s">
        <v>591</v>
      </c>
      <c r="F38" s="342" t="s">
        <v>40</v>
      </c>
      <c r="G38" s="342" t="s">
        <v>5279</v>
      </c>
      <c r="H38" s="342" t="s">
        <v>2161</v>
      </c>
      <c r="I38" s="342" t="s">
        <v>2079</v>
      </c>
      <c r="J38" s="344" t="s">
        <v>4274</v>
      </c>
      <c r="L38" s="342" t="s">
        <v>4195</v>
      </c>
      <c r="M38" s="342" t="s">
        <v>5279</v>
      </c>
      <c r="N38" s="342" t="s">
        <v>2073</v>
      </c>
      <c r="O38" s="342" t="s">
        <v>2074</v>
      </c>
      <c r="P38" s="342" t="s">
        <v>2075</v>
      </c>
      <c r="Q38" s="342">
        <v>2</v>
      </c>
      <c r="R38" s="342" t="s">
        <v>2076</v>
      </c>
      <c r="S38" s="342" t="s">
        <v>2162</v>
      </c>
      <c r="T38" s="342" t="s">
        <v>2099</v>
      </c>
      <c r="U38" s="342" t="s">
        <v>2163</v>
      </c>
    </row>
    <row r="39" spans="1:21">
      <c r="A39" s="342">
        <v>140539</v>
      </c>
      <c r="B39" s="342" t="s">
        <v>103</v>
      </c>
      <c r="C39" s="342" t="s">
        <v>106</v>
      </c>
      <c r="D39" s="342" t="s">
        <v>107</v>
      </c>
      <c r="E39" s="342" t="s">
        <v>591</v>
      </c>
      <c r="F39" s="342" t="s">
        <v>40</v>
      </c>
      <c r="G39" s="342" t="s">
        <v>1277</v>
      </c>
      <c r="H39" s="342" t="s">
        <v>2164</v>
      </c>
      <c r="I39" s="342" t="s">
        <v>2072</v>
      </c>
      <c r="M39" s="342" t="s">
        <v>1277</v>
      </c>
      <c r="N39" s="342" t="s">
        <v>2073</v>
      </c>
      <c r="O39" s="342" t="s">
        <v>2093</v>
      </c>
      <c r="Q39" s="342">
        <v>4</v>
      </c>
      <c r="R39" s="342" t="s">
        <v>2085</v>
      </c>
      <c r="S39" s="342" t="s">
        <v>2165</v>
      </c>
      <c r="T39" s="342" t="s">
        <v>2087</v>
      </c>
    </row>
    <row r="40" spans="1:21" ht="409.5">
      <c r="A40" s="342">
        <v>141080</v>
      </c>
      <c r="B40" s="342" t="s">
        <v>108</v>
      </c>
      <c r="C40" s="342" t="s">
        <v>110</v>
      </c>
      <c r="D40" s="342" t="s">
        <v>51</v>
      </c>
      <c r="E40" s="342" t="s">
        <v>591</v>
      </c>
      <c r="F40" s="342" t="s">
        <v>40</v>
      </c>
      <c r="G40" s="342" t="s">
        <v>1288</v>
      </c>
      <c r="H40" s="342" t="s">
        <v>122</v>
      </c>
      <c r="I40" s="342" t="s">
        <v>2079</v>
      </c>
      <c r="J40" s="344" t="s">
        <v>4694</v>
      </c>
      <c r="L40" s="342" t="s">
        <v>4853</v>
      </c>
      <c r="M40" s="342" t="s">
        <v>1288</v>
      </c>
      <c r="N40" s="342" t="s">
        <v>2073</v>
      </c>
      <c r="O40" s="342" t="s">
        <v>2116</v>
      </c>
      <c r="P40" s="342" t="s">
        <v>2075</v>
      </c>
      <c r="Q40" s="342">
        <v>3</v>
      </c>
      <c r="R40" s="342" t="s">
        <v>2085</v>
      </c>
      <c r="S40" s="342" t="s">
        <v>2177</v>
      </c>
      <c r="T40" s="342" t="s">
        <v>2087</v>
      </c>
    </row>
    <row r="41" spans="1:21" ht="294">
      <c r="A41" s="342">
        <v>141168</v>
      </c>
      <c r="B41" s="342" t="s">
        <v>111</v>
      </c>
      <c r="C41" s="342" t="s">
        <v>113</v>
      </c>
      <c r="D41" s="342" t="s">
        <v>51</v>
      </c>
      <c r="E41" s="342" t="s">
        <v>591</v>
      </c>
      <c r="F41" s="342" t="s">
        <v>40</v>
      </c>
      <c r="G41" s="342" t="s">
        <v>1277</v>
      </c>
      <c r="H41" s="342" t="s">
        <v>2166</v>
      </c>
      <c r="I41" s="342" t="s">
        <v>2072</v>
      </c>
      <c r="M41" s="342" t="s">
        <v>1510</v>
      </c>
      <c r="N41" s="342" t="s">
        <v>2073</v>
      </c>
      <c r="O41" s="342" t="s">
        <v>2113</v>
      </c>
      <c r="Q41" s="342">
        <v>4</v>
      </c>
      <c r="R41" s="342" t="s">
        <v>2085</v>
      </c>
      <c r="S41" s="344" t="s">
        <v>2167</v>
      </c>
      <c r="T41" s="342" t="s">
        <v>2087</v>
      </c>
      <c r="U41" s="342" t="s">
        <v>2168</v>
      </c>
    </row>
    <row r="42" spans="1:21">
      <c r="A42" s="342">
        <v>141737</v>
      </c>
      <c r="B42" s="342" t="s">
        <v>114</v>
      </c>
      <c r="C42" s="342" t="s">
        <v>116</v>
      </c>
      <c r="D42" s="342" t="s">
        <v>55</v>
      </c>
      <c r="E42" s="342" t="s">
        <v>591</v>
      </c>
      <c r="F42" s="342" t="s">
        <v>40</v>
      </c>
      <c r="G42" s="342" t="s">
        <v>1277</v>
      </c>
      <c r="H42" s="342" t="s">
        <v>2169</v>
      </c>
      <c r="I42" s="342" t="s">
        <v>2072</v>
      </c>
      <c r="M42" s="342" t="s">
        <v>1277</v>
      </c>
      <c r="N42" s="342" t="s">
        <v>2073</v>
      </c>
      <c r="O42" s="342" t="s">
        <v>2113</v>
      </c>
      <c r="Q42" s="342">
        <v>4</v>
      </c>
      <c r="R42" s="342" t="s">
        <v>2085</v>
      </c>
      <c r="S42" s="342" t="s">
        <v>2170</v>
      </c>
    </row>
    <row r="43" spans="1:21" ht="280">
      <c r="A43" s="342">
        <v>142610</v>
      </c>
      <c r="B43" s="342" t="s">
        <v>1498</v>
      </c>
      <c r="C43" s="342" t="s">
        <v>417</v>
      </c>
      <c r="D43" s="342" t="s">
        <v>51</v>
      </c>
      <c r="E43" s="342" t="s">
        <v>591</v>
      </c>
      <c r="F43" s="342" t="s">
        <v>40</v>
      </c>
      <c r="G43" s="342" t="s">
        <v>5282</v>
      </c>
      <c r="H43" s="342" t="s">
        <v>2171</v>
      </c>
      <c r="I43" s="342" t="s">
        <v>2072</v>
      </c>
      <c r="M43" s="342" t="s">
        <v>5282</v>
      </c>
      <c r="N43" s="342" t="s">
        <v>2073</v>
      </c>
      <c r="O43" s="342" t="s">
        <v>2093</v>
      </c>
      <c r="Q43" s="342">
        <v>2</v>
      </c>
      <c r="R43" s="342" t="s">
        <v>2076</v>
      </c>
      <c r="S43" s="344" t="s">
        <v>2172</v>
      </c>
      <c r="T43" s="342" t="s">
        <v>2077</v>
      </c>
    </row>
    <row r="44" spans="1:21">
      <c r="A44" s="342">
        <v>144548</v>
      </c>
      <c r="B44" s="342" t="s">
        <v>679</v>
      </c>
      <c r="C44" s="342" t="s">
        <v>682</v>
      </c>
      <c r="D44" s="342" t="s">
        <v>45</v>
      </c>
      <c r="E44" s="342" t="s">
        <v>591</v>
      </c>
      <c r="F44" s="342" t="s">
        <v>40</v>
      </c>
      <c r="G44" s="342" t="s">
        <v>1277</v>
      </c>
      <c r="H44" s="342" t="s">
        <v>679</v>
      </c>
      <c r="I44" s="342" t="s">
        <v>2072</v>
      </c>
      <c r="M44" s="342" t="s">
        <v>1277</v>
      </c>
      <c r="N44" s="342" t="s">
        <v>2073</v>
      </c>
      <c r="O44" s="342" t="s">
        <v>2093</v>
      </c>
      <c r="Q44" s="342">
        <v>4</v>
      </c>
      <c r="R44" s="342" t="s">
        <v>2085</v>
      </c>
      <c r="S44" s="342" t="s">
        <v>2173</v>
      </c>
    </row>
    <row r="45" spans="1:21">
      <c r="A45" s="342">
        <v>146895</v>
      </c>
      <c r="B45" s="342" t="s">
        <v>669</v>
      </c>
      <c r="C45" s="342" t="s">
        <v>121</v>
      </c>
      <c r="D45" s="342" t="s">
        <v>51</v>
      </c>
      <c r="E45" s="342" t="s">
        <v>591</v>
      </c>
      <c r="F45" s="342" t="s">
        <v>40</v>
      </c>
      <c r="G45" s="342" t="s">
        <v>1277</v>
      </c>
      <c r="H45" s="342" t="s">
        <v>2174</v>
      </c>
      <c r="I45" s="342" t="s">
        <v>2072</v>
      </c>
      <c r="M45" s="342" t="s">
        <v>1277</v>
      </c>
      <c r="N45" s="342" t="s">
        <v>2073</v>
      </c>
      <c r="O45" s="342" t="s">
        <v>2113</v>
      </c>
      <c r="Q45" s="342">
        <v>4</v>
      </c>
      <c r="R45" s="342" t="s">
        <v>2085</v>
      </c>
      <c r="S45" s="342" t="s">
        <v>2175</v>
      </c>
      <c r="U45" s="342" t="s">
        <v>2176</v>
      </c>
    </row>
    <row r="46" spans="1:21">
      <c r="A46" s="342">
        <v>147189</v>
      </c>
      <c r="B46" s="342" t="s">
        <v>122</v>
      </c>
      <c r="C46" s="342" t="s">
        <v>123</v>
      </c>
      <c r="D46" s="342" t="s">
        <v>47</v>
      </c>
      <c r="E46" s="342" t="s">
        <v>591</v>
      </c>
      <c r="F46" s="342" t="s">
        <v>40</v>
      </c>
      <c r="G46" s="342" t="s">
        <v>1288</v>
      </c>
      <c r="H46" s="342" t="s">
        <v>122</v>
      </c>
      <c r="I46" s="342" t="s">
        <v>2072</v>
      </c>
      <c r="M46" s="342" t="s">
        <v>1288</v>
      </c>
      <c r="N46" s="342" t="s">
        <v>2073</v>
      </c>
      <c r="O46" s="342" t="s">
        <v>2116</v>
      </c>
      <c r="P46" s="342" t="s">
        <v>2075</v>
      </c>
      <c r="Q46" s="342">
        <v>3</v>
      </c>
      <c r="R46" s="342" t="s">
        <v>2085</v>
      </c>
      <c r="S46" s="342" t="s">
        <v>2177</v>
      </c>
      <c r="T46" s="342" t="s">
        <v>2087</v>
      </c>
    </row>
    <row r="47" spans="1:21">
      <c r="A47" s="342">
        <v>147245</v>
      </c>
      <c r="B47" s="342" t="s">
        <v>1232</v>
      </c>
      <c r="C47" s="342" t="s">
        <v>125</v>
      </c>
      <c r="D47" s="342" t="s">
        <v>126</v>
      </c>
      <c r="E47" s="342" t="s">
        <v>591</v>
      </c>
      <c r="F47" s="342" t="s">
        <v>40</v>
      </c>
      <c r="G47" s="342" t="s">
        <v>5281</v>
      </c>
      <c r="H47" s="342" t="s">
        <v>2178</v>
      </c>
      <c r="I47" s="342" t="s">
        <v>2072</v>
      </c>
      <c r="M47" s="342" t="s">
        <v>5281</v>
      </c>
      <c r="N47" s="342" t="s">
        <v>2073</v>
      </c>
      <c r="O47" s="342" t="s">
        <v>2113</v>
      </c>
      <c r="P47" s="342" t="s">
        <v>2179</v>
      </c>
      <c r="Q47" s="342">
        <v>3</v>
      </c>
      <c r="R47" s="342" t="s">
        <v>2085</v>
      </c>
      <c r="S47" s="342" t="s">
        <v>2180</v>
      </c>
    </row>
    <row r="48" spans="1:21" ht="409.5">
      <c r="A48" s="342">
        <v>147463</v>
      </c>
      <c r="B48" s="342" t="s">
        <v>1322</v>
      </c>
      <c r="C48" s="342" t="s">
        <v>1325</v>
      </c>
      <c r="D48" s="342" t="s">
        <v>51</v>
      </c>
      <c r="E48" s="342" t="s">
        <v>591</v>
      </c>
      <c r="F48" s="342" t="s">
        <v>40</v>
      </c>
      <c r="G48" s="342" t="s">
        <v>5449</v>
      </c>
      <c r="H48" s="342" t="s">
        <v>2181</v>
      </c>
      <c r="I48" s="342" t="s">
        <v>2072</v>
      </c>
      <c r="M48" s="342" t="s">
        <v>5449</v>
      </c>
      <c r="N48" s="342" t="s">
        <v>2073</v>
      </c>
      <c r="P48" s="342" t="s">
        <v>2075</v>
      </c>
      <c r="Q48" s="342">
        <v>2</v>
      </c>
      <c r="R48" s="342" t="s">
        <v>2076</v>
      </c>
      <c r="S48" s="344" t="s">
        <v>2536</v>
      </c>
      <c r="T48" s="342" t="s">
        <v>2099</v>
      </c>
      <c r="U48" s="342" t="s">
        <v>2182</v>
      </c>
    </row>
    <row r="49" spans="1:21" ht="378">
      <c r="A49" s="342">
        <v>147594</v>
      </c>
      <c r="B49" s="342" t="s">
        <v>5426</v>
      </c>
      <c r="C49" s="342" t="s">
        <v>5428</v>
      </c>
      <c r="D49" s="342" t="s">
        <v>47</v>
      </c>
      <c r="E49" s="342" t="s">
        <v>591</v>
      </c>
      <c r="F49" s="342" t="s">
        <v>40</v>
      </c>
      <c r="G49" s="342" t="s">
        <v>1336</v>
      </c>
      <c r="H49" s="342" t="s">
        <v>2115</v>
      </c>
      <c r="I49" s="342" t="s">
        <v>2072</v>
      </c>
      <c r="M49" s="342" t="s">
        <v>1336</v>
      </c>
      <c r="N49" s="342" t="s">
        <v>2073</v>
      </c>
      <c r="O49" s="342" t="s">
        <v>2116</v>
      </c>
      <c r="P49" s="342" t="s">
        <v>2075</v>
      </c>
      <c r="Q49" s="342">
        <v>3</v>
      </c>
      <c r="R49" s="342" t="s">
        <v>2076</v>
      </c>
      <c r="S49" s="342" t="s">
        <v>5177</v>
      </c>
      <c r="T49" s="342" t="s">
        <v>2099</v>
      </c>
      <c r="U49" s="344" t="s">
        <v>2117</v>
      </c>
    </row>
    <row r="50" spans="1:21">
      <c r="A50" s="342">
        <v>148000</v>
      </c>
      <c r="B50" s="342" t="s">
        <v>127</v>
      </c>
      <c r="C50" s="342" t="s">
        <v>129</v>
      </c>
      <c r="D50" s="342" t="s">
        <v>51</v>
      </c>
      <c r="E50" s="342" t="s">
        <v>591</v>
      </c>
      <c r="F50" s="342" t="s">
        <v>40</v>
      </c>
      <c r="G50" s="342" t="s">
        <v>1277</v>
      </c>
      <c r="H50" s="342" t="s">
        <v>2183</v>
      </c>
      <c r="I50" s="342" t="s">
        <v>2072</v>
      </c>
      <c r="M50" s="342" t="s">
        <v>1277</v>
      </c>
      <c r="N50" s="342" t="s">
        <v>2073</v>
      </c>
      <c r="O50" s="342" t="s">
        <v>2093</v>
      </c>
      <c r="Q50" s="342">
        <v>4</v>
      </c>
      <c r="R50" s="342" t="s">
        <v>2085</v>
      </c>
      <c r="S50" s="342" t="s">
        <v>2184</v>
      </c>
    </row>
    <row r="51" spans="1:21">
      <c r="A51" s="342">
        <v>148971</v>
      </c>
      <c r="B51" s="342" t="s">
        <v>130</v>
      </c>
      <c r="C51" s="342" t="s">
        <v>132</v>
      </c>
      <c r="D51" s="342" t="s">
        <v>47</v>
      </c>
      <c r="E51" s="342" t="s">
        <v>591</v>
      </c>
      <c r="F51" s="342" t="s">
        <v>40</v>
      </c>
      <c r="G51" s="342" t="s">
        <v>1277</v>
      </c>
      <c r="H51" s="342" t="s">
        <v>130</v>
      </c>
      <c r="I51" s="342" t="s">
        <v>2072</v>
      </c>
      <c r="M51" s="342" t="s">
        <v>1277</v>
      </c>
      <c r="N51" s="342" t="s">
        <v>2143</v>
      </c>
      <c r="O51" s="342" t="s">
        <v>2137</v>
      </c>
      <c r="Q51" s="342">
        <v>3</v>
      </c>
      <c r="R51" s="342" t="s">
        <v>2144</v>
      </c>
      <c r="S51" s="342" t="s">
        <v>2185</v>
      </c>
      <c r="T51" s="342" t="s">
        <v>2186</v>
      </c>
      <c r="U51" s="342" t="s">
        <v>2187</v>
      </c>
    </row>
    <row r="52" spans="1:21">
      <c r="A52" s="342">
        <v>150190</v>
      </c>
      <c r="B52" s="342" t="s">
        <v>4506</v>
      </c>
      <c r="C52" s="342" t="s">
        <v>134</v>
      </c>
      <c r="D52" s="342" t="s">
        <v>47</v>
      </c>
      <c r="E52" s="342" t="s">
        <v>591</v>
      </c>
      <c r="F52" s="342" t="s">
        <v>40</v>
      </c>
      <c r="G52" s="342" t="s">
        <v>1277</v>
      </c>
      <c r="H52" s="342" t="s">
        <v>133</v>
      </c>
      <c r="I52" s="342" t="s">
        <v>2072</v>
      </c>
      <c r="M52" s="342" t="s">
        <v>1277</v>
      </c>
      <c r="N52" s="342" t="s">
        <v>2073</v>
      </c>
      <c r="O52" s="342" t="s">
        <v>2113</v>
      </c>
      <c r="Q52" s="342">
        <v>4</v>
      </c>
      <c r="R52" s="342" t="s">
        <v>2085</v>
      </c>
      <c r="S52" s="342" t="s">
        <v>2188</v>
      </c>
      <c r="T52" s="342" t="s">
        <v>2087</v>
      </c>
    </row>
    <row r="53" spans="1:21" ht="409.5">
      <c r="A53" s="342">
        <v>150344</v>
      </c>
      <c r="B53" s="342" t="s">
        <v>1207</v>
      </c>
      <c r="C53" s="342" t="s">
        <v>1210</v>
      </c>
      <c r="D53" s="342" t="s">
        <v>1211</v>
      </c>
      <c r="E53" s="342" t="s">
        <v>591</v>
      </c>
      <c r="F53" s="342" t="s">
        <v>40</v>
      </c>
      <c r="G53" s="342" t="s">
        <v>4608</v>
      </c>
      <c r="H53" s="342" t="s">
        <v>1168</v>
      </c>
      <c r="I53" s="342" t="s">
        <v>2079</v>
      </c>
      <c r="J53" s="344" t="s">
        <v>2189</v>
      </c>
      <c r="L53" s="342" t="s">
        <v>2035</v>
      </c>
      <c r="M53" s="342" t="s">
        <v>5278</v>
      </c>
      <c r="N53" s="342" t="s">
        <v>2073</v>
      </c>
      <c r="O53" s="342" t="s">
        <v>2074</v>
      </c>
      <c r="P53" s="342" t="s">
        <v>2075</v>
      </c>
      <c r="Q53" s="342">
        <v>2</v>
      </c>
      <c r="R53" s="342" t="s">
        <v>2076</v>
      </c>
      <c r="S53" s="344" t="s">
        <v>2139</v>
      </c>
      <c r="T53" s="342" t="s">
        <v>2099</v>
      </c>
      <c r="U53" s="344" t="s">
        <v>2140</v>
      </c>
    </row>
    <row r="54" spans="1:21" ht="252">
      <c r="A54" s="342">
        <v>150991</v>
      </c>
      <c r="B54" s="342" t="s">
        <v>1169</v>
      </c>
      <c r="C54" s="342" t="s">
        <v>74</v>
      </c>
      <c r="D54" s="342" t="s">
        <v>55</v>
      </c>
      <c r="E54" s="342" t="s">
        <v>591</v>
      </c>
      <c r="F54" s="342" t="s">
        <v>40</v>
      </c>
      <c r="G54" s="342" t="s">
        <v>4608</v>
      </c>
      <c r="H54" s="342" t="s">
        <v>1168</v>
      </c>
      <c r="I54" s="342" t="s">
        <v>2072</v>
      </c>
      <c r="M54" s="342" t="s">
        <v>5278</v>
      </c>
      <c r="N54" s="342" t="s">
        <v>2073</v>
      </c>
      <c r="O54" s="342" t="s">
        <v>2074</v>
      </c>
      <c r="P54" s="342" t="s">
        <v>2075</v>
      </c>
      <c r="Q54" s="342">
        <v>2</v>
      </c>
      <c r="R54" s="342" t="s">
        <v>2076</v>
      </c>
      <c r="S54" s="344" t="s">
        <v>2139</v>
      </c>
      <c r="T54" s="342" t="s">
        <v>2099</v>
      </c>
      <c r="U54" s="344" t="s">
        <v>2140</v>
      </c>
    </row>
    <row r="55" spans="1:21" ht="252">
      <c r="A55" s="342">
        <v>152824</v>
      </c>
      <c r="B55" s="342" t="s">
        <v>814</v>
      </c>
      <c r="C55" s="342" t="s">
        <v>816</v>
      </c>
      <c r="D55" s="342" t="s">
        <v>51</v>
      </c>
      <c r="E55" s="342" t="s">
        <v>591</v>
      </c>
      <c r="F55" s="342" t="s">
        <v>40</v>
      </c>
      <c r="G55" s="342" t="s">
        <v>5278</v>
      </c>
      <c r="H55" s="342" t="s">
        <v>1168</v>
      </c>
      <c r="I55" s="342" t="s">
        <v>2072</v>
      </c>
      <c r="M55" s="342" t="s">
        <v>5278</v>
      </c>
      <c r="N55" s="342" t="s">
        <v>2073</v>
      </c>
      <c r="O55" s="342" t="s">
        <v>2074</v>
      </c>
      <c r="P55" s="342" t="s">
        <v>2075</v>
      </c>
      <c r="Q55" s="342">
        <v>2</v>
      </c>
      <c r="R55" s="342" t="s">
        <v>2076</v>
      </c>
      <c r="S55" s="344" t="s">
        <v>2139</v>
      </c>
      <c r="T55" s="342" t="s">
        <v>2099</v>
      </c>
      <c r="U55" s="344" t="s">
        <v>2140</v>
      </c>
    </row>
    <row r="56" spans="1:21" ht="252">
      <c r="A56" s="342">
        <v>152826</v>
      </c>
      <c r="B56" s="342" t="s">
        <v>395</v>
      </c>
      <c r="C56" s="342" t="s">
        <v>137</v>
      </c>
      <c r="D56" s="342" t="s">
        <v>55</v>
      </c>
      <c r="E56" s="342" t="s">
        <v>591</v>
      </c>
      <c r="F56" s="342" t="s">
        <v>40</v>
      </c>
      <c r="G56" s="342" t="s">
        <v>5278</v>
      </c>
      <c r="H56" s="342" t="s">
        <v>1168</v>
      </c>
      <c r="I56" s="342" t="s">
        <v>2072</v>
      </c>
      <c r="M56" s="342" t="s">
        <v>5278</v>
      </c>
      <c r="N56" s="342" t="s">
        <v>2073</v>
      </c>
      <c r="O56" s="342" t="s">
        <v>2074</v>
      </c>
      <c r="P56" s="342" t="s">
        <v>2075</v>
      </c>
      <c r="Q56" s="342">
        <v>2</v>
      </c>
      <c r="R56" s="342" t="s">
        <v>2076</v>
      </c>
      <c r="S56" s="344" t="s">
        <v>2139</v>
      </c>
      <c r="T56" s="342" t="s">
        <v>2099</v>
      </c>
      <c r="U56" s="344" t="s">
        <v>2140</v>
      </c>
    </row>
    <row r="57" spans="1:21" ht="252">
      <c r="A57" s="342">
        <v>152827</v>
      </c>
      <c r="B57" s="342" t="s">
        <v>395</v>
      </c>
      <c r="C57" s="342" t="s">
        <v>139</v>
      </c>
      <c r="D57" s="342" t="s">
        <v>55</v>
      </c>
      <c r="E57" s="342" t="s">
        <v>591</v>
      </c>
      <c r="F57" s="342" t="s">
        <v>40</v>
      </c>
      <c r="G57" s="342" t="s">
        <v>5278</v>
      </c>
      <c r="H57" s="342" t="s">
        <v>1168</v>
      </c>
      <c r="I57" s="342" t="s">
        <v>2072</v>
      </c>
      <c r="M57" s="342" t="s">
        <v>5278</v>
      </c>
      <c r="N57" s="342" t="s">
        <v>2073</v>
      </c>
      <c r="O57" s="342" t="s">
        <v>2074</v>
      </c>
      <c r="P57" s="342" t="s">
        <v>2075</v>
      </c>
      <c r="Q57" s="342">
        <v>2</v>
      </c>
      <c r="R57" s="342" t="s">
        <v>2076</v>
      </c>
      <c r="S57" s="344" t="s">
        <v>2139</v>
      </c>
      <c r="T57" s="342" t="s">
        <v>2099</v>
      </c>
      <c r="U57" s="344" t="s">
        <v>2140</v>
      </c>
    </row>
    <row r="58" spans="1:21" ht="224">
      <c r="A58" s="342">
        <v>154705</v>
      </c>
      <c r="B58" s="342" t="s">
        <v>694</v>
      </c>
      <c r="C58" s="342" t="s">
        <v>90</v>
      </c>
      <c r="D58" s="342" t="s">
        <v>55</v>
      </c>
      <c r="E58" s="342" t="s">
        <v>591</v>
      </c>
      <c r="F58" s="342" t="s">
        <v>41</v>
      </c>
      <c r="G58" s="342" t="s">
        <v>786</v>
      </c>
      <c r="H58" s="342" t="s">
        <v>2193</v>
      </c>
      <c r="I58" s="342" t="s">
        <v>2090</v>
      </c>
      <c r="M58" s="342" t="s">
        <v>786</v>
      </c>
      <c r="N58" s="342" t="s">
        <v>2104</v>
      </c>
      <c r="O58" s="342" t="s">
        <v>2105</v>
      </c>
      <c r="P58" s="342" t="s">
        <v>2194</v>
      </c>
      <c r="Q58" s="342">
        <v>2</v>
      </c>
      <c r="R58" s="342" t="s">
        <v>2107</v>
      </c>
      <c r="S58" s="344" t="s">
        <v>2195</v>
      </c>
      <c r="T58" s="342" t="s">
        <v>2196</v>
      </c>
      <c r="U58" s="342" t="s">
        <v>2197</v>
      </c>
    </row>
    <row r="59" spans="1:21">
      <c r="A59" s="342">
        <v>154705</v>
      </c>
      <c r="B59" s="342" t="s">
        <v>694</v>
      </c>
      <c r="C59" s="342" t="s">
        <v>90</v>
      </c>
      <c r="D59" s="342" t="s">
        <v>55</v>
      </c>
      <c r="E59" s="342" t="s">
        <v>591</v>
      </c>
      <c r="F59" s="342" t="s">
        <v>40</v>
      </c>
      <c r="G59" s="342" t="s">
        <v>786</v>
      </c>
      <c r="H59" s="342" t="s">
        <v>2193</v>
      </c>
      <c r="I59" s="342" t="s">
        <v>2090</v>
      </c>
      <c r="M59" s="342" t="s">
        <v>786</v>
      </c>
      <c r="N59" s="342" t="s">
        <v>2090</v>
      </c>
      <c r="O59" s="342" t="s">
        <v>2105</v>
      </c>
      <c r="Q59" s="342">
        <v>2</v>
      </c>
      <c r="R59" s="342" t="s">
        <v>2191</v>
      </c>
      <c r="S59" s="342" t="s">
        <v>2198</v>
      </c>
      <c r="T59" s="342" t="s">
        <v>2099</v>
      </c>
      <c r="U59" s="342" t="s">
        <v>2199</v>
      </c>
    </row>
    <row r="60" spans="1:21" ht="98">
      <c r="A60" s="342">
        <v>154726</v>
      </c>
      <c r="B60" s="342" t="s">
        <v>2525</v>
      </c>
      <c r="C60" s="342" t="s">
        <v>2527</v>
      </c>
      <c r="D60" s="342" t="s">
        <v>47</v>
      </c>
      <c r="E60" s="342" t="s">
        <v>591</v>
      </c>
      <c r="F60" s="342" t="s">
        <v>40</v>
      </c>
      <c r="G60" s="342" t="s">
        <v>1510</v>
      </c>
      <c r="H60" s="342" t="s">
        <v>2190</v>
      </c>
      <c r="I60" s="342" t="s">
        <v>2090</v>
      </c>
      <c r="M60" s="342" t="s">
        <v>1510</v>
      </c>
      <c r="N60" s="342" t="s">
        <v>2090</v>
      </c>
      <c r="O60" s="342" t="s">
        <v>2137</v>
      </c>
      <c r="P60" s="342" t="s">
        <v>2179</v>
      </c>
      <c r="Q60" s="342">
        <v>2</v>
      </c>
      <c r="R60" s="342" t="s">
        <v>2191</v>
      </c>
      <c r="S60" s="344" t="s">
        <v>2192</v>
      </c>
      <c r="T60" s="342" t="s">
        <v>2099</v>
      </c>
    </row>
    <row r="61" spans="1:21">
      <c r="A61" s="342">
        <v>154780</v>
      </c>
      <c r="B61" s="342" t="s">
        <v>1495</v>
      </c>
      <c r="C61" s="342" t="s">
        <v>110</v>
      </c>
      <c r="D61" s="342" t="s">
        <v>51</v>
      </c>
      <c r="E61" s="342" t="s">
        <v>591</v>
      </c>
      <c r="F61" s="342" t="s">
        <v>40</v>
      </c>
      <c r="G61" s="342" t="s">
        <v>5280</v>
      </c>
      <c r="H61" s="342" t="s">
        <v>2089</v>
      </c>
      <c r="I61" s="342" t="s">
        <v>2072</v>
      </c>
      <c r="M61" s="342" t="s">
        <v>5280</v>
      </c>
      <c r="N61" s="342" t="s">
        <v>2092</v>
      </c>
      <c r="O61" s="342" t="s">
        <v>2074</v>
      </c>
      <c r="Q61" s="342">
        <v>4</v>
      </c>
      <c r="R61" s="342" t="s">
        <v>2085</v>
      </c>
      <c r="S61" s="342" t="s">
        <v>4217</v>
      </c>
    </row>
    <row r="62" spans="1:21">
      <c r="A62" s="342">
        <v>154799</v>
      </c>
      <c r="B62" s="342" t="s">
        <v>1187</v>
      </c>
      <c r="C62" s="342" t="s">
        <v>422</v>
      </c>
      <c r="D62" s="342" t="s">
        <v>51</v>
      </c>
      <c r="E62" s="342" t="s">
        <v>591</v>
      </c>
      <c r="F62" s="342" t="s">
        <v>40</v>
      </c>
      <c r="G62" s="342" t="s">
        <v>5279</v>
      </c>
      <c r="H62" s="342" t="s">
        <v>2100</v>
      </c>
      <c r="I62" s="342" t="s">
        <v>2072</v>
      </c>
      <c r="M62" s="342" t="s">
        <v>5279</v>
      </c>
      <c r="N62" s="342" t="s">
        <v>2073</v>
      </c>
      <c r="O62" s="342" t="s">
        <v>2074</v>
      </c>
      <c r="P62" s="342" t="s">
        <v>2075</v>
      </c>
      <c r="Q62" s="342">
        <v>2</v>
      </c>
      <c r="R62" s="342" t="s">
        <v>2076</v>
      </c>
      <c r="S62" s="342" t="s">
        <v>2101</v>
      </c>
      <c r="T62" s="342" t="s">
        <v>2099</v>
      </c>
    </row>
    <row r="63" spans="1:21">
      <c r="A63" s="342">
        <v>154804</v>
      </c>
      <c r="B63" s="342" t="s">
        <v>1221</v>
      </c>
      <c r="C63" s="342" t="s">
        <v>1224</v>
      </c>
      <c r="D63" s="342" t="s">
        <v>51</v>
      </c>
      <c r="E63" s="342" t="s">
        <v>591</v>
      </c>
      <c r="F63" s="342" t="s">
        <v>40</v>
      </c>
      <c r="G63" s="342" t="s">
        <v>5279</v>
      </c>
      <c r="H63" s="342" t="s">
        <v>2100</v>
      </c>
      <c r="I63" s="342" t="s">
        <v>2072</v>
      </c>
      <c r="M63" s="342" t="s">
        <v>5279</v>
      </c>
      <c r="N63" s="342" t="s">
        <v>2073</v>
      </c>
      <c r="O63" s="342" t="s">
        <v>2074</v>
      </c>
      <c r="P63" s="342" t="s">
        <v>2075</v>
      </c>
      <c r="Q63" s="342">
        <v>2</v>
      </c>
      <c r="R63" s="342" t="s">
        <v>2076</v>
      </c>
      <c r="S63" s="342" t="s">
        <v>2101</v>
      </c>
      <c r="T63" s="342" t="s">
        <v>2099</v>
      </c>
    </row>
    <row r="64" spans="1:21">
      <c r="A64" s="342">
        <v>154822</v>
      </c>
      <c r="B64" s="342" t="s">
        <v>142</v>
      </c>
      <c r="C64" s="342" t="s">
        <v>145</v>
      </c>
      <c r="D64" s="342" t="s">
        <v>51</v>
      </c>
      <c r="E64" s="342" t="s">
        <v>591</v>
      </c>
      <c r="F64" s="342" t="s">
        <v>40</v>
      </c>
      <c r="G64" s="342" t="s">
        <v>5279</v>
      </c>
      <c r="H64" s="342" t="s">
        <v>2100</v>
      </c>
      <c r="I64" s="342" t="s">
        <v>2072</v>
      </c>
      <c r="M64" s="342" t="s">
        <v>5279</v>
      </c>
      <c r="N64" s="342" t="s">
        <v>2073</v>
      </c>
      <c r="O64" s="342" t="s">
        <v>2074</v>
      </c>
      <c r="P64" s="342" t="s">
        <v>2075</v>
      </c>
      <c r="Q64" s="342">
        <v>2</v>
      </c>
      <c r="R64" s="342" t="s">
        <v>2076</v>
      </c>
      <c r="S64" s="342" t="s">
        <v>2101</v>
      </c>
      <c r="T64" s="342" t="s">
        <v>2099</v>
      </c>
    </row>
    <row r="65" spans="1:21">
      <c r="A65" s="342">
        <v>154827</v>
      </c>
      <c r="B65" s="342" t="s">
        <v>5251</v>
      </c>
      <c r="C65" s="342" t="s">
        <v>88</v>
      </c>
      <c r="D65" s="342" t="s">
        <v>55</v>
      </c>
      <c r="E65" s="342" t="s">
        <v>1194</v>
      </c>
      <c r="F65" s="342" t="s">
        <v>40</v>
      </c>
      <c r="G65" s="342" t="s">
        <v>5279</v>
      </c>
      <c r="H65" s="342" t="s">
        <v>2100</v>
      </c>
      <c r="I65" s="342" t="s">
        <v>2072</v>
      </c>
      <c r="M65" s="342" t="s">
        <v>5279</v>
      </c>
      <c r="N65" s="342" t="s">
        <v>2073</v>
      </c>
      <c r="O65" s="342" t="s">
        <v>2074</v>
      </c>
      <c r="P65" s="342" t="s">
        <v>2075</v>
      </c>
      <c r="Q65" s="342">
        <v>2</v>
      </c>
      <c r="R65" s="342" t="s">
        <v>2076</v>
      </c>
      <c r="S65" s="342" t="s">
        <v>2101</v>
      </c>
      <c r="T65" s="342" t="s">
        <v>2099</v>
      </c>
    </row>
    <row r="66" spans="1:21">
      <c r="A66" s="342">
        <v>155695</v>
      </c>
      <c r="B66" s="342" t="s">
        <v>604</v>
      </c>
      <c r="C66" s="342" t="s">
        <v>147</v>
      </c>
      <c r="D66" s="342" t="s">
        <v>51</v>
      </c>
      <c r="E66" s="342" t="s">
        <v>591</v>
      </c>
      <c r="F66" s="342" t="s">
        <v>40</v>
      </c>
      <c r="G66" s="342" t="s">
        <v>1421</v>
      </c>
      <c r="H66" s="342" t="s">
        <v>604</v>
      </c>
      <c r="I66" s="342" t="s">
        <v>2072</v>
      </c>
      <c r="M66" s="342" t="s">
        <v>1421</v>
      </c>
      <c r="N66" s="342" t="s">
        <v>2073</v>
      </c>
      <c r="O66" s="342" t="s">
        <v>2116</v>
      </c>
      <c r="P66" s="342" t="s">
        <v>2075</v>
      </c>
      <c r="Q66" s="342">
        <v>3</v>
      </c>
      <c r="R66" s="342" t="s">
        <v>2076</v>
      </c>
      <c r="S66" s="342" t="s">
        <v>2200</v>
      </c>
      <c r="T66" s="342" t="s">
        <v>2099</v>
      </c>
    </row>
    <row r="67" spans="1:21">
      <c r="A67" s="342">
        <v>155870</v>
      </c>
      <c r="B67" s="342" t="s">
        <v>148</v>
      </c>
      <c r="C67" s="342" t="s">
        <v>150</v>
      </c>
      <c r="D67" s="342" t="s">
        <v>55</v>
      </c>
      <c r="E67" s="342" t="s">
        <v>591</v>
      </c>
      <c r="F67" s="342" t="s">
        <v>40</v>
      </c>
      <c r="G67" s="342" t="s">
        <v>1277</v>
      </c>
      <c r="H67" s="342" t="s">
        <v>148</v>
      </c>
      <c r="I67" s="342" t="s">
        <v>2072</v>
      </c>
      <c r="M67" s="342" t="s">
        <v>1277</v>
      </c>
      <c r="N67" s="342" t="s">
        <v>2073</v>
      </c>
      <c r="O67" s="342" t="s">
        <v>2113</v>
      </c>
      <c r="Q67" s="342">
        <v>4</v>
      </c>
      <c r="R67" s="342" t="s">
        <v>2085</v>
      </c>
      <c r="S67" s="342" t="s">
        <v>2201</v>
      </c>
    </row>
    <row r="68" spans="1:21">
      <c r="A68" s="342">
        <v>156442</v>
      </c>
      <c r="B68" s="342" t="s">
        <v>152</v>
      </c>
      <c r="C68" s="342" t="s">
        <v>154</v>
      </c>
      <c r="D68" s="342" t="s">
        <v>51</v>
      </c>
      <c r="E68" s="342" t="s">
        <v>591</v>
      </c>
      <c r="F68" s="342" t="s">
        <v>40</v>
      </c>
      <c r="G68" s="342" t="s">
        <v>5450</v>
      </c>
      <c r="H68" s="342" t="s">
        <v>152</v>
      </c>
      <c r="I68" s="342" t="s">
        <v>2072</v>
      </c>
      <c r="M68" s="342" t="s">
        <v>4441</v>
      </c>
      <c r="N68" s="342" t="s">
        <v>2073</v>
      </c>
      <c r="O68" s="342" t="s">
        <v>2113</v>
      </c>
      <c r="Q68" s="342">
        <v>3</v>
      </c>
      <c r="R68" s="342" t="s">
        <v>2085</v>
      </c>
      <c r="S68" s="342" t="s">
        <v>2202</v>
      </c>
      <c r="T68" s="342" t="s">
        <v>2099</v>
      </c>
    </row>
    <row r="69" spans="1:21">
      <c r="A69" s="342">
        <v>156721</v>
      </c>
      <c r="B69" s="342" t="s">
        <v>1468</v>
      </c>
      <c r="C69" s="342" t="s">
        <v>1174</v>
      </c>
      <c r="D69" s="342" t="s">
        <v>47</v>
      </c>
      <c r="E69" s="342" t="s">
        <v>591</v>
      </c>
      <c r="F69" s="342" t="s">
        <v>40</v>
      </c>
      <c r="G69" s="342" t="s">
        <v>5280</v>
      </c>
      <c r="H69" s="342" t="s">
        <v>1468</v>
      </c>
      <c r="I69" s="342" t="s">
        <v>2072</v>
      </c>
      <c r="M69" s="342" t="s">
        <v>5280</v>
      </c>
      <c r="N69" s="342" t="s">
        <v>2073</v>
      </c>
      <c r="P69" s="342" t="s">
        <v>2075</v>
      </c>
      <c r="Q69" s="342">
        <v>3</v>
      </c>
      <c r="R69" s="342" t="s">
        <v>2076</v>
      </c>
      <c r="S69" s="342" t="s">
        <v>2203</v>
      </c>
      <c r="T69" s="342" t="s">
        <v>2099</v>
      </c>
    </row>
    <row r="70" spans="1:21">
      <c r="A70" s="342">
        <v>157178</v>
      </c>
      <c r="B70" s="342" t="s">
        <v>5893</v>
      </c>
      <c r="C70" s="342" t="s">
        <v>155</v>
      </c>
      <c r="D70" s="342" t="s">
        <v>55</v>
      </c>
      <c r="E70" s="342" t="s">
        <v>591</v>
      </c>
      <c r="F70" s="342" t="s">
        <v>40</v>
      </c>
      <c r="G70" s="342" t="s">
        <v>5280</v>
      </c>
      <c r="H70" s="342" t="s">
        <v>2204</v>
      </c>
      <c r="I70" s="342" t="s">
        <v>2072</v>
      </c>
      <c r="M70" s="342" t="s">
        <v>5280</v>
      </c>
      <c r="N70" s="342" t="s">
        <v>2073</v>
      </c>
      <c r="O70" s="342" t="s">
        <v>2116</v>
      </c>
      <c r="Q70" s="342">
        <v>4</v>
      </c>
      <c r="R70" s="342" t="s">
        <v>2076</v>
      </c>
      <c r="S70" s="342" t="s">
        <v>2205</v>
      </c>
      <c r="T70" s="342" t="s">
        <v>2099</v>
      </c>
      <c r="U70" s="342" t="s">
        <v>2206</v>
      </c>
    </row>
    <row r="71" spans="1:21">
      <c r="A71" s="342">
        <v>157485</v>
      </c>
      <c r="B71" s="342" t="s">
        <v>156</v>
      </c>
      <c r="C71" s="342" t="s">
        <v>158</v>
      </c>
      <c r="D71" s="342" t="s">
        <v>55</v>
      </c>
      <c r="E71" s="342" t="s">
        <v>591</v>
      </c>
      <c r="F71" s="342" t="s">
        <v>40</v>
      </c>
      <c r="G71" s="342" t="s">
        <v>1421</v>
      </c>
      <c r="H71" s="342" t="s">
        <v>2136</v>
      </c>
      <c r="I71" s="342" t="s">
        <v>2072</v>
      </c>
      <c r="M71" s="342" t="s">
        <v>1421</v>
      </c>
      <c r="N71" s="342" t="s">
        <v>2143</v>
      </c>
      <c r="O71" s="342" t="s">
        <v>2137</v>
      </c>
      <c r="Q71" s="342">
        <v>3</v>
      </c>
      <c r="R71" s="342" t="s">
        <v>2144</v>
      </c>
    </row>
    <row r="72" spans="1:21">
      <c r="A72" s="342">
        <v>159338</v>
      </c>
      <c r="B72" s="342" t="s">
        <v>160</v>
      </c>
      <c r="C72" s="342" t="s">
        <v>162</v>
      </c>
      <c r="D72" s="342" t="s">
        <v>163</v>
      </c>
      <c r="E72" s="342" t="s">
        <v>591</v>
      </c>
      <c r="F72" s="342" t="s">
        <v>40</v>
      </c>
      <c r="G72" s="342" t="s">
        <v>1288</v>
      </c>
      <c r="H72" s="342" t="s">
        <v>160</v>
      </c>
      <c r="I72" s="342" t="s">
        <v>2072</v>
      </c>
      <c r="M72" s="342" t="s">
        <v>1288</v>
      </c>
      <c r="N72" s="342" t="s">
        <v>2143</v>
      </c>
      <c r="O72" s="342" t="s">
        <v>2137</v>
      </c>
      <c r="Q72" s="342">
        <v>3</v>
      </c>
      <c r="R72" s="342" t="s">
        <v>2144</v>
      </c>
      <c r="S72" s="342" t="s">
        <v>2207</v>
      </c>
      <c r="T72" s="342" t="s">
        <v>2087</v>
      </c>
    </row>
    <row r="73" spans="1:21" ht="266">
      <c r="A73" s="342">
        <v>159846</v>
      </c>
      <c r="B73" s="342" t="s">
        <v>1170</v>
      </c>
      <c r="C73" s="342" t="s">
        <v>166</v>
      </c>
      <c r="D73" s="342" t="s">
        <v>97</v>
      </c>
      <c r="E73" s="342" t="s">
        <v>591</v>
      </c>
      <c r="F73" s="342" t="s">
        <v>40</v>
      </c>
      <c r="G73" s="342" t="s">
        <v>1510</v>
      </c>
      <c r="H73" s="342" t="s">
        <v>1170</v>
      </c>
      <c r="I73" s="342" t="s">
        <v>2090</v>
      </c>
      <c r="M73" s="342" t="s">
        <v>1510</v>
      </c>
      <c r="N73" s="342" t="s">
        <v>2090</v>
      </c>
      <c r="O73" s="342" t="s">
        <v>2137</v>
      </c>
      <c r="P73" s="342" t="s">
        <v>2179</v>
      </c>
      <c r="Q73" s="342">
        <v>2</v>
      </c>
      <c r="R73" s="342" t="s">
        <v>2191</v>
      </c>
      <c r="S73" s="344" t="s">
        <v>2497</v>
      </c>
      <c r="T73" s="342" t="s">
        <v>2099</v>
      </c>
      <c r="U73" s="342" t="s">
        <v>2208</v>
      </c>
    </row>
    <row r="74" spans="1:21" ht="266">
      <c r="A74" s="342">
        <v>159850</v>
      </c>
      <c r="B74" s="342" t="s">
        <v>1436</v>
      </c>
      <c r="C74" s="342" t="s">
        <v>166</v>
      </c>
      <c r="D74" s="342" t="s">
        <v>97</v>
      </c>
      <c r="E74" s="342" t="s">
        <v>591</v>
      </c>
      <c r="F74" s="342" t="s">
        <v>40</v>
      </c>
      <c r="G74" s="342" t="s">
        <v>1510</v>
      </c>
      <c r="H74" s="342" t="s">
        <v>1170</v>
      </c>
      <c r="I74" s="342" t="s">
        <v>2072</v>
      </c>
      <c r="J74" s="344" t="s">
        <v>2544</v>
      </c>
      <c r="L74" s="342" t="s">
        <v>4196</v>
      </c>
      <c r="M74" s="342" t="s">
        <v>1510</v>
      </c>
      <c r="N74" s="342" t="s">
        <v>2090</v>
      </c>
      <c r="O74" s="342" t="s">
        <v>2137</v>
      </c>
      <c r="P74" s="342" t="s">
        <v>2179</v>
      </c>
      <c r="Q74" s="342">
        <v>2</v>
      </c>
      <c r="R74" s="342" t="s">
        <v>2191</v>
      </c>
      <c r="S74" s="344" t="s">
        <v>2497</v>
      </c>
      <c r="T74" s="342" t="s">
        <v>2099</v>
      </c>
      <c r="U74" s="342" t="s">
        <v>2208</v>
      </c>
    </row>
    <row r="75" spans="1:21">
      <c r="A75" s="342">
        <v>160225</v>
      </c>
      <c r="B75" s="342" t="s">
        <v>167</v>
      </c>
      <c r="C75" s="342" t="s">
        <v>170</v>
      </c>
      <c r="D75" s="342" t="s">
        <v>45</v>
      </c>
      <c r="E75" s="342" t="s">
        <v>591</v>
      </c>
      <c r="F75" s="342" t="s">
        <v>40</v>
      </c>
      <c r="G75" s="342" t="s">
        <v>5279</v>
      </c>
      <c r="H75" s="342" t="s">
        <v>2100</v>
      </c>
      <c r="I75" s="342" t="s">
        <v>2072</v>
      </c>
      <c r="M75" s="342" t="s">
        <v>5279</v>
      </c>
      <c r="N75" s="342" t="s">
        <v>2073</v>
      </c>
      <c r="O75" s="342" t="s">
        <v>2074</v>
      </c>
      <c r="P75" s="342" t="s">
        <v>2075</v>
      </c>
      <c r="Q75" s="342">
        <v>2</v>
      </c>
      <c r="R75" s="342" t="s">
        <v>2076</v>
      </c>
      <c r="S75" s="342" t="s">
        <v>2101</v>
      </c>
      <c r="T75" s="342" t="s">
        <v>2099</v>
      </c>
    </row>
    <row r="76" spans="1:21">
      <c r="A76" s="342">
        <v>160759</v>
      </c>
      <c r="B76" s="342" t="s">
        <v>171</v>
      </c>
      <c r="C76" s="342" t="s">
        <v>173</v>
      </c>
      <c r="D76" s="342" t="s">
        <v>51</v>
      </c>
      <c r="E76" s="342" t="s">
        <v>591</v>
      </c>
      <c r="F76" s="342" t="s">
        <v>40</v>
      </c>
      <c r="G76" s="342" t="s">
        <v>786</v>
      </c>
      <c r="H76" s="342" t="s">
        <v>2209</v>
      </c>
      <c r="I76" s="342" t="s">
        <v>2072</v>
      </c>
      <c r="M76" s="342" t="s">
        <v>786</v>
      </c>
      <c r="N76" s="342" t="s">
        <v>2073</v>
      </c>
      <c r="P76" s="342" t="s">
        <v>2075</v>
      </c>
      <c r="Q76" s="342">
        <v>3</v>
      </c>
      <c r="R76" s="342" t="s">
        <v>2076</v>
      </c>
      <c r="S76" s="342" t="s">
        <v>2210</v>
      </c>
      <c r="T76" s="342" t="s">
        <v>2099</v>
      </c>
      <c r="U76" s="342" t="s">
        <v>2211</v>
      </c>
    </row>
    <row r="77" spans="1:21">
      <c r="A77" s="342">
        <v>161192</v>
      </c>
      <c r="B77" s="342" t="s">
        <v>726</v>
      </c>
      <c r="C77" s="342" t="s">
        <v>729</v>
      </c>
      <c r="D77" s="342" t="s">
        <v>51</v>
      </c>
      <c r="E77" s="342" t="s">
        <v>591</v>
      </c>
      <c r="F77" s="342" t="s">
        <v>40</v>
      </c>
      <c r="G77" s="342" t="s">
        <v>1277</v>
      </c>
      <c r="H77" s="342" t="s">
        <v>726</v>
      </c>
      <c r="I77" s="342" t="s">
        <v>2072</v>
      </c>
      <c r="M77" s="342" t="s">
        <v>1277</v>
      </c>
      <c r="N77" s="342" t="s">
        <v>2073</v>
      </c>
      <c r="O77" s="342" t="s">
        <v>2093</v>
      </c>
      <c r="Q77" s="342">
        <v>4</v>
      </c>
      <c r="R77" s="342" t="s">
        <v>2107</v>
      </c>
      <c r="S77" s="342" t="s">
        <v>2212</v>
      </c>
      <c r="T77" s="342" t="s">
        <v>2213</v>
      </c>
    </row>
    <row r="78" spans="1:21">
      <c r="A78" s="342">
        <v>161320</v>
      </c>
      <c r="B78" s="342" t="s">
        <v>829</v>
      </c>
      <c r="C78" s="342" t="s">
        <v>174</v>
      </c>
      <c r="D78" s="342" t="s">
        <v>175</v>
      </c>
      <c r="E78" s="342" t="s">
        <v>591</v>
      </c>
      <c r="F78" s="342" t="s">
        <v>41</v>
      </c>
      <c r="G78" s="342" t="s">
        <v>786</v>
      </c>
      <c r="H78" s="342" t="s">
        <v>829</v>
      </c>
      <c r="I78" s="342" t="s">
        <v>2090</v>
      </c>
      <c r="M78" s="342" t="s">
        <v>786</v>
      </c>
      <c r="N78" s="342" t="s">
        <v>2104</v>
      </c>
      <c r="P78" s="342" t="s">
        <v>2215</v>
      </c>
      <c r="Q78" s="342">
        <v>1</v>
      </c>
      <c r="R78" s="342" t="s">
        <v>2107</v>
      </c>
      <c r="S78" s="342" t="s">
        <v>2216</v>
      </c>
      <c r="T78" s="342" t="s">
        <v>2217</v>
      </c>
      <c r="U78" s="342" t="s">
        <v>4218</v>
      </c>
    </row>
    <row r="79" spans="1:21" ht="280">
      <c r="A79" s="342">
        <v>163288</v>
      </c>
      <c r="B79" s="342" t="s">
        <v>176</v>
      </c>
      <c r="C79" s="342" t="s">
        <v>178</v>
      </c>
      <c r="D79" s="342" t="s">
        <v>47</v>
      </c>
      <c r="E79" s="342" t="s">
        <v>591</v>
      </c>
      <c r="F79" s="342" t="s">
        <v>40</v>
      </c>
      <c r="G79" s="342" t="s">
        <v>5282</v>
      </c>
      <c r="H79" s="342" t="s">
        <v>2171</v>
      </c>
      <c r="I79" s="342" t="s">
        <v>2072</v>
      </c>
      <c r="M79" s="342" t="s">
        <v>5282</v>
      </c>
      <c r="N79" s="342" t="s">
        <v>2073</v>
      </c>
      <c r="O79" s="342" t="s">
        <v>2093</v>
      </c>
      <c r="Q79" s="342">
        <v>2</v>
      </c>
      <c r="R79" s="342" t="s">
        <v>2076</v>
      </c>
      <c r="S79" s="344" t="s">
        <v>2172</v>
      </c>
      <c r="T79" s="342" t="s">
        <v>2077</v>
      </c>
    </row>
    <row r="80" spans="1:21" ht="280">
      <c r="A80" s="342">
        <v>163308</v>
      </c>
      <c r="B80" s="342" t="s">
        <v>179</v>
      </c>
      <c r="C80" s="342" t="s">
        <v>181</v>
      </c>
      <c r="D80" s="342" t="s">
        <v>47</v>
      </c>
      <c r="E80" s="342" t="s">
        <v>591</v>
      </c>
      <c r="F80" s="342" t="s">
        <v>40</v>
      </c>
      <c r="G80" s="342" t="s">
        <v>5282</v>
      </c>
      <c r="H80" s="342" t="s">
        <v>2171</v>
      </c>
      <c r="I80" s="342" t="s">
        <v>2072</v>
      </c>
      <c r="M80" s="342" t="s">
        <v>5282</v>
      </c>
      <c r="N80" s="342" t="s">
        <v>2073</v>
      </c>
      <c r="O80" s="342" t="s">
        <v>2093</v>
      </c>
      <c r="Q80" s="342">
        <v>2</v>
      </c>
      <c r="R80" s="342" t="s">
        <v>2076</v>
      </c>
      <c r="S80" s="344" t="s">
        <v>2172</v>
      </c>
      <c r="T80" s="342" t="s">
        <v>2077</v>
      </c>
    </row>
    <row r="81" spans="1:21">
      <c r="A81" s="342">
        <v>163325</v>
      </c>
      <c r="B81" s="342" t="s">
        <v>1374</v>
      </c>
      <c r="C81" s="342" t="s">
        <v>183</v>
      </c>
      <c r="D81" s="342" t="s">
        <v>55</v>
      </c>
      <c r="E81" s="342" t="s">
        <v>591</v>
      </c>
      <c r="F81" s="342" t="s">
        <v>40</v>
      </c>
      <c r="G81" s="342" t="s">
        <v>5282</v>
      </c>
      <c r="H81" s="342" t="s">
        <v>2218</v>
      </c>
      <c r="I81" s="342" t="s">
        <v>2072</v>
      </c>
      <c r="M81" s="342" t="s">
        <v>4441</v>
      </c>
      <c r="N81" s="342" t="s">
        <v>2073</v>
      </c>
      <c r="O81" s="342" t="s">
        <v>2074</v>
      </c>
      <c r="P81" s="342" t="s">
        <v>2075</v>
      </c>
      <c r="Q81" s="342">
        <v>3</v>
      </c>
      <c r="R81" s="342" t="s">
        <v>2076</v>
      </c>
      <c r="S81" s="342" t="s">
        <v>2219</v>
      </c>
      <c r="T81" s="342" t="s">
        <v>2077</v>
      </c>
    </row>
    <row r="82" spans="1:21">
      <c r="A82" s="342">
        <v>164991</v>
      </c>
      <c r="B82" s="342" t="s">
        <v>698</v>
      </c>
      <c r="C82" s="342" t="s">
        <v>606</v>
      </c>
      <c r="D82" s="342" t="s">
        <v>97</v>
      </c>
      <c r="E82" s="342" t="s">
        <v>591</v>
      </c>
      <c r="F82" s="342" t="s">
        <v>40</v>
      </c>
      <c r="G82" s="342" t="s">
        <v>5282</v>
      </c>
      <c r="H82" s="342" t="s">
        <v>2218</v>
      </c>
      <c r="I82" s="342" t="s">
        <v>2072</v>
      </c>
      <c r="M82" s="342" t="s">
        <v>4441</v>
      </c>
      <c r="N82" s="342" t="s">
        <v>2073</v>
      </c>
      <c r="O82" s="342" t="s">
        <v>2074</v>
      </c>
      <c r="P82" s="342" t="s">
        <v>2075</v>
      </c>
      <c r="Q82" s="342">
        <v>3</v>
      </c>
      <c r="R82" s="342" t="s">
        <v>2076</v>
      </c>
      <c r="S82" s="342" t="s">
        <v>2219</v>
      </c>
      <c r="T82" s="342" t="s">
        <v>2077</v>
      </c>
    </row>
    <row r="83" spans="1:21" ht="154">
      <c r="A83" s="342">
        <v>164994</v>
      </c>
      <c r="B83" s="342" t="s">
        <v>184</v>
      </c>
      <c r="C83" s="342" t="s">
        <v>189</v>
      </c>
      <c r="D83" s="342" t="s">
        <v>51</v>
      </c>
      <c r="E83" s="342" t="s">
        <v>591</v>
      </c>
      <c r="F83" s="342" t="s">
        <v>40</v>
      </c>
      <c r="G83" s="342" t="s">
        <v>5282</v>
      </c>
      <c r="H83" s="342" t="s">
        <v>2220</v>
      </c>
      <c r="I83" s="342" t="s">
        <v>2072</v>
      </c>
      <c r="M83" s="342" t="s">
        <v>5282</v>
      </c>
      <c r="N83" s="342" t="s">
        <v>2073</v>
      </c>
      <c r="O83" s="342" t="s">
        <v>2074</v>
      </c>
      <c r="Q83" s="342">
        <v>2</v>
      </c>
      <c r="R83" s="342" t="s">
        <v>2076</v>
      </c>
      <c r="S83" s="344" t="s">
        <v>2221</v>
      </c>
      <c r="T83" s="342" t="s">
        <v>2077</v>
      </c>
    </row>
    <row r="84" spans="1:21" ht="154">
      <c r="A84" s="342">
        <v>164995</v>
      </c>
      <c r="B84" s="342" t="s">
        <v>184</v>
      </c>
      <c r="C84" s="342" t="s">
        <v>192</v>
      </c>
      <c r="D84" s="342" t="s">
        <v>51</v>
      </c>
      <c r="E84" s="342" t="s">
        <v>591</v>
      </c>
      <c r="F84" s="342" t="s">
        <v>40</v>
      </c>
      <c r="G84" s="342" t="s">
        <v>5282</v>
      </c>
      <c r="H84" s="342" t="s">
        <v>2220</v>
      </c>
      <c r="I84" s="342" t="s">
        <v>2072</v>
      </c>
      <c r="M84" s="342" t="s">
        <v>5282</v>
      </c>
      <c r="N84" s="342" t="s">
        <v>2073</v>
      </c>
      <c r="O84" s="342" t="s">
        <v>2074</v>
      </c>
      <c r="Q84" s="342">
        <v>2</v>
      </c>
      <c r="R84" s="342" t="s">
        <v>2076</v>
      </c>
      <c r="S84" s="344" t="s">
        <v>2221</v>
      </c>
      <c r="T84" s="342" t="s">
        <v>2077</v>
      </c>
    </row>
    <row r="85" spans="1:21" ht="154">
      <c r="A85" s="342">
        <v>164998</v>
      </c>
      <c r="B85" s="342" t="s">
        <v>193</v>
      </c>
      <c r="C85" s="342" t="s">
        <v>195</v>
      </c>
      <c r="D85" s="342" t="s">
        <v>51</v>
      </c>
      <c r="E85" s="342" t="s">
        <v>591</v>
      </c>
      <c r="F85" s="342" t="s">
        <v>40</v>
      </c>
      <c r="G85" s="342" t="s">
        <v>5282</v>
      </c>
      <c r="H85" s="342" t="s">
        <v>2220</v>
      </c>
      <c r="I85" s="342" t="s">
        <v>2072</v>
      </c>
      <c r="M85" s="342" t="s">
        <v>5282</v>
      </c>
      <c r="N85" s="342" t="s">
        <v>2073</v>
      </c>
      <c r="O85" s="342" t="s">
        <v>2074</v>
      </c>
      <c r="Q85" s="342">
        <v>2</v>
      </c>
      <c r="R85" s="342" t="s">
        <v>2076</v>
      </c>
      <c r="S85" s="344" t="s">
        <v>2221</v>
      </c>
      <c r="T85" s="342" t="s">
        <v>2077</v>
      </c>
    </row>
    <row r="86" spans="1:21">
      <c r="A86" s="342">
        <v>166186</v>
      </c>
      <c r="B86" s="342" t="s">
        <v>4824</v>
      </c>
      <c r="C86" s="342" t="s">
        <v>4826</v>
      </c>
      <c r="D86" s="342" t="s">
        <v>47</v>
      </c>
      <c r="E86" s="342" t="s">
        <v>591</v>
      </c>
      <c r="F86" s="342" t="s">
        <v>42</v>
      </c>
      <c r="G86" s="342" t="s">
        <v>1421</v>
      </c>
      <c r="H86" s="342" t="s">
        <v>4824</v>
      </c>
      <c r="I86" s="342" t="s">
        <v>4861</v>
      </c>
      <c r="M86" s="342" t="s">
        <v>1421</v>
      </c>
      <c r="N86" s="342" t="s">
        <v>4861</v>
      </c>
      <c r="Q86" s="342" t="s">
        <v>2168</v>
      </c>
    </row>
    <row r="87" spans="1:21" ht="126">
      <c r="A87" s="342">
        <v>167569</v>
      </c>
      <c r="B87" s="342" t="s">
        <v>196</v>
      </c>
      <c r="C87" s="342" t="s">
        <v>198</v>
      </c>
      <c r="D87" s="342" t="s">
        <v>55</v>
      </c>
      <c r="E87" s="342" t="s">
        <v>591</v>
      </c>
      <c r="F87" s="342" t="s">
        <v>40</v>
      </c>
      <c r="G87" s="342" t="s">
        <v>5283</v>
      </c>
      <c r="H87" s="342" t="s">
        <v>196</v>
      </c>
      <c r="I87" s="342" t="s">
        <v>2072</v>
      </c>
      <c r="M87" s="342" t="s">
        <v>5283</v>
      </c>
      <c r="N87" s="342" t="s">
        <v>2073</v>
      </c>
      <c r="O87" s="342" t="s">
        <v>2113</v>
      </c>
      <c r="Q87" s="342">
        <v>4</v>
      </c>
      <c r="R87" s="342" t="s">
        <v>2085</v>
      </c>
      <c r="S87" s="344" t="s">
        <v>2222</v>
      </c>
      <c r="T87" s="342" t="s">
        <v>2087</v>
      </c>
      <c r="U87" s="342" t="s">
        <v>2168</v>
      </c>
    </row>
    <row r="88" spans="1:21" ht="154">
      <c r="A88" s="342">
        <v>167659</v>
      </c>
      <c r="B88" s="342" t="s">
        <v>199</v>
      </c>
      <c r="C88" s="342" t="s">
        <v>201</v>
      </c>
      <c r="D88" s="342" t="s">
        <v>51</v>
      </c>
      <c r="E88" s="342" t="s">
        <v>591</v>
      </c>
      <c r="F88" s="342" t="s">
        <v>40</v>
      </c>
      <c r="G88" s="342" t="s">
        <v>5450</v>
      </c>
      <c r="H88" s="342" t="s">
        <v>2132</v>
      </c>
      <c r="I88" s="342" t="s">
        <v>2072</v>
      </c>
      <c r="M88" s="342" t="s">
        <v>5517</v>
      </c>
      <c r="N88" s="342" t="s">
        <v>2073</v>
      </c>
      <c r="O88" s="342" t="s">
        <v>2074</v>
      </c>
      <c r="P88" s="342" t="s">
        <v>2075</v>
      </c>
      <c r="Q88" s="342">
        <v>2</v>
      </c>
      <c r="R88" s="342" t="s">
        <v>2133</v>
      </c>
      <c r="S88" s="344" t="s">
        <v>2134</v>
      </c>
      <c r="T88" s="342" t="s">
        <v>2099</v>
      </c>
      <c r="U88" s="342" t="s">
        <v>2135</v>
      </c>
    </row>
    <row r="89" spans="1:21" ht="154">
      <c r="A89" s="342">
        <v>167661</v>
      </c>
      <c r="B89" s="342" t="s">
        <v>645</v>
      </c>
      <c r="C89" s="342" t="s">
        <v>203</v>
      </c>
      <c r="D89" s="342" t="s">
        <v>55</v>
      </c>
      <c r="E89" s="342" t="s">
        <v>591</v>
      </c>
      <c r="F89" s="342" t="s">
        <v>40</v>
      </c>
      <c r="G89" s="342" t="s">
        <v>5450</v>
      </c>
      <c r="H89" s="342" t="s">
        <v>2132</v>
      </c>
      <c r="I89" s="342" t="s">
        <v>2072</v>
      </c>
      <c r="M89" s="342" t="s">
        <v>5517</v>
      </c>
      <c r="N89" s="342" t="s">
        <v>2073</v>
      </c>
      <c r="O89" s="342" t="s">
        <v>2074</v>
      </c>
      <c r="P89" s="342" t="s">
        <v>2075</v>
      </c>
      <c r="Q89" s="342">
        <v>2</v>
      </c>
      <c r="R89" s="342" t="s">
        <v>2133</v>
      </c>
      <c r="S89" s="344" t="s">
        <v>2134</v>
      </c>
      <c r="T89" s="342" t="s">
        <v>2099</v>
      </c>
      <c r="U89" s="342" t="s">
        <v>2135</v>
      </c>
    </row>
    <row r="90" spans="1:21" ht="154">
      <c r="A90" s="342">
        <v>167686</v>
      </c>
      <c r="B90" s="342" t="s">
        <v>651</v>
      </c>
      <c r="C90" s="342" t="s">
        <v>206</v>
      </c>
      <c r="D90" s="342" t="s">
        <v>107</v>
      </c>
      <c r="E90" s="342" t="s">
        <v>591</v>
      </c>
      <c r="F90" s="342" t="s">
        <v>40</v>
      </c>
      <c r="G90" s="342" t="s">
        <v>5450</v>
      </c>
      <c r="H90" s="342" t="s">
        <v>2132</v>
      </c>
      <c r="I90" s="342" t="s">
        <v>2072</v>
      </c>
      <c r="M90" s="342" t="s">
        <v>5517</v>
      </c>
      <c r="N90" s="342" t="s">
        <v>2073</v>
      </c>
      <c r="O90" s="342" t="s">
        <v>2074</v>
      </c>
      <c r="P90" s="342" t="s">
        <v>2075</v>
      </c>
      <c r="Q90" s="342">
        <v>2</v>
      </c>
      <c r="R90" s="342" t="s">
        <v>2133</v>
      </c>
      <c r="S90" s="344" t="s">
        <v>2134</v>
      </c>
      <c r="T90" s="342" t="s">
        <v>2099</v>
      </c>
      <c r="U90" s="342" t="s">
        <v>2135</v>
      </c>
    </row>
    <row r="91" spans="1:21" ht="154">
      <c r="A91" s="342">
        <v>167687</v>
      </c>
      <c r="B91" s="342" t="s">
        <v>207</v>
      </c>
      <c r="C91" s="342" t="s">
        <v>210</v>
      </c>
      <c r="D91" s="342" t="s">
        <v>45</v>
      </c>
      <c r="E91" s="342" t="s">
        <v>591</v>
      </c>
      <c r="F91" s="342" t="s">
        <v>40</v>
      </c>
      <c r="G91" s="342" t="s">
        <v>5450</v>
      </c>
      <c r="H91" s="342" t="s">
        <v>2132</v>
      </c>
      <c r="I91" s="342" t="s">
        <v>2072</v>
      </c>
      <c r="M91" s="342" t="s">
        <v>5517</v>
      </c>
      <c r="N91" s="342" t="s">
        <v>2073</v>
      </c>
      <c r="O91" s="342" t="s">
        <v>2074</v>
      </c>
      <c r="P91" s="342" t="s">
        <v>2075</v>
      </c>
      <c r="Q91" s="342">
        <v>2</v>
      </c>
      <c r="R91" s="342" t="s">
        <v>2133</v>
      </c>
      <c r="S91" s="344" t="s">
        <v>2134</v>
      </c>
      <c r="T91" s="342" t="s">
        <v>2099</v>
      </c>
      <c r="U91" s="342" t="s">
        <v>2135</v>
      </c>
    </row>
    <row r="92" spans="1:21" ht="154">
      <c r="A92" s="342">
        <v>167696</v>
      </c>
      <c r="B92" s="342" t="s">
        <v>705</v>
      </c>
      <c r="C92" s="342" t="s">
        <v>195</v>
      </c>
      <c r="D92" s="342" t="s">
        <v>51</v>
      </c>
      <c r="E92" s="342" t="s">
        <v>591</v>
      </c>
      <c r="F92" s="342" t="s">
        <v>40</v>
      </c>
      <c r="G92" s="342" t="s">
        <v>5281</v>
      </c>
      <c r="H92" s="342" t="s">
        <v>2132</v>
      </c>
      <c r="I92" s="342" t="s">
        <v>2072</v>
      </c>
      <c r="M92" s="342" t="s">
        <v>5517</v>
      </c>
      <c r="N92" s="342" t="s">
        <v>2073</v>
      </c>
      <c r="O92" s="342" t="s">
        <v>2074</v>
      </c>
      <c r="P92" s="342" t="s">
        <v>2075</v>
      </c>
      <c r="Q92" s="342">
        <v>2</v>
      </c>
      <c r="R92" s="342" t="s">
        <v>2133</v>
      </c>
      <c r="S92" s="344" t="s">
        <v>2134</v>
      </c>
      <c r="T92" s="342" t="s">
        <v>2099</v>
      </c>
      <c r="U92" s="342" t="s">
        <v>2135</v>
      </c>
    </row>
    <row r="93" spans="1:21" ht="154">
      <c r="A93" s="342">
        <v>167700</v>
      </c>
      <c r="B93" s="342" t="s">
        <v>211</v>
      </c>
      <c r="C93" s="342" t="s">
        <v>632</v>
      </c>
      <c r="D93" s="342" t="s">
        <v>51</v>
      </c>
      <c r="E93" s="342" t="s">
        <v>591</v>
      </c>
      <c r="F93" s="342" t="s">
        <v>40</v>
      </c>
      <c r="G93" s="342" t="s">
        <v>5450</v>
      </c>
      <c r="H93" s="342" t="s">
        <v>2132</v>
      </c>
      <c r="I93" s="342" t="s">
        <v>2072</v>
      </c>
      <c r="M93" s="342" t="s">
        <v>5517</v>
      </c>
      <c r="N93" s="342" t="s">
        <v>2073</v>
      </c>
      <c r="O93" s="342" t="s">
        <v>2074</v>
      </c>
      <c r="P93" s="342" t="s">
        <v>2075</v>
      </c>
      <c r="Q93" s="342">
        <v>2</v>
      </c>
      <c r="R93" s="342" t="s">
        <v>2133</v>
      </c>
      <c r="S93" s="344" t="s">
        <v>2134</v>
      </c>
      <c r="T93" s="342" t="s">
        <v>2099</v>
      </c>
      <c r="U93" s="342" t="s">
        <v>2135</v>
      </c>
    </row>
    <row r="94" spans="1:21" ht="154">
      <c r="A94" s="342">
        <v>167703</v>
      </c>
      <c r="B94" s="342" t="s">
        <v>211</v>
      </c>
      <c r="C94" s="342" t="s">
        <v>213</v>
      </c>
      <c r="D94" s="342" t="s">
        <v>51</v>
      </c>
      <c r="E94" s="342" t="s">
        <v>591</v>
      </c>
      <c r="F94" s="342" t="s">
        <v>40</v>
      </c>
      <c r="G94" s="342" t="s">
        <v>5281</v>
      </c>
      <c r="H94" s="342" t="s">
        <v>2132</v>
      </c>
      <c r="I94" s="342" t="s">
        <v>2072</v>
      </c>
      <c r="M94" s="342" t="s">
        <v>5517</v>
      </c>
      <c r="N94" s="342" t="s">
        <v>2073</v>
      </c>
      <c r="O94" s="342" t="s">
        <v>2074</v>
      </c>
      <c r="P94" s="342" t="s">
        <v>2075</v>
      </c>
      <c r="Q94" s="342">
        <v>2</v>
      </c>
      <c r="R94" s="342" t="s">
        <v>2133</v>
      </c>
      <c r="S94" s="344" t="s">
        <v>2134</v>
      </c>
      <c r="T94" s="342" t="s">
        <v>2099</v>
      </c>
      <c r="U94" s="342" t="s">
        <v>2135</v>
      </c>
    </row>
    <row r="95" spans="1:21" ht="154">
      <c r="A95" s="342">
        <v>167710</v>
      </c>
      <c r="B95" s="342" t="s">
        <v>214</v>
      </c>
      <c r="C95" s="342" t="s">
        <v>217</v>
      </c>
      <c r="D95" s="342" t="s">
        <v>51</v>
      </c>
      <c r="E95" s="342" t="s">
        <v>591</v>
      </c>
      <c r="F95" s="342" t="s">
        <v>40</v>
      </c>
      <c r="G95" s="342" t="s">
        <v>5450</v>
      </c>
      <c r="H95" s="342" t="s">
        <v>2132</v>
      </c>
      <c r="I95" s="342" t="s">
        <v>2072</v>
      </c>
      <c r="M95" s="342" t="s">
        <v>5517</v>
      </c>
      <c r="N95" s="342" t="s">
        <v>2073</v>
      </c>
      <c r="O95" s="342" t="s">
        <v>2074</v>
      </c>
      <c r="P95" s="342" t="s">
        <v>2075</v>
      </c>
      <c r="Q95" s="342">
        <v>2</v>
      </c>
      <c r="R95" s="342" t="s">
        <v>2133</v>
      </c>
      <c r="S95" s="344" t="s">
        <v>2134</v>
      </c>
      <c r="T95" s="342" t="s">
        <v>2099</v>
      </c>
      <c r="U95" s="342" t="s">
        <v>2135</v>
      </c>
    </row>
    <row r="96" spans="1:21" ht="154">
      <c r="A96" s="342">
        <v>167750</v>
      </c>
      <c r="B96" s="342" t="s">
        <v>1225</v>
      </c>
      <c r="C96" s="342" t="s">
        <v>195</v>
      </c>
      <c r="D96" s="342" t="s">
        <v>51</v>
      </c>
      <c r="E96" s="342" t="s">
        <v>591</v>
      </c>
      <c r="F96" s="342" t="s">
        <v>40</v>
      </c>
      <c r="G96" s="342" t="s">
        <v>5281</v>
      </c>
      <c r="H96" s="342" t="s">
        <v>2132</v>
      </c>
      <c r="I96" s="342" t="s">
        <v>2072</v>
      </c>
      <c r="M96" s="342" t="s">
        <v>5517</v>
      </c>
      <c r="N96" s="342" t="s">
        <v>2073</v>
      </c>
      <c r="O96" s="342" t="s">
        <v>2074</v>
      </c>
      <c r="P96" s="342" t="s">
        <v>2075</v>
      </c>
      <c r="Q96" s="342">
        <v>2</v>
      </c>
      <c r="R96" s="342" t="s">
        <v>2133</v>
      </c>
      <c r="S96" s="344" t="s">
        <v>2134</v>
      </c>
      <c r="T96" s="342" t="s">
        <v>2099</v>
      </c>
      <c r="U96" s="342" t="s">
        <v>2135</v>
      </c>
    </row>
    <row r="97" spans="1:21" ht="154">
      <c r="A97" s="342">
        <v>167783</v>
      </c>
      <c r="B97" s="342" t="s">
        <v>219</v>
      </c>
      <c r="C97" s="342" t="s">
        <v>222</v>
      </c>
      <c r="D97" s="342" t="s">
        <v>51</v>
      </c>
      <c r="E97" s="342" t="s">
        <v>591</v>
      </c>
      <c r="F97" s="342" t="s">
        <v>40</v>
      </c>
      <c r="G97" s="342" t="s">
        <v>5281</v>
      </c>
      <c r="H97" s="342" t="s">
        <v>2132</v>
      </c>
      <c r="I97" s="342" t="s">
        <v>2072</v>
      </c>
      <c r="M97" s="342" t="s">
        <v>5517</v>
      </c>
      <c r="N97" s="342" t="s">
        <v>2073</v>
      </c>
      <c r="O97" s="342" t="s">
        <v>2074</v>
      </c>
      <c r="P97" s="342" t="s">
        <v>2075</v>
      </c>
      <c r="Q97" s="342">
        <v>2</v>
      </c>
      <c r="R97" s="342" t="s">
        <v>2133</v>
      </c>
      <c r="S97" s="344" t="s">
        <v>2134</v>
      </c>
      <c r="T97" s="342" t="s">
        <v>2099</v>
      </c>
      <c r="U97" s="342" t="s">
        <v>2135</v>
      </c>
    </row>
    <row r="98" spans="1:21" ht="280">
      <c r="A98" s="342">
        <v>168509</v>
      </c>
      <c r="B98" s="342" t="s">
        <v>223</v>
      </c>
      <c r="C98" s="342" t="s">
        <v>226</v>
      </c>
      <c r="D98" s="342" t="s">
        <v>45</v>
      </c>
      <c r="E98" s="342" t="s">
        <v>591</v>
      </c>
      <c r="F98" s="342" t="s">
        <v>40</v>
      </c>
      <c r="G98" s="342" t="s">
        <v>5282</v>
      </c>
      <c r="H98" s="342" t="s">
        <v>2171</v>
      </c>
      <c r="I98" s="342" t="s">
        <v>2072</v>
      </c>
      <c r="M98" s="342" t="s">
        <v>5282</v>
      </c>
      <c r="N98" s="342" t="s">
        <v>2073</v>
      </c>
      <c r="O98" s="342" t="s">
        <v>2093</v>
      </c>
      <c r="Q98" s="342">
        <v>2</v>
      </c>
      <c r="R98" s="342" t="s">
        <v>2076</v>
      </c>
      <c r="S98" s="344" t="s">
        <v>2172</v>
      </c>
      <c r="T98" s="342" t="s">
        <v>2077</v>
      </c>
    </row>
    <row r="99" spans="1:21" ht="168">
      <c r="A99" s="342">
        <v>168942</v>
      </c>
      <c r="B99" s="342" t="s">
        <v>1251</v>
      </c>
      <c r="C99" s="342" t="s">
        <v>478</v>
      </c>
      <c r="D99" s="342" t="s">
        <v>47</v>
      </c>
      <c r="E99" s="342" t="s">
        <v>591</v>
      </c>
      <c r="F99" s="342" t="s">
        <v>40</v>
      </c>
      <c r="G99" s="342" t="s">
        <v>5280</v>
      </c>
      <c r="H99" s="342" t="s">
        <v>743</v>
      </c>
      <c r="I99" s="342" t="s">
        <v>2072</v>
      </c>
      <c r="M99" s="342" t="s">
        <v>5280</v>
      </c>
      <c r="N99" s="342" t="s">
        <v>2073</v>
      </c>
      <c r="O99" s="342" t="s">
        <v>2074</v>
      </c>
      <c r="P99" s="342" t="s">
        <v>2075</v>
      </c>
      <c r="Q99" s="342">
        <v>2</v>
      </c>
      <c r="R99" s="342" t="s">
        <v>2076</v>
      </c>
      <c r="S99" s="344" t="s">
        <v>2096</v>
      </c>
      <c r="T99" s="342" t="s">
        <v>2077</v>
      </c>
    </row>
    <row r="100" spans="1:21">
      <c r="A100" s="342">
        <v>169995</v>
      </c>
      <c r="B100" s="342" t="s">
        <v>5412</v>
      </c>
      <c r="C100" s="342" t="s">
        <v>228</v>
      </c>
      <c r="D100" s="342" t="s">
        <v>47</v>
      </c>
      <c r="E100" s="342" t="s">
        <v>591</v>
      </c>
      <c r="F100" s="342" t="s">
        <v>40</v>
      </c>
      <c r="G100" s="342" t="s">
        <v>5449</v>
      </c>
      <c r="H100" s="342" t="s">
        <v>2097</v>
      </c>
      <c r="I100" s="342" t="s">
        <v>2072</v>
      </c>
      <c r="M100" s="342" t="s">
        <v>5449</v>
      </c>
      <c r="N100" s="342" t="s">
        <v>2073</v>
      </c>
      <c r="O100" s="342" t="s">
        <v>2074</v>
      </c>
      <c r="P100" s="342" t="s">
        <v>2075</v>
      </c>
      <c r="Q100" s="342">
        <v>2</v>
      </c>
      <c r="R100" s="342" t="s">
        <v>2076</v>
      </c>
      <c r="S100" s="342" t="s">
        <v>2098</v>
      </c>
      <c r="T100" s="342" t="s">
        <v>2099</v>
      </c>
    </row>
    <row r="101" spans="1:21">
      <c r="A101" s="342">
        <v>170121</v>
      </c>
      <c r="B101" s="342" t="s">
        <v>229</v>
      </c>
      <c r="C101" s="342" t="s">
        <v>231</v>
      </c>
      <c r="D101" s="342" t="s">
        <v>47</v>
      </c>
      <c r="E101" s="342" t="s">
        <v>591</v>
      </c>
      <c r="F101" s="342" t="s">
        <v>40</v>
      </c>
      <c r="G101" s="342" t="s">
        <v>1277</v>
      </c>
      <c r="H101" s="342" t="s">
        <v>2183</v>
      </c>
      <c r="I101" s="342" t="s">
        <v>2072</v>
      </c>
      <c r="M101" s="342" t="s">
        <v>1277</v>
      </c>
      <c r="N101" s="342" t="s">
        <v>2073</v>
      </c>
      <c r="O101" s="342" t="s">
        <v>2093</v>
      </c>
      <c r="Q101" s="342">
        <v>4</v>
      </c>
      <c r="R101" s="342" t="s">
        <v>2085</v>
      </c>
      <c r="S101" s="342" t="s">
        <v>2184</v>
      </c>
    </row>
    <row r="102" spans="1:21" ht="409.5">
      <c r="A102" s="342">
        <v>171379</v>
      </c>
      <c r="B102" s="342" t="s">
        <v>772</v>
      </c>
      <c r="C102" s="342" t="s">
        <v>775</v>
      </c>
      <c r="D102" s="342" t="s">
        <v>45</v>
      </c>
      <c r="E102" s="342" t="s">
        <v>591</v>
      </c>
      <c r="F102" s="342" t="s">
        <v>40</v>
      </c>
      <c r="G102" s="342" t="s">
        <v>5280</v>
      </c>
      <c r="H102" s="342" t="s">
        <v>2223</v>
      </c>
      <c r="I102" s="342" t="s">
        <v>2079</v>
      </c>
      <c r="J102" s="344" t="s">
        <v>5518</v>
      </c>
      <c r="L102" s="342" t="s">
        <v>5514</v>
      </c>
      <c r="M102" s="342" t="s">
        <v>5280</v>
      </c>
      <c r="N102" s="342" t="s">
        <v>2073</v>
      </c>
      <c r="O102" s="342" t="s">
        <v>2093</v>
      </c>
      <c r="Q102" s="342">
        <v>4</v>
      </c>
      <c r="R102" s="342" t="s">
        <v>2085</v>
      </c>
      <c r="S102" s="342" t="s">
        <v>2224</v>
      </c>
      <c r="T102" s="342" t="s">
        <v>2087</v>
      </c>
    </row>
    <row r="103" spans="1:21">
      <c r="A103" s="342">
        <v>171380</v>
      </c>
      <c r="B103" s="342" t="s">
        <v>1439</v>
      </c>
      <c r="C103" s="342" t="s">
        <v>232</v>
      </c>
      <c r="D103" s="342" t="s">
        <v>47</v>
      </c>
      <c r="E103" s="342" t="s">
        <v>591</v>
      </c>
      <c r="F103" s="342" t="s">
        <v>40</v>
      </c>
      <c r="G103" s="342" t="s">
        <v>5449</v>
      </c>
      <c r="H103" s="342" t="s">
        <v>2097</v>
      </c>
      <c r="I103" s="342" t="s">
        <v>2072</v>
      </c>
      <c r="M103" s="342" t="s">
        <v>5449</v>
      </c>
      <c r="N103" s="342" t="s">
        <v>2073</v>
      </c>
      <c r="O103" s="342" t="s">
        <v>2074</v>
      </c>
      <c r="P103" s="342" t="s">
        <v>2075</v>
      </c>
      <c r="Q103" s="342">
        <v>2</v>
      </c>
      <c r="R103" s="342" t="s">
        <v>2076</v>
      </c>
      <c r="S103" s="342" t="s">
        <v>2098</v>
      </c>
      <c r="T103" s="342" t="s">
        <v>2099</v>
      </c>
    </row>
    <row r="104" spans="1:21">
      <c r="A104" s="342">
        <v>171387</v>
      </c>
      <c r="B104" s="342" t="s">
        <v>5412</v>
      </c>
      <c r="C104" s="342" t="s">
        <v>234</v>
      </c>
      <c r="D104" s="342" t="s">
        <v>47</v>
      </c>
      <c r="E104" s="342" t="s">
        <v>591</v>
      </c>
      <c r="F104" s="342" t="s">
        <v>40</v>
      </c>
      <c r="G104" s="342" t="s">
        <v>5449</v>
      </c>
      <c r="H104" s="342" t="s">
        <v>2097</v>
      </c>
      <c r="I104" s="342" t="s">
        <v>2072</v>
      </c>
      <c r="M104" s="342" t="s">
        <v>5449</v>
      </c>
      <c r="N104" s="342" t="s">
        <v>2073</v>
      </c>
      <c r="O104" s="342" t="s">
        <v>2074</v>
      </c>
      <c r="P104" s="342" t="s">
        <v>2075</v>
      </c>
      <c r="Q104" s="342">
        <v>2</v>
      </c>
      <c r="R104" s="342" t="s">
        <v>2076</v>
      </c>
      <c r="S104" s="342" t="s">
        <v>2098</v>
      </c>
      <c r="T104" s="342" t="s">
        <v>2099</v>
      </c>
    </row>
    <row r="105" spans="1:21" ht="98">
      <c r="A105" s="342">
        <v>171397</v>
      </c>
      <c r="B105" s="342" t="s">
        <v>845</v>
      </c>
      <c r="C105" s="342" t="s">
        <v>235</v>
      </c>
      <c r="D105" s="342" t="s">
        <v>51</v>
      </c>
      <c r="E105" s="342" t="s">
        <v>591</v>
      </c>
      <c r="F105" s="342" t="s">
        <v>1114</v>
      </c>
      <c r="G105" s="342" t="s">
        <v>1510</v>
      </c>
      <c r="H105" s="342" t="s">
        <v>2225</v>
      </c>
      <c r="I105" s="342" t="s">
        <v>2128</v>
      </c>
      <c r="J105" s="344" t="s">
        <v>2129</v>
      </c>
      <c r="M105" s="342" t="s">
        <v>1510</v>
      </c>
      <c r="N105" s="342" t="s">
        <v>2128</v>
      </c>
      <c r="Q105" s="342">
        <v>1</v>
      </c>
      <c r="R105" s="342" t="s">
        <v>2107</v>
      </c>
      <c r="S105" s="342" t="s">
        <v>2226</v>
      </c>
      <c r="T105" s="342" t="s">
        <v>2131</v>
      </c>
      <c r="U105" s="342" t="s">
        <v>2227</v>
      </c>
    </row>
    <row r="106" spans="1:21">
      <c r="A106" s="342">
        <v>172190</v>
      </c>
      <c r="B106" s="342" t="s">
        <v>673</v>
      </c>
      <c r="C106" s="342" t="s">
        <v>675</v>
      </c>
      <c r="D106" s="342" t="s">
        <v>51</v>
      </c>
      <c r="E106" s="342" t="s">
        <v>591</v>
      </c>
      <c r="F106" s="342" t="s">
        <v>40</v>
      </c>
      <c r="G106" s="342" t="s">
        <v>1277</v>
      </c>
      <c r="H106" s="342" t="s">
        <v>673</v>
      </c>
      <c r="I106" s="342" t="s">
        <v>2072</v>
      </c>
      <c r="M106" s="342" t="s">
        <v>1277</v>
      </c>
      <c r="N106" s="342" t="s">
        <v>2073</v>
      </c>
      <c r="O106" s="342" t="s">
        <v>2093</v>
      </c>
      <c r="Q106" s="342">
        <v>4</v>
      </c>
      <c r="R106" s="342" t="s">
        <v>2085</v>
      </c>
      <c r="S106" s="342" t="s">
        <v>2228</v>
      </c>
    </row>
    <row r="107" spans="1:21" ht="126">
      <c r="A107" s="342">
        <v>172438</v>
      </c>
      <c r="B107" s="342" t="s">
        <v>4695</v>
      </c>
      <c r="C107" s="342" t="s">
        <v>4697</v>
      </c>
      <c r="D107" s="342" t="s">
        <v>66</v>
      </c>
      <c r="E107" s="342" t="s">
        <v>591</v>
      </c>
      <c r="F107" s="342" t="s">
        <v>784</v>
      </c>
      <c r="G107" s="342" t="s">
        <v>4638</v>
      </c>
      <c r="H107" s="342" t="s">
        <v>4695</v>
      </c>
      <c r="I107" s="342" t="s">
        <v>2229</v>
      </c>
      <c r="J107" s="344" t="s">
        <v>2230</v>
      </c>
      <c r="M107" s="342" t="s">
        <v>4638</v>
      </c>
      <c r="N107" s="342" t="s">
        <v>2231</v>
      </c>
      <c r="P107" s="342" t="s">
        <v>2353</v>
      </c>
      <c r="Q107" s="342">
        <v>3</v>
      </c>
      <c r="R107" s="342" t="s">
        <v>2107</v>
      </c>
      <c r="S107" s="344" t="s">
        <v>4731</v>
      </c>
      <c r="T107" s="342" t="s">
        <v>2233</v>
      </c>
      <c r="U107" s="344" t="s">
        <v>4732</v>
      </c>
    </row>
    <row r="108" spans="1:21">
      <c r="A108" s="342">
        <v>172438</v>
      </c>
      <c r="B108" s="342" t="s">
        <v>4695</v>
      </c>
      <c r="C108" s="342" t="s">
        <v>4697</v>
      </c>
      <c r="D108" s="342" t="s">
        <v>66</v>
      </c>
      <c r="E108" s="342" t="s">
        <v>591</v>
      </c>
      <c r="F108" s="342" t="s">
        <v>787</v>
      </c>
      <c r="G108" s="342" t="s">
        <v>4638</v>
      </c>
      <c r="H108" s="342" t="s">
        <v>4733</v>
      </c>
      <c r="I108" s="342" t="s">
        <v>2234</v>
      </c>
      <c r="J108" s="342" t="s">
        <v>2235</v>
      </c>
      <c r="M108" s="342" t="s">
        <v>4638</v>
      </c>
      <c r="N108" s="342" t="s">
        <v>2104</v>
      </c>
      <c r="O108" s="342" t="s">
        <v>2105</v>
      </c>
      <c r="Q108" s="342">
        <v>2</v>
      </c>
      <c r="R108" s="342" t="s">
        <v>2107</v>
      </c>
      <c r="S108" s="342" t="s">
        <v>4734</v>
      </c>
      <c r="T108" s="342" t="s">
        <v>4735</v>
      </c>
      <c r="U108" s="342" t="s">
        <v>4736</v>
      </c>
    </row>
    <row r="109" spans="1:21">
      <c r="A109" s="342">
        <v>172671</v>
      </c>
      <c r="B109" s="342" t="s">
        <v>1308</v>
      </c>
      <c r="C109" s="342" t="s">
        <v>1310</v>
      </c>
      <c r="D109" s="342" t="s">
        <v>1311</v>
      </c>
      <c r="E109" s="342" t="s">
        <v>591</v>
      </c>
      <c r="F109" s="342" t="s">
        <v>41</v>
      </c>
      <c r="G109" s="342" t="s">
        <v>1421</v>
      </c>
      <c r="H109" s="342" t="s">
        <v>2236</v>
      </c>
      <c r="I109" s="342" t="s">
        <v>2090</v>
      </c>
      <c r="M109" s="342" t="s">
        <v>1421</v>
      </c>
      <c r="N109" s="342" t="s">
        <v>2104</v>
      </c>
      <c r="P109" s="342" t="s">
        <v>2194</v>
      </c>
      <c r="Q109" s="342">
        <v>2</v>
      </c>
      <c r="R109" s="342" t="s">
        <v>2107</v>
      </c>
      <c r="S109" s="342" t="s">
        <v>2237</v>
      </c>
      <c r="T109" s="342" t="s">
        <v>2217</v>
      </c>
      <c r="U109" s="342" t="s">
        <v>2238</v>
      </c>
    </row>
    <row r="110" spans="1:21">
      <c r="A110" s="342">
        <v>173784</v>
      </c>
      <c r="B110" s="342" t="s">
        <v>237</v>
      </c>
      <c r="C110" s="342" t="s">
        <v>240</v>
      </c>
      <c r="D110" s="342" t="s">
        <v>51</v>
      </c>
      <c r="E110" s="342" t="s">
        <v>591</v>
      </c>
      <c r="F110" s="342" t="s">
        <v>40</v>
      </c>
      <c r="G110" s="342" t="s">
        <v>1277</v>
      </c>
      <c r="H110" s="342" t="s">
        <v>237</v>
      </c>
      <c r="I110" s="342" t="s">
        <v>2072</v>
      </c>
      <c r="M110" s="342" t="s">
        <v>1277</v>
      </c>
      <c r="N110" s="342" t="s">
        <v>2073</v>
      </c>
      <c r="O110" s="342" t="s">
        <v>2113</v>
      </c>
      <c r="Q110" s="342">
        <v>4</v>
      </c>
      <c r="R110" s="342" t="s">
        <v>2085</v>
      </c>
      <c r="S110" s="342" t="s">
        <v>2239</v>
      </c>
    </row>
    <row r="111" spans="1:21">
      <c r="A111" s="342">
        <v>173807</v>
      </c>
      <c r="B111" s="342" t="s">
        <v>5668</v>
      </c>
      <c r="C111" s="342" t="s">
        <v>242</v>
      </c>
      <c r="D111" s="342" t="s">
        <v>55</v>
      </c>
      <c r="E111" s="342" t="s">
        <v>591</v>
      </c>
      <c r="F111" s="342" t="s">
        <v>40</v>
      </c>
      <c r="G111" s="342" t="s">
        <v>1421</v>
      </c>
      <c r="H111" s="342" t="s">
        <v>2240</v>
      </c>
      <c r="I111" s="342" t="s">
        <v>2072</v>
      </c>
      <c r="M111" s="342" t="s">
        <v>1421</v>
      </c>
      <c r="N111" s="342" t="s">
        <v>2092</v>
      </c>
      <c r="Q111" s="342">
        <v>4</v>
      </c>
      <c r="R111" s="342" t="s">
        <v>4370</v>
      </c>
      <c r="S111" s="342" t="s">
        <v>4371</v>
      </c>
      <c r="T111" s="342" t="s">
        <v>2087</v>
      </c>
    </row>
    <row r="112" spans="1:21">
      <c r="A112" s="342">
        <v>173808</v>
      </c>
      <c r="B112" s="342" t="s">
        <v>1307</v>
      </c>
      <c r="C112" s="342" t="s">
        <v>245</v>
      </c>
      <c r="D112" s="342" t="s">
        <v>51</v>
      </c>
      <c r="E112" s="342" t="s">
        <v>591</v>
      </c>
      <c r="F112" s="342" t="s">
        <v>40</v>
      </c>
      <c r="G112" s="342" t="s">
        <v>5282</v>
      </c>
      <c r="H112" s="342" t="s">
        <v>2241</v>
      </c>
      <c r="I112" s="342" t="s">
        <v>2072</v>
      </c>
      <c r="M112" s="342" t="s">
        <v>4441</v>
      </c>
      <c r="N112" s="342" t="s">
        <v>2073</v>
      </c>
      <c r="O112" s="342" t="s">
        <v>2074</v>
      </c>
      <c r="P112" s="342" t="s">
        <v>2075</v>
      </c>
      <c r="Q112" s="342">
        <v>3</v>
      </c>
      <c r="R112" s="342" t="s">
        <v>2076</v>
      </c>
      <c r="S112" s="342" t="s">
        <v>2219</v>
      </c>
      <c r="T112" s="342" t="s">
        <v>2077</v>
      </c>
    </row>
    <row r="113" spans="1:21" ht="409.5">
      <c r="A113" s="342">
        <v>175626</v>
      </c>
      <c r="B113" s="342" t="s">
        <v>1451</v>
      </c>
      <c r="C113" s="342" t="s">
        <v>1375</v>
      </c>
      <c r="D113" s="342" t="s">
        <v>51</v>
      </c>
      <c r="E113" s="342" t="s">
        <v>591</v>
      </c>
      <c r="F113" s="342" t="s">
        <v>40</v>
      </c>
      <c r="G113" s="342" t="s">
        <v>5278</v>
      </c>
      <c r="H113" s="342" t="s">
        <v>2537</v>
      </c>
      <c r="I113" s="342" t="s">
        <v>2072</v>
      </c>
      <c r="J113" s="344" t="s">
        <v>5184</v>
      </c>
      <c r="L113" s="342" t="s">
        <v>5179</v>
      </c>
      <c r="M113" s="342" t="s">
        <v>5278</v>
      </c>
      <c r="N113" s="342" t="s">
        <v>2283</v>
      </c>
      <c r="O113" s="342" t="s">
        <v>2093</v>
      </c>
      <c r="P113" s="342" t="s">
        <v>2380</v>
      </c>
      <c r="Q113" s="342">
        <v>4</v>
      </c>
      <c r="R113" s="342" t="s">
        <v>2538</v>
      </c>
      <c r="S113" s="342" t="s">
        <v>2539</v>
      </c>
      <c r="U113" s="342" t="s">
        <v>2540</v>
      </c>
    </row>
    <row r="114" spans="1:21">
      <c r="A114" s="342">
        <v>175845</v>
      </c>
      <c r="B114" s="342" t="s">
        <v>247</v>
      </c>
      <c r="C114" s="342" t="s">
        <v>249</v>
      </c>
      <c r="D114" s="342" t="s">
        <v>47</v>
      </c>
      <c r="E114" s="342" t="s">
        <v>591</v>
      </c>
      <c r="F114" s="342" t="s">
        <v>40</v>
      </c>
      <c r="G114" s="342" t="s">
        <v>5282</v>
      </c>
      <c r="H114" s="342" t="s">
        <v>2241</v>
      </c>
      <c r="I114" s="342" t="s">
        <v>2072</v>
      </c>
      <c r="M114" s="342" t="s">
        <v>4441</v>
      </c>
      <c r="N114" s="342" t="s">
        <v>2073</v>
      </c>
      <c r="O114" s="342" t="s">
        <v>2074</v>
      </c>
      <c r="P114" s="342" t="s">
        <v>2075</v>
      </c>
      <c r="Q114" s="342">
        <v>3</v>
      </c>
      <c r="R114" s="342" t="s">
        <v>2076</v>
      </c>
      <c r="S114" s="342" t="s">
        <v>2219</v>
      </c>
      <c r="T114" s="342" t="s">
        <v>2077</v>
      </c>
    </row>
    <row r="115" spans="1:21">
      <c r="A115" s="342">
        <v>176711</v>
      </c>
      <c r="B115" s="342" t="s">
        <v>250</v>
      </c>
      <c r="C115" s="342" t="s">
        <v>93</v>
      </c>
      <c r="D115" s="342" t="s">
        <v>47</v>
      </c>
      <c r="E115" s="342" t="s">
        <v>591</v>
      </c>
      <c r="F115" s="342" t="s">
        <v>40</v>
      </c>
      <c r="G115" s="342" t="s">
        <v>5278</v>
      </c>
      <c r="H115" s="342" t="s">
        <v>250</v>
      </c>
      <c r="I115" s="342" t="s">
        <v>2072</v>
      </c>
      <c r="M115" s="342" t="s">
        <v>5278</v>
      </c>
      <c r="N115" s="342" t="s">
        <v>2143</v>
      </c>
      <c r="O115" s="342" t="s">
        <v>2137</v>
      </c>
      <c r="Q115" s="342">
        <v>3</v>
      </c>
      <c r="R115" s="342" t="s">
        <v>2085</v>
      </c>
      <c r="S115" s="342" t="s">
        <v>2242</v>
      </c>
      <c r="T115" s="342" t="s">
        <v>2087</v>
      </c>
    </row>
    <row r="116" spans="1:21" ht="140">
      <c r="A116" s="342">
        <v>176864</v>
      </c>
      <c r="B116" s="342" t="s">
        <v>252</v>
      </c>
      <c r="C116" s="342" t="s">
        <v>254</v>
      </c>
      <c r="D116" s="342" t="s">
        <v>47</v>
      </c>
      <c r="E116" s="342" t="s">
        <v>591</v>
      </c>
      <c r="F116" s="342" t="s">
        <v>40</v>
      </c>
      <c r="G116" s="342" t="s">
        <v>1277</v>
      </c>
      <c r="H116" s="342" t="s">
        <v>252</v>
      </c>
      <c r="I116" s="342" t="s">
        <v>2072</v>
      </c>
      <c r="M116" s="342" t="s">
        <v>1277</v>
      </c>
      <c r="N116" s="342" t="s">
        <v>2073</v>
      </c>
      <c r="O116" s="342" t="s">
        <v>2113</v>
      </c>
      <c r="Q116" s="342">
        <v>4</v>
      </c>
      <c r="R116" s="342" t="s">
        <v>2085</v>
      </c>
      <c r="S116" s="344" t="s">
        <v>2243</v>
      </c>
      <c r="T116" s="342" t="s">
        <v>2087</v>
      </c>
      <c r="U116" s="342" t="s">
        <v>2168</v>
      </c>
    </row>
    <row r="117" spans="1:21">
      <c r="A117" s="342">
        <v>177839</v>
      </c>
      <c r="B117" s="342" t="s">
        <v>256</v>
      </c>
      <c r="C117" s="342" t="s">
        <v>258</v>
      </c>
      <c r="D117" s="342" t="s">
        <v>47</v>
      </c>
      <c r="E117" s="342" t="s">
        <v>591</v>
      </c>
      <c r="F117" s="342" t="s">
        <v>40</v>
      </c>
      <c r="G117" s="342" t="s">
        <v>5279</v>
      </c>
      <c r="H117" s="342" t="s">
        <v>2161</v>
      </c>
      <c r="I117" s="342" t="s">
        <v>2072</v>
      </c>
      <c r="M117" s="342" t="s">
        <v>5279</v>
      </c>
      <c r="N117" s="342" t="s">
        <v>2073</v>
      </c>
      <c r="O117" s="342" t="s">
        <v>2074</v>
      </c>
      <c r="P117" s="342" t="s">
        <v>2075</v>
      </c>
      <c r="Q117" s="342">
        <v>2</v>
      </c>
      <c r="R117" s="342" t="s">
        <v>2076</v>
      </c>
      <c r="S117" s="342" t="s">
        <v>2162</v>
      </c>
      <c r="T117" s="342" t="s">
        <v>2099</v>
      </c>
      <c r="U117" s="342" t="s">
        <v>2163</v>
      </c>
    </row>
    <row r="118" spans="1:21">
      <c r="A118" s="342">
        <v>177845</v>
      </c>
      <c r="B118" s="342" t="s">
        <v>852</v>
      </c>
      <c r="C118" s="342" t="s">
        <v>855</v>
      </c>
      <c r="D118" s="342" t="s">
        <v>51</v>
      </c>
      <c r="E118" s="342" t="s">
        <v>591</v>
      </c>
      <c r="F118" s="342" t="s">
        <v>40</v>
      </c>
      <c r="G118" s="342" t="s">
        <v>5279</v>
      </c>
      <c r="H118" s="342" t="s">
        <v>2161</v>
      </c>
      <c r="I118" s="342" t="s">
        <v>2072</v>
      </c>
      <c r="M118" s="342" t="s">
        <v>5279</v>
      </c>
      <c r="N118" s="342" t="s">
        <v>2073</v>
      </c>
      <c r="O118" s="342" t="s">
        <v>2074</v>
      </c>
      <c r="P118" s="342" t="s">
        <v>2075</v>
      </c>
      <c r="Q118" s="342">
        <v>2</v>
      </c>
      <c r="R118" s="342" t="s">
        <v>2076</v>
      </c>
      <c r="S118" s="342" t="s">
        <v>2162</v>
      </c>
      <c r="T118" s="342" t="s">
        <v>2099</v>
      </c>
      <c r="U118" s="342" t="s">
        <v>2163</v>
      </c>
    </row>
    <row r="119" spans="1:21">
      <c r="A119" s="342">
        <v>178134</v>
      </c>
      <c r="B119" s="342" t="s">
        <v>259</v>
      </c>
      <c r="C119" s="342" t="s">
        <v>261</v>
      </c>
      <c r="D119" s="342" t="s">
        <v>55</v>
      </c>
      <c r="E119" s="342" t="s">
        <v>591</v>
      </c>
      <c r="F119" s="342" t="s">
        <v>40</v>
      </c>
      <c r="G119" s="342" t="s">
        <v>5278</v>
      </c>
      <c r="H119" s="342" t="s">
        <v>2244</v>
      </c>
      <c r="I119" s="342" t="s">
        <v>2072</v>
      </c>
      <c r="M119" s="342" t="s">
        <v>5278</v>
      </c>
      <c r="N119" s="342" t="s">
        <v>2073</v>
      </c>
      <c r="O119" s="342" t="s">
        <v>2113</v>
      </c>
      <c r="P119" s="342" t="s">
        <v>2122</v>
      </c>
      <c r="Q119" s="342">
        <v>3</v>
      </c>
      <c r="R119" s="342" t="s">
        <v>2085</v>
      </c>
      <c r="S119" s="342" t="s">
        <v>2245</v>
      </c>
    </row>
    <row r="120" spans="1:21">
      <c r="A120" s="342">
        <v>178633</v>
      </c>
      <c r="B120" s="342" t="s">
        <v>1175</v>
      </c>
      <c r="C120" s="342" t="s">
        <v>828</v>
      </c>
      <c r="D120" s="342" t="s">
        <v>47</v>
      </c>
      <c r="E120" s="342" t="s">
        <v>591</v>
      </c>
      <c r="F120" s="342" t="s">
        <v>40</v>
      </c>
      <c r="G120" s="342" t="s">
        <v>1510</v>
      </c>
      <c r="H120" s="342" t="s">
        <v>1175</v>
      </c>
      <c r="I120" s="342" t="s">
        <v>2090</v>
      </c>
      <c r="M120" s="342" t="s">
        <v>1510</v>
      </c>
      <c r="N120" s="342" t="s">
        <v>2090</v>
      </c>
      <c r="O120" s="342" t="s">
        <v>2137</v>
      </c>
      <c r="P120" s="342" t="s">
        <v>2179</v>
      </c>
      <c r="Q120" s="342">
        <v>2</v>
      </c>
      <c r="R120" s="342" t="s">
        <v>2191</v>
      </c>
      <c r="S120" s="342" t="s">
        <v>2246</v>
      </c>
      <c r="T120" s="342" t="s">
        <v>2099</v>
      </c>
    </row>
    <row r="121" spans="1:21">
      <c r="A121" s="342">
        <v>178963</v>
      </c>
      <c r="B121" s="342" t="s">
        <v>262</v>
      </c>
      <c r="C121" s="342" t="s">
        <v>74</v>
      </c>
      <c r="D121" s="342" t="s">
        <v>55</v>
      </c>
      <c r="E121" s="342" t="s">
        <v>591</v>
      </c>
      <c r="F121" s="342" t="s">
        <v>41</v>
      </c>
      <c r="G121" s="342" t="s">
        <v>4638</v>
      </c>
      <c r="H121" s="342" t="s">
        <v>2247</v>
      </c>
      <c r="I121" s="342" t="s">
        <v>2090</v>
      </c>
      <c r="M121" s="342" t="s">
        <v>4638</v>
      </c>
      <c r="N121" s="342" t="s">
        <v>2104</v>
      </c>
      <c r="P121" s="342" t="s">
        <v>2248</v>
      </c>
      <c r="Q121" s="342">
        <v>1</v>
      </c>
      <c r="R121" s="342" t="s">
        <v>2107</v>
      </c>
      <c r="S121" s="342" t="s">
        <v>2249</v>
      </c>
      <c r="T121" s="342" t="s">
        <v>2217</v>
      </c>
      <c r="U121" s="342" t="s">
        <v>2250</v>
      </c>
    </row>
    <row r="122" spans="1:21" ht="238">
      <c r="A122" s="342">
        <v>178963</v>
      </c>
      <c r="B122" s="342" t="s">
        <v>262</v>
      </c>
      <c r="C122" s="342" t="s">
        <v>74</v>
      </c>
      <c r="D122" s="342" t="s">
        <v>55</v>
      </c>
      <c r="E122" s="342" t="s">
        <v>591</v>
      </c>
      <c r="F122" s="342" t="s">
        <v>40</v>
      </c>
      <c r="G122" s="342" t="s">
        <v>4638</v>
      </c>
      <c r="H122" s="342" t="s">
        <v>2247</v>
      </c>
      <c r="I122" s="342" t="s">
        <v>2090</v>
      </c>
      <c r="M122" s="342" t="s">
        <v>4638</v>
      </c>
      <c r="N122" s="342" t="s">
        <v>2090</v>
      </c>
      <c r="O122" s="342" t="s">
        <v>2105</v>
      </c>
      <c r="Q122" s="342">
        <v>2</v>
      </c>
      <c r="R122" s="342" t="s">
        <v>2107</v>
      </c>
      <c r="S122" s="344" t="s">
        <v>2251</v>
      </c>
      <c r="T122" s="342" t="s">
        <v>2099</v>
      </c>
      <c r="U122" s="342" t="s">
        <v>2252</v>
      </c>
    </row>
    <row r="123" spans="1:21" ht="112">
      <c r="A123" s="342">
        <v>178963</v>
      </c>
      <c r="B123" s="342" t="s">
        <v>262</v>
      </c>
      <c r="C123" s="342" t="s">
        <v>74</v>
      </c>
      <c r="D123" s="342" t="s">
        <v>55</v>
      </c>
      <c r="E123" s="342" t="s">
        <v>591</v>
      </c>
      <c r="F123" s="342" t="s">
        <v>784</v>
      </c>
      <c r="G123" s="342" t="s">
        <v>4638</v>
      </c>
      <c r="H123" s="342" t="s">
        <v>262</v>
      </c>
      <c r="I123" s="342" t="s">
        <v>2229</v>
      </c>
      <c r="J123" s="344" t="s">
        <v>2230</v>
      </c>
      <c r="M123" s="342" t="s">
        <v>4638</v>
      </c>
      <c r="N123" s="342" t="s">
        <v>2231</v>
      </c>
      <c r="O123" s="342" t="s">
        <v>2105</v>
      </c>
      <c r="P123" s="342" t="s">
        <v>2253</v>
      </c>
      <c r="Q123" s="342">
        <v>1</v>
      </c>
      <c r="R123" s="342" t="s">
        <v>2107</v>
      </c>
      <c r="S123" s="344" t="s">
        <v>2254</v>
      </c>
      <c r="T123" s="342" t="s">
        <v>2233</v>
      </c>
      <c r="U123" s="344" t="s">
        <v>2255</v>
      </c>
    </row>
    <row r="124" spans="1:21">
      <c r="A124" s="342">
        <v>179320</v>
      </c>
      <c r="B124" s="342" t="s">
        <v>264</v>
      </c>
      <c r="C124" s="342" t="s">
        <v>859</v>
      </c>
      <c r="D124" s="342" t="s">
        <v>47</v>
      </c>
      <c r="E124" s="342" t="s">
        <v>591</v>
      </c>
      <c r="F124" s="342" t="s">
        <v>40</v>
      </c>
      <c r="G124" s="342" t="s">
        <v>1277</v>
      </c>
      <c r="H124" s="342" t="s">
        <v>264</v>
      </c>
      <c r="I124" s="342" t="s">
        <v>2072</v>
      </c>
      <c r="M124" s="342" t="s">
        <v>1277</v>
      </c>
      <c r="N124" s="342" t="s">
        <v>2073</v>
      </c>
      <c r="O124" s="342" t="s">
        <v>2093</v>
      </c>
      <c r="Q124" s="342">
        <v>4</v>
      </c>
      <c r="R124" s="342" t="s">
        <v>2085</v>
      </c>
      <c r="S124" s="342" t="s">
        <v>2256</v>
      </c>
    </row>
    <row r="125" spans="1:21" ht="364">
      <c r="A125" s="342">
        <v>180121</v>
      </c>
      <c r="B125" s="342" t="s">
        <v>861</v>
      </c>
      <c r="C125" s="342" t="s">
        <v>265</v>
      </c>
      <c r="D125" s="342" t="s">
        <v>45</v>
      </c>
      <c r="E125" s="342" t="s">
        <v>591</v>
      </c>
      <c r="F125" s="342" t="s">
        <v>787</v>
      </c>
      <c r="G125" s="342" t="s">
        <v>1336</v>
      </c>
      <c r="H125" s="342" t="s">
        <v>861</v>
      </c>
      <c r="I125" s="342" t="s">
        <v>2234</v>
      </c>
      <c r="J125" s="342" t="s">
        <v>2257</v>
      </c>
      <c r="M125" s="342" t="s">
        <v>1336</v>
      </c>
      <c r="N125" s="342" t="s">
        <v>2258</v>
      </c>
      <c r="P125" s="342" t="s">
        <v>2122</v>
      </c>
      <c r="Q125" s="342">
        <v>3</v>
      </c>
      <c r="R125" s="342" t="s">
        <v>2076</v>
      </c>
      <c r="S125" s="344" t="s">
        <v>2259</v>
      </c>
      <c r="U125" s="342" t="s">
        <v>2087</v>
      </c>
    </row>
    <row r="126" spans="1:21">
      <c r="A126" s="342">
        <v>180458</v>
      </c>
      <c r="B126" s="342" t="s">
        <v>266</v>
      </c>
      <c r="C126" s="342" t="s">
        <v>267</v>
      </c>
      <c r="D126" s="342" t="s">
        <v>51</v>
      </c>
      <c r="E126" s="342" t="s">
        <v>591</v>
      </c>
      <c r="F126" s="342" t="s">
        <v>40</v>
      </c>
      <c r="G126" s="342" t="s">
        <v>4608</v>
      </c>
      <c r="H126" s="342" t="s">
        <v>2260</v>
      </c>
      <c r="I126" s="342" t="s">
        <v>2072</v>
      </c>
      <c r="M126" s="342" t="s">
        <v>4608</v>
      </c>
      <c r="N126" s="342" t="s">
        <v>2073</v>
      </c>
      <c r="Q126" s="342">
        <v>4</v>
      </c>
      <c r="R126" s="342" t="s">
        <v>2085</v>
      </c>
      <c r="S126" s="342" t="s">
        <v>2261</v>
      </c>
    </row>
    <row r="127" spans="1:21">
      <c r="A127" s="342">
        <v>180954</v>
      </c>
      <c r="B127" s="342" t="s">
        <v>4562</v>
      </c>
      <c r="C127" s="342" t="s">
        <v>4565</v>
      </c>
      <c r="D127" s="342" t="s">
        <v>51</v>
      </c>
      <c r="E127" s="342" t="s">
        <v>591</v>
      </c>
      <c r="F127" s="342" t="s">
        <v>40</v>
      </c>
      <c r="G127" s="342" t="s">
        <v>5280</v>
      </c>
      <c r="H127" s="342" t="s">
        <v>1468</v>
      </c>
      <c r="I127" s="342" t="s">
        <v>2072</v>
      </c>
      <c r="M127" s="342" t="s">
        <v>5280</v>
      </c>
      <c r="N127" s="342" t="s">
        <v>2073</v>
      </c>
      <c r="P127" s="342" t="s">
        <v>2075</v>
      </c>
      <c r="Q127" s="342">
        <v>3</v>
      </c>
      <c r="R127" s="342" t="s">
        <v>2076</v>
      </c>
      <c r="S127" s="342" t="s">
        <v>2203</v>
      </c>
      <c r="T127" s="342" t="s">
        <v>2099</v>
      </c>
    </row>
    <row r="128" spans="1:21" ht="409.5">
      <c r="A128" s="342">
        <v>181114</v>
      </c>
      <c r="B128" s="342" t="s">
        <v>1152</v>
      </c>
      <c r="C128" s="342" t="s">
        <v>159</v>
      </c>
      <c r="D128" s="342" t="s">
        <v>51</v>
      </c>
      <c r="E128" s="342" t="s">
        <v>591</v>
      </c>
      <c r="F128" s="342" t="s">
        <v>40</v>
      </c>
      <c r="G128" s="342" t="s">
        <v>5283</v>
      </c>
      <c r="H128" s="342" t="s">
        <v>2141</v>
      </c>
      <c r="I128" s="342" t="s">
        <v>2072</v>
      </c>
      <c r="M128" s="342" t="s">
        <v>5283</v>
      </c>
      <c r="N128" s="342" t="s">
        <v>2073</v>
      </c>
      <c r="O128" s="342" t="s">
        <v>2074</v>
      </c>
      <c r="Q128" s="342">
        <v>2</v>
      </c>
      <c r="R128" s="342" t="s">
        <v>2076</v>
      </c>
      <c r="S128" s="344" t="s">
        <v>2496</v>
      </c>
      <c r="T128" s="342" t="s">
        <v>2099</v>
      </c>
      <c r="U128" s="344" t="s">
        <v>2142</v>
      </c>
    </row>
    <row r="129" spans="1:21" ht="168">
      <c r="A129" s="342">
        <v>181579</v>
      </c>
      <c r="B129" s="342" t="s">
        <v>866</v>
      </c>
      <c r="C129" s="342" t="s">
        <v>270</v>
      </c>
      <c r="D129" s="342" t="s">
        <v>47</v>
      </c>
      <c r="E129" s="342" t="s">
        <v>591</v>
      </c>
      <c r="F129" s="342" t="s">
        <v>40</v>
      </c>
      <c r="G129" s="342" t="s">
        <v>5280</v>
      </c>
      <c r="H129" s="342" t="s">
        <v>743</v>
      </c>
      <c r="I129" s="342" t="s">
        <v>2072</v>
      </c>
      <c r="M129" s="342" t="s">
        <v>5280</v>
      </c>
      <c r="N129" s="342" t="s">
        <v>2073</v>
      </c>
      <c r="O129" s="342" t="s">
        <v>2074</v>
      </c>
      <c r="P129" s="342" t="s">
        <v>2075</v>
      </c>
      <c r="Q129" s="342">
        <v>2</v>
      </c>
      <c r="R129" s="342" t="s">
        <v>2076</v>
      </c>
      <c r="S129" s="344" t="s">
        <v>2096</v>
      </c>
      <c r="T129" s="342" t="s">
        <v>2077</v>
      </c>
    </row>
    <row r="130" spans="1:21" ht="168">
      <c r="A130" s="342">
        <v>181583</v>
      </c>
      <c r="B130" s="342" t="s">
        <v>743</v>
      </c>
      <c r="C130" s="342" t="s">
        <v>272</v>
      </c>
      <c r="D130" s="342" t="s">
        <v>47</v>
      </c>
      <c r="E130" s="342" t="s">
        <v>591</v>
      </c>
      <c r="F130" s="342" t="s">
        <v>40</v>
      </c>
      <c r="G130" s="342" t="s">
        <v>5280</v>
      </c>
      <c r="H130" s="342" t="s">
        <v>743</v>
      </c>
      <c r="I130" s="342" t="s">
        <v>2072</v>
      </c>
      <c r="M130" s="342" t="s">
        <v>5280</v>
      </c>
      <c r="N130" s="342" t="s">
        <v>2073</v>
      </c>
      <c r="O130" s="342" t="s">
        <v>2074</v>
      </c>
      <c r="P130" s="342" t="s">
        <v>2075</v>
      </c>
      <c r="Q130" s="342">
        <v>2</v>
      </c>
      <c r="R130" s="342" t="s">
        <v>2076</v>
      </c>
      <c r="S130" s="344" t="s">
        <v>2096</v>
      </c>
      <c r="T130" s="342" t="s">
        <v>2077</v>
      </c>
    </row>
    <row r="131" spans="1:21" ht="168">
      <c r="A131" s="342">
        <v>181608</v>
      </c>
      <c r="B131" s="342" t="s">
        <v>869</v>
      </c>
      <c r="C131" s="342" t="s">
        <v>275</v>
      </c>
      <c r="D131" s="342" t="s">
        <v>45</v>
      </c>
      <c r="E131" s="342" t="s">
        <v>591</v>
      </c>
      <c r="F131" s="342" t="s">
        <v>40</v>
      </c>
      <c r="G131" s="342" t="s">
        <v>5280</v>
      </c>
      <c r="H131" s="342" t="s">
        <v>743</v>
      </c>
      <c r="I131" s="342" t="s">
        <v>2072</v>
      </c>
      <c r="M131" s="342" t="s">
        <v>5280</v>
      </c>
      <c r="N131" s="342" t="s">
        <v>2073</v>
      </c>
      <c r="O131" s="342" t="s">
        <v>2074</v>
      </c>
      <c r="P131" s="342" t="s">
        <v>2075</v>
      </c>
      <c r="Q131" s="342">
        <v>2</v>
      </c>
      <c r="R131" s="342" t="s">
        <v>2076</v>
      </c>
      <c r="S131" s="344" t="s">
        <v>2096</v>
      </c>
      <c r="T131" s="342" t="s">
        <v>2077</v>
      </c>
    </row>
    <row r="132" spans="1:21" ht="392">
      <c r="A132" s="342">
        <v>182320</v>
      </c>
      <c r="B132" s="342" t="s">
        <v>537</v>
      </c>
      <c r="C132" s="342" t="s">
        <v>696</v>
      </c>
      <c r="D132" s="342" t="s">
        <v>98</v>
      </c>
      <c r="E132" s="342" t="s">
        <v>591</v>
      </c>
      <c r="F132" s="342" t="s">
        <v>40</v>
      </c>
      <c r="G132" s="342" t="s">
        <v>5282</v>
      </c>
      <c r="H132" s="342" t="s">
        <v>2171</v>
      </c>
      <c r="I132" s="342" t="s">
        <v>2072</v>
      </c>
      <c r="J132" s="344" t="s">
        <v>2262</v>
      </c>
      <c r="L132" s="342" t="s">
        <v>2037</v>
      </c>
      <c r="M132" s="342" t="s">
        <v>5282</v>
      </c>
      <c r="N132" s="342" t="s">
        <v>2073</v>
      </c>
      <c r="O132" s="342" t="s">
        <v>2093</v>
      </c>
      <c r="Q132" s="342">
        <v>2</v>
      </c>
      <c r="R132" s="342" t="s">
        <v>2076</v>
      </c>
      <c r="S132" s="344" t="s">
        <v>2172</v>
      </c>
      <c r="T132" s="342" t="s">
        <v>2077</v>
      </c>
    </row>
    <row r="133" spans="1:21" ht="238">
      <c r="A133" s="342">
        <v>183135</v>
      </c>
      <c r="B133" s="342" t="s">
        <v>277</v>
      </c>
      <c r="C133" s="342" t="s">
        <v>222</v>
      </c>
      <c r="D133" s="342" t="s">
        <v>51</v>
      </c>
      <c r="E133" s="342" t="s">
        <v>591</v>
      </c>
      <c r="F133" s="342" t="s">
        <v>40</v>
      </c>
      <c r="G133" s="342" t="s">
        <v>5279</v>
      </c>
      <c r="H133" s="342" t="s">
        <v>2263</v>
      </c>
      <c r="I133" s="342" t="s">
        <v>2072</v>
      </c>
      <c r="M133" s="342" t="s">
        <v>5279</v>
      </c>
      <c r="N133" s="342" t="s">
        <v>2073</v>
      </c>
      <c r="O133" s="342" t="s">
        <v>2074</v>
      </c>
      <c r="P133" s="342" t="s">
        <v>2075</v>
      </c>
      <c r="Q133" s="342">
        <v>3</v>
      </c>
      <c r="R133" s="342" t="s">
        <v>2076</v>
      </c>
      <c r="S133" s="344" t="s">
        <v>2264</v>
      </c>
      <c r="T133" s="342" t="s">
        <v>2077</v>
      </c>
    </row>
    <row r="134" spans="1:21" ht="238">
      <c r="A134" s="342">
        <v>183137</v>
      </c>
      <c r="B134" s="342" t="s">
        <v>280</v>
      </c>
      <c r="C134" s="342" t="s">
        <v>283</v>
      </c>
      <c r="D134" s="342" t="s">
        <v>45</v>
      </c>
      <c r="E134" s="342" t="s">
        <v>591</v>
      </c>
      <c r="F134" s="342" t="s">
        <v>40</v>
      </c>
      <c r="G134" s="342" t="s">
        <v>5279</v>
      </c>
      <c r="H134" s="342" t="s">
        <v>2263</v>
      </c>
      <c r="I134" s="342" t="s">
        <v>2072</v>
      </c>
      <c r="M134" s="342" t="s">
        <v>5279</v>
      </c>
      <c r="N134" s="342" t="s">
        <v>2073</v>
      </c>
      <c r="O134" s="342" t="s">
        <v>2074</v>
      </c>
      <c r="P134" s="342" t="s">
        <v>2075</v>
      </c>
      <c r="Q134" s="342">
        <v>3</v>
      </c>
      <c r="R134" s="342" t="s">
        <v>2076</v>
      </c>
      <c r="S134" s="344" t="s">
        <v>2264</v>
      </c>
      <c r="T134" s="342" t="s">
        <v>2077</v>
      </c>
    </row>
    <row r="135" spans="1:21" ht="238">
      <c r="A135" s="342">
        <v>183144</v>
      </c>
      <c r="B135" s="342" t="s">
        <v>285</v>
      </c>
      <c r="C135" s="342" t="s">
        <v>286</v>
      </c>
      <c r="D135" s="342" t="s">
        <v>51</v>
      </c>
      <c r="E135" s="342" t="s">
        <v>591</v>
      </c>
      <c r="F135" s="342" t="s">
        <v>40</v>
      </c>
      <c r="G135" s="342" t="s">
        <v>5279</v>
      </c>
      <c r="H135" s="342" t="s">
        <v>2263</v>
      </c>
      <c r="I135" s="342" t="s">
        <v>2072</v>
      </c>
      <c r="M135" s="342" t="s">
        <v>5279</v>
      </c>
      <c r="N135" s="342" t="s">
        <v>2073</v>
      </c>
      <c r="O135" s="342" t="s">
        <v>2074</v>
      </c>
      <c r="P135" s="342" t="s">
        <v>2075</v>
      </c>
      <c r="Q135" s="342">
        <v>3</v>
      </c>
      <c r="R135" s="342" t="s">
        <v>2076</v>
      </c>
      <c r="S135" s="344" t="s">
        <v>2264</v>
      </c>
      <c r="T135" s="342" t="s">
        <v>2077</v>
      </c>
    </row>
    <row r="136" spans="1:21">
      <c r="A136" s="342">
        <v>183727</v>
      </c>
      <c r="B136" s="342" t="s">
        <v>1351</v>
      </c>
      <c r="C136" s="342" t="s">
        <v>1354</v>
      </c>
      <c r="D136" s="342" t="s">
        <v>45</v>
      </c>
      <c r="E136" s="342" t="s">
        <v>591</v>
      </c>
      <c r="F136" s="342" t="s">
        <v>40</v>
      </c>
      <c r="G136" s="342" t="s">
        <v>1288</v>
      </c>
      <c r="H136" s="342" t="s">
        <v>2265</v>
      </c>
      <c r="I136" s="342" t="s">
        <v>2090</v>
      </c>
      <c r="M136" s="342" t="s">
        <v>1288</v>
      </c>
      <c r="N136" s="342" t="s">
        <v>2090</v>
      </c>
      <c r="O136" s="342" t="s">
        <v>2214</v>
      </c>
      <c r="P136" s="342" t="s">
        <v>2122</v>
      </c>
      <c r="Q136" s="342">
        <v>3</v>
      </c>
      <c r="R136" s="342" t="s">
        <v>2133</v>
      </c>
      <c r="S136" s="342" t="s">
        <v>2266</v>
      </c>
      <c r="T136" s="342" t="s">
        <v>2099</v>
      </c>
      <c r="U136" s="342" t="s">
        <v>2267</v>
      </c>
    </row>
    <row r="137" spans="1:21" ht="210">
      <c r="A137" s="342">
        <v>184292</v>
      </c>
      <c r="B137" s="342" t="s">
        <v>1415</v>
      </c>
      <c r="C137" s="342" t="s">
        <v>93</v>
      </c>
      <c r="D137" s="342" t="s">
        <v>47</v>
      </c>
      <c r="E137" s="342" t="s">
        <v>591</v>
      </c>
      <c r="F137" s="342" t="s">
        <v>43</v>
      </c>
      <c r="G137" s="342" t="s">
        <v>786</v>
      </c>
      <c r="H137" s="342" t="s">
        <v>2268</v>
      </c>
      <c r="I137" s="342" t="s">
        <v>2090</v>
      </c>
      <c r="M137" s="342" t="s">
        <v>786</v>
      </c>
      <c r="N137" s="342" t="s">
        <v>2269</v>
      </c>
      <c r="Q137" s="342">
        <v>3</v>
      </c>
      <c r="R137" s="342" t="s">
        <v>2270</v>
      </c>
      <c r="S137" s="344" t="s">
        <v>2271</v>
      </c>
      <c r="T137" s="342" t="s">
        <v>2272</v>
      </c>
    </row>
    <row r="138" spans="1:21" ht="154">
      <c r="A138" s="342">
        <v>185056</v>
      </c>
      <c r="B138" s="342" t="s">
        <v>754</v>
      </c>
      <c r="C138" s="342" t="s">
        <v>290</v>
      </c>
      <c r="D138" s="342" t="s">
        <v>55</v>
      </c>
      <c r="E138" s="342" t="s">
        <v>591</v>
      </c>
      <c r="F138" s="342" t="s">
        <v>40</v>
      </c>
      <c r="G138" s="342" t="s">
        <v>5282</v>
      </c>
      <c r="H138" s="342" t="s">
        <v>2220</v>
      </c>
      <c r="I138" s="342" t="s">
        <v>2072</v>
      </c>
      <c r="M138" s="342" t="s">
        <v>5282</v>
      </c>
      <c r="N138" s="342" t="s">
        <v>2073</v>
      </c>
      <c r="O138" s="342" t="s">
        <v>2074</v>
      </c>
      <c r="Q138" s="342">
        <v>2</v>
      </c>
      <c r="R138" s="342" t="s">
        <v>2076</v>
      </c>
      <c r="S138" s="344" t="s">
        <v>2221</v>
      </c>
      <c r="T138" s="342" t="s">
        <v>2077</v>
      </c>
    </row>
    <row r="139" spans="1:21">
      <c r="A139" s="342">
        <v>185063</v>
      </c>
      <c r="B139" s="342" t="s">
        <v>661</v>
      </c>
      <c r="C139" s="342" t="s">
        <v>119</v>
      </c>
      <c r="D139" s="342" t="s">
        <v>51</v>
      </c>
      <c r="E139" s="342" t="s">
        <v>591</v>
      </c>
      <c r="F139" s="342" t="s">
        <v>40</v>
      </c>
      <c r="G139" s="342" t="s">
        <v>1510</v>
      </c>
      <c r="H139" s="342" t="s">
        <v>661</v>
      </c>
      <c r="I139" s="342" t="s">
        <v>2090</v>
      </c>
      <c r="M139" s="342" t="s">
        <v>1510</v>
      </c>
      <c r="N139" s="342" t="s">
        <v>2090</v>
      </c>
      <c r="O139" s="342" t="s">
        <v>2137</v>
      </c>
      <c r="Q139" s="342">
        <v>3</v>
      </c>
      <c r="R139" s="342" t="s">
        <v>2087</v>
      </c>
      <c r="S139" s="342" t="s">
        <v>2273</v>
      </c>
    </row>
    <row r="140" spans="1:21" ht="56">
      <c r="A140" s="342">
        <v>185279</v>
      </c>
      <c r="B140" s="342" t="s">
        <v>4998</v>
      </c>
      <c r="C140" s="342" t="s">
        <v>5000</v>
      </c>
      <c r="D140" s="342" t="s">
        <v>51</v>
      </c>
      <c r="E140" s="342" t="s">
        <v>591</v>
      </c>
      <c r="F140" s="342" t="s">
        <v>40</v>
      </c>
      <c r="G140" s="342" t="s">
        <v>4608</v>
      </c>
      <c r="H140" s="342" t="s">
        <v>2260</v>
      </c>
      <c r="I140" s="342" t="s">
        <v>2073</v>
      </c>
      <c r="J140" s="344" t="s">
        <v>5185</v>
      </c>
      <c r="L140" s="342" t="s">
        <v>5180</v>
      </c>
      <c r="M140" s="342" t="s">
        <v>4608</v>
      </c>
      <c r="N140" s="342" t="s">
        <v>2073</v>
      </c>
      <c r="Q140" s="342">
        <v>4</v>
      </c>
      <c r="R140" s="342" t="s">
        <v>2085</v>
      </c>
      <c r="S140" s="342" t="s">
        <v>2261</v>
      </c>
    </row>
    <row r="141" spans="1:21" ht="409.5">
      <c r="A141" s="342">
        <v>186779</v>
      </c>
      <c r="B141" s="342" t="s">
        <v>678</v>
      </c>
      <c r="C141" s="342" t="s">
        <v>110</v>
      </c>
      <c r="D141" s="342" t="s">
        <v>51</v>
      </c>
      <c r="E141" s="342" t="s">
        <v>591</v>
      </c>
      <c r="F141" s="342" t="s">
        <v>40</v>
      </c>
      <c r="G141" s="342" t="s">
        <v>5283</v>
      </c>
      <c r="H141" s="342" t="s">
        <v>2141</v>
      </c>
      <c r="I141" s="342" t="s">
        <v>2072</v>
      </c>
      <c r="M141" s="342" t="s">
        <v>5283</v>
      </c>
      <c r="N141" s="342" t="s">
        <v>2073</v>
      </c>
      <c r="O141" s="342" t="s">
        <v>2074</v>
      </c>
      <c r="Q141" s="342">
        <v>2</v>
      </c>
      <c r="R141" s="342" t="s">
        <v>2076</v>
      </c>
      <c r="S141" s="344" t="s">
        <v>2496</v>
      </c>
      <c r="T141" s="342" t="s">
        <v>2099</v>
      </c>
      <c r="U141" s="344" t="s">
        <v>2142</v>
      </c>
    </row>
    <row r="142" spans="1:21" ht="196">
      <c r="A142" s="342">
        <v>187125</v>
      </c>
      <c r="B142" s="342" t="s">
        <v>747</v>
      </c>
      <c r="C142" s="342" t="s">
        <v>295</v>
      </c>
      <c r="D142" s="342" t="s">
        <v>51</v>
      </c>
      <c r="E142" s="342" t="s">
        <v>591</v>
      </c>
      <c r="F142" s="342" t="s">
        <v>40</v>
      </c>
      <c r="G142" s="342" t="s">
        <v>1336</v>
      </c>
      <c r="H142" s="342" t="s">
        <v>2071</v>
      </c>
      <c r="I142" s="342" t="s">
        <v>2072</v>
      </c>
      <c r="M142" s="342" t="s">
        <v>1336</v>
      </c>
      <c r="N142" s="342" t="s">
        <v>2079</v>
      </c>
      <c r="O142" s="342" t="s">
        <v>2074</v>
      </c>
      <c r="P142" s="342" t="s">
        <v>2075</v>
      </c>
      <c r="Q142" s="342">
        <v>2</v>
      </c>
      <c r="R142" s="342" t="s">
        <v>2076</v>
      </c>
      <c r="S142" s="344" t="s">
        <v>2495</v>
      </c>
      <c r="T142" s="342" t="s">
        <v>2077</v>
      </c>
    </row>
    <row r="143" spans="1:21" ht="196">
      <c r="A143" s="342">
        <v>187130</v>
      </c>
      <c r="B143" s="342" t="s">
        <v>296</v>
      </c>
      <c r="C143" s="342" t="s">
        <v>299</v>
      </c>
      <c r="D143" s="342" t="s">
        <v>51</v>
      </c>
      <c r="E143" s="342" t="s">
        <v>591</v>
      </c>
      <c r="F143" s="342" t="s">
        <v>40</v>
      </c>
      <c r="G143" s="342" t="s">
        <v>5278</v>
      </c>
      <c r="H143" s="342" t="s">
        <v>2071</v>
      </c>
      <c r="I143" s="342" t="s">
        <v>2072</v>
      </c>
      <c r="M143" s="342" t="s">
        <v>1336</v>
      </c>
      <c r="N143" s="342" t="s">
        <v>2079</v>
      </c>
      <c r="O143" s="342" t="s">
        <v>2074</v>
      </c>
      <c r="P143" s="342" t="s">
        <v>2075</v>
      </c>
      <c r="Q143" s="342">
        <v>2</v>
      </c>
      <c r="R143" s="342" t="s">
        <v>2076</v>
      </c>
      <c r="S143" s="344" t="s">
        <v>2495</v>
      </c>
      <c r="T143" s="342" t="s">
        <v>2077</v>
      </c>
    </row>
    <row r="144" spans="1:21" ht="196">
      <c r="A144" s="342">
        <v>187150</v>
      </c>
      <c r="B144" s="342" t="s">
        <v>300</v>
      </c>
      <c r="C144" s="342" t="s">
        <v>302</v>
      </c>
      <c r="D144" s="342" t="s">
        <v>51</v>
      </c>
      <c r="E144" s="342" t="s">
        <v>591</v>
      </c>
      <c r="F144" s="342" t="s">
        <v>40</v>
      </c>
      <c r="G144" s="342" t="s">
        <v>5278</v>
      </c>
      <c r="H144" s="342" t="s">
        <v>2071</v>
      </c>
      <c r="I144" s="342" t="s">
        <v>2072</v>
      </c>
      <c r="M144" s="342" t="s">
        <v>1336</v>
      </c>
      <c r="N144" s="342" t="s">
        <v>2079</v>
      </c>
      <c r="O144" s="342" t="s">
        <v>2074</v>
      </c>
      <c r="P144" s="342" t="s">
        <v>2075</v>
      </c>
      <c r="Q144" s="342">
        <v>2</v>
      </c>
      <c r="R144" s="342" t="s">
        <v>2076</v>
      </c>
      <c r="S144" s="344" t="s">
        <v>2495</v>
      </c>
      <c r="T144" s="342" t="s">
        <v>2077</v>
      </c>
    </row>
    <row r="145" spans="1:21" ht="409.5">
      <c r="A145" s="342">
        <v>187343</v>
      </c>
      <c r="B145" s="342" t="s">
        <v>303</v>
      </c>
      <c r="C145" s="342" t="s">
        <v>305</v>
      </c>
      <c r="D145" s="342" t="s">
        <v>47</v>
      </c>
      <c r="E145" s="342" t="s">
        <v>591</v>
      </c>
      <c r="F145" s="342" t="s">
        <v>40</v>
      </c>
      <c r="G145" s="342" t="s">
        <v>1277</v>
      </c>
      <c r="H145" s="342" t="s">
        <v>303</v>
      </c>
      <c r="I145" s="342" t="s">
        <v>2072</v>
      </c>
      <c r="J145" s="344" t="s">
        <v>2274</v>
      </c>
      <c r="L145" s="342" t="s">
        <v>2038</v>
      </c>
      <c r="M145" s="342" t="s">
        <v>1277</v>
      </c>
      <c r="N145" s="342" t="s">
        <v>2073</v>
      </c>
      <c r="O145" s="342" t="s">
        <v>2113</v>
      </c>
      <c r="Q145" s="342">
        <v>4</v>
      </c>
      <c r="R145" s="342" t="s">
        <v>2085</v>
      </c>
      <c r="S145" s="344" t="s">
        <v>2275</v>
      </c>
      <c r="T145" s="342" t="s">
        <v>2087</v>
      </c>
    </row>
    <row r="146" spans="1:21">
      <c r="A146" s="342">
        <v>187722</v>
      </c>
      <c r="B146" s="342" t="s">
        <v>1199</v>
      </c>
      <c r="C146" s="342" t="s">
        <v>1201</v>
      </c>
      <c r="D146" s="342" t="s">
        <v>47</v>
      </c>
      <c r="E146" s="342" t="s">
        <v>591</v>
      </c>
      <c r="F146" s="342" t="s">
        <v>40</v>
      </c>
      <c r="G146" s="342" t="s">
        <v>5279</v>
      </c>
      <c r="H146" s="342" t="s">
        <v>2100</v>
      </c>
      <c r="I146" s="342" t="s">
        <v>2072</v>
      </c>
      <c r="M146" s="342" t="s">
        <v>5279</v>
      </c>
      <c r="N146" s="342" t="s">
        <v>2073</v>
      </c>
      <c r="O146" s="342" t="s">
        <v>2074</v>
      </c>
      <c r="P146" s="342" t="s">
        <v>2075</v>
      </c>
      <c r="Q146" s="342">
        <v>2</v>
      </c>
      <c r="R146" s="342" t="s">
        <v>2076</v>
      </c>
      <c r="S146" s="342" t="s">
        <v>2101</v>
      </c>
      <c r="T146" s="342" t="s">
        <v>2099</v>
      </c>
    </row>
    <row r="147" spans="1:21">
      <c r="A147" s="342">
        <v>187949</v>
      </c>
      <c r="B147" s="342" t="s">
        <v>306</v>
      </c>
      <c r="C147" s="342" t="s">
        <v>308</v>
      </c>
      <c r="D147" s="342" t="s">
        <v>55</v>
      </c>
      <c r="E147" s="342" t="s">
        <v>591</v>
      </c>
      <c r="F147" s="342" t="s">
        <v>40</v>
      </c>
      <c r="G147" s="342" t="s">
        <v>1510</v>
      </c>
      <c r="H147" s="342" t="s">
        <v>306</v>
      </c>
      <c r="I147" s="342" t="s">
        <v>2072</v>
      </c>
      <c r="M147" s="342" t="s">
        <v>1510</v>
      </c>
      <c r="N147" s="342" t="s">
        <v>2143</v>
      </c>
      <c r="O147" s="342" t="s">
        <v>2137</v>
      </c>
      <c r="Q147" s="342">
        <v>3</v>
      </c>
      <c r="R147" s="342" t="s">
        <v>2144</v>
      </c>
      <c r="S147" s="342" t="s">
        <v>2276</v>
      </c>
      <c r="T147" s="342" t="s">
        <v>2186</v>
      </c>
      <c r="U147" s="342" t="s">
        <v>2277</v>
      </c>
    </row>
    <row r="148" spans="1:21">
      <c r="A148" s="342">
        <v>188701</v>
      </c>
      <c r="B148" s="342" t="s">
        <v>4932</v>
      </c>
      <c r="C148" s="342" t="s">
        <v>4934</v>
      </c>
      <c r="D148" s="342" t="s">
        <v>47</v>
      </c>
      <c r="E148" s="342" t="s">
        <v>591</v>
      </c>
      <c r="F148" s="342" t="s">
        <v>40</v>
      </c>
      <c r="G148" s="342" t="s">
        <v>1277</v>
      </c>
      <c r="H148" s="342" t="s">
        <v>4960</v>
      </c>
      <c r="I148" s="342" t="s">
        <v>4805</v>
      </c>
      <c r="M148" s="342" t="s">
        <v>1277</v>
      </c>
      <c r="N148" s="342" t="s">
        <v>4805</v>
      </c>
      <c r="Q148" s="342">
        <v>2</v>
      </c>
    </row>
    <row r="149" spans="1:21">
      <c r="A149" s="342">
        <v>189074</v>
      </c>
      <c r="B149" s="342" t="s">
        <v>309</v>
      </c>
      <c r="C149" s="342" t="s">
        <v>154</v>
      </c>
      <c r="D149" s="342" t="s">
        <v>51</v>
      </c>
      <c r="E149" s="342" t="s">
        <v>591</v>
      </c>
      <c r="F149" s="342" t="s">
        <v>40</v>
      </c>
      <c r="G149" s="342" t="s">
        <v>1336</v>
      </c>
      <c r="H149" s="342" t="s">
        <v>309</v>
      </c>
      <c r="I149" s="342" t="s">
        <v>2072</v>
      </c>
      <c r="M149" s="342" t="s">
        <v>1336</v>
      </c>
      <c r="N149" s="342" t="s">
        <v>2073</v>
      </c>
      <c r="O149" s="342" t="s">
        <v>2113</v>
      </c>
      <c r="Q149" s="342">
        <v>4</v>
      </c>
      <c r="R149" s="342" t="s">
        <v>2085</v>
      </c>
      <c r="S149" s="342" t="s">
        <v>2278</v>
      </c>
    </row>
    <row r="150" spans="1:21">
      <c r="A150" s="342">
        <v>189129</v>
      </c>
      <c r="B150" s="342" t="s">
        <v>1292</v>
      </c>
      <c r="C150" s="342" t="s">
        <v>1295</v>
      </c>
      <c r="D150" s="342" t="s">
        <v>107</v>
      </c>
      <c r="E150" s="342" t="s">
        <v>591</v>
      </c>
      <c r="F150" s="342" t="s">
        <v>737</v>
      </c>
      <c r="G150" s="342" t="s">
        <v>5281</v>
      </c>
    </row>
    <row r="151" spans="1:21" ht="280">
      <c r="A151" s="342">
        <v>190670</v>
      </c>
      <c r="B151" s="342" t="s">
        <v>312</v>
      </c>
      <c r="C151" s="342" t="s">
        <v>313</v>
      </c>
      <c r="D151" s="342" t="s">
        <v>47</v>
      </c>
      <c r="E151" s="342" t="s">
        <v>591</v>
      </c>
      <c r="F151" s="342" t="s">
        <v>40</v>
      </c>
      <c r="G151" s="342" t="s">
        <v>5282</v>
      </c>
      <c r="H151" s="342" t="s">
        <v>2171</v>
      </c>
      <c r="I151" s="342" t="s">
        <v>2072</v>
      </c>
      <c r="M151" s="342" t="s">
        <v>5282</v>
      </c>
      <c r="N151" s="342" t="s">
        <v>2073</v>
      </c>
      <c r="O151" s="342" t="s">
        <v>2093</v>
      </c>
      <c r="Q151" s="342">
        <v>2</v>
      </c>
      <c r="R151" s="342" t="s">
        <v>2076</v>
      </c>
      <c r="S151" s="344" t="s">
        <v>2172</v>
      </c>
      <c r="T151" s="342" t="s">
        <v>2077</v>
      </c>
    </row>
    <row r="152" spans="1:21">
      <c r="A152" s="342">
        <v>190829</v>
      </c>
      <c r="B152" s="342" t="s">
        <v>607</v>
      </c>
      <c r="C152" s="342" t="s">
        <v>608</v>
      </c>
      <c r="D152" s="342" t="s">
        <v>47</v>
      </c>
      <c r="E152" s="342" t="s">
        <v>591</v>
      </c>
      <c r="F152" s="342" t="s">
        <v>40</v>
      </c>
      <c r="G152" s="342" t="s">
        <v>1277</v>
      </c>
      <c r="H152" s="342" t="s">
        <v>607</v>
      </c>
      <c r="I152" s="342" t="s">
        <v>2072</v>
      </c>
      <c r="M152" s="342" t="s">
        <v>1277</v>
      </c>
      <c r="N152" s="342" t="s">
        <v>2073</v>
      </c>
      <c r="O152" s="342" t="s">
        <v>2093</v>
      </c>
      <c r="Q152" s="342">
        <v>4</v>
      </c>
      <c r="R152" s="342" t="s">
        <v>2085</v>
      </c>
      <c r="S152" s="342" t="s">
        <v>2279</v>
      </c>
      <c r="T152" s="342" t="s">
        <v>2099</v>
      </c>
    </row>
    <row r="153" spans="1:21" ht="409.5">
      <c r="A153" s="342">
        <v>192526</v>
      </c>
      <c r="B153" s="342" t="s">
        <v>316</v>
      </c>
      <c r="C153" s="342" t="s">
        <v>151</v>
      </c>
      <c r="D153" s="342" t="s">
        <v>47</v>
      </c>
      <c r="E153" s="342" t="s">
        <v>591</v>
      </c>
      <c r="F153" s="342" t="s">
        <v>40</v>
      </c>
      <c r="G153" s="342" t="s">
        <v>5282</v>
      </c>
      <c r="H153" s="342" t="s">
        <v>2280</v>
      </c>
      <c r="I153" s="342" t="s">
        <v>2072</v>
      </c>
      <c r="M153" s="342" t="s">
        <v>4441</v>
      </c>
      <c r="N153" s="342" t="s">
        <v>2073</v>
      </c>
      <c r="O153" s="342" t="s">
        <v>2074</v>
      </c>
      <c r="P153" s="342" t="s">
        <v>2075</v>
      </c>
      <c r="Q153" s="342">
        <v>2</v>
      </c>
      <c r="R153" s="342" t="s">
        <v>2076</v>
      </c>
      <c r="S153" s="344" t="s">
        <v>2498</v>
      </c>
      <c r="T153" s="342" t="s">
        <v>2077</v>
      </c>
      <c r="U153" s="342" t="s">
        <v>2281</v>
      </c>
    </row>
    <row r="154" spans="1:21" ht="409.5">
      <c r="A154" s="342">
        <v>192537</v>
      </c>
      <c r="B154" s="342" t="s">
        <v>318</v>
      </c>
      <c r="C154" s="342" t="s">
        <v>235</v>
      </c>
      <c r="D154" s="342" t="s">
        <v>51</v>
      </c>
      <c r="E154" s="342" t="s">
        <v>591</v>
      </c>
      <c r="F154" s="342" t="s">
        <v>40</v>
      </c>
      <c r="G154" s="342" t="s">
        <v>5282</v>
      </c>
      <c r="H154" s="342" t="s">
        <v>2280</v>
      </c>
      <c r="I154" s="342" t="s">
        <v>2072</v>
      </c>
      <c r="M154" s="342" t="s">
        <v>4441</v>
      </c>
      <c r="N154" s="342" t="s">
        <v>2073</v>
      </c>
      <c r="O154" s="342" t="s">
        <v>2074</v>
      </c>
      <c r="P154" s="342" t="s">
        <v>2075</v>
      </c>
      <c r="Q154" s="342">
        <v>2</v>
      </c>
      <c r="R154" s="342" t="s">
        <v>2076</v>
      </c>
      <c r="S154" s="344" t="s">
        <v>2498</v>
      </c>
      <c r="T154" s="342" t="s">
        <v>2077</v>
      </c>
      <c r="U154" s="342" t="s">
        <v>2281</v>
      </c>
    </row>
    <row r="155" spans="1:21" ht="196">
      <c r="A155" s="342">
        <v>192768</v>
      </c>
      <c r="B155" s="342" t="s">
        <v>4967</v>
      </c>
      <c r="C155" s="342" t="s">
        <v>321</v>
      </c>
      <c r="D155" s="342" t="s">
        <v>51</v>
      </c>
      <c r="E155" s="342" t="s">
        <v>591</v>
      </c>
      <c r="F155" s="342" t="s">
        <v>40</v>
      </c>
      <c r="G155" s="342" t="s">
        <v>5282</v>
      </c>
      <c r="H155" s="342" t="s">
        <v>2282</v>
      </c>
      <c r="I155" s="342" t="s">
        <v>2072</v>
      </c>
      <c r="M155" s="342" t="s">
        <v>4441</v>
      </c>
      <c r="N155" s="342" t="s">
        <v>2283</v>
      </c>
      <c r="Q155" s="342">
        <v>3</v>
      </c>
      <c r="R155" s="342" t="s">
        <v>2076</v>
      </c>
      <c r="S155" s="344" t="s">
        <v>2284</v>
      </c>
      <c r="T155" s="342" t="s">
        <v>2077</v>
      </c>
    </row>
    <row r="156" spans="1:21">
      <c r="A156" s="342">
        <v>192949</v>
      </c>
      <c r="B156" s="342" t="s">
        <v>1363</v>
      </c>
      <c r="C156" s="342" t="s">
        <v>324</v>
      </c>
      <c r="D156" s="342" t="s">
        <v>51</v>
      </c>
      <c r="E156" s="342" t="s">
        <v>591</v>
      </c>
      <c r="F156" s="342" t="s">
        <v>40</v>
      </c>
      <c r="G156" s="342" t="s">
        <v>5282</v>
      </c>
      <c r="H156" s="342" t="s">
        <v>2241</v>
      </c>
      <c r="I156" s="342" t="s">
        <v>2072</v>
      </c>
      <c r="M156" s="342" t="s">
        <v>4441</v>
      </c>
      <c r="N156" s="342" t="s">
        <v>2073</v>
      </c>
      <c r="O156" s="342" t="s">
        <v>2074</v>
      </c>
      <c r="P156" s="342" t="s">
        <v>2075</v>
      </c>
      <c r="Q156" s="342">
        <v>3</v>
      </c>
      <c r="R156" s="342" t="s">
        <v>2076</v>
      </c>
      <c r="S156" s="342" t="s">
        <v>2219</v>
      </c>
      <c r="T156" s="342" t="s">
        <v>2077</v>
      </c>
    </row>
    <row r="157" spans="1:21">
      <c r="A157" s="342">
        <v>193845</v>
      </c>
      <c r="B157" s="342" t="s">
        <v>325</v>
      </c>
      <c r="C157" s="342" t="s">
        <v>610</v>
      </c>
      <c r="D157" s="342" t="s">
        <v>47</v>
      </c>
      <c r="E157" s="342" t="s">
        <v>591</v>
      </c>
      <c r="F157" s="342" t="s">
        <v>40</v>
      </c>
      <c r="G157" s="342" t="s">
        <v>5278</v>
      </c>
      <c r="H157" s="342" t="s">
        <v>325</v>
      </c>
      <c r="I157" s="342" t="s">
        <v>2072</v>
      </c>
      <c r="M157" s="342" t="s">
        <v>5278</v>
      </c>
      <c r="N157" s="342" t="s">
        <v>2073</v>
      </c>
      <c r="O157" s="342" t="s">
        <v>2113</v>
      </c>
      <c r="Q157" s="342">
        <v>4</v>
      </c>
      <c r="R157" s="342" t="s">
        <v>2085</v>
      </c>
      <c r="S157" s="342" t="s">
        <v>2285</v>
      </c>
      <c r="T157" s="342" t="s">
        <v>2087</v>
      </c>
    </row>
    <row r="158" spans="1:21" ht="409.5">
      <c r="A158" s="342">
        <v>193891</v>
      </c>
      <c r="B158" s="342" t="s">
        <v>748</v>
      </c>
      <c r="C158" s="342" t="s">
        <v>327</v>
      </c>
      <c r="D158" s="342" t="s">
        <v>47</v>
      </c>
      <c r="E158" s="342" t="s">
        <v>591</v>
      </c>
      <c r="F158" s="342" t="s">
        <v>40</v>
      </c>
      <c r="G158" s="342" t="s">
        <v>5280</v>
      </c>
      <c r="H158" s="342" t="s">
        <v>1265</v>
      </c>
      <c r="I158" s="342" t="s">
        <v>2072</v>
      </c>
      <c r="M158" s="342" t="s">
        <v>5280</v>
      </c>
      <c r="N158" s="342" t="s">
        <v>2073</v>
      </c>
      <c r="O158" s="342" t="s">
        <v>2074</v>
      </c>
      <c r="Q158" s="342">
        <v>3</v>
      </c>
      <c r="R158" s="342" t="s">
        <v>2076</v>
      </c>
      <c r="S158" s="344" t="s">
        <v>4875</v>
      </c>
      <c r="T158" s="342" t="s">
        <v>2077</v>
      </c>
    </row>
    <row r="159" spans="1:21" ht="336">
      <c r="A159" s="342">
        <v>193948</v>
      </c>
      <c r="B159" s="342" t="s">
        <v>328</v>
      </c>
      <c r="C159" s="342" t="s">
        <v>330</v>
      </c>
      <c r="D159" s="342" t="s">
        <v>47</v>
      </c>
      <c r="E159" s="342" t="s">
        <v>591</v>
      </c>
      <c r="F159" s="342" t="s">
        <v>40</v>
      </c>
      <c r="G159" s="342" t="s">
        <v>5283</v>
      </c>
      <c r="H159" s="342" t="s">
        <v>328</v>
      </c>
      <c r="I159" s="342" t="s">
        <v>2072</v>
      </c>
      <c r="M159" s="342" t="s">
        <v>5283</v>
      </c>
      <c r="N159" s="342" t="s">
        <v>2073</v>
      </c>
      <c r="O159" s="342" t="s">
        <v>2113</v>
      </c>
      <c r="Q159" s="342">
        <v>3</v>
      </c>
      <c r="R159" s="342" t="s">
        <v>2085</v>
      </c>
      <c r="S159" s="344" t="s">
        <v>2286</v>
      </c>
      <c r="T159" s="342" t="s">
        <v>2087</v>
      </c>
      <c r="U159" s="342" t="s">
        <v>2168</v>
      </c>
    </row>
    <row r="160" spans="1:21" ht="154">
      <c r="A160" s="342">
        <v>196524</v>
      </c>
      <c r="B160" s="342" t="s">
        <v>686</v>
      </c>
      <c r="C160" s="342" t="s">
        <v>333</v>
      </c>
      <c r="D160" s="342" t="s">
        <v>47</v>
      </c>
      <c r="E160" s="342" t="s">
        <v>591</v>
      </c>
      <c r="F160" s="342" t="s">
        <v>40</v>
      </c>
      <c r="G160" s="342" t="s">
        <v>5281</v>
      </c>
      <c r="H160" s="342" t="s">
        <v>2132</v>
      </c>
      <c r="I160" s="342" t="s">
        <v>2072</v>
      </c>
      <c r="M160" s="342" t="s">
        <v>5517</v>
      </c>
      <c r="N160" s="342" t="s">
        <v>2073</v>
      </c>
      <c r="O160" s="342" t="s">
        <v>2074</v>
      </c>
      <c r="P160" s="342" t="s">
        <v>2075</v>
      </c>
      <c r="Q160" s="342">
        <v>2</v>
      </c>
      <c r="R160" s="342" t="s">
        <v>2133</v>
      </c>
      <c r="S160" s="344" t="s">
        <v>2134</v>
      </c>
      <c r="T160" s="342" t="s">
        <v>2099</v>
      </c>
      <c r="U160" s="342" t="s">
        <v>2135</v>
      </c>
    </row>
    <row r="161" spans="1:21" ht="280">
      <c r="A161" s="342">
        <v>196561</v>
      </c>
      <c r="B161" s="342" t="s">
        <v>4968</v>
      </c>
      <c r="C161" s="342" t="s">
        <v>4970</v>
      </c>
      <c r="D161" s="342" t="s">
        <v>98</v>
      </c>
      <c r="E161" s="342" t="s">
        <v>591</v>
      </c>
      <c r="F161" s="342" t="s">
        <v>40</v>
      </c>
      <c r="G161" s="342" t="s">
        <v>5282</v>
      </c>
      <c r="H161" s="342" t="s">
        <v>2171</v>
      </c>
      <c r="I161" s="342" t="s">
        <v>2073</v>
      </c>
      <c r="J161" s="342" t="s">
        <v>5015</v>
      </c>
      <c r="L161" s="342" t="s">
        <v>5015</v>
      </c>
      <c r="M161" s="342" t="s">
        <v>5282</v>
      </c>
      <c r="N161" s="342" t="s">
        <v>2073</v>
      </c>
      <c r="O161" s="342" t="s">
        <v>2093</v>
      </c>
      <c r="Q161" s="342">
        <v>2</v>
      </c>
      <c r="R161" s="342" t="s">
        <v>2076</v>
      </c>
      <c r="S161" s="344" t="s">
        <v>2172</v>
      </c>
      <c r="T161" s="342" t="s">
        <v>2077</v>
      </c>
    </row>
    <row r="162" spans="1:21" ht="409.5">
      <c r="A162" s="342">
        <v>197075</v>
      </c>
      <c r="B162" s="342" t="s">
        <v>1278</v>
      </c>
      <c r="C162" s="342" t="s">
        <v>418</v>
      </c>
      <c r="D162" s="342" t="s">
        <v>45</v>
      </c>
      <c r="E162" s="342" t="s">
        <v>591</v>
      </c>
      <c r="F162" s="342" t="s">
        <v>40</v>
      </c>
      <c r="G162" s="342" t="s">
        <v>5283</v>
      </c>
      <c r="H162" s="342" t="s">
        <v>2141</v>
      </c>
      <c r="I162" s="342" t="s">
        <v>2072</v>
      </c>
      <c r="M162" s="342" t="s">
        <v>5283</v>
      </c>
      <c r="N162" s="342" t="s">
        <v>2073</v>
      </c>
      <c r="O162" s="342" t="s">
        <v>2074</v>
      </c>
      <c r="Q162" s="342">
        <v>2</v>
      </c>
      <c r="R162" s="342" t="s">
        <v>2076</v>
      </c>
      <c r="S162" s="344" t="s">
        <v>2496</v>
      </c>
      <c r="T162" s="342" t="s">
        <v>2099</v>
      </c>
      <c r="U162" s="344" t="s">
        <v>2142</v>
      </c>
    </row>
    <row r="163" spans="1:21">
      <c r="A163" s="342">
        <v>197134</v>
      </c>
      <c r="B163" s="342" t="s">
        <v>652</v>
      </c>
      <c r="C163" s="342" t="s">
        <v>654</v>
      </c>
      <c r="D163" s="342" t="s">
        <v>47</v>
      </c>
      <c r="E163" s="342" t="s">
        <v>591</v>
      </c>
      <c r="F163" s="342" t="s">
        <v>40</v>
      </c>
      <c r="G163" s="342" t="s">
        <v>1277</v>
      </c>
      <c r="H163" s="342" t="s">
        <v>652</v>
      </c>
      <c r="I163" s="342" t="s">
        <v>2072</v>
      </c>
      <c r="M163" s="342" t="s">
        <v>1277</v>
      </c>
      <c r="N163" s="342" t="s">
        <v>2073</v>
      </c>
      <c r="O163" s="342" t="s">
        <v>2113</v>
      </c>
      <c r="Q163" s="342">
        <v>4</v>
      </c>
      <c r="R163" s="342" t="s">
        <v>2087</v>
      </c>
      <c r="S163" s="342" t="s">
        <v>2287</v>
      </c>
      <c r="T163" s="342" t="s">
        <v>2087</v>
      </c>
    </row>
    <row r="164" spans="1:21">
      <c r="A164" s="342">
        <v>197413</v>
      </c>
      <c r="B164" s="342" t="s">
        <v>746</v>
      </c>
      <c r="C164" s="342" t="s">
        <v>86</v>
      </c>
      <c r="D164" s="342" t="s">
        <v>51</v>
      </c>
      <c r="E164" s="342" t="s">
        <v>591</v>
      </c>
      <c r="F164" s="342" t="s">
        <v>40</v>
      </c>
      <c r="G164" s="342" t="s">
        <v>5280</v>
      </c>
      <c r="H164" s="342" t="s">
        <v>1265</v>
      </c>
      <c r="I164" s="342" t="s">
        <v>2072</v>
      </c>
      <c r="L164" s="342" t="s">
        <v>4273</v>
      </c>
      <c r="M164" s="342" t="s">
        <v>5280</v>
      </c>
      <c r="N164" s="342" t="s">
        <v>2073</v>
      </c>
      <c r="O164" s="342" t="s">
        <v>2074</v>
      </c>
      <c r="Q164" s="342">
        <v>3</v>
      </c>
      <c r="R164" s="342" t="s">
        <v>2076</v>
      </c>
    </row>
    <row r="165" spans="1:21" ht="196">
      <c r="A165" s="342">
        <v>197511</v>
      </c>
      <c r="B165" s="342" t="s">
        <v>296</v>
      </c>
      <c r="C165" s="342" t="s">
        <v>335</v>
      </c>
      <c r="D165" s="342" t="s">
        <v>51</v>
      </c>
      <c r="E165" s="342" t="s">
        <v>591</v>
      </c>
      <c r="F165" s="342" t="s">
        <v>40</v>
      </c>
      <c r="G165" s="342" t="s">
        <v>1336</v>
      </c>
      <c r="H165" s="342" t="s">
        <v>2071</v>
      </c>
      <c r="I165" s="342" t="s">
        <v>2072</v>
      </c>
      <c r="M165" s="342" t="s">
        <v>1336</v>
      </c>
      <c r="N165" s="342" t="s">
        <v>2079</v>
      </c>
      <c r="O165" s="342" t="s">
        <v>2074</v>
      </c>
      <c r="P165" s="342" t="s">
        <v>2075</v>
      </c>
      <c r="Q165" s="342">
        <v>2</v>
      </c>
      <c r="R165" s="342" t="s">
        <v>2076</v>
      </c>
      <c r="S165" s="344" t="s">
        <v>2495</v>
      </c>
      <c r="T165" s="342" t="s">
        <v>2077</v>
      </c>
    </row>
    <row r="166" spans="1:21" ht="409.5">
      <c r="A166" s="342">
        <v>197643</v>
      </c>
      <c r="B166" s="342" t="s">
        <v>1242</v>
      </c>
      <c r="C166" s="342" t="s">
        <v>336</v>
      </c>
      <c r="D166" s="342" t="s">
        <v>337</v>
      </c>
      <c r="E166" s="342" t="s">
        <v>591</v>
      </c>
      <c r="F166" s="342" t="s">
        <v>41</v>
      </c>
      <c r="G166" s="342" t="s">
        <v>786</v>
      </c>
      <c r="H166" s="342" t="s">
        <v>2288</v>
      </c>
      <c r="I166" s="342" t="s">
        <v>2090</v>
      </c>
      <c r="M166" s="342" t="s">
        <v>786</v>
      </c>
      <c r="N166" s="342" t="s">
        <v>2104</v>
      </c>
      <c r="O166" s="342" t="s">
        <v>2105</v>
      </c>
      <c r="P166" s="342" t="s">
        <v>2248</v>
      </c>
      <c r="Q166" s="342">
        <v>1</v>
      </c>
      <c r="R166" s="342" t="s">
        <v>2107</v>
      </c>
      <c r="S166" s="344" t="s">
        <v>2289</v>
      </c>
      <c r="T166" s="342" t="s">
        <v>2217</v>
      </c>
      <c r="U166" s="342" t="s">
        <v>4219</v>
      </c>
    </row>
    <row r="167" spans="1:21">
      <c r="A167" s="342">
        <v>197643</v>
      </c>
      <c r="B167" s="342" t="s">
        <v>1242</v>
      </c>
      <c r="C167" s="342" t="s">
        <v>336</v>
      </c>
      <c r="D167" s="342" t="s">
        <v>337</v>
      </c>
      <c r="E167" s="342" t="s">
        <v>591</v>
      </c>
      <c r="F167" s="342" t="s">
        <v>40</v>
      </c>
      <c r="G167" s="342" t="s">
        <v>786</v>
      </c>
      <c r="H167" s="342" t="s">
        <v>2288</v>
      </c>
      <c r="I167" s="342" t="s">
        <v>2090</v>
      </c>
      <c r="M167" s="342" t="s">
        <v>786</v>
      </c>
      <c r="N167" s="342" t="s">
        <v>2090</v>
      </c>
      <c r="O167" s="342" t="s">
        <v>2105</v>
      </c>
      <c r="P167" s="342" t="s">
        <v>2122</v>
      </c>
      <c r="Q167" s="342">
        <v>3</v>
      </c>
      <c r="R167" s="342" t="s">
        <v>2133</v>
      </c>
      <c r="S167" s="342" t="s">
        <v>2290</v>
      </c>
      <c r="T167" s="342" t="s">
        <v>2099</v>
      </c>
      <c r="U167" s="342" t="s">
        <v>2291</v>
      </c>
    </row>
    <row r="168" spans="1:21" ht="182">
      <c r="A168" s="342">
        <v>197643</v>
      </c>
      <c r="B168" s="342" t="s">
        <v>1242</v>
      </c>
      <c r="C168" s="342" t="s">
        <v>336</v>
      </c>
      <c r="D168" s="342" t="s">
        <v>337</v>
      </c>
      <c r="E168" s="342" t="s">
        <v>591</v>
      </c>
      <c r="F168" s="342" t="s">
        <v>685</v>
      </c>
      <c r="G168" s="342" t="s">
        <v>786</v>
      </c>
      <c r="H168" s="342" t="s">
        <v>2292</v>
      </c>
      <c r="I168" s="342" t="s">
        <v>2120</v>
      </c>
      <c r="J168" s="344" t="s">
        <v>2293</v>
      </c>
      <c r="M168" s="342" t="s">
        <v>786</v>
      </c>
      <c r="N168" s="342" t="s">
        <v>2120</v>
      </c>
      <c r="Q168" s="342">
        <v>2</v>
      </c>
      <c r="R168" s="342" t="s">
        <v>2107</v>
      </c>
      <c r="S168" s="344" t="s">
        <v>2294</v>
      </c>
      <c r="T168" s="342" t="s">
        <v>2082</v>
      </c>
      <c r="U168" s="342" t="s">
        <v>2295</v>
      </c>
    </row>
    <row r="169" spans="1:21" ht="154">
      <c r="A169" s="342">
        <v>198164</v>
      </c>
      <c r="B169" s="342" t="s">
        <v>884</v>
      </c>
      <c r="C169" s="342" t="s">
        <v>403</v>
      </c>
      <c r="D169" s="342" t="s">
        <v>51</v>
      </c>
      <c r="E169" s="342" t="s">
        <v>591</v>
      </c>
      <c r="F169" s="342" t="s">
        <v>40</v>
      </c>
      <c r="G169" s="342" t="s">
        <v>5282</v>
      </c>
      <c r="H169" s="342" t="s">
        <v>2296</v>
      </c>
      <c r="I169" s="342" t="s">
        <v>2072</v>
      </c>
      <c r="M169" s="342" t="s">
        <v>4441</v>
      </c>
      <c r="N169" s="342" t="s">
        <v>2073</v>
      </c>
      <c r="O169" s="342" t="s">
        <v>2074</v>
      </c>
      <c r="P169" s="342" t="s">
        <v>2075</v>
      </c>
      <c r="Q169" s="342">
        <v>3</v>
      </c>
      <c r="R169" s="342" t="s">
        <v>2076</v>
      </c>
      <c r="S169" s="344" t="s">
        <v>2221</v>
      </c>
      <c r="T169" s="342" t="s">
        <v>2077</v>
      </c>
    </row>
    <row r="170" spans="1:21" ht="350">
      <c r="A170" s="342">
        <v>198305</v>
      </c>
      <c r="B170" s="342" t="s">
        <v>886</v>
      </c>
      <c r="C170" s="342" t="s">
        <v>656</v>
      </c>
      <c r="D170" s="342" t="s">
        <v>98</v>
      </c>
      <c r="E170" s="342" t="s">
        <v>591</v>
      </c>
      <c r="F170" s="342" t="s">
        <v>40</v>
      </c>
      <c r="G170" s="342" t="s">
        <v>5449</v>
      </c>
      <c r="H170" s="342" t="s">
        <v>2297</v>
      </c>
      <c r="I170" s="342" t="s">
        <v>2072</v>
      </c>
      <c r="M170" s="342" t="s">
        <v>5516</v>
      </c>
      <c r="N170" s="342" t="s">
        <v>2073</v>
      </c>
      <c r="O170" s="342" t="s">
        <v>2116</v>
      </c>
      <c r="Q170" s="342">
        <v>4</v>
      </c>
      <c r="R170" s="342" t="s">
        <v>2076</v>
      </c>
      <c r="S170" s="344" t="s">
        <v>2298</v>
      </c>
      <c r="T170" s="342" t="s">
        <v>2099</v>
      </c>
      <c r="U170" s="344" t="s">
        <v>2299</v>
      </c>
    </row>
    <row r="171" spans="1:21" ht="154">
      <c r="A171" s="342">
        <v>198312</v>
      </c>
      <c r="B171" s="342" t="s">
        <v>687</v>
      </c>
      <c r="C171" s="342" t="s">
        <v>690</v>
      </c>
      <c r="D171" s="342" t="s">
        <v>45</v>
      </c>
      <c r="E171" s="342" t="s">
        <v>591</v>
      </c>
      <c r="F171" s="342" t="s">
        <v>40</v>
      </c>
      <c r="G171" s="342" t="s">
        <v>1277</v>
      </c>
      <c r="H171" s="342" t="s">
        <v>687</v>
      </c>
      <c r="I171" s="342" t="s">
        <v>2072</v>
      </c>
      <c r="M171" s="342" t="s">
        <v>1277</v>
      </c>
      <c r="N171" s="342" t="s">
        <v>2073</v>
      </c>
      <c r="O171" s="342" t="s">
        <v>2093</v>
      </c>
      <c r="Q171" s="342">
        <v>4</v>
      </c>
      <c r="R171" s="342" t="s">
        <v>2085</v>
      </c>
      <c r="S171" s="344" t="s">
        <v>2300</v>
      </c>
      <c r="T171" s="342" t="s">
        <v>2087</v>
      </c>
    </row>
    <row r="172" spans="1:21" ht="280">
      <c r="A172" s="342">
        <v>198342</v>
      </c>
      <c r="B172" s="342" t="s">
        <v>338</v>
      </c>
      <c r="C172" s="342" t="s">
        <v>340</v>
      </c>
      <c r="D172" s="342" t="s">
        <v>55</v>
      </c>
      <c r="E172" s="342" t="s">
        <v>591</v>
      </c>
      <c r="F172" s="342" t="s">
        <v>40</v>
      </c>
      <c r="G172" s="342" t="s">
        <v>5279</v>
      </c>
      <c r="H172" s="342" t="s">
        <v>338</v>
      </c>
      <c r="I172" s="342" t="s">
        <v>2072</v>
      </c>
      <c r="M172" s="342" t="s">
        <v>5279</v>
      </c>
      <c r="N172" s="342" t="s">
        <v>2073</v>
      </c>
      <c r="O172" s="342" t="s">
        <v>2116</v>
      </c>
      <c r="P172" s="342" t="s">
        <v>2301</v>
      </c>
      <c r="Q172" s="342">
        <v>3</v>
      </c>
      <c r="R172" s="342" t="s">
        <v>2076</v>
      </c>
      <c r="S172" s="344" t="s">
        <v>2302</v>
      </c>
      <c r="T172" s="342" t="s">
        <v>2077</v>
      </c>
      <c r="U172" s="342" t="s">
        <v>2303</v>
      </c>
    </row>
    <row r="173" spans="1:21" ht="238">
      <c r="A173" s="342">
        <v>198586</v>
      </c>
      <c r="B173" s="342" t="s">
        <v>341</v>
      </c>
      <c r="C173" s="342" t="s">
        <v>226</v>
      </c>
      <c r="D173" s="342" t="s">
        <v>45</v>
      </c>
      <c r="E173" s="342" t="s">
        <v>591</v>
      </c>
      <c r="F173" s="342" t="s">
        <v>40</v>
      </c>
      <c r="G173" s="342" t="s">
        <v>5279</v>
      </c>
      <c r="H173" s="342" t="s">
        <v>2263</v>
      </c>
      <c r="I173" s="342" t="s">
        <v>2072</v>
      </c>
      <c r="M173" s="342" t="s">
        <v>5279</v>
      </c>
      <c r="N173" s="342" t="s">
        <v>2073</v>
      </c>
      <c r="O173" s="342" t="s">
        <v>2074</v>
      </c>
      <c r="P173" s="342" t="s">
        <v>2075</v>
      </c>
      <c r="Q173" s="342">
        <v>3</v>
      </c>
      <c r="R173" s="342" t="s">
        <v>2076</v>
      </c>
      <c r="S173" s="344" t="s">
        <v>2264</v>
      </c>
      <c r="T173" s="342" t="s">
        <v>2077</v>
      </c>
    </row>
    <row r="174" spans="1:21">
      <c r="A174" s="342">
        <v>198587</v>
      </c>
      <c r="B174" s="342" t="s">
        <v>732</v>
      </c>
      <c r="C174" s="342" t="s">
        <v>345</v>
      </c>
      <c r="D174" s="342" t="s">
        <v>51</v>
      </c>
      <c r="E174" s="342" t="s">
        <v>591</v>
      </c>
      <c r="F174" s="342" t="s">
        <v>40</v>
      </c>
      <c r="G174" s="342" t="s">
        <v>786</v>
      </c>
      <c r="H174" s="342" t="s">
        <v>2304</v>
      </c>
      <c r="I174" s="342" t="s">
        <v>2072</v>
      </c>
      <c r="M174" s="342" t="s">
        <v>786</v>
      </c>
      <c r="N174" s="342" t="s">
        <v>2073</v>
      </c>
      <c r="O174" s="342" t="s">
        <v>2116</v>
      </c>
      <c r="P174" s="342" t="s">
        <v>2075</v>
      </c>
      <c r="Q174" s="342">
        <v>3</v>
      </c>
      <c r="R174" s="342" t="s">
        <v>2076</v>
      </c>
      <c r="S174" s="342" t="s">
        <v>2305</v>
      </c>
      <c r="T174" s="342" t="s">
        <v>2099</v>
      </c>
      <c r="U174" s="342" t="s">
        <v>2306</v>
      </c>
    </row>
    <row r="175" spans="1:21">
      <c r="A175" s="342">
        <v>198590</v>
      </c>
      <c r="B175" s="342" t="s">
        <v>346</v>
      </c>
      <c r="C175" s="342" t="s">
        <v>348</v>
      </c>
      <c r="D175" s="342" t="s">
        <v>45</v>
      </c>
      <c r="E175" s="342" t="s">
        <v>591</v>
      </c>
      <c r="F175" s="342" t="s">
        <v>40</v>
      </c>
      <c r="G175" s="342" t="s">
        <v>5280</v>
      </c>
      <c r="H175" s="342" t="s">
        <v>346</v>
      </c>
      <c r="I175" s="342" t="s">
        <v>2072</v>
      </c>
      <c r="M175" s="342" t="s">
        <v>5280</v>
      </c>
      <c r="N175" s="342" t="s">
        <v>2073</v>
      </c>
      <c r="O175" s="342" t="s">
        <v>2074</v>
      </c>
      <c r="P175" s="342" t="s">
        <v>2301</v>
      </c>
      <c r="Q175" s="342">
        <v>3</v>
      </c>
      <c r="R175" s="342" t="s">
        <v>2076</v>
      </c>
      <c r="S175" s="342" t="s">
        <v>2307</v>
      </c>
      <c r="T175" s="342" t="s">
        <v>2099</v>
      </c>
      <c r="U175" s="342" t="s">
        <v>2308</v>
      </c>
    </row>
    <row r="176" spans="1:21" ht="210">
      <c r="A176" s="342">
        <v>198697</v>
      </c>
      <c r="B176" s="342" t="s">
        <v>4444</v>
      </c>
      <c r="C176" s="342" t="s">
        <v>4446</v>
      </c>
      <c r="D176" s="342" t="s">
        <v>47</v>
      </c>
      <c r="E176" s="342" t="s">
        <v>591</v>
      </c>
      <c r="F176" s="342" t="s">
        <v>40</v>
      </c>
      <c r="G176" s="342" t="s">
        <v>5280</v>
      </c>
      <c r="H176" s="342" t="s">
        <v>2309</v>
      </c>
      <c r="I176" s="342" t="s">
        <v>2072</v>
      </c>
      <c r="J176" s="344" t="s">
        <v>5407</v>
      </c>
      <c r="L176" s="342" t="s">
        <v>5406</v>
      </c>
      <c r="M176" s="342" t="s">
        <v>5280</v>
      </c>
      <c r="N176" s="342" t="s">
        <v>2283</v>
      </c>
      <c r="O176" s="342" t="s">
        <v>2093</v>
      </c>
      <c r="Q176" s="342">
        <v>3</v>
      </c>
      <c r="R176" s="342" t="s">
        <v>2094</v>
      </c>
      <c r="S176" s="342" t="s">
        <v>2311</v>
      </c>
      <c r="T176" s="342" t="s">
        <v>2087</v>
      </c>
    </row>
    <row r="177" spans="1:21" ht="409.5">
      <c r="A177" s="342">
        <v>198701</v>
      </c>
      <c r="B177" s="342" t="s">
        <v>1475</v>
      </c>
      <c r="C177" s="342" t="s">
        <v>1477</v>
      </c>
      <c r="D177" s="342" t="s">
        <v>47</v>
      </c>
      <c r="E177" s="342" t="s">
        <v>591</v>
      </c>
      <c r="F177" s="342" t="s">
        <v>40</v>
      </c>
      <c r="G177" s="342" t="s">
        <v>5280</v>
      </c>
      <c r="H177" s="342" t="s">
        <v>2309</v>
      </c>
      <c r="I177" s="342" t="s">
        <v>2072</v>
      </c>
      <c r="J177" s="344" t="s">
        <v>2310</v>
      </c>
      <c r="L177" s="342" t="s">
        <v>2039</v>
      </c>
      <c r="M177" s="342" t="s">
        <v>5280</v>
      </c>
      <c r="N177" s="342" t="s">
        <v>2283</v>
      </c>
      <c r="O177" s="342" t="s">
        <v>2093</v>
      </c>
      <c r="Q177" s="342">
        <v>3</v>
      </c>
      <c r="R177" s="342" t="s">
        <v>2094</v>
      </c>
      <c r="S177" s="342" t="s">
        <v>2311</v>
      </c>
      <c r="T177" s="342" t="s">
        <v>2087</v>
      </c>
    </row>
    <row r="178" spans="1:21">
      <c r="A178" s="342">
        <v>198770</v>
      </c>
      <c r="B178" s="342" t="s">
        <v>893</v>
      </c>
      <c r="C178" s="342" t="s">
        <v>895</v>
      </c>
      <c r="D178" s="342" t="s">
        <v>47</v>
      </c>
      <c r="E178" s="342" t="s">
        <v>591</v>
      </c>
      <c r="F178" s="342" t="s">
        <v>749</v>
      </c>
      <c r="G178" s="342" t="s">
        <v>1421</v>
      </c>
    </row>
    <row r="179" spans="1:21">
      <c r="A179" s="342">
        <v>198967</v>
      </c>
      <c r="B179" s="342" t="s">
        <v>350</v>
      </c>
      <c r="C179" s="342" t="s">
        <v>352</v>
      </c>
      <c r="D179" s="342" t="s">
        <v>118</v>
      </c>
      <c r="E179" s="342" t="s">
        <v>591</v>
      </c>
      <c r="F179" s="342" t="s">
        <v>40</v>
      </c>
      <c r="G179" s="342" t="s">
        <v>1510</v>
      </c>
      <c r="H179" s="342" t="s">
        <v>350</v>
      </c>
      <c r="I179" s="342" t="s">
        <v>2072</v>
      </c>
      <c r="M179" s="342" t="s">
        <v>1510</v>
      </c>
      <c r="N179" s="342" t="s">
        <v>2143</v>
      </c>
      <c r="O179" s="342" t="s">
        <v>2137</v>
      </c>
      <c r="Q179" s="342">
        <v>3</v>
      </c>
      <c r="R179" s="342" t="s">
        <v>2144</v>
      </c>
    </row>
    <row r="180" spans="1:21">
      <c r="A180" s="342">
        <v>199184</v>
      </c>
      <c r="B180" s="342" t="s">
        <v>1227</v>
      </c>
      <c r="C180" s="342" t="s">
        <v>1229</v>
      </c>
      <c r="D180" s="342" t="s">
        <v>47</v>
      </c>
      <c r="E180" s="342" t="s">
        <v>591</v>
      </c>
      <c r="F180" s="342" t="s">
        <v>737</v>
      </c>
      <c r="G180" s="342" t="s">
        <v>5280</v>
      </c>
    </row>
    <row r="181" spans="1:21">
      <c r="A181" s="342">
        <v>199281</v>
      </c>
      <c r="B181" s="342" t="s">
        <v>5025</v>
      </c>
      <c r="C181" s="342" t="s">
        <v>353</v>
      </c>
      <c r="D181" s="342" t="s">
        <v>47</v>
      </c>
      <c r="E181" s="342" t="s">
        <v>591</v>
      </c>
      <c r="F181" s="342" t="s">
        <v>40</v>
      </c>
      <c r="G181" s="342" t="s">
        <v>4638</v>
      </c>
      <c r="H181" s="342" t="s">
        <v>1440</v>
      </c>
      <c r="I181" s="342" t="s">
        <v>2072</v>
      </c>
      <c r="M181" s="342" t="s">
        <v>4638</v>
      </c>
      <c r="N181" s="342" t="s">
        <v>2073</v>
      </c>
      <c r="O181" s="342" t="s">
        <v>2116</v>
      </c>
      <c r="Q181" s="342">
        <v>3</v>
      </c>
      <c r="R181" s="342" t="s">
        <v>2085</v>
      </c>
      <c r="S181" s="342" t="s">
        <v>2312</v>
      </c>
      <c r="T181" s="342" t="s">
        <v>2087</v>
      </c>
    </row>
    <row r="182" spans="1:21">
      <c r="A182" s="342">
        <v>201000</v>
      </c>
      <c r="B182" s="342" t="s">
        <v>354</v>
      </c>
      <c r="C182" s="342" t="s">
        <v>356</v>
      </c>
      <c r="D182" s="342" t="s">
        <v>51</v>
      </c>
      <c r="E182" s="342" t="s">
        <v>591</v>
      </c>
      <c r="F182" s="342" t="s">
        <v>40</v>
      </c>
      <c r="G182" s="342" t="s">
        <v>5279</v>
      </c>
      <c r="H182" s="342" t="s">
        <v>2100</v>
      </c>
      <c r="I182" s="342" t="s">
        <v>2072</v>
      </c>
      <c r="M182" s="342" t="s">
        <v>5279</v>
      </c>
      <c r="N182" s="342" t="s">
        <v>2073</v>
      </c>
      <c r="O182" s="342" t="s">
        <v>2074</v>
      </c>
      <c r="P182" s="342" t="s">
        <v>2075</v>
      </c>
      <c r="Q182" s="342">
        <v>2</v>
      </c>
      <c r="R182" s="342" t="s">
        <v>2076</v>
      </c>
      <c r="S182" s="342" t="s">
        <v>2101</v>
      </c>
      <c r="T182" s="342" t="s">
        <v>2099</v>
      </c>
    </row>
    <row r="183" spans="1:21">
      <c r="A183" s="342">
        <v>201798</v>
      </c>
      <c r="B183" s="342" t="s">
        <v>357</v>
      </c>
      <c r="C183" s="342" t="s">
        <v>360</v>
      </c>
      <c r="D183" s="342" t="s">
        <v>246</v>
      </c>
      <c r="E183" s="342" t="s">
        <v>591</v>
      </c>
      <c r="F183" s="342" t="s">
        <v>40</v>
      </c>
      <c r="G183" s="342" t="s">
        <v>1277</v>
      </c>
      <c r="H183" s="342" t="s">
        <v>357</v>
      </c>
      <c r="I183" s="342" t="s">
        <v>2072</v>
      </c>
      <c r="M183" s="342" t="s">
        <v>1277</v>
      </c>
      <c r="N183" s="342" t="s">
        <v>2073</v>
      </c>
      <c r="O183" s="342" t="s">
        <v>2093</v>
      </c>
      <c r="Q183" s="342">
        <v>4</v>
      </c>
      <c r="R183" s="342" t="s">
        <v>2085</v>
      </c>
      <c r="S183" s="342" t="s">
        <v>2313</v>
      </c>
    </row>
    <row r="184" spans="1:21">
      <c r="A184" s="342">
        <v>202699</v>
      </c>
      <c r="B184" s="342" t="s">
        <v>362</v>
      </c>
      <c r="C184" s="342" t="s">
        <v>900</v>
      </c>
      <c r="D184" s="342" t="s">
        <v>47</v>
      </c>
      <c r="E184" s="342" t="s">
        <v>591</v>
      </c>
      <c r="F184" s="342" t="s">
        <v>737</v>
      </c>
      <c r="G184" s="342" t="s">
        <v>1336</v>
      </c>
    </row>
    <row r="185" spans="1:21">
      <c r="A185" s="342">
        <v>202981</v>
      </c>
      <c r="B185" s="342" t="s">
        <v>902</v>
      </c>
      <c r="C185" s="342" t="s">
        <v>151</v>
      </c>
      <c r="D185" s="342" t="s">
        <v>47</v>
      </c>
      <c r="E185" s="342" t="s">
        <v>591</v>
      </c>
      <c r="F185" s="342" t="s">
        <v>40</v>
      </c>
      <c r="G185" s="342" t="s">
        <v>5280</v>
      </c>
      <c r="H185" s="342" t="s">
        <v>2314</v>
      </c>
      <c r="I185" s="342" t="s">
        <v>2072</v>
      </c>
      <c r="M185" s="342" t="s">
        <v>5280</v>
      </c>
      <c r="N185" s="342" t="s">
        <v>2073</v>
      </c>
      <c r="O185" s="342" t="s">
        <v>2074</v>
      </c>
      <c r="P185" s="342" t="s">
        <v>2075</v>
      </c>
      <c r="Q185" s="342">
        <v>3</v>
      </c>
      <c r="R185" s="342" t="s">
        <v>2076</v>
      </c>
      <c r="S185" s="342" t="s">
        <v>2315</v>
      </c>
      <c r="T185" s="342" t="s">
        <v>2077</v>
      </c>
    </row>
    <row r="186" spans="1:21">
      <c r="A186" s="342">
        <v>203035</v>
      </c>
      <c r="B186" s="342" t="s">
        <v>744</v>
      </c>
      <c r="C186" s="342" t="s">
        <v>365</v>
      </c>
      <c r="D186" s="342" t="s">
        <v>118</v>
      </c>
      <c r="E186" s="342" t="s">
        <v>591</v>
      </c>
      <c r="F186" s="342" t="s">
        <v>40</v>
      </c>
      <c r="G186" s="342" t="s">
        <v>5280</v>
      </c>
      <c r="H186" s="342" t="s">
        <v>744</v>
      </c>
      <c r="I186" s="342" t="s">
        <v>2072</v>
      </c>
      <c r="M186" s="342" t="s">
        <v>5280</v>
      </c>
      <c r="N186" s="342" t="s">
        <v>2073</v>
      </c>
      <c r="O186" s="342" t="s">
        <v>2093</v>
      </c>
      <c r="Q186" s="342">
        <v>4</v>
      </c>
      <c r="R186" s="342" t="s">
        <v>2085</v>
      </c>
      <c r="S186" s="342" t="s">
        <v>2316</v>
      </c>
      <c r="T186" s="342" t="s">
        <v>2087</v>
      </c>
    </row>
    <row r="187" spans="1:21" ht="266">
      <c r="A187" s="342">
        <v>203249</v>
      </c>
      <c r="B187" s="342" t="s">
        <v>366</v>
      </c>
      <c r="C187" s="342" t="s">
        <v>369</v>
      </c>
      <c r="D187" s="342" t="s">
        <v>45</v>
      </c>
      <c r="E187" s="342" t="s">
        <v>591</v>
      </c>
      <c r="F187" s="342" t="s">
        <v>40</v>
      </c>
      <c r="G187" s="342" t="s">
        <v>5281</v>
      </c>
      <c r="H187" s="342" t="s">
        <v>2317</v>
      </c>
      <c r="I187" s="342" t="s">
        <v>2072</v>
      </c>
      <c r="M187" s="342" t="s">
        <v>5281</v>
      </c>
      <c r="N187" s="342" t="s">
        <v>2073</v>
      </c>
      <c r="O187" s="342" t="s">
        <v>2113</v>
      </c>
      <c r="Q187" s="342">
        <v>3</v>
      </c>
      <c r="R187" s="342" t="s">
        <v>2085</v>
      </c>
      <c r="S187" s="344" t="s">
        <v>2318</v>
      </c>
      <c r="T187" s="342" t="s">
        <v>2087</v>
      </c>
      <c r="U187" s="342" t="s">
        <v>2168</v>
      </c>
    </row>
    <row r="188" spans="1:21" ht="266">
      <c r="A188" s="342">
        <v>203252</v>
      </c>
      <c r="B188" s="342" t="s">
        <v>906</v>
      </c>
      <c r="C188" s="342" t="s">
        <v>372</v>
      </c>
      <c r="D188" s="342" t="s">
        <v>51</v>
      </c>
      <c r="E188" s="342" t="s">
        <v>591</v>
      </c>
      <c r="F188" s="342" t="s">
        <v>40</v>
      </c>
      <c r="G188" s="342" t="s">
        <v>5281</v>
      </c>
      <c r="H188" s="342" t="s">
        <v>2317</v>
      </c>
      <c r="I188" s="342" t="s">
        <v>2072</v>
      </c>
      <c r="M188" s="342" t="s">
        <v>5281</v>
      </c>
      <c r="N188" s="342" t="s">
        <v>2073</v>
      </c>
      <c r="O188" s="342" t="s">
        <v>2113</v>
      </c>
      <c r="Q188" s="342">
        <v>3</v>
      </c>
      <c r="R188" s="342" t="s">
        <v>2085</v>
      </c>
      <c r="S188" s="344" t="s">
        <v>2318</v>
      </c>
      <c r="T188" s="342" t="s">
        <v>2087</v>
      </c>
      <c r="U188" s="342" t="s">
        <v>2168</v>
      </c>
    </row>
    <row r="189" spans="1:21" ht="266">
      <c r="A189" s="342">
        <v>203617</v>
      </c>
      <c r="B189" s="342" t="s">
        <v>666</v>
      </c>
      <c r="C189" s="342" t="s">
        <v>668</v>
      </c>
      <c r="D189" s="342" t="s">
        <v>47</v>
      </c>
      <c r="E189" s="342" t="s">
        <v>591</v>
      </c>
      <c r="F189" s="342" t="s">
        <v>40</v>
      </c>
      <c r="G189" s="342" t="s">
        <v>5283</v>
      </c>
      <c r="H189" s="342" t="s">
        <v>2319</v>
      </c>
      <c r="I189" s="342" t="s">
        <v>2072</v>
      </c>
      <c r="M189" s="342" t="s">
        <v>5283</v>
      </c>
      <c r="N189" s="342" t="s">
        <v>2073</v>
      </c>
      <c r="O189" s="342" t="s">
        <v>2074</v>
      </c>
      <c r="P189" s="342" t="s">
        <v>2075</v>
      </c>
      <c r="Q189" s="342">
        <v>2</v>
      </c>
      <c r="R189" s="342" t="s">
        <v>2076</v>
      </c>
      <c r="S189" s="344" t="s">
        <v>2320</v>
      </c>
      <c r="T189" s="342" t="s">
        <v>2099</v>
      </c>
      <c r="U189" s="342" t="s">
        <v>2321</v>
      </c>
    </row>
    <row r="190" spans="1:21" ht="266">
      <c r="A190" s="342">
        <v>203630</v>
      </c>
      <c r="B190" s="342" t="s">
        <v>1178</v>
      </c>
      <c r="C190" s="342" t="s">
        <v>374</v>
      </c>
      <c r="D190" s="342" t="s">
        <v>47</v>
      </c>
      <c r="E190" s="342" t="s">
        <v>591</v>
      </c>
      <c r="F190" s="342" t="s">
        <v>40</v>
      </c>
      <c r="G190" s="342" t="s">
        <v>5283</v>
      </c>
      <c r="H190" s="342" t="s">
        <v>2319</v>
      </c>
      <c r="I190" s="342" t="s">
        <v>2072</v>
      </c>
      <c r="M190" s="342" t="s">
        <v>5283</v>
      </c>
      <c r="N190" s="342" t="s">
        <v>2073</v>
      </c>
      <c r="O190" s="342" t="s">
        <v>2074</v>
      </c>
      <c r="P190" s="342" t="s">
        <v>2075</v>
      </c>
      <c r="Q190" s="342">
        <v>2</v>
      </c>
      <c r="R190" s="342" t="s">
        <v>2076</v>
      </c>
      <c r="S190" s="344" t="s">
        <v>2320</v>
      </c>
      <c r="T190" s="342" t="s">
        <v>2099</v>
      </c>
      <c r="U190" s="342" t="s">
        <v>2321</v>
      </c>
    </row>
    <row r="191" spans="1:21">
      <c r="A191" s="342">
        <v>206126</v>
      </c>
      <c r="B191" s="342" t="s">
        <v>1067</v>
      </c>
      <c r="C191" s="342" t="s">
        <v>348</v>
      </c>
      <c r="D191" s="342" t="s">
        <v>45</v>
      </c>
      <c r="E191" s="342" t="s">
        <v>591</v>
      </c>
      <c r="F191" s="342" t="s">
        <v>40</v>
      </c>
      <c r="G191" s="342" t="s">
        <v>1277</v>
      </c>
      <c r="H191" s="342" t="s">
        <v>2333</v>
      </c>
      <c r="I191" s="342" t="s">
        <v>2072</v>
      </c>
      <c r="M191" s="342" t="s">
        <v>1277</v>
      </c>
      <c r="N191" s="342" t="s">
        <v>2073</v>
      </c>
      <c r="O191" s="342" t="s">
        <v>2116</v>
      </c>
      <c r="Q191" s="342">
        <v>4</v>
      </c>
      <c r="R191" s="342" t="s">
        <v>2133</v>
      </c>
      <c r="S191" s="342" t="s">
        <v>2334</v>
      </c>
      <c r="T191" s="342" t="s">
        <v>2335</v>
      </c>
    </row>
    <row r="192" spans="1:21" ht="409.5">
      <c r="A192" s="342">
        <v>206359</v>
      </c>
      <c r="B192" s="342" t="s">
        <v>376</v>
      </c>
      <c r="C192" s="342" t="s">
        <v>379</v>
      </c>
      <c r="D192" s="342" t="s">
        <v>51</v>
      </c>
      <c r="E192" s="342" t="s">
        <v>591</v>
      </c>
      <c r="F192" s="342" t="s">
        <v>40</v>
      </c>
      <c r="G192" s="342" t="s">
        <v>1277</v>
      </c>
      <c r="H192" s="342" t="s">
        <v>2322</v>
      </c>
      <c r="I192" s="342" t="s">
        <v>2072</v>
      </c>
      <c r="J192" s="344" t="s">
        <v>5186</v>
      </c>
      <c r="L192" s="342" t="s">
        <v>4311</v>
      </c>
      <c r="M192" s="342" t="s">
        <v>1277</v>
      </c>
      <c r="N192" s="342" t="s">
        <v>2283</v>
      </c>
      <c r="Q192" s="342">
        <v>4</v>
      </c>
      <c r="R192" s="342" t="s">
        <v>2094</v>
      </c>
      <c r="S192" s="344" t="s">
        <v>2323</v>
      </c>
      <c r="T192" s="342" t="s">
        <v>2087</v>
      </c>
    </row>
    <row r="193" spans="1:21" ht="409.5">
      <c r="A193" s="342">
        <v>207509</v>
      </c>
      <c r="B193" s="342" t="s">
        <v>382</v>
      </c>
      <c r="C193" s="342" t="s">
        <v>4457</v>
      </c>
      <c r="D193" s="342" t="s">
        <v>66</v>
      </c>
      <c r="E193" s="342" t="s">
        <v>591</v>
      </c>
      <c r="F193" s="342" t="s">
        <v>40</v>
      </c>
      <c r="G193" s="342" t="s">
        <v>5283</v>
      </c>
      <c r="H193" s="342" t="s">
        <v>2141</v>
      </c>
      <c r="I193" s="342" t="s">
        <v>2072</v>
      </c>
      <c r="M193" s="342" t="s">
        <v>5283</v>
      </c>
      <c r="N193" s="342" t="s">
        <v>2073</v>
      </c>
      <c r="O193" s="342" t="s">
        <v>2074</v>
      </c>
      <c r="Q193" s="342">
        <v>2</v>
      </c>
      <c r="R193" s="342" t="s">
        <v>2076</v>
      </c>
      <c r="S193" s="344" t="s">
        <v>2496</v>
      </c>
      <c r="T193" s="342" t="s">
        <v>2099</v>
      </c>
      <c r="U193" s="344" t="s">
        <v>2142</v>
      </c>
    </row>
    <row r="194" spans="1:21" ht="409.5">
      <c r="A194" s="342">
        <v>209435</v>
      </c>
      <c r="B194" s="342" t="s">
        <v>384</v>
      </c>
      <c r="C194" s="342" t="s">
        <v>386</v>
      </c>
      <c r="D194" s="342" t="s">
        <v>51</v>
      </c>
      <c r="E194" s="342" t="s">
        <v>591</v>
      </c>
      <c r="F194" s="342" t="s">
        <v>40</v>
      </c>
      <c r="G194" s="342" t="s">
        <v>5283</v>
      </c>
      <c r="H194" s="342" t="s">
        <v>2141</v>
      </c>
      <c r="I194" s="342" t="s">
        <v>2072</v>
      </c>
      <c r="M194" s="342" t="s">
        <v>5283</v>
      </c>
      <c r="N194" s="342" t="s">
        <v>2073</v>
      </c>
      <c r="O194" s="342" t="s">
        <v>2074</v>
      </c>
      <c r="Q194" s="342">
        <v>2</v>
      </c>
      <c r="R194" s="342" t="s">
        <v>2076</v>
      </c>
      <c r="S194" s="344" t="s">
        <v>2496</v>
      </c>
      <c r="T194" s="342" t="s">
        <v>2099</v>
      </c>
      <c r="U194" s="344" t="s">
        <v>2142</v>
      </c>
    </row>
    <row r="195" spans="1:21">
      <c r="A195" s="342">
        <v>217495</v>
      </c>
      <c r="B195" s="342" t="s">
        <v>600</v>
      </c>
      <c r="C195" s="342" t="s">
        <v>601</v>
      </c>
      <c r="D195" s="342" t="s">
        <v>45</v>
      </c>
      <c r="E195" s="342" t="s">
        <v>591</v>
      </c>
      <c r="F195" s="342" t="s">
        <v>40</v>
      </c>
      <c r="G195" s="342" t="s">
        <v>5279</v>
      </c>
      <c r="H195" s="342" t="s">
        <v>2100</v>
      </c>
      <c r="I195" s="342" t="s">
        <v>2072</v>
      </c>
      <c r="M195" s="342" t="s">
        <v>5279</v>
      </c>
      <c r="N195" s="342" t="s">
        <v>2073</v>
      </c>
      <c r="O195" s="342" t="s">
        <v>2074</v>
      </c>
      <c r="P195" s="342" t="s">
        <v>2075</v>
      </c>
      <c r="Q195" s="342">
        <v>2</v>
      </c>
      <c r="R195" s="342" t="s">
        <v>2076</v>
      </c>
      <c r="S195" s="342" t="s">
        <v>2101</v>
      </c>
      <c r="T195" s="342" t="s">
        <v>2099</v>
      </c>
    </row>
    <row r="196" spans="1:21">
      <c r="A196" s="342">
        <v>217647</v>
      </c>
      <c r="B196" s="342" t="s">
        <v>909</v>
      </c>
      <c r="C196" s="342" t="s">
        <v>68</v>
      </c>
      <c r="D196" s="342" t="s">
        <v>47</v>
      </c>
      <c r="E196" s="342" t="s">
        <v>591</v>
      </c>
      <c r="F196" s="342" t="s">
        <v>43</v>
      </c>
      <c r="G196" s="342" t="s">
        <v>1336</v>
      </c>
      <c r="H196" s="342" t="s">
        <v>2324</v>
      </c>
      <c r="I196" s="342" t="s">
        <v>2090</v>
      </c>
      <c r="M196" s="342" t="s">
        <v>1336</v>
      </c>
      <c r="N196" s="342" t="s">
        <v>2269</v>
      </c>
      <c r="P196" s="342" t="s">
        <v>2194</v>
      </c>
      <c r="Q196" s="342">
        <v>3</v>
      </c>
      <c r="R196" s="342" t="s">
        <v>2107</v>
      </c>
      <c r="S196" s="342" t="s">
        <v>2325</v>
      </c>
      <c r="T196" s="342" t="s">
        <v>2326</v>
      </c>
    </row>
    <row r="197" spans="1:21">
      <c r="A197" s="342">
        <v>217647</v>
      </c>
      <c r="B197" s="342" t="s">
        <v>909</v>
      </c>
      <c r="C197" s="342" t="s">
        <v>68</v>
      </c>
      <c r="D197" s="342" t="s">
        <v>47</v>
      </c>
      <c r="E197" s="342" t="s">
        <v>591</v>
      </c>
      <c r="F197" s="342" t="s">
        <v>1100</v>
      </c>
      <c r="G197" s="342" t="s">
        <v>1336</v>
      </c>
      <c r="H197" s="342" t="s">
        <v>909</v>
      </c>
      <c r="I197" s="342" t="s">
        <v>2120</v>
      </c>
      <c r="M197" s="342" t="s">
        <v>1336</v>
      </c>
      <c r="N197" s="342" t="s">
        <v>2120</v>
      </c>
      <c r="Q197" s="342">
        <v>1</v>
      </c>
      <c r="R197" s="342" t="s">
        <v>2107</v>
      </c>
      <c r="S197" s="342" t="s">
        <v>2327</v>
      </c>
      <c r="T197" s="342" t="s">
        <v>2213</v>
      </c>
      <c r="U197" s="342" t="s">
        <v>2328</v>
      </c>
    </row>
    <row r="198" spans="1:21" ht="409.5">
      <c r="A198" s="342">
        <v>217647</v>
      </c>
      <c r="B198" s="342" t="s">
        <v>909</v>
      </c>
      <c r="C198" s="342" t="s">
        <v>68</v>
      </c>
      <c r="D198" s="342" t="s">
        <v>47</v>
      </c>
      <c r="E198" s="342" t="s">
        <v>591</v>
      </c>
      <c r="F198" s="342" t="s">
        <v>685</v>
      </c>
      <c r="G198" s="342" t="s">
        <v>1336</v>
      </c>
      <c r="H198" s="342" t="s">
        <v>909</v>
      </c>
      <c r="I198" s="342" t="s">
        <v>2120</v>
      </c>
      <c r="J198" s="344" t="s">
        <v>2329</v>
      </c>
      <c r="M198" s="342" t="s">
        <v>1336</v>
      </c>
      <c r="N198" s="342" t="s">
        <v>2120</v>
      </c>
      <c r="P198" s="342" t="s">
        <v>2125</v>
      </c>
      <c r="Q198" s="342">
        <v>1</v>
      </c>
      <c r="R198" s="342" t="s">
        <v>2107</v>
      </c>
      <c r="S198" s="344" t="s">
        <v>2330</v>
      </c>
      <c r="T198" s="342" t="s">
        <v>2152</v>
      </c>
      <c r="U198" s="344" t="s">
        <v>2331</v>
      </c>
    </row>
    <row r="199" spans="1:21" ht="280">
      <c r="A199" s="342">
        <v>217725</v>
      </c>
      <c r="B199" s="342" t="s">
        <v>389</v>
      </c>
      <c r="C199" s="342" t="s">
        <v>226</v>
      </c>
      <c r="D199" s="342" t="s">
        <v>45</v>
      </c>
      <c r="E199" s="342" t="s">
        <v>591</v>
      </c>
      <c r="F199" s="342" t="s">
        <v>40</v>
      </c>
      <c r="G199" s="342" t="s">
        <v>5282</v>
      </c>
      <c r="H199" s="342" t="s">
        <v>2171</v>
      </c>
      <c r="I199" s="342" t="s">
        <v>2072</v>
      </c>
      <c r="M199" s="342" t="s">
        <v>5282</v>
      </c>
      <c r="N199" s="342" t="s">
        <v>2073</v>
      </c>
      <c r="O199" s="342" t="s">
        <v>2093</v>
      </c>
      <c r="Q199" s="342">
        <v>2</v>
      </c>
      <c r="R199" s="342" t="s">
        <v>2076</v>
      </c>
      <c r="S199" s="344" t="s">
        <v>2172</v>
      </c>
      <c r="T199" s="342" t="s">
        <v>2077</v>
      </c>
    </row>
    <row r="200" spans="1:21">
      <c r="A200" s="342">
        <v>217762</v>
      </c>
      <c r="B200" s="342" t="s">
        <v>738</v>
      </c>
      <c r="C200" s="342" t="s">
        <v>740</v>
      </c>
      <c r="D200" s="342" t="s">
        <v>51</v>
      </c>
      <c r="E200" s="342" t="s">
        <v>591</v>
      </c>
      <c r="F200" s="342" t="s">
        <v>40</v>
      </c>
      <c r="G200" s="342" t="s">
        <v>4608</v>
      </c>
      <c r="H200" s="342" t="s">
        <v>2260</v>
      </c>
      <c r="I200" s="342" t="s">
        <v>2072</v>
      </c>
      <c r="M200" s="342" t="s">
        <v>4608</v>
      </c>
      <c r="N200" s="342" t="s">
        <v>2073</v>
      </c>
      <c r="Q200" s="342">
        <v>4</v>
      </c>
      <c r="R200" s="342" t="s">
        <v>2085</v>
      </c>
      <c r="S200" s="342" t="s">
        <v>2261</v>
      </c>
    </row>
    <row r="201" spans="1:21">
      <c r="A201" s="342">
        <v>217815</v>
      </c>
      <c r="B201" s="342" t="s">
        <v>670</v>
      </c>
      <c r="C201" s="342" t="s">
        <v>88</v>
      </c>
      <c r="D201" s="342" t="s">
        <v>55</v>
      </c>
      <c r="E201" s="342" t="s">
        <v>591</v>
      </c>
      <c r="F201" s="342" t="s">
        <v>40</v>
      </c>
      <c r="G201" s="342" t="s">
        <v>1510</v>
      </c>
      <c r="H201" s="342" t="s">
        <v>670</v>
      </c>
      <c r="I201" s="342" t="s">
        <v>2072</v>
      </c>
      <c r="M201" s="342" t="s">
        <v>1510</v>
      </c>
      <c r="N201" s="342" t="s">
        <v>2143</v>
      </c>
      <c r="O201" s="342" t="s">
        <v>2137</v>
      </c>
      <c r="Q201" s="342">
        <v>3</v>
      </c>
      <c r="R201" s="342" t="s">
        <v>2144</v>
      </c>
      <c r="S201" s="342" t="s">
        <v>2332</v>
      </c>
      <c r="T201" s="342" t="s">
        <v>2186</v>
      </c>
    </row>
    <row r="202" spans="1:21">
      <c r="A202" s="342">
        <v>219523</v>
      </c>
      <c r="B202" s="342" t="s">
        <v>1067</v>
      </c>
      <c r="C202" s="342" t="s">
        <v>394</v>
      </c>
      <c r="D202" s="342" t="s">
        <v>45</v>
      </c>
      <c r="E202" s="342" t="s">
        <v>591</v>
      </c>
      <c r="F202" s="342" t="s">
        <v>40</v>
      </c>
      <c r="G202" s="342" t="s">
        <v>1277</v>
      </c>
      <c r="H202" s="342" t="s">
        <v>2333</v>
      </c>
      <c r="I202" s="342" t="s">
        <v>2072</v>
      </c>
      <c r="M202" s="342" t="s">
        <v>1277</v>
      </c>
      <c r="N202" s="342" t="s">
        <v>2073</v>
      </c>
      <c r="O202" s="342" t="s">
        <v>2116</v>
      </c>
      <c r="Q202" s="342">
        <v>4</v>
      </c>
      <c r="R202" s="342" t="s">
        <v>2133</v>
      </c>
      <c r="S202" s="342" t="s">
        <v>2334</v>
      </c>
      <c r="T202" s="342" t="s">
        <v>2335</v>
      </c>
    </row>
    <row r="203" spans="1:21" ht="252">
      <c r="A203" s="342">
        <v>219552</v>
      </c>
      <c r="B203" s="342" t="s">
        <v>395</v>
      </c>
      <c r="C203" s="342" t="s">
        <v>397</v>
      </c>
      <c r="D203" s="342" t="s">
        <v>55</v>
      </c>
      <c r="E203" s="342" t="s">
        <v>591</v>
      </c>
      <c r="F203" s="342" t="s">
        <v>40</v>
      </c>
      <c r="G203" s="342" t="s">
        <v>5278</v>
      </c>
      <c r="H203" s="342" t="s">
        <v>1168</v>
      </c>
      <c r="I203" s="342" t="s">
        <v>2072</v>
      </c>
      <c r="M203" s="342" t="s">
        <v>5278</v>
      </c>
      <c r="N203" s="342" t="s">
        <v>2073</v>
      </c>
      <c r="O203" s="342" t="s">
        <v>2074</v>
      </c>
      <c r="P203" s="342" t="s">
        <v>2075</v>
      </c>
      <c r="Q203" s="342">
        <v>2</v>
      </c>
      <c r="R203" s="342" t="s">
        <v>2076</v>
      </c>
      <c r="S203" s="344" t="s">
        <v>2139</v>
      </c>
      <c r="T203" s="342" t="s">
        <v>2099</v>
      </c>
      <c r="U203" s="344" t="s">
        <v>2140</v>
      </c>
    </row>
    <row r="204" spans="1:21">
      <c r="A204" s="342">
        <v>220816</v>
      </c>
      <c r="B204" s="342" t="s">
        <v>398</v>
      </c>
      <c r="C204" s="342" t="s">
        <v>400</v>
      </c>
      <c r="D204" s="342" t="s">
        <v>55</v>
      </c>
      <c r="E204" s="342" t="s">
        <v>591</v>
      </c>
      <c r="F204" s="342" t="s">
        <v>40</v>
      </c>
      <c r="G204" s="342" t="s">
        <v>5279</v>
      </c>
      <c r="H204" s="342" t="s">
        <v>2161</v>
      </c>
      <c r="I204" s="342" t="s">
        <v>2072</v>
      </c>
      <c r="M204" s="342" t="s">
        <v>5279</v>
      </c>
      <c r="N204" s="342" t="s">
        <v>2073</v>
      </c>
      <c r="O204" s="342" t="s">
        <v>2074</v>
      </c>
      <c r="P204" s="342" t="s">
        <v>2075</v>
      </c>
      <c r="Q204" s="342">
        <v>2</v>
      </c>
      <c r="R204" s="342" t="s">
        <v>2076</v>
      </c>
      <c r="S204" s="342" t="s">
        <v>2162</v>
      </c>
      <c r="T204" s="342" t="s">
        <v>2099</v>
      </c>
      <c r="U204" s="342" t="s">
        <v>2163</v>
      </c>
    </row>
    <row r="205" spans="1:21" ht="84">
      <c r="A205" s="342">
        <v>222739</v>
      </c>
      <c r="B205" s="342" t="s">
        <v>916</v>
      </c>
      <c r="C205" s="342" t="s">
        <v>918</v>
      </c>
      <c r="D205" s="342" t="s">
        <v>51</v>
      </c>
      <c r="E205" s="342" t="s">
        <v>591</v>
      </c>
      <c r="F205" s="342" t="s">
        <v>1114</v>
      </c>
      <c r="G205" s="342" t="s">
        <v>4608</v>
      </c>
      <c r="H205" s="342" t="s">
        <v>2336</v>
      </c>
      <c r="I205" s="342" t="s">
        <v>2128</v>
      </c>
      <c r="J205" s="344" t="s">
        <v>2337</v>
      </c>
      <c r="M205" s="342" t="s">
        <v>4608</v>
      </c>
      <c r="N205" s="342" t="s">
        <v>2128</v>
      </c>
      <c r="Q205" s="342">
        <v>1</v>
      </c>
      <c r="R205" s="342" t="s">
        <v>2107</v>
      </c>
      <c r="S205" s="342" t="s">
        <v>2338</v>
      </c>
      <c r="T205" s="342" t="s">
        <v>2339</v>
      </c>
      <c r="U205" s="342" t="s">
        <v>2340</v>
      </c>
    </row>
    <row r="206" spans="1:21" ht="98">
      <c r="A206" s="342">
        <v>224029</v>
      </c>
      <c r="B206" s="342" t="s">
        <v>920</v>
      </c>
      <c r="C206" s="342" t="s">
        <v>922</v>
      </c>
      <c r="D206" s="342" t="s">
        <v>51</v>
      </c>
      <c r="E206" s="342" t="s">
        <v>591</v>
      </c>
      <c r="F206" s="342" t="s">
        <v>1114</v>
      </c>
      <c r="G206" s="342" t="s">
        <v>1288</v>
      </c>
      <c r="H206" s="342" t="s">
        <v>2341</v>
      </c>
      <c r="I206" s="342" t="s">
        <v>2128</v>
      </c>
      <c r="J206" s="344" t="s">
        <v>2129</v>
      </c>
      <c r="M206" s="342" t="s">
        <v>1288</v>
      </c>
      <c r="N206" s="342" t="s">
        <v>2128</v>
      </c>
      <c r="Q206" s="342">
        <v>1</v>
      </c>
      <c r="R206" s="342" t="s">
        <v>2107</v>
      </c>
      <c r="S206" s="342" t="s">
        <v>2342</v>
      </c>
      <c r="T206" s="342" t="s">
        <v>2131</v>
      </c>
    </row>
    <row r="207" spans="1:21" ht="280">
      <c r="A207" s="342">
        <v>225159</v>
      </c>
      <c r="B207" s="342" t="s">
        <v>404</v>
      </c>
      <c r="C207" s="342" t="s">
        <v>406</v>
      </c>
      <c r="D207" s="342" t="s">
        <v>55</v>
      </c>
      <c r="E207" s="342" t="s">
        <v>591</v>
      </c>
      <c r="F207" s="342" t="s">
        <v>40</v>
      </c>
      <c r="G207" s="342" t="s">
        <v>5282</v>
      </c>
      <c r="H207" s="342" t="s">
        <v>2159</v>
      </c>
      <c r="I207" s="342" t="s">
        <v>2072</v>
      </c>
      <c r="M207" s="342" t="s">
        <v>5282</v>
      </c>
      <c r="N207" s="342" t="s">
        <v>2073</v>
      </c>
      <c r="O207" s="342" t="s">
        <v>2113</v>
      </c>
      <c r="P207" s="342" t="s">
        <v>2075</v>
      </c>
      <c r="Q207" s="342">
        <v>3</v>
      </c>
      <c r="R207" s="342" t="s">
        <v>2085</v>
      </c>
      <c r="S207" s="344" t="s">
        <v>2160</v>
      </c>
    </row>
    <row r="208" spans="1:21" ht="154">
      <c r="A208" s="342">
        <v>225190</v>
      </c>
      <c r="B208" s="342" t="s">
        <v>1253</v>
      </c>
      <c r="C208" s="342" t="s">
        <v>93</v>
      </c>
      <c r="D208" s="342" t="s">
        <v>47</v>
      </c>
      <c r="E208" s="342" t="s">
        <v>591</v>
      </c>
      <c r="F208" s="342" t="s">
        <v>40</v>
      </c>
      <c r="G208" s="342" t="s">
        <v>5281</v>
      </c>
      <c r="H208" s="342" t="s">
        <v>2132</v>
      </c>
      <c r="I208" s="342" t="s">
        <v>2072</v>
      </c>
      <c r="M208" s="342" t="s">
        <v>5517</v>
      </c>
      <c r="N208" s="342" t="s">
        <v>2073</v>
      </c>
      <c r="O208" s="342" t="s">
        <v>2074</v>
      </c>
      <c r="P208" s="342" t="s">
        <v>2075</v>
      </c>
      <c r="Q208" s="342">
        <v>2</v>
      </c>
      <c r="R208" s="342" t="s">
        <v>2133</v>
      </c>
      <c r="S208" s="344" t="s">
        <v>2134</v>
      </c>
      <c r="T208" s="342" t="s">
        <v>2099</v>
      </c>
      <c r="U208" s="342" t="s">
        <v>2135</v>
      </c>
    </row>
    <row r="209" spans="1:21" ht="238">
      <c r="A209" s="342">
        <v>225218</v>
      </c>
      <c r="B209" s="342" t="s">
        <v>1132</v>
      </c>
      <c r="C209" s="342" t="s">
        <v>422</v>
      </c>
      <c r="D209" s="342" t="s">
        <v>51</v>
      </c>
      <c r="E209" s="342" t="s">
        <v>591</v>
      </c>
      <c r="F209" s="342" t="s">
        <v>40</v>
      </c>
      <c r="G209" s="342" t="s">
        <v>5283</v>
      </c>
      <c r="H209" s="342" t="s">
        <v>1132</v>
      </c>
      <c r="I209" s="342" t="s">
        <v>2072</v>
      </c>
      <c r="M209" s="342" t="s">
        <v>5283</v>
      </c>
      <c r="N209" s="342" t="s">
        <v>2073</v>
      </c>
      <c r="O209" s="342" t="s">
        <v>2116</v>
      </c>
      <c r="Q209" s="342">
        <v>3</v>
      </c>
      <c r="R209" s="342" t="s">
        <v>2085</v>
      </c>
      <c r="S209" s="344" t="s">
        <v>2343</v>
      </c>
      <c r="T209" s="342" t="s">
        <v>2087</v>
      </c>
      <c r="U209" s="342" t="s">
        <v>2168</v>
      </c>
    </row>
    <row r="210" spans="1:21">
      <c r="A210" s="342">
        <v>226247</v>
      </c>
      <c r="B210" s="342" t="s">
        <v>926</v>
      </c>
      <c r="C210" s="342" t="s">
        <v>410</v>
      </c>
      <c r="D210" s="342" t="s">
        <v>45</v>
      </c>
      <c r="E210" s="342" t="s">
        <v>591</v>
      </c>
      <c r="F210" s="342" t="s">
        <v>40</v>
      </c>
      <c r="G210" s="342" t="s">
        <v>5280</v>
      </c>
      <c r="H210" s="342" t="s">
        <v>1468</v>
      </c>
      <c r="I210" s="342" t="s">
        <v>2072</v>
      </c>
      <c r="M210" s="342" t="s">
        <v>5280</v>
      </c>
      <c r="N210" s="342" t="s">
        <v>2073</v>
      </c>
      <c r="P210" s="342" t="s">
        <v>2075</v>
      </c>
      <c r="Q210" s="342">
        <v>3</v>
      </c>
      <c r="R210" s="342" t="s">
        <v>2076</v>
      </c>
      <c r="S210" s="342" t="s">
        <v>2203</v>
      </c>
      <c r="T210" s="342" t="s">
        <v>2099</v>
      </c>
    </row>
    <row r="211" spans="1:21" ht="168">
      <c r="A211" s="342">
        <v>226516</v>
      </c>
      <c r="B211" s="342" t="s">
        <v>745</v>
      </c>
      <c r="C211" s="342" t="s">
        <v>272</v>
      </c>
      <c r="D211" s="342" t="s">
        <v>47</v>
      </c>
      <c r="E211" s="342" t="s">
        <v>591</v>
      </c>
      <c r="F211" s="342" t="s">
        <v>40</v>
      </c>
      <c r="G211" s="342" t="s">
        <v>5280</v>
      </c>
      <c r="H211" s="342" t="s">
        <v>743</v>
      </c>
      <c r="I211" s="342" t="s">
        <v>2072</v>
      </c>
      <c r="M211" s="342" t="s">
        <v>5280</v>
      </c>
      <c r="N211" s="342" t="s">
        <v>2073</v>
      </c>
      <c r="O211" s="342" t="s">
        <v>2074</v>
      </c>
      <c r="P211" s="342" t="s">
        <v>2075</v>
      </c>
      <c r="Q211" s="342">
        <v>2</v>
      </c>
      <c r="R211" s="342" t="s">
        <v>2076</v>
      </c>
      <c r="S211" s="344" t="s">
        <v>2096</v>
      </c>
      <c r="T211" s="342" t="s">
        <v>2077</v>
      </c>
    </row>
    <row r="212" spans="1:21" ht="224">
      <c r="A212" s="342">
        <v>226917</v>
      </c>
      <c r="B212" s="342" t="s">
        <v>412</v>
      </c>
      <c r="C212" s="342" t="s">
        <v>414</v>
      </c>
      <c r="D212" s="342" t="s">
        <v>51</v>
      </c>
      <c r="E212" s="342" t="s">
        <v>591</v>
      </c>
      <c r="F212" s="342" t="s">
        <v>40</v>
      </c>
      <c r="G212" s="342" t="s">
        <v>5450</v>
      </c>
      <c r="H212" s="342" t="s">
        <v>2132</v>
      </c>
      <c r="I212" s="342" t="s">
        <v>2079</v>
      </c>
      <c r="J212" s="344" t="s">
        <v>2344</v>
      </c>
      <c r="L212" s="342" t="s">
        <v>2040</v>
      </c>
      <c r="M212" s="342" t="s">
        <v>5517</v>
      </c>
      <c r="N212" s="342" t="s">
        <v>2073</v>
      </c>
      <c r="O212" s="342" t="s">
        <v>2074</v>
      </c>
      <c r="P212" s="342" t="s">
        <v>2075</v>
      </c>
      <c r="Q212" s="342">
        <v>2</v>
      </c>
      <c r="R212" s="342" t="s">
        <v>2133</v>
      </c>
      <c r="S212" s="344" t="s">
        <v>2134</v>
      </c>
      <c r="T212" s="342" t="s">
        <v>2099</v>
      </c>
      <c r="U212" s="342" t="s">
        <v>2135</v>
      </c>
    </row>
    <row r="213" spans="1:21">
      <c r="A213" s="342">
        <v>226961</v>
      </c>
      <c r="B213" s="342" t="s">
        <v>4807</v>
      </c>
      <c r="C213" s="342" t="s">
        <v>4808</v>
      </c>
      <c r="D213" s="342" t="s">
        <v>47</v>
      </c>
      <c r="E213" s="342" t="s">
        <v>591</v>
      </c>
      <c r="F213" s="342" t="s">
        <v>42</v>
      </c>
      <c r="G213" s="342" t="s">
        <v>1510</v>
      </c>
      <c r="H213" s="342" t="s">
        <v>4860</v>
      </c>
      <c r="I213" s="342" t="s">
        <v>4861</v>
      </c>
      <c r="M213" s="342" t="s">
        <v>1510</v>
      </c>
      <c r="N213" s="342" t="s">
        <v>4861</v>
      </c>
      <c r="Q213" s="342" t="s">
        <v>2168</v>
      </c>
    </row>
    <row r="214" spans="1:21">
      <c r="A214" s="342">
        <v>227939</v>
      </c>
      <c r="B214" s="342" t="s">
        <v>415</v>
      </c>
      <c r="C214" s="342" t="s">
        <v>195</v>
      </c>
      <c r="D214" s="342" t="s">
        <v>51</v>
      </c>
      <c r="E214" s="342" t="s">
        <v>591</v>
      </c>
      <c r="F214" s="342" t="s">
        <v>40</v>
      </c>
      <c r="G214" s="342" t="s">
        <v>5283</v>
      </c>
      <c r="H214" s="342" t="s">
        <v>2345</v>
      </c>
      <c r="I214" s="342" t="s">
        <v>2072</v>
      </c>
      <c r="M214" s="342" t="s">
        <v>5283</v>
      </c>
      <c r="N214" s="342" t="s">
        <v>2073</v>
      </c>
      <c r="Q214" s="342">
        <v>4</v>
      </c>
      <c r="R214" s="342" t="s">
        <v>4183</v>
      </c>
      <c r="S214" s="342" t="s">
        <v>4184</v>
      </c>
    </row>
    <row r="215" spans="1:21">
      <c r="A215" s="342">
        <v>228180</v>
      </c>
      <c r="B215" s="342" t="s">
        <v>622</v>
      </c>
      <c r="C215" s="342" t="s">
        <v>311</v>
      </c>
      <c r="D215" s="342" t="s">
        <v>47</v>
      </c>
      <c r="E215" s="342" t="s">
        <v>591</v>
      </c>
      <c r="F215" s="342" t="s">
        <v>40</v>
      </c>
      <c r="G215" s="342" t="s">
        <v>1277</v>
      </c>
      <c r="H215" s="342" t="s">
        <v>622</v>
      </c>
      <c r="I215" s="342" t="s">
        <v>2072</v>
      </c>
      <c r="M215" s="342" t="s">
        <v>1277</v>
      </c>
      <c r="N215" s="342" t="s">
        <v>2073</v>
      </c>
      <c r="O215" s="342" t="s">
        <v>2093</v>
      </c>
      <c r="Q215" s="342">
        <v>3</v>
      </c>
      <c r="R215" s="342" t="s">
        <v>2085</v>
      </c>
      <c r="S215" s="342" t="s">
        <v>2346</v>
      </c>
    </row>
    <row r="216" spans="1:21">
      <c r="A216" s="342">
        <v>228866</v>
      </c>
      <c r="B216" s="342" t="s">
        <v>1262</v>
      </c>
      <c r="C216" s="342" t="s">
        <v>417</v>
      </c>
      <c r="D216" s="342" t="s">
        <v>51</v>
      </c>
      <c r="E216" s="342" t="s">
        <v>591</v>
      </c>
      <c r="F216" s="342" t="s">
        <v>737</v>
      </c>
      <c r="G216" s="342" t="s">
        <v>5282</v>
      </c>
    </row>
    <row r="217" spans="1:21">
      <c r="A217" s="342">
        <v>232717</v>
      </c>
      <c r="B217" s="342" t="s">
        <v>5106</v>
      </c>
      <c r="C217" s="342" t="s">
        <v>922</v>
      </c>
      <c r="D217" s="342" t="s">
        <v>51</v>
      </c>
      <c r="E217" s="342" t="s">
        <v>591</v>
      </c>
      <c r="F217" s="342" t="s">
        <v>737</v>
      </c>
      <c r="G217" s="342" t="s">
        <v>786</v>
      </c>
    </row>
    <row r="218" spans="1:21">
      <c r="A218" s="342">
        <v>235918</v>
      </c>
      <c r="B218" s="342" t="s">
        <v>346</v>
      </c>
      <c r="C218" s="342" t="s">
        <v>422</v>
      </c>
      <c r="D218" s="342" t="s">
        <v>51</v>
      </c>
      <c r="E218" s="342" t="s">
        <v>591</v>
      </c>
      <c r="F218" s="342" t="s">
        <v>40</v>
      </c>
      <c r="G218" s="342" t="s">
        <v>5280</v>
      </c>
      <c r="H218" s="342" t="s">
        <v>346</v>
      </c>
      <c r="I218" s="342" t="s">
        <v>2072</v>
      </c>
      <c r="M218" s="342" t="s">
        <v>5280</v>
      </c>
      <c r="N218" s="342" t="s">
        <v>2073</v>
      </c>
      <c r="O218" s="342" t="s">
        <v>2074</v>
      </c>
      <c r="P218" s="342" t="s">
        <v>2301</v>
      </c>
      <c r="Q218" s="342">
        <v>3</v>
      </c>
      <c r="R218" s="342" t="s">
        <v>2076</v>
      </c>
      <c r="S218" s="342" t="s">
        <v>2307</v>
      </c>
      <c r="T218" s="342" t="s">
        <v>2099</v>
      </c>
      <c r="U218" s="342" t="s">
        <v>2308</v>
      </c>
    </row>
    <row r="219" spans="1:21">
      <c r="A219" s="342">
        <v>235978</v>
      </c>
      <c r="B219" s="342" t="s">
        <v>2529</v>
      </c>
      <c r="C219" s="342" t="s">
        <v>425</v>
      </c>
      <c r="D219" s="342" t="s">
        <v>51</v>
      </c>
      <c r="E219" s="342" t="s">
        <v>591</v>
      </c>
      <c r="F219" s="342" t="s">
        <v>40</v>
      </c>
      <c r="G219" s="342" t="s">
        <v>5449</v>
      </c>
      <c r="H219" s="342" t="s">
        <v>2097</v>
      </c>
      <c r="I219" s="342" t="s">
        <v>2072</v>
      </c>
      <c r="M219" s="342" t="s">
        <v>5449</v>
      </c>
      <c r="N219" s="342" t="s">
        <v>2073</v>
      </c>
      <c r="O219" s="342" t="s">
        <v>2074</v>
      </c>
      <c r="P219" s="342" t="s">
        <v>2075</v>
      </c>
      <c r="Q219" s="342">
        <v>2</v>
      </c>
      <c r="R219" s="342" t="s">
        <v>2076</v>
      </c>
      <c r="S219" s="342" t="s">
        <v>2098</v>
      </c>
      <c r="T219" s="342" t="s">
        <v>2099</v>
      </c>
    </row>
    <row r="220" spans="1:21">
      <c r="A220" s="342">
        <v>236359</v>
      </c>
      <c r="B220" s="342" t="s">
        <v>426</v>
      </c>
      <c r="C220" s="342" t="s">
        <v>429</v>
      </c>
      <c r="D220" s="342" t="s">
        <v>51</v>
      </c>
      <c r="E220" s="342" t="s">
        <v>591</v>
      </c>
      <c r="F220" s="342" t="s">
        <v>40</v>
      </c>
      <c r="G220" s="342" t="s">
        <v>5278</v>
      </c>
      <c r="H220" s="342" t="s">
        <v>2244</v>
      </c>
      <c r="I220" s="342" t="s">
        <v>2072</v>
      </c>
      <c r="M220" s="342" t="s">
        <v>5278</v>
      </c>
      <c r="N220" s="342" t="s">
        <v>2073</v>
      </c>
      <c r="O220" s="342" t="s">
        <v>2113</v>
      </c>
      <c r="P220" s="342" t="s">
        <v>2122</v>
      </c>
      <c r="Q220" s="342">
        <v>3</v>
      </c>
      <c r="R220" s="342" t="s">
        <v>2085</v>
      </c>
      <c r="S220" s="342" t="s">
        <v>2245</v>
      </c>
    </row>
    <row r="221" spans="1:21">
      <c r="A221" s="342">
        <v>239712</v>
      </c>
      <c r="B221" s="342" t="s">
        <v>4335</v>
      </c>
      <c r="C221" s="342" t="s">
        <v>4338</v>
      </c>
      <c r="D221" s="342" t="s">
        <v>45</v>
      </c>
      <c r="E221" s="342" t="s">
        <v>591</v>
      </c>
      <c r="F221" s="342" t="s">
        <v>40</v>
      </c>
      <c r="G221" s="342" t="s">
        <v>5449</v>
      </c>
      <c r="H221" s="342" t="s">
        <v>2097</v>
      </c>
      <c r="I221" s="342" t="s">
        <v>2072</v>
      </c>
      <c r="M221" s="342" t="s">
        <v>5449</v>
      </c>
      <c r="N221" s="342" t="s">
        <v>2073</v>
      </c>
      <c r="O221" s="342" t="s">
        <v>2074</v>
      </c>
      <c r="P221" s="342" t="s">
        <v>2075</v>
      </c>
      <c r="Q221" s="342">
        <v>2</v>
      </c>
      <c r="R221" s="342" t="s">
        <v>2076</v>
      </c>
      <c r="S221" s="342" t="s">
        <v>2098</v>
      </c>
      <c r="T221" s="342" t="s">
        <v>2099</v>
      </c>
    </row>
    <row r="222" spans="1:21" ht="154">
      <c r="A222" s="342">
        <v>248068</v>
      </c>
      <c r="B222" s="342" t="s">
        <v>4458</v>
      </c>
      <c r="C222" s="342" t="s">
        <v>418</v>
      </c>
      <c r="D222" s="342" t="s">
        <v>45</v>
      </c>
      <c r="E222" s="342" t="s">
        <v>591</v>
      </c>
      <c r="F222" s="342" t="s">
        <v>40</v>
      </c>
      <c r="G222" s="342" t="s">
        <v>5282</v>
      </c>
      <c r="H222" s="342" t="s">
        <v>2220</v>
      </c>
      <c r="I222" s="342" t="s">
        <v>2072</v>
      </c>
      <c r="M222" s="342" t="s">
        <v>5282</v>
      </c>
      <c r="N222" s="342" t="s">
        <v>2073</v>
      </c>
      <c r="O222" s="342" t="s">
        <v>2074</v>
      </c>
      <c r="Q222" s="342">
        <v>2</v>
      </c>
      <c r="R222" s="342" t="s">
        <v>2076</v>
      </c>
      <c r="S222" s="344" t="s">
        <v>2221</v>
      </c>
      <c r="T222" s="342" t="s">
        <v>2077</v>
      </c>
    </row>
    <row r="223" spans="1:21" ht="409.5">
      <c r="A223" s="342">
        <v>248123</v>
      </c>
      <c r="B223" s="342" t="s">
        <v>430</v>
      </c>
      <c r="C223" s="342" t="s">
        <v>140</v>
      </c>
      <c r="D223" s="342" t="s">
        <v>45</v>
      </c>
      <c r="E223" s="342" t="s">
        <v>591</v>
      </c>
      <c r="F223" s="342" t="s">
        <v>40</v>
      </c>
      <c r="G223" s="342" t="s">
        <v>5283</v>
      </c>
      <c r="H223" s="342" t="s">
        <v>2141</v>
      </c>
      <c r="I223" s="342" t="s">
        <v>2072</v>
      </c>
      <c r="M223" s="342" t="s">
        <v>5283</v>
      </c>
      <c r="N223" s="342" t="s">
        <v>2073</v>
      </c>
      <c r="O223" s="342" t="s">
        <v>2074</v>
      </c>
      <c r="Q223" s="342">
        <v>2</v>
      </c>
      <c r="R223" s="342" t="s">
        <v>2076</v>
      </c>
      <c r="S223" s="344" t="s">
        <v>2496</v>
      </c>
      <c r="T223" s="342" t="s">
        <v>2099</v>
      </c>
      <c r="U223" s="344" t="s">
        <v>2142</v>
      </c>
    </row>
    <row r="224" spans="1:21">
      <c r="A224" s="342">
        <v>249210</v>
      </c>
      <c r="B224" s="342" t="s">
        <v>764</v>
      </c>
      <c r="C224" s="342" t="s">
        <v>766</v>
      </c>
      <c r="D224" s="342" t="s">
        <v>526</v>
      </c>
      <c r="E224" s="342" t="s">
        <v>591</v>
      </c>
      <c r="F224" s="342" t="s">
        <v>40</v>
      </c>
      <c r="G224" s="342" t="s">
        <v>1510</v>
      </c>
      <c r="H224" s="342" t="s">
        <v>2348</v>
      </c>
      <c r="I224" s="342" t="s">
        <v>2090</v>
      </c>
      <c r="M224" s="342" t="s">
        <v>1510</v>
      </c>
      <c r="N224" s="342" t="s">
        <v>2090</v>
      </c>
      <c r="O224" s="342" t="s">
        <v>2105</v>
      </c>
      <c r="Q224" s="342">
        <v>2</v>
      </c>
      <c r="R224" s="342" t="s">
        <v>2085</v>
      </c>
      <c r="S224" s="342" t="s">
        <v>2349</v>
      </c>
      <c r="T224" s="342" t="s">
        <v>2099</v>
      </c>
      <c r="U224" s="342" t="s">
        <v>2350</v>
      </c>
    </row>
    <row r="225" spans="1:21">
      <c r="A225" s="342">
        <v>249853</v>
      </c>
      <c r="B225" s="342" t="s">
        <v>931</v>
      </c>
      <c r="C225" s="342" t="s">
        <v>488</v>
      </c>
      <c r="D225" s="342" t="s">
        <v>175</v>
      </c>
      <c r="E225" s="342" t="s">
        <v>591</v>
      </c>
      <c r="F225" s="342" t="s">
        <v>41</v>
      </c>
      <c r="G225" s="342" t="s">
        <v>1510</v>
      </c>
      <c r="H225" s="342" t="s">
        <v>2348</v>
      </c>
      <c r="I225" s="342" t="s">
        <v>2090</v>
      </c>
      <c r="M225" s="342" t="s">
        <v>1510</v>
      </c>
      <c r="N225" s="342" t="s">
        <v>2104</v>
      </c>
      <c r="P225" s="342" t="s">
        <v>2194</v>
      </c>
      <c r="Q225" s="342">
        <v>2</v>
      </c>
      <c r="R225" s="342" t="s">
        <v>2107</v>
      </c>
      <c r="S225" s="342" t="s">
        <v>2351</v>
      </c>
      <c r="T225" s="342" t="s">
        <v>2217</v>
      </c>
      <c r="U225" s="342" t="s">
        <v>4220</v>
      </c>
    </row>
    <row r="226" spans="1:21" ht="126">
      <c r="A226" s="342">
        <v>249853</v>
      </c>
      <c r="B226" s="342" t="s">
        <v>931</v>
      </c>
      <c r="C226" s="342" t="s">
        <v>488</v>
      </c>
      <c r="D226" s="342" t="s">
        <v>175</v>
      </c>
      <c r="E226" s="342" t="s">
        <v>591</v>
      </c>
      <c r="F226" s="342" t="s">
        <v>784</v>
      </c>
      <c r="G226" s="342" t="s">
        <v>1336</v>
      </c>
      <c r="H226" s="342" t="s">
        <v>931</v>
      </c>
      <c r="I226" s="342" t="s">
        <v>2229</v>
      </c>
      <c r="J226" s="344" t="s">
        <v>2352</v>
      </c>
      <c r="M226" s="342" t="s">
        <v>1336</v>
      </c>
      <c r="N226" s="342" t="s">
        <v>2231</v>
      </c>
      <c r="O226" s="342" t="s">
        <v>2105</v>
      </c>
      <c r="P226" s="342" t="s">
        <v>2353</v>
      </c>
      <c r="Q226" s="342">
        <v>3</v>
      </c>
      <c r="R226" s="342" t="s">
        <v>2107</v>
      </c>
      <c r="S226" s="344" t="s">
        <v>2354</v>
      </c>
      <c r="T226" s="342" t="s">
        <v>2233</v>
      </c>
      <c r="U226" s="344" t="s">
        <v>2355</v>
      </c>
    </row>
    <row r="227" spans="1:21" ht="168">
      <c r="A227" s="342">
        <v>249853</v>
      </c>
      <c r="B227" s="342" t="s">
        <v>931</v>
      </c>
      <c r="C227" s="342" t="s">
        <v>488</v>
      </c>
      <c r="D227" s="342" t="s">
        <v>175</v>
      </c>
      <c r="E227" s="342" t="s">
        <v>591</v>
      </c>
      <c r="F227" s="342" t="s">
        <v>787</v>
      </c>
      <c r="G227" s="342" t="s">
        <v>1336</v>
      </c>
      <c r="H227" s="342" t="s">
        <v>2356</v>
      </c>
      <c r="I227" s="342" t="s">
        <v>2234</v>
      </c>
      <c r="J227" s="342" t="s">
        <v>2235</v>
      </c>
      <c r="M227" s="342" t="s">
        <v>1336</v>
      </c>
      <c r="N227" s="342" t="s">
        <v>2104</v>
      </c>
      <c r="O227" s="342" t="s">
        <v>2105</v>
      </c>
      <c r="P227" s="342" t="s">
        <v>2194</v>
      </c>
      <c r="Q227" s="342">
        <v>3</v>
      </c>
      <c r="R227" s="342" t="s">
        <v>2107</v>
      </c>
      <c r="S227" s="344" t="s">
        <v>2357</v>
      </c>
      <c r="U227" s="344" t="s">
        <v>2358</v>
      </c>
    </row>
    <row r="228" spans="1:21">
      <c r="A228" s="342">
        <v>250404</v>
      </c>
      <c r="B228" s="342" t="s">
        <v>1115</v>
      </c>
      <c r="C228" s="342" t="s">
        <v>431</v>
      </c>
      <c r="D228" s="342" t="s">
        <v>126</v>
      </c>
      <c r="E228" s="342" t="s">
        <v>591</v>
      </c>
      <c r="F228" s="342" t="s">
        <v>40</v>
      </c>
      <c r="G228" s="342" t="s">
        <v>1510</v>
      </c>
      <c r="H228" s="342" t="s">
        <v>2359</v>
      </c>
      <c r="I228" s="342" t="s">
        <v>2072</v>
      </c>
      <c r="M228" s="342" t="s">
        <v>1510</v>
      </c>
      <c r="N228" s="342" t="s">
        <v>2143</v>
      </c>
      <c r="O228" s="342" t="s">
        <v>2137</v>
      </c>
      <c r="Q228" s="342">
        <v>3</v>
      </c>
      <c r="R228" s="342" t="s">
        <v>2144</v>
      </c>
      <c r="S228" s="342" t="s">
        <v>2360</v>
      </c>
    </row>
    <row r="229" spans="1:21" ht="154">
      <c r="A229" s="342">
        <v>250555</v>
      </c>
      <c r="B229" s="342" t="s">
        <v>933</v>
      </c>
      <c r="C229" s="342" t="s">
        <v>419</v>
      </c>
      <c r="D229" s="342" t="s">
        <v>45</v>
      </c>
      <c r="E229" s="342" t="s">
        <v>591</v>
      </c>
      <c r="F229" s="342" t="s">
        <v>40</v>
      </c>
      <c r="G229" s="342" t="s">
        <v>5281</v>
      </c>
      <c r="H229" s="342" t="s">
        <v>2132</v>
      </c>
      <c r="I229" s="342" t="s">
        <v>2072</v>
      </c>
      <c r="M229" s="342" t="s">
        <v>5517</v>
      </c>
      <c r="N229" s="342" t="s">
        <v>2073</v>
      </c>
      <c r="O229" s="342" t="s">
        <v>2074</v>
      </c>
      <c r="P229" s="342" t="s">
        <v>2075</v>
      </c>
      <c r="Q229" s="342">
        <v>2</v>
      </c>
      <c r="R229" s="342" t="s">
        <v>2133</v>
      </c>
      <c r="S229" s="344" t="s">
        <v>2134</v>
      </c>
      <c r="T229" s="342" t="s">
        <v>2099</v>
      </c>
      <c r="U229" s="342" t="s">
        <v>2135</v>
      </c>
    </row>
    <row r="230" spans="1:21" ht="294">
      <c r="A230" s="342">
        <v>251277</v>
      </c>
      <c r="B230" s="342" t="s">
        <v>435</v>
      </c>
      <c r="C230" s="342" t="s">
        <v>437</v>
      </c>
      <c r="D230" s="342" t="s">
        <v>55</v>
      </c>
      <c r="E230" s="342" t="s">
        <v>591</v>
      </c>
      <c r="F230" s="342" t="s">
        <v>40</v>
      </c>
      <c r="G230" s="342" t="s">
        <v>4638</v>
      </c>
      <c r="H230" s="342" t="s">
        <v>2361</v>
      </c>
      <c r="I230" s="342" t="s">
        <v>2072</v>
      </c>
      <c r="M230" s="342" t="s">
        <v>4638</v>
      </c>
      <c r="N230" s="342" t="s">
        <v>2073</v>
      </c>
      <c r="O230" s="342" t="s">
        <v>2116</v>
      </c>
      <c r="P230" s="342" t="s">
        <v>2075</v>
      </c>
      <c r="Q230" s="342">
        <v>3</v>
      </c>
      <c r="R230" s="342" t="s">
        <v>2076</v>
      </c>
      <c r="S230" s="344" t="s">
        <v>2362</v>
      </c>
      <c r="T230" s="342" t="s">
        <v>2077</v>
      </c>
      <c r="U230" s="344" t="s">
        <v>2363</v>
      </c>
    </row>
    <row r="231" spans="1:21">
      <c r="A231" s="342">
        <v>251321</v>
      </c>
      <c r="B231" s="342" t="s">
        <v>1255</v>
      </c>
      <c r="C231" s="342" t="s">
        <v>742</v>
      </c>
      <c r="D231" s="342" t="s">
        <v>51</v>
      </c>
      <c r="E231" s="342" t="s">
        <v>591</v>
      </c>
      <c r="F231" s="342" t="s">
        <v>40</v>
      </c>
      <c r="G231" s="342" t="s">
        <v>5449</v>
      </c>
      <c r="H231" s="342" t="s">
        <v>2097</v>
      </c>
      <c r="I231" s="342" t="s">
        <v>2072</v>
      </c>
      <c r="M231" s="342" t="s">
        <v>5449</v>
      </c>
      <c r="N231" s="342" t="s">
        <v>2073</v>
      </c>
      <c r="O231" s="342" t="s">
        <v>2074</v>
      </c>
      <c r="P231" s="342" t="s">
        <v>2075</v>
      </c>
      <c r="Q231" s="342">
        <v>2</v>
      </c>
      <c r="R231" s="342" t="s">
        <v>2076</v>
      </c>
      <c r="S231" s="342" t="s">
        <v>2098</v>
      </c>
      <c r="T231" s="342" t="s">
        <v>2099</v>
      </c>
    </row>
    <row r="232" spans="1:21" ht="409.5">
      <c r="A232" s="342">
        <v>251706</v>
      </c>
      <c r="B232" s="342" t="s">
        <v>1083</v>
      </c>
      <c r="C232" s="342" t="s">
        <v>439</v>
      </c>
      <c r="D232" s="342" t="s">
        <v>51</v>
      </c>
      <c r="E232" s="342" t="s">
        <v>591</v>
      </c>
      <c r="F232" s="342" t="s">
        <v>40</v>
      </c>
      <c r="G232" s="342" t="s">
        <v>5283</v>
      </c>
      <c r="H232" s="342" t="s">
        <v>2141</v>
      </c>
      <c r="I232" s="342" t="s">
        <v>2072</v>
      </c>
      <c r="M232" s="342" t="s">
        <v>5283</v>
      </c>
      <c r="N232" s="342" t="s">
        <v>2073</v>
      </c>
      <c r="O232" s="342" t="s">
        <v>2074</v>
      </c>
      <c r="Q232" s="342">
        <v>2</v>
      </c>
      <c r="R232" s="342" t="s">
        <v>2076</v>
      </c>
      <c r="S232" s="344" t="s">
        <v>2496</v>
      </c>
      <c r="T232" s="342" t="s">
        <v>2099</v>
      </c>
      <c r="U232" s="344" t="s">
        <v>2142</v>
      </c>
    </row>
    <row r="233" spans="1:21" ht="196">
      <c r="A233" s="342">
        <v>251933</v>
      </c>
      <c r="B233" s="342" t="s">
        <v>296</v>
      </c>
      <c r="C233" s="342" t="s">
        <v>295</v>
      </c>
      <c r="D233" s="342" t="s">
        <v>51</v>
      </c>
      <c r="E233" s="342" t="s">
        <v>591</v>
      </c>
      <c r="F233" s="342" t="s">
        <v>40</v>
      </c>
      <c r="G233" s="342" t="s">
        <v>5278</v>
      </c>
      <c r="H233" s="342" t="s">
        <v>2071</v>
      </c>
      <c r="I233" s="342" t="s">
        <v>2072</v>
      </c>
      <c r="M233" s="342" t="s">
        <v>1336</v>
      </c>
      <c r="N233" s="342" t="s">
        <v>2079</v>
      </c>
      <c r="O233" s="342" t="s">
        <v>2074</v>
      </c>
      <c r="P233" s="342" t="s">
        <v>2075</v>
      </c>
      <c r="Q233" s="342">
        <v>2</v>
      </c>
      <c r="R233" s="342" t="s">
        <v>2076</v>
      </c>
      <c r="S233" s="344" t="s">
        <v>2495</v>
      </c>
      <c r="T233" s="342" t="s">
        <v>2077</v>
      </c>
    </row>
    <row r="234" spans="1:21">
      <c r="A234" s="342">
        <v>255340</v>
      </c>
      <c r="B234" s="342" t="s">
        <v>442</v>
      </c>
      <c r="C234" s="342" t="s">
        <v>444</v>
      </c>
      <c r="D234" s="342" t="s">
        <v>55</v>
      </c>
      <c r="E234" s="342" t="s">
        <v>591</v>
      </c>
      <c r="F234" s="342" t="s">
        <v>40</v>
      </c>
      <c r="G234" s="342" t="s">
        <v>5280</v>
      </c>
      <c r="H234" s="342" t="s">
        <v>442</v>
      </c>
      <c r="I234" s="342" t="s">
        <v>2072</v>
      </c>
      <c r="M234" s="342" t="s">
        <v>5280</v>
      </c>
      <c r="N234" s="342" t="s">
        <v>2092</v>
      </c>
      <c r="O234" s="342" t="s">
        <v>2113</v>
      </c>
      <c r="P234" s="342" t="s">
        <v>2301</v>
      </c>
      <c r="Q234" s="342">
        <v>3</v>
      </c>
      <c r="R234" s="342" t="s">
        <v>2085</v>
      </c>
      <c r="S234" s="342" t="s">
        <v>2364</v>
      </c>
    </row>
    <row r="235" spans="1:21" ht="280">
      <c r="A235" s="342">
        <v>256985</v>
      </c>
      <c r="B235" s="342" t="s">
        <v>446</v>
      </c>
      <c r="C235" s="342" t="s">
        <v>449</v>
      </c>
      <c r="D235" s="342" t="s">
        <v>51</v>
      </c>
      <c r="E235" s="342" t="s">
        <v>591</v>
      </c>
      <c r="F235" s="342" t="s">
        <v>40</v>
      </c>
      <c r="G235" s="342" t="s">
        <v>5282</v>
      </c>
      <c r="H235" s="342" t="s">
        <v>2171</v>
      </c>
      <c r="I235" s="342" t="s">
        <v>2072</v>
      </c>
      <c r="M235" s="342" t="s">
        <v>5282</v>
      </c>
      <c r="N235" s="342" t="s">
        <v>2073</v>
      </c>
      <c r="O235" s="342" t="s">
        <v>2093</v>
      </c>
      <c r="Q235" s="342">
        <v>2</v>
      </c>
      <c r="R235" s="342" t="s">
        <v>2076</v>
      </c>
      <c r="S235" s="344" t="s">
        <v>2172</v>
      </c>
      <c r="T235" s="342" t="s">
        <v>2077</v>
      </c>
    </row>
    <row r="236" spans="1:21" ht="409.5">
      <c r="A236" s="342">
        <v>258509</v>
      </c>
      <c r="B236" s="342" t="s">
        <v>1240</v>
      </c>
      <c r="C236" s="342" t="s">
        <v>315</v>
      </c>
      <c r="D236" s="342" t="s">
        <v>47</v>
      </c>
      <c r="E236" s="342" t="s">
        <v>591</v>
      </c>
      <c r="F236" s="342" t="s">
        <v>40</v>
      </c>
      <c r="G236" s="342" t="s">
        <v>5281</v>
      </c>
      <c r="H236" s="342" t="s">
        <v>2365</v>
      </c>
      <c r="I236" s="342" t="s">
        <v>2079</v>
      </c>
      <c r="J236" s="344" t="s">
        <v>2366</v>
      </c>
      <c r="L236" s="342" t="s">
        <v>2041</v>
      </c>
      <c r="M236" s="342" t="s">
        <v>5281</v>
      </c>
      <c r="N236" s="342" t="s">
        <v>2367</v>
      </c>
      <c r="O236" s="342" t="s">
        <v>2116</v>
      </c>
      <c r="Q236" s="342">
        <v>3</v>
      </c>
      <c r="R236" s="342" t="s">
        <v>2133</v>
      </c>
      <c r="S236" s="344" t="s">
        <v>2368</v>
      </c>
      <c r="T236" s="342" t="s">
        <v>2087</v>
      </c>
      <c r="U236" s="342" t="s">
        <v>2369</v>
      </c>
    </row>
    <row r="237" spans="1:21">
      <c r="A237" s="342">
        <v>260328</v>
      </c>
      <c r="B237" s="342" t="s">
        <v>450</v>
      </c>
      <c r="C237" s="342" t="s">
        <v>1112</v>
      </c>
      <c r="D237" s="342" t="s">
        <v>47</v>
      </c>
      <c r="E237" s="342" t="s">
        <v>591</v>
      </c>
      <c r="F237" s="342" t="s">
        <v>40</v>
      </c>
      <c r="G237" s="342" t="s">
        <v>5278</v>
      </c>
      <c r="H237" s="342" t="s">
        <v>2078</v>
      </c>
      <c r="I237" s="342" t="s">
        <v>2072</v>
      </c>
      <c r="M237" s="342" t="s">
        <v>5278</v>
      </c>
      <c r="N237" s="342" t="s">
        <v>4417</v>
      </c>
      <c r="Q237" s="342">
        <v>4</v>
      </c>
      <c r="R237" s="342" t="s">
        <v>2080</v>
      </c>
      <c r="S237" s="342" t="s">
        <v>2081</v>
      </c>
      <c r="T237" s="342" t="s">
        <v>2082</v>
      </c>
      <c r="U237" s="342" t="s">
        <v>2083</v>
      </c>
    </row>
    <row r="238" spans="1:21">
      <c r="A238" s="342">
        <v>260431</v>
      </c>
      <c r="B238" s="342" t="s">
        <v>676</v>
      </c>
      <c r="C238" s="342" t="s">
        <v>74</v>
      </c>
      <c r="D238" s="342" t="s">
        <v>55</v>
      </c>
      <c r="E238" s="342" t="s">
        <v>591</v>
      </c>
      <c r="F238" s="342" t="s">
        <v>40</v>
      </c>
      <c r="G238" s="342" t="s">
        <v>5449</v>
      </c>
      <c r="H238" s="342" t="s">
        <v>2097</v>
      </c>
      <c r="I238" s="342" t="s">
        <v>2072</v>
      </c>
      <c r="M238" s="342" t="s">
        <v>5449</v>
      </c>
      <c r="N238" s="342" t="s">
        <v>2073</v>
      </c>
      <c r="O238" s="342" t="s">
        <v>2074</v>
      </c>
      <c r="P238" s="342" t="s">
        <v>2075</v>
      </c>
      <c r="Q238" s="342">
        <v>2</v>
      </c>
      <c r="R238" s="342" t="s">
        <v>2076</v>
      </c>
      <c r="S238" s="342" t="s">
        <v>2098</v>
      </c>
      <c r="T238" s="342" t="s">
        <v>2099</v>
      </c>
    </row>
    <row r="239" spans="1:21">
      <c r="A239" s="342">
        <v>261526</v>
      </c>
      <c r="B239" s="342" t="s">
        <v>1344</v>
      </c>
      <c r="C239" s="342" t="s">
        <v>1346</v>
      </c>
      <c r="D239" s="342" t="s">
        <v>55</v>
      </c>
      <c r="E239" s="342" t="s">
        <v>591</v>
      </c>
      <c r="F239" s="342" t="s">
        <v>40</v>
      </c>
      <c r="G239" s="342" t="s">
        <v>5279</v>
      </c>
      <c r="H239" s="342" t="s">
        <v>2161</v>
      </c>
      <c r="I239" s="342" t="s">
        <v>2072</v>
      </c>
      <c r="M239" s="342" t="s">
        <v>5279</v>
      </c>
      <c r="N239" s="342" t="s">
        <v>2073</v>
      </c>
      <c r="O239" s="342" t="s">
        <v>2074</v>
      </c>
      <c r="P239" s="342" t="s">
        <v>2075</v>
      </c>
      <c r="Q239" s="342">
        <v>2</v>
      </c>
      <c r="R239" s="342" t="s">
        <v>2076</v>
      </c>
      <c r="S239" s="342" t="s">
        <v>2162</v>
      </c>
      <c r="T239" s="342" t="s">
        <v>2099</v>
      </c>
      <c r="U239" s="342" t="s">
        <v>2163</v>
      </c>
    </row>
    <row r="240" spans="1:21" ht="409.5">
      <c r="A240" s="342">
        <v>261563</v>
      </c>
      <c r="B240" s="342" t="s">
        <v>691</v>
      </c>
      <c r="C240" s="342" t="s">
        <v>692</v>
      </c>
      <c r="D240" s="342" t="s">
        <v>47</v>
      </c>
      <c r="E240" s="342" t="s">
        <v>591</v>
      </c>
      <c r="F240" s="342" t="s">
        <v>40</v>
      </c>
      <c r="G240" s="342" t="s">
        <v>5283</v>
      </c>
      <c r="H240" s="342" t="s">
        <v>2141</v>
      </c>
      <c r="I240" s="342" t="s">
        <v>2072</v>
      </c>
      <c r="M240" s="342" t="s">
        <v>5283</v>
      </c>
      <c r="N240" s="342" t="s">
        <v>2073</v>
      </c>
      <c r="O240" s="342" t="s">
        <v>2074</v>
      </c>
      <c r="Q240" s="342">
        <v>2</v>
      </c>
      <c r="R240" s="342" t="s">
        <v>2076</v>
      </c>
      <c r="S240" s="344" t="s">
        <v>2496</v>
      </c>
      <c r="T240" s="342" t="s">
        <v>2099</v>
      </c>
      <c r="U240" s="344" t="s">
        <v>2142</v>
      </c>
    </row>
    <row r="241" spans="1:21">
      <c r="A241" s="342">
        <v>262821</v>
      </c>
      <c r="B241" s="342" t="s">
        <v>1497</v>
      </c>
      <c r="C241" s="342" t="s">
        <v>759</v>
      </c>
      <c r="D241" s="342" t="s">
        <v>51</v>
      </c>
      <c r="E241" s="342" t="s">
        <v>591</v>
      </c>
      <c r="F241" s="342" t="s">
        <v>40</v>
      </c>
      <c r="G241" s="342" t="s">
        <v>5449</v>
      </c>
      <c r="H241" s="342" t="s">
        <v>2097</v>
      </c>
      <c r="I241" s="342" t="s">
        <v>2072</v>
      </c>
      <c r="M241" s="342" t="s">
        <v>5449</v>
      </c>
      <c r="N241" s="342" t="s">
        <v>2073</v>
      </c>
      <c r="O241" s="342" t="s">
        <v>2074</v>
      </c>
      <c r="P241" s="342" t="s">
        <v>2075</v>
      </c>
      <c r="Q241" s="342">
        <v>2</v>
      </c>
      <c r="R241" s="342" t="s">
        <v>2076</v>
      </c>
      <c r="S241" s="342" t="s">
        <v>2098</v>
      </c>
      <c r="T241" s="342" t="s">
        <v>2099</v>
      </c>
    </row>
    <row r="242" spans="1:21" ht="168">
      <c r="A242" s="342">
        <v>265355</v>
      </c>
      <c r="B242" s="342" t="s">
        <v>946</v>
      </c>
      <c r="C242" s="342" t="s">
        <v>336</v>
      </c>
      <c r="D242" s="342" t="s">
        <v>337</v>
      </c>
      <c r="E242" s="342" t="s">
        <v>591</v>
      </c>
      <c r="F242" s="342" t="s">
        <v>40</v>
      </c>
      <c r="G242" s="342" t="s">
        <v>5280</v>
      </c>
      <c r="H242" s="342" t="s">
        <v>743</v>
      </c>
      <c r="I242" s="342" t="s">
        <v>2072</v>
      </c>
      <c r="M242" s="342" t="s">
        <v>5280</v>
      </c>
      <c r="N242" s="342" t="s">
        <v>2073</v>
      </c>
      <c r="O242" s="342" t="s">
        <v>2074</v>
      </c>
      <c r="P242" s="342" t="s">
        <v>2075</v>
      </c>
      <c r="Q242" s="342">
        <v>2</v>
      </c>
      <c r="R242" s="342" t="s">
        <v>2076</v>
      </c>
      <c r="S242" s="344" t="s">
        <v>2096</v>
      </c>
      <c r="T242" s="342" t="s">
        <v>2077</v>
      </c>
    </row>
    <row r="243" spans="1:21">
      <c r="A243" s="342">
        <v>266317</v>
      </c>
      <c r="B243" s="342" t="s">
        <v>1179</v>
      </c>
      <c r="C243" s="342" t="s">
        <v>1157</v>
      </c>
      <c r="D243" s="342" t="s">
        <v>51</v>
      </c>
      <c r="E243" s="342" t="s">
        <v>591</v>
      </c>
      <c r="F243" s="342" t="s">
        <v>41</v>
      </c>
      <c r="G243" s="342" t="s">
        <v>786</v>
      </c>
      <c r="H243" s="342" t="s">
        <v>2370</v>
      </c>
      <c r="I243" s="342" t="s">
        <v>2090</v>
      </c>
      <c r="M243" s="342" t="s">
        <v>786</v>
      </c>
      <c r="N243" s="342" t="s">
        <v>2104</v>
      </c>
      <c r="P243" s="342" t="s">
        <v>2194</v>
      </c>
      <c r="Q243" s="342">
        <v>2</v>
      </c>
      <c r="R243" s="342" t="s">
        <v>2107</v>
      </c>
      <c r="S243" s="342" t="s">
        <v>2371</v>
      </c>
      <c r="T243" s="342" t="s">
        <v>2217</v>
      </c>
      <c r="U243" s="342" t="s">
        <v>4221</v>
      </c>
    </row>
    <row r="244" spans="1:21" ht="182">
      <c r="A244" s="342">
        <v>266318</v>
      </c>
      <c r="B244" s="342" t="s">
        <v>1384</v>
      </c>
      <c r="C244" s="342" t="s">
        <v>336</v>
      </c>
      <c r="D244" s="342" t="s">
        <v>337</v>
      </c>
      <c r="E244" s="342" t="s">
        <v>591</v>
      </c>
      <c r="F244" s="342" t="s">
        <v>41</v>
      </c>
      <c r="G244" s="342" t="s">
        <v>786</v>
      </c>
      <c r="H244" s="342" t="s">
        <v>2372</v>
      </c>
      <c r="I244" s="342" t="s">
        <v>2090</v>
      </c>
      <c r="M244" s="342" t="s">
        <v>786</v>
      </c>
      <c r="N244" s="342" t="s">
        <v>2104</v>
      </c>
      <c r="P244" s="342" t="s">
        <v>2106</v>
      </c>
      <c r="Q244" s="342">
        <v>1</v>
      </c>
      <c r="R244" s="342" t="s">
        <v>2107</v>
      </c>
      <c r="S244" s="344" t="s">
        <v>4222</v>
      </c>
      <c r="T244" s="342" t="s">
        <v>2217</v>
      </c>
      <c r="U244" s="342" t="s">
        <v>4223</v>
      </c>
    </row>
    <row r="245" spans="1:21" ht="210">
      <c r="A245" s="342">
        <v>266728</v>
      </c>
      <c r="B245" s="342" t="s">
        <v>4738</v>
      </c>
      <c r="C245" s="342" t="s">
        <v>4740</v>
      </c>
      <c r="D245" s="342" t="s">
        <v>175</v>
      </c>
      <c r="E245" s="342" t="s">
        <v>591</v>
      </c>
      <c r="F245" s="342" t="s">
        <v>40</v>
      </c>
      <c r="G245" s="342" t="s">
        <v>5450</v>
      </c>
      <c r="H245" s="342" t="s">
        <v>2132</v>
      </c>
      <c r="I245" s="342" t="s">
        <v>4805</v>
      </c>
      <c r="J245" s="344" t="s">
        <v>4822</v>
      </c>
      <c r="L245" s="342" t="s">
        <v>4751</v>
      </c>
      <c r="M245" s="342" t="s">
        <v>5517</v>
      </c>
      <c r="N245" s="342" t="s">
        <v>2073</v>
      </c>
      <c r="O245" s="342" t="s">
        <v>2074</v>
      </c>
      <c r="P245" s="342" t="s">
        <v>2075</v>
      </c>
      <c r="Q245" s="342">
        <v>2</v>
      </c>
      <c r="R245" s="342" t="s">
        <v>2133</v>
      </c>
      <c r="S245" s="344" t="s">
        <v>2134</v>
      </c>
      <c r="T245" s="342" t="s">
        <v>2099</v>
      </c>
      <c r="U245" s="342" t="s">
        <v>2135</v>
      </c>
    </row>
    <row r="246" spans="1:21">
      <c r="A246" s="342">
        <v>267008</v>
      </c>
      <c r="B246" s="342" t="s">
        <v>1068</v>
      </c>
      <c r="C246" s="342" t="s">
        <v>455</v>
      </c>
      <c r="D246" s="342" t="s">
        <v>47</v>
      </c>
      <c r="E246" s="342" t="s">
        <v>591</v>
      </c>
      <c r="F246" s="342" t="s">
        <v>40</v>
      </c>
      <c r="G246" s="342" t="s">
        <v>5280</v>
      </c>
      <c r="H246" s="342" t="s">
        <v>1068</v>
      </c>
      <c r="I246" s="342" t="s">
        <v>2072</v>
      </c>
      <c r="M246" s="342" t="s">
        <v>5280</v>
      </c>
      <c r="N246" s="342" t="s">
        <v>2143</v>
      </c>
      <c r="O246" s="342" t="s">
        <v>2074</v>
      </c>
      <c r="Q246" s="342">
        <v>3</v>
      </c>
      <c r="R246" s="342" t="s">
        <v>2085</v>
      </c>
      <c r="S246" s="342" t="s">
        <v>2373</v>
      </c>
      <c r="T246" s="342" t="s">
        <v>2099</v>
      </c>
    </row>
    <row r="247" spans="1:21">
      <c r="A247" s="342">
        <v>267698</v>
      </c>
      <c r="B247" s="342" t="s">
        <v>4245</v>
      </c>
      <c r="C247" s="342" t="s">
        <v>456</v>
      </c>
      <c r="D247" s="342" t="s">
        <v>55</v>
      </c>
      <c r="E247" s="342" t="s">
        <v>591</v>
      </c>
      <c r="F247" s="342" t="s">
        <v>737</v>
      </c>
      <c r="G247" s="342" t="s">
        <v>1277</v>
      </c>
    </row>
    <row r="248" spans="1:21" ht="266">
      <c r="A248" s="342">
        <v>268930</v>
      </c>
      <c r="B248" s="342" t="s">
        <v>457</v>
      </c>
      <c r="C248" s="342" t="s">
        <v>336</v>
      </c>
      <c r="D248" s="342" t="s">
        <v>337</v>
      </c>
      <c r="E248" s="342" t="s">
        <v>591</v>
      </c>
      <c r="F248" s="342" t="s">
        <v>40</v>
      </c>
      <c r="G248" s="342" t="s">
        <v>5283</v>
      </c>
      <c r="H248" s="342" t="s">
        <v>2319</v>
      </c>
      <c r="I248" s="342" t="s">
        <v>2072</v>
      </c>
      <c r="M248" s="342" t="s">
        <v>5283</v>
      </c>
      <c r="N248" s="342" t="s">
        <v>2073</v>
      </c>
      <c r="O248" s="342" t="s">
        <v>2074</v>
      </c>
      <c r="P248" s="342" t="s">
        <v>2075</v>
      </c>
      <c r="Q248" s="342">
        <v>2</v>
      </c>
      <c r="R248" s="342" t="s">
        <v>2076</v>
      </c>
      <c r="S248" s="344" t="s">
        <v>2320</v>
      </c>
      <c r="T248" s="342" t="s">
        <v>2099</v>
      </c>
      <c r="U248" s="342" t="s">
        <v>2321</v>
      </c>
    </row>
    <row r="249" spans="1:21" ht="196">
      <c r="A249" s="342">
        <v>269036</v>
      </c>
      <c r="B249" s="342" t="s">
        <v>296</v>
      </c>
      <c r="C249" s="342" t="s">
        <v>255</v>
      </c>
      <c r="D249" s="342" t="s">
        <v>51</v>
      </c>
      <c r="E249" s="342" t="s">
        <v>591</v>
      </c>
      <c r="F249" s="342" t="s">
        <v>40</v>
      </c>
      <c r="G249" s="342" t="s">
        <v>5278</v>
      </c>
      <c r="H249" s="342" t="s">
        <v>2071</v>
      </c>
      <c r="I249" s="342" t="s">
        <v>2072</v>
      </c>
      <c r="M249" s="342" t="s">
        <v>1336</v>
      </c>
      <c r="N249" s="342" t="s">
        <v>2079</v>
      </c>
      <c r="O249" s="342" t="s">
        <v>2074</v>
      </c>
      <c r="P249" s="342" t="s">
        <v>2075</v>
      </c>
      <c r="Q249" s="342">
        <v>2</v>
      </c>
      <c r="R249" s="342" t="s">
        <v>2076</v>
      </c>
      <c r="S249" s="344" t="s">
        <v>2495</v>
      </c>
      <c r="T249" s="342" t="s">
        <v>2077</v>
      </c>
    </row>
    <row r="250" spans="1:21" ht="154">
      <c r="A250" s="342">
        <v>270438</v>
      </c>
      <c r="B250" s="342" t="s">
        <v>5430</v>
      </c>
      <c r="C250" s="342" t="s">
        <v>336</v>
      </c>
      <c r="D250" s="342" t="s">
        <v>337</v>
      </c>
      <c r="E250" s="342" t="s">
        <v>591</v>
      </c>
      <c r="F250" s="342" t="s">
        <v>40</v>
      </c>
      <c r="G250" s="342" t="s">
        <v>5281</v>
      </c>
      <c r="H250" s="342" t="s">
        <v>2132</v>
      </c>
      <c r="I250" s="342" t="s">
        <v>2072</v>
      </c>
      <c r="M250" s="342" t="s">
        <v>5517</v>
      </c>
      <c r="N250" s="342" t="s">
        <v>2073</v>
      </c>
      <c r="O250" s="342" t="s">
        <v>2074</v>
      </c>
      <c r="P250" s="342" t="s">
        <v>2075</v>
      </c>
      <c r="Q250" s="342">
        <v>2</v>
      </c>
      <c r="R250" s="342" t="s">
        <v>2133</v>
      </c>
      <c r="S250" s="344" t="s">
        <v>2134</v>
      </c>
      <c r="T250" s="342" t="s">
        <v>2099</v>
      </c>
      <c r="U250" s="342" t="s">
        <v>2135</v>
      </c>
    </row>
    <row r="251" spans="1:21">
      <c r="A251" s="342">
        <v>271203</v>
      </c>
      <c r="B251" s="342" t="s">
        <v>461</v>
      </c>
      <c r="C251" s="342" t="s">
        <v>4341</v>
      </c>
      <c r="D251" s="342" t="s">
        <v>47</v>
      </c>
      <c r="E251" s="342" t="s">
        <v>591</v>
      </c>
      <c r="F251" s="342" t="s">
        <v>40</v>
      </c>
      <c r="G251" s="342" t="s">
        <v>4638</v>
      </c>
      <c r="H251" s="342" t="s">
        <v>461</v>
      </c>
      <c r="I251" s="342" t="s">
        <v>2090</v>
      </c>
      <c r="M251" s="342" t="s">
        <v>4638</v>
      </c>
      <c r="N251" s="342" t="s">
        <v>2090</v>
      </c>
      <c r="O251" s="342" t="s">
        <v>2137</v>
      </c>
      <c r="P251" s="342" t="s">
        <v>2179</v>
      </c>
      <c r="Q251" s="342">
        <v>2</v>
      </c>
      <c r="R251" s="342" t="s">
        <v>2374</v>
      </c>
      <c r="S251" s="342" t="s">
        <v>2375</v>
      </c>
      <c r="T251" s="342" t="s">
        <v>2099</v>
      </c>
      <c r="U251" s="342" t="s">
        <v>2376</v>
      </c>
    </row>
    <row r="252" spans="1:21" ht="238">
      <c r="A252" s="342">
        <v>271309</v>
      </c>
      <c r="B252" s="342" t="s">
        <v>462</v>
      </c>
      <c r="C252" s="342" t="s">
        <v>464</v>
      </c>
      <c r="D252" s="342" t="s">
        <v>465</v>
      </c>
      <c r="E252" s="342" t="s">
        <v>591</v>
      </c>
      <c r="F252" s="342" t="s">
        <v>40</v>
      </c>
      <c r="G252" s="342" t="s">
        <v>5279</v>
      </c>
      <c r="H252" s="342" t="s">
        <v>2263</v>
      </c>
      <c r="I252" s="342" t="s">
        <v>2072</v>
      </c>
      <c r="M252" s="342" t="s">
        <v>5279</v>
      </c>
      <c r="N252" s="342" t="s">
        <v>2073</v>
      </c>
      <c r="O252" s="342" t="s">
        <v>2074</v>
      </c>
      <c r="P252" s="342" t="s">
        <v>2075</v>
      </c>
      <c r="Q252" s="342">
        <v>3</v>
      </c>
      <c r="R252" s="342" t="s">
        <v>2076</v>
      </c>
      <c r="S252" s="344" t="s">
        <v>2264</v>
      </c>
      <c r="T252" s="342" t="s">
        <v>2077</v>
      </c>
    </row>
    <row r="253" spans="1:21" ht="409.5">
      <c r="A253" s="342">
        <v>273158</v>
      </c>
      <c r="B253" s="342" t="s">
        <v>466</v>
      </c>
      <c r="C253" s="342" t="s">
        <v>468</v>
      </c>
      <c r="D253" s="342" t="s">
        <v>51</v>
      </c>
      <c r="E253" s="342" t="s">
        <v>591</v>
      </c>
      <c r="F253" s="342" t="s">
        <v>40</v>
      </c>
      <c r="G253" s="342" t="s">
        <v>5282</v>
      </c>
      <c r="H253" s="342" t="s">
        <v>2280</v>
      </c>
      <c r="I253" s="342" t="s">
        <v>2072</v>
      </c>
      <c r="M253" s="342" t="s">
        <v>4441</v>
      </c>
      <c r="N253" s="342" t="s">
        <v>2073</v>
      </c>
      <c r="O253" s="342" t="s">
        <v>2074</v>
      </c>
      <c r="P253" s="342" t="s">
        <v>2075</v>
      </c>
      <c r="Q253" s="342">
        <v>2</v>
      </c>
      <c r="R253" s="342" t="s">
        <v>2076</v>
      </c>
      <c r="S253" s="344" t="s">
        <v>2498</v>
      </c>
      <c r="T253" s="342" t="s">
        <v>2077</v>
      </c>
      <c r="U253" s="342" t="s">
        <v>2281</v>
      </c>
    </row>
    <row r="254" spans="1:21" ht="266">
      <c r="A254" s="342">
        <v>273520</v>
      </c>
      <c r="B254" s="342" t="s">
        <v>746</v>
      </c>
      <c r="C254" s="342" t="s">
        <v>2510</v>
      </c>
      <c r="D254" s="342" t="s">
        <v>55</v>
      </c>
      <c r="E254" s="342" t="s">
        <v>591</v>
      </c>
      <c r="F254" s="342" t="s">
        <v>40</v>
      </c>
      <c r="G254" s="342" t="s">
        <v>5283</v>
      </c>
      <c r="H254" s="342" t="s">
        <v>2319</v>
      </c>
      <c r="I254" s="342" t="s">
        <v>2079</v>
      </c>
      <c r="J254" s="344" t="s">
        <v>2524</v>
      </c>
      <c r="L254" s="342" t="s">
        <v>2521</v>
      </c>
      <c r="M254" s="342" t="s">
        <v>5283</v>
      </c>
      <c r="N254" s="342" t="s">
        <v>2073</v>
      </c>
      <c r="O254" s="342" t="s">
        <v>2074</v>
      </c>
      <c r="P254" s="342" t="s">
        <v>2075</v>
      </c>
      <c r="Q254" s="342">
        <v>2</v>
      </c>
      <c r="R254" s="342" t="s">
        <v>2076</v>
      </c>
      <c r="S254" s="344" t="s">
        <v>2320</v>
      </c>
      <c r="T254" s="342" t="s">
        <v>2099</v>
      </c>
      <c r="U254" s="342" t="s">
        <v>2321</v>
      </c>
    </row>
    <row r="255" spans="1:21" ht="266">
      <c r="A255" s="342">
        <v>273521</v>
      </c>
      <c r="B255" s="342" t="s">
        <v>1235</v>
      </c>
      <c r="C255" s="342" t="s">
        <v>470</v>
      </c>
      <c r="D255" s="342" t="s">
        <v>47</v>
      </c>
      <c r="E255" s="342" t="s">
        <v>591</v>
      </c>
      <c r="F255" s="342" t="s">
        <v>40</v>
      </c>
      <c r="G255" s="342" t="s">
        <v>5283</v>
      </c>
      <c r="H255" s="342" t="s">
        <v>2319</v>
      </c>
      <c r="I255" s="342" t="s">
        <v>2072</v>
      </c>
      <c r="M255" s="342" t="s">
        <v>5283</v>
      </c>
      <c r="N255" s="342" t="s">
        <v>2073</v>
      </c>
      <c r="O255" s="342" t="s">
        <v>2074</v>
      </c>
      <c r="P255" s="342" t="s">
        <v>2075</v>
      </c>
      <c r="Q255" s="342">
        <v>2</v>
      </c>
      <c r="R255" s="342" t="s">
        <v>2076</v>
      </c>
      <c r="S255" s="344" t="s">
        <v>2320</v>
      </c>
      <c r="T255" s="342" t="s">
        <v>2099</v>
      </c>
      <c r="U255" s="342" t="s">
        <v>2321</v>
      </c>
    </row>
    <row r="256" spans="1:21">
      <c r="A256" s="342">
        <v>273986</v>
      </c>
      <c r="B256" s="342" t="s">
        <v>4649</v>
      </c>
      <c r="C256" s="342" t="s">
        <v>380</v>
      </c>
      <c r="D256" s="342" t="s">
        <v>381</v>
      </c>
      <c r="E256" s="342" t="s">
        <v>591</v>
      </c>
      <c r="F256" s="342" t="s">
        <v>40</v>
      </c>
      <c r="G256" s="342" t="s">
        <v>1421</v>
      </c>
      <c r="H256" s="342" t="s">
        <v>2240</v>
      </c>
      <c r="I256" s="342" t="s">
        <v>2072</v>
      </c>
      <c r="M256" s="342" t="s">
        <v>1421</v>
      </c>
      <c r="N256" s="342" t="s">
        <v>2092</v>
      </c>
      <c r="Q256" s="342">
        <v>4</v>
      </c>
      <c r="T256" s="342" t="s">
        <v>2087</v>
      </c>
    </row>
    <row r="257" spans="1:21">
      <c r="A257" s="342">
        <v>274446</v>
      </c>
      <c r="B257" s="342" t="s">
        <v>471</v>
      </c>
      <c r="C257" s="342" t="s">
        <v>473</v>
      </c>
      <c r="D257" s="342" t="s">
        <v>47</v>
      </c>
      <c r="E257" s="342" t="s">
        <v>591</v>
      </c>
      <c r="F257" s="342" t="s">
        <v>41</v>
      </c>
      <c r="G257" s="342" t="s">
        <v>1336</v>
      </c>
      <c r="H257" s="342" t="s">
        <v>2377</v>
      </c>
      <c r="I257" s="342" t="s">
        <v>2090</v>
      </c>
      <c r="M257" s="342" t="s">
        <v>1336</v>
      </c>
      <c r="N257" s="342" t="s">
        <v>2104</v>
      </c>
      <c r="P257" s="342" t="s">
        <v>2248</v>
      </c>
      <c r="Q257" s="342">
        <v>1</v>
      </c>
      <c r="R257" s="342" t="s">
        <v>2107</v>
      </c>
      <c r="S257" s="342" t="s">
        <v>2378</v>
      </c>
      <c r="T257" s="342" t="s">
        <v>2217</v>
      </c>
      <c r="U257" s="342" t="s">
        <v>2379</v>
      </c>
    </row>
    <row r="258" spans="1:21" ht="154">
      <c r="A258" s="342">
        <v>274446</v>
      </c>
      <c r="B258" s="342" t="s">
        <v>471</v>
      </c>
      <c r="C258" s="342" t="s">
        <v>473</v>
      </c>
      <c r="D258" s="342" t="s">
        <v>47</v>
      </c>
      <c r="E258" s="342" t="s">
        <v>591</v>
      </c>
      <c r="F258" s="342" t="s">
        <v>40</v>
      </c>
      <c r="G258" s="342" t="s">
        <v>1336</v>
      </c>
      <c r="H258" s="342" t="s">
        <v>2377</v>
      </c>
      <c r="I258" s="342" t="s">
        <v>2090</v>
      </c>
      <c r="M258" s="342" t="s">
        <v>1336</v>
      </c>
      <c r="N258" s="342" t="s">
        <v>2090</v>
      </c>
      <c r="O258" s="342" t="s">
        <v>2105</v>
      </c>
      <c r="P258" s="342" t="s">
        <v>2380</v>
      </c>
      <c r="Q258" s="342">
        <v>2</v>
      </c>
      <c r="R258" s="342" t="s">
        <v>2107</v>
      </c>
      <c r="S258" s="342" t="s">
        <v>2381</v>
      </c>
      <c r="T258" s="342" t="s">
        <v>2099</v>
      </c>
      <c r="U258" s="344" t="s">
        <v>2382</v>
      </c>
    </row>
    <row r="259" spans="1:21">
      <c r="A259" s="342">
        <v>274446</v>
      </c>
      <c r="B259" s="342" t="s">
        <v>471</v>
      </c>
      <c r="C259" s="342" t="s">
        <v>473</v>
      </c>
      <c r="D259" s="342" t="s">
        <v>47</v>
      </c>
      <c r="E259" s="342" t="s">
        <v>591</v>
      </c>
      <c r="F259" s="342" t="s">
        <v>1100</v>
      </c>
      <c r="G259" s="342" t="s">
        <v>1336</v>
      </c>
      <c r="H259" s="342" t="s">
        <v>5020</v>
      </c>
      <c r="I259" s="342" t="s">
        <v>2120</v>
      </c>
      <c r="M259" s="342" t="s">
        <v>1336</v>
      </c>
      <c r="N259" s="342" t="s">
        <v>2258</v>
      </c>
      <c r="Q259" s="342">
        <v>1</v>
      </c>
    </row>
    <row r="260" spans="1:21">
      <c r="A260" s="342">
        <v>274446</v>
      </c>
      <c r="B260" s="342" t="s">
        <v>471</v>
      </c>
      <c r="C260" s="342" t="s">
        <v>473</v>
      </c>
      <c r="D260" s="342" t="s">
        <v>47</v>
      </c>
      <c r="E260" s="342" t="s">
        <v>591</v>
      </c>
      <c r="F260" s="342" t="s">
        <v>685</v>
      </c>
      <c r="G260" s="342" t="s">
        <v>1336</v>
      </c>
      <c r="H260" s="342" t="s">
        <v>5020</v>
      </c>
      <c r="I260" s="342" t="s">
        <v>2120</v>
      </c>
      <c r="M260" s="342" t="s">
        <v>1336</v>
      </c>
      <c r="N260" s="342" t="s">
        <v>2258</v>
      </c>
      <c r="Q260" s="342">
        <v>1</v>
      </c>
    </row>
    <row r="261" spans="1:21">
      <c r="A261" s="342">
        <v>274888</v>
      </c>
      <c r="B261" s="342" t="s">
        <v>1250</v>
      </c>
      <c r="C261" s="342" t="s">
        <v>475</v>
      </c>
      <c r="D261" s="342" t="s">
        <v>47</v>
      </c>
      <c r="E261" s="342" t="s">
        <v>591</v>
      </c>
      <c r="F261" s="342" t="s">
        <v>40</v>
      </c>
      <c r="G261" s="342" t="s">
        <v>5449</v>
      </c>
      <c r="H261" s="342" t="s">
        <v>2097</v>
      </c>
      <c r="I261" s="342" t="s">
        <v>2072</v>
      </c>
      <c r="M261" s="342" t="s">
        <v>5449</v>
      </c>
      <c r="N261" s="342" t="s">
        <v>2073</v>
      </c>
      <c r="O261" s="342" t="s">
        <v>2074</v>
      </c>
      <c r="P261" s="342" t="s">
        <v>2075</v>
      </c>
      <c r="Q261" s="342">
        <v>2</v>
      </c>
      <c r="R261" s="342" t="s">
        <v>2076</v>
      </c>
      <c r="S261" s="342" t="s">
        <v>2098</v>
      </c>
      <c r="T261" s="342" t="s">
        <v>2099</v>
      </c>
    </row>
    <row r="262" spans="1:21">
      <c r="A262" s="342">
        <v>275410</v>
      </c>
      <c r="B262" s="342" t="s">
        <v>1133</v>
      </c>
      <c r="C262" s="342" t="s">
        <v>959</v>
      </c>
      <c r="D262" s="342" t="s">
        <v>98</v>
      </c>
      <c r="E262" s="342" t="s">
        <v>591</v>
      </c>
      <c r="F262" s="342" t="s">
        <v>737</v>
      </c>
      <c r="G262" s="342" t="s">
        <v>5449</v>
      </c>
    </row>
    <row r="263" spans="1:21" ht="126">
      <c r="A263" s="342">
        <v>275809</v>
      </c>
      <c r="B263" s="342" t="s">
        <v>5894</v>
      </c>
      <c r="C263" s="342" t="s">
        <v>380</v>
      </c>
      <c r="D263" s="342" t="s">
        <v>381</v>
      </c>
      <c r="E263" s="342" t="s">
        <v>591</v>
      </c>
      <c r="F263" s="342" t="s">
        <v>40</v>
      </c>
      <c r="G263" s="342" t="s">
        <v>1277</v>
      </c>
      <c r="H263" s="342" t="s">
        <v>2383</v>
      </c>
      <c r="I263" s="342" t="s">
        <v>2079</v>
      </c>
      <c r="J263" s="344" t="s">
        <v>2384</v>
      </c>
      <c r="L263" s="342" t="s">
        <v>2042</v>
      </c>
      <c r="M263" s="342" t="s">
        <v>1277</v>
      </c>
      <c r="N263" s="342" t="s">
        <v>2079</v>
      </c>
      <c r="O263" s="342" t="s">
        <v>2113</v>
      </c>
      <c r="Q263" s="342">
        <v>4</v>
      </c>
      <c r="R263" s="342" t="s">
        <v>2085</v>
      </c>
      <c r="S263" s="342" t="s">
        <v>2385</v>
      </c>
      <c r="T263" s="342" t="s">
        <v>2087</v>
      </c>
    </row>
    <row r="264" spans="1:21" ht="154">
      <c r="A264" s="342">
        <v>277046</v>
      </c>
      <c r="B264" s="342" t="s">
        <v>476</v>
      </c>
      <c r="C264" s="342" t="s">
        <v>478</v>
      </c>
      <c r="D264" s="342" t="s">
        <v>47</v>
      </c>
      <c r="E264" s="342" t="s">
        <v>591</v>
      </c>
      <c r="F264" s="342" t="s">
        <v>40</v>
      </c>
      <c r="G264" s="342" t="s">
        <v>1336</v>
      </c>
      <c r="H264" s="342" t="s">
        <v>2377</v>
      </c>
      <c r="I264" s="342" t="s">
        <v>2090</v>
      </c>
      <c r="M264" s="342" t="s">
        <v>1336</v>
      </c>
      <c r="N264" s="342" t="s">
        <v>2090</v>
      </c>
      <c r="O264" s="342" t="s">
        <v>2105</v>
      </c>
      <c r="P264" s="342" t="s">
        <v>2380</v>
      </c>
      <c r="Q264" s="342">
        <v>2</v>
      </c>
      <c r="R264" s="342" t="s">
        <v>2107</v>
      </c>
      <c r="S264" s="342" t="s">
        <v>2381</v>
      </c>
      <c r="T264" s="342" t="s">
        <v>2099</v>
      </c>
      <c r="U264" s="344" t="s">
        <v>2382</v>
      </c>
    </row>
    <row r="265" spans="1:21">
      <c r="A265" s="342">
        <v>278127</v>
      </c>
      <c r="B265" s="342" t="s">
        <v>1424</v>
      </c>
      <c r="C265" s="342" t="s">
        <v>1426</v>
      </c>
      <c r="D265" s="342" t="s">
        <v>175</v>
      </c>
      <c r="E265" s="342" t="s">
        <v>591</v>
      </c>
      <c r="F265" s="342" t="s">
        <v>737</v>
      </c>
      <c r="G265" s="342" t="s">
        <v>5281</v>
      </c>
    </row>
    <row r="266" spans="1:21" ht="280">
      <c r="A266" s="342">
        <v>284291</v>
      </c>
      <c r="B266" s="342" t="s">
        <v>479</v>
      </c>
      <c r="C266" s="342" t="s">
        <v>380</v>
      </c>
      <c r="D266" s="342" t="s">
        <v>381</v>
      </c>
      <c r="E266" s="342" t="s">
        <v>591</v>
      </c>
      <c r="F266" s="342" t="s">
        <v>40</v>
      </c>
      <c r="G266" s="342" t="s">
        <v>5282</v>
      </c>
      <c r="H266" s="342" t="s">
        <v>2171</v>
      </c>
      <c r="I266" s="342" t="s">
        <v>2072</v>
      </c>
      <c r="M266" s="342" t="s">
        <v>5282</v>
      </c>
      <c r="N266" s="342" t="s">
        <v>2073</v>
      </c>
      <c r="O266" s="342" t="s">
        <v>2093</v>
      </c>
      <c r="Q266" s="342">
        <v>2</v>
      </c>
      <c r="R266" s="342" t="s">
        <v>2076</v>
      </c>
      <c r="S266" s="344" t="s">
        <v>2172</v>
      </c>
      <c r="T266" s="342" t="s">
        <v>2077</v>
      </c>
    </row>
    <row r="267" spans="1:21">
      <c r="A267" s="342">
        <v>284316</v>
      </c>
      <c r="B267" s="342" t="s">
        <v>634</v>
      </c>
      <c r="C267" s="342" t="s">
        <v>636</v>
      </c>
      <c r="D267" s="342" t="s">
        <v>51</v>
      </c>
      <c r="E267" s="342" t="s">
        <v>591</v>
      </c>
      <c r="F267" s="342" t="s">
        <v>737</v>
      </c>
      <c r="G267" s="342" t="s">
        <v>5281</v>
      </c>
    </row>
    <row r="268" spans="1:21" ht="98">
      <c r="A268" s="342">
        <v>284407</v>
      </c>
      <c r="B268" s="342" t="s">
        <v>1380</v>
      </c>
      <c r="C268" s="342" t="s">
        <v>1383</v>
      </c>
      <c r="D268" s="342" t="s">
        <v>45</v>
      </c>
      <c r="E268" s="342" t="s">
        <v>591</v>
      </c>
      <c r="F268" s="342" t="s">
        <v>1114</v>
      </c>
      <c r="G268" s="342" t="s">
        <v>1510</v>
      </c>
      <c r="H268" s="342" t="s">
        <v>2386</v>
      </c>
      <c r="I268" s="342" t="s">
        <v>2128</v>
      </c>
      <c r="J268" s="344" t="s">
        <v>2129</v>
      </c>
      <c r="M268" s="342" t="s">
        <v>1510</v>
      </c>
      <c r="N268" s="342" t="s">
        <v>2128</v>
      </c>
      <c r="Q268" s="342">
        <v>1</v>
      </c>
      <c r="R268" s="342" t="s">
        <v>2107</v>
      </c>
      <c r="S268" s="342" t="s">
        <v>2387</v>
      </c>
      <c r="T268" s="342" t="s">
        <v>2131</v>
      </c>
    </row>
    <row r="269" spans="1:21" ht="409.5">
      <c r="A269" s="342">
        <v>284672</v>
      </c>
      <c r="B269" s="342" t="s">
        <v>1348</v>
      </c>
      <c r="C269" s="342" t="s">
        <v>1350</v>
      </c>
      <c r="D269" s="342" t="s">
        <v>51</v>
      </c>
      <c r="E269" s="342" t="s">
        <v>591</v>
      </c>
      <c r="F269" s="342" t="s">
        <v>40</v>
      </c>
      <c r="G269" s="342" t="s">
        <v>5280</v>
      </c>
      <c r="H269" s="342" t="s">
        <v>1068</v>
      </c>
      <c r="I269" s="342" t="s">
        <v>2079</v>
      </c>
      <c r="J269" s="344" t="s">
        <v>2388</v>
      </c>
      <c r="L269" s="342" t="s">
        <v>2043</v>
      </c>
      <c r="M269" s="342" t="s">
        <v>5280</v>
      </c>
      <c r="N269" s="342" t="s">
        <v>2143</v>
      </c>
      <c r="O269" s="342" t="s">
        <v>2074</v>
      </c>
      <c r="Q269" s="342">
        <v>3</v>
      </c>
      <c r="R269" s="342" t="s">
        <v>2085</v>
      </c>
      <c r="S269" s="342" t="s">
        <v>2373</v>
      </c>
      <c r="T269" s="342" t="s">
        <v>2099</v>
      </c>
    </row>
    <row r="270" spans="1:21" ht="112">
      <c r="A270" s="342">
        <v>284673</v>
      </c>
      <c r="B270" s="342" t="s">
        <v>1318</v>
      </c>
      <c r="C270" s="342" t="s">
        <v>565</v>
      </c>
      <c r="D270" s="342" t="s">
        <v>51</v>
      </c>
      <c r="E270" s="342" t="s">
        <v>591</v>
      </c>
      <c r="F270" s="342" t="s">
        <v>40</v>
      </c>
      <c r="G270" s="342" t="s">
        <v>5280</v>
      </c>
      <c r="H270" s="342" t="s">
        <v>1068</v>
      </c>
      <c r="I270" s="342" t="s">
        <v>2079</v>
      </c>
      <c r="J270" s="344" t="s">
        <v>2389</v>
      </c>
      <c r="L270" s="342" t="s">
        <v>5352</v>
      </c>
      <c r="M270" s="342" t="s">
        <v>5280</v>
      </c>
      <c r="N270" s="342" t="s">
        <v>2143</v>
      </c>
      <c r="O270" s="342" t="s">
        <v>2074</v>
      </c>
      <c r="Q270" s="342">
        <v>3</v>
      </c>
      <c r="R270" s="342" t="s">
        <v>2085</v>
      </c>
      <c r="S270" s="342" t="s">
        <v>2373</v>
      </c>
      <c r="T270" s="342" t="s">
        <v>2099</v>
      </c>
    </row>
    <row r="271" spans="1:21">
      <c r="A271" s="342">
        <v>284674</v>
      </c>
      <c r="B271" s="342" t="s">
        <v>482</v>
      </c>
      <c r="C271" s="342" t="s">
        <v>485</v>
      </c>
      <c r="D271" s="342" t="s">
        <v>51</v>
      </c>
      <c r="E271" s="342" t="s">
        <v>591</v>
      </c>
      <c r="F271" s="342" t="s">
        <v>40</v>
      </c>
      <c r="G271" s="342" t="s">
        <v>786</v>
      </c>
      <c r="H271" s="342" t="s">
        <v>2304</v>
      </c>
      <c r="I271" s="342" t="s">
        <v>2072</v>
      </c>
      <c r="J271" s="342" t="s">
        <v>5187</v>
      </c>
      <c r="L271" s="342" t="s">
        <v>5140</v>
      </c>
      <c r="M271" s="342" t="s">
        <v>786</v>
      </c>
      <c r="N271" s="342" t="s">
        <v>2079</v>
      </c>
      <c r="O271" s="342" t="s">
        <v>2116</v>
      </c>
      <c r="P271" s="342" t="s">
        <v>2075</v>
      </c>
      <c r="Q271" s="342">
        <v>4</v>
      </c>
      <c r="R271" s="342" t="s">
        <v>2076</v>
      </c>
      <c r="S271" s="342" t="s">
        <v>2305</v>
      </c>
      <c r="T271" s="342" t="s">
        <v>2099</v>
      </c>
      <c r="U271" s="342" t="s">
        <v>2306</v>
      </c>
    </row>
    <row r="272" spans="1:21" ht="154">
      <c r="A272" s="342">
        <v>285021</v>
      </c>
      <c r="B272" s="342" t="s">
        <v>486</v>
      </c>
      <c r="C272" s="342" t="s">
        <v>488</v>
      </c>
      <c r="D272" s="342" t="s">
        <v>175</v>
      </c>
      <c r="E272" s="342" t="s">
        <v>591</v>
      </c>
      <c r="F272" s="342" t="s">
        <v>40</v>
      </c>
      <c r="G272" s="342" t="s">
        <v>5282</v>
      </c>
      <c r="H272" s="342" t="s">
        <v>2220</v>
      </c>
      <c r="I272" s="342" t="s">
        <v>2072</v>
      </c>
      <c r="M272" s="342" t="s">
        <v>5282</v>
      </c>
      <c r="N272" s="342" t="s">
        <v>2073</v>
      </c>
      <c r="O272" s="342" t="s">
        <v>2074</v>
      </c>
      <c r="Q272" s="342">
        <v>2</v>
      </c>
      <c r="R272" s="342" t="s">
        <v>2076</v>
      </c>
      <c r="S272" s="344" t="s">
        <v>2221</v>
      </c>
      <c r="T272" s="342" t="s">
        <v>2077</v>
      </c>
    </row>
    <row r="273" spans="1:21" ht="168">
      <c r="A273" s="342">
        <v>285038</v>
      </c>
      <c r="B273" s="342" t="s">
        <v>963</v>
      </c>
      <c r="C273" s="342" t="s">
        <v>270</v>
      </c>
      <c r="D273" s="342" t="s">
        <v>47</v>
      </c>
      <c r="E273" s="342" t="s">
        <v>591</v>
      </c>
      <c r="F273" s="342" t="s">
        <v>40</v>
      </c>
      <c r="G273" s="342" t="s">
        <v>5280</v>
      </c>
      <c r="H273" s="342" t="s">
        <v>743</v>
      </c>
      <c r="I273" s="342" t="s">
        <v>2072</v>
      </c>
      <c r="M273" s="342" t="s">
        <v>5280</v>
      </c>
      <c r="N273" s="342" t="s">
        <v>2073</v>
      </c>
      <c r="O273" s="342" t="s">
        <v>2074</v>
      </c>
      <c r="P273" s="342" t="s">
        <v>2075</v>
      </c>
      <c r="Q273" s="342">
        <v>2</v>
      </c>
      <c r="R273" s="342" t="s">
        <v>2076</v>
      </c>
      <c r="S273" s="344" t="s">
        <v>2096</v>
      </c>
      <c r="T273" s="342" t="s">
        <v>2077</v>
      </c>
    </row>
    <row r="274" spans="1:21" ht="196">
      <c r="A274" s="342">
        <v>285200</v>
      </c>
      <c r="B274" s="342" t="s">
        <v>4187</v>
      </c>
      <c r="C274" s="342" t="s">
        <v>4189</v>
      </c>
      <c r="D274" s="342" t="s">
        <v>51</v>
      </c>
      <c r="E274" s="342" t="s">
        <v>591</v>
      </c>
      <c r="F274" s="342" t="s">
        <v>40</v>
      </c>
      <c r="G274" s="342" t="s">
        <v>1336</v>
      </c>
      <c r="H274" s="342" t="s">
        <v>2071</v>
      </c>
      <c r="I274" s="342" t="s">
        <v>2072</v>
      </c>
      <c r="J274" s="344" t="s">
        <v>2544</v>
      </c>
      <c r="L274" s="342" t="s">
        <v>4196</v>
      </c>
      <c r="M274" s="342" t="s">
        <v>1336</v>
      </c>
      <c r="N274" s="342" t="s">
        <v>2079</v>
      </c>
      <c r="O274" s="342" t="s">
        <v>2074</v>
      </c>
      <c r="P274" s="342" t="s">
        <v>2075</v>
      </c>
      <c r="Q274" s="342">
        <v>2</v>
      </c>
      <c r="R274" s="342" t="s">
        <v>2076</v>
      </c>
      <c r="S274" s="344" t="s">
        <v>2495</v>
      </c>
      <c r="T274" s="342" t="s">
        <v>2077</v>
      </c>
    </row>
    <row r="275" spans="1:21">
      <c r="A275" s="342">
        <v>285440</v>
      </c>
      <c r="B275" s="342" t="s">
        <v>490</v>
      </c>
      <c r="C275" s="342" t="s">
        <v>492</v>
      </c>
      <c r="D275" s="342" t="s">
        <v>175</v>
      </c>
      <c r="E275" s="342" t="s">
        <v>591</v>
      </c>
      <c r="F275" s="342" t="s">
        <v>40</v>
      </c>
      <c r="G275" s="342" t="s">
        <v>1510</v>
      </c>
      <c r="H275" s="342" t="s">
        <v>2390</v>
      </c>
      <c r="I275" s="342" t="s">
        <v>2090</v>
      </c>
      <c r="M275" s="342" t="s">
        <v>1510</v>
      </c>
      <c r="N275" s="342" t="s">
        <v>4417</v>
      </c>
      <c r="Q275" s="342">
        <v>3</v>
      </c>
      <c r="R275" s="342" t="s">
        <v>2080</v>
      </c>
      <c r="S275" s="342" t="s">
        <v>2080</v>
      </c>
    </row>
    <row r="276" spans="1:21" ht="168">
      <c r="A276" s="342">
        <v>286796</v>
      </c>
      <c r="B276" s="342" t="s">
        <v>494</v>
      </c>
      <c r="C276" s="342" t="s">
        <v>330</v>
      </c>
      <c r="D276" s="342" t="s">
        <v>47</v>
      </c>
      <c r="E276" s="342" t="s">
        <v>591</v>
      </c>
      <c r="F276" s="342" t="s">
        <v>40</v>
      </c>
      <c r="G276" s="342" t="s">
        <v>5279</v>
      </c>
      <c r="H276" s="342" t="s">
        <v>2161</v>
      </c>
      <c r="I276" s="342" t="s">
        <v>2079</v>
      </c>
      <c r="J276" s="344" t="s">
        <v>2391</v>
      </c>
      <c r="L276" s="342" t="s">
        <v>2044</v>
      </c>
      <c r="M276" s="342" t="s">
        <v>5279</v>
      </c>
      <c r="N276" s="342" t="s">
        <v>2073</v>
      </c>
      <c r="O276" s="342" t="s">
        <v>2074</v>
      </c>
      <c r="P276" s="342" t="s">
        <v>2075</v>
      </c>
      <c r="Q276" s="342">
        <v>2</v>
      </c>
      <c r="R276" s="342" t="s">
        <v>2076</v>
      </c>
      <c r="S276" s="342" t="s">
        <v>2162</v>
      </c>
      <c r="T276" s="342" t="s">
        <v>2099</v>
      </c>
      <c r="U276" s="342" t="s">
        <v>2163</v>
      </c>
    </row>
    <row r="277" spans="1:21">
      <c r="A277" s="342">
        <v>287067</v>
      </c>
      <c r="B277" s="342" t="s">
        <v>965</v>
      </c>
      <c r="C277" s="342" t="s">
        <v>967</v>
      </c>
      <c r="D277" s="342" t="s">
        <v>47</v>
      </c>
      <c r="E277" s="342" t="s">
        <v>591</v>
      </c>
      <c r="F277" s="342" t="s">
        <v>41</v>
      </c>
      <c r="G277" s="342" t="s">
        <v>786</v>
      </c>
      <c r="H277" s="342" t="s">
        <v>2392</v>
      </c>
      <c r="I277" s="342" t="s">
        <v>2090</v>
      </c>
      <c r="M277" s="342" t="s">
        <v>786</v>
      </c>
      <c r="N277" s="342" t="s">
        <v>2104</v>
      </c>
      <c r="P277" s="342" t="s">
        <v>2248</v>
      </c>
      <c r="Q277" s="342">
        <v>1</v>
      </c>
      <c r="R277" s="342" t="s">
        <v>2107</v>
      </c>
      <c r="S277" s="342" t="s">
        <v>2393</v>
      </c>
      <c r="T277" s="342" t="s">
        <v>2217</v>
      </c>
      <c r="U277" s="342" t="s">
        <v>2394</v>
      </c>
    </row>
    <row r="278" spans="1:21" ht="252">
      <c r="A278" s="342">
        <v>287463</v>
      </c>
      <c r="B278" s="342" t="s">
        <v>1166</v>
      </c>
      <c r="C278" s="342" t="s">
        <v>499</v>
      </c>
      <c r="D278" s="342" t="s">
        <v>55</v>
      </c>
      <c r="E278" s="342" t="s">
        <v>591</v>
      </c>
      <c r="F278" s="342" t="s">
        <v>40</v>
      </c>
      <c r="G278" s="342" t="s">
        <v>4608</v>
      </c>
      <c r="H278" s="342" t="s">
        <v>1168</v>
      </c>
      <c r="I278" s="342" t="s">
        <v>2072</v>
      </c>
      <c r="M278" s="342" t="s">
        <v>5278</v>
      </c>
      <c r="N278" s="342" t="s">
        <v>2073</v>
      </c>
      <c r="O278" s="342" t="s">
        <v>2074</v>
      </c>
      <c r="P278" s="342" t="s">
        <v>2075</v>
      </c>
      <c r="Q278" s="342">
        <v>2</v>
      </c>
      <c r="R278" s="342" t="s">
        <v>2076</v>
      </c>
      <c r="S278" s="344" t="s">
        <v>2139</v>
      </c>
      <c r="T278" s="342" t="s">
        <v>2099</v>
      </c>
      <c r="U278" s="344" t="s">
        <v>2140</v>
      </c>
    </row>
    <row r="279" spans="1:21" ht="409.5">
      <c r="A279" s="342">
        <v>287466</v>
      </c>
      <c r="B279" s="342" t="s">
        <v>500</v>
      </c>
      <c r="C279" s="342" t="s">
        <v>336</v>
      </c>
      <c r="D279" s="342" t="s">
        <v>337</v>
      </c>
      <c r="E279" s="342" t="s">
        <v>591</v>
      </c>
      <c r="F279" s="342" t="s">
        <v>40</v>
      </c>
      <c r="G279" s="342" t="s">
        <v>5282</v>
      </c>
      <c r="H279" s="342" t="s">
        <v>2280</v>
      </c>
      <c r="I279" s="342" t="s">
        <v>2072</v>
      </c>
      <c r="M279" s="342" t="s">
        <v>4441</v>
      </c>
      <c r="N279" s="342" t="s">
        <v>2073</v>
      </c>
      <c r="O279" s="342" t="s">
        <v>2074</v>
      </c>
      <c r="P279" s="342" t="s">
        <v>2075</v>
      </c>
      <c r="Q279" s="342">
        <v>2</v>
      </c>
      <c r="R279" s="342" t="s">
        <v>2076</v>
      </c>
      <c r="S279" s="344" t="s">
        <v>2498</v>
      </c>
      <c r="T279" s="342" t="s">
        <v>2077</v>
      </c>
      <c r="U279" s="342" t="s">
        <v>2281</v>
      </c>
    </row>
    <row r="280" spans="1:21">
      <c r="A280" s="342">
        <v>287479</v>
      </c>
      <c r="B280" s="342" t="s">
        <v>502</v>
      </c>
      <c r="C280" s="342" t="s">
        <v>1190</v>
      </c>
      <c r="D280" s="342" t="s">
        <v>47</v>
      </c>
      <c r="E280" s="342" t="s">
        <v>591</v>
      </c>
      <c r="F280" s="342" t="s">
        <v>737</v>
      </c>
      <c r="G280" s="342" t="s">
        <v>1421</v>
      </c>
    </row>
    <row r="281" spans="1:21">
      <c r="A281" s="342">
        <v>287490</v>
      </c>
      <c r="B281" s="342" t="s">
        <v>504</v>
      </c>
      <c r="C281" s="342" t="s">
        <v>46</v>
      </c>
      <c r="D281" s="342" t="s">
        <v>47</v>
      </c>
      <c r="E281" s="342" t="s">
        <v>591</v>
      </c>
      <c r="F281" s="342" t="s">
        <v>40</v>
      </c>
      <c r="G281" s="342" t="s">
        <v>1336</v>
      </c>
      <c r="H281" s="342" t="s">
        <v>504</v>
      </c>
      <c r="I281" s="342" t="s">
        <v>2072</v>
      </c>
      <c r="M281" s="342" t="s">
        <v>1336</v>
      </c>
      <c r="N281" s="342" t="s">
        <v>2073</v>
      </c>
      <c r="O281" s="342" t="s">
        <v>2113</v>
      </c>
      <c r="Q281" s="342">
        <v>4</v>
      </c>
      <c r="R281" s="342" t="s">
        <v>2085</v>
      </c>
      <c r="S281" s="342" t="s">
        <v>2395</v>
      </c>
    </row>
    <row r="282" spans="1:21">
      <c r="A282" s="342">
        <v>287523</v>
      </c>
      <c r="B282" s="342" t="s">
        <v>506</v>
      </c>
      <c r="C282" s="342" t="s">
        <v>336</v>
      </c>
      <c r="D282" s="342" t="s">
        <v>337</v>
      </c>
      <c r="E282" s="342" t="s">
        <v>591</v>
      </c>
      <c r="F282" s="342" t="s">
        <v>40</v>
      </c>
      <c r="G282" s="342" t="s">
        <v>4608</v>
      </c>
      <c r="H282" s="342" t="s">
        <v>5353</v>
      </c>
      <c r="I282" s="342" t="s">
        <v>2090</v>
      </c>
      <c r="M282" s="342" t="s">
        <v>4608</v>
      </c>
      <c r="N282" s="342" t="s">
        <v>4417</v>
      </c>
      <c r="Q282" s="342">
        <v>4</v>
      </c>
      <c r="R282" s="342" t="s">
        <v>2080</v>
      </c>
      <c r="S282" s="342" t="s">
        <v>2080</v>
      </c>
    </row>
    <row r="283" spans="1:21">
      <c r="A283" s="342">
        <v>287718</v>
      </c>
      <c r="B283" s="342" t="s">
        <v>407</v>
      </c>
      <c r="C283" s="342" t="s">
        <v>973</v>
      </c>
      <c r="D283" s="342" t="s">
        <v>66</v>
      </c>
      <c r="E283" s="342" t="s">
        <v>591</v>
      </c>
      <c r="F283" s="342" t="s">
        <v>737</v>
      </c>
      <c r="G283" s="342" t="s">
        <v>5281</v>
      </c>
    </row>
    <row r="284" spans="1:21">
      <c r="A284" s="342">
        <v>287722</v>
      </c>
      <c r="B284" s="342" t="s">
        <v>743</v>
      </c>
      <c r="C284" s="342" t="s">
        <v>1419</v>
      </c>
      <c r="D284" s="342" t="s">
        <v>1088</v>
      </c>
      <c r="E284" s="342" t="s">
        <v>591</v>
      </c>
      <c r="F284" s="342" t="s">
        <v>737</v>
      </c>
      <c r="G284" s="342" t="s">
        <v>5280</v>
      </c>
    </row>
    <row r="285" spans="1:21">
      <c r="A285" s="342">
        <v>287746</v>
      </c>
      <c r="B285" s="342" t="s">
        <v>1101</v>
      </c>
      <c r="C285" s="342" t="s">
        <v>1103</v>
      </c>
      <c r="D285" s="342" t="s">
        <v>55</v>
      </c>
      <c r="E285" s="342" t="s">
        <v>591</v>
      </c>
      <c r="F285" s="342" t="s">
        <v>40</v>
      </c>
      <c r="G285" s="342" t="s">
        <v>1336</v>
      </c>
      <c r="H285" s="342" t="s">
        <v>509</v>
      </c>
      <c r="I285" s="342" t="s">
        <v>2072</v>
      </c>
      <c r="M285" s="342" t="s">
        <v>1336</v>
      </c>
      <c r="N285" s="342" t="s">
        <v>2143</v>
      </c>
      <c r="O285" s="342" t="s">
        <v>2137</v>
      </c>
      <c r="Q285" s="342">
        <v>3</v>
      </c>
    </row>
    <row r="286" spans="1:21">
      <c r="A286" s="342">
        <v>287747</v>
      </c>
      <c r="B286" s="342" t="s">
        <v>509</v>
      </c>
      <c r="C286" s="342" t="s">
        <v>511</v>
      </c>
      <c r="D286" s="342" t="s">
        <v>55</v>
      </c>
      <c r="E286" s="342" t="s">
        <v>591</v>
      </c>
      <c r="F286" s="342" t="s">
        <v>737</v>
      </c>
      <c r="G286" s="342" t="s">
        <v>1336</v>
      </c>
    </row>
    <row r="287" spans="1:21">
      <c r="A287" s="342">
        <v>287941</v>
      </c>
      <c r="B287" s="342" t="s">
        <v>5363</v>
      </c>
      <c r="C287" s="342" t="s">
        <v>4937</v>
      </c>
      <c r="D287" s="342" t="s">
        <v>55</v>
      </c>
      <c r="E287" s="342" t="s">
        <v>591</v>
      </c>
      <c r="F287" s="342" t="s">
        <v>40</v>
      </c>
      <c r="G287" s="342" t="s">
        <v>1277</v>
      </c>
      <c r="H287" s="342" t="s">
        <v>4961</v>
      </c>
      <c r="I287" s="342" t="s">
        <v>4805</v>
      </c>
      <c r="M287" s="342" t="s">
        <v>1277</v>
      </c>
      <c r="N287" s="342" t="s">
        <v>4805</v>
      </c>
      <c r="Q287" s="342">
        <v>2</v>
      </c>
    </row>
    <row r="288" spans="1:21">
      <c r="A288" s="342">
        <v>287980</v>
      </c>
      <c r="B288" s="342" t="s">
        <v>767</v>
      </c>
      <c r="C288" s="342" t="s">
        <v>769</v>
      </c>
      <c r="D288" s="342" t="s">
        <v>526</v>
      </c>
      <c r="E288" s="342" t="s">
        <v>591</v>
      </c>
      <c r="F288" s="342" t="s">
        <v>40</v>
      </c>
      <c r="G288" s="342" t="s">
        <v>1510</v>
      </c>
      <c r="H288" s="342" t="s">
        <v>2348</v>
      </c>
      <c r="I288" s="342" t="s">
        <v>2090</v>
      </c>
      <c r="M288" s="342" t="s">
        <v>1510</v>
      </c>
      <c r="N288" s="342" t="s">
        <v>2090</v>
      </c>
      <c r="O288" s="342" t="s">
        <v>2105</v>
      </c>
      <c r="Q288" s="342">
        <v>2</v>
      </c>
      <c r="R288" s="342" t="s">
        <v>2085</v>
      </c>
      <c r="S288" s="342" t="s">
        <v>2349</v>
      </c>
      <c r="T288" s="342" t="s">
        <v>2099</v>
      </c>
      <c r="U288" s="342" t="s">
        <v>2350</v>
      </c>
    </row>
    <row r="289" spans="1:21" ht="154">
      <c r="A289" s="342">
        <v>288222</v>
      </c>
      <c r="B289" s="342" t="s">
        <v>512</v>
      </c>
      <c r="C289" s="342" t="s">
        <v>336</v>
      </c>
      <c r="D289" s="342" t="s">
        <v>337</v>
      </c>
      <c r="E289" s="342" t="s">
        <v>591</v>
      </c>
      <c r="F289" s="342" t="s">
        <v>40</v>
      </c>
      <c r="G289" s="342" t="s">
        <v>5282</v>
      </c>
      <c r="H289" s="342" t="s">
        <v>2220</v>
      </c>
      <c r="I289" s="342" t="s">
        <v>2072</v>
      </c>
      <c r="M289" s="342" t="s">
        <v>5282</v>
      </c>
      <c r="N289" s="342" t="s">
        <v>2073</v>
      </c>
      <c r="O289" s="342" t="s">
        <v>2074</v>
      </c>
      <c r="Q289" s="342">
        <v>2</v>
      </c>
      <c r="R289" s="342" t="s">
        <v>2076</v>
      </c>
      <c r="S289" s="344" t="s">
        <v>2221</v>
      </c>
      <c r="T289" s="342" t="s">
        <v>2077</v>
      </c>
    </row>
    <row r="290" spans="1:21">
      <c r="A290" s="342">
        <v>288401</v>
      </c>
      <c r="B290" s="342" t="s">
        <v>514</v>
      </c>
      <c r="C290" s="342" t="s">
        <v>516</v>
      </c>
      <c r="D290" s="342" t="s">
        <v>51</v>
      </c>
      <c r="E290" s="342" t="s">
        <v>591</v>
      </c>
      <c r="F290" s="342" t="s">
        <v>40</v>
      </c>
      <c r="G290" s="342" t="s">
        <v>1336</v>
      </c>
      <c r="H290" s="342" t="s">
        <v>514</v>
      </c>
      <c r="I290" s="342" t="s">
        <v>2072</v>
      </c>
      <c r="M290" s="342" t="s">
        <v>1336</v>
      </c>
      <c r="N290" s="342" t="s">
        <v>2073</v>
      </c>
      <c r="O290" s="342" t="s">
        <v>2113</v>
      </c>
      <c r="Q290" s="342">
        <v>4</v>
      </c>
      <c r="R290" s="342" t="s">
        <v>2085</v>
      </c>
      <c r="S290" s="342" t="s">
        <v>2396</v>
      </c>
    </row>
    <row r="291" spans="1:21">
      <c r="A291" s="342">
        <v>288403</v>
      </c>
      <c r="B291" s="342" t="s">
        <v>4386</v>
      </c>
      <c r="C291" s="342" t="s">
        <v>336</v>
      </c>
      <c r="D291" s="342" t="s">
        <v>337</v>
      </c>
      <c r="E291" s="342" t="s">
        <v>591</v>
      </c>
      <c r="F291" s="342" t="s">
        <v>40</v>
      </c>
      <c r="G291" s="342" t="s">
        <v>5279</v>
      </c>
      <c r="H291" s="342" t="s">
        <v>2161</v>
      </c>
      <c r="I291" s="342" t="s">
        <v>2072</v>
      </c>
      <c r="M291" s="342" t="s">
        <v>5279</v>
      </c>
      <c r="N291" s="342" t="s">
        <v>2073</v>
      </c>
      <c r="O291" s="342" t="s">
        <v>2074</v>
      </c>
      <c r="P291" s="342" t="s">
        <v>2075</v>
      </c>
      <c r="Q291" s="342">
        <v>2</v>
      </c>
      <c r="R291" s="342" t="s">
        <v>2076</v>
      </c>
      <c r="S291" s="342" t="s">
        <v>2162</v>
      </c>
      <c r="T291" s="342" t="s">
        <v>2099</v>
      </c>
      <c r="U291" s="342" t="s">
        <v>2163</v>
      </c>
    </row>
    <row r="292" spans="1:21">
      <c r="A292" s="342">
        <v>288404</v>
      </c>
      <c r="B292" s="342" t="s">
        <v>1497</v>
      </c>
      <c r="C292" s="342" t="s">
        <v>493</v>
      </c>
      <c r="D292" s="342" t="s">
        <v>51</v>
      </c>
      <c r="E292" s="342" t="s">
        <v>591</v>
      </c>
      <c r="F292" s="342" t="s">
        <v>40</v>
      </c>
      <c r="G292" s="342" t="s">
        <v>5449</v>
      </c>
      <c r="H292" s="342" t="s">
        <v>2097</v>
      </c>
      <c r="I292" s="342" t="s">
        <v>2072</v>
      </c>
      <c r="M292" s="342" t="s">
        <v>5449</v>
      </c>
      <c r="N292" s="342" t="s">
        <v>2073</v>
      </c>
      <c r="O292" s="342" t="s">
        <v>2074</v>
      </c>
      <c r="P292" s="342" t="s">
        <v>2075</v>
      </c>
      <c r="Q292" s="342">
        <v>2</v>
      </c>
      <c r="R292" s="342" t="s">
        <v>2076</v>
      </c>
      <c r="S292" s="342" t="s">
        <v>2098</v>
      </c>
      <c r="T292" s="342" t="s">
        <v>2099</v>
      </c>
    </row>
    <row r="293" spans="1:21" ht="154">
      <c r="A293" s="342">
        <v>288412</v>
      </c>
      <c r="B293" s="342" t="s">
        <v>519</v>
      </c>
      <c r="C293" s="342" t="s">
        <v>236</v>
      </c>
      <c r="D293" s="342" t="s">
        <v>51</v>
      </c>
      <c r="E293" s="342" t="s">
        <v>591</v>
      </c>
      <c r="F293" s="342" t="s">
        <v>40</v>
      </c>
      <c r="G293" s="342" t="s">
        <v>5282</v>
      </c>
      <c r="H293" s="342" t="s">
        <v>2220</v>
      </c>
      <c r="I293" s="342" t="s">
        <v>2072</v>
      </c>
      <c r="M293" s="342" t="s">
        <v>5282</v>
      </c>
      <c r="N293" s="342" t="s">
        <v>2073</v>
      </c>
      <c r="O293" s="342" t="s">
        <v>2074</v>
      </c>
      <c r="Q293" s="342">
        <v>2</v>
      </c>
      <c r="R293" s="342" t="s">
        <v>2076</v>
      </c>
      <c r="S293" s="344" t="s">
        <v>2221</v>
      </c>
      <c r="T293" s="342" t="s">
        <v>2077</v>
      </c>
    </row>
    <row r="294" spans="1:21" ht="409.5">
      <c r="A294" s="342">
        <v>288414</v>
      </c>
      <c r="B294" s="342" t="s">
        <v>522</v>
      </c>
      <c r="C294" s="342" t="s">
        <v>782</v>
      </c>
      <c r="D294" s="342" t="s">
        <v>51</v>
      </c>
      <c r="E294" s="342" t="s">
        <v>591</v>
      </c>
      <c r="F294" s="342" t="s">
        <v>40</v>
      </c>
      <c r="G294" s="342" t="s">
        <v>5282</v>
      </c>
      <c r="H294" s="342" t="s">
        <v>2280</v>
      </c>
      <c r="I294" s="342" t="s">
        <v>2072</v>
      </c>
      <c r="M294" s="342" t="s">
        <v>4441</v>
      </c>
      <c r="N294" s="342" t="s">
        <v>2073</v>
      </c>
      <c r="O294" s="342" t="s">
        <v>2074</v>
      </c>
      <c r="P294" s="342" t="s">
        <v>2075</v>
      </c>
      <c r="Q294" s="342">
        <v>2</v>
      </c>
      <c r="R294" s="342" t="s">
        <v>2076</v>
      </c>
      <c r="S294" s="344" t="s">
        <v>2498</v>
      </c>
      <c r="T294" s="342" t="s">
        <v>2077</v>
      </c>
      <c r="U294" s="342" t="s">
        <v>2281</v>
      </c>
    </row>
    <row r="295" spans="1:21">
      <c r="A295" s="342">
        <v>288415</v>
      </c>
      <c r="B295" s="342" t="s">
        <v>4387</v>
      </c>
      <c r="C295" s="342" t="s">
        <v>336</v>
      </c>
      <c r="D295" s="342" t="s">
        <v>337</v>
      </c>
      <c r="E295" s="342" t="s">
        <v>591</v>
      </c>
      <c r="F295" s="342" t="s">
        <v>40</v>
      </c>
      <c r="G295" s="342" t="s">
        <v>5449</v>
      </c>
      <c r="H295" s="342" t="s">
        <v>2097</v>
      </c>
      <c r="I295" s="342" t="s">
        <v>2072</v>
      </c>
      <c r="M295" s="342" t="s">
        <v>5449</v>
      </c>
      <c r="N295" s="342" t="s">
        <v>2073</v>
      </c>
      <c r="O295" s="342" t="s">
        <v>2074</v>
      </c>
      <c r="P295" s="342" t="s">
        <v>2075</v>
      </c>
      <c r="Q295" s="342">
        <v>2</v>
      </c>
      <c r="R295" s="342" t="s">
        <v>2076</v>
      </c>
      <c r="S295" s="342" t="s">
        <v>2098</v>
      </c>
      <c r="T295" s="342" t="s">
        <v>2099</v>
      </c>
    </row>
    <row r="296" spans="1:21" ht="409.5">
      <c r="A296" s="342">
        <v>288416</v>
      </c>
      <c r="B296" s="342" t="s">
        <v>522</v>
      </c>
      <c r="C296" s="342" t="s">
        <v>331</v>
      </c>
      <c r="D296" s="342" t="s">
        <v>51</v>
      </c>
      <c r="E296" s="342" t="s">
        <v>591</v>
      </c>
      <c r="F296" s="342" t="s">
        <v>40</v>
      </c>
      <c r="G296" s="342" t="s">
        <v>5282</v>
      </c>
      <c r="H296" s="342" t="s">
        <v>2280</v>
      </c>
      <c r="I296" s="342" t="s">
        <v>2072</v>
      </c>
      <c r="M296" s="342" t="s">
        <v>4441</v>
      </c>
      <c r="N296" s="342" t="s">
        <v>2073</v>
      </c>
      <c r="O296" s="342" t="s">
        <v>2074</v>
      </c>
      <c r="P296" s="342" t="s">
        <v>2075</v>
      </c>
      <c r="Q296" s="342">
        <v>2</v>
      </c>
      <c r="R296" s="342" t="s">
        <v>2076</v>
      </c>
      <c r="S296" s="344" t="s">
        <v>2498</v>
      </c>
      <c r="T296" s="342" t="s">
        <v>2077</v>
      </c>
      <c r="U296" s="342" t="s">
        <v>2281</v>
      </c>
    </row>
    <row r="297" spans="1:21" ht="280">
      <c r="A297" s="342">
        <v>288429</v>
      </c>
      <c r="B297" s="342" t="s">
        <v>525</v>
      </c>
      <c r="C297" s="342" t="s">
        <v>566</v>
      </c>
      <c r="D297" s="342" t="s">
        <v>526</v>
      </c>
      <c r="E297" s="342" t="s">
        <v>591</v>
      </c>
      <c r="F297" s="342" t="s">
        <v>40</v>
      </c>
      <c r="G297" s="342" t="s">
        <v>5282</v>
      </c>
      <c r="H297" s="342" t="s">
        <v>2171</v>
      </c>
      <c r="I297" s="342" t="s">
        <v>2072</v>
      </c>
      <c r="M297" s="342" t="s">
        <v>5282</v>
      </c>
      <c r="N297" s="342" t="s">
        <v>2073</v>
      </c>
      <c r="O297" s="342" t="s">
        <v>2093</v>
      </c>
      <c r="Q297" s="342">
        <v>2</v>
      </c>
      <c r="R297" s="342" t="s">
        <v>2076</v>
      </c>
      <c r="S297" s="344" t="s">
        <v>2172</v>
      </c>
      <c r="T297" s="342" t="s">
        <v>2077</v>
      </c>
    </row>
    <row r="298" spans="1:21" ht="280">
      <c r="A298" s="342">
        <v>288457</v>
      </c>
      <c r="B298" s="342" t="s">
        <v>527</v>
      </c>
      <c r="C298" s="342" t="s">
        <v>660</v>
      </c>
      <c r="D298" s="342" t="s">
        <v>45</v>
      </c>
      <c r="E298" s="342" t="s">
        <v>591</v>
      </c>
      <c r="F298" s="342" t="s">
        <v>40</v>
      </c>
      <c r="G298" s="342" t="s">
        <v>5282</v>
      </c>
      <c r="H298" s="342" t="s">
        <v>2171</v>
      </c>
      <c r="I298" s="342" t="s">
        <v>2072</v>
      </c>
      <c r="M298" s="342" t="s">
        <v>5282</v>
      </c>
      <c r="N298" s="342" t="s">
        <v>2073</v>
      </c>
      <c r="O298" s="342" t="s">
        <v>2093</v>
      </c>
      <c r="Q298" s="342">
        <v>2</v>
      </c>
      <c r="R298" s="342" t="s">
        <v>2076</v>
      </c>
      <c r="S298" s="344" t="s">
        <v>2172</v>
      </c>
      <c r="T298" s="342" t="s">
        <v>2077</v>
      </c>
    </row>
    <row r="299" spans="1:21" ht="409.5">
      <c r="A299" s="342">
        <v>288653</v>
      </c>
      <c r="B299" s="342" t="s">
        <v>750</v>
      </c>
      <c r="C299" s="342" t="s">
        <v>753</v>
      </c>
      <c r="D299" s="342" t="s">
        <v>51</v>
      </c>
      <c r="E299" s="342" t="s">
        <v>591</v>
      </c>
      <c r="F299" s="342" t="s">
        <v>40</v>
      </c>
      <c r="G299" s="342" t="s">
        <v>4441</v>
      </c>
      <c r="H299" s="342" t="s">
        <v>2280</v>
      </c>
      <c r="I299" s="342" t="s">
        <v>2079</v>
      </c>
      <c r="J299" s="344" t="s">
        <v>2397</v>
      </c>
      <c r="L299" s="342" t="s">
        <v>2045</v>
      </c>
      <c r="M299" s="342" t="s">
        <v>4441</v>
      </c>
      <c r="N299" s="342" t="s">
        <v>2073</v>
      </c>
      <c r="O299" s="342" t="s">
        <v>2074</v>
      </c>
      <c r="P299" s="342" t="s">
        <v>2075</v>
      </c>
      <c r="Q299" s="342">
        <v>2</v>
      </c>
      <c r="R299" s="342" t="s">
        <v>2076</v>
      </c>
      <c r="S299" s="344" t="s">
        <v>2498</v>
      </c>
      <c r="T299" s="342" t="s">
        <v>2077</v>
      </c>
      <c r="U299" s="342" t="s">
        <v>2281</v>
      </c>
    </row>
    <row r="300" spans="1:21" ht="98">
      <c r="A300" s="342">
        <v>289048</v>
      </c>
      <c r="B300" s="342" t="s">
        <v>1385</v>
      </c>
      <c r="C300" s="342" t="s">
        <v>1387</v>
      </c>
      <c r="D300" s="342" t="s">
        <v>51</v>
      </c>
      <c r="E300" s="342" t="s">
        <v>591</v>
      </c>
      <c r="F300" s="342" t="s">
        <v>1114</v>
      </c>
      <c r="G300" s="342" t="s">
        <v>4608</v>
      </c>
      <c r="H300" s="342" t="s">
        <v>2398</v>
      </c>
      <c r="I300" s="342" t="s">
        <v>2128</v>
      </c>
      <c r="J300" s="344" t="s">
        <v>2129</v>
      </c>
      <c r="M300" s="342" t="s">
        <v>4608</v>
      </c>
      <c r="N300" s="342" t="s">
        <v>2128</v>
      </c>
      <c r="Q300" s="342">
        <v>1</v>
      </c>
      <c r="R300" s="342" t="s">
        <v>2107</v>
      </c>
      <c r="S300" s="342" t="s">
        <v>2399</v>
      </c>
      <c r="T300" s="342" t="s">
        <v>2131</v>
      </c>
    </row>
    <row r="301" spans="1:21" ht="409.5">
      <c r="A301" s="342">
        <v>289064</v>
      </c>
      <c r="B301" s="342" t="s">
        <v>760</v>
      </c>
      <c r="C301" s="342" t="s">
        <v>763</v>
      </c>
      <c r="D301" s="342" t="s">
        <v>107</v>
      </c>
      <c r="E301" s="342" t="s">
        <v>591</v>
      </c>
      <c r="F301" s="342" t="s">
        <v>40</v>
      </c>
      <c r="G301" s="342" t="s">
        <v>4441</v>
      </c>
      <c r="H301" s="342" t="s">
        <v>2280</v>
      </c>
      <c r="I301" s="342" t="s">
        <v>2079</v>
      </c>
      <c r="J301" s="344" t="s">
        <v>2400</v>
      </c>
      <c r="L301" s="342" t="s">
        <v>2046</v>
      </c>
      <c r="M301" s="342" t="s">
        <v>4441</v>
      </c>
      <c r="N301" s="342" t="s">
        <v>2073</v>
      </c>
      <c r="O301" s="342" t="s">
        <v>2074</v>
      </c>
      <c r="P301" s="342" t="s">
        <v>2075</v>
      </c>
      <c r="Q301" s="342">
        <v>2</v>
      </c>
      <c r="R301" s="342" t="s">
        <v>2076</v>
      </c>
      <c r="S301" s="344" t="s">
        <v>2498</v>
      </c>
      <c r="T301" s="342" t="s">
        <v>2077</v>
      </c>
      <c r="U301" s="342" t="s">
        <v>2281</v>
      </c>
    </row>
    <row r="302" spans="1:21" ht="154">
      <c r="A302" s="342">
        <v>289087</v>
      </c>
      <c r="B302" s="342" t="s">
        <v>5284</v>
      </c>
      <c r="C302" s="342" t="s">
        <v>5286</v>
      </c>
      <c r="D302" s="342" t="s">
        <v>1088</v>
      </c>
      <c r="E302" s="342" t="s">
        <v>591</v>
      </c>
      <c r="F302" s="342" t="s">
        <v>40</v>
      </c>
      <c r="G302" s="342" t="s">
        <v>5281</v>
      </c>
      <c r="H302" s="342" t="s">
        <v>2132</v>
      </c>
      <c r="I302" s="342" t="s">
        <v>2072</v>
      </c>
      <c r="M302" s="342" t="s">
        <v>5517</v>
      </c>
      <c r="N302" s="342" t="s">
        <v>2073</v>
      </c>
      <c r="O302" s="342" t="s">
        <v>2074</v>
      </c>
      <c r="P302" s="342" t="s">
        <v>2075</v>
      </c>
      <c r="Q302" s="342">
        <v>2</v>
      </c>
      <c r="R302" s="342" t="s">
        <v>2133</v>
      </c>
      <c r="S302" s="344" t="s">
        <v>2134</v>
      </c>
      <c r="T302" s="342" t="s">
        <v>2099</v>
      </c>
      <c r="U302" s="342" t="s">
        <v>2135</v>
      </c>
    </row>
    <row r="303" spans="1:21" ht="252">
      <c r="A303" s="342">
        <v>289129</v>
      </c>
      <c r="B303" s="342" t="s">
        <v>528</v>
      </c>
      <c r="C303" s="342" t="s">
        <v>93</v>
      </c>
      <c r="D303" s="342" t="s">
        <v>47</v>
      </c>
      <c r="E303" s="342" t="s">
        <v>591</v>
      </c>
      <c r="F303" s="342" t="s">
        <v>40</v>
      </c>
      <c r="G303" s="342" t="s">
        <v>5278</v>
      </c>
      <c r="H303" s="342" t="s">
        <v>1168</v>
      </c>
      <c r="I303" s="342" t="s">
        <v>2072</v>
      </c>
      <c r="M303" s="342" t="s">
        <v>5278</v>
      </c>
      <c r="N303" s="342" t="s">
        <v>2073</v>
      </c>
      <c r="O303" s="342" t="s">
        <v>2074</v>
      </c>
      <c r="P303" s="342" t="s">
        <v>2075</v>
      </c>
      <c r="Q303" s="342">
        <v>2</v>
      </c>
      <c r="R303" s="342" t="s">
        <v>2076</v>
      </c>
      <c r="S303" s="344" t="s">
        <v>2139</v>
      </c>
      <c r="T303" s="342" t="s">
        <v>2099</v>
      </c>
      <c r="U303" s="344" t="s">
        <v>2140</v>
      </c>
    </row>
    <row r="304" spans="1:21" ht="154">
      <c r="A304" s="342">
        <v>290257</v>
      </c>
      <c r="B304" s="342" t="s">
        <v>530</v>
      </c>
      <c r="C304" s="342" t="s">
        <v>119</v>
      </c>
      <c r="D304" s="342" t="s">
        <v>51</v>
      </c>
      <c r="E304" s="342" t="s">
        <v>591</v>
      </c>
      <c r="F304" s="342" t="s">
        <v>40</v>
      </c>
      <c r="G304" s="342" t="s">
        <v>5450</v>
      </c>
      <c r="H304" s="342" t="s">
        <v>2132</v>
      </c>
      <c r="I304" s="342" t="s">
        <v>2072</v>
      </c>
      <c r="M304" s="342" t="s">
        <v>5517</v>
      </c>
      <c r="N304" s="342" t="s">
        <v>2073</v>
      </c>
      <c r="O304" s="342" t="s">
        <v>2074</v>
      </c>
      <c r="P304" s="342" t="s">
        <v>2075</v>
      </c>
      <c r="Q304" s="342">
        <v>2</v>
      </c>
      <c r="R304" s="342" t="s">
        <v>2133</v>
      </c>
      <c r="S304" s="344" t="s">
        <v>2134</v>
      </c>
      <c r="T304" s="342" t="s">
        <v>2099</v>
      </c>
      <c r="U304" s="342" t="s">
        <v>2135</v>
      </c>
    </row>
    <row r="305" spans="1:21" ht="168">
      <c r="A305" s="342">
        <v>291012</v>
      </c>
      <c r="B305" s="342" t="s">
        <v>533</v>
      </c>
      <c r="C305" s="342" t="s">
        <v>536</v>
      </c>
      <c r="D305" s="342" t="s">
        <v>51</v>
      </c>
      <c r="E305" s="342" t="s">
        <v>591</v>
      </c>
      <c r="F305" s="342" t="s">
        <v>40</v>
      </c>
      <c r="G305" s="342" t="s">
        <v>5449</v>
      </c>
      <c r="H305" s="342" t="s">
        <v>2401</v>
      </c>
      <c r="I305" s="342" t="s">
        <v>2072</v>
      </c>
      <c r="J305" s="342" t="s">
        <v>5317</v>
      </c>
      <c r="L305" s="342" t="s">
        <v>5317</v>
      </c>
      <c r="M305" s="342" t="s">
        <v>5449</v>
      </c>
      <c r="N305" s="342" t="s">
        <v>2283</v>
      </c>
      <c r="O305" s="342" t="s">
        <v>2113</v>
      </c>
      <c r="Q305" s="342">
        <v>4</v>
      </c>
      <c r="R305" s="342" t="s">
        <v>2087</v>
      </c>
      <c r="S305" s="344" t="s">
        <v>2499</v>
      </c>
      <c r="T305" s="342" t="s">
        <v>2087</v>
      </c>
    </row>
    <row r="306" spans="1:21" ht="126">
      <c r="A306" s="342">
        <v>291146</v>
      </c>
      <c r="B306" s="342" t="s">
        <v>1134</v>
      </c>
      <c r="C306" s="342" t="s">
        <v>1136</v>
      </c>
      <c r="D306" s="342" t="s">
        <v>51</v>
      </c>
      <c r="E306" s="342" t="s">
        <v>591</v>
      </c>
      <c r="F306" s="342" t="s">
        <v>40</v>
      </c>
      <c r="G306" s="342" t="s">
        <v>5450</v>
      </c>
      <c r="H306" s="342" t="s">
        <v>1134</v>
      </c>
      <c r="I306" s="342" t="s">
        <v>2072</v>
      </c>
      <c r="J306" s="344" t="s">
        <v>2500</v>
      </c>
      <c r="L306" s="342" t="s">
        <v>4216</v>
      </c>
      <c r="M306" s="342" t="s">
        <v>5517</v>
      </c>
      <c r="N306" s="342" t="s">
        <v>2073</v>
      </c>
      <c r="O306" s="342" t="s">
        <v>2074</v>
      </c>
      <c r="P306" s="342" t="s">
        <v>2179</v>
      </c>
      <c r="Q306" s="342">
        <v>3</v>
      </c>
      <c r="R306" s="342" t="s">
        <v>2107</v>
      </c>
      <c r="S306" s="342" t="s">
        <v>2501</v>
      </c>
    </row>
    <row r="307" spans="1:21" ht="409.5">
      <c r="A307" s="342">
        <v>292561</v>
      </c>
      <c r="B307" s="342" t="s">
        <v>537</v>
      </c>
      <c r="C307" s="342" t="s">
        <v>539</v>
      </c>
      <c r="D307" s="342" t="s">
        <v>98</v>
      </c>
      <c r="E307" s="342" t="s">
        <v>591</v>
      </c>
      <c r="F307" s="342" t="s">
        <v>40</v>
      </c>
      <c r="G307" s="342" t="s">
        <v>5282</v>
      </c>
      <c r="H307" s="342" t="s">
        <v>2171</v>
      </c>
      <c r="I307" s="342" t="s">
        <v>2072</v>
      </c>
      <c r="J307" s="344" t="s">
        <v>2402</v>
      </c>
      <c r="L307" s="342" t="s">
        <v>2047</v>
      </c>
      <c r="M307" s="342" t="s">
        <v>5282</v>
      </c>
      <c r="N307" s="342" t="s">
        <v>2073</v>
      </c>
      <c r="O307" s="342" t="s">
        <v>2093</v>
      </c>
      <c r="Q307" s="342">
        <v>2</v>
      </c>
      <c r="R307" s="342" t="s">
        <v>2076</v>
      </c>
      <c r="S307" s="344" t="s">
        <v>2172</v>
      </c>
      <c r="T307" s="342" t="s">
        <v>2077</v>
      </c>
    </row>
    <row r="308" spans="1:21" ht="140">
      <c r="A308" s="342">
        <v>292565</v>
      </c>
      <c r="B308" s="342" t="s">
        <v>1389</v>
      </c>
      <c r="C308" s="342" t="s">
        <v>1392</v>
      </c>
      <c r="D308" s="342" t="s">
        <v>246</v>
      </c>
      <c r="E308" s="342" t="s">
        <v>591</v>
      </c>
      <c r="F308" s="342" t="s">
        <v>40</v>
      </c>
      <c r="G308" s="342" t="s">
        <v>1277</v>
      </c>
      <c r="H308" s="342" t="s">
        <v>1389</v>
      </c>
      <c r="I308" s="342" t="s">
        <v>2072</v>
      </c>
      <c r="J308" s="344" t="s">
        <v>2403</v>
      </c>
      <c r="L308" s="342" t="s">
        <v>2048</v>
      </c>
      <c r="M308" s="342" t="s">
        <v>1277</v>
      </c>
      <c r="N308" s="342" t="s">
        <v>2283</v>
      </c>
      <c r="O308" s="342" t="s">
        <v>2093</v>
      </c>
      <c r="Q308" s="342">
        <v>3</v>
      </c>
      <c r="R308" s="342" t="s">
        <v>2094</v>
      </c>
      <c r="S308" s="344" t="s">
        <v>2404</v>
      </c>
      <c r="T308" s="342" t="s">
        <v>2087</v>
      </c>
    </row>
    <row r="309" spans="1:21" ht="140">
      <c r="A309" s="342">
        <v>292673</v>
      </c>
      <c r="B309" s="342" t="s">
        <v>1137</v>
      </c>
      <c r="C309" s="342" t="s">
        <v>987</v>
      </c>
      <c r="D309" s="342" t="s">
        <v>66</v>
      </c>
      <c r="E309" s="342" t="s">
        <v>591</v>
      </c>
      <c r="F309" s="342" t="s">
        <v>784</v>
      </c>
      <c r="G309" s="342" t="s">
        <v>4638</v>
      </c>
      <c r="H309" s="342" t="s">
        <v>1137</v>
      </c>
      <c r="I309" s="342" t="s">
        <v>2229</v>
      </c>
      <c r="J309" s="344" t="s">
        <v>2230</v>
      </c>
      <c r="M309" s="342" t="s">
        <v>4638</v>
      </c>
      <c r="N309" s="342" t="s">
        <v>2231</v>
      </c>
      <c r="P309" s="342" t="s">
        <v>2232</v>
      </c>
      <c r="Q309" s="342">
        <v>2</v>
      </c>
      <c r="R309" s="342" t="s">
        <v>2107</v>
      </c>
      <c r="S309" s="344" t="s">
        <v>2405</v>
      </c>
      <c r="T309" s="342" t="s">
        <v>2233</v>
      </c>
      <c r="U309" s="344" t="s">
        <v>2406</v>
      </c>
    </row>
    <row r="310" spans="1:21" ht="409.5">
      <c r="A310" s="342">
        <v>293442</v>
      </c>
      <c r="B310" s="342" t="s">
        <v>1140</v>
      </c>
      <c r="C310" s="342" t="s">
        <v>1142</v>
      </c>
      <c r="D310" s="342" t="s">
        <v>51</v>
      </c>
      <c r="E310" s="342" t="s">
        <v>591</v>
      </c>
      <c r="F310" s="342" t="s">
        <v>40</v>
      </c>
      <c r="G310" s="342" t="s">
        <v>5449</v>
      </c>
      <c r="H310" s="342" t="s">
        <v>2401</v>
      </c>
      <c r="I310" s="342" t="s">
        <v>2079</v>
      </c>
      <c r="J310" s="344" t="s">
        <v>2502</v>
      </c>
      <c r="L310" s="342" t="s">
        <v>5318</v>
      </c>
      <c r="M310" s="342" t="s">
        <v>5449</v>
      </c>
      <c r="N310" s="342" t="s">
        <v>2283</v>
      </c>
      <c r="O310" s="342" t="s">
        <v>2113</v>
      </c>
      <c r="Q310" s="342">
        <v>4</v>
      </c>
      <c r="R310" s="342" t="s">
        <v>2087</v>
      </c>
      <c r="S310" s="344" t="s">
        <v>2499</v>
      </c>
      <c r="T310" s="342" t="s">
        <v>2087</v>
      </c>
    </row>
    <row r="311" spans="1:21" ht="154">
      <c r="A311" s="342">
        <v>294094</v>
      </c>
      <c r="B311" s="342" t="s">
        <v>684</v>
      </c>
      <c r="C311" s="342" t="s">
        <v>614</v>
      </c>
      <c r="D311" s="342" t="s">
        <v>558</v>
      </c>
      <c r="E311" s="342" t="s">
        <v>591</v>
      </c>
      <c r="F311" s="342" t="s">
        <v>40</v>
      </c>
      <c r="G311" s="342" t="s">
        <v>5282</v>
      </c>
      <c r="H311" s="342" t="s">
        <v>2220</v>
      </c>
      <c r="I311" s="342" t="s">
        <v>2072</v>
      </c>
      <c r="M311" s="342" t="s">
        <v>5282</v>
      </c>
      <c r="N311" s="342" t="s">
        <v>2073</v>
      </c>
      <c r="O311" s="342" t="s">
        <v>2074</v>
      </c>
      <c r="Q311" s="342">
        <v>2</v>
      </c>
      <c r="R311" s="342" t="s">
        <v>2076</v>
      </c>
      <c r="S311" s="344" t="s">
        <v>2221</v>
      </c>
      <c r="T311" s="342" t="s">
        <v>2077</v>
      </c>
    </row>
    <row r="312" spans="1:21" ht="70">
      <c r="A312" s="342">
        <v>294096</v>
      </c>
      <c r="B312" s="342" t="s">
        <v>989</v>
      </c>
      <c r="C312" s="342" t="s">
        <v>991</v>
      </c>
      <c r="D312" s="342" t="s">
        <v>381</v>
      </c>
      <c r="E312" s="342" t="s">
        <v>591</v>
      </c>
      <c r="F312" s="342" t="s">
        <v>41</v>
      </c>
      <c r="G312" s="342" t="s">
        <v>786</v>
      </c>
      <c r="H312" s="342" t="s">
        <v>2407</v>
      </c>
      <c r="I312" s="342" t="s">
        <v>2090</v>
      </c>
      <c r="M312" s="342" t="s">
        <v>786</v>
      </c>
      <c r="N312" s="342" t="s">
        <v>2104</v>
      </c>
      <c r="P312" s="342" t="s">
        <v>2194</v>
      </c>
      <c r="Q312" s="342">
        <v>2</v>
      </c>
      <c r="R312" s="342" t="s">
        <v>2107</v>
      </c>
      <c r="S312" s="344" t="s">
        <v>2408</v>
      </c>
      <c r="T312" s="342" t="s">
        <v>2217</v>
      </c>
      <c r="U312" s="342" t="s">
        <v>4224</v>
      </c>
    </row>
    <row r="313" spans="1:21" ht="409.5">
      <c r="A313" s="342">
        <v>295409</v>
      </c>
      <c r="B313" s="342" t="s">
        <v>540</v>
      </c>
      <c r="C313" s="342" t="s">
        <v>417</v>
      </c>
      <c r="D313" s="342" t="s">
        <v>51</v>
      </c>
      <c r="E313" s="342" t="s">
        <v>591</v>
      </c>
      <c r="F313" s="342" t="s">
        <v>40</v>
      </c>
      <c r="G313" s="342" t="s">
        <v>5281</v>
      </c>
      <c r="H313" s="342" t="s">
        <v>2365</v>
      </c>
      <c r="I313" s="342" t="s">
        <v>2079</v>
      </c>
      <c r="J313" s="344" t="s">
        <v>2409</v>
      </c>
      <c r="L313" s="342" t="s">
        <v>2049</v>
      </c>
      <c r="M313" s="342" t="s">
        <v>5281</v>
      </c>
      <c r="N313" s="342" t="s">
        <v>2367</v>
      </c>
      <c r="O313" s="342" t="s">
        <v>2116</v>
      </c>
      <c r="Q313" s="342">
        <v>3</v>
      </c>
      <c r="R313" s="342" t="s">
        <v>2133</v>
      </c>
      <c r="S313" s="344" t="s">
        <v>2368</v>
      </c>
      <c r="T313" s="342" t="s">
        <v>2087</v>
      </c>
      <c r="U313" s="342" t="s">
        <v>2369</v>
      </c>
    </row>
    <row r="314" spans="1:21" ht="196">
      <c r="A314" s="342">
        <v>295568</v>
      </c>
      <c r="B314" s="342" t="s">
        <v>5026</v>
      </c>
      <c r="C314" s="342" t="s">
        <v>1136</v>
      </c>
      <c r="D314" s="342" t="s">
        <v>51</v>
      </c>
      <c r="E314" s="342" t="s">
        <v>591</v>
      </c>
      <c r="F314" s="342" t="s">
        <v>40</v>
      </c>
      <c r="G314" s="342" t="s">
        <v>1336</v>
      </c>
      <c r="H314" s="342" t="s">
        <v>2071</v>
      </c>
      <c r="I314" s="342" t="s">
        <v>2079</v>
      </c>
      <c r="J314" s="342" t="s">
        <v>5063</v>
      </c>
      <c r="L314" s="342" t="s">
        <v>5063</v>
      </c>
      <c r="M314" s="342" t="s">
        <v>1336</v>
      </c>
      <c r="N314" s="342" t="s">
        <v>2079</v>
      </c>
      <c r="O314" s="342" t="s">
        <v>2074</v>
      </c>
      <c r="P314" s="342" t="s">
        <v>2075</v>
      </c>
      <c r="Q314" s="342">
        <v>2</v>
      </c>
      <c r="R314" s="342" t="s">
        <v>2076</v>
      </c>
      <c r="S314" s="344" t="s">
        <v>2495</v>
      </c>
      <c r="T314" s="342" t="s">
        <v>2077</v>
      </c>
    </row>
    <row r="315" spans="1:21">
      <c r="A315" s="342">
        <v>295609</v>
      </c>
      <c r="B315" s="342" t="s">
        <v>1312</v>
      </c>
      <c r="C315" s="342" t="s">
        <v>349</v>
      </c>
      <c r="D315" s="342" t="s">
        <v>47</v>
      </c>
      <c r="E315" s="342" t="s">
        <v>591</v>
      </c>
      <c r="F315" s="342" t="s">
        <v>40</v>
      </c>
      <c r="G315" s="342" t="s">
        <v>5449</v>
      </c>
      <c r="H315" s="342" t="s">
        <v>2097</v>
      </c>
      <c r="I315" s="342" t="s">
        <v>2072</v>
      </c>
      <c r="M315" s="342" t="s">
        <v>5449</v>
      </c>
      <c r="N315" s="342" t="s">
        <v>2073</v>
      </c>
      <c r="O315" s="342" t="s">
        <v>2074</v>
      </c>
      <c r="P315" s="342" t="s">
        <v>2075</v>
      </c>
      <c r="Q315" s="342">
        <v>2</v>
      </c>
      <c r="R315" s="342" t="s">
        <v>2076</v>
      </c>
      <c r="S315" s="342" t="s">
        <v>2098</v>
      </c>
      <c r="T315" s="342" t="s">
        <v>2099</v>
      </c>
    </row>
    <row r="316" spans="1:21">
      <c r="A316" s="342">
        <v>296146</v>
      </c>
      <c r="B316" s="342" t="s">
        <v>543</v>
      </c>
      <c r="C316" s="342" t="s">
        <v>295</v>
      </c>
      <c r="D316" s="342" t="s">
        <v>51</v>
      </c>
      <c r="E316" s="342" t="s">
        <v>591</v>
      </c>
      <c r="F316" s="342" t="s">
        <v>40</v>
      </c>
      <c r="G316" s="342" t="s">
        <v>5279</v>
      </c>
      <c r="H316" s="342" t="s">
        <v>2100</v>
      </c>
      <c r="I316" s="342" t="s">
        <v>2072</v>
      </c>
      <c r="M316" s="342" t="s">
        <v>5279</v>
      </c>
      <c r="N316" s="342" t="s">
        <v>2073</v>
      </c>
      <c r="O316" s="342" t="s">
        <v>2074</v>
      </c>
      <c r="P316" s="342" t="s">
        <v>2075</v>
      </c>
      <c r="Q316" s="342">
        <v>2</v>
      </c>
      <c r="R316" s="342" t="s">
        <v>2076</v>
      </c>
      <c r="S316" s="342" t="s">
        <v>2101</v>
      </c>
      <c r="T316" s="342" t="s">
        <v>2099</v>
      </c>
    </row>
    <row r="317" spans="1:21" ht="409.5">
      <c r="A317" s="342">
        <v>296322</v>
      </c>
      <c r="B317" s="342" t="s">
        <v>994</v>
      </c>
      <c r="C317" s="342" t="s">
        <v>336</v>
      </c>
      <c r="D317" s="342" t="s">
        <v>337</v>
      </c>
      <c r="E317" s="342" t="s">
        <v>591</v>
      </c>
      <c r="F317" s="342" t="s">
        <v>40</v>
      </c>
      <c r="G317" s="342" t="s">
        <v>4608</v>
      </c>
      <c r="H317" s="342" t="s">
        <v>1265</v>
      </c>
      <c r="I317" s="342" t="s">
        <v>2090</v>
      </c>
      <c r="M317" s="342" t="s">
        <v>5280</v>
      </c>
      <c r="N317" s="342" t="s">
        <v>2073</v>
      </c>
      <c r="O317" s="342" t="s">
        <v>2074</v>
      </c>
      <c r="Q317" s="342">
        <v>3</v>
      </c>
      <c r="R317" s="342" t="s">
        <v>2076</v>
      </c>
      <c r="S317" s="344" t="s">
        <v>4875</v>
      </c>
      <c r="T317" s="342" t="s">
        <v>2077</v>
      </c>
    </row>
    <row r="318" spans="1:21">
      <c r="A318" s="342">
        <v>296804</v>
      </c>
      <c r="B318" s="342" t="s">
        <v>546</v>
      </c>
      <c r="C318" s="342" t="s">
        <v>548</v>
      </c>
      <c r="D318" s="342" t="s">
        <v>47</v>
      </c>
      <c r="E318" s="342" t="s">
        <v>591</v>
      </c>
      <c r="F318" s="342" t="s">
        <v>40</v>
      </c>
      <c r="G318" s="342" t="s">
        <v>1277</v>
      </c>
      <c r="H318" s="342" t="s">
        <v>546</v>
      </c>
      <c r="I318" s="342" t="s">
        <v>2090</v>
      </c>
      <c r="M318" s="342" t="s">
        <v>1277</v>
      </c>
      <c r="N318" s="342" t="s">
        <v>2090</v>
      </c>
      <c r="O318" s="342" t="s">
        <v>2410</v>
      </c>
      <c r="P318" s="342" t="s">
        <v>2122</v>
      </c>
      <c r="Q318" s="342">
        <v>3</v>
      </c>
      <c r="R318" s="342" t="s">
        <v>2107</v>
      </c>
      <c r="S318" s="342" t="s">
        <v>2411</v>
      </c>
      <c r="T318" s="342" t="s">
        <v>2099</v>
      </c>
    </row>
    <row r="319" spans="1:21" ht="98">
      <c r="A319" s="342">
        <v>296804</v>
      </c>
      <c r="B319" s="342" t="s">
        <v>546</v>
      </c>
      <c r="C319" s="342" t="s">
        <v>548</v>
      </c>
      <c r="D319" s="342" t="s">
        <v>47</v>
      </c>
      <c r="E319" s="342" t="s">
        <v>591</v>
      </c>
      <c r="F319" s="342" t="s">
        <v>1114</v>
      </c>
      <c r="G319" s="342" t="s">
        <v>1421</v>
      </c>
      <c r="H319" s="342" t="s">
        <v>546</v>
      </c>
      <c r="I319" s="342" t="s">
        <v>2128</v>
      </c>
      <c r="J319" s="344" t="s">
        <v>2129</v>
      </c>
      <c r="M319" s="342" t="s">
        <v>1421</v>
      </c>
      <c r="N319" s="342" t="s">
        <v>2128</v>
      </c>
      <c r="Q319" s="342">
        <v>1</v>
      </c>
      <c r="R319" s="342" t="s">
        <v>2107</v>
      </c>
      <c r="S319" s="342" t="s">
        <v>2412</v>
      </c>
      <c r="T319" s="342" t="s">
        <v>2131</v>
      </c>
    </row>
    <row r="320" spans="1:21" ht="409.5">
      <c r="A320" s="342">
        <v>297471</v>
      </c>
      <c r="B320" s="342" t="s">
        <v>776</v>
      </c>
      <c r="C320" s="342" t="s">
        <v>777</v>
      </c>
      <c r="D320" s="342" t="s">
        <v>779</v>
      </c>
      <c r="E320" s="342" t="s">
        <v>591</v>
      </c>
      <c r="F320" s="342" t="s">
        <v>40</v>
      </c>
      <c r="G320" s="342" t="s">
        <v>5281</v>
      </c>
      <c r="H320" s="342" t="s">
        <v>2365</v>
      </c>
      <c r="I320" s="342" t="s">
        <v>2079</v>
      </c>
      <c r="J320" s="344" t="s">
        <v>5519</v>
      </c>
      <c r="L320" s="342" t="s">
        <v>5515</v>
      </c>
      <c r="M320" s="342" t="s">
        <v>5281</v>
      </c>
      <c r="N320" s="342" t="s">
        <v>2367</v>
      </c>
      <c r="O320" s="342" t="s">
        <v>2116</v>
      </c>
      <c r="Q320" s="342">
        <v>3</v>
      </c>
      <c r="R320" s="342" t="s">
        <v>2133</v>
      </c>
      <c r="S320" s="344" t="s">
        <v>2368</v>
      </c>
      <c r="T320" s="342" t="s">
        <v>2087</v>
      </c>
      <c r="U320" s="342" t="s">
        <v>2369</v>
      </c>
    </row>
    <row r="321" spans="1:21" ht="196">
      <c r="A321" s="342">
        <v>297951</v>
      </c>
      <c r="B321" s="342" t="s">
        <v>999</v>
      </c>
      <c r="C321" s="342" t="s">
        <v>336</v>
      </c>
      <c r="D321" s="342" t="s">
        <v>337</v>
      </c>
      <c r="E321" s="342" t="s">
        <v>591</v>
      </c>
      <c r="F321" s="342" t="s">
        <v>40</v>
      </c>
      <c r="G321" s="342" t="s">
        <v>5282</v>
      </c>
      <c r="H321" s="342" t="s">
        <v>2282</v>
      </c>
      <c r="I321" s="342" t="s">
        <v>2072</v>
      </c>
      <c r="M321" s="342" t="s">
        <v>4441</v>
      </c>
      <c r="N321" s="342" t="s">
        <v>2283</v>
      </c>
      <c r="Q321" s="342">
        <v>3</v>
      </c>
      <c r="R321" s="342" t="s">
        <v>2076</v>
      </c>
      <c r="S321" s="344" t="s">
        <v>2284</v>
      </c>
      <c r="T321" s="342" t="s">
        <v>2077</v>
      </c>
    </row>
    <row r="322" spans="1:21">
      <c r="A322" s="342">
        <v>298128</v>
      </c>
      <c r="B322" s="342" t="s">
        <v>1002</v>
      </c>
      <c r="C322" s="342" t="s">
        <v>550</v>
      </c>
      <c r="D322" s="342" t="s">
        <v>51</v>
      </c>
      <c r="E322" s="342" t="s">
        <v>591</v>
      </c>
      <c r="F322" s="342" t="s">
        <v>41</v>
      </c>
      <c r="G322" s="342" t="s">
        <v>786</v>
      </c>
      <c r="H322" s="342" t="s">
        <v>2413</v>
      </c>
      <c r="I322" s="342" t="s">
        <v>2090</v>
      </c>
      <c r="M322" s="342" t="s">
        <v>786</v>
      </c>
      <c r="N322" s="342" t="s">
        <v>2104</v>
      </c>
      <c r="P322" s="342" t="s">
        <v>2106</v>
      </c>
      <c r="Q322" s="342">
        <v>1</v>
      </c>
      <c r="R322" s="342" t="s">
        <v>2107</v>
      </c>
      <c r="S322" s="342" t="s">
        <v>2414</v>
      </c>
      <c r="T322" s="342" t="s">
        <v>2217</v>
      </c>
      <c r="U322" s="342" t="s">
        <v>2415</v>
      </c>
    </row>
    <row r="323" spans="1:21">
      <c r="A323" s="342">
        <v>298364</v>
      </c>
      <c r="B323" s="342" t="s">
        <v>551</v>
      </c>
      <c r="C323" s="342" t="s">
        <v>348</v>
      </c>
      <c r="D323" s="342" t="s">
        <v>45</v>
      </c>
      <c r="E323" s="342" t="s">
        <v>591</v>
      </c>
      <c r="F323" s="342" t="s">
        <v>40</v>
      </c>
      <c r="G323" s="342" t="s">
        <v>786</v>
      </c>
      <c r="H323" s="342" t="s">
        <v>2416</v>
      </c>
      <c r="I323" s="342" t="s">
        <v>2072</v>
      </c>
      <c r="M323" s="342" t="s">
        <v>786</v>
      </c>
      <c r="N323" s="342" t="s">
        <v>2073</v>
      </c>
      <c r="O323" s="342" t="s">
        <v>2116</v>
      </c>
      <c r="Q323" s="342">
        <v>3</v>
      </c>
      <c r="R323" s="342" t="s">
        <v>2085</v>
      </c>
      <c r="S323" s="342" t="s">
        <v>2417</v>
      </c>
    </row>
    <row r="324" spans="1:21" ht="409.5">
      <c r="A324" s="342">
        <v>298473</v>
      </c>
      <c r="B324" s="342" t="s">
        <v>5288</v>
      </c>
      <c r="C324" s="342" t="s">
        <v>5291</v>
      </c>
      <c r="D324" s="342" t="s">
        <v>45</v>
      </c>
      <c r="E324" s="342" t="s">
        <v>591</v>
      </c>
      <c r="F324" s="342" t="s">
        <v>41</v>
      </c>
      <c r="G324" s="342" t="s">
        <v>1421</v>
      </c>
      <c r="H324" s="342" t="s">
        <v>5335</v>
      </c>
      <c r="I324" s="342" t="s">
        <v>2090</v>
      </c>
      <c r="J324" s="344" t="s">
        <v>5336</v>
      </c>
      <c r="L324" s="342" t="s">
        <v>5319</v>
      </c>
      <c r="M324" s="342" t="s">
        <v>1421</v>
      </c>
      <c r="N324" s="342" t="s">
        <v>2104</v>
      </c>
      <c r="Q324" s="342">
        <v>1</v>
      </c>
    </row>
    <row r="325" spans="1:21" ht="154">
      <c r="A325" s="342">
        <v>298528</v>
      </c>
      <c r="B325" s="342" t="s">
        <v>1461</v>
      </c>
      <c r="C325" s="342" t="s">
        <v>1463</v>
      </c>
      <c r="D325" s="342" t="s">
        <v>558</v>
      </c>
      <c r="E325" s="342" t="s">
        <v>591</v>
      </c>
      <c r="F325" s="342" t="s">
        <v>40</v>
      </c>
      <c r="G325" s="342" t="s">
        <v>5281</v>
      </c>
      <c r="H325" s="342" t="s">
        <v>2132</v>
      </c>
      <c r="I325" s="342" t="s">
        <v>2072</v>
      </c>
      <c r="J325" s="342" t="s">
        <v>2050</v>
      </c>
      <c r="L325" s="342" t="s">
        <v>5332</v>
      </c>
      <c r="M325" s="342" t="s">
        <v>5517</v>
      </c>
      <c r="N325" s="342" t="s">
        <v>2073</v>
      </c>
      <c r="O325" s="342" t="s">
        <v>2074</v>
      </c>
      <c r="P325" s="342" t="s">
        <v>2075</v>
      </c>
      <c r="Q325" s="342">
        <v>2</v>
      </c>
      <c r="R325" s="342" t="s">
        <v>2133</v>
      </c>
      <c r="S325" s="344" t="s">
        <v>2134</v>
      </c>
      <c r="T325" s="342" t="s">
        <v>2099</v>
      </c>
      <c r="U325" s="342" t="s">
        <v>2135</v>
      </c>
    </row>
    <row r="326" spans="1:21" ht="378">
      <c r="A326" s="342">
        <v>298721</v>
      </c>
      <c r="B326" s="342" t="s">
        <v>362</v>
      </c>
      <c r="C326" s="342" t="s">
        <v>555</v>
      </c>
      <c r="D326" s="342" t="s">
        <v>47</v>
      </c>
      <c r="E326" s="342" t="s">
        <v>591</v>
      </c>
      <c r="F326" s="342" t="s">
        <v>40</v>
      </c>
      <c r="G326" s="342" t="s">
        <v>1336</v>
      </c>
      <c r="H326" s="342" t="s">
        <v>2115</v>
      </c>
      <c r="I326" s="342" t="s">
        <v>2072</v>
      </c>
      <c r="M326" s="342" t="s">
        <v>1336</v>
      </c>
      <c r="N326" s="342" t="s">
        <v>2073</v>
      </c>
      <c r="O326" s="342" t="s">
        <v>2116</v>
      </c>
      <c r="P326" s="342" t="s">
        <v>2075</v>
      </c>
      <c r="Q326" s="342">
        <v>3</v>
      </c>
      <c r="R326" s="342" t="s">
        <v>2076</v>
      </c>
      <c r="S326" s="342" t="s">
        <v>5177</v>
      </c>
      <c r="T326" s="342" t="s">
        <v>2099</v>
      </c>
      <c r="U326" s="344" t="s">
        <v>2117</v>
      </c>
    </row>
    <row r="327" spans="1:21">
      <c r="A327" s="342">
        <v>298788</v>
      </c>
      <c r="B327" s="342" t="s">
        <v>556</v>
      </c>
      <c r="C327" s="342" t="s">
        <v>693</v>
      </c>
      <c r="D327" s="342" t="s">
        <v>558</v>
      </c>
      <c r="E327" s="342" t="s">
        <v>591</v>
      </c>
      <c r="F327" s="342" t="s">
        <v>41</v>
      </c>
      <c r="G327" s="342" t="s">
        <v>1421</v>
      </c>
      <c r="H327" s="342" t="s">
        <v>2418</v>
      </c>
      <c r="I327" s="342" t="s">
        <v>2090</v>
      </c>
      <c r="L327" s="342" t="s">
        <v>2051</v>
      </c>
      <c r="M327" s="342" t="s">
        <v>1421</v>
      </c>
      <c r="N327" s="342" t="s">
        <v>2104</v>
      </c>
      <c r="P327" s="342" t="s">
        <v>2106</v>
      </c>
      <c r="Q327" s="342">
        <v>1</v>
      </c>
      <c r="R327" s="342" t="s">
        <v>2107</v>
      </c>
      <c r="S327" s="342" t="s">
        <v>2419</v>
      </c>
      <c r="T327" s="342" t="s">
        <v>2217</v>
      </c>
    </row>
    <row r="328" spans="1:21">
      <c r="A328" s="342">
        <v>298788</v>
      </c>
      <c r="B328" s="342" t="s">
        <v>556</v>
      </c>
      <c r="C328" s="342" t="s">
        <v>693</v>
      </c>
      <c r="D328" s="342" t="s">
        <v>558</v>
      </c>
      <c r="E328" s="342" t="s">
        <v>591</v>
      </c>
      <c r="F328" s="342" t="s">
        <v>40</v>
      </c>
      <c r="G328" s="342" t="s">
        <v>1421</v>
      </c>
      <c r="H328" s="342" t="s">
        <v>2420</v>
      </c>
      <c r="I328" s="342" t="s">
        <v>2090</v>
      </c>
      <c r="M328" s="342" t="s">
        <v>1421</v>
      </c>
      <c r="N328" s="342" t="s">
        <v>2090</v>
      </c>
      <c r="P328" s="342" t="s">
        <v>2194</v>
      </c>
      <c r="Q328" s="342">
        <v>3</v>
      </c>
      <c r="R328" s="342" t="s">
        <v>2107</v>
      </c>
      <c r="S328" s="342" t="s">
        <v>2421</v>
      </c>
      <c r="T328" s="342" t="s">
        <v>2099</v>
      </c>
    </row>
    <row r="329" spans="1:21" ht="322">
      <c r="A329" s="342">
        <v>298953</v>
      </c>
      <c r="B329" s="342" t="s">
        <v>649</v>
      </c>
      <c r="C329" s="342" t="s">
        <v>650</v>
      </c>
      <c r="D329" s="342" t="s">
        <v>51</v>
      </c>
      <c r="E329" s="342" t="s">
        <v>591</v>
      </c>
      <c r="F329" s="342" t="s">
        <v>40</v>
      </c>
      <c r="G329" s="342" t="s">
        <v>5450</v>
      </c>
      <c r="H329" s="342" t="s">
        <v>2132</v>
      </c>
      <c r="I329" s="342" t="s">
        <v>2079</v>
      </c>
      <c r="J329" s="344" t="s">
        <v>2422</v>
      </c>
      <c r="L329" s="342" t="s">
        <v>2052</v>
      </c>
      <c r="M329" s="342" t="s">
        <v>5517</v>
      </c>
      <c r="N329" s="342" t="s">
        <v>2073</v>
      </c>
      <c r="O329" s="342" t="s">
        <v>2074</v>
      </c>
      <c r="P329" s="342" t="s">
        <v>2075</v>
      </c>
      <c r="Q329" s="342">
        <v>2</v>
      </c>
      <c r="R329" s="342" t="s">
        <v>2133</v>
      </c>
      <c r="S329" s="344" t="s">
        <v>2134</v>
      </c>
      <c r="T329" s="342" t="s">
        <v>2099</v>
      </c>
      <c r="U329" s="342" t="s">
        <v>2135</v>
      </c>
    </row>
    <row r="330" spans="1:21" ht="112">
      <c r="A330" s="342">
        <v>299072</v>
      </c>
      <c r="B330" s="342" t="s">
        <v>1008</v>
      </c>
      <c r="C330" s="342" t="s">
        <v>1010</v>
      </c>
      <c r="D330" s="342" t="s">
        <v>51</v>
      </c>
      <c r="E330" s="342" t="s">
        <v>591</v>
      </c>
      <c r="F330" s="342" t="s">
        <v>784</v>
      </c>
      <c r="G330" s="342" t="s">
        <v>1336</v>
      </c>
      <c r="H330" s="342" t="s">
        <v>1008</v>
      </c>
      <c r="I330" s="342" t="s">
        <v>2229</v>
      </c>
      <c r="J330" s="344" t="s">
        <v>2352</v>
      </c>
      <c r="M330" s="342" t="s">
        <v>1336</v>
      </c>
      <c r="N330" s="342" t="s">
        <v>2231</v>
      </c>
      <c r="O330" s="342" t="s">
        <v>2105</v>
      </c>
      <c r="P330" s="342" t="s">
        <v>2253</v>
      </c>
      <c r="Q330" s="342">
        <v>1</v>
      </c>
      <c r="R330" s="342" t="s">
        <v>2107</v>
      </c>
      <c r="S330" s="344" t="s">
        <v>2423</v>
      </c>
      <c r="T330" s="342" t="s">
        <v>2233</v>
      </c>
      <c r="U330" s="344" t="s">
        <v>2424</v>
      </c>
    </row>
    <row r="331" spans="1:21" ht="409.5">
      <c r="A331" s="342">
        <v>299072</v>
      </c>
      <c r="B331" s="342" t="s">
        <v>1008</v>
      </c>
      <c r="C331" s="342" t="s">
        <v>1010</v>
      </c>
      <c r="D331" s="342" t="s">
        <v>51</v>
      </c>
      <c r="E331" s="342" t="s">
        <v>591</v>
      </c>
      <c r="F331" s="342" t="s">
        <v>787</v>
      </c>
      <c r="G331" s="342" t="s">
        <v>1336</v>
      </c>
      <c r="H331" s="342" t="s">
        <v>2425</v>
      </c>
      <c r="I331" s="342" t="s">
        <v>2234</v>
      </c>
      <c r="J331" s="342" t="s">
        <v>2235</v>
      </c>
      <c r="M331" s="342" t="s">
        <v>1336</v>
      </c>
      <c r="N331" s="342" t="s">
        <v>2258</v>
      </c>
      <c r="Q331" s="342">
        <v>2</v>
      </c>
      <c r="R331" s="342" t="s">
        <v>2107</v>
      </c>
      <c r="S331" s="344" t="s">
        <v>2426</v>
      </c>
      <c r="U331" s="342" t="s">
        <v>2427</v>
      </c>
    </row>
    <row r="332" spans="1:21" ht="280">
      <c r="A332" s="342">
        <v>299640</v>
      </c>
      <c r="B332" s="342" t="s">
        <v>4475</v>
      </c>
      <c r="C332" s="342" t="s">
        <v>174</v>
      </c>
      <c r="D332" s="342" t="s">
        <v>175</v>
      </c>
      <c r="E332" s="342" t="s">
        <v>591</v>
      </c>
      <c r="F332" s="342" t="s">
        <v>40</v>
      </c>
      <c r="G332" s="342" t="s">
        <v>1510</v>
      </c>
      <c r="H332" s="342" t="s">
        <v>4502</v>
      </c>
      <c r="I332" s="342" t="s">
        <v>2090</v>
      </c>
      <c r="J332" s="344" t="s">
        <v>5188</v>
      </c>
      <c r="L332" s="342" t="s">
        <v>5181</v>
      </c>
      <c r="M332" s="342" t="s">
        <v>1510</v>
      </c>
      <c r="N332" s="342" t="s">
        <v>2090</v>
      </c>
      <c r="O332" s="342" t="s">
        <v>2214</v>
      </c>
      <c r="Q332" s="342">
        <v>3</v>
      </c>
      <c r="R332" s="342" t="s">
        <v>2133</v>
      </c>
      <c r="S332" s="342" t="s">
        <v>4504</v>
      </c>
      <c r="T332" s="342" t="s">
        <v>2099</v>
      </c>
      <c r="U332" s="342" t="s">
        <v>4505</v>
      </c>
    </row>
    <row r="333" spans="1:21">
      <c r="A333" s="342">
        <v>300205</v>
      </c>
      <c r="B333" s="342" t="s">
        <v>1011</v>
      </c>
      <c r="C333" s="342" t="s">
        <v>1193</v>
      </c>
      <c r="D333" s="342" t="s">
        <v>47</v>
      </c>
      <c r="E333" s="342" t="s">
        <v>591</v>
      </c>
      <c r="F333" s="342" t="s">
        <v>1100</v>
      </c>
      <c r="G333" s="342" t="s">
        <v>4638</v>
      </c>
      <c r="H333" s="342" t="s">
        <v>1011</v>
      </c>
      <c r="I333" s="342" t="s">
        <v>2120</v>
      </c>
      <c r="M333" s="342" t="s">
        <v>4638</v>
      </c>
      <c r="N333" s="342" t="s">
        <v>2120</v>
      </c>
      <c r="Q333" s="342">
        <v>1</v>
      </c>
      <c r="R333" s="342" t="s">
        <v>2107</v>
      </c>
      <c r="S333" s="342" t="s">
        <v>2428</v>
      </c>
      <c r="T333" s="342" t="s">
        <v>2213</v>
      </c>
      <c r="U333" s="342" t="s">
        <v>2429</v>
      </c>
    </row>
    <row r="334" spans="1:21">
      <c r="A334" s="342">
        <v>300583</v>
      </c>
      <c r="B334" s="342" t="s">
        <v>1077</v>
      </c>
      <c r="C334" s="342" t="s">
        <v>275</v>
      </c>
      <c r="D334" s="342" t="s">
        <v>45</v>
      </c>
      <c r="E334" s="342" t="s">
        <v>591</v>
      </c>
      <c r="F334" s="342" t="s">
        <v>40</v>
      </c>
      <c r="G334" s="342" t="s">
        <v>786</v>
      </c>
      <c r="H334" s="342" t="s">
        <v>2304</v>
      </c>
      <c r="I334" s="342" t="s">
        <v>2072</v>
      </c>
      <c r="M334" s="342" t="s">
        <v>786</v>
      </c>
      <c r="N334" s="342" t="s">
        <v>2073</v>
      </c>
      <c r="O334" s="342" t="s">
        <v>2116</v>
      </c>
      <c r="P334" s="342" t="s">
        <v>2075</v>
      </c>
      <c r="Q334" s="342">
        <v>3</v>
      </c>
      <c r="R334" s="342" t="s">
        <v>2076</v>
      </c>
      <c r="S334" s="342" t="s">
        <v>2305</v>
      </c>
      <c r="T334" s="342" t="s">
        <v>2099</v>
      </c>
      <c r="U334" s="342" t="s">
        <v>2306</v>
      </c>
    </row>
    <row r="335" spans="1:21" ht="42">
      <c r="A335" s="342">
        <v>300812</v>
      </c>
      <c r="B335" s="342" t="s">
        <v>1441</v>
      </c>
      <c r="C335" s="342" t="s">
        <v>1443</v>
      </c>
      <c r="D335" s="342" t="s">
        <v>47</v>
      </c>
      <c r="E335" s="342" t="s">
        <v>591</v>
      </c>
      <c r="F335" s="342" t="s">
        <v>40</v>
      </c>
      <c r="G335" s="342" t="s">
        <v>1277</v>
      </c>
      <c r="H335" s="342" t="s">
        <v>4197</v>
      </c>
      <c r="I335" s="342" t="s">
        <v>2072</v>
      </c>
      <c r="J335" s="344" t="s">
        <v>2544</v>
      </c>
      <c r="L335" s="342" t="s">
        <v>4196</v>
      </c>
      <c r="M335" s="342" t="s">
        <v>1277</v>
      </c>
      <c r="N335" s="342" t="s">
        <v>2073</v>
      </c>
      <c r="O335" s="342" t="s">
        <v>2113</v>
      </c>
      <c r="P335" s="342" t="s">
        <v>2122</v>
      </c>
      <c r="Q335" s="342">
        <v>4</v>
      </c>
      <c r="R335" s="342" t="s">
        <v>2107</v>
      </c>
      <c r="S335" s="342" t="s">
        <v>4198</v>
      </c>
      <c r="T335" s="342" t="s">
        <v>2087</v>
      </c>
    </row>
    <row r="336" spans="1:21">
      <c r="A336" s="342">
        <v>301127</v>
      </c>
      <c r="B336" s="342" t="s">
        <v>1411</v>
      </c>
      <c r="C336" s="342" t="s">
        <v>1080</v>
      </c>
      <c r="D336" s="342" t="s">
        <v>51</v>
      </c>
      <c r="E336" s="342" t="s">
        <v>591</v>
      </c>
      <c r="F336" s="342" t="s">
        <v>40</v>
      </c>
      <c r="G336" s="342" t="s">
        <v>5449</v>
      </c>
      <c r="H336" s="342" t="s">
        <v>2097</v>
      </c>
      <c r="I336" s="342" t="s">
        <v>2072</v>
      </c>
      <c r="M336" s="342" t="s">
        <v>5449</v>
      </c>
      <c r="N336" s="342" t="s">
        <v>2073</v>
      </c>
      <c r="O336" s="342" t="s">
        <v>2074</v>
      </c>
      <c r="P336" s="342" t="s">
        <v>2075</v>
      </c>
      <c r="Q336" s="342">
        <v>2</v>
      </c>
      <c r="R336" s="342" t="s">
        <v>2076</v>
      </c>
      <c r="S336" s="342" t="s">
        <v>2098</v>
      </c>
      <c r="T336" s="342" t="s">
        <v>2099</v>
      </c>
    </row>
    <row r="337" spans="1:21" ht="224">
      <c r="A337" s="342">
        <v>301185</v>
      </c>
      <c r="B337" s="342" t="s">
        <v>1151</v>
      </c>
      <c r="C337" s="342" t="s">
        <v>1321</v>
      </c>
      <c r="D337" s="342" t="s">
        <v>55</v>
      </c>
      <c r="E337" s="342" t="s">
        <v>591</v>
      </c>
      <c r="F337" s="342" t="s">
        <v>40</v>
      </c>
      <c r="G337" s="342" t="s">
        <v>1277</v>
      </c>
      <c r="H337" s="342" t="s">
        <v>1151</v>
      </c>
      <c r="I337" s="342" t="s">
        <v>2072</v>
      </c>
      <c r="J337" s="344" t="s">
        <v>2430</v>
      </c>
      <c r="L337" s="342" t="s">
        <v>2053</v>
      </c>
      <c r="M337" s="342" t="s">
        <v>1277</v>
      </c>
      <c r="N337" s="342" t="s">
        <v>2073</v>
      </c>
      <c r="O337" s="342" t="s">
        <v>2113</v>
      </c>
      <c r="Q337" s="342">
        <v>4</v>
      </c>
      <c r="R337" s="342" t="s">
        <v>2085</v>
      </c>
      <c r="S337" s="342" t="s">
        <v>2431</v>
      </c>
      <c r="T337" s="342" t="s">
        <v>2087</v>
      </c>
    </row>
    <row r="338" spans="1:21" ht="182">
      <c r="A338" s="342">
        <v>301672</v>
      </c>
      <c r="B338" s="342" t="s">
        <v>624</v>
      </c>
      <c r="C338" s="342" t="s">
        <v>559</v>
      </c>
      <c r="D338" s="342" t="s">
        <v>55</v>
      </c>
      <c r="E338" s="342" t="s">
        <v>591</v>
      </c>
      <c r="F338" s="342" t="s">
        <v>40</v>
      </c>
      <c r="G338" s="342" t="s">
        <v>1421</v>
      </c>
      <c r="H338" s="342" t="s">
        <v>2432</v>
      </c>
      <c r="I338" s="342" t="s">
        <v>2072</v>
      </c>
      <c r="M338" s="342" t="s">
        <v>1421</v>
      </c>
      <c r="N338" s="342" t="s">
        <v>2073</v>
      </c>
      <c r="Q338" s="342">
        <v>4</v>
      </c>
      <c r="R338" s="342" t="s">
        <v>2085</v>
      </c>
      <c r="S338" s="344" t="s">
        <v>4372</v>
      </c>
      <c r="T338" s="342" t="s">
        <v>2087</v>
      </c>
    </row>
    <row r="339" spans="1:21">
      <c r="A339" s="342">
        <v>301799</v>
      </c>
      <c r="B339" s="342" t="s">
        <v>1013</v>
      </c>
      <c r="C339" s="342" t="s">
        <v>1015</v>
      </c>
      <c r="D339" s="342" t="s">
        <v>51</v>
      </c>
      <c r="E339" s="342" t="s">
        <v>591</v>
      </c>
      <c r="F339" s="342" t="s">
        <v>40</v>
      </c>
      <c r="G339" s="342" t="s">
        <v>1277</v>
      </c>
      <c r="H339" s="342" t="s">
        <v>1013</v>
      </c>
      <c r="I339" s="342" t="s">
        <v>2072</v>
      </c>
      <c r="M339" s="342" t="s">
        <v>1277</v>
      </c>
      <c r="N339" s="342" t="s">
        <v>2073</v>
      </c>
      <c r="Q339" s="342">
        <v>3</v>
      </c>
      <c r="R339" s="342" t="s">
        <v>2085</v>
      </c>
      <c r="T339" s="342" t="s">
        <v>2099</v>
      </c>
    </row>
    <row r="340" spans="1:21" ht="280">
      <c r="A340" s="342">
        <v>301805</v>
      </c>
      <c r="B340" s="342" t="s">
        <v>560</v>
      </c>
      <c r="C340" s="342" t="s">
        <v>562</v>
      </c>
      <c r="D340" s="342" t="s">
        <v>549</v>
      </c>
      <c r="E340" s="342" t="s">
        <v>591</v>
      </c>
      <c r="F340" s="342" t="s">
        <v>40</v>
      </c>
      <c r="G340" s="342" t="s">
        <v>5282</v>
      </c>
      <c r="H340" s="342" t="s">
        <v>2171</v>
      </c>
      <c r="I340" s="342" t="s">
        <v>2072</v>
      </c>
      <c r="M340" s="342" t="s">
        <v>5282</v>
      </c>
      <c r="N340" s="342" t="s">
        <v>2073</v>
      </c>
      <c r="O340" s="342" t="s">
        <v>2093</v>
      </c>
      <c r="Q340" s="342">
        <v>2</v>
      </c>
      <c r="R340" s="342" t="s">
        <v>2076</v>
      </c>
      <c r="S340" s="344" t="s">
        <v>2172</v>
      </c>
      <c r="T340" s="342" t="s">
        <v>2077</v>
      </c>
    </row>
    <row r="341" spans="1:21">
      <c r="A341" s="342">
        <v>302146</v>
      </c>
      <c r="B341" s="342" t="s">
        <v>563</v>
      </c>
      <c r="C341" s="342" t="s">
        <v>565</v>
      </c>
      <c r="D341" s="342" t="s">
        <v>51</v>
      </c>
      <c r="E341" s="342" t="s">
        <v>591</v>
      </c>
      <c r="F341" s="342" t="s">
        <v>40</v>
      </c>
      <c r="G341" s="342" t="s">
        <v>5449</v>
      </c>
      <c r="H341" s="342" t="s">
        <v>1068</v>
      </c>
      <c r="I341" s="342" t="s">
        <v>2072</v>
      </c>
      <c r="J341" s="342" t="s">
        <v>5320</v>
      </c>
      <c r="L341" s="342" t="s">
        <v>5320</v>
      </c>
      <c r="M341" s="342" t="s">
        <v>5280</v>
      </c>
      <c r="N341" s="342" t="s">
        <v>2143</v>
      </c>
      <c r="O341" s="342" t="s">
        <v>2074</v>
      </c>
      <c r="Q341" s="342">
        <v>3</v>
      </c>
      <c r="R341" s="342" t="s">
        <v>2085</v>
      </c>
      <c r="S341" s="342" t="s">
        <v>2373</v>
      </c>
      <c r="T341" s="342" t="s">
        <v>2099</v>
      </c>
    </row>
    <row r="342" spans="1:21" ht="196">
      <c r="A342" s="342">
        <v>302236</v>
      </c>
      <c r="B342" s="342" t="s">
        <v>733</v>
      </c>
      <c r="C342" s="342" t="s">
        <v>735</v>
      </c>
      <c r="D342" s="342" t="s">
        <v>51</v>
      </c>
      <c r="E342" s="342" t="s">
        <v>591</v>
      </c>
      <c r="F342" s="342" t="s">
        <v>40</v>
      </c>
      <c r="G342" s="342" t="s">
        <v>5450</v>
      </c>
      <c r="H342" s="342" t="s">
        <v>2124</v>
      </c>
      <c r="I342" s="342" t="s">
        <v>2072</v>
      </c>
      <c r="M342" s="342" t="s">
        <v>5517</v>
      </c>
      <c r="N342" s="342" t="s">
        <v>2073</v>
      </c>
      <c r="O342" s="342" t="s">
        <v>2116</v>
      </c>
      <c r="P342" s="342" t="s">
        <v>2125</v>
      </c>
      <c r="Q342" s="342">
        <v>3</v>
      </c>
      <c r="R342" s="342" t="s">
        <v>2085</v>
      </c>
      <c r="S342" s="344" t="s">
        <v>2126</v>
      </c>
      <c r="T342" s="342" t="s">
        <v>2087</v>
      </c>
    </row>
    <row r="343" spans="1:21">
      <c r="A343" s="342">
        <v>302643</v>
      </c>
      <c r="B343" s="342" t="s">
        <v>1017</v>
      </c>
      <c r="C343" s="342" t="s">
        <v>137</v>
      </c>
      <c r="D343" s="342" t="s">
        <v>55</v>
      </c>
      <c r="E343" s="342" t="s">
        <v>591</v>
      </c>
      <c r="F343" s="342" t="s">
        <v>41</v>
      </c>
      <c r="G343" s="342" t="s">
        <v>4638</v>
      </c>
      <c r="H343" s="342" t="s">
        <v>2247</v>
      </c>
      <c r="I343" s="342" t="s">
        <v>2090</v>
      </c>
      <c r="M343" s="342" t="s">
        <v>4638</v>
      </c>
      <c r="N343" s="342" t="s">
        <v>2104</v>
      </c>
      <c r="P343" s="342" t="s">
        <v>2248</v>
      </c>
      <c r="Q343" s="342">
        <v>1</v>
      </c>
      <c r="R343" s="342" t="s">
        <v>2107</v>
      </c>
      <c r="S343" s="342" t="s">
        <v>2249</v>
      </c>
      <c r="T343" s="342" t="s">
        <v>2217</v>
      </c>
      <c r="U343" s="342" t="s">
        <v>2250</v>
      </c>
    </row>
    <row r="344" spans="1:21">
      <c r="A344" s="342">
        <v>302784</v>
      </c>
      <c r="B344" s="342" t="s">
        <v>1376</v>
      </c>
      <c r="C344" s="342" t="s">
        <v>1378</v>
      </c>
      <c r="D344" s="342" t="s">
        <v>1379</v>
      </c>
      <c r="E344" s="342" t="s">
        <v>591</v>
      </c>
      <c r="F344" s="342" t="s">
        <v>41</v>
      </c>
      <c r="G344" s="342" t="s">
        <v>4638</v>
      </c>
      <c r="H344" s="342" t="s">
        <v>2247</v>
      </c>
      <c r="I344" s="342" t="s">
        <v>2090</v>
      </c>
      <c r="M344" s="342" t="s">
        <v>4638</v>
      </c>
      <c r="N344" s="342" t="s">
        <v>2104</v>
      </c>
      <c r="P344" s="342" t="s">
        <v>2248</v>
      </c>
      <c r="Q344" s="342">
        <v>1</v>
      </c>
      <c r="R344" s="342" t="s">
        <v>2107</v>
      </c>
      <c r="S344" s="342" t="s">
        <v>2249</v>
      </c>
      <c r="T344" s="342" t="s">
        <v>2217</v>
      </c>
      <c r="U344" s="342" t="s">
        <v>2250</v>
      </c>
    </row>
    <row r="345" spans="1:21">
      <c r="A345" s="342">
        <v>302792</v>
      </c>
      <c r="B345" s="342" t="s">
        <v>1018</v>
      </c>
      <c r="C345" s="342" t="s">
        <v>1020</v>
      </c>
      <c r="D345" s="342" t="s">
        <v>465</v>
      </c>
      <c r="E345" s="342" t="s">
        <v>591</v>
      </c>
      <c r="F345" s="342" t="s">
        <v>41</v>
      </c>
      <c r="G345" s="342" t="s">
        <v>4638</v>
      </c>
      <c r="H345" s="342" t="s">
        <v>2247</v>
      </c>
      <c r="I345" s="342" t="s">
        <v>2090</v>
      </c>
      <c r="M345" s="342" t="s">
        <v>4638</v>
      </c>
      <c r="N345" s="342" t="s">
        <v>2104</v>
      </c>
      <c r="P345" s="342" t="s">
        <v>2248</v>
      </c>
      <c r="Q345" s="342">
        <v>1</v>
      </c>
      <c r="R345" s="342" t="s">
        <v>2107</v>
      </c>
      <c r="S345" s="342" t="s">
        <v>2249</v>
      </c>
      <c r="T345" s="342" t="s">
        <v>2217</v>
      </c>
      <c r="U345" s="342" t="s">
        <v>2250</v>
      </c>
    </row>
    <row r="346" spans="1:21" ht="154">
      <c r="A346" s="342">
        <v>302825</v>
      </c>
      <c r="B346" s="342" t="s">
        <v>730</v>
      </c>
      <c r="C346" s="342" t="s">
        <v>731</v>
      </c>
      <c r="D346" s="342" t="s">
        <v>47</v>
      </c>
      <c r="E346" s="342" t="s">
        <v>591</v>
      </c>
      <c r="F346" s="342" t="s">
        <v>40</v>
      </c>
      <c r="G346" s="342" t="s">
        <v>5282</v>
      </c>
      <c r="H346" s="342" t="s">
        <v>2220</v>
      </c>
      <c r="I346" s="342" t="s">
        <v>2072</v>
      </c>
      <c r="M346" s="342" t="s">
        <v>5282</v>
      </c>
      <c r="N346" s="342" t="s">
        <v>2073</v>
      </c>
      <c r="O346" s="342" t="s">
        <v>2074</v>
      </c>
      <c r="Q346" s="342">
        <v>2</v>
      </c>
      <c r="R346" s="342" t="s">
        <v>2076</v>
      </c>
      <c r="S346" s="344" t="s">
        <v>2221</v>
      </c>
      <c r="T346" s="342" t="s">
        <v>2077</v>
      </c>
    </row>
    <row r="347" spans="1:21" ht="252">
      <c r="A347" s="342">
        <v>302990</v>
      </c>
      <c r="B347" s="342" t="s">
        <v>1269</v>
      </c>
      <c r="C347" s="342" t="s">
        <v>1271</v>
      </c>
      <c r="D347" s="342" t="s">
        <v>47</v>
      </c>
      <c r="E347" s="342" t="s">
        <v>591</v>
      </c>
      <c r="F347" s="342" t="s">
        <v>685</v>
      </c>
      <c r="G347" s="342" t="s">
        <v>1421</v>
      </c>
      <c r="H347" s="342" t="s">
        <v>1269</v>
      </c>
      <c r="I347" s="342" t="s">
        <v>2120</v>
      </c>
      <c r="J347" s="344" t="s">
        <v>2150</v>
      </c>
      <c r="M347" s="342" t="s">
        <v>1421</v>
      </c>
      <c r="N347" s="342" t="s">
        <v>2120</v>
      </c>
      <c r="Q347" s="342">
        <v>2</v>
      </c>
      <c r="R347" s="342" t="s">
        <v>2107</v>
      </c>
      <c r="S347" s="342" t="s">
        <v>2433</v>
      </c>
      <c r="T347" s="342" t="s">
        <v>2152</v>
      </c>
      <c r="U347" s="342" t="s">
        <v>2434</v>
      </c>
    </row>
    <row r="348" spans="1:21">
      <c r="A348" s="342">
        <v>303127</v>
      </c>
      <c r="B348" s="342" t="s">
        <v>1130</v>
      </c>
      <c r="C348" s="342" t="s">
        <v>1131</v>
      </c>
      <c r="D348" s="342" t="s">
        <v>45</v>
      </c>
      <c r="E348" s="342" t="s">
        <v>591</v>
      </c>
      <c r="F348" s="342" t="s">
        <v>43</v>
      </c>
      <c r="G348" s="342" t="s">
        <v>1421</v>
      </c>
      <c r="H348" s="342" t="s">
        <v>2435</v>
      </c>
      <c r="I348" s="342" t="s">
        <v>2090</v>
      </c>
      <c r="M348" s="342" t="s">
        <v>1421</v>
      </c>
      <c r="N348" s="342" t="s">
        <v>2269</v>
      </c>
      <c r="Q348" s="342">
        <v>3</v>
      </c>
      <c r="R348" s="342" t="s">
        <v>2107</v>
      </c>
      <c r="S348" s="342" t="s">
        <v>2436</v>
      </c>
      <c r="T348" s="342" t="s">
        <v>2326</v>
      </c>
      <c r="U348" s="342" t="s">
        <v>2437</v>
      </c>
    </row>
    <row r="349" spans="1:21">
      <c r="A349" s="342">
        <v>303386</v>
      </c>
      <c r="B349" s="342" t="s">
        <v>567</v>
      </c>
      <c r="C349" s="342" t="s">
        <v>569</v>
      </c>
      <c r="D349" s="342" t="s">
        <v>51</v>
      </c>
      <c r="E349" s="342" t="s">
        <v>591</v>
      </c>
      <c r="F349" s="342" t="s">
        <v>40</v>
      </c>
      <c r="G349" s="342" t="s">
        <v>786</v>
      </c>
      <c r="H349" s="342" t="s">
        <v>2416</v>
      </c>
      <c r="I349" s="342" t="s">
        <v>2072</v>
      </c>
      <c r="M349" s="342" t="s">
        <v>786</v>
      </c>
      <c r="N349" s="342" t="s">
        <v>2073</v>
      </c>
      <c r="O349" s="342" t="s">
        <v>2116</v>
      </c>
      <c r="Q349" s="342">
        <v>4</v>
      </c>
      <c r="R349" s="342" t="s">
        <v>2085</v>
      </c>
      <c r="S349" s="342" t="s">
        <v>2417</v>
      </c>
    </row>
    <row r="350" spans="1:21">
      <c r="A350" s="342">
        <v>303561</v>
      </c>
      <c r="B350" s="342" t="s">
        <v>1212</v>
      </c>
      <c r="C350" s="342" t="s">
        <v>1214</v>
      </c>
      <c r="D350" s="342" t="s">
        <v>47</v>
      </c>
      <c r="E350" s="342" t="s">
        <v>591</v>
      </c>
      <c r="F350" s="342" t="s">
        <v>40</v>
      </c>
      <c r="G350" s="342" t="s">
        <v>5281</v>
      </c>
      <c r="H350" s="342" t="s">
        <v>2438</v>
      </c>
      <c r="I350" s="342" t="s">
        <v>2072</v>
      </c>
      <c r="M350" s="342" t="s">
        <v>5281</v>
      </c>
      <c r="N350" s="342" t="s">
        <v>2073</v>
      </c>
      <c r="O350" s="342" t="s">
        <v>2093</v>
      </c>
      <c r="Q350" s="342">
        <v>3</v>
      </c>
      <c r="R350" s="342" t="s">
        <v>2085</v>
      </c>
      <c r="S350" s="342" t="s">
        <v>2439</v>
      </c>
    </row>
    <row r="351" spans="1:21">
      <c r="A351" s="342">
        <v>304445</v>
      </c>
      <c r="B351" s="342" t="s">
        <v>1297</v>
      </c>
      <c r="C351" s="342" t="s">
        <v>1300</v>
      </c>
      <c r="D351" s="342" t="s">
        <v>779</v>
      </c>
      <c r="E351" s="342" t="s">
        <v>591</v>
      </c>
      <c r="F351" s="342" t="s">
        <v>40</v>
      </c>
      <c r="G351" s="342" t="s">
        <v>5282</v>
      </c>
      <c r="H351" s="342" t="s">
        <v>2218</v>
      </c>
      <c r="I351" s="342" t="s">
        <v>2072</v>
      </c>
      <c r="M351" s="342" t="s">
        <v>4441</v>
      </c>
      <c r="N351" s="342" t="s">
        <v>2073</v>
      </c>
      <c r="O351" s="342" t="s">
        <v>2074</v>
      </c>
      <c r="P351" s="342" t="s">
        <v>2075</v>
      </c>
      <c r="Q351" s="342">
        <v>3</v>
      </c>
      <c r="R351" s="342" t="s">
        <v>2076</v>
      </c>
      <c r="S351" s="342" t="s">
        <v>2219</v>
      </c>
      <c r="T351" s="342" t="s">
        <v>2077</v>
      </c>
    </row>
    <row r="352" spans="1:21" ht="98">
      <c r="A352" s="342">
        <v>304473</v>
      </c>
      <c r="B352" s="342" t="s">
        <v>1364</v>
      </c>
      <c r="C352" s="342" t="s">
        <v>1367</v>
      </c>
      <c r="D352" s="342" t="s">
        <v>51</v>
      </c>
      <c r="E352" s="342" t="s">
        <v>591</v>
      </c>
      <c r="F352" s="342" t="s">
        <v>40</v>
      </c>
      <c r="G352" s="342" t="s">
        <v>5279</v>
      </c>
      <c r="H352" s="342" t="s">
        <v>2161</v>
      </c>
      <c r="I352" s="342" t="s">
        <v>2079</v>
      </c>
      <c r="J352" s="344" t="s">
        <v>2440</v>
      </c>
      <c r="L352" s="342" t="s">
        <v>2054</v>
      </c>
      <c r="M352" s="342" t="s">
        <v>5279</v>
      </c>
      <c r="N352" s="342" t="s">
        <v>2073</v>
      </c>
      <c r="O352" s="342" t="s">
        <v>2074</v>
      </c>
      <c r="P352" s="342" t="s">
        <v>2075</v>
      </c>
      <c r="Q352" s="342">
        <v>2</v>
      </c>
      <c r="R352" s="342" t="s">
        <v>2076</v>
      </c>
      <c r="S352" s="342" t="s">
        <v>2162</v>
      </c>
      <c r="T352" s="342" t="s">
        <v>2099</v>
      </c>
      <c r="U352" s="342" t="s">
        <v>2163</v>
      </c>
    </row>
    <row r="353" spans="1:21" ht="364">
      <c r="A353" s="342">
        <v>305007</v>
      </c>
      <c r="B353" s="342" t="s">
        <v>570</v>
      </c>
      <c r="C353" s="342" t="s">
        <v>265</v>
      </c>
      <c r="D353" s="342" t="s">
        <v>107</v>
      </c>
      <c r="E353" s="342" t="s">
        <v>591</v>
      </c>
      <c r="F353" s="342" t="s">
        <v>40</v>
      </c>
      <c r="G353" s="342" t="s">
        <v>1277</v>
      </c>
      <c r="H353" s="342" t="s">
        <v>2164</v>
      </c>
      <c r="I353" s="342" t="s">
        <v>2079</v>
      </c>
      <c r="J353" s="344" t="s">
        <v>2441</v>
      </c>
      <c r="L353" s="342" t="s">
        <v>2055</v>
      </c>
      <c r="M353" s="342" t="s">
        <v>1277</v>
      </c>
      <c r="N353" s="342" t="s">
        <v>2073</v>
      </c>
      <c r="O353" s="342" t="s">
        <v>2093</v>
      </c>
      <c r="Q353" s="342">
        <v>4</v>
      </c>
      <c r="R353" s="342" t="s">
        <v>2085</v>
      </c>
      <c r="S353" s="342" t="s">
        <v>2165</v>
      </c>
      <c r="T353" s="342" t="s">
        <v>2087</v>
      </c>
    </row>
    <row r="354" spans="1:21">
      <c r="A354" s="342">
        <v>305015</v>
      </c>
      <c r="B354" s="342" t="s">
        <v>4553</v>
      </c>
      <c r="C354" s="342" t="s">
        <v>4538</v>
      </c>
      <c r="D354" s="342" t="s">
        <v>51</v>
      </c>
      <c r="E354" s="342" t="s">
        <v>591</v>
      </c>
      <c r="F354" s="342" t="s">
        <v>737</v>
      </c>
      <c r="G354" s="342" t="s">
        <v>5280</v>
      </c>
    </row>
    <row r="355" spans="1:21" ht="409.5">
      <c r="A355" s="342">
        <v>305252</v>
      </c>
      <c r="B355" s="342" t="s">
        <v>1460</v>
      </c>
      <c r="C355" s="342" t="s">
        <v>336</v>
      </c>
      <c r="D355" s="342" t="s">
        <v>337</v>
      </c>
      <c r="E355" s="342" t="s">
        <v>591</v>
      </c>
      <c r="F355" s="342" t="s">
        <v>40</v>
      </c>
      <c r="G355" s="342" t="s">
        <v>5283</v>
      </c>
      <c r="H355" s="342" t="s">
        <v>2141</v>
      </c>
      <c r="I355" s="342" t="s">
        <v>2072</v>
      </c>
      <c r="M355" s="342" t="s">
        <v>5283</v>
      </c>
      <c r="N355" s="342" t="s">
        <v>2073</v>
      </c>
      <c r="O355" s="342" t="s">
        <v>2074</v>
      </c>
      <c r="Q355" s="342">
        <v>2</v>
      </c>
      <c r="R355" s="342" t="s">
        <v>2076</v>
      </c>
      <c r="S355" s="344" t="s">
        <v>2496</v>
      </c>
      <c r="T355" s="342" t="s">
        <v>2099</v>
      </c>
      <c r="U355" s="344" t="s">
        <v>2142</v>
      </c>
    </row>
    <row r="356" spans="1:21" ht="409.5">
      <c r="A356" s="342">
        <v>306044</v>
      </c>
      <c r="B356" s="342" t="s">
        <v>574</v>
      </c>
      <c r="C356" s="342" t="s">
        <v>336</v>
      </c>
      <c r="D356" s="342" t="s">
        <v>337</v>
      </c>
      <c r="E356" s="342" t="s">
        <v>591</v>
      </c>
      <c r="F356" s="342" t="s">
        <v>40</v>
      </c>
      <c r="G356" s="342" t="s">
        <v>5278</v>
      </c>
      <c r="H356" s="342" t="s">
        <v>2071</v>
      </c>
      <c r="I356" s="342" t="s">
        <v>2079</v>
      </c>
      <c r="J356" s="344" t="s">
        <v>2442</v>
      </c>
      <c r="L356" s="342" t="s">
        <v>2056</v>
      </c>
      <c r="M356" s="342" t="s">
        <v>1336</v>
      </c>
      <c r="N356" s="342" t="s">
        <v>2079</v>
      </c>
      <c r="O356" s="342" t="s">
        <v>2074</v>
      </c>
      <c r="P356" s="342" t="s">
        <v>2075</v>
      </c>
      <c r="Q356" s="342">
        <v>2</v>
      </c>
      <c r="R356" s="342" t="s">
        <v>2076</v>
      </c>
      <c r="S356" s="344" t="s">
        <v>2495</v>
      </c>
      <c r="T356" s="342" t="s">
        <v>2077</v>
      </c>
    </row>
    <row r="357" spans="1:21" ht="336">
      <c r="A357" s="342">
        <v>306131</v>
      </c>
      <c r="B357" s="342" t="s">
        <v>576</v>
      </c>
      <c r="C357" s="342" t="s">
        <v>578</v>
      </c>
      <c r="D357" s="342" t="s">
        <v>452</v>
      </c>
      <c r="E357" s="342" t="s">
        <v>591</v>
      </c>
      <c r="F357" s="342" t="s">
        <v>40</v>
      </c>
      <c r="G357" s="342" t="s">
        <v>1288</v>
      </c>
      <c r="H357" s="342" t="s">
        <v>2443</v>
      </c>
      <c r="I357" s="342" t="s">
        <v>2090</v>
      </c>
      <c r="M357" s="342" t="s">
        <v>1288</v>
      </c>
      <c r="N357" s="342" t="s">
        <v>2090</v>
      </c>
      <c r="O357" s="342" t="s">
        <v>2137</v>
      </c>
      <c r="Q357" s="342">
        <v>2</v>
      </c>
      <c r="R357" s="342" t="s">
        <v>2107</v>
      </c>
      <c r="S357" s="344" t="s">
        <v>2444</v>
      </c>
      <c r="T357" s="342" t="s">
        <v>2099</v>
      </c>
    </row>
    <row r="358" spans="1:21" ht="409.5">
      <c r="A358" s="342">
        <v>306148</v>
      </c>
      <c r="B358" s="342" t="s">
        <v>1326</v>
      </c>
      <c r="C358" s="342" t="s">
        <v>580</v>
      </c>
      <c r="D358" s="342" t="s">
        <v>47</v>
      </c>
      <c r="E358" s="342" t="s">
        <v>591</v>
      </c>
      <c r="F358" s="342" t="s">
        <v>40</v>
      </c>
      <c r="G358" s="342" t="s">
        <v>5280</v>
      </c>
      <c r="H358" s="342" t="s">
        <v>1265</v>
      </c>
      <c r="I358" s="342" t="s">
        <v>2079</v>
      </c>
      <c r="J358" s="344" t="s">
        <v>2445</v>
      </c>
      <c r="L358" s="342" t="s">
        <v>4752</v>
      </c>
      <c r="M358" s="342" t="s">
        <v>5280</v>
      </c>
      <c r="N358" s="342" t="s">
        <v>2073</v>
      </c>
      <c r="O358" s="342" t="s">
        <v>2074</v>
      </c>
      <c r="Q358" s="342">
        <v>3</v>
      </c>
      <c r="R358" s="342" t="s">
        <v>2076</v>
      </c>
      <c r="S358" s="344" t="s">
        <v>4875</v>
      </c>
      <c r="T358" s="342" t="s">
        <v>2077</v>
      </c>
    </row>
    <row r="359" spans="1:21">
      <c r="A359" s="342">
        <v>306307</v>
      </c>
      <c r="B359" s="342" t="s">
        <v>1184</v>
      </c>
      <c r="C359" s="342" t="s">
        <v>1186</v>
      </c>
      <c r="D359" s="342" t="s">
        <v>51</v>
      </c>
      <c r="E359" s="342" t="s">
        <v>591</v>
      </c>
      <c r="F359" s="342" t="s">
        <v>40</v>
      </c>
      <c r="G359" s="342" t="s">
        <v>1277</v>
      </c>
      <c r="H359" s="342" t="s">
        <v>1184</v>
      </c>
      <c r="I359" s="342" t="s">
        <v>2072</v>
      </c>
      <c r="M359" s="342" t="s">
        <v>1277</v>
      </c>
      <c r="N359" s="342" t="s">
        <v>2073</v>
      </c>
      <c r="Q359" s="342">
        <v>4</v>
      </c>
      <c r="R359" s="342" t="s">
        <v>2085</v>
      </c>
      <c r="S359" s="342" t="s">
        <v>2446</v>
      </c>
      <c r="T359" s="342" t="s">
        <v>2087</v>
      </c>
      <c r="U359" s="342" t="s">
        <v>2168</v>
      </c>
    </row>
    <row r="360" spans="1:21" ht="294">
      <c r="A360" s="342">
        <v>306387</v>
      </c>
      <c r="B360" s="342" t="s">
        <v>581</v>
      </c>
      <c r="C360" s="342" t="s">
        <v>336</v>
      </c>
      <c r="D360" s="342" t="s">
        <v>337</v>
      </c>
      <c r="E360" s="342" t="s">
        <v>591</v>
      </c>
      <c r="F360" s="342" t="s">
        <v>40</v>
      </c>
      <c r="G360" s="342" t="s">
        <v>4638</v>
      </c>
      <c r="H360" s="342" t="s">
        <v>2361</v>
      </c>
      <c r="I360" s="342" t="s">
        <v>2072</v>
      </c>
      <c r="M360" s="342" t="s">
        <v>4638</v>
      </c>
      <c r="N360" s="342" t="s">
        <v>2073</v>
      </c>
      <c r="O360" s="342" t="s">
        <v>2116</v>
      </c>
      <c r="P360" s="342" t="s">
        <v>2075</v>
      </c>
      <c r="Q360" s="342">
        <v>3</v>
      </c>
      <c r="R360" s="342" t="s">
        <v>2076</v>
      </c>
      <c r="S360" s="344" t="s">
        <v>2362</v>
      </c>
      <c r="T360" s="342" t="s">
        <v>2077</v>
      </c>
      <c r="U360" s="344" t="s">
        <v>2363</v>
      </c>
    </row>
    <row r="361" spans="1:21" ht="98">
      <c r="A361" s="342">
        <v>306393</v>
      </c>
      <c r="B361" s="342" t="s">
        <v>1027</v>
      </c>
      <c r="C361" s="342" t="s">
        <v>1030</v>
      </c>
      <c r="D361" s="342" t="s">
        <v>45</v>
      </c>
      <c r="E361" s="342" t="s">
        <v>591</v>
      </c>
      <c r="F361" s="342" t="s">
        <v>1114</v>
      </c>
      <c r="G361" s="342" t="s">
        <v>1288</v>
      </c>
      <c r="H361" s="342" t="s">
        <v>2447</v>
      </c>
      <c r="I361" s="342" t="s">
        <v>2128</v>
      </c>
      <c r="J361" s="344" t="s">
        <v>2129</v>
      </c>
      <c r="M361" s="342" t="s">
        <v>1288</v>
      </c>
      <c r="N361" s="342" t="s">
        <v>2128</v>
      </c>
      <c r="Q361" s="342">
        <v>1</v>
      </c>
      <c r="R361" s="342" t="s">
        <v>2107</v>
      </c>
      <c r="S361" s="342" t="s">
        <v>2448</v>
      </c>
      <c r="T361" s="342" t="s">
        <v>2131</v>
      </c>
    </row>
    <row r="362" spans="1:21">
      <c r="A362" s="342">
        <v>306704</v>
      </c>
      <c r="B362" s="342" t="s">
        <v>4670</v>
      </c>
      <c r="C362" s="342" t="s">
        <v>4341</v>
      </c>
      <c r="D362" s="342" t="s">
        <v>47</v>
      </c>
      <c r="E362" s="342" t="s">
        <v>591</v>
      </c>
      <c r="F362" s="342" t="s">
        <v>737</v>
      </c>
      <c r="G362" s="342" t="s">
        <v>4638</v>
      </c>
    </row>
    <row r="363" spans="1:21" ht="182">
      <c r="A363" s="342">
        <v>306731</v>
      </c>
      <c r="B363" s="342" t="s">
        <v>582</v>
      </c>
      <c r="C363" s="342" t="s">
        <v>550</v>
      </c>
      <c r="D363" s="342" t="s">
        <v>51</v>
      </c>
      <c r="E363" s="342" t="s">
        <v>591</v>
      </c>
      <c r="F363" s="342" t="s">
        <v>40</v>
      </c>
      <c r="G363" s="342" t="s">
        <v>5450</v>
      </c>
      <c r="H363" s="342" t="s">
        <v>2132</v>
      </c>
      <c r="I363" s="342" t="s">
        <v>2079</v>
      </c>
      <c r="J363" s="344" t="s">
        <v>2449</v>
      </c>
      <c r="L363" s="342" t="s">
        <v>2057</v>
      </c>
      <c r="M363" s="342" t="s">
        <v>5517</v>
      </c>
      <c r="N363" s="342" t="s">
        <v>2073</v>
      </c>
      <c r="O363" s="342" t="s">
        <v>2074</v>
      </c>
      <c r="P363" s="342" t="s">
        <v>2075</v>
      </c>
      <c r="Q363" s="342">
        <v>2</v>
      </c>
      <c r="R363" s="342" t="s">
        <v>2133</v>
      </c>
      <c r="S363" s="344" t="s">
        <v>2134</v>
      </c>
      <c r="T363" s="342" t="s">
        <v>2099</v>
      </c>
      <c r="U363" s="342" t="s">
        <v>2135</v>
      </c>
    </row>
    <row r="364" spans="1:21" ht="409.5">
      <c r="A364" s="342">
        <v>306925</v>
      </c>
      <c r="B364" s="342" t="s">
        <v>746</v>
      </c>
      <c r="C364" s="342" t="s">
        <v>5898</v>
      </c>
      <c r="D364" s="342" t="s">
        <v>47</v>
      </c>
      <c r="E364" s="342" t="s">
        <v>591</v>
      </c>
      <c r="F364" s="342" t="s">
        <v>40</v>
      </c>
      <c r="G364" s="342" t="s">
        <v>5280</v>
      </c>
      <c r="H364" s="342" t="s">
        <v>1265</v>
      </c>
      <c r="I364" s="342" t="s">
        <v>2072</v>
      </c>
      <c r="M364" s="342" t="s">
        <v>5280</v>
      </c>
      <c r="N364" s="342" t="s">
        <v>2073</v>
      </c>
      <c r="O364" s="342" t="s">
        <v>2074</v>
      </c>
      <c r="Q364" s="342">
        <v>3</v>
      </c>
      <c r="R364" s="342" t="s">
        <v>2076</v>
      </c>
      <c r="S364" s="344" t="s">
        <v>4875</v>
      </c>
      <c r="T364" s="342" t="s">
        <v>2077</v>
      </c>
    </row>
    <row r="365" spans="1:21" ht="154">
      <c r="A365" s="342">
        <v>307050</v>
      </c>
      <c r="B365" s="342" t="s">
        <v>655</v>
      </c>
      <c r="C365" s="342" t="s">
        <v>586</v>
      </c>
      <c r="D365" s="342" t="s">
        <v>107</v>
      </c>
      <c r="E365" s="342" t="s">
        <v>591</v>
      </c>
      <c r="F365" s="342" t="s">
        <v>40</v>
      </c>
      <c r="G365" s="342" t="s">
        <v>5450</v>
      </c>
      <c r="H365" s="342" t="s">
        <v>2132</v>
      </c>
      <c r="I365" s="342" t="s">
        <v>2072</v>
      </c>
      <c r="M365" s="342" t="s">
        <v>5517</v>
      </c>
      <c r="N365" s="342" t="s">
        <v>2073</v>
      </c>
      <c r="O365" s="342" t="s">
        <v>2074</v>
      </c>
      <c r="P365" s="342" t="s">
        <v>2075</v>
      </c>
      <c r="Q365" s="342">
        <v>2</v>
      </c>
      <c r="R365" s="342" t="s">
        <v>2133</v>
      </c>
      <c r="S365" s="344" t="s">
        <v>2134</v>
      </c>
      <c r="T365" s="342" t="s">
        <v>2099</v>
      </c>
      <c r="U365" s="342" t="s">
        <v>2135</v>
      </c>
    </row>
    <row r="366" spans="1:21">
      <c r="A366" s="342">
        <v>307055</v>
      </c>
      <c r="B366" s="342" t="s">
        <v>5941</v>
      </c>
      <c r="C366" s="342" t="s">
        <v>5944</v>
      </c>
      <c r="D366" s="342" t="s">
        <v>45</v>
      </c>
      <c r="E366" s="342" t="s">
        <v>1194</v>
      </c>
      <c r="F366" s="342" t="s">
        <v>40</v>
      </c>
      <c r="G366" s="342" t="s">
        <v>1336</v>
      </c>
      <c r="H366" s="342" t="s">
        <v>5996</v>
      </c>
      <c r="M366" s="342" t="s">
        <v>1336</v>
      </c>
      <c r="N366" s="342" t="s">
        <v>2258</v>
      </c>
      <c r="O366" s="342" t="s">
        <v>2214</v>
      </c>
      <c r="Q366" s="342">
        <v>2</v>
      </c>
      <c r="R366" s="342" t="s">
        <v>2133</v>
      </c>
      <c r="S366" s="342" t="s">
        <v>5997</v>
      </c>
      <c r="T366" s="342" t="s">
        <v>2099</v>
      </c>
    </row>
    <row r="367" spans="1:21" ht="409.5">
      <c r="A367" s="342">
        <v>307127</v>
      </c>
      <c r="B367" s="342" t="s">
        <v>587</v>
      </c>
      <c r="C367" s="342" t="s">
        <v>590</v>
      </c>
      <c r="D367" s="342" t="s">
        <v>107</v>
      </c>
      <c r="E367" s="342" t="s">
        <v>591</v>
      </c>
      <c r="F367" s="342" t="s">
        <v>40</v>
      </c>
      <c r="G367" s="342" t="s">
        <v>5281</v>
      </c>
      <c r="H367" s="342" t="s">
        <v>2365</v>
      </c>
      <c r="I367" s="342" t="s">
        <v>2072</v>
      </c>
      <c r="M367" s="342" t="s">
        <v>5281</v>
      </c>
      <c r="N367" s="342" t="s">
        <v>2367</v>
      </c>
      <c r="O367" s="342" t="s">
        <v>2116</v>
      </c>
      <c r="Q367" s="342">
        <v>3</v>
      </c>
      <c r="R367" s="342" t="s">
        <v>2133</v>
      </c>
      <c r="S367" s="344" t="s">
        <v>2368</v>
      </c>
      <c r="T367" s="342" t="s">
        <v>2087</v>
      </c>
      <c r="U367" s="342" t="s">
        <v>2369</v>
      </c>
    </row>
    <row r="368" spans="1:21" ht="409.5">
      <c r="A368" s="342">
        <v>307680</v>
      </c>
      <c r="B368" s="342" t="s">
        <v>592</v>
      </c>
      <c r="C368" s="342" t="s">
        <v>594</v>
      </c>
      <c r="D368" s="342" t="s">
        <v>51</v>
      </c>
      <c r="E368" s="342" t="s">
        <v>591</v>
      </c>
      <c r="F368" s="342" t="s">
        <v>40</v>
      </c>
      <c r="G368" s="342" t="s">
        <v>1277</v>
      </c>
      <c r="H368" s="342" t="s">
        <v>2322</v>
      </c>
      <c r="I368" s="342" t="s">
        <v>2072</v>
      </c>
      <c r="J368" s="344" t="s">
        <v>2450</v>
      </c>
      <c r="L368" s="342" t="s">
        <v>2058</v>
      </c>
      <c r="M368" s="342" t="s">
        <v>1277</v>
      </c>
      <c r="N368" s="342" t="s">
        <v>2283</v>
      </c>
      <c r="Q368" s="342">
        <v>4</v>
      </c>
      <c r="R368" s="342" t="s">
        <v>2094</v>
      </c>
      <c r="S368" s="344" t="s">
        <v>2323</v>
      </c>
      <c r="T368" s="342" t="s">
        <v>2087</v>
      </c>
    </row>
    <row r="369" spans="1:21">
      <c r="A369" s="342">
        <v>307687</v>
      </c>
      <c r="B369" s="342" t="s">
        <v>1404</v>
      </c>
      <c r="C369" s="342" t="s">
        <v>1406</v>
      </c>
      <c r="D369" s="342" t="s">
        <v>126</v>
      </c>
      <c r="E369" s="342" t="s">
        <v>591</v>
      </c>
      <c r="F369" s="342" t="s">
        <v>41</v>
      </c>
      <c r="G369" s="342" t="s">
        <v>786</v>
      </c>
      <c r="H369" s="342" t="s">
        <v>2392</v>
      </c>
      <c r="I369" s="342" t="s">
        <v>2090</v>
      </c>
      <c r="M369" s="342" t="s">
        <v>786</v>
      </c>
      <c r="N369" s="342" t="s">
        <v>2104</v>
      </c>
      <c r="P369" s="342" t="s">
        <v>2248</v>
      </c>
      <c r="Q369" s="342">
        <v>1</v>
      </c>
      <c r="R369" s="342" t="s">
        <v>2107</v>
      </c>
      <c r="S369" s="342" t="s">
        <v>2393</v>
      </c>
      <c r="T369" s="342" t="s">
        <v>2217</v>
      </c>
      <c r="U369" s="342" t="s">
        <v>2394</v>
      </c>
    </row>
    <row r="370" spans="1:21" ht="266">
      <c r="A370" s="342">
        <v>307766</v>
      </c>
      <c r="B370" s="342" t="s">
        <v>595</v>
      </c>
      <c r="C370" s="342" t="s">
        <v>598</v>
      </c>
      <c r="D370" s="342" t="s">
        <v>51</v>
      </c>
      <c r="E370" s="342" t="s">
        <v>591</v>
      </c>
      <c r="F370" s="342" t="s">
        <v>40</v>
      </c>
      <c r="G370" s="342" t="s">
        <v>5283</v>
      </c>
      <c r="H370" s="342" t="s">
        <v>2319</v>
      </c>
      <c r="I370" s="342" t="s">
        <v>2072</v>
      </c>
      <c r="M370" s="342" t="s">
        <v>5283</v>
      </c>
      <c r="N370" s="342" t="s">
        <v>2073</v>
      </c>
      <c r="O370" s="342" t="s">
        <v>2074</v>
      </c>
      <c r="P370" s="342" t="s">
        <v>2075</v>
      </c>
      <c r="Q370" s="342">
        <v>2</v>
      </c>
      <c r="R370" s="342" t="s">
        <v>2076</v>
      </c>
      <c r="S370" s="344" t="s">
        <v>2320</v>
      </c>
      <c r="T370" s="342" t="s">
        <v>2099</v>
      </c>
      <c r="U370" s="342" t="s">
        <v>2321</v>
      </c>
    </row>
    <row r="371" spans="1:21" ht="409.5">
      <c r="A371" s="342">
        <v>307918</v>
      </c>
      <c r="B371" s="342" t="s">
        <v>615</v>
      </c>
      <c r="C371" s="342" t="s">
        <v>213</v>
      </c>
      <c r="D371" s="342" t="s">
        <v>51</v>
      </c>
      <c r="E371" s="342" t="s">
        <v>591</v>
      </c>
      <c r="F371" s="342" t="s">
        <v>40</v>
      </c>
      <c r="G371" s="342" t="s">
        <v>5281</v>
      </c>
      <c r="H371" s="342" t="s">
        <v>2365</v>
      </c>
      <c r="I371" s="342" t="s">
        <v>2079</v>
      </c>
      <c r="J371" s="344" t="s">
        <v>2451</v>
      </c>
      <c r="L371" s="342" t="s">
        <v>2059</v>
      </c>
      <c r="M371" s="342" t="s">
        <v>5281</v>
      </c>
      <c r="N371" s="342" t="s">
        <v>2367</v>
      </c>
      <c r="O371" s="342" t="s">
        <v>2116</v>
      </c>
      <c r="Q371" s="342">
        <v>3</v>
      </c>
      <c r="R371" s="342" t="s">
        <v>2133</v>
      </c>
      <c r="S371" s="344" t="s">
        <v>2368</v>
      </c>
      <c r="T371" s="342" t="s">
        <v>2087</v>
      </c>
      <c r="U371" s="342" t="s">
        <v>2369</v>
      </c>
    </row>
    <row r="372" spans="1:21" ht="280">
      <c r="A372" s="342">
        <v>308105</v>
      </c>
      <c r="B372" s="342" t="s">
        <v>617</v>
      </c>
      <c r="C372" s="342" t="s">
        <v>620</v>
      </c>
      <c r="D372" s="342" t="s">
        <v>107</v>
      </c>
      <c r="E372" s="342" t="s">
        <v>591</v>
      </c>
      <c r="F372" s="342" t="s">
        <v>40</v>
      </c>
      <c r="G372" s="342" t="s">
        <v>5282</v>
      </c>
      <c r="H372" s="342" t="s">
        <v>2171</v>
      </c>
      <c r="I372" s="342" t="s">
        <v>2079</v>
      </c>
      <c r="J372" s="344" t="s">
        <v>5249</v>
      </c>
      <c r="L372" s="342" t="s">
        <v>5248</v>
      </c>
      <c r="M372" s="342" t="s">
        <v>5282</v>
      </c>
      <c r="N372" s="342" t="s">
        <v>2073</v>
      </c>
      <c r="O372" s="342" t="s">
        <v>2093</v>
      </c>
      <c r="Q372" s="342">
        <v>2</v>
      </c>
      <c r="R372" s="342" t="s">
        <v>2076</v>
      </c>
      <c r="S372" s="344" t="s">
        <v>2172</v>
      </c>
      <c r="T372" s="342" t="s">
        <v>2077</v>
      </c>
    </row>
    <row r="373" spans="1:21">
      <c r="A373" s="342">
        <v>308229</v>
      </c>
      <c r="B373" s="342" t="s">
        <v>1328</v>
      </c>
      <c r="C373" s="342" t="s">
        <v>93</v>
      </c>
      <c r="D373" s="342" t="s">
        <v>47</v>
      </c>
      <c r="E373" s="342" t="s">
        <v>591</v>
      </c>
      <c r="F373" s="342" t="s">
        <v>40</v>
      </c>
      <c r="G373" s="342" t="s">
        <v>1421</v>
      </c>
      <c r="H373" s="342" t="s">
        <v>1328</v>
      </c>
      <c r="I373" s="342" t="s">
        <v>2072</v>
      </c>
      <c r="M373" s="342" t="s">
        <v>1421</v>
      </c>
      <c r="N373" s="342" t="s">
        <v>2073</v>
      </c>
      <c r="O373" s="342" t="s">
        <v>2113</v>
      </c>
      <c r="Q373" s="342">
        <v>4</v>
      </c>
      <c r="R373" s="342" t="s">
        <v>2085</v>
      </c>
      <c r="S373" s="342" t="s">
        <v>2452</v>
      </c>
    </row>
    <row r="374" spans="1:21">
      <c r="A374" s="342">
        <v>308383</v>
      </c>
      <c r="B374" s="342" t="s">
        <v>1478</v>
      </c>
      <c r="C374" s="342" t="s">
        <v>336</v>
      </c>
      <c r="D374" s="342" t="s">
        <v>337</v>
      </c>
      <c r="E374" s="342" t="s">
        <v>591</v>
      </c>
      <c r="F374" s="342" t="s">
        <v>40</v>
      </c>
      <c r="G374" s="342" t="s">
        <v>1288</v>
      </c>
      <c r="H374" s="342" t="s">
        <v>2453</v>
      </c>
      <c r="I374" s="342" t="s">
        <v>2090</v>
      </c>
      <c r="M374" s="342" t="s">
        <v>1288</v>
      </c>
      <c r="N374" s="342" t="s">
        <v>2090</v>
      </c>
      <c r="O374" s="342" t="s">
        <v>2214</v>
      </c>
      <c r="Q374" s="342">
        <v>2</v>
      </c>
      <c r="R374" s="342" t="s">
        <v>2133</v>
      </c>
      <c r="S374" s="342" t="s">
        <v>2454</v>
      </c>
      <c r="T374" s="342" t="s">
        <v>2099</v>
      </c>
      <c r="U374" s="342" t="s">
        <v>2455</v>
      </c>
    </row>
    <row r="375" spans="1:21" ht="280">
      <c r="A375" s="342">
        <v>308413</v>
      </c>
      <c r="B375" s="342" t="s">
        <v>626</v>
      </c>
      <c r="C375" s="342" t="s">
        <v>628</v>
      </c>
      <c r="D375" s="342" t="s">
        <v>51</v>
      </c>
      <c r="E375" s="342" t="s">
        <v>591</v>
      </c>
      <c r="F375" s="342" t="s">
        <v>40</v>
      </c>
      <c r="G375" s="342" t="s">
        <v>5282</v>
      </c>
      <c r="H375" s="342" t="s">
        <v>2171</v>
      </c>
      <c r="I375" s="342" t="s">
        <v>2090</v>
      </c>
      <c r="M375" s="342" t="s">
        <v>5282</v>
      </c>
      <c r="N375" s="342" t="s">
        <v>2073</v>
      </c>
      <c r="O375" s="342" t="s">
        <v>2093</v>
      </c>
      <c r="Q375" s="342">
        <v>2</v>
      </c>
      <c r="R375" s="342" t="s">
        <v>2076</v>
      </c>
      <c r="S375" s="344" t="s">
        <v>2172</v>
      </c>
      <c r="T375" s="342" t="s">
        <v>2077</v>
      </c>
    </row>
    <row r="376" spans="1:21" ht="154">
      <c r="A376" s="342">
        <v>308573</v>
      </c>
      <c r="B376" s="342" t="s">
        <v>1245</v>
      </c>
      <c r="C376" s="342" t="s">
        <v>639</v>
      </c>
      <c r="D376" s="342" t="s">
        <v>51</v>
      </c>
      <c r="E376" s="342" t="s">
        <v>591</v>
      </c>
      <c r="F376" s="342" t="s">
        <v>40</v>
      </c>
      <c r="G376" s="342" t="s">
        <v>1277</v>
      </c>
      <c r="H376" s="342" t="s">
        <v>1245</v>
      </c>
      <c r="I376" s="342" t="s">
        <v>2072</v>
      </c>
      <c r="J376" s="344" t="s">
        <v>2456</v>
      </c>
      <c r="L376" s="342" t="s">
        <v>2060</v>
      </c>
      <c r="M376" s="342" t="s">
        <v>1277</v>
      </c>
      <c r="N376" s="342" t="s">
        <v>2283</v>
      </c>
      <c r="O376" s="342" t="s">
        <v>2113</v>
      </c>
      <c r="Q376" s="342">
        <v>4</v>
      </c>
      <c r="R376" s="342" t="s">
        <v>2094</v>
      </c>
      <c r="S376" s="344" t="s">
        <v>2457</v>
      </c>
      <c r="T376" s="342" t="s">
        <v>2087</v>
      </c>
    </row>
    <row r="377" spans="1:21" ht="280">
      <c r="A377" s="342">
        <v>308735</v>
      </c>
      <c r="B377" s="342" t="s">
        <v>662</v>
      </c>
      <c r="C377" s="342" t="s">
        <v>665</v>
      </c>
      <c r="D377" s="342" t="s">
        <v>107</v>
      </c>
      <c r="E377" s="342" t="s">
        <v>591</v>
      </c>
      <c r="F377" s="342" t="s">
        <v>40</v>
      </c>
      <c r="G377" s="342" t="s">
        <v>5282</v>
      </c>
      <c r="H377" s="342" t="s">
        <v>2171</v>
      </c>
      <c r="I377" s="342" t="s">
        <v>2079</v>
      </c>
      <c r="J377" s="344" t="s">
        <v>2458</v>
      </c>
      <c r="L377" s="342" t="s">
        <v>2061</v>
      </c>
      <c r="M377" s="342" t="s">
        <v>5282</v>
      </c>
      <c r="N377" s="342" t="s">
        <v>2073</v>
      </c>
      <c r="O377" s="342" t="s">
        <v>2093</v>
      </c>
      <c r="Q377" s="342">
        <v>2</v>
      </c>
      <c r="R377" s="342" t="s">
        <v>2076</v>
      </c>
      <c r="S377" s="344" t="s">
        <v>2172</v>
      </c>
      <c r="T377" s="342" t="s">
        <v>2077</v>
      </c>
    </row>
    <row r="378" spans="1:21" ht="154">
      <c r="A378" s="342">
        <v>308773</v>
      </c>
      <c r="B378" s="342" t="s">
        <v>657</v>
      </c>
      <c r="C378" s="342" t="s">
        <v>659</v>
      </c>
      <c r="D378" s="342" t="s">
        <v>51</v>
      </c>
      <c r="E378" s="342" t="s">
        <v>591</v>
      </c>
      <c r="F378" s="342" t="s">
        <v>40</v>
      </c>
      <c r="G378" s="342" t="s">
        <v>5281</v>
      </c>
      <c r="H378" s="342" t="s">
        <v>2132</v>
      </c>
      <c r="I378" s="342" t="s">
        <v>2072</v>
      </c>
      <c r="M378" s="342" t="s">
        <v>5517</v>
      </c>
      <c r="N378" s="342" t="s">
        <v>2073</v>
      </c>
      <c r="O378" s="342" t="s">
        <v>2074</v>
      </c>
      <c r="P378" s="342" t="s">
        <v>2075</v>
      </c>
      <c r="Q378" s="342">
        <v>2</v>
      </c>
      <c r="R378" s="342" t="s">
        <v>2133</v>
      </c>
      <c r="S378" s="344" t="s">
        <v>2134</v>
      </c>
      <c r="T378" s="342" t="s">
        <v>2099</v>
      </c>
      <c r="U378" s="342" t="s">
        <v>2135</v>
      </c>
    </row>
    <row r="379" spans="1:21" ht="238">
      <c r="A379" s="342">
        <v>309281</v>
      </c>
      <c r="B379" s="342" t="s">
        <v>2016</v>
      </c>
      <c r="C379" s="342" t="s">
        <v>1395</v>
      </c>
      <c r="D379" s="342" t="s">
        <v>51</v>
      </c>
      <c r="E379" s="342" t="s">
        <v>591</v>
      </c>
      <c r="F379" s="342" t="s">
        <v>40</v>
      </c>
      <c r="G379" s="342" t="s">
        <v>1277</v>
      </c>
      <c r="H379" s="342" t="s">
        <v>2459</v>
      </c>
      <c r="I379" s="342" t="s">
        <v>2072</v>
      </c>
      <c r="M379" s="342" t="s">
        <v>1277</v>
      </c>
      <c r="N379" s="342" t="s">
        <v>2460</v>
      </c>
      <c r="O379" s="342" t="s">
        <v>2116</v>
      </c>
      <c r="Q379" s="342">
        <v>3</v>
      </c>
      <c r="R379" s="342" t="s">
        <v>2076</v>
      </c>
      <c r="S379" s="344" t="s">
        <v>2503</v>
      </c>
      <c r="T379" s="342" t="s">
        <v>2099</v>
      </c>
      <c r="U379" s="342" t="s">
        <v>2461</v>
      </c>
    </row>
    <row r="380" spans="1:21">
      <c r="A380" s="342">
        <v>309537</v>
      </c>
      <c r="B380" s="342" t="s">
        <v>5120</v>
      </c>
      <c r="C380" s="342" t="s">
        <v>5122</v>
      </c>
      <c r="D380" s="342" t="s">
        <v>5123</v>
      </c>
      <c r="E380" s="342" t="s">
        <v>1194</v>
      </c>
      <c r="F380" s="342" t="s">
        <v>41</v>
      </c>
      <c r="G380" s="342" t="s">
        <v>1421</v>
      </c>
      <c r="H380" s="342" t="s">
        <v>5120</v>
      </c>
      <c r="I380" s="342" t="s">
        <v>2090</v>
      </c>
      <c r="M380" s="342" t="s">
        <v>1421</v>
      </c>
      <c r="N380" s="342" t="s">
        <v>2104</v>
      </c>
      <c r="Q380" s="342" t="s">
        <v>2258</v>
      </c>
    </row>
    <row r="381" spans="1:21">
      <c r="A381" s="342">
        <v>309838</v>
      </c>
      <c r="B381" s="342" t="s">
        <v>1246</v>
      </c>
      <c r="C381" s="342" t="s">
        <v>1248</v>
      </c>
      <c r="D381" s="342" t="s">
        <v>55</v>
      </c>
      <c r="E381" s="342" t="s">
        <v>591</v>
      </c>
      <c r="F381" s="342" t="s">
        <v>40</v>
      </c>
      <c r="G381" s="342" t="s">
        <v>1277</v>
      </c>
      <c r="H381" s="342" t="s">
        <v>1246</v>
      </c>
      <c r="I381" s="342" t="s">
        <v>2072</v>
      </c>
      <c r="M381" s="342" t="s">
        <v>1277</v>
      </c>
      <c r="N381" s="342" t="s">
        <v>2073</v>
      </c>
      <c r="Q381" s="342">
        <v>4</v>
      </c>
      <c r="R381" s="342" t="s">
        <v>2076</v>
      </c>
      <c r="S381" s="342" t="s">
        <v>2462</v>
      </c>
      <c r="T381" s="342" t="s">
        <v>2099</v>
      </c>
      <c r="U381" s="342" t="s">
        <v>2463</v>
      </c>
    </row>
    <row r="382" spans="1:21" ht="336">
      <c r="A382" s="342">
        <v>310055</v>
      </c>
      <c r="B382" s="342" t="s">
        <v>706</v>
      </c>
      <c r="C382" s="342" t="s">
        <v>86</v>
      </c>
      <c r="D382" s="342" t="s">
        <v>51</v>
      </c>
      <c r="E382" s="342" t="s">
        <v>591</v>
      </c>
      <c r="F382" s="342" t="s">
        <v>40</v>
      </c>
      <c r="G382" s="342" t="s">
        <v>1288</v>
      </c>
      <c r="H382" s="342" t="s">
        <v>2443</v>
      </c>
      <c r="I382" s="342" t="s">
        <v>2090</v>
      </c>
      <c r="M382" s="342" t="s">
        <v>1288</v>
      </c>
      <c r="N382" s="342" t="s">
        <v>2090</v>
      </c>
      <c r="O382" s="342" t="s">
        <v>2137</v>
      </c>
      <c r="Q382" s="342">
        <v>2</v>
      </c>
      <c r="R382" s="342" t="s">
        <v>2107</v>
      </c>
      <c r="S382" s="344" t="s">
        <v>2444</v>
      </c>
      <c r="T382" s="342" t="s">
        <v>2099</v>
      </c>
    </row>
    <row r="383" spans="1:21">
      <c r="A383" s="342">
        <v>310151</v>
      </c>
      <c r="B383" s="342" t="s">
        <v>1123</v>
      </c>
      <c r="C383" s="342" t="s">
        <v>1125</v>
      </c>
      <c r="D383" s="342" t="s">
        <v>51</v>
      </c>
      <c r="E383" s="342" t="s">
        <v>591</v>
      </c>
      <c r="F383" s="342" t="s">
        <v>41</v>
      </c>
      <c r="G383" s="342" t="s">
        <v>786</v>
      </c>
      <c r="H383" s="342" t="s">
        <v>2464</v>
      </c>
      <c r="I383" s="342" t="s">
        <v>2090</v>
      </c>
      <c r="M383" s="342" t="s">
        <v>786</v>
      </c>
      <c r="N383" s="342" t="s">
        <v>2104</v>
      </c>
      <c r="P383" s="342" t="s">
        <v>2194</v>
      </c>
      <c r="Q383" s="342">
        <v>2</v>
      </c>
      <c r="R383" s="342" t="s">
        <v>2107</v>
      </c>
      <c r="S383" s="342" t="s">
        <v>2465</v>
      </c>
      <c r="T383" s="342" t="s">
        <v>2217</v>
      </c>
      <c r="U383" s="342" t="s">
        <v>4225</v>
      </c>
    </row>
    <row r="384" spans="1:21" ht="98">
      <c r="A384" s="342">
        <v>310514</v>
      </c>
      <c r="B384" s="342" t="s">
        <v>920</v>
      </c>
      <c r="C384" s="342" t="s">
        <v>1043</v>
      </c>
      <c r="D384" s="342" t="s">
        <v>45</v>
      </c>
      <c r="E384" s="342" t="s">
        <v>591</v>
      </c>
      <c r="F384" s="342" t="s">
        <v>1114</v>
      </c>
      <c r="G384" s="342" t="s">
        <v>1288</v>
      </c>
      <c r="H384" s="342" t="s">
        <v>2341</v>
      </c>
      <c r="I384" s="342" t="s">
        <v>2128</v>
      </c>
      <c r="J384" s="344" t="s">
        <v>2129</v>
      </c>
      <c r="M384" s="342" t="s">
        <v>1288</v>
      </c>
      <c r="N384" s="342" t="s">
        <v>2128</v>
      </c>
      <c r="Q384" s="342">
        <v>1</v>
      </c>
      <c r="R384" s="342" t="s">
        <v>2107</v>
      </c>
      <c r="S384" s="342" t="s">
        <v>2342</v>
      </c>
      <c r="T384" s="342" t="s">
        <v>2131</v>
      </c>
    </row>
    <row r="385" spans="1:21" ht="168">
      <c r="A385" s="342">
        <v>310756</v>
      </c>
      <c r="B385" s="342" t="s">
        <v>743</v>
      </c>
      <c r="C385" s="342" t="s">
        <v>757</v>
      </c>
      <c r="D385" s="342" t="s">
        <v>558</v>
      </c>
      <c r="E385" s="342" t="s">
        <v>591</v>
      </c>
      <c r="F385" s="342" t="s">
        <v>40</v>
      </c>
      <c r="G385" s="342" t="s">
        <v>5280</v>
      </c>
      <c r="H385" s="342" t="s">
        <v>743</v>
      </c>
      <c r="I385" s="342" t="s">
        <v>2072</v>
      </c>
      <c r="M385" s="342" t="s">
        <v>5280</v>
      </c>
      <c r="N385" s="342" t="s">
        <v>2073</v>
      </c>
      <c r="O385" s="342" t="s">
        <v>2074</v>
      </c>
      <c r="P385" s="342" t="s">
        <v>2075</v>
      </c>
      <c r="Q385" s="342">
        <v>2</v>
      </c>
      <c r="R385" s="342" t="s">
        <v>2076</v>
      </c>
      <c r="S385" s="344" t="s">
        <v>2096</v>
      </c>
      <c r="T385" s="342" t="s">
        <v>2077</v>
      </c>
    </row>
    <row r="386" spans="1:21">
      <c r="A386" s="342">
        <v>310956</v>
      </c>
      <c r="B386" s="342" t="s">
        <v>771</v>
      </c>
      <c r="C386" s="342" t="s">
        <v>488</v>
      </c>
      <c r="D386" s="342" t="s">
        <v>175</v>
      </c>
      <c r="E386" s="342" t="s">
        <v>591</v>
      </c>
      <c r="F386" s="342" t="s">
        <v>40</v>
      </c>
      <c r="G386" s="342" t="s">
        <v>1510</v>
      </c>
      <c r="H386" s="342" t="s">
        <v>2348</v>
      </c>
      <c r="I386" s="342" t="s">
        <v>2090</v>
      </c>
      <c r="M386" s="342" t="s">
        <v>1510</v>
      </c>
      <c r="N386" s="342" t="s">
        <v>2090</v>
      </c>
      <c r="O386" s="342" t="s">
        <v>2105</v>
      </c>
      <c r="Q386" s="342">
        <v>2</v>
      </c>
      <c r="R386" s="342" t="s">
        <v>2085</v>
      </c>
      <c r="S386" s="342" t="s">
        <v>2349</v>
      </c>
      <c r="T386" s="342" t="s">
        <v>2099</v>
      </c>
      <c r="U386" s="342" t="s">
        <v>2350</v>
      </c>
    </row>
    <row r="387" spans="1:21" ht="409.5">
      <c r="A387" s="342">
        <v>311186</v>
      </c>
      <c r="B387" s="342" t="s">
        <v>1126</v>
      </c>
      <c r="C387" s="342" t="s">
        <v>159</v>
      </c>
      <c r="D387" s="342" t="s">
        <v>51</v>
      </c>
      <c r="E387" s="342" t="s">
        <v>591</v>
      </c>
      <c r="F387" s="342" t="s">
        <v>40</v>
      </c>
      <c r="G387" s="342" t="s">
        <v>4441</v>
      </c>
      <c r="H387" s="342" t="s">
        <v>2280</v>
      </c>
      <c r="I387" s="342" t="s">
        <v>2079</v>
      </c>
      <c r="J387" s="344" t="s">
        <v>2466</v>
      </c>
      <c r="L387" s="342" t="s">
        <v>2062</v>
      </c>
      <c r="M387" s="342" t="s">
        <v>4441</v>
      </c>
      <c r="N387" s="342" t="s">
        <v>2073</v>
      </c>
      <c r="O387" s="342" t="s">
        <v>2074</v>
      </c>
      <c r="P387" s="342" t="s">
        <v>2075</v>
      </c>
      <c r="Q387" s="342">
        <v>2</v>
      </c>
      <c r="R387" s="342" t="s">
        <v>2076</v>
      </c>
      <c r="S387" s="344" t="s">
        <v>2498</v>
      </c>
      <c r="T387" s="342" t="s">
        <v>2077</v>
      </c>
      <c r="U387" s="342" t="s">
        <v>2281</v>
      </c>
    </row>
    <row r="388" spans="1:21" ht="409.5">
      <c r="A388" s="342">
        <v>311530</v>
      </c>
      <c r="B388" s="342" t="s">
        <v>1046</v>
      </c>
      <c r="C388" s="342" t="s">
        <v>1048</v>
      </c>
      <c r="D388" s="342" t="s">
        <v>1022</v>
      </c>
      <c r="E388" s="342" t="s">
        <v>591</v>
      </c>
      <c r="F388" s="342" t="s">
        <v>40</v>
      </c>
      <c r="G388" s="342" t="s">
        <v>5282</v>
      </c>
      <c r="H388" s="342" t="s">
        <v>2280</v>
      </c>
      <c r="I388" s="342" t="s">
        <v>2072</v>
      </c>
      <c r="M388" s="342" t="s">
        <v>4441</v>
      </c>
      <c r="N388" s="342" t="s">
        <v>2073</v>
      </c>
      <c r="O388" s="342" t="s">
        <v>2074</v>
      </c>
      <c r="P388" s="342" t="s">
        <v>2075</v>
      </c>
      <c r="Q388" s="342">
        <v>2</v>
      </c>
      <c r="R388" s="342" t="s">
        <v>2076</v>
      </c>
      <c r="S388" s="344" t="s">
        <v>2498</v>
      </c>
      <c r="T388" s="342" t="s">
        <v>2077</v>
      </c>
      <c r="U388" s="342" t="s">
        <v>2281</v>
      </c>
    </row>
    <row r="389" spans="1:21" ht="409.5">
      <c r="A389" s="342">
        <v>311711</v>
      </c>
      <c r="B389" s="342" t="s">
        <v>1265</v>
      </c>
      <c r="C389" s="342" t="s">
        <v>1267</v>
      </c>
      <c r="D389" s="342" t="s">
        <v>47</v>
      </c>
      <c r="E389" s="342" t="s">
        <v>591</v>
      </c>
      <c r="F389" s="342" t="s">
        <v>40</v>
      </c>
      <c r="G389" s="342" t="s">
        <v>5280</v>
      </c>
      <c r="H389" s="342" t="s">
        <v>1265</v>
      </c>
      <c r="I389" s="342" t="s">
        <v>2072</v>
      </c>
      <c r="M389" s="342" t="s">
        <v>5280</v>
      </c>
      <c r="N389" s="342" t="s">
        <v>2073</v>
      </c>
      <c r="O389" s="342" t="s">
        <v>2074</v>
      </c>
      <c r="Q389" s="342">
        <v>3</v>
      </c>
      <c r="R389" s="342" t="s">
        <v>2076</v>
      </c>
      <c r="S389" s="344" t="s">
        <v>4875</v>
      </c>
      <c r="T389" s="342" t="s">
        <v>2077</v>
      </c>
    </row>
    <row r="390" spans="1:21">
      <c r="A390" s="342">
        <v>311796</v>
      </c>
      <c r="B390" s="342" t="s">
        <v>1411</v>
      </c>
      <c r="C390" s="342" t="s">
        <v>1205</v>
      </c>
      <c r="D390" s="342" t="s">
        <v>51</v>
      </c>
      <c r="E390" s="342" t="s">
        <v>591</v>
      </c>
      <c r="F390" s="342" t="s">
        <v>737</v>
      </c>
      <c r="G390" s="342" t="s">
        <v>5449</v>
      </c>
    </row>
    <row r="391" spans="1:21" ht="154">
      <c r="A391" s="342">
        <v>311876</v>
      </c>
      <c r="B391" s="342" t="s">
        <v>1049</v>
      </c>
      <c r="C391" s="342" t="s">
        <v>1051</v>
      </c>
      <c r="D391" s="342" t="s">
        <v>51</v>
      </c>
      <c r="E391" s="342" t="s">
        <v>591</v>
      </c>
      <c r="F391" s="342" t="s">
        <v>40</v>
      </c>
      <c r="G391" s="342" t="s">
        <v>5450</v>
      </c>
      <c r="H391" s="342" t="s">
        <v>2132</v>
      </c>
      <c r="I391" s="342" t="s">
        <v>2079</v>
      </c>
      <c r="J391" s="344" t="s">
        <v>2467</v>
      </c>
      <c r="L391" s="342" t="s">
        <v>2063</v>
      </c>
      <c r="M391" s="342" t="s">
        <v>5517</v>
      </c>
      <c r="N391" s="342" t="s">
        <v>2073</v>
      </c>
      <c r="O391" s="342" t="s">
        <v>2074</v>
      </c>
      <c r="P391" s="342" t="s">
        <v>2075</v>
      </c>
      <c r="Q391" s="342">
        <v>2</v>
      </c>
      <c r="R391" s="342" t="s">
        <v>2133</v>
      </c>
      <c r="S391" s="344" t="s">
        <v>2134</v>
      </c>
      <c r="T391" s="342" t="s">
        <v>2099</v>
      </c>
      <c r="U391" s="342" t="s">
        <v>2135</v>
      </c>
    </row>
    <row r="392" spans="1:21" ht="168">
      <c r="A392" s="342">
        <v>311909</v>
      </c>
      <c r="B392" s="342" t="s">
        <v>1053</v>
      </c>
      <c r="C392" s="342" t="s">
        <v>1056</v>
      </c>
      <c r="D392" s="342" t="s">
        <v>45</v>
      </c>
      <c r="E392" s="342" t="s">
        <v>591</v>
      </c>
      <c r="F392" s="342" t="s">
        <v>685</v>
      </c>
      <c r="G392" s="342" t="s">
        <v>4638</v>
      </c>
      <c r="H392" s="342" t="s">
        <v>1053</v>
      </c>
      <c r="I392" s="342" t="s">
        <v>2120</v>
      </c>
      <c r="J392" s="344" t="s">
        <v>2121</v>
      </c>
      <c r="M392" s="342" t="s">
        <v>4638</v>
      </c>
      <c r="N392" s="342" t="s">
        <v>2120</v>
      </c>
      <c r="P392" s="342" t="s">
        <v>2122</v>
      </c>
      <c r="Q392" s="342">
        <v>3</v>
      </c>
      <c r="R392" s="342" t="s">
        <v>2107</v>
      </c>
      <c r="S392" s="344" t="s">
        <v>2468</v>
      </c>
      <c r="T392" s="342" t="s">
        <v>2152</v>
      </c>
      <c r="U392" s="342" t="s">
        <v>2469</v>
      </c>
    </row>
    <row r="393" spans="1:21" ht="378">
      <c r="A393" s="342">
        <v>312248</v>
      </c>
      <c r="B393" s="342" t="s">
        <v>1422</v>
      </c>
      <c r="C393" s="342" t="s">
        <v>1260</v>
      </c>
      <c r="D393" s="342" t="s">
        <v>118</v>
      </c>
      <c r="E393" s="342" t="s">
        <v>591</v>
      </c>
      <c r="F393" s="342" t="s">
        <v>40</v>
      </c>
      <c r="G393" s="342" t="s">
        <v>5278</v>
      </c>
      <c r="H393" s="342" t="s">
        <v>2078</v>
      </c>
      <c r="I393" s="342" t="s">
        <v>2079</v>
      </c>
      <c r="J393" s="344" t="s">
        <v>2470</v>
      </c>
      <c r="L393" s="342" t="s">
        <v>2064</v>
      </c>
      <c r="M393" s="342" t="s">
        <v>5278</v>
      </c>
      <c r="N393" s="342" t="s">
        <v>4417</v>
      </c>
      <c r="Q393" s="342">
        <v>4</v>
      </c>
      <c r="R393" s="342" t="s">
        <v>2080</v>
      </c>
      <c r="S393" s="342" t="s">
        <v>2081</v>
      </c>
      <c r="T393" s="342" t="s">
        <v>2082</v>
      </c>
      <c r="U393" s="342" t="s">
        <v>2083</v>
      </c>
    </row>
    <row r="394" spans="1:21">
      <c r="A394" s="342">
        <v>312649</v>
      </c>
      <c r="B394" s="342" t="s">
        <v>5200</v>
      </c>
      <c r="C394" s="342" t="s">
        <v>562</v>
      </c>
      <c r="D394" s="342" t="s">
        <v>549</v>
      </c>
      <c r="E394" s="342" t="s">
        <v>591</v>
      </c>
      <c r="F394" s="342" t="s">
        <v>749</v>
      </c>
      <c r="G394" s="342" t="s">
        <v>1510</v>
      </c>
    </row>
    <row r="395" spans="1:21">
      <c r="A395" s="342">
        <v>313589</v>
      </c>
      <c r="B395" s="342" t="s">
        <v>1393</v>
      </c>
      <c r="C395" s="342" t="s">
        <v>380</v>
      </c>
      <c r="D395" s="342" t="s">
        <v>381</v>
      </c>
      <c r="E395" s="342" t="s">
        <v>591</v>
      </c>
      <c r="F395" s="342" t="s">
        <v>40</v>
      </c>
      <c r="G395" s="342" t="s">
        <v>5449</v>
      </c>
      <c r="H395" s="342" t="s">
        <v>2097</v>
      </c>
      <c r="I395" s="342" t="s">
        <v>2072</v>
      </c>
      <c r="M395" s="342" t="s">
        <v>5449</v>
      </c>
      <c r="N395" s="342" t="s">
        <v>2073</v>
      </c>
      <c r="O395" s="342" t="s">
        <v>2074</v>
      </c>
      <c r="P395" s="342" t="s">
        <v>2075</v>
      </c>
      <c r="Q395" s="342">
        <v>2</v>
      </c>
      <c r="R395" s="342" t="s">
        <v>2076</v>
      </c>
      <c r="S395" s="342" t="s">
        <v>2098</v>
      </c>
      <c r="T395" s="342" t="s">
        <v>2099</v>
      </c>
    </row>
    <row r="396" spans="1:21">
      <c r="A396" s="342">
        <v>313831</v>
      </c>
      <c r="B396" s="342" t="s">
        <v>1163</v>
      </c>
      <c r="C396" s="342" t="s">
        <v>336</v>
      </c>
      <c r="D396" s="342" t="s">
        <v>337</v>
      </c>
      <c r="E396" s="342" t="s">
        <v>591</v>
      </c>
      <c r="F396" s="342" t="s">
        <v>40</v>
      </c>
      <c r="G396" s="342" t="s">
        <v>1288</v>
      </c>
      <c r="H396" s="342" t="s">
        <v>2265</v>
      </c>
      <c r="I396" s="342" t="s">
        <v>2090</v>
      </c>
      <c r="M396" s="342" t="s">
        <v>1288</v>
      </c>
      <c r="N396" s="342" t="s">
        <v>2090</v>
      </c>
      <c r="O396" s="342" t="s">
        <v>2214</v>
      </c>
      <c r="P396" s="342" t="s">
        <v>2122</v>
      </c>
      <c r="Q396" s="342">
        <v>3</v>
      </c>
      <c r="R396" s="342" t="s">
        <v>2133</v>
      </c>
      <c r="S396" s="342" t="s">
        <v>2266</v>
      </c>
      <c r="T396" s="342" t="s">
        <v>2099</v>
      </c>
      <c r="U396" s="342" t="s">
        <v>2267</v>
      </c>
    </row>
    <row r="397" spans="1:21" ht="168">
      <c r="A397" s="342">
        <v>313897</v>
      </c>
      <c r="B397" s="342" t="s">
        <v>1057</v>
      </c>
      <c r="C397" s="342" t="s">
        <v>788</v>
      </c>
      <c r="D397" s="342" t="s">
        <v>45</v>
      </c>
      <c r="E397" s="342" t="s">
        <v>591</v>
      </c>
      <c r="F397" s="342" t="s">
        <v>40</v>
      </c>
      <c r="G397" s="342" t="s">
        <v>5449</v>
      </c>
      <c r="H397" s="342" t="s">
        <v>2401</v>
      </c>
      <c r="I397" s="342" t="s">
        <v>2072</v>
      </c>
      <c r="J397" s="342" t="s">
        <v>5333</v>
      </c>
      <c r="L397" s="342" t="s">
        <v>5333</v>
      </c>
      <c r="M397" s="342" t="s">
        <v>5449</v>
      </c>
      <c r="N397" s="342" t="s">
        <v>2283</v>
      </c>
      <c r="O397" s="342" t="s">
        <v>2113</v>
      </c>
      <c r="Q397" s="342">
        <v>4</v>
      </c>
      <c r="R397" s="342" t="s">
        <v>2087</v>
      </c>
      <c r="S397" s="344" t="s">
        <v>2499</v>
      </c>
      <c r="T397" s="342" t="s">
        <v>2087</v>
      </c>
    </row>
    <row r="398" spans="1:21" ht="409.5">
      <c r="A398" s="342">
        <v>313936</v>
      </c>
      <c r="B398" s="342" t="s">
        <v>1061</v>
      </c>
      <c r="C398" s="342" t="s">
        <v>1064</v>
      </c>
      <c r="D398" s="342" t="s">
        <v>45</v>
      </c>
      <c r="E398" s="342" t="s">
        <v>591</v>
      </c>
      <c r="F398" s="342" t="s">
        <v>40</v>
      </c>
      <c r="G398" s="342" t="s">
        <v>5450</v>
      </c>
      <c r="H398" s="342" t="s">
        <v>2132</v>
      </c>
      <c r="I398" s="342" t="s">
        <v>2079</v>
      </c>
      <c r="J398" s="344" t="s">
        <v>2471</v>
      </c>
      <c r="L398" s="342" t="s">
        <v>2065</v>
      </c>
      <c r="M398" s="342" t="s">
        <v>5517</v>
      </c>
      <c r="N398" s="342" t="s">
        <v>2073</v>
      </c>
      <c r="O398" s="342" t="s">
        <v>2074</v>
      </c>
      <c r="P398" s="342" t="s">
        <v>2075</v>
      </c>
      <c r="Q398" s="342">
        <v>2</v>
      </c>
      <c r="R398" s="342" t="s">
        <v>2133</v>
      </c>
      <c r="S398" s="344" t="s">
        <v>2134</v>
      </c>
      <c r="T398" s="342" t="s">
        <v>2099</v>
      </c>
      <c r="U398" s="342" t="s">
        <v>2135</v>
      </c>
    </row>
    <row r="399" spans="1:21">
      <c r="A399" s="342">
        <v>314059</v>
      </c>
      <c r="B399" s="342" t="s">
        <v>1094</v>
      </c>
      <c r="C399" s="342" t="s">
        <v>1097</v>
      </c>
      <c r="D399" s="342" t="s">
        <v>45</v>
      </c>
      <c r="E399" s="342" t="s">
        <v>591</v>
      </c>
      <c r="F399" s="342" t="s">
        <v>43</v>
      </c>
      <c r="G399" s="342" t="s">
        <v>1421</v>
      </c>
      <c r="H399" s="342" t="s">
        <v>2472</v>
      </c>
      <c r="I399" s="342" t="s">
        <v>2090</v>
      </c>
      <c r="M399" s="342" t="s">
        <v>1421</v>
      </c>
      <c r="N399" s="342" t="s">
        <v>2269</v>
      </c>
      <c r="P399" s="342" t="s">
        <v>2194</v>
      </c>
      <c r="Q399" s="342">
        <v>3</v>
      </c>
      <c r="R399" s="342" t="s">
        <v>2107</v>
      </c>
      <c r="T399" s="342" t="s">
        <v>2326</v>
      </c>
    </row>
    <row r="400" spans="1:21">
      <c r="A400" s="342">
        <v>314094</v>
      </c>
      <c r="B400" s="342" t="s">
        <v>1089</v>
      </c>
      <c r="C400" s="342" t="s">
        <v>1091</v>
      </c>
      <c r="D400" s="342" t="s">
        <v>51</v>
      </c>
      <c r="E400" s="342" t="s">
        <v>591</v>
      </c>
      <c r="F400" s="342" t="s">
        <v>43</v>
      </c>
      <c r="G400" s="342" t="s">
        <v>1421</v>
      </c>
      <c r="H400" s="342" t="s">
        <v>2473</v>
      </c>
      <c r="I400" s="342" t="s">
        <v>2090</v>
      </c>
      <c r="M400" s="342" t="s">
        <v>1421</v>
      </c>
      <c r="N400" s="342" t="s">
        <v>2269</v>
      </c>
      <c r="P400" s="342" t="s">
        <v>2194</v>
      </c>
      <c r="Q400" s="342">
        <v>3</v>
      </c>
      <c r="R400" s="342" t="s">
        <v>2107</v>
      </c>
      <c r="T400" s="342" t="s">
        <v>2326</v>
      </c>
    </row>
    <row r="401" spans="1:21" ht="196">
      <c r="A401" s="342">
        <v>314403</v>
      </c>
      <c r="B401" s="342" t="s">
        <v>1085</v>
      </c>
      <c r="C401" s="342" t="s">
        <v>1087</v>
      </c>
      <c r="D401" s="342" t="s">
        <v>1088</v>
      </c>
      <c r="E401" s="342" t="s">
        <v>591</v>
      </c>
      <c r="F401" s="342" t="s">
        <v>40</v>
      </c>
      <c r="G401" s="342" t="s">
        <v>5450</v>
      </c>
      <c r="H401" s="342" t="s">
        <v>2124</v>
      </c>
      <c r="I401" s="342" t="s">
        <v>2072</v>
      </c>
      <c r="M401" s="342" t="s">
        <v>5517</v>
      </c>
      <c r="N401" s="342" t="s">
        <v>2073</v>
      </c>
      <c r="O401" s="342" t="s">
        <v>2116</v>
      </c>
      <c r="P401" s="342" t="s">
        <v>2125</v>
      </c>
      <c r="Q401" s="342">
        <v>3</v>
      </c>
      <c r="R401" s="342" t="s">
        <v>2085</v>
      </c>
      <c r="S401" s="344" t="s">
        <v>2126</v>
      </c>
      <c r="T401" s="342" t="s">
        <v>2087</v>
      </c>
    </row>
    <row r="402" spans="1:21" ht="336">
      <c r="A402" s="342">
        <v>316391</v>
      </c>
      <c r="B402" s="342" t="s">
        <v>1159</v>
      </c>
      <c r="C402" s="342" t="s">
        <v>1161</v>
      </c>
      <c r="D402" s="342" t="s">
        <v>51</v>
      </c>
      <c r="E402" s="342" t="s">
        <v>591</v>
      </c>
      <c r="F402" s="342" t="s">
        <v>40</v>
      </c>
      <c r="G402" s="342" t="s">
        <v>1288</v>
      </c>
      <c r="H402" s="342" t="s">
        <v>2443</v>
      </c>
      <c r="I402" s="342" t="s">
        <v>2090</v>
      </c>
      <c r="M402" s="342" t="s">
        <v>1288</v>
      </c>
      <c r="N402" s="342" t="s">
        <v>2090</v>
      </c>
      <c r="O402" s="342" t="s">
        <v>2137</v>
      </c>
      <c r="Q402" s="342">
        <v>2</v>
      </c>
      <c r="R402" s="342" t="s">
        <v>2107</v>
      </c>
      <c r="S402" s="344" t="s">
        <v>2444</v>
      </c>
      <c r="T402" s="342" t="s">
        <v>2099</v>
      </c>
    </row>
    <row r="403" spans="1:21">
      <c r="A403" s="342">
        <v>316791</v>
      </c>
      <c r="B403" s="342" t="s">
        <v>1398</v>
      </c>
      <c r="C403" s="342" t="s">
        <v>1400</v>
      </c>
      <c r="D403" s="342" t="s">
        <v>51</v>
      </c>
      <c r="E403" s="342" t="s">
        <v>591</v>
      </c>
      <c r="F403" s="342" t="s">
        <v>737</v>
      </c>
      <c r="G403" s="342" t="s">
        <v>1277</v>
      </c>
    </row>
    <row r="404" spans="1:21" ht="409.5">
      <c r="A404" s="342">
        <v>316849</v>
      </c>
      <c r="B404" s="342" t="s">
        <v>1143</v>
      </c>
      <c r="C404" s="342" t="s">
        <v>1146</v>
      </c>
      <c r="D404" s="342" t="s">
        <v>107</v>
      </c>
      <c r="E404" s="342" t="s">
        <v>591</v>
      </c>
      <c r="F404" s="342" t="s">
        <v>40</v>
      </c>
      <c r="G404" s="342" t="s">
        <v>4441</v>
      </c>
      <c r="H404" s="342" t="s">
        <v>2280</v>
      </c>
      <c r="I404" s="342" t="s">
        <v>2079</v>
      </c>
      <c r="J404" s="344" t="s">
        <v>2474</v>
      </c>
      <c r="L404" s="342" t="s">
        <v>2066</v>
      </c>
      <c r="M404" s="342" t="s">
        <v>4441</v>
      </c>
      <c r="N404" s="342" t="s">
        <v>2073</v>
      </c>
      <c r="O404" s="342" t="s">
        <v>2074</v>
      </c>
      <c r="P404" s="342" t="s">
        <v>2075</v>
      </c>
      <c r="Q404" s="342">
        <v>2</v>
      </c>
      <c r="R404" s="342" t="s">
        <v>2076</v>
      </c>
      <c r="S404" s="344" t="s">
        <v>2498</v>
      </c>
      <c r="T404" s="342" t="s">
        <v>2077</v>
      </c>
      <c r="U404" s="342" t="s">
        <v>2281</v>
      </c>
    </row>
    <row r="405" spans="1:21">
      <c r="A405" s="342">
        <v>316979</v>
      </c>
      <c r="B405" s="342" t="s">
        <v>965</v>
      </c>
      <c r="C405" s="342" t="s">
        <v>1408</v>
      </c>
      <c r="D405" s="342" t="s">
        <v>47</v>
      </c>
      <c r="E405" s="342" t="s">
        <v>591</v>
      </c>
      <c r="F405" s="342" t="s">
        <v>41</v>
      </c>
      <c r="G405" s="342" t="s">
        <v>786</v>
      </c>
      <c r="H405" s="342" t="s">
        <v>2392</v>
      </c>
      <c r="I405" s="342" t="s">
        <v>2090</v>
      </c>
      <c r="M405" s="342" t="s">
        <v>786</v>
      </c>
      <c r="N405" s="342" t="s">
        <v>2104</v>
      </c>
      <c r="P405" s="342" t="s">
        <v>2248</v>
      </c>
      <c r="Q405" s="342">
        <v>1</v>
      </c>
      <c r="R405" s="342" t="s">
        <v>2107</v>
      </c>
      <c r="S405" s="342" t="s">
        <v>2393</v>
      </c>
      <c r="T405" s="342" t="s">
        <v>2217</v>
      </c>
      <c r="U405" s="342" t="s">
        <v>2394</v>
      </c>
    </row>
    <row r="406" spans="1:21" ht="70">
      <c r="A406" s="342">
        <v>317041</v>
      </c>
      <c r="B406" s="342" t="s">
        <v>1148</v>
      </c>
      <c r="C406" s="342" t="s">
        <v>1150</v>
      </c>
      <c r="D406" s="342" t="s">
        <v>51</v>
      </c>
      <c r="E406" s="342" t="s">
        <v>591</v>
      </c>
      <c r="F406" s="342" t="s">
        <v>40</v>
      </c>
      <c r="G406" s="342" t="s">
        <v>5449</v>
      </c>
      <c r="H406" s="342" t="s">
        <v>2097</v>
      </c>
      <c r="I406" s="342" t="s">
        <v>2079</v>
      </c>
      <c r="J406" s="344" t="s">
        <v>2475</v>
      </c>
      <c r="L406" s="342" t="s">
        <v>2067</v>
      </c>
      <c r="M406" s="342" t="s">
        <v>5449</v>
      </c>
      <c r="N406" s="342" t="s">
        <v>2073</v>
      </c>
      <c r="O406" s="342" t="s">
        <v>2074</v>
      </c>
      <c r="P406" s="342" t="s">
        <v>2075</v>
      </c>
      <c r="Q406" s="342">
        <v>2</v>
      </c>
      <c r="R406" s="342" t="s">
        <v>2076</v>
      </c>
      <c r="S406" s="342" t="s">
        <v>2098</v>
      </c>
      <c r="T406" s="342" t="s">
        <v>2099</v>
      </c>
    </row>
    <row r="407" spans="1:21">
      <c r="A407" s="342">
        <v>317124</v>
      </c>
      <c r="B407" s="342" t="s">
        <v>5254</v>
      </c>
      <c r="C407" s="342" t="s">
        <v>5256</v>
      </c>
      <c r="D407" s="342" t="s">
        <v>5257</v>
      </c>
      <c r="E407" s="342" t="s">
        <v>591</v>
      </c>
      <c r="F407" s="342" t="s">
        <v>40</v>
      </c>
      <c r="G407" s="342" t="s">
        <v>1288</v>
      </c>
      <c r="H407" s="342" t="s">
        <v>5354</v>
      </c>
      <c r="I407" s="342" t="s">
        <v>4805</v>
      </c>
      <c r="M407" s="342" t="s">
        <v>1288</v>
      </c>
      <c r="N407" s="342" t="s">
        <v>2258</v>
      </c>
      <c r="Q407" s="342" t="s">
        <v>2258</v>
      </c>
    </row>
    <row r="408" spans="1:21" ht="70">
      <c r="A408" s="342">
        <v>317378</v>
      </c>
      <c r="B408" s="342" t="s">
        <v>1215</v>
      </c>
      <c r="C408" s="342" t="s">
        <v>1218</v>
      </c>
      <c r="D408" s="342" t="s">
        <v>45</v>
      </c>
      <c r="E408" s="342" t="s">
        <v>591</v>
      </c>
      <c r="F408" s="342" t="s">
        <v>40</v>
      </c>
      <c r="G408" s="342" t="s">
        <v>5278</v>
      </c>
      <c r="H408" s="342" t="s">
        <v>325</v>
      </c>
      <c r="I408" s="342" t="s">
        <v>2079</v>
      </c>
      <c r="J408" s="344" t="s">
        <v>5385</v>
      </c>
      <c r="L408" s="342" t="s">
        <v>5383</v>
      </c>
      <c r="M408" s="342" t="s">
        <v>5278</v>
      </c>
      <c r="N408" s="342" t="s">
        <v>2073</v>
      </c>
      <c r="O408" s="342" t="s">
        <v>2113</v>
      </c>
      <c r="Q408" s="342">
        <v>4</v>
      </c>
      <c r="R408" s="342" t="s">
        <v>2085</v>
      </c>
      <c r="S408" s="342" t="s">
        <v>2285</v>
      </c>
      <c r="T408" s="342" t="s">
        <v>2087</v>
      </c>
    </row>
    <row r="409" spans="1:21">
      <c r="A409" s="342">
        <v>317423</v>
      </c>
      <c r="B409" s="342" t="s">
        <v>4422</v>
      </c>
      <c r="C409" s="342" t="s">
        <v>1155</v>
      </c>
      <c r="D409" s="342" t="s">
        <v>45</v>
      </c>
      <c r="E409" s="342" t="s">
        <v>591</v>
      </c>
      <c r="F409" s="342" t="s">
        <v>40</v>
      </c>
      <c r="G409" s="342" t="s">
        <v>5449</v>
      </c>
      <c r="H409" s="342" t="s">
        <v>2097</v>
      </c>
      <c r="I409" s="342" t="s">
        <v>2072</v>
      </c>
      <c r="M409" s="342" t="s">
        <v>5449</v>
      </c>
      <c r="N409" s="342" t="s">
        <v>2073</v>
      </c>
      <c r="O409" s="342" t="s">
        <v>2074</v>
      </c>
      <c r="P409" s="342" t="s">
        <v>2075</v>
      </c>
      <c r="Q409" s="342">
        <v>2</v>
      </c>
      <c r="R409" s="342" t="s">
        <v>2076</v>
      </c>
      <c r="S409" s="342" t="s">
        <v>2098</v>
      </c>
      <c r="T409" s="342" t="s">
        <v>2099</v>
      </c>
    </row>
    <row r="410" spans="1:21">
      <c r="A410" s="342">
        <v>317750</v>
      </c>
      <c r="B410" s="342" t="s">
        <v>1180</v>
      </c>
      <c r="C410" s="342" t="s">
        <v>1182</v>
      </c>
      <c r="D410" s="342" t="s">
        <v>51</v>
      </c>
      <c r="E410" s="342" t="s">
        <v>591</v>
      </c>
      <c r="F410" s="342" t="s">
        <v>41</v>
      </c>
      <c r="G410" s="342" t="s">
        <v>1510</v>
      </c>
      <c r="H410" s="342" t="s">
        <v>2476</v>
      </c>
      <c r="I410" s="342" t="s">
        <v>2090</v>
      </c>
      <c r="M410" s="342" t="s">
        <v>1510</v>
      </c>
      <c r="N410" s="342" t="s">
        <v>2104</v>
      </c>
      <c r="P410" s="342" t="s">
        <v>2122</v>
      </c>
      <c r="Q410" s="342">
        <v>2</v>
      </c>
      <c r="R410" s="342" t="s">
        <v>2107</v>
      </c>
      <c r="S410" s="342" t="s">
        <v>2477</v>
      </c>
      <c r="T410" s="342" t="s">
        <v>2217</v>
      </c>
      <c r="U410" s="342" t="s">
        <v>2478</v>
      </c>
    </row>
    <row r="411" spans="1:21">
      <c r="A411" s="342">
        <v>317753</v>
      </c>
      <c r="B411" s="342" t="s">
        <v>1506</v>
      </c>
      <c r="C411" s="342" t="s">
        <v>1167</v>
      </c>
      <c r="D411" s="342" t="s">
        <v>45</v>
      </c>
      <c r="E411" s="342" t="s">
        <v>591</v>
      </c>
      <c r="F411" s="342" t="s">
        <v>41</v>
      </c>
      <c r="G411" s="342" t="s">
        <v>1288</v>
      </c>
      <c r="H411" s="342" t="s">
        <v>2479</v>
      </c>
      <c r="I411" s="342" t="s">
        <v>2090</v>
      </c>
      <c r="M411" s="342" t="s">
        <v>1288</v>
      </c>
      <c r="N411" s="342" t="s">
        <v>2104</v>
      </c>
      <c r="P411" s="342" t="s">
        <v>2179</v>
      </c>
      <c r="Q411" s="342">
        <v>1</v>
      </c>
      <c r="R411" s="342" t="s">
        <v>2107</v>
      </c>
      <c r="S411" s="342" t="s">
        <v>2480</v>
      </c>
      <c r="T411" s="342" t="s">
        <v>2217</v>
      </c>
    </row>
    <row r="412" spans="1:21" ht="409.5">
      <c r="A412" s="342">
        <v>318065</v>
      </c>
      <c r="B412" s="342" t="s">
        <v>1302</v>
      </c>
      <c r="C412" s="342" t="s">
        <v>218</v>
      </c>
      <c r="D412" s="342" t="s">
        <v>51</v>
      </c>
      <c r="E412" s="342" t="s">
        <v>591</v>
      </c>
      <c r="F412" s="342" t="s">
        <v>40</v>
      </c>
      <c r="G412" s="342" t="s">
        <v>5282</v>
      </c>
      <c r="H412" s="342" t="s">
        <v>2280</v>
      </c>
      <c r="I412" s="342" t="s">
        <v>2072</v>
      </c>
      <c r="M412" s="342" t="s">
        <v>4441</v>
      </c>
      <c r="N412" s="342" t="s">
        <v>2073</v>
      </c>
      <c r="O412" s="342" t="s">
        <v>2074</v>
      </c>
      <c r="P412" s="342" t="s">
        <v>2075</v>
      </c>
      <c r="Q412" s="342">
        <v>2</v>
      </c>
      <c r="R412" s="342" t="s">
        <v>2076</v>
      </c>
      <c r="S412" s="344" t="s">
        <v>2498</v>
      </c>
      <c r="T412" s="342" t="s">
        <v>2077</v>
      </c>
      <c r="U412" s="342" t="s">
        <v>2281</v>
      </c>
    </row>
    <row r="413" spans="1:21" ht="266">
      <c r="A413" s="342">
        <v>319140</v>
      </c>
      <c r="B413" s="342" t="s">
        <v>4651</v>
      </c>
      <c r="C413" s="342" t="s">
        <v>4653</v>
      </c>
      <c r="D413" s="342" t="s">
        <v>51</v>
      </c>
      <c r="E413" s="342" t="s">
        <v>591</v>
      </c>
      <c r="F413" s="342" t="s">
        <v>40</v>
      </c>
      <c r="G413" s="342" t="s">
        <v>5283</v>
      </c>
      <c r="H413" s="342" t="s">
        <v>2319</v>
      </c>
      <c r="I413" s="342" t="s">
        <v>2072</v>
      </c>
      <c r="L413" s="342" t="s">
        <v>4668</v>
      </c>
      <c r="M413" s="342" t="s">
        <v>5283</v>
      </c>
      <c r="N413" s="342" t="s">
        <v>2073</v>
      </c>
      <c r="O413" s="342" t="s">
        <v>2074</v>
      </c>
      <c r="P413" s="342" t="s">
        <v>2075</v>
      </c>
      <c r="Q413" s="342">
        <v>2</v>
      </c>
      <c r="R413" s="342" t="s">
        <v>2076</v>
      </c>
      <c r="S413" s="344" t="s">
        <v>2320</v>
      </c>
      <c r="T413" s="342" t="s">
        <v>2099</v>
      </c>
      <c r="U413" s="342" t="s">
        <v>2321</v>
      </c>
    </row>
    <row r="414" spans="1:21" ht="280">
      <c r="A414" s="342">
        <v>319735</v>
      </c>
      <c r="B414" s="342" t="s">
        <v>5030</v>
      </c>
      <c r="C414" s="342" t="s">
        <v>5032</v>
      </c>
      <c r="D414" s="342" t="s">
        <v>51</v>
      </c>
      <c r="E414" s="342" t="s">
        <v>591</v>
      </c>
      <c r="F414" s="342" t="s">
        <v>40</v>
      </c>
      <c r="G414" s="342" t="s">
        <v>5282</v>
      </c>
      <c r="H414" s="342" t="s">
        <v>2159</v>
      </c>
      <c r="I414" s="342" t="s">
        <v>2072</v>
      </c>
      <c r="M414" s="342" t="s">
        <v>5282</v>
      </c>
      <c r="N414" s="342" t="s">
        <v>2073</v>
      </c>
      <c r="O414" s="342" t="s">
        <v>2113</v>
      </c>
      <c r="P414" s="342" t="s">
        <v>2075</v>
      </c>
      <c r="Q414" s="342">
        <v>3</v>
      </c>
      <c r="R414" s="342" t="s">
        <v>2085</v>
      </c>
      <c r="S414" s="344" t="s">
        <v>2160</v>
      </c>
    </row>
    <row r="415" spans="1:21">
      <c r="A415" s="342">
        <v>321538</v>
      </c>
      <c r="B415" s="342" t="s">
        <v>1273</v>
      </c>
      <c r="C415" s="342" t="s">
        <v>1511</v>
      </c>
      <c r="D415" s="342" t="s">
        <v>1275</v>
      </c>
      <c r="E415" s="342" t="s">
        <v>591</v>
      </c>
      <c r="F415" s="342" t="s">
        <v>41</v>
      </c>
      <c r="G415" s="342" t="s">
        <v>1510</v>
      </c>
      <c r="H415" s="342" t="s">
        <v>2481</v>
      </c>
      <c r="I415" s="342" t="s">
        <v>2090</v>
      </c>
      <c r="M415" s="342" t="s">
        <v>1510</v>
      </c>
      <c r="N415" s="342" t="s">
        <v>2104</v>
      </c>
      <c r="P415" s="342" t="s">
        <v>2179</v>
      </c>
      <c r="Q415" s="342">
        <v>1</v>
      </c>
      <c r="R415" s="342" t="s">
        <v>2107</v>
      </c>
      <c r="S415" s="342" t="s">
        <v>2482</v>
      </c>
      <c r="T415" s="342" t="s">
        <v>2217</v>
      </c>
    </row>
    <row r="416" spans="1:21" ht="98">
      <c r="A416" s="342">
        <v>323306</v>
      </c>
      <c r="B416" s="342" t="s">
        <v>1471</v>
      </c>
      <c r="C416" s="342" t="s">
        <v>1474</v>
      </c>
      <c r="D416" s="342" t="s">
        <v>45</v>
      </c>
      <c r="E416" s="342" t="s">
        <v>591</v>
      </c>
      <c r="F416" s="342" t="s">
        <v>1114</v>
      </c>
      <c r="G416" s="342" t="s">
        <v>1288</v>
      </c>
      <c r="H416" s="342" t="s">
        <v>2483</v>
      </c>
      <c r="I416" s="342" t="s">
        <v>2128</v>
      </c>
      <c r="J416" s="344" t="s">
        <v>2129</v>
      </c>
      <c r="M416" s="342" t="s">
        <v>1288</v>
      </c>
      <c r="N416" s="342" t="s">
        <v>2128</v>
      </c>
      <c r="Q416" s="342">
        <v>1</v>
      </c>
      <c r="R416" s="342" t="s">
        <v>2107</v>
      </c>
      <c r="S416" s="342" t="s">
        <v>2484</v>
      </c>
      <c r="T416" s="342" t="s">
        <v>2131</v>
      </c>
    </row>
    <row r="417" spans="1:21" ht="154">
      <c r="A417" s="342">
        <v>323416</v>
      </c>
      <c r="B417" s="342" t="s">
        <v>1333</v>
      </c>
      <c r="C417" s="342" t="s">
        <v>236</v>
      </c>
      <c r="D417" s="342" t="s">
        <v>51</v>
      </c>
      <c r="E417" s="342" t="s">
        <v>591</v>
      </c>
      <c r="F417" s="342" t="s">
        <v>40</v>
      </c>
      <c r="G417" s="342" t="s">
        <v>5282</v>
      </c>
      <c r="H417" s="342" t="s">
        <v>2220</v>
      </c>
      <c r="I417" s="342" t="s">
        <v>2079</v>
      </c>
      <c r="J417" s="344" t="s">
        <v>2485</v>
      </c>
      <c r="L417" s="342" t="s">
        <v>2068</v>
      </c>
      <c r="M417" s="342" t="s">
        <v>5282</v>
      </c>
      <c r="N417" s="342" t="s">
        <v>2073</v>
      </c>
      <c r="O417" s="342" t="s">
        <v>2074</v>
      </c>
      <c r="Q417" s="342">
        <v>2</v>
      </c>
      <c r="R417" s="342" t="s">
        <v>2076</v>
      </c>
      <c r="S417" s="344" t="s">
        <v>2221</v>
      </c>
      <c r="T417" s="342" t="s">
        <v>2077</v>
      </c>
    </row>
    <row r="418" spans="1:21" ht="409.5">
      <c r="A418" s="342">
        <v>323974</v>
      </c>
      <c r="B418" s="342" t="s">
        <v>1356</v>
      </c>
      <c r="C418" s="342" t="s">
        <v>1358</v>
      </c>
      <c r="D418" s="342" t="s">
        <v>558</v>
      </c>
      <c r="E418" s="342" t="s">
        <v>591</v>
      </c>
      <c r="F418" s="342" t="s">
        <v>40</v>
      </c>
      <c r="G418" s="342" t="s">
        <v>1510</v>
      </c>
      <c r="H418" s="342" t="s">
        <v>4447</v>
      </c>
      <c r="I418" s="342" t="s">
        <v>2090</v>
      </c>
      <c r="J418" s="344" t="s">
        <v>5189</v>
      </c>
      <c r="L418" s="342" t="s">
        <v>5182</v>
      </c>
      <c r="M418" s="342" t="s">
        <v>1510</v>
      </c>
      <c r="N418" s="342" t="s">
        <v>2090</v>
      </c>
      <c r="O418" s="342" t="s">
        <v>2214</v>
      </c>
      <c r="Q418" s="342">
        <v>2</v>
      </c>
      <c r="R418" s="342" t="s">
        <v>2107</v>
      </c>
      <c r="S418" s="342" t="s">
        <v>4474</v>
      </c>
      <c r="T418" s="342" t="s">
        <v>2099</v>
      </c>
    </row>
    <row r="419" spans="1:21">
      <c r="A419" s="342">
        <v>324051</v>
      </c>
      <c r="B419" s="342" t="s">
        <v>1369</v>
      </c>
      <c r="C419" s="342" t="s">
        <v>1361</v>
      </c>
      <c r="D419" s="342" t="s">
        <v>1362</v>
      </c>
      <c r="E419" s="342" t="s">
        <v>591</v>
      </c>
      <c r="F419" s="342" t="s">
        <v>41</v>
      </c>
      <c r="G419" s="342" t="s">
        <v>4638</v>
      </c>
      <c r="H419" s="342" t="s">
        <v>2247</v>
      </c>
      <c r="I419" s="342" t="s">
        <v>2090</v>
      </c>
      <c r="M419" s="342" t="s">
        <v>4638</v>
      </c>
      <c r="N419" s="342" t="s">
        <v>2104</v>
      </c>
      <c r="P419" s="342" t="s">
        <v>2248</v>
      </c>
      <c r="Q419" s="342">
        <v>1</v>
      </c>
      <c r="R419" s="342" t="s">
        <v>2107</v>
      </c>
      <c r="S419" s="342" t="s">
        <v>2249</v>
      </c>
      <c r="T419" s="342" t="s">
        <v>2217</v>
      </c>
      <c r="U419" s="342" t="s">
        <v>2250</v>
      </c>
    </row>
    <row r="420" spans="1:21">
      <c r="A420" s="342">
        <v>324140</v>
      </c>
      <c r="B420" s="342" t="s">
        <v>1370</v>
      </c>
      <c r="C420" s="342" t="s">
        <v>1372</v>
      </c>
      <c r="D420" s="342" t="s">
        <v>1373</v>
      </c>
      <c r="E420" s="342" t="s">
        <v>591</v>
      </c>
      <c r="F420" s="342" t="s">
        <v>41</v>
      </c>
      <c r="G420" s="342" t="s">
        <v>4638</v>
      </c>
      <c r="H420" s="342" t="s">
        <v>2247</v>
      </c>
      <c r="I420" s="342" t="s">
        <v>2090</v>
      </c>
      <c r="M420" s="342" t="s">
        <v>4638</v>
      </c>
      <c r="N420" s="342" t="s">
        <v>2104</v>
      </c>
      <c r="P420" s="342" t="s">
        <v>2248</v>
      </c>
      <c r="Q420" s="342">
        <v>1</v>
      </c>
      <c r="R420" s="342" t="s">
        <v>2107</v>
      </c>
      <c r="S420" s="342" t="s">
        <v>2249</v>
      </c>
      <c r="T420" s="342" t="s">
        <v>2217</v>
      </c>
      <c r="U420" s="342" t="s">
        <v>2250</v>
      </c>
    </row>
    <row r="421" spans="1:21">
      <c r="A421" s="342">
        <v>325267</v>
      </c>
      <c r="B421" s="342" t="s">
        <v>1412</v>
      </c>
      <c r="C421" s="342" t="s">
        <v>1416</v>
      </c>
      <c r="D421" s="342" t="s">
        <v>1413</v>
      </c>
      <c r="E421" s="342" t="s">
        <v>591</v>
      </c>
      <c r="F421" s="342" t="s">
        <v>41</v>
      </c>
      <c r="G421" s="342" t="s">
        <v>4608</v>
      </c>
      <c r="H421" s="342" t="s">
        <v>1412</v>
      </c>
      <c r="I421" s="342" t="s">
        <v>2090</v>
      </c>
      <c r="M421" s="342" t="s">
        <v>4608</v>
      </c>
      <c r="N421" s="342" t="s">
        <v>2104</v>
      </c>
      <c r="P421" s="342" t="s">
        <v>2179</v>
      </c>
      <c r="Q421" s="342">
        <v>1</v>
      </c>
      <c r="R421" s="342" t="s">
        <v>2107</v>
      </c>
      <c r="S421" s="342" t="s">
        <v>2486</v>
      </c>
      <c r="T421" s="342" t="s">
        <v>2217</v>
      </c>
      <c r="U421" s="342" t="s">
        <v>2487</v>
      </c>
    </row>
    <row r="422" spans="1:21" ht="252">
      <c r="A422" s="342">
        <v>325331</v>
      </c>
      <c r="B422" s="342" t="s">
        <v>1445</v>
      </c>
      <c r="C422" s="342" t="s">
        <v>1447</v>
      </c>
      <c r="D422" s="342" t="s">
        <v>1448</v>
      </c>
      <c r="E422" s="342" t="s">
        <v>591</v>
      </c>
      <c r="F422" s="342" t="s">
        <v>685</v>
      </c>
      <c r="G422" s="342" t="s">
        <v>1421</v>
      </c>
      <c r="H422" s="342" t="s">
        <v>1445</v>
      </c>
      <c r="I422" s="342" t="s">
        <v>2120</v>
      </c>
      <c r="J422" s="344" t="s">
        <v>2150</v>
      </c>
      <c r="M422" s="342" t="s">
        <v>1421</v>
      </c>
      <c r="N422" s="342" t="s">
        <v>2120</v>
      </c>
      <c r="Q422" s="342">
        <v>2</v>
      </c>
      <c r="R422" s="342" t="s">
        <v>2107</v>
      </c>
      <c r="S422" s="342" t="s">
        <v>2488</v>
      </c>
      <c r="T422" s="342" t="s">
        <v>2152</v>
      </c>
      <c r="U422" s="342" t="s">
        <v>2489</v>
      </c>
    </row>
    <row r="423" spans="1:21" ht="154">
      <c r="A423" s="342">
        <v>325804</v>
      </c>
      <c r="B423" s="342" t="s">
        <v>705</v>
      </c>
      <c r="C423" s="342" t="s">
        <v>4343</v>
      </c>
      <c r="D423" s="342" t="s">
        <v>51</v>
      </c>
      <c r="E423" s="342" t="s">
        <v>591</v>
      </c>
      <c r="F423" s="342" t="s">
        <v>40</v>
      </c>
      <c r="G423" s="342" t="s">
        <v>5281</v>
      </c>
      <c r="H423" s="342" t="s">
        <v>2132</v>
      </c>
      <c r="I423" s="342" t="s">
        <v>2072</v>
      </c>
      <c r="M423" s="342" t="s">
        <v>5517</v>
      </c>
      <c r="N423" s="342" t="s">
        <v>2073</v>
      </c>
      <c r="O423" s="342" t="s">
        <v>2074</v>
      </c>
      <c r="P423" s="342" t="s">
        <v>2075</v>
      </c>
      <c r="Q423" s="342">
        <v>2</v>
      </c>
      <c r="R423" s="342" t="s">
        <v>2133</v>
      </c>
      <c r="S423" s="344" t="s">
        <v>2134</v>
      </c>
      <c r="T423" s="342" t="s">
        <v>2099</v>
      </c>
      <c r="U423" s="342" t="s">
        <v>2135</v>
      </c>
    </row>
    <row r="424" spans="1:21" ht="238">
      <c r="A424" s="342">
        <v>325878</v>
      </c>
      <c r="B424" s="342" t="s">
        <v>1453</v>
      </c>
      <c r="C424" s="342" t="s">
        <v>336</v>
      </c>
      <c r="D424" s="342" t="s">
        <v>337</v>
      </c>
      <c r="E424" s="342" t="s">
        <v>591</v>
      </c>
      <c r="F424" s="342" t="s">
        <v>40</v>
      </c>
      <c r="G424" s="342" t="s">
        <v>5279</v>
      </c>
      <c r="H424" s="342" t="s">
        <v>2263</v>
      </c>
      <c r="I424" s="342" t="s">
        <v>2072</v>
      </c>
      <c r="M424" s="342" t="s">
        <v>5279</v>
      </c>
      <c r="N424" s="342" t="s">
        <v>2073</v>
      </c>
      <c r="O424" s="342" t="s">
        <v>2074</v>
      </c>
      <c r="P424" s="342" t="s">
        <v>2075</v>
      </c>
      <c r="Q424" s="342">
        <v>3</v>
      </c>
      <c r="R424" s="342" t="s">
        <v>2076</v>
      </c>
      <c r="S424" s="344" t="s">
        <v>2264</v>
      </c>
      <c r="T424" s="342" t="s">
        <v>2077</v>
      </c>
    </row>
    <row r="425" spans="1:21">
      <c r="A425" s="342">
        <v>325909</v>
      </c>
      <c r="B425" s="342" t="s">
        <v>746</v>
      </c>
      <c r="C425" s="342" t="s">
        <v>1485</v>
      </c>
      <c r="D425" s="342" t="s">
        <v>47</v>
      </c>
      <c r="E425" s="342" t="s">
        <v>591</v>
      </c>
      <c r="F425" s="342" t="s">
        <v>737</v>
      </c>
      <c r="G425" s="342" t="s">
        <v>5280</v>
      </c>
    </row>
    <row r="426" spans="1:21">
      <c r="A426" s="342">
        <v>326373</v>
      </c>
      <c r="B426" s="342" t="s">
        <v>1455</v>
      </c>
      <c r="C426" s="342" t="s">
        <v>336</v>
      </c>
      <c r="D426" s="342" t="s">
        <v>337</v>
      </c>
      <c r="E426" s="342" t="s">
        <v>591</v>
      </c>
      <c r="F426" s="342" t="s">
        <v>40</v>
      </c>
      <c r="G426" s="342" t="s">
        <v>1288</v>
      </c>
      <c r="H426" s="342" t="s">
        <v>2490</v>
      </c>
      <c r="I426" s="342" t="s">
        <v>2090</v>
      </c>
      <c r="M426" s="342" t="s">
        <v>1288</v>
      </c>
      <c r="N426" s="342" t="s">
        <v>2090</v>
      </c>
      <c r="O426" s="342" t="s">
        <v>2214</v>
      </c>
      <c r="Q426" s="342">
        <v>3</v>
      </c>
      <c r="R426" s="342" t="s">
        <v>2133</v>
      </c>
      <c r="S426" s="342" t="s">
        <v>2491</v>
      </c>
      <c r="T426" s="342" t="s">
        <v>2099</v>
      </c>
      <c r="U426" s="342" t="s">
        <v>2492</v>
      </c>
    </row>
    <row r="427" spans="1:21" ht="409.5">
      <c r="A427" s="342">
        <v>326668</v>
      </c>
      <c r="B427" s="342" t="s">
        <v>1479</v>
      </c>
      <c r="C427" s="342" t="s">
        <v>1481</v>
      </c>
      <c r="D427" s="342" t="s">
        <v>51</v>
      </c>
      <c r="E427" s="342" t="s">
        <v>591</v>
      </c>
      <c r="F427" s="342" t="s">
        <v>40</v>
      </c>
      <c r="G427" s="342" t="s">
        <v>4441</v>
      </c>
      <c r="H427" s="342" t="s">
        <v>2280</v>
      </c>
      <c r="I427" s="342" t="s">
        <v>2079</v>
      </c>
      <c r="J427" s="344" t="s">
        <v>2493</v>
      </c>
      <c r="L427" s="342" t="s">
        <v>2069</v>
      </c>
      <c r="M427" s="342" t="s">
        <v>4441</v>
      </c>
      <c r="N427" s="342" t="s">
        <v>2073</v>
      </c>
      <c r="O427" s="342" t="s">
        <v>2074</v>
      </c>
      <c r="P427" s="342" t="s">
        <v>2075</v>
      </c>
      <c r="Q427" s="342">
        <v>2</v>
      </c>
      <c r="R427" s="342" t="s">
        <v>2076</v>
      </c>
      <c r="S427" s="344" t="s">
        <v>2498</v>
      </c>
      <c r="T427" s="342" t="s">
        <v>2077</v>
      </c>
      <c r="U427" s="342" t="s">
        <v>2281</v>
      </c>
    </row>
    <row r="428" spans="1:21" ht="112">
      <c r="A428" s="342">
        <v>327040</v>
      </c>
      <c r="B428" s="342" t="s">
        <v>1465</v>
      </c>
      <c r="C428" s="342" t="s">
        <v>918</v>
      </c>
      <c r="D428" s="342" t="s">
        <v>51</v>
      </c>
      <c r="E428" s="342" t="s">
        <v>591</v>
      </c>
      <c r="F428" s="342" t="s">
        <v>40</v>
      </c>
      <c r="G428" s="342" t="s">
        <v>5279</v>
      </c>
      <c r="H428" s="342" t="s">
        <v>2161</v>
      </c>
      <c r="I428" s="342" t="s">
        <v>2079</v>
      </c>
      <c r="J428" s="344" t="s">
        <v>2494</v>
      </c>
      <c r="L428" s="342" t="s">
        <v>2070</v>
      </c>
      <c r="M428" s="342" t="s">
        <v>5279</v>
      </c>
      <c r="N428" s="342" t="s">
        <v>2073</v>
      </c>
      <c r="O428" s="342" t="s">
        <v>2074</v>
      </c>
      <c r="P428" s="342" t="s">
        <v>2075</v>
      </c>
      <c r="Q428" s="342">
        <v>2</v>
      </c>
      <c r="R428" s="342" t="s">
        <v>2076</v>
      </c>
      <c r="S428" s="342" t="s">
        <v>2162</v>
      </c>
      <c r="T428" s="342" t="s">
        <v>2099</v>
      </c>
      <c r="U428" s="342" t="s">
        <v>2163</v>
      </c>
    </row>
    <row r="429" spans="1:21" ht="154">
      <c r="A429" s="342">
        <v>328334</v>
      </c>
      <c r="B429" s="342" t="s">
        <v>1512</v>
      </c>
      <c r="C429" s="342" t="s">
        <v>1514</v>
      </c>
      <c r="D429" s="342" t="s">
        <v>1515</v>
      </c>
      <c r="E429" s="342" t="s">
        <v>591</v>
      </c>
      <c r="F429" s="342" t="s">
        <v>40</v>
      </c>
      <c r="G429" s="342" t="s">
        <v>5282</v>
      </c>
      <c r="H429" s="342" t="s">
        <v>2220</v>
      </c>
      <c r="I429" s="342" t="s">
        <v>2072</v>
      </c>
      <c r="M429" s="342" t="s">
        <v>5282</v>
      </c>
      <c r="N429" s="342" t="s">
        <v>2073</v>
      </c>
      <c r="O429" s="342" t="s">
        <v>2074</v>
      </c>
      <c r="Q429" s="342">
        <v>2</v>
      </c>
      <c r="R429" s="342" t="s">
        <v>2076</v>
      </c>
      <c r="S429" s="344" t="s">
        <v>2221</v>
      </c>
      <c r="T429" s="342" t="s">
        <v>2077</v>
      </c>
    </row>
    <row r="430" spans="1:21">
      <c r="A430" s="342">
        <v>328371</v>
      </c>
      <c r="B430" s="342" t="s">
        <v>4834</v>
      </c>
      <c r="C430" s="342" t="s">
        <v>4837</v>
      </c>
      <c r="D430" s="342" t="s">
        <v>4838</v>
      </c>
      <c r="E430" s="342" t="s">
        <v>591</v>
      </c>
      <c r="F430" s="342" t="s">
        <v>41</v>
      </c>
      <c r="G430" s="342" t="s">
        <v>786</v>
      </c>
      <c r="H430" s="342" t="s">
        <v>4834</v>
      </c>
      <c r="I430" s="342" t="s">
        <v>2090</v>
      </c>
      <c r="M430" s="342" t="s">
        <v>786</v>
      </c>
      <c r="N430" s="342" t="s">
        <v>2104</v>
      </c>
      <c r="Q430" s="342">
        <v>1</v>
      </c>
    </row>
    <row r="431" spans="1:21">
      <c r="A431" s="342">
        <v>329009</v>
      </c>
      <c r="B431" s="342" t="s">
        <v>4227</v>
      </c>
      <c r="C431" s="342" t="s">
        <v>4229</v>
      </c>
      <c r="D431" s="342" t="s">
        <v>51</v>
      </c>
      <c r="E431" s="342" t="s">
        <v>591</v>
      </c>
      <c r="F431" s="342" t="s">
        <v>40</v>
      </c>
      <c r="G431" s="342" t="s">
        <v>1510</v>
      </c>
      <c r="H431" s="342" t="s">
        <v>4251</v>
      </c>
      <c r="I431" s="342" t="s">
        <v>2090</v>
      </c>
      <c r="M431" s="342" t="s">
        <v>1510</v>
      </c>
      <c r="N431" s="342" t="s">
        <v>2090</v>
      </c>
      <c r="O431" s="342" t="s">
        <v>2214</v>
      </c>
      <c r="P431" s="342" t="s">
        <v>2194</v>
      </c>
      <c r="Q431" s="342">
        <v>2</v>
      </c>
      <c r="R431" s="342" t="s">
        <v>2133</v>
      </c>
      <c r="S431" s="342" t="s">
        <v>4252</v>
      </c>
      <c r="T431" s="342" t="s">
        <v>2099</v>
      </c>
    </row>
    <row r="432" spans="1:21" ht="280">
      <c r="A432" s="342">
        <v>329026</v>
      </c>
      <c r="B432" s="342" t="s">
        <v>4199</v>
      </c>
      <c r="C432" s="342" t="s">
        <v>4200</v>
      </c>
      <c r="D432" s="342" t="s">
        <v>126</v>
      </c>
      <c r="E432" s="342" t="s">
        <v>591</v>
      </c>
      <c r="F432" s="342" t="s">
        <v>40</v>
      </c>
      <c r="G432" s="342" t="s">
        <v>5282</v>
      </c>
      <c r="H432" s="342" t="s">
        <v>2159</v>
      </c>
      <c r="I432" s="342" t="s">
        <v>2072</v>
      </c>
      <c r="M432" s="342" t="s">
        <v>5282</v>
      </c>
      <c r="N432" s="342" t="s">
        <v>2073</v>
      </c>
      <c r="O432" s="342" t="s">
        <v>2113</v>
      </c>
      <c r="P432" s="342" t="s">
        <v>2075</v>
      </c>
      <c r="Q432" s="342">
        <v>3</v>
      </c>
      <c r="R432" s="342" t="s">
        <v>2085</v>
      </c>
      <c r="S432" s="344" t="s">
        <v>2160</v>
      </c>
    </row>
    <row r="433" spans="1:21">
      <c r="A433" s="342">
        <v>329157</v>
      </c>
      <c r="B433" s="342" t="s">
        <v>4258</v>
      </c>
      <c r="C433" s="342" t="s">
        <v>4259</v>
      </c>
      <c r="D433" s="342" t="s">
        <v>51</v>
      </c>
      <c r="E433" s="342" t="s">
        <v>591</v>
      </c>
      <c r="F433" s="342" t="s">
        <v>40</v>
      </c>
      <c r="G433" s="342" t="s">
        <v>1288</v>
      </c>
      <c r="H433" s="342" t="s">
        <v>4296</v>
      </c>
      <c r="I433" s="342" t="s">
        <v>2090</v>
      </c>
      <c r="M433" s="342" t="s">
        <v>1288</v>
      </c>
      <c r="N433" s="342" t="s">
        <v>2090</v>
      </c>
      <c r="O433" s="342" t="s">
        <v>2214</v>
      </c>
      <c r="Q433" s="342">
        <v>3</v>
      </c>
      <c r="S433" s="342" t="s">
        <v>4312</v>
      </c>
      <c r="T433" s="342" t="s">
        <v>2099</v>
      </c>
    </row>
    <row r="434" spans="1:21" ht="266">
      <c r="A434" s="342">
        <v>329161</v>
      </c>
      <c r="B434" s="342" t="s">
        <v>4260</v>
      </c>
      <c r="C434" s="342" t="s">
        <v>4262</v>
      </c>
      <c r="D434" s="342" t="s">
        <v>98</v>
      </c>
      <c r="E434" s="342" t="s">
        <v>591</v>
      </c>
      <c r="F434" s="342" t="s">
        <v>40</v>
      </c>
      <c r="G434" s="342" t="s">
        <v>5283</v>
      </c>
      <c r="H434" s="342" t="s">
        <v>2319</v>
      </c>
      <c r="I434" s="342" t="s">
        <v>2072</v>
      </c>
      <c r="M434" s="342" t="s">
        <v>5283</v>
      </c>
      <c r="N434" s="342" t="s">
        <v>2073</v>
      </c>
      <c r="O434" s="342" t="s">
        <v>2074</v>
      </c>
      <c r="P434" s="342" t="s">
        <v>2075</v>
      </c>
      <c r="Q434" s="342">
        <v>2</v>
      </c>
      <c r="R434" s="342" t="s">
        <v>2076</v>
      </c>
      <c r="S434" s="344" t="s">
        <v>2320</v>
      </c>
      <c r="T434" s="342" t="s">
        <v>2099</v>
      </c>
      <c r="U434" s="342" t="s">
        <v>2321</v>
      </c>
    </row>
    <row r="435" spans="1:21">
      <c r="A435" s="342">
        <v>329207</v>
      </c>
      <c r="B435" s="342" t="s">
        <v>5109</v>
      </c>
      <c r="C435" s="342" t="s">
        <v>5110</v>
      </c>
      <c r="D435" s="342" t="s">
        <v>55</v>
      </c>
      <c r="E435" s="342" t="s">
        <v>591</v>
      </c>
      <c r="F435" s="342" t="s">
        <v>40</v>
      </c>
      <c r="G435" s="342" t="s">
        <v>1277</v>
      </c>
      <c r="H435" s="342" t="s">
        <v>2383</v>
      </c>
      <c r="I435" s="342" t="s">
        <v>2079</v>
      </c>
      <c r="J435" s="342" t="s">
        <v>5117</v>
      </c>
      <c r="L435" s="342" t="s">
        <v>5183</v>
      </c>
      <c r="M435" s="342" t="s">
        <v>1277</v>
      </c>
      <c r="N435" s="342" t="s">
        <v>2079</v>
      </c>
      <c r="O435" s="342" t="s">
        <v>2113</v>
      </c>
      <c r="Q435" s="342">
        <v>4</v>
      </c>
      <c r="R435" s="342" t="s">
        <v>2085</v>
      </c>
      <c r="S435" s="342" t="s">
        <v>2385</v>
      </c>
      <c r="T435" s="342" t="s">
        <v>2087</v>
      </c>
    </row>
    <row r="436" spans="1:21">
      <c r="A436" s="342">
        <v>329276</v>
      </c>
      <c r="B436" s="342" t="s">
        <v>4298</v>
      </c>
      <c r="C436" s="342" t="s">
        <v>4299</v>
      </c>
      <c r="D436" s="342" t="s">
        <v>175</v>
      </c>
      <c r="E436" s="342" t="s">
        <v>591</v>
      </c>
      <c r="F436" s="342" t="s">
        <v>40</v>
      </c>
      <c r="G436" s="342" t="s">
        <v>1288</v>
      </c>
      <c r="H436" s="342" t="s">
        <v>4353</v>
      </c>
      <c r="I436" s="342" t="s">
        <v>2090</v>
      </c>
      <c r="J436" s="342" t="s">
        <v>5141</v>
      </c>
      <c r="L436" s="342" t="s">
        <v>5141</v>
      </c>
      <c r="M436" s="342" t="s">
        <v>1288</v>
      </c>
      <c r="N436" s="342" t="s">
        <v>2090</v>
      </c>
      <c r="O436" s="342" t="s">
        <v>2214</v>
      </c>
      <c r="Q436" s="342" t="s">
        <v>2258</v>
      </c>
      <c r="S436" s="342" t="s">
        <v>4354</v>
      </c>
      <c r="T436" s="342" t="s">
        <v>2099</v>
      </c>
    </row>
    <row r="437" spans="1:21" ht="409.5">
      <c r="A437" s="342">
        <v>329752</v>
      </c>
      <c r="B437" s="342" t="s">
        <v>2141</v>
      </c>
      <c r="C437" s="342" t="s">
        <v>140</v>
      </c>
      <c r="D437" s="342" t="s">
        <v>45</v>
      </c>
      <c r="E437" s="342" t="s">
        <v>591</v>
      </c>
      <c r="F437" s="342" t="s">
        <v>40</v>
      </c>
      <c r="G437" s="342" t="s">
        <v>5283</v>
      </c>
      <c r="H437" s="342" t="s">
        <v>2141</v>
      </c>
      <c r="I437" s="342" t="s">
        <v>5016</v>
      </c>
      <c r="M437" s="342" t="s">
        <v>5283</v>
      </c>
      <c r="N437" s="342" t="s">
        <v>2073</v>
      </c>
      <c r="O437" s="342" t="s">
        <v>2074</v>
      </c>
      <c r="Q437" s="342">
        <v>2</v>
      </c>
      <c r="R437" s="342" t="s">
        <v>2076</v>
      </c>
      <c r="S437" s="344" t="s">
        <v>2496</v>
      </c>
      <c r="T437" s="342" t="s">
        <v>2099</v>
      </c>
      <c r="U437" s="344" t="s">
        <v>2142</v>
      </c>
    </row>
    <row r="438" spans="1:21" ht="280">
      <c r="A438" s="342">
        <v>330147</v>
      </c>
      <c r="B438" s="342" t="s">
        <v>4478</v>
      </c>
      <c r="C438" s="342" t="s">
        <v>1426</v>
      </c>
      <c r="D438" s="342" t="s">
        <v>175</v>
      </c>
      <c r="E438" s="342" t="s">
        <v>591</v>
      </c>
      <c r="F438" s="342" t="s">
        <v>40</v>
      </c>
      <c r="G438" s="342" t="s">
        <v>1510</v>
      </c>
      <c r="H438" s="342" t="s">
        <v>4502</v>
      </c>
      <c r="I438" s="342" t="s">
        <v>2090</v>
      </c>
      <c r="J438" s="344" t="s">
        <v>5188</v>
      </c>
      <c r="L438" s="342" t="s">
        <v>5181</v>
      </c>
      <c r="M438" s="342" t="s">
        <v>1510</v>
      </c>
      <c r="N438" s="342" t="s">
        <v>2090</v>
      </c>
      <c r="O438" s="342" t="s">
        <v>2214</v>
      </c>
      <c r="Q438" s="342">
        <v>3</v>
      </c>
      <c r="R438" s="342" t="s">
        <v>2133</v>
      </c>
      <c r="S438" s="342" t="s">
        <v>4504</v>
      </c>
      <c r="T438" s="342" t="s">
        <v>2099</v>
      </c>
      <c r="U438" s="342" t="s">
        <v>4505</v>
      </c>
    </row>
    <row r="439" spans="1:21">
      <c r="A439" s="342">
        <v>330169</v>
      </c>
      <c r="B439" s="342" t="s">
        <v>4508</v>
      </c>
      <c r="C439" s="342" t="s">
        <v>578</v>
      </c>
      <c r="D439" s="342" t="s">
        <v>452</v>
      </c>
      <c r="E439" s="342" t="s">
        <v>591</v>
      </c>
      <c r="F439" s="342" t="s">
        <v>40</v>
      </c>
      <c r="G439" s="342" t="s">
        <v>1510</v>
      </c>
      <c r="H439" s="342" t="s">
        <v>4520</v>
      </c>
      <c r="I439" s="342" t="s">
        <v>2090</v>
      </c>
      <c r="M439" s="342" t="s">
        <v>1510</v>
      </c>
      <c r="N439" s="342" t="s">
        <v>2090</v>
      </c>
      <c r="O439" s="342" t="s">
        <v>2214</v>
      </c>
      <c r="P439" s="342" t="s">
        <v>2215</v>
      </c>
      <c r="Q439" s="342">
        <v>3</v>
      </c>
      <c r="R439" s="342" t="s">
        <v>4521</v>
      </c>
      <c r="S439" s="342" t="s">
        <v>4522</v>
      </c>
      <c r="T439" s="342" t="s">
        <v>2099</v>
      </c>
    </row>
    <row r="440" spans="1:21" ht="409.5">
      <c r="A440" s="342">
        <v>330194</v>
      </c>
      <c r="B440" s="342" t="s">
        <v>4524</v>
      </c>
      <c r="C440" s="342" t="s">
        <v>4527</v>
      </c>
      <c r="D440" s="342" t="s">
        <v>107</v>
      </c>
      <c r="E440" s="342" t="s">
        <v>591</v>
      </c>
      <c r="F440" s="342" t="s">
        <v>40</v>
      </c>
      <c r="G440" s="342" t="s">
        <v>5280</v>
      </c>
      <c r="H440" s="342" t="s">
        <v>1265</v>
      </c>
      <c r="I440" s="342" t="s">
        <v>2072</v>
      </c>
      <c r="M440" s="342" t="s">
        <v>5280</v>
      </c>
      <c r="N440" s="342" t="s">
        <v>2073</v>
      </c>
      <c r="O440" s="342" t="s">
        <v>2074</v>
      </c>
      <c r="Q440" s="342">
        <v>3</v>
      </c>
      <c r="R440" s="342" t="s">
        <v>2076</v>
      </c>
      <c r="S440" s="344" t="s">
        <v>4875</v>
      </c>
      <c r="T440" s="342" t="s">
        <v>2077</v>
      </c>
    </row>
    <row r="441" spans="1:21" ht="98">
      <c r="A441" s="342">
        <v>330529</v>
      </c>
      <c r="B441" s="342" t="s">
        <v>5324</v>
      </c>
      <c r="C441" s="342" t="s">
        <v>302</v>
      </c>
      <c r="D441" s="342" t="s">
        <v>549</v>
      </c>
      <c r="E441" s="342" t="s">
        <v>591</v>
      </c>
      <c r="F441" s="342" t="s">
        <v>1114</v>
      </c>
      <c r="G441" s="342" t="s">
        <v>4608</v>
      </c>
      <c r="H441" s="342" t="s">
        <v>5337</v>
      </c>
      <c r="I441" s="342" t="s">
        <v>2128</v>
      </c>
      <c r="J441" s="344" t="s">
        <v>2129</v>
      </c>
      <c r="M441" s="342" t="s">
        <v>4608</v>
      </c>
      <c r="N441" s="342" t="s">
        <v>2128</v>
      </c>
      <c r="Q441" s="342">
        <v>1</v>
      </c>
      <c r="R441" s="342" t="s">
        <v>2087</v>
      </c>
      <c r="S441" s="342" t="s">
        <v>2094</v>
      </c>
    </row>
    <row r="442" spans="1:21" ht="266">
      <c r="A442" s="342">
        <v>330761</v>
      </c>
      <c r="B442" s="342" t="s">
        <v>5899</v>
      </c>
      <c r="C442" s="342" t="s">
        <v>336</v>
      </c>
      <c r="D442" s="342" t="s">
        <v>337</v>
      </c>
      <c r="E442" s="342" t="s">
        <v>591</v>
      </c>
      <c r="F442" s="342" t="s">
        <v>40</v>
      </c>
      <c r="G442" s="342" t="s">
        <v>5283</v>
      </c>
      <c r="H442" s="342" t="s">
        <v>2319</v>
      </c>
      <c r="I442" s="342" t="s">
        <v>2079</v>
      </c>
      <c r="J442" s="344" t="s">
        <v>5930</v>
      </c>
      <c r="L442" s="342" t="s">
        <v>5929</v>
      </c>
      <c r="M442" s="342" t="s">
        <v>5283</v>
      </c>
      <c r="N442" s="342" t="s">
        <v>2073</v>
      </c>
      <c r="O442" s="342" t="s">
        <v>2074</v>
      </c>
      <c r="P442" s="342" t="s">
        <v>2075</v>
      </c>
      <c r="Q442" s="342">
        <v>2</v>
      </c>
      <c r="R442" s="342" t="s">
        <v>2076</v>
      </c>
      <c r="S442" s="344" t="s">
        <v>2320</v>
      </c>
      <c r="T442" s="342" t="s">
        <v>2099</v>
      </c>
    </row>
    <row r="443" spans="1:21" ht="294">
      <c r="A443" s="342">
        <v>330802</v>
      </c>
      <c r="B443" s="342" t="s">
        <v>5170</v>
      </c>
      <c r="C443" s="342" t="s">
        <v>68</v>
      </c>
      <c r="D443" s="342" t="s">
        <v>47</v>
      </c>
      <c r="E443" s="342" t="s">
        <v>591</v>
      </c>
      <c r="F443" s="342" t="s">
        <v>40</v>
      </c>
      <c r="G443" s="342" t="s">
        <v>1510</v>
      </c>
      <c r="H443" s="342" t="s">
        <v>2166</v>
      </c>
      <c r="I443" s="342" t="s">
        <v>2072</v>
      </c>
      <c r="M443" s="342" t="s">
        <v>1510</v>
      </c>
      <c r="N443" s="342" t="s">
        <v>2073</v>
      </c>
      <c r="O443" s="342" t="s">
        <v>2113</v>
      </c>
      <c r="Q443" s="342">
        <v>4</v>
      </c>
      <c r="R443" s="342" t="s">
        <v>2085</v>
      </c>
      <c r="S443" s="344" t="s">
        <v>2167</v>
      </c>
      <c r="T443" s="342" t="s">
        <v>2087</v>
      </c>
      <c r="U443" s="342" t="s">
        <v>2168</v>
      </c>
    </row>
    <row r="444" spans="1:21">
      <c r="A444" s="342">
        <v>331014</v>
      </c>
      <c r="B444" s="342" t="s">
        <v>4609</v>
      </c>
      <c r="C444" s="342" t="s">
        <v>493</v>
      </c>
      <c r="D444" s="342" t="s">
        <v>51</v>
      </c>
      <c r="E444" s="342" t="s">
        <v>591</v>
      </c>
      <c r="F444" s="342" t="s">
        <v>1100</v>
      </c>
      <c r="G444" s="342" t="s">
        <v>1421</v>
      </c>
      <c r="H444" s="342" t="s">
        <v>4609</v>
      </c>
      <c r="I444" s="342" t="s">
        <v>2120</v>
      </c>
      <c r="L444" s="342" t="s">
        <v>5653</v>
      </c>
      <c r="M444" s="342" t="s">
        <v>1421</v>
      </c>
      <c r="N444" s="342" t="s">
        <v>2120</v>
      </c>
      <c r="Q444" s="342">
        <v>2</v>
      </c>
      <c r="R444" s="342" t="s">
        <v>2087</v>
      </c>
    </row>
    <row r="445" spans="1:21" ht="409.5">
      <c r="A445" s="342">
        <v>331544</v>
      </c>
      <c r="B445" s="342" t="s">
        <v>5364</v>
      </c>
      <c r="C445" s="342" t="s">
        <v>336</v>
      </c>
      <c r="D445" s="342" t="s">
        <v>337</v>
      </c>
      <c r="E445" s="342" t="s">
        <v>591</v>
      </c>
      <c r="F445" s="342" t="s">
        <v>40</v>
      </c>
      <c r="G445" s="342" t="s">
        <v>5281</v>
      </c>
      <c r="H445" s="342" t="s">
        <v>2365</v>
      </c>
      <c r="I445" s="342" t="s">
        <v>2072</v>
      </c>
      <c r="M445" s="342" t="s">
        <v>5281</v>
      </c>
      <c r="N445" s="342" t="s">
        <v>2367</v>
      </c>
      <c r="O445" s="342" t="s">
        <v>2116</v>
      </c>
      <c r="Q445" s="342">
        <v>3</v>
      </c>
      <c r="R445" s="342" t="s">
        <v>2133</v>
      </c>
      <c r="S445" s="344" t="s">
        <v>2368</v>
      </c>
      <c r="T445" s="342" t="s">
        <v>2087</v>
      </c>
      <c r="U445" s="342" t="s">
        <v>2369</v>
      </c>
    </row>
    <row r="446" spans="1:21">
      <c r="A446" s="342">
        <v>332214</v>
      </c>
      <c r="B446" s="342" t="s">
        <v>4973</v>
      </c>
      <c r="C446" s="342" t="s">
        <v>4975</v>
      </c>
      <c r="D446" s="342" t="s">
        <v>4976</v>
      </c>
      <c r="E446" s="342" t="s">
        <v>591</v>
      </c>
      <c r="F446" s="342" t="s">
        <v>40</v>
      </c>
      <c r="G446" s="342" t="s">
        <v>1421</v>
      </c>
      <c r="H446" s="342" t="s">
        <v>5017</v>
      </c>
      <c r="I446" s="342" t="s">
        <v>4805</v>
      </c>
      <c r="L446" s="342" t="s">
        <v>5654</v>
      </c>
      <c r="M446" s="342" t="s">
        <v>1421</v>
      </c>
      <c r="N446" s="342" t="s">
        <v>2258</v>
      </c>
      <c r="Q446" s="342">
        <v>2</v>
      </c>
    </row>
    <row r="447" spans="1:21" ht="98">
      <c r="A447" s="342">
        <v>332224</v>
      </c>
      <c r="B447" s="342" t="s">
        <v>5431</v>
      </c>
      <c r="C447" s="342" t="s">
        <v>918</v>
      </c>
      <c r="D447" s="342" t="s">
        <v>51</v>
      </c>
      <c r="E447" s="342" t="s">
        <v>591</v>
      </c>
      <c r="F447" s="342" t="s">
        <v>1114</v>
      </c>
      <c r="G447" s="342" t="s">
        <v>4608</v>
      </c>
      <c r="H447" s="342" t="s">
        <v>5585</v>
      </c>
      <c r="I447" s="342" t="s">
        <v>2128</v>
      </c>
      <c r="J447" s="344" t="s">
        <v>2129</v>
      </c>
      <c r="M447" s="342" t="s">
        <v>4608</v>
      </c>
      <c r="N447" s="342" t="s">
        <v>2128</v>
      </c>
      <c r="Q447" s="342">
        <v>1</v>
      </c>
      <c r="R447" s="342" t="s">
        <v>2087</v>
      </c>
      <c r="S447" s="342" t="s">
        <v>2094</v>
      </c>
    </row>
    <row r="448" spans="1:21" ht="98">
      <c r="A448" s="342">
        <v>332230</v>
      </c>
      <c r="B448" s="342" t="s">
        <v>5590</v>
      </c>
      <c r="C448" s="342" t="s">
        <v>5593</v>
      </c>
      <c r="D448" s="342" t="s">
        <v>97</v>
      </c>
      <c r="E448" s="342" t="s">
        <v>591</v>
      </c>
      <c r="F448" s="342" t="s">
        <v>1114</v>
      </c>
      <c r="G448" s="342" t="s">
        <v>1288</v>
      </c>
      <c r="H448" s="342" t="s">
        <v>5657</v>
      </c>
      <c r="I448" s="342" t="s">
        <v>2128</v>
      </c>
      <c r="J448" s="344" t="s">
        <v>2129</v>
      </c>
      <c r="M448" s="342" t="s">
        <v>1288</v>
      </c>
      <c r="N448" s="342" t="s">
        <v>2128</v>
      </c>
      <c r="Q448" s="342">
        <v>1</v>
      </c>
      <c r="R448" s="342" t="s">
        <v>2087</v>
      </c>
      <c r="S448" s="342" t="s">
        <v>2094</v>
      </c>
    </row>
    <row r="449" spans="1:21" ht="98">
      <c r="A449" s="342">
        <v>332422</v>
      </c>
      <c r="B449" s="342" t="s">
        <v>5595</v>
      </c>
      <c r="C449" s="342" t="s">
        <v>5597</v>
      </c>
      <c r="D449" s="342" t="s">
        <v>51</v>
      </c>
      <c r="E449" s="342" t="s">
        <v>591</v>
      </c>
      <c r="F449" s="342" t="s">
        <v>1114</v>
      </c>
      <c r="G449" s="342" t="s">
        <v>1288</v>
      </c>
      <c r="H449" s="342" t="s">
        <v>5658</v>
      </c>
      <c r="I449" s="342" t="s">
        <v>2128</v>
      </c>
      <c r="J449" s="344" t="s">
        <v>2129</v>
      </c>
      <c r="M449" s="342" t="s">
        <v>1288</v>
      </c>
      <c r="N449" s="342" t="s">
        <v>2128</v>
      </c>
      <c r="Q449" s="342">
        <v>1</v>
      </c>
      <c r="R449" s="342" t="s">
        <v>2087</v>
      </c>
      <c r="S449" s="342" t="s">
        <v>2094</v>
      </c>
    </row>
    <row r="450" spans="1:21">
      <c r="A450" s="342">
        <v>332469</v>
      </c>
      <c r="B450" s="342" t="s">
        <v>5452</v>
      </c>
      <c r="C450" s="342" t="s">
        <v>1589</v>
      </c>
      <c r="D450" s="342" t="s">
        <v>45</v>
      </c>
      <c r="E450" s="342" t="s">
        <v>591</v>
      </c>
      <c r="F450" s="342" t="s">
        <v>41</v>
      </c>
      <c r="G450" s="342" t="s">
        <v>1510</v>
      </c>
      <c r="H450" s="342" t="s">
        <v>5520</v>
      </c>
      <c r="I450" s="342" t="s">
        <v>2090</v>
      </c>
      <c r="M450" s="342" t="s">
        <v>1510</v>
      </c>
      <c r="N450" s="342" t="s">
        <v>2104</v>
      </c>
      <c r="Q450" s="342">
        <v>1</v>
      </c>
      <c r="R450" s="342" t="s">
        <v>2107</v>
      </c>
      <c r="S450" s="342" t="s">
        <v>5521</v>
      </c>
      <c r="T450" s="342" t="s">
        <v>2217</v>
      </c>
      <c r="U450" s="342" t="s">
        <v>5522</v>
      </c>
    </row>
    <row r="451" spans="1:21">
      <c r="A451" s="342">
        <v>332667</v>
      </c>
      <c r="B451" s="342" t="s">
        <v>5390</v>
      </c>
      <c r="C451" s="342" t="s">
        <v>5392</v>
      </c>
      <c r="D451" s="342" t="s">
        <v>47</v>
      </c>
      <c r="E451" s="342" t="s">
        <v>591</v>
      </c>
      <c r="F451" s="342" t="s">
        <v>1100</v>
      </c>
      <c r="G451" s="342" t="s">
        <v>4638</v>
      </c>
      <c r="H451" s="342" t="s">
        <v>5390</v>
      </c>
      <c r="I451" s="342" t="s">
        <v>2120</v>
      </c>
      <c r="M451" s="342" t="s">
        <v>4638</v>
      </c>
      <c r="N451" s="342" t="s">
        <v>2120</v>
      </c>
      <c r="Q451" s="342">
        <v>2</v>
      </c>
      <c r="S451" s="342" t="s">
        <v>5408</v>
      </c>
    </row>
    <row r="452" spans="1:21">
      <c r="A452" s="342">
        <v>333368</v>
      </c>
      <c r="B452" s="342" t="s">
        <v>5540</v>
      </c>
      <c r="C452" s="342" t="s">
        <v>5542</v>
      </c>
      <c r="D452" s="342" t="s">
        <v>47</v>
      </c>
      <c r="E452" s="342" t="s">
        <v>591</v>
      </c>
      <c r="F452" s="342" t="s">
        <v>737</v>
      </c>
      <c r="G452" s="342" t="s">
        <v>5280</v>
      </c>
    </row>
    <row r="453" spans="1:21" ht="409.5">
      <c r="A453" s="342">
        <v>333461</v>
      </c>
      <c r="B453" s="342" t="s">
        <v>5599</v>
      </c>
      <c r="C453" s="342" t="s">
        <v>5601</v>
      </c>
      <c r="D453" s="342" t="s">
        <v>51</v>
      </c>
      <c r="E453" s="342" t="s">
        <v>591</v>
      </c>
      <c r="F453" s="342" t="s">
        <v>40</v>
      </c>
      <c r="G453" s="342" t="s">
        <v>5281</v>
      </c>
      <c r="H453" s="342" t="s">
        <v>2365</v>
      </c>
      <c r="I453" s="342" t="s">
        <v>2079</v>
      </c>
      <c r="J453" s="342" t="s">
        <v>5666</v>
      </c>
      <c r="L453" s="342" t="s">
        <v>5655</v>
      </c>
      <c r="M453" s="342" t="s">
        <v>5281</v>
      </c>
      <c r="N453" s="342" t="s">
        <v>2367</v>
      </c>
      <c r="O453" s="342" t="s">
        <v>2116</v>
      </c>
      <c r="Q453" s="342">
        <v>3</v>
      </c>
      <c r="R453" s="342" t="s">
        <v>2133</v>
      </c>
      <c r="S453" s="344" t="s">
        <v>2368</v>
      </c>
      <c r="T453" s="342" t="s">
        <v>2087</v>
      </c>
      <c r="U453" s="342" t="s">
        <v>2369</v>
      </c>
    </row>
    <row r="454" spans="1:21" ht="409.5">
      <c r="A454" s="342">
        <v>333465</v>
      </c>
      <c r="B454" s="342" t="s">
        <v>5602</v>
      </c>
      <c r="C454" s="342" t="s">
        <v>195</v>
      </c>
      <c r="D454" s="342" t="s">
        <v>51</v>
      </c>
      <c r="E454" s="342" t="s">
        <v>591</v>
      </c>
      <c r="F454" s="342" t="s">
        <v>40</v>
      </c>
      <c r="G454" s="342" t="s">
        <v>5281</v>
      </c>
      <c r="H454" s="342" t="s">
        <v>2365</v>
      </c>
      <c r="I454" s="342" t="s">
        <v>2079</v>
      </c>
      <c r="J454" s="342" t="s">
        <v>5667</v>
      </c>
      <c r="L454" s="342" t="s">
        <v>5656</v>
      </c>
      <c r="M454" s="342" t="s">
        <v>5281</v>
      </c>
      <c r="N454" s="342" t="s">
        <v>2367</v>
      </c>
      <c r="O454" s="342" t="s">
        <v>2116</v>
      </c>
      <c r="Q454" s="342">
        <v>3</v>
      </c>
      <c r="R454" s="342" t="s">
        <v>2133</v>
      </c>
      <c r="S454" s="344" t="s">
        <v>2368</v>
      </c>
      <c r="T454" s="342" t="s">
        <v>2087</v>
      </c>
      <c r="U454" s="342" t="s">
        <v>2369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R454"/>
  <sheetViews>
    <sheetView topLeftCell="I1" workbookViewId="0">
      <selection activeCell="P1" sqref="P1:P1048576"/>
    </sheetView>
  </sheetViews>
  <sheetFormatPr baseColWidth="10" defaultRowHeight="14"/>
  <cols>
    <col min="1" max="16384" width="10.90625" style="342"/>
  </cols>
  <sheetData>
    <row r="1" spans="1:44">
      <c r="A1" s="342" t="s">
        <v>38</v>
      </c>
      <c r="B1" s="342" t="s">
        <v>15</v>
      </c>
      <c r="C1" s="342" t="s">
        <v>24</v>
      </c>
      <c r="D1" s="342" t="s">
        <v>25</v>
      </c>
      <c r="E1" s="342" t="s">
        <v>16</v>
      </c>
      <c r="F1" s="342" t="s">
        <v>17</v>
      </c>
      <c r="G1" s="342" t="s">
        <v>34</v>
      </c>
      <c r="H1" s="342" t="s">
        <v>37</v>
      </c>
      <c r="I1" s="342" t="s">
        <v>18</v>
      </c>
      <c r="J1" s="342" t="s">
        <v>19</v>
      </c>
      <c r="K1" s="342" t="s">
        <v>20</v>
      </c>
      <c r="L1" s="342" t="s">
        <v>21</v>
      </c>
      <c r="M1" s="342" t="s">
        <v>22</v>
      </c>
      <c r="N1" s="342" t="s">
        <v>785</v>
      </c>
      <c r="O1" s="342" t="s">
        <v>36</v>
      </c>
      <c r="P1" s="342" t="s">
        <v>35</v>
      </c>
      <c r="Q1" s="342" t="s">
        <v>3637</v>
      </c>
      <c r="R1" s="342" t="s">
        <v>4037</v>
      </c>
      <c r="S1" s="342" t="s">
        <v>4038</v>
      </c>
      <c r="T1" s="342" t="s">
        <v>23</v>
      </c>
      <c r="U1" s="342" t="s">
        <v>1099</v>
      </c>
      <c r="V1" s="342" t="s">
        <v>4039</v>
      </c>
      <c r="W1" s="342" t="s">
        <v>4040</v>
      </c>
      <c r="X1" s="342" t="s">
        <v>4041</v>
      </c>
      <c r="Y1" s="342" t="s">
        <v>4042</v>
      </c>
      <c r="Z1" s="342" t="s">
        <v>4043</v>
      </c>
      <c r="AA1" s="342" t="s">
        <v>4044</v>
      </c>
      <c r="AB1" s="342" t="s">
        <v>4045</v>
      </c>
      <c r="AC1" s="342" t="s">
        <v>4046</v>
      </c>
      <c r="AD1" s="342" t="s">
        <v>4047</v>
      </c>
      <c r="AE1" s="342" t="s">
        <v>4048</v>
      </c>
      <c r="AF1" s="342" t="s">
        <v>4049</v>
      </c>
      <c r="AG1" s="342" t="s">
        <v>4050</v>
      </c>
      <c r="AH1" s="342" t="s">
        <v>4051</v>
      </c>
      <c r="AI1" s="342" t="s">
        <v>4052</v>
      </c>
      <c r="AJ1" s="342" t="s">
        <v>4053</v>
      </c>
      <c r="AK1" s="342" t="s">
        <v>4054</v>
      </c>
      <c r="AL1" s="342" t="s">
        <v>4055</v>
      </c>
      <c r="AM1" s="342" t="s">
        <v>4056</v>
      </c>
      <c r="AN1" s="342" t="s">
        <v>4057</v>
      </c>
      <c r="AO1" s="342" t="s">
        <v>4058</v>
      </c>
      <c r="AP1" s="342" t="s">
        <v>4059</v>
      </c>
      <c r="AQ1" s="342" t="s">
        <v>4060</v>
      </c>
      <c r="AR1" s="342" t="s">
        <v>4061</v>
      </c>
    </row>
    <row r="2" spans="1:44">
      <c r="A2" s="342">
        <v>133572</v>
      </c>
      <c r="B2" s="342" t="s">
        <v>48</v>
      </c>
      <c r="C2" s="342" t="s">
        <v>49</v>
      </c>
      <c r="D2" s="342">
        <v>60191</v>
      </c>
      <c r="E2" s="342" t="s">
        <v>50</v>
      </c>
      <c r="F2" s="342" t="s">
        <v>51</v>
      </c>
      <c r="G2" s="342">
        <v>22826</v>
      </c>
      <c r="H2" s="342" t="s">
        <v>591</v>
      </c>
      <c r="I2" s="342" t="s">
        <v>737</v>
      </c>
      <c r="J2" s="342" t="s">
        <v>1510</v>
      </c>
      <c r="K2" s="342" t="s">
        <v>1233</v>
      </c>
      <c r="L2" s="343">
        <v>45322</v>
      </c>
      <c r="M2" s="343">
        <v>44224</v>
      </c>
      <c r="O2" s="342" t="s">
        <v>1070</v>
      </c>
      <c r="P2" s="342" t="s">
        <v>4816</v>
      </c>
      <c r="Q2" s="342">
        <v>6115943784</v>
      </c>
      <c r="R2" s="342" t="s">
        <v>1580</v>
      </c>
      <c r="U2" s="342" t="s">
        <v>4310</v>
      </c>
      <c r="V2" s="342" t="s">
        <v>4062</v>
      </c>
      <c r="W2" s="342">
        <v>228161</v>
      </c>
      <c r="X2" s="342" t="s">
        <v>4988</v>
      </c>
      <c r="Y2" s="343">
        <v>42494</v>
      </c>
      <c r="Z2" s="342" t="s">
        <v>4063</v>
      </c>
      <c r="AA2" s="343">
        <v>44224</v>
      </c>
      <c r="AB2" s="342" t="s">
        <v>4064</v>
      </c>
      <c r="AC2" s="342" t="s">
        <v>4064</v>
      </c>
      <c r="AD2" s="342" t="s">
        <v>4065</v>
      </c>
      <c r="AH2" s="342" t="s">
        <v>4066</v>
      </c>
      <c r="AI2" s="342" t="s">
        <v>4067</v>
      </c>
      <c r="AJ2" s="342" t="s">
        <v>6082</v>
      </c>
    </row>
    <row r="3" spans="1:44">
      <c r="A3" s="342">
        <v>133787</v>
      </c>
      <c r="B3" s="342" t="s">
        <v>52</v>
      </c>
      <c r="C3" s="342" t="s">
        <v>53</v>
      </c>
      <c r="D3" s="342">
        <v>55252</v>
      </c>
      <c r="E3" s="342" t="s">
        <v>54</v>
      </c>
      <c r="F3" s="342" t="s">
        <v>55</v>
      </c>
      <c r="G3" s="342" t="s">
        <v>791</v>
      </c>
      <c r="H3" s="342" t="s">
        <v>591</v>
      </c>
      <c r="I3" s="342" t="s">
        <v>40</v>
      </c>
      <c r="J3" s="342" t="s">
        <v>5278</v>
      </c>
      <c r="K3" s="342" t="s">
        <v>1402</v>
      </c>
      <c r="L3" s="343">
        <v>45199</v>
      </c>
      <c r="M3" s="343">
        <v>44648</v>
      </c>
      <c r="O3" s="342" t="s">
        <v>5543</v>
      </c>
      <c r="P3" s="342" t="s">
        <v>5684</v>
      </c>
      <c r="Q3" s="342">
        <v>6113417704</v>
      </c>
      <c r="R3" s="342">
        <v>9110</v>
      </c>
      <c r="V3" s="342" t="s">
        <v>2099</v>
      </c>
      <c r="W3" s="342">
        <v>229082</v>
      </c>
      <c r="X3" s="342" t="s">
        <v>4997</v>
      </c>
      <c r="Y3" s="343">
        <v>39419</v>
      </c>
      <c r="Z3" s="342" t="s">
        <v>4063</v>
      </c>
      <c r="AA3" s="343">
        <v>44648</v>
      </c>
      <c r="AB3" s="342" t="s">
        <v>4064</v>
      </c>
      <c r="AC3" s="342" t="s">
        <v>4064</v>
      </c>
      <c r="AD3" s="342" t="s">
        <v>4065</v>
      </c>
      <c r="AH3" s="342" t="s">
        <v>4068</v>
      </c>
      <c r="AI3" s="342" t="s">
        <v>4067</v>
      </c>
      <c r="AJ3" s="342" t="s">
        <v>5843</v>
      </c>
    </row>
    <row r="4" spans="1:44">
      <c r="A4" s="342">
        <v>133793</v>
      </c>
      <c r="B4" s="342" t="s">
        <v>56</v>
      </c>
      <c r="C4" s="342" t="s">
        <v>57</v>
      </c>
      <c r="D4" s="342" t="s">
        <v>58</v>
      </c>
      <c r="E4" s="342" t="s">
        <v>59</v>
      </c>
      <c r="F4" s="342" t="s">
        <v>51</v>
      </c>
      <c r="G4" s="342">
        <v>93835</v>
      </c>
      <c r="H4" s="342" t="s">
        <v>591</v>
      </c>
      <c r="I4" s="342" t="s">
        <v>40</v>
      </c>
      <c r="J4" s="342" t="s">
        <v>5278</v>
      </c>
      <c r="K4" s="342" t="s">
        <v>1402</v>
      </c>
      <c r="L4" s="343">
        <v>45199</v>
      </c>
      <c r="M4" s="343">
        <v>44648</v>
      </c>
      <c r="O4" s="342" t="s">
        <v>6010</v>
      </c>
      <c r="P4" s="342" t="s">
        <v>5951</v>
      </c>
      <c r="Q4" s="342">
        <v>6110804705</v>
      </c>
      <c r="R4" s="342">
        <v>9110</v>
      </c>
      <c r="V4" s="342" t="s">
        <v>2099</v>
      </c>
      <c r="W4" s="342">
        <v>70298</v>
      </c>
      <c r="X4" s="342" t="s">
        <v>4078</v>
      </c>
      <c r="Y4" s="343">
        <v>40065</v>
      </c>
      <c r="Z4" s="342" t="s">
        <v>4063</v>
      </c>
      <c r="AA4" s="343">
        <v>44648</v>
      </c>
      <c r="AB4" s="342" t="s">
        <v>4064</v>
      </c>
      <c r="AC4" s="342" t="s">
        <v>4064</v>
      </c>
      <c r="AD4" s="342" t="s">
        <v>4065</v>
      </c>
      <c r="AH4" s="342" t="s">
        <v>4069</v>
      </c>
      <c r="AI4" s="342" t="s">
        <v>4067</v>
      </c>
      <c r="AJ4" s="342" t="s">
        <v>5843</v>
      </c>
      <c r="AK4" s="342">
        <v>10094</v>
      </c>
    </row>
    <row r="5" spans="1:44">
      <c r="A5" s="342">
        <v>134187</v>
      </c>
      <c r="B5" s="342" t="s">
        <v>1256</v>
      </c>
      <c r="C5" s="342" t="s">
        <v>1257</v>
      </c>
      <c r="D5" s="342">
        <v>31770</v>
      </c>
      <c r="E5" s="342" t="s">
        <v>349</v>
      </c>
      <c r="F5" s="342" t="s">
        <v>47</v>
      </c>
      <c r="H5" s="342" t="s">
        <v>591</v>
      </c>
      <c r="I5" s="342" t="s">
        <v>40</v>
      </c>
      <c r="J5" s="342" t="s">
        <v>5278</v>
      </c>
      <c r="K5" s="342" t="s">
        <v>1233</v>
      </c>
      <c r="L5" s="343">
        <v>45596</v>
      </c>
      <c r="M5" s="343">
        <v>44629</v>
      </c>
      <c r="O5" s="342" t="s">
        <v>1305</v>
      </c>
      <c r="P5" s="342" t="s">
        <v>4874</v>
      </c>
      <c r="Q5" s="342">
        <v>6121456362</v>
      </c>
      <c r="R5" s="342">
        <v>9110</v>
      </c>
      <c r="U5" s="342" t="s">
        <v>5247</v>
      </c>
      <c r="V5" s="342" t="s">
        <v>2099</v>
      </c>
      <c r="W5" s="342">
        <v>227897</v>
      </c>
      <c r="X5" s="342" t="s">
        <v>5355</v>
      </c>
      <c r="Y5" s="343">
        <v>39479</v>
      </c>
      <c r="Z5" s="342" t="s">
        <v>4063</v>
      </c>
      <c r="AA5" s="343">
        <v>44629</v>
      </c>
      <c r="AB5" s="342" t="s">
        <v>4064</v>
      </c>
      <c r="AC5" s="343">
        <v>41789</v>
      </c>
      <c r="AD5" s="342" t="s">
        <v>4065</v>
      </c>
      <c r="AH5" s="342" t="s">
        <v>4070</v>
      </c>
      <c r="AI5" s="342" t="s">
        <v>4067</v>
      </c>
      <c r="AJ5" s="342" t="s">
        <v>5855</v>
      </c>
      <c r="AL5" s="342">
        <v>7344</v>
      </c>
      <c r="AM5" s="342" t="s">
        <v>4876</v>
      </c>
    </row>
    <row r="6" spans="1:44">
      <c r="A6" s="342">
        <v>134284</v>
      </c>
      <c r="B6" s="342" t="s">
        <v>60</v>
      </c>
      <c r="C6" s="342" t="s">
        <v>61</v>
      </c>
      <c r="D6" s="342">
        <v>92835</v>
      </c>
      <c r="E6" s="342" t="s">
        <v>62</v>
      </c>
      <c r="F6" s="342" t="s">
        <v>51</v>
      </c>
      <c r="G6" s="342">
        <v>80477</v>
      </c>
      <c r="H6" s="342" t="s">
        <v>591</v>
      </c>
      <c r="I6" s="342" t="s">
        <v>40</v>
      </c>
      <c r="J6" s="342" t="s">
        <v>786</v>
      </c>
      <c r="K6" s="342" t="s">
        <v>1233</v>
      </c>
      <c r="L6" s="343">
        <v>45657</v>
      </c>
      <c r="M6" s="343">
        <v>44536</v>
      </c>
      <c r="O6" s="342" t="s">
        <v>5067</v>
      </c>
      <c r="P6" s="342" t="s">
        <v>5685</v>
      </c>
      <c r="Q6" s="342">
        <v>6109944524</v>
      </c>
      <c r="R6" s="342">
        <v>9110</v>
      </c>
      <c r="V6" s="342" t="s">
        <v>2099</v>
      </c>
      <c r="W6" s="342">
        <v>70005</v>
      </c>
      <c r="X6" s="342" t="s">
        <v>4753</v>
      </c>
      <c r="Y6" s="343">
        <v>39419</v>
      </c>
      <c r="Z6" s="342" t="s">
        <v>4063</v>
      </c>
      <c r="AA6" s="343">
        <v>44536</v>
      </c>
      <c r="AB6" s="342" t="s">
        <v>4064</v>
      </c>
      <c r="AC6" s="342" t="s">
        <v>4064</v>
      </c>
      <c r="AD6" s="342" t="s">
        <v>4065</v>
      </c>
      <c r="AH6" s="342" t="s">
        <v>4071</v>
      </c>
      <c r="AI6" s="342" t="s">
        <v>4067</v>
      </c>
      <c r="AJ6" s="342" t="s">
        <v>5880</v>
      </c>
      <c r="AK6" s="342">
        <v>10170</v>
      </c>
    </row>
    <row r="7" spans="1:44">
      <c r="A7" s="342">
        <v>134634</v>
      </c>
      <c r="B7" s="342" t="s">
        <v>1586</v>
      </c>
      <c r="C7" s="342" t="s">
        <v>1587</v>
      </c>
      <c r="D7" s="342" t="s">
        <v>1588</v>
      </c>
      <c r="E7" s="342" t="s">
        <v>1589</v>
      </c>
      <c r="F7" s="342" t="s">
        <v>45</v>
      </c>
      <c r="G7" s="342" t="s">
        <v>1590</v>
      </c>
      <c r="H7" s="342" t="s">
        <v>591</v>
      </c>
      <c r="I7" s="342" t="s">
        <v>40</v>
      </c>
      <c r="J7" s="342" t="s">
        <v>5280</v>
      </c>
      <c r="K7" s="342" t="s">
        <v>1402</v>
      </c>
      <c r="L7" s="343">
        <v>44865</v>
      </c>
      <c r="M7" s="343">
        <v>44113</v>
      </c>
      <c r="O7" s="342" t="s">
        <v>4810</v>
      </c>
      <c r="P7" s="342" t="s">
        <v>5917</v>
      </c>
      <c r="Q7" s="342">
        <v>6119287103</v>
      </c>
      <c r="R7" s="342">
        <v>9110</v>
      </c>
      <c r="U7" s="342" t="s">
        <v>2028</v>
      </c>
      <c r="V7" s="342" t="s">
        <v>2099</v>
      </c>
      <c r="W7" s="342">
        <v>300330</v>
      </c>
      <c r="X7" s="342" t="s">
        <v>5338</v>
      </c>
      <c r="Y7" s="343">
        <v>44113</v>
      </c>
      <c r="Z7" s="342" t="s">
        <v>4063</v>
      </c>
      <c r="AA7" s="343">
        <v>44113</v>
      </c>
      <c r="AB7" s="342" t="s">
        <v>4064</v>
      </c>
      <c r="AC7" s="342" t="s">
        <v>4064</v>
      </c>
      <c r="AD7" s="342" t="s">
        <v>4065</v>
      </c>
      <c r="AI7" s="342" t="s">
        <v>4067</v>
      </c>
      <c r="AJ7" s="342" t="s">
        <v>5843</v>
      </c>
    </row>
    <row r="8" spans="1:44">
      <c r="A8" s="342">
        <v>134654</v>
      </c>
      <c r="B8" s="342" t="s">
        <v>1458</v>
      </c>
      <c r="C8" s="342" t="s">
        <v>1117</v>
      </c>
      <c r="D8" s="342">
        <v>37600</v>
      </c>
      <c r="E8" s="342" t="s">
        <v>63</v>
      </c>
      <c r="F8" s="342" t="s">
        <v>47</v>
      </c>
      <c r="G8" s="342" t="s">
        <v>1459</v>
      </c>
      <c r="H8" s="342" t="s">
        <v>591</v>
      </c>
      <c r="I8" s="342" t="s">
        <v>40</v>
      </c>
      <c r="J8" s="342" t="s">
        <v>5280</v>
      </c>
      <c r="K8" s="342" t="s">
        <v>1233</v>
      </c>
      <c r="L8" s="343">
        <v>45230</v>
      </c>
      <c r="M8" s="343">
        <v>44319</v>
      </c>
      <c r="O8" s="342" t="s">
        <v>4356</v>
      </c>
      <c r="P8" s="342" t="s">
        <v>5686</v>
      </c>
      <c r="Q8" s="342">
        <v>6113918261</v>
      </c>
      <c r="R8" s="342">
        <v>9110</v>
      </c>
      <c r="U8" s="342" t="s">
        <v>5316</v>
      </c>
      <c r="V8" s="342" t="s">
        <v>2099</v>
      </c>
      <c r="W8" s="342">
        <v>204763</v>
      </c>
      <c r="X8" s="342" t="s">
        <v>4437</v>
      </c>
      <c r="Y8" s="343">
        <v>42383</v>
      </c>
      <c r="Z8" s="342" t="s">
        <v>4063</v>
      </c>
      <c r="AA8" s="343">
        <v>44319</v>
      </c>
      <c r="AB8" s="342" t="s">
        <v>4064</v>
      </c>
      <c r="AC8" s="342" t="s">
        <v>4064</v>
      </c>
      <c r="AD8" s="342" t="s">
        <v>4065</v>
      </c>
      <c r="AI8" s="342" t="s">
        <v>4067</v>
      </c>
      <c r="AJ8" s="342" t="s">
        <v>5853</v>
      </c>
      <c r="AK8" s="342">
        <v>10227</v>
      </c>
    </row>
    <row r="9" spans="1:44">
      <c r="A9" s="342">
        <v>134661</v>
      </c>
      <c r="B9" s="342" t="s">
        <v>1397</v>
      </c>
      <c r="C9" s="342" t="s">
        <v>64</v>
      </c>
      <c r="D9" s="342">
        <v>16130</v>
      </c>
      <c r="E9" s="342" t="s">
        <v>65</v>
      </c>
      <c r="F9" s="342" t="s">
        <v>47</v>
      </c>
      <c r="H9" s="342" t="s">
        <v>591</v>
      </c>
      <c r="I9" s="342" t="s">
        <v>40</v>
      </c>
      <c r="J9" s="342" t="s">
        <v>5449</v>
      </c>
      <c r="K9" s="342" t="s">
        <v>1402</v>
      </c>
      <c r="L9" s="343">
        <v>45350</v>
      </c>
      <c r="M9" s="343">
        <v>44434</v>
      </c>
      <c r="O9" s="342" t="s">
        <v>6011</v>
      </c>
      <c r="P9" s="342" t="s">
        <v>5687</v>
      </c>
      <c r="Q9" s="342">
        <v>6130653622</v>
      </c>
      <c r="R9" s="342">
        <v>9110</v>
      </c>
      <c r="V9" s="342" t="s">
        <v>2099</v>
      </c>
      <c r="W9" s="342">
        <v>300395</v>
      </c>
      <c r="X9" s="342" t="s">
        <v>5523</v>
      </c>
      <c r="Y9" s="343">
        <v>40759</v>
      </c>
      <c r="Z9" s="342" t="s">
        <v>4063</v>
      </c>
      <c r="AA9" s="343">
        <v>44434</v>
      </c>
      <c r="AB9" s="342" t="s">
        <v>4064</v>
      </c>
      <c r="AC9" s="342" t="s">
        <v>4064</v>
      </c>
      <c r="AD9" s="342" t="s">
        <v>4065</v>
      </c>
      <c r="AH9" s="342" t="s">
        <v>4072</v>
      </c>
      <c r="AI9" s="342" t="s">
        <v>4067</v>
      </c>
      <c r="AJ9" s="342" t="s">
        <v>5847</v>
      </c>
    </row>
    <row r="10" spans="1:44">
      <c r="A10" s="342">
        <v>134816</v>
      </c>
      <c r="B10" s="342" t="s">
        <v>792</v>
      </c>
      <c r="C10" s="342" t="s">
        <v>793</v>
      </c>
      <c r="D10" s="342">
        <v>78400</v>
      </c>
      <c r="E10" s="342" t="s">
        <v>794</v>
      </c>
      <c r="F10" s="342" t="s">
        <v>47</v>
      </c>
      <c r="G10" s="342" t="s">
        <v>795</v>
      </c>
      <c r="H10" s="342" t="s">
        <v>591</v>
      </c>
      <c r="I10" s="342" t="s">
        <v>737</v>
      </c>
      <c r="J10" s="342" t="s">
        <v>5280</v>
      </c>
      <c r="K10" s="342" t="s">
        <v>5218</v>
      </c>
      <c r="L10" s="343">
        <v>45382</v>
      </c>
      <c r="M10" s="343">
        <v>44649</v>
      </c>
      <c r="O10" s="342" t="s">
        <v>1070</v>
      </c>
      <c r="P10" s="342" t="s">
        <v>5688</v>
      </c>
      <c r="Q10" s="342">
        <v>6111400467</v>
      </c>
      <c r="R10" s="342" t="s">
        <v>1580</v>
      </c>
      <c r="V10" s="342" t="s">
        <v>4062</v>
      </c>
      <c r="W10" s="342">
        <v>203562</v>
      </c>
      <c r="X10" s="342" t="s">
        <v>4106</v>
      </c>
      <c r="Y10" s="343">
        <v>42817</v>
      </c>
      <c r="Z10" s="342" t="s">
        <v>4063</v>
      </c>
      <c r="AA10" s="343">
        <v>44649</v>
      </c>
      <c r="AB10" s="342" t="s">
        <v>4064</v>
      </c>
      <c r="AC10" s="342" t="s">
        <v>4064</v>
      </c>
      <c r="AD10" s="342" t="s">
        <v>4065</v>
      </c>
      <c r="AH10" s="342" t="s">
        <v>4069</v>
      </c>
      <c r="AI10" s="342" t="s">
        <v>4067</v>
      </c>
      <c r="AJ10" s="342" t="s">
        <v>6083</v>
      </c>
    </row>
    <row r="11" spans="1:44">
      <c r="A11" s="342">
        <v>134956</v>
      </c>
      <c r="B11" s="342" t="s">
        <v>2504</v>
      </c>
      <c r="C11" s="342" t="s">
        <v>2505</v>
      </c>
      <c r="D11" s="342" t="s">
        <v>2506</v>
      </c>
      <c r="E11" s="342" t="s">
        <v>2507</v>
      </c>
      <c r="F11" s="342" t="s">
        <v>45</v>
      </c>
      <c r="G11" s="342" t="s">
        <v>2508</v>
      </c>
      <c r="H11" s="342" t="s">
        <v>591</v>
      </c>
      <c r="I11" s="342" t="s">
        <v>40</v>
      </c>
      <c r="J11" s="342" t="s">
        <v>5278</v>
      </c>
      <c r="K11" s="342" t="s">
        <v>1233</v>
      </c>
      <c r="L11" s="343">
        <v>45107</v>
      </c>
      <c r="M11" s="343">
        <v>44145</v>
      </c>
      <c r="O11" s="342" t="s">
        <v>5344</v>
      </c>
      <c r="P11" s="342" t="s">
        <v>5051</v>
      </c>
      <c r="Q11" s="342">
        <v>6115240649</v>
      </c>
      <c r="R11" s="342">
        <v>9110</v>
      </c>
      <c r="V11" s="342" t="s">
        <v>2099</v>
      </c>
      <c r="W11" s="342">
        <v>100033</v>
      </c>
      <c r="X11" s="342" t="s">
        <v>4244</v>
      </c>
      <c r="Y11" s="343">
        <v>39419</v>
      </c>
      <c r="Z11" s="342" t="s">
        <v>4063</v>
      </c>
      <c r="AA11" s="343">
        <v>44145</v>
      </c>
      <c r="AB11" s="342" t="s">
        <v>4064</v>
      </c>
      <c r="AC11" s="342" t="s">
        <v>4064</v>
      </c>
      <c r="AD11" s="342" t="s">
        <v>4065</v>
      </c>
      <c r="AH11" s="342" t="s">
        <v>4069</v>
      </c>
      <c r="AI11" s="342" t="s">
        <v>4067</v>
      </c>
      <c r="AJ11" s="342" t="s">
        <v>5857</v>
      </c>
      <c r="AK11" s="342">
        <v>25752</v>
      </c>
    </row>
    <row r="12" spans="1:44">
      <c r="A12" s="342">
        <v>135149</v>
      </c>
      <c r="B12" s="342" t="s">
        <v>1340</v>
      </c>
      <c r="C12" s="342" t="s">
        <v>1341</v>
      </c>
      <c r="D12" s="342">
        <v>28199</v>
      </c>
      <c r="E12" s="342" t="s">
        <v>559</v>
      </c>
      <c r="F12" s="342" t="s">
        <v>55</v>
      </c>
      <c r="G12" s="342" t="s">
        <v>1342</v>
      </c>
      <c r="H12" s="342" t="s">
        <v>591</v>
      </c>
      <c r="I12" s="342" t="s">
        <v>40</v>
      </c>
      <c r="J12" s="342" t="s">
        <v>1277</v>
      </c>
      <c r="L12" s="343">
        <v>44804</v>
      </c>
      <c r="M12" s="343">
        <v>43700</v>
      </c>
      <c r="O12" s="342" t="s">
        <v>1343</v>
      </c>
      <c r="P12" s="342" t="s">
        <v>5689</v>
      </c>
      <c r="Q12" s="342">
        <v>6114876946</v>
      </c>
      <c r="R12" s="342">
        <v>9110</v>
      </c>
      <c r="U12" s="342" t="s">
        <v>2029</v>
      </c>
      <c r="V12" s="342" t="s">
        <v>2099</v>
      </c>
      <c r="W12" s="342">
        <v>70235</v>
      </c>
      <c r="X12" s="342" t="s">
        <v>4418</v>
      </c>
      <c r="Y12" s="343">
        <v>41353</v>
      </c>
      <c r="Z12" s="342" t="s">
        <v>4063</v>
      </c>
      <c r="AA12" s="343">
        <v>43700</v>
      </c>
      <c r="AB12" s="342" t="s">
        <v>4064</v>
      </c>
      <c r="AC12" s="342" t="s">
        <v>4064</v>
      </c>
      <c r="AD12" s="342" t="s">
        <v>4065</v>
      </c>
      <c r="AH12" s="342" t="s">
        <v>4071</v>
      </c>
      <c r="AI12" s="342" t="s">
        <v>4067</v>
      </c>
      <c r="AJ12" s="342" t="s">
        <v>6084</v>
      </c>
      <c r="AK12" s="342">
        <v>37872</v>
      </c>
    </row>
    <row r="13" spans="1:44">
      <c r="A13" s="342">
        <v>135638</v>
      </c>
      <c r="B13" s="342" t="s">
        <v>4962</v>
      </c>
      <c r="C13" s="342" t="s">
        <v>4963</v>
      </c>
      <c r="D13" s="342">
        <v>39645</v>
      </c>
      <c r="E13" s="342" t="s">
        <v>4964</v>
      </c>
      <c r="F13" s="342" t="s">
        <v>51</v>
      </c>
      <c r="G13" s="342" t="s">
        <v>4965</v>
      </c>
      <c r="H13" s="342" t="s">
        <v>1194</v>
      </c>
      <c r="I13" s="342" t="s">
        <v>40</v>
      </c>
      <c r="J13" s="342" t="s">
        <v>1277</v>
      </c>
      <c r="L13" s="343">
        <v>44880</v>
      </c>
      <c r="M13" s="342" t="s">
        <v>5604</v>
      </c>
      <c r="N13" s="343">
        <v>44742</v>
      </c>
      <c r="R13" s="342">
        <v>9110</v>
      </c>
      <c r="W13" s="342">
        <v>351638</v>
      </c>
      <c r="X13" s="342" t="s">
        <v>4537</v>
      </c>
      <c r="AD13" s="342" t="s">
        <v>4065</v>
      </c>
      <c r="AI13" s="342" t="s">
        <v>4111</v>
      </c>
      <c r="AJ13" s="342" t="s">
        <v>5064</v>
      </c>
    </row>
    <row r="14" spans="1:44">
      <c r="A14" s="342">
        <v>135671</v>
      </c>
      <c r="B14" s="342" t="s">
        <v>67</v>
      </c>
      <c r="C14" s="342" t="s">
        <v>796</v>
      </c>
      <c r="D14" s="342">
        <v>31700</v>
      </c>
      <c r="E14" s="342" t="s">
        <v>68</v>
      </c>
      <c r="F14" s="342" t="s">
        <v>47</v>
      </c>
      <c r="H14" s="342" t="s">
        <v>591</v>
      </c>
      <c r="I14" s="342" t="s">
        <v>41</v>
      </c>
      <c r="J14" s="342" t="s">
        <v>1421</v>
      </c>
      <c r="K14" s="342" t="s">
        <v>1402</v>
      </c>
      <c r="L14" s="343">
        <v>44895</v>
      </c>
      <c r="M14" s="343">
        <v>44519</v>
      </c>
      <c r="O14" s="342" t="s">
        <v>5669</v>
      </c>
      <c r="Q14" s="342">
        <v>6143646260</v>
      </c>
      <c r="R14" s="342">
        <v>9110</v>
      </c>
      <c r="S14" s="342" t="s">
        <v>4862</v>
      </c>
      <c r="V14" s="342" t="s">
        <v>2217</v>
      </c>
      <c r="W14" s="342">
        <v>228880</v>
      </c>
      <c r="X14" s="342" t="s">
        <v>4991</v>
      </c>
      <c r="Y14" s="343">
        <v>39419</v>
      </c>
      <c r="Z14" s="342" t="s">
        <v>4063</v>
      </c>
      <c r="AA14" s="343">
        <v>44519</v>
      </c>
      <c r="AB14" s="342" t="s">
        <v>4064</v>
      </c>
      <c r="AC14" s="342" t="s">
        <v>4064</v>
      </c>
      <c r="AD14" s="342" t="s">
        <v>4065</v>
      </c>
      <c r="AI14" s="342" t="s">
        <v>4067</v>
      </c>
      <c r="AJ14" s="342" t="s">
        <v>6085</v>
      </c>
    </row>
    <row r="15" spans="1:44">
      <c r="A15" s="342">
        <v>135673</v>
      </c>
      <c r="B15" s="342" t="s">
        <v>646</v>
      </c>
      <c r="C15" s="342" t="s">
        <v>69</v>
      </c>
      <c r="D15" s="342">
        <v>95747</v>
      </c>
      <c r="E15" s="342" t="s">
        <v>647</v>
      </c>
      <c r="F15" s="342" t="s">
        <v>47</v>
      </c>
      <c r="H15" s="342" t="s">
        <v>591</v>
      </c>
      <c r="I15" s="342" t="s">
        <v>40</v>
      </c>
      <c r="J15" s="342" t="s">
        <v>1421</v>
      </c>
      <c r="K15" s="342" t="s">
        <v>1402</v>
      </c>
      <c r="L15" s="343">
        <v>44895</v>
      </c>
      <c r="M15" s="343">
        <v>44522</v>
      </c>
      <c r="O15" s="342" t="s">
        <v>5670</v>
      </c>
      <c r="R15" s="342">
        <v>9110</v>
      </c>
      <c r="S15" s="342" t="s">
        <v>1568</v>
      </c>
      <c r="V15" s="342" t="s">
        <v>2099</v>
      </c>
      <c r="W15" s="342">
        <v>228111</v>
      </c>
      <c r="X15" s="342" t="s">
        <v>4991</v>
      </c>
      <c r="Y15" s="343">
        <v>39419</v>
      </c>
      <c r="Z15" s="342" t="s">
        <v>4063</v>
      </c>
      <c r="AA15" s="343">
        <v>44522</v>
      </c>
      <c r="AB15" s="342" t="s">
        <v>4064</v>
      </c>
      <c r="AC15" s="342" t="s">
        <v>4064</v>
      </c>
      <c r="AD15" s="342" t="s">
        <v>4065</v>
      </c>
      <c r="AH15" s="342" t="s">
        <v>4071</v>
      </c>
      <c r="AI15" s="342" t="s">
        <v>4067</v>
      </c>
      <c r="AJ15" s="342" t="s">
        <v>5843</v>
      </c>
    </row>
    <row r="16" spans="1:44">
      <c r="A16" s="342">
        <v>135729</v>
      </c>
      <c r="B16" s="342" t="s">
        <v>70</v>
      </c>
      <c r="C16" s="342" t="s">
        <v>1113</v>
      </c>
      <c r="D16" s="342">
        <v>38360</v>
      </c>
      <c r="E16" s="342" t="s">
        <v>71</v>
      </c>
      <c r="F16" s="342" t="s">
        <v>47</v>
      </c>
      <c r="G16" s="342" t="s">
        <v>797</v>
      </c>
      <c r="H16" s="342" t="s">
        <v>591</v>
      </c>
      <c r="I16" s="342" t="s">
        <v>40</v>
      </c>
      <c r="J16" s="342" t="s">
        <v>1277</v>
      </c>
      <c r="K16" s="342" t="s">
        <v>1233</v>
      </c>
      <c r="L16" s="343">
        <v>45688</v>
      </c>
      <c r="M16" s="343">
        <v>44589</v>
      </c>
      <c r="O16" s="342" t="s">
        <v>1313</v>
      </c>
      <c r="P16" s="342" t="s">
        <v>5579</v>
      </c>
      <c r="Q16" s="342">
        <v>6123761864</v>
      </c>
      <c r="R16" s="342">
        <v>9110</v>
      </c>
      <c r="V16" s="342" t="s">
        <v>2099</v>
      </c>
      <c r="W16" s="342">
        <v>70284</v>
      </c>
      <c r="X16" s="342" t="s">
        <v>5146</v>
      </c>
      <c r="Y16" s="343">
        <v>41926</v>
      </c>
      <c r="Z16" s="342" t="s">
        <v>4063</v>
      </c>
      <c r="AA16" s="343">
        <v>44589</v>
      </c>
      <c r="AB16" s="342" t="s">
        <v>4064</v>
      </c>
      <c r="AC16" s="342" t="s">
        <v>4064</v>
      </c>
      <c r="AD16" s="342" t="s">
        <v>4065</v>
      </c>
      <c r="AH16" s="342" t="s">
        <v>4069</v>
      </c>
      <c r="AI16" s="342" t="s">
        <v>4067</v>
      </c>
      <c r="AJ16" s="342" t="s">
        <v>5876</v>
      </c>
      <c r="AK16" s="342">
        <v>10424</v>
      </c>
    </row>
    <row r="17" spans="1:37">
      <c r="A17" s="342">
        <v>135762</v>
      </c>
      <c r="B17" s="342" t="s">
        <v>4355</v>
      </c>
      <c r="C17" s="342" t="s">
        <v>72</v>
      </c>
      <c r="D17" s="342">
        <v>92353</v>
      </c>
      <c r="E17" s="342" t="s">
        <v>73</v>
      </c>
      <c r="F17" s="342" t="s">
        <v>47</v>
      </c>
      <c r="G17" s="342" t="s">
        <v>798</v>
      </c>
      <c r="H17" s="342" t="s">
        <v>591</v>
      </c>
      <c r="I17" s="342" t="s">
        <v>40</v>
      </c>
      <c r="J17" s="342" t="s">
        <v>1336</v>
      </c>
      <c r="K17" s="342" t="s">
        <v>1233</v>
      </c>
      <c r="L17" s="343">
        <v>45716</v>
      </c>
      <c r="M17" s="343">
        <v>44616</v>
      </c>
      <c r="O17" s="342" t="s">
        <v>4423</v>
      </c>
      <c r="P17" s="342" t="s">
        <v>2516</v>
      </c>
      <c r="Q17" s="342">
        <v>6119811760</v>
      </c>
      <c r="R17" s="342">
        <v>9110</v>
      </c>
      <c r="V17" s="342" t="s">
        <v>2099</v>
      </c>
      <c r="W17" s="342">
        <v>30118</v>
      </c>
      <c r="X17" s="342" t="s">
        <v>4073</v>
      </c>
      <c r="Y17" s="343">
        <v>39765</v>
      </c>
      <c r="Z17" s="342" t="s">
        <v>4063</v>
      </c>
      <c r="AA17" s="343">
        <v>44616</v>
      </c>
      <c r="AB17" s="342" t="s">
        <v>4064</v>
      </c>
      <c r="AC17" s="342" t="s">
        <v>4064</v>
      </c>
      <c r="AD17" s="342" t="s">
        <v>4065</v>
      </c>
      <c r="AH17" s="342" t="s">
        <v>4069</v>
      </c>
      <c r="AI17" s="342" t="s">
        <v>4067</v>
      </c>
      <c r="AJ17" s="342" t="s">
        <v>5845</v>
      </c>
      <c r="AK17" s="342">
        <v>10430</v>
      </c>
    </row>
    <row r="18" spans="1:37">
      <c r="A18" s="342">
        <v>135873</v>
      </c>
      <c r="B18" s="342" t="s">
        <v>603</v>
      </c>
      <c r="C18" s="342" t="s">
        <v>1206</v>
      </c>
      <c r="D18" s="342">
        <v>31707</v>
      </c>
      <c r="E18" s="342" t="s">
        <v>68</v>
      </c>
      <c r="F18" s="342" t="s">
        <v>47</v>
      </c>
      <c r="G18" s="342" t="s">
        <v>799</v>
      </c>
      <c r="H18" s="342" t="s">
        <v>591</v>
      </c>
      <c r="I18" s="342" t="s">
        <v>40</v>
      </c>
      <c r="J18" s="342" t="s">
        <v>1421</v>
      </c>
      <c r="K18" s="342" t="s">
        <v>1402</v>
      </c>
      <c r="L18" s="343">
        <v>45596</v>
      </c>
      <c r="M18" s="343">
        <v>44491</v>
      </c>
      <c r="O18" s="342" t="s">
        <v>5544</v>
      </c>
      <c r="P18" s="342" t="s">
        <v>4831</v>
      </c>
      <c r="Q18" s="342">
        <v>6114493727</v>
      </c>
      <c r="R18" s="342">
        <v>9100</v>
      </c>
      <c r="V18" s="342" t="s">
        <v>2099</v>
      </c>
      <c r="W18" s="342">
        <v>300173</v>
      </c>
      <c r="X18" s="342" t="s">
        <v>5409</v>
      </c>
      <c r="Y18" s="343">
        <v>42087</v>
      </c>
      <c r="Z18" s="342" t="s">
        <v>4063</v>
      </c>
      <c r="AA18" s="343">
        <v>44491</v>
      </c>
      <c r="AB18" s="342" t="s">
        <v>4064</v>
      </c>
      <c r="AC18" s="342" t="s">
        <v>4064</v>
      </c>
      <c r="AD18" s="342" t="s">
        <v>4065</v>
      </c>
      <c r="AI18" s="342" t="s">
        <v>4067</v>
      </c>
      <c r="AJ18" s="342" t="s">
        <v>5850</v>
      </c>
    </row>
    <row r="19" spans="1:37">
      <c r="A19" s="342">
        <v>135907</v>
      </c>
      <c r="B19" s="342" t="s">
        <v>1430</v>
      </c>
      <c r="C19" s="342" t="s">
        <v>1431</v>
      </c>
      <c r="D19" s="342" t="s">
        <v>1432</v>
      </c>
      <c r="E19" s="342" t="s">
        <v>1433</v>
      </c>
      <c r="F19" s="342" t="s">
        <v>51</v>
      </c>
      <c r="G19" s="342" t="s">
        <v>1434</v>
      </c>
      <c r="H19" s="342" t="s">
        <v>591</v>
      </c>
      <c r="I19" s="342" t="s">
        <v>40</v>
      </c>
      <c r="J19" s="342" t="s">
        <v>5283</v>
      </c>
      <c r="K19" s="342" t="s">
        <v>1233</v>
      </c>
      <c r="L19" s="343">
        <v>45230</v>
      </c>
      <c r="M19" s="343">
        <v>44316</v>
      </c>
      <c r="O19" s="342" t="s">
        <v>5259</v>
      </c>
      <c r="P19" s="342" t="s">
        <v>5918</v>
      </c>
      <c r="Q19" s="342">
        <v>6111880249</v>
      </c>
      <c r="R19" s="342">
        <v>9110</v>
      </c>
      <c r="U19" s="342" t="s">
        <v>2543</v>
      </c>
      <c r="V19" s="342" t="s">
        <v>2099</v>
      </c>
      <c r="W19" s="342">
        <v>70018</v>
      </c>
      <c r="X19" s="342" t="s">
        <v>4641</v>
      </c>
      <c r="Y19" s="343">
        <v>44166</v>
      </c>
      <c r="Z19" s="342" t="s">
        <v>4063</v>
      </c>
      <c r="AA19" s="343">
        <v>44316</v>
      </c>
      <c r="AB19" s="342" t="s">
        <v>4064</v>
      </c>
      <c r="AC19" s="342" t="s">
        <v>4064</v>
      </c>
      <c r="AD19" s="342" t="s">
        <v>4065</v>
      </c>
      <c r="AH19" s="342" t="s">
        <v>4069</v>
      </c>
      <c r="AI19" s="342" t="s">
        <v>4067</v>
      </c>
      <c r="AJ19" s="342" t="s">
        <v>5886</v>
      </c>
      <c r="AK19" s="342">
        <v>10457</v>
      </c>
    </row>
    <row r="20" spans="1:37">
      <c r="A20" s="342">
        <v>135938</v>
      </c>
      <c r="B20" s="342" t="s">
        <v>75</v>
      </c>
      <c r="C20" s="342" t="s">
        <v>76</v>
      </c>
      <c r="D20" s="342" t="s">
        <v>77</v>
      </c>
      <c r="E20" s="342" t="s">
        <v>78</v>
      </c>
      <c r="F20" s="342" t="s">
        <v>45</v>
      </c>
      <c r="G20" s="342" t="s">
        <v>800</v>
      </c>
      <c r="H20" s="342" t="s">
        <v>591</v>
      </c>
      <c r="I20" s="342" t="s">
        <v>40</v>
      </c>
      <c r="J20" s="342" t="s">
        <v>1277</v>
      </c>
      <c r="K20" s="342" t="s">
        <v>1233</v>
      </c>
      <c r="L20" s="343">
        <v>45473</v>
      </c>
      <c r="M20" s="343">
        <v>44375</v>
      </c>
      <c r="O20" s="342" t="s">
        <v>4590</v>
      </c>
      <c r="P20" s="342" t="s">
        <v>1533</v>
      </c>
      <c r="Q20" s="342">
        <v>6115049141</v>
      </c>
      <c r="R20" s="342">
        <v>9110</v>
      </c>
      <c r="T20" s="342" t="s">
        <v>2030</v>
      </c>
      <c r="V20" s="342" t="s">
        <v>2099</v>
      </c>
      <c r="W20" s="342">
        <v>228729</v>
      </c>
      <c r="X20" s="342" t="s">
        <v>4074</v>
      </c>
      <c r="Y20" s="343">
        <v>39419</v>
      </c>
      <c r="Z20" s="342" t="s">
        <v>4063</v>
      </c>
      <c r="AA20" s="343">
        <v>44375</v>
      </c>
      <c r="AB20" s="342" t="s">
        <v>4064</v>
      </c>
      <c r="AC20" s="342" t="s">
        <v>4064</v>
      </c>
      <c r="AD20" s="342" t="s">
        <v>4065</v>
      </c>
      <c r="AH20" s="342" t="s">
        <v>4075</v>
      </c>
      <c r="AI20" s="342" t="s">
        <v>4067</v>
      </c>
      <c r="AJ20" s="342" t="s">
        <v>5853</v>
      </c>
    </row>
    <row r="21" spans="1:37">
      <c r="A21" s="342">
        <v>136036</v>
      </c>
      <c r="B21" s="342" t="s">
        <v>79</v>
      </c>
      <c r="C21" s="342" t="s">
        <v>80</v>
      </c>
      <c r="D21" s="342" t="s">
        <v>81</v>
      </c>
      <c r="E21" s="342" t="s">
        <v>82</v>
      </c>
      <c r="F21" s="342" t="s">
        <v>45</v>
      </c>
      <c r="G21" s="342" t="s">
        <v>801</v>
      </c>
      <c r="H21" s="342" t="s">
        <v>591</v>
      </c>
      <c r="I21" s="342" t="s">
        <v>40</v>
      </c>
      <c r="J21" s="342" t="s">
        <v>5450</v>
      </c>
      <c r="L21" s="343">
        <v>44926</v>
      </c>
      <c r="M21" s="343">
        <v>44186</v>
      </c>
      <c r="O21" s="342" t="s">
        <v>4591</v>
      </c>
      <c r="P21" s="342" t="s">
        <v>5690</v>
      </c>
      <c r="Q21" s="342">
        <v>6113498024</v>
      </c>
      <c r="R21" s="342">
        <v>9110</v>
      </c>
      <c r="V21" s="342" t="s">
        <v>2099</v>
      </c>
      <c r="W21" s="342">
        <v>70020</v>
      </c>
      <c r="X21" s="342" t="s">
        <v>5235</v>
      </c>
      <c r="Y21" s="343">
        <v>39765</v>
      </c>
      <c r="Z21" s="342" t="s">
        <v>4063</v>
      </c>
      <c r="AA21" s="343">
        <v>44186</v>
      </c>
      <c r="AB21" s="342" t="s">
        <v>4064</v>
      </c>
      <c r="AC21" s="342" t="s">
        <v>4064</v>
      </c>
      <c r="AD21" s="342" t="s">
        <v>4065</v>
      </c>
      <c r="AH21" s="342" t="s">
        <v>4069</v>
      </c>
      <c r="AI21" s="342" t="s">
        <v>4067</v>
      </c>
      <c r="AJ21" s="342" t="s">
        <v>6002</v>
      </c>
      <c r="AK21" s="342">
        <v>10499</v>
      </c>
    </row>
    <row r="22" spans="1:37">
      <c r="A22" s="342">
        <v>136086</v>
      </c>
      <c r="B22" s="342" t="s">
        <v>1105</v>
      </c>
      <c r="C22" s="342" t="s">
        <v>1106</v>
      </c>
      <c r="D22" s="342" t="s">
        <v>1107</v>
      </c>
      <c r="E22" s="342" t="s">
        <v>1108</v>
      </c>
      <c r="F22" s="342" t="s">
        <v>45</v>
      </c>
      <c r="G22" s="342" t="s">
        <v>1109</v>
      </c>
      <c r="H22" s="342" t="s">
        <v>591</v>
      </c>
      <c r="I22" s="342" t="s">
        <v>1114</v>
      </c>
      <c r="J22" s="342" t="s">
        <v>1288</v>
      </c>
      <c r="K22" s="342" t="s">
        <v>1233</v>
      </c>
      <c r="L22" s="343">
        <v>45046</v>
      </c>
      <c r="M22" s="343">
        <v>44316</v>
      </c>
      <c r="P22" s="342" t="s">
        <v>4612</v>
      </c>
      <c r="Q22" s="342">
        <v>6120121562</v>
      </c>
      <c r="R22" s="342">
        <v>9120</v>
      </c>
      <c r="V22" s="342" t="s">
        <v>2131</v>
      </c>
      <c r="W22" s="342">
        <v>229318</v>
      </c>
      <c r="X22" s="342" t="s">
        <v>4992</v>
      </c>
      <c r="Y22" s="343">
        <v>43054</v>
      </c>
      <c r="Z22" s="342" t="s">
        <v>4063</v>
      </c>
      <c r="AA22" s="343">
        <v>44316</v>
      </c>
      <c r="AB22" s="342" t="s">
        <v>4064</v>
      </c>
      <c r="AC22" s="342" t="s">
        <v>4064</v>
      </c>
      <c r="AD22" s="342" t="s">
        <v>4065</v>
      </c>
      <c r="AI22" s="342" t="s">
        <v>4067</v>
      </c>
      <c r="AJ22" s="342" t="s">
        <v>5851</v>
      </c>
    </row>
    <row r="23" spans="1:37">
      <c r="A23" s="342">
        <v>136746</v>
      </c>
      <c r="B23" s="342" t="s">
        <v>1118</v>
      </c>
      <c r="C23" s="342" t="s">
        <v>1119</v>
      </c>
      <c r="D23" s="342" t="s">
        <v>1120</v>
      </c>
      <c r="E23" s="342" t="s">
        <v>1121</v>
      </c>
      <c r="F23" s="342" t="s">
        <v>45</v>
      </c>
      <c r="G23" s="342" t="s">
        <v>1122</v>
      </c>
      <c r="H23" s="342" t="s">
        <v>591</v>
      </c>
      <c r="I23" s="342" t="s">
        <v>40</v>
      </c>
      <c r="J23" s="342" t="s">
        <v>5450</v>
      </c>
      <c r="K23" s="342" t="s">
        <v>1233</v>
      </c>
      <c r="L23" s="343">
        <v>45077</v>
      </c>
      <c r="M23" s="343">
        <v>44705</v>
      </c>
      <c r="O23" s="342" t="s">
        <v>5902</v>
      </c>
      <c r="P23" s="342" t="s">
        <v>5691</v>
      </c>
      <c r="Q23" s="342">
        <v>6115216644</v>
      </c>
      <c r="R23" s="342">
        <v>9110</v>
      </c>
      <c r="V23" s="342" t="s">
        <v>2099</v>
      </c>
      <c r="W23" s="342">
        <v>226039</v>
      </c>
      <c r="X23" s="342" t="s">
        <v>4076</v>
      </c>
      <c r="Y23" s="343">
        <v>43062</v>
      </c>
      <c r="Z23" s="342" t="s">
        <v>4063</v>
      </c>
      <c r="AA23" s="343">
        <v>44705</v>
      </c>
      <c r="AB23" s="342" t="s">
        <v>4064</v>
      </c>
      <c r="AC23" s="342" t="s">
        <v>4064</v>
      </c>
      <c r="AD23" s="342" t="s">
        <v>4065</v>
      </c>
      <c r="AH23" s="342" t="s">
        <v>4069</v>
      </c>
      <c r="AI23" s="342" t="s">
        <v>4067</v>
      </c>
      <c r="AJ23" s="342" t="s">
        <v>5862</v>
      </c>
      <c r="AK23" s="342">
        <v>35078</v>
      </c>
    </row>
    <row r="24" spans="1:37">
      <c r="A24" s="342">
        <v>137256</v>
      </c>
      <c r="B24" s="342" t="s">
        <v>83</v>
      </c>
      <c r="C24" s="342" t="s">
        <v>84</v>
      </c>
      <c r="D24" s="342" t="s">
        <v>85</v>
      </c>
      <c r="E24" s="342" t="s">
        <v>86</v>
      </c>
      <c r="F24" s="342" t="s">
        <v>51</v>
      </c>
      <c r="G24" s="342" t="s">
        <v>802</v>
      </c>
      <c r="H24" s="342" t="s">
        <v>591</v>
      </c>
      <c r="I24" s="342" t="s">
        <v>40</v>
      </c>
      <c r="J24" s="342" t="s">
        <v>1421</v>
      </c>
      <c r="K24" s="342" t="s">
        <v>1402</v>
      </c>
      <c r="L24" s="343">
        <v>45596</v>
      </c>
      <c r="M24" s="343">
        <v>44491</v>
      </c>
      <c r="O24" s="342" t="s">
        <v>4681</v>
      </c>
      <c r="P24" s="342" t="s">
        <v>1534</v>
      </c>
      <c r="Q24" s="342">
        <v>6114137148</v>
      </c>
      <c r="R24" s="342">
        <v>9100</v>
      </c>
      <c r="V24" s="342" t="s">
        <v>2099</v>
      </c>
      <c r="W24" s="342">
        <v>301531</v>
      </c>
      <c r="X24" s="342" t="s">
        <v>4991</v>
      </c>
      <c r="Y24" s="343">
        <v>40310</v>
      </c>
      <c r="Z24" s="342" t="s">
        <v>4063</v>
      </c>
      <c r="AA24" s="343">
        <v>44491</v>
      </c>
      <c r="AB24" s="342" t="s">
        <v>4064</v>
      </c>
      <c r="AC24" s="342" t="s">
        <v>4064</v>
      </c>
      <c r="AD24" s="342" t="s">
        <v>4065</v>
      </c>
      <c r="AI24" s="342" t="s">
        <v>4067</v>
      </c>
      <c r="AJ24" s="342" t="s">
        <v>5867</v>
      </c>
    </row>
    <row r="25" spans="1:37">
      <c r="A25" s="342">
        <v>137312</v>
      </c>
      <c r="B25" s="342" t="s">
        <v>1236</v>
      </c>
      <c r="C25" s="342" t="s">
        <v>1237</v>
      </c>
      <c r="D25" s="342" t="s">
        <v>1238</v>
      </c>
      <c r="E25" s="342" t="s">
        <v>1239</v>
      </c>
      <c r="F25" s="342" t="s">
        <v>51</v>
      </c>
      <c r="G25" s="342">
        <v>97424</v>
      </c>
      <c r="H25" s="342" t="s">
        <v>591</v>
      </c>
      <c r="I25" s="342" t="s">
        <v>40</v>
      </c>
      <c r="J25" s="342" t="s">
        <v>5450</v>
      </c>
      <c r="K25" s="342" t="s">
        <v>1233</v>
      </c>
      <c r="L25" s="343">
        <v>44926</v>
      </c>
      <c r="M25" s="343">
        <v>44727</v>
      </c>
      <c r="O25" s="342" t="s">
        <v>1489</v>
      </c>
      <c r="P25" s="342" t="s">
        <v>4685</v>
      </c>
      <c r="Q25" s="342">
        <v>6120159327</v>
      </c>
      <c r="R25" s="342">
        <v>9110</v>
      </c>
      <c r="U25" s="342" t="s">
        <v>2031</v>
      </c>
      <c r="V25" s="342" t="s">
        <v>2099</v>
      </c>
      <c r="W25" s="342">
        <v>301616</v>
      </c>
      <c r="X25" s="342" t="s">
        <v>5524</v>
      </c>
      <c r="Y25" s="343">
        <v>43714</v>
      </c>
      <c r="Z25" s="342" t="s">
        <v>4063</v>
      </c>
      <c r="AA25" s="343">
        <v>44727</v>
      </c>
      <c r="AB25" s="342" t="s">
        <v>4064</v>
      </c>
      <c r="AC25" s="342" t="s">
        <v>4064</v>
      </c>
      <c r="AD25" s="342" t="s">
        <v>4065</v>
      </c>
      <c r="AI25" s="342" t="s">
        <v>4067</v>
      </c>
      <c r="AJ25" s="342" t="s">
        <v>5844</v>
      </c>
    </row>
    <row r="26" spans="1:37">
      <c r="A26" s="342">
        <v>137721</v>
      </c>
      <c r="B26" s="342" t="s">
        <v>4253</v>
      </c>
      <c r="C26" s="342" t="s">
        <v>4254</v>
      </c>
      <c r="D26" s="342">
        <v>82370</v>
      </c>
      <c r="E26" s="342" t="s">
        <v>4255</v>
      </c>
      <c r="F26" s="342" t="s">
        <v>47</v>
      </c>
      <c r="G26" s="342" t="s">
        <v>4256</v>
      </c>
      <c r="H26" s="342" t="s">
        <v>591</v>
      </c>
      <c r="I26" s="342" t="s">
        <v>40</v>
      </c>
      <c r="J26" s="342" t="s">
        <v>1288</v>
      </c>
      <c r="K26" s="342" t="s">
        <v>1233</v>
      </c>
      <c r="L26" s="343">
        <v>45230</v>
      </c>
      <c r="M26" s="343">
        <v>44509</v>
      </c>
      <c r="O26" s="342" t="s">
        <v>5545</v>
      </c>
      <c r="P26" s="342" t="s">
        <v>5489</v>
      </c>
      <c r="Q26" s="342">
        <v>6145590644</v>
      </c>
      <c r="R26" s="342">
        <v>9110</v>
      </c>
      <c r="V26" s="342" t="s">
        <v>2099</v>
      </c>
      <c r="W26" s="342">
        <v>228948</v>
      </c>
      <c r="X26" s="342" t="s">
        <v>5410</v>
      </c>
      <c r="Y26" s="343">
        <v>39419</v>
      </c>
      <c r="Z26" s="342" t="s">
        <v>4063</v>
      </c>
      <c r="AA26" s="343">
        <v>44509</v>
      </c>
      <c r="AB26" s="343">
        <v>41986</v>
      </c>
      <c r="AC26" s="342" t="s">
        <v>4064</v>
      </c>
      <c r="AD26" s="342" t="s">
        <v>4065</v>
      </c>
      <c r="AI26" s="342" t="s">
        <v>4067</v>
      </c>
      <c r="AJ26" s="342" t="s">
        <v>5886</v>
      </c>
    </row>
    <row r="27" spans="1:37">
      <c r="A27" s="342">
        <v>137765</v>
      </c>
      <c r="B27" s="342" t="s">
        <v>1168</v>
      </c>
      <c r="C27" s="342" t="s">
        <v>87</v>
      </c>
      <c r="D27" s="342">
        <v>82205</v>
      </c>
      <c r="E27" s="342" t="s">
        <v>88</v>
      </c>
      <c r="F27" s="342" t="s">
        <v>55</v>
      </c>
      <c r="G27" s="342" t="s">
        <v>803</v>
      </c>
      <c r="H27" s="342" t="s">
        <v>591</v>
      </c>
      <c r="I27" s="342" t="s">
        <v>40</v>
      </c>
      <c r="J27" s="342" t="s">
        <v>4608</v>
      </c>
      <c r="K27" s="342" t="s">
        <v>1233</v>
      </c>
      <c r="L27" s="343">
        <v>44985</v>
      </c>
      <c r="M27" s="343">
        <v>44250</v>
      </c>
      <c r="O27" s="342" t="s">
        <v>4828</v>
      </c>
      <c r="P27" s="342" t="s">
        <v>6072</v>
      </c>
      <c r="Q27" s="342">
        <v>6115932944</v>
      </c>
      <c r="R27" s="342">
        <v>9110</v>
      </c>
      <c r="V27" s="342" t="s">
        <v>2099</v>
      </c>
      <c r="W27" s="342">
        <v>70032</v>
      </c>
      <c r="X27" s="342" t="s">
        <v>5321</v>
      </c>
      <c r="Y27" s="343">
        <v>39419</v>
      </c>
      <c r="Z27" s="342" t="s">
        <v>4063</v>
      </c>
      <c r="AA27" s="343">
        <v>44250</v>
      </c>
      <c r="AB27" s="342" t="s">
        <v>4064</v>
      </c>
      <c r="AC27" s="342" t="s">
        <v>4064</v>
      </c>
      <c r="AD27" s="342" t="s">
        <v>4065</v>
      </c>
      <c r="AH27" s="342" t="s">
        <v>4069</v>
      </c>
      <c r="AI27" s="342" t="s">
        <v>4067</v>
      </c>
      <c r="AJ27" s="342" t="s">
        <v>5856</v>
      </c>
      <c r="AK27" s="342">
        <v>19397</v>
      </c>
    </row>
    <row r="28" spans="1:37">
      <c r="A28" s="342">
        <v>137768</v>
      </c>
      <c r="B28" s="342" t="s">
        <v>1168</v>
      </c>
      <c r="C28" s="342" t="s">
        <v>89</v>
      </c>
      <c r="D28" s="342">
        <v>1109</v>
      </c>
      <c r="E28" s="342" t="s">
        <v>90</v>
      </c>
      <c r="F28" s="342" t="s">
        <v>55</v>
      </c>
      <c r="G28" s="342" t="s">
        <v>804</v>
      </c>
      <c r="H28" s="342" t="s">
        <v>591</v>
      </c>
      <c r="I28" s="342" t="s">
        <v>40</v>
      </c>
      <c r="J28" s="342" t="s">
        <v>4608</v>
      </c>
      <c r="K28" s="342" t="s">
        <v>1233</v>
      </c>
      <c r="L28" s="343">
        <v>44985</v>
      </c>
      <c r="M28" s="343">
        <v>44250</v>
      </c>
      <c r="O28" s="342" t="s">
        <v>4829</v>
      </c>
      <c r="P28" s="342" t="s">
        <v>6072</v>
      </c>
      <c r="Q28" s="342">
        <v>6115932960</v>
      </c>
      <c r="R28" s="342">
        <v>9110</v>
      </c>
      <c r="T28" s="342" t="s">
        <v>2032</v>
      </c>
      <c r="V28" s="342" t="s">
        <v>2099</v>
      </c>
      <c r="W28" s="342">
        <v>228889</v>
      </c>
      <c r="X28" s="342" t="s">
        <v>4993</v>
      </c>
      <c r="Y28" s="343">
        <v>39419</v>
      </c>
      <c r="Z28" s="342" t="s">
        <v>4063</v>
      </c>
      <c r="AA28" s="343">
        <v>44250</v>
      </c>
      <c r="AB28" s="342" t="s">
        <v>4064</v>
      </c>
      <c r="AC28" s="342" t="s">
        <v>4064</v>
      </c>
      <c r="AD28" s="342" t="s">
        <v>4065</v>
      </c>
      <c r="AH28" s="342" t="s">
        <v>4077</v>
      </c>
      <c r="AI28" s="342" t="s">
        <v>4067</v>
      </c>
      <c r="AJ28" s="342" t="s">
        <v>5856</v>
      </c>
      <c r="AK28" s="342">
        <v>10883</v>
      </c>
    </row>
    <row r="29" spans="1:37">
      <c r="A29" s="342">
        <v>138307</v>
      </c>
      <c r="B29" s="342" t="s">
        <v>1234</v>
      </c>
      <c r="C29" s="342" t="s">
        <v>1197</v>
      </c>
      <c r="D29" s="342">
        <v>44117</v>
      </c>
      <c r="E29" s="342" t="s">
        <v>1198</v>
      </c>
      <c r="F29" s="342" t="s">
        <v>51</v>
      </c>
      <c r="G29" s="342">
        <v>59875</v>
      </c>
      <c r="H29" s="342" t="s">
        <v>591</v>
      </c>
      <c r="I29" s="342" t="s">
        <v>40</v>
      </c>
      <c r="J29" s="342" t="s">
        <v>5279</v>
      </c>
      <c r="K29" s="342" t="s">
        <v>1402</v>
      </c>
      <c r="L29" s="343">
        <v>45291</v>
      </c>
      <c r="M29" s="343">
        <v>44547</v>
      </c>
      <c r="O29" s="342" t="s">
        <v>6012</v>
      </c>
      <c r="P29" s="342" t="s">
        <v>1535</v>
      </c>
      <c r="Q29" s="342">
        <v>6113579448</v>
      </c>
      <c r="R29" s="342">
        <v>9110</v>
      </c>
      <c r="V29" s="342" t="s">
        <v>2099</v>
      </c>
      <c r="W29" s="342">
        <v>307762</v>
      </c>
      <c r="X29" s="342" t="s">
        <v>5386</v>
      </c>
      <c r="Y29" s="343">
        <v>43307</v>
      </c>
      <c r="Z29" s="342" t="s">
        <v>4063</v>
      </c>
      <c r="AA29" s="343">
        <v>44547</v>
      </c>
      <c r="AB29" s="342" t="s">
        <v>4064</v>
      </c>
      <c r="AC29" s="342" t="s">
        <v>4064</v>
      </c>
      <c r="AD29" s="342" t="s">
        <v>4065</v>
      </c>
      <c r="AI29" s="342" t="s">
        <v>4067</v>
      </c>
      <c r="AJ29" s="342" t="s">
        <v>5868</v>
      </c>
    </row>
    <row r="30" spans="1:37">
      <c r="A30" s="342">
        <v>138579</v>
      </c>
      <c r="B30" s="342" t="s">
        <v>1220</v>
      </c>
      <c r="C30" s="342" t="s">
        <v>91</v>
      </c>
      <c r="D30" s="342">
        <v>49241</v>
      </c>
      <c r="E30" s="342" t="s">
        <v>92</v>
      </c>
      <c r="F30" s="342" t="s">
        <v>47</v>
      </c>
      <c r="G30" s="342" t="s">
        <v>805</v>
      </c>
      <c r="H30" s="342" t="s">
        <v>591</v>
      </c>
      <c r="I30" s="342" t="s">
        <v>40</v>
      </c>
      <c r="J30" s="342" t="s">
        <v>5283</v>
      </c>
      <c r="K30" s="342" t="s">
        <v>1233</v>
      </c>
      <c r="L30" s="343">
        <v>45230</v>
      </c>
      <c r="M30" s="343">
        <v>44316</v>
      </c>
      <c r="O30" s="342" t="s">
        <v>4231</v>
      </c>
      <c r="P30" s="342" t="s">
        <v>5984</v>
      </c>
      <c r="Q30" s="342">
        <v>6115403606</v>
      </c>
      <c r="R30" s="342">
        <v>9110</v>
      </c>
      <c r="V30" s="342" t="s">
        <v>2099</v>
      </c>
      <c r="W30" s="342">
        <v>70034</v>
      </c>
      <c r="X30" s="342" t="s">
        <v>4106</v>
      </c>
      <c r="Y30" s="343">
        <v>39766</v>
      </c>
      <c r="Z30" s="342" t="s">
        <v>4063</v>
      </c>
      <c r="AA30" s="343">
        <v>44316</v>
      </c>
      <c r="AB30" s="342" t="s">
        <v>4064</v>
      </c>
      <c r="AC30" s="342" t="s">
        <v>4064</v>
      </c>
      <c r="AD30" s="342" t="s">
        <v>4065</v>
      </c>
      <c r="AH30" s="342" t="s">
        <v>4069</v>
      </c>
      <c r="AI30" s="342" t="s">
        <v>4067</v>
      </c>
      <c r="AJ30" s="342" t="s">
        <v>5874</v>
      </c>
      <c r="AK30" s="342">
        <v>14992</v>
      </c>
    </row>
    <row r="31" spans="1:37">
      <c r="A31" s="342">
        <v>138708</v>
      </c>
      <c r="B31" s="342" t="s">
        <v>1279</v>
      </c>
      <c r="C31" s="342" t="s">
        <v>1280</v>
      </c>
      <c r="D31" s="342">
        <v>69469</v>
      </c>
      <c r="E31" s="342" t="s">
        <v>1281</v>
      </c>
      <c r="F31" s="342" t="s">
        <v>55</v>
      </c>
      <c r="G31" s="342" t="s">
        <v>1282</v>
      </c>
      <c r="H31" s="342" t="s">
        <v>591</v>
      </c>
      <c r="I31" s="342" t="s">
        <v>40</v>
      </c>
      <c r="J31" s="342" t="s">
        <v>1277</v>
      </c>
      <c r="K31" s="342" t="s">
        <v>1402</v>
      </c>
      <c r="L31" s="343">
        <v>45716</v>
      </c>
      <c r="M31" s="343">
        <v>44603</v>
      </c>
      <c r="O31" s="342" t="s">
        <v>1283</v>
      </c>
      <c r="P31" s="342" t="s">
        <v>4627</v>
      </c>
      <c r="Q31" s="342">
        <v>6120129920</v>
      </c>
      <c r="R31" s="342">
        <v>9110</v>
      </c>
      <c r="U31" s="342" t="s">
        <v>2033</v>
      </c>
      <c r="V31" s="342" t="s">
        <v>2099</v>
      </c>
      <c r="W31" s="342">
        <v>70035</v>
      </c>
      <c r="X31" s="342" t="s">
        <v>4078</v>
      </c>
      <c r="Y31" s="343">
        <v>39419</v>
      </c>
      <c r="Z31" s="342" t="s">
        <v>4063</v>
      </c>
      <c r="AA31" s="343">
        <v>44603</v>
      </c>
      <c r="AB31" s="342" t="s">
        <v>4064</v>
      </c>
      <c r="AC31" s="342" t="s">
        <v>4064</v>
      </c>
      <c r="AD31" s="342" t="s">
        <v>4065</v>
      </c>
      <c r="AH31" s="342" t="s">
        <v>4069</v>
      </c>
      <c r="AI31" s="342" t="s">
        <v>4067</v>
      </c>
      <c r="AJ31" s="342" t="s">
        <v>6007</v>
      </c>
      <c r="AK31" s="342">
        <v>10216</v>
      </c>
    </row>
    <row r="32" spans="1:37">
      <c r="A32" s="342">
        <v>138812</v>
      </c>
      <c r="B32" s="342" t="s">
        <v>5938</v>
      </c>
      <c r="C32" s="342" t="s">
        <v>5939</v>
      </c>
      <c r="D32" s="342">
        <v>20539</v>
      </c>
      <c r="E32" s="342" t="s">
        <v>74</v>
      </c>
      <c r="F32" s="342" t="s">
        <v>55</v>
      </c>
      <c r="G32" s="342" t="s">
        <v>5940</v>
      </c>
      <c r="H32" s="342" t="s">
        <v>591</v>
      </c>
      <c r="I32" s="342" t="s">
        <v>737</v>
      </c>
      <c r="J32" s="342" t="s">
        <v>1277</v>
      </c>
      <c r="K32" s="342" t="s">
        <v>1402</v>
      </c>
      <c r="L32" s="343">
        <v>45443</v>
      </c>
      <c r="M32" s="343">
        <v>44761</v>
      </c>
      <c r="Q32" s="342">
        <v>6123674760</v>
      </c>
      <c r="R32" s="342">
        <v>9120</v>
      </c>
      <c r="V32" s="342" t="s">
        <v>4062</v>
      </c>
      <c r="W32" s="342">
        <v>300233</v>
      </c>
      <c r="X32" s="342" t="s">
        <v>4990</v>
      </c>
      <c r="Y32" s="343">
        <v>44757</v>
      </c>
      <c r="Z32" s="342" t="s">
        <v>4063</v>
      </c>
      <c r="AA32" s="343">
        <v>44761</v>
      </c>
      <c r="AB32" s="342" t="s">
        <v>4064</v>
      </c>
      <c r="AC32" s="342" t="s">
        <v>4064</v>
      </c>
      <c r="AD32" s="342" t="s">
        <v>4065</v>
      </c>
      <c r="AE32" s="342" t="s">
        <v>5968</v>
      </c>
      <c r="AF32" s="342" t="s">
        <v>5969</v>
      </c>
      <c r="AG32" s="342" t="s">
        <v>5970</v>
      </c>
      <c r="AH32" s="342" t="s">
        <v>4107</v>
      </c>
      <c r="AI32" s="342" t="s">
        <v>4067</v>
      </c>
      <c r="AJ32" s="342" t="s">
        <v>5882</v>
      </c>
      <c r="AK32" s="342">
        <v>10216</v>
      </c>
    </row>
    <row r="33" spans="1:44">
      <c r="A33" s="342">
        <v>139237</v>
      </c>
      <c r="B33" s="342" t="s">
        <v>1487</v>
      </c>
      <c r="C33" s="342" t="s">
        <v>1268</v>
      </c>
      <c r="D33" s="342">
        <v>31700</v>
      </c>
      <c r="E33" s="342" t="s">
        <v>68</v>
      </c>
      <c r="F33" s="342" t="s">
        <v>47</v>
      </c>
      <c r="H33" s="342" t="s">
        <v>591</v>
      </c>
      <c r="I33" s="342" t="s">
        <v>685</v>
      </c>
      <c r="J33" s="342" t="s">
        <v>4638</v>
      </c>
      <c r="K33" s="342" t="s">
        <v>1402</v>
      </c>
      <c r="L33" s="343">
        <v>45138</v>
      </c>
      <c r="M33" s="343">
        <v>44579</v>
      </c>
      <c r="O33" s="342" t="s">
        <v>5661</v>
      </c>
      <c r="P33" s="342" t="s">
        <v>5692</v>
      </c>
      <c r="Q33" s="342">
        <v>6119587887</v>
      </c>
      <c r="R33" s="342">
        <v>9100</v>
      </c>
      <c r="V33" s="342" t="s">
        <v>2152</v>
      </c>
      <c r="W33" s="342">
        <v>80032</v>
      </c>
      <c r="X33" s="342" t="s">
        <v>5342</v>
      </c>
      <c r="Y33" s="343">
        <v>43489</v>
      </c>
      <c r="Z33" s="342" t="s">
        <v>4063</v>
      </c>
      <c r="AA33" s="343">
        <v>44579</v>
      </c>
      <c r="AB33" s="342" t="s">
        <v>4064</v>
      </c>
      <c r="AC33" s="342" t="s">
        <v>4064</v>
      </c>
      <c r="AD33" s="342" t="s">
        <v>4065</v>
      </c>
      <c r="AH33" s="342" t="s">
        <v>4079</v>
      </c>
      <c r="AI33" s="342" t="s">
        <v>4067</v>
      </c>
      <c r="AJ33" s="342" t="s">
        <v>5842</v>
      </c>
    </row>
    <row r="34" spans="1:44">
      <c r="A34" s="342">
        <v>139879</v>
      </c>
      <c r="B34" s="342" t="s">
        <v>94</v>
      </c>
      <c r="C34" s="342" t="s">
        <v>95</v>
      </c>
      <c r="D34" s="342">
        <v>18941</v>
      </c>
      <c r="E34" s="342" t="s">
        <v>96</v>
      </c>
      <c r="F34" s="342" t="s">
        <v>47</v>
      </c>
      <c r="G34" s="342" t="s">
        <v>806</v>
      </c>
      <c r="H34" s="342" t="s">
        <v>591</v>
      </c>
      <c r="I34" s="342" t="s">
        <v>40</v>
      </c>
      <c r="J34" s="342" t="s">
        <v>1277</v>
      </c>
      <c r="K34" s="342" t="s">
        <v>1233</v>
      </c>
      <c r="L34" s="343">
        <v>45443</v>
      </c>
      <c r="M34" s="343">
        <v>44342</v>
      </c>
      <c r="O34" s="342" t="s">
        <v>4181</v>
      </c>
      <c r="P34" s="342" t="s">
        <v>5693</v>
      </c>
      <c r="Q34" s="342">
        <v>6120027404</v>
      </c>
      <c r="R34" s="342">
        <v>9110</v>
      </c>
      <c r="T34" s="342" t="s">
        <v>2034</v>
      </c>
      <c r="V34" s="342" t="s">
        <v>2099</v>
      </c>
      <c r="W34" s="342">
        <v>30036</v>
      </c>
      <c r="X34" s="342" t="s">
        <v>5065</v>
      </c>
      <c r="Y34" s="343">
        <v>39419</v>
      </c>
      <c r="Z34" s="342" t="s">
        <v>4063</v>
      </c>
      <c r="AA34" s="343">
        <v>44342</v>
      </c>
      <c r="AB34" s="342" t="s">
        <v>4064</v>
      </c>
      <c r="AC34" s="342" t="s">
        <v>4064</v>
      </c>
      <c r="AD34" s="342" t="s">
        <v>4065</v>
      </c>
      <c r="AH34" s="342" t="s">
        <v>4069</v>
      </c>
      <c r="AI34" s="342" t="s">
        <v>4067</v>
      </c>
      <c r="AJ34" s="342" t="s">
        <v>5862</v>
      </c>
      <c r="AK34" s="342">
        <v>11117</v>
      </c>
      <c r="AM34" s="342" t="s">
        <v>6086</v>
      </c>
    </row>
    <row r="35" spans="1:44">
      <c r="A35" s="342">
        <v>139959</v>
      </c>
      <c r="B35" s="342" t="s">
        <v>746</v>
      </c>
      <c r="C35" s="342" t="s">
        <v>1172</v>
      </c>
      <c r="D35" s="342">
        <v>78711</v>
      </c>
      <c r="E35" s="342" t="s">
        <v>648</v>
      </c>
      <c r="F35" s="342" t="s">
        <v>47</v>
      </c>
      <c r="G35" s="342" t="s">
        <v>807</v>
      </c>
      <c r="H35" s="342" t="s">
        <v>591</v>
      </c>
      <c r="I35" s="342" t="s">
        <v>40</v>
      </c>
      <c r="J35" s="342" t="s">
        <v>5280</v>
      </c>
      <c r="K35" s="342" t="s">
        <v>1233</v>
      </c>
      <c r="L35" s="343">
        <v>45382</v>
      </c>
      <c r="M35" s="343">
        <v>44467</v>
      </c>
      <c r="O35" s="342" t="s">
        <v>5546</v>
      </c>
      <c r="P35" s="342" t="s">
        <v>5694</v>
      </c>
      <c r="Q35" s="342">
        <v>6123305123</v>
      </c>
      <c r="R35" s="342">
        <v>9110</v>
      </c>
      <c r="V35" s="342" t="s">
        <v>2099</v>
      </c>
      <c r="W35" s="342">
        <v>228052</v>
      </c>
      <c r="X35" s="342" t="s">
        <v>4080</v>
      </c>
      <c r="Y35" s="343">
        <v>42191</v>
      </c>
      <c r="Z35" s="342" t="s">
        <v>4063</v>
      </c>
      <c r="AA35" s="343">
        <v>44467</v>
      </c>
      <c r="AB35" s="342" t="s">
        <v>4064</v>
      </c>
      <c r="AC35" s="342" t="s">
        <v>4064</v>
      </c>
      <c r="AD35" s="342" t="s">
        <v>4065</v>
      </c>
      <c r="AH35" s="342" t="s">
        <v>4081</v>
      </c>
      <c r="AI35" s="342" t="s">
        <v>4067</v>
      </c>
      <c r="AJ35" s="342" t="s">
        <v>5855</v>
      </c>
    </row>
    <row r="36" spans="1:44">
      <c r="A36" s="342">
        <v>140080</v>
      </c>
      <c r="B36" s="342" t="s">
        <v>99</v>
      </c>
      <c r="C36" s="342" t="s">
        <v>100</v>
      </c>
      <c r="D36" s="342" t="s">
        <v>101</v>
      </c>
      <c r="E36" s="342" t="s">
        <v>102</v>
      </c>
      <c r="F36" s="342" t="s">
        <v>51</v>
      </c>
      <c r="G36" s="342">
        <v>10933</v>
      </c>
      <c r="H36" s="342" t="s">
        <v>591</v>
      </c>
      <c r="I36" s="342" t="s">
        <v>40</v>
      </c>
      <c r="J36" s="342" t="s">
        <v>5281</v>
      </c>
      <c r="K36" s="342" t="s">
        <v>1233</v>
      </c>
      <c r="L36" s="343">
        <v>44957</v>
      </c>
      <c r="M36" s="343">
        <v>43850</v>
      </c>
      <c r="O36" s="342" t="s">
        <v>4580</v>
      </c>
      <c r="P36" s="342" t="s">
        <v>5695</v>
      </c>
      <c r="Q36" s="342">
        <v>6123296287</v>
      </c>
      <c r="R36" s="342">
        <v>9110</v>
      </c>
      <c r="V36" s="342" t="s">
        <v>2099</v>
      </c>
      <c r="W36" s="342">
        <v>204442</v>
      </c>
      <c r="X36" s="342" t="s">
        <v>4082</v>
      </c>
      <c r="Y36" s="343">
        <v>41661</v>
      </c>
      <c r="Z36" s="342" t="s">
        <v>4063</v>
      </c>
      <c r="AA36" s="343">
        <v>43850</v>
      </c>
      <c r="AB36" s="342" t="s">
        <v>4064</v>
      </c>
      <c r="AC36" s="342" t="s">
        <v>4064</v>
      </c>
      <c r="AD36" s="342" t="s">
        <v>4065</v>
      </c>
      <c r="AH36" s="342" t="s">
        <v>4069</v>
      </c>
      <c r="AI36" s="342" t="s">
        <v>4067</v>
      </c>
      <c r="AJ36" s="342" t="s">
        <v>5860</v>
      </c>
      <c r="AK36" s="342">
        <v>11191</v>
      </c>
    </row>
    <row r="37" spans="1:44">
      <c r="A37" s="342">
        <v>140339</v>
      </c>
      <c r="B37" s="342" t="s">
        <v>4754</v>
      </c>
      <c r="C37" s="342" t="s">
        <v>4755</v>
      </c>
      <c r="D37" s="342">
        <v>66219</v>
      </c>
      <c r="E37" s="342" t="s">
        <v>434</v>
      </c>
      <c r="F37" s="342" t="s">
        <v>51</v>
      </c>
      <c r="G37" s="342">
        <v>60299</v>
      </c>
      <c r="H37" s="342" t="s">
        <v>591</v>
      </c>
      <c r="I37" s="342" t="s">
        <v>40</v>
      </c>
      <c r="J37" s="342" t="s">
        <v>5282</v>
      </c>
      <c r="K37" s="342" t="s">
        <v>1402</v>
      </c>
      <c r="L37" s="343">
        <v>45382</v>
      </c>
      <c r="M37" s="343">
        <v>44651</v>
      </c>
      <c r="O37" s="342" t="s">
        <v>5414</v>
      </c>
      <c r="P37" s="342" t="s">
        <v>5696</v>
      </c>
      <c r="Q37" s="342">
        <v>6114183723</v>
      </c>
      <c r="R37" s="342">
        <v>9110</v>
      </c>
      <c r="S37" s="342" t="s">
        <v>1571</v>
      </c>
      <c r="V37" s="342" t="s">
        <v>2099</v>
      </c>
      <c r="W37" s="342">
        <v>70045</v>
      </c>
      <c r="X37" s="342" t="s">
        <v>5586</v>
      </c>
      <c r="Y37" s="343">
        <v>41109</v>
      </c>
      <c r="Z37" s="342" t="s">
        <v>4063</v>
      </c>
      <c r="AA37" s="343">
        <v>44651</v>
      </c>
      <c r="AB37" s="342" t="s">
        <v>4064</v>
      </c>
      <c r="AC37" s="342" t="s">
        <v>4064</v>
      </c>
      <c r="AD37" s="342" t="s">
        <v>4065</v>
      </c>
      <c r="AH37" s="342" t="s">
        <v>4079</v>
      </c>
      <c r="AI37" s="342" t="s">
        <v>4067</v>
      </c>
      <c r="AJ37" s="342" t="s">
        <v>5861</v>
      </c>
      <c r="AK37" s="342">
        <v>33989</v>
      </c>
    </row>
    <row r="38" spans="1:44">
      <c r="A38" s="342">
        <v>140534</v>
      </c>
      <c r="B38" s="342" t="s">
        <v>640</v>
      </c>
      <c r="C38" s="342" t="s">
        <v>641</v>
      </c>
      <c r="D38" s="342" t="s">
        <v>642</v>
      </c>
      <c r="E38" s="342" t="s">
        <v>643</v>
      </c>
      <c r="F38" s="342" t="s">
        <v>45</v>
      </c>
      <c r="G38" s="342" t="s">
        <v>644</v>
      </c>
      <c r="H38" s="342" t="s">
        <v>591</v>
      </c>
      <c r="I38" s="342" t="s">
        <v>40</v>
      </c>
      <c r="J38" s="342" t="s">
        <v>5279</v>
      </c>
      <c r="K38" s="342" t="s">
        <v>1233</v>
      </c>
      <c r="L38" s="343">
        <v>45229</v>
      </c>
      <c r="M38" s="343">
        <v>44679</v>
      </c>
      <c r="O38" s="342" t="s">
        <v>5219</v>
      </c>
      <c r="P38" s="342" t="s">
        <v>5073</v>
      </c>
      <c r="Q38" s="342">
        <v>6134116945</v>
      </c>
      <c r="R38" s="342">
        <v>9110</v>
      </c>
      <c r="U38" s="342" t="s">
        <v>4195</v>
      </c>
      <c r="V38" s="342" t="s">
        <v>2099</v>
      </c>
      <c r="W38" s="342">
        <v>301210</v>
      </c>
      <c r="X38" s="342" t="s">
        <v>5386</v>
      </c>
      <c r="Y38" s="343">
        <v>42523</v>
      </c>
      <c r="Z38" s="342" t="s">
        <v>4063</v>
      </c>
      <c r="AA38" s="343">
        <v>44679</v>
      </c>
      <c r="AB38" s="342" t="s">
        <v>4064</v>
      </c>
      <c r="AC38" s="342" t="s">
        <v>4064</v>
      </c>
      <c r="AD38" s="342" t="s">
        <v>4065</v>
      </c>
      <c r="AI38" s="342" t="s">
        <v>4067</v>
      </c>
      <c r="AJ38" s="342" t="s">
        <v>5845</v>
      </c>
    </row>
    <row r="39" spans="1:44">
      <c r="A39" s="342">
        <v>140539</v>
      </c>
      <c r="B39" s="342" t="s">
        <v>103</v>
      </c>
      <c r="C39" s="342" t="s">
        <v>104</v>
      </c>
      <c r="D39" s="342" t="s">
        <v>105</v>
      </c>
      <c r="E39" s="342" t="s">
        <v>106</v>
      </c>
      <c r="F39" s="342" t="s">
        <v>107</v>
      </c>
      <c r="G39" s="342">
        <v>90073</v>
      </c>
      <c r="H39" s="342" t="s">
        <v>591</v>
      </c>
      <c r="I39" s="342" t="s">
        <v>40</v>
      </c>
      <c r="J39" s="342" t="s">
        <v>1277</v>
      </c>
      <c r="K39" s="342" t="s">
        <v>1233</v>
      </c>
      <c r="L39" s="343">
        <v>45504</v>
      </c>
      <c r="M39" s="343">
        <v>44404</v>
      </c>
      <c r="O39" s="342" t="s">
        <v>4884</v>
      </c>
      <c r="P39" s="342" t="s">
        <v>5697</v>
      </c>
      <c r="Q39" s="342">
        <v>6110614924</v>
      </c>
      <c r="R39" s="342">
        <v>9110</v>
      </c>
      <c r="V39" s="342" t="s">
        <v>2099</v>
      </c>
      <c r="W39" s="342">
        <v>300466</v>
      </c>
      <c r="X39" s="342" t="s">
        <v>4990</v>
      </c>
      <c r="Y39" s="343">
        <v>40217</v>
      </c>
      <c r="Z39" s="342" t="s">
        <v>4063</v>
      </c>
      <c r="AA39" s="343">
        <v>44404</v>
      </c>
      <c r="AB39" s="342" t="s">
        <v>4064</v>
      </c>
      <c r="AC39" s="342" t="s">
        <v>4064</v>
      </c>
      <c r="AD39" s="342" t="s">
        <v>4065</v>
      </c>
      <c r="AH39" s="342" t="s">
        <v>4081</v>
      </c>
      <c r="AI39" s="342" t="s">
        <v>4067</v>
      </c>
      <c r="AJ39" s="342" t="s">
        <v>5855</v>
      </c>
      <c r="AM39" s="342" t="s">
        <v>4629</v>
      </c>
    </row>
    <row r="40" spans="1:44">
      <c r="A40" s="342">
        <v>141080</v>
      </c>
      <c r="B40" s="342" t="s">
        <v>108</v>
      </c>
      <c r="C40" s="342" t="s">
        <v>109</v>
      </c>
      <c r="D40" s="342">
        <v>33142</v>
      </c>
      <c r="E40" s="342" t="s">
        <v>110</v>
      </c>
      <c r="F40" s="342" t="s">
        <v>51</v>
      </c>
      <c r="G40" s="342">
        <v>21844</v>
      </c>
      <c r="H40" s="342" t="s">
        <v>591</v>
      </c>
      <c r="I40" s="342" t="s">
        <v>40</v>
      </c>
      <c r="J40" s="342" t="s">
        <v>1288</v>
      </c>
      <c r="K40" s="342" t="s">
        <v>1233</v>
      </c>
      <c r="L40" s="343">
        <v>45596</v>
      </c>
      <c r="M40" s="343">
        <v>44510</v>
      </c>
      <c r="O40" s="342" t="s">
        <v>6013</v>
      </c>
      <c r="P40" s="342" t="s">
        <v>1536</v>
      </c>
      <c r="Q40" s="342">
        <v>6122203543</v>
      </c>
      <c r="R40" s="342">
        <v>9110</v>
      </c>
      <c r="U40" s="342" t="s">
        <v>4853</v>
      </c>
      <c r="V40" s="342" t="s">
        <v>2099</v>
      </c>
      <c r="W40" s="342">
        <v>228756</v>
      </c>
      <c r="X40" s="342" t="s">
        <v>4992</v>
      </c>
      <c r="Y40" s="343">
        <v>39419</v>
      </c>
      <c r="Z40" s="342" t="s">
        <v>4063</v>
      </c>
      <c r="AA40" s="343">
        <v>44510</v>
      </c>
      <c r="AB40" s="342" t="s">
        <v>4064</v>
      </c>
      <c r="AC40" s="342" t="s">
        <v>4064</v>
      </c>
      <c r="AD40" s="342" t="s">
        <v>4065</v>
      </c>
      <c r="AI40" s="342" t="s">
        <v>4067</v>
      </c>
      <c r="AJ40" s="342" t="s">
        <v>5886</v>
      </c>
    </row>
    <row r="41" spans="1:44">
      <c r="A41" s="342">
        <v>141168</v>
      </c>
      <c r="B41" s="342" t="s">
        <v>111</v>
      </c>
      <c r="C41" s="342" t="s">
        <v>112</v>
      </c>
      <c r="D41" s="342">
        <v>91505</v>
      </c>
      <c r="E41" s="342" t="s">
        <v>113</v>
      </c>
      <c r="F41" s="342" t="s">
        <v>51</v>
      </c>
      <c r="G41" s="342">
        <v>13636</v>
      </c>
      <c r="H41" s="342" t="s">
        <v>591</v>
      </c>
      <c r="I41" s="342" t="s">
        <v>40</v>
      </c>
      <c r="J41" s="342" t="s">
        <v>1277</v>
      </c>
      <c r="K41" s="342" t="s">
        <v>5218</v>
      </c>
      <c r="L41" s="343">
        <v>45626</v>
      </c>
      <c r="M41" s="343">
        <v>44529</v>
      </c>
      <c r="O41" s="342" t="s">
        <v>6014</v>
      </c>
      <c r="P41" s="342" t="s">
        <v>5698</v>
      </c>
      <c r="Q41" s="342">
        <v>6114101226</v>
      </c>
      <c r="R41" s="342">
        <v>9110</v>
      </c>
      <c r="V41" s="342" t="s">
        <v>2099</v>
      </c>
      <c r="W41" s="342">
        <v>70040</v>
      </c>
      <c r="X41" s="342" t="s">
        <v>5147</v>
      </c>
      <c r="Y41" s="343">
        <v>41737</v>
      </c>
      <c r="Z41" s="342" t="s">
        <v>4063</v>
      </c>
      <c r="AA41" s="343">
        <v>44529</v>
      </c>
      <c r="AB41" s="342" t="s">
        <v>4064</v>
      </c>
      <c r="AC41" s="342" t="s">
        <v>4064</v>
      </c>
      <c r="AD41" s="342" t="s">
        <v>4065</v>
      </c>
      <c r="AH41" s="342" t="s">
        <v>4069</v>
      </c>
      <c r="AI41" s="342" t="s">
        <v>4067</v>
      </c>
      <c r="AJ41" s="342" t="s">
        <v>6087</v>
      </c>
      <c r="AK41" s="342">
        <v>11292</v>
      </c>
      <c r="AL41" s="342">
        <v>6115464085</v>
      </c>
    </row>
    <row r="42" spans="1:44">
      <c r="A42" s="342">
        <v>141737</v>
      </c>
      <c r="B42" s="342" t="s">
        <v>114</v>
      </c>
      <c r="C42" s="342" t="s">
        <v>115</v>
      </c>
      <c r="D42" s="342">
        <v>77836</v>
      </c>
      <c r="E42" s="342" t="s">
        <v>116</v>
      </c>
      <c r="F42" s="342" t="s">
        <v>55</v>
      </c>
      <c r="G42" s="342" t="s">
        <v>117</v>
      </c>
      <c r="H42" s="342" t="s">
        <v>591</v>
      </c>
      <c r="I42" s="342" t="s">
        <v>40</v>
      </c>
      <c r="J42" s="342" t="s">
        <v>1277</v>
      </c>
      <c r="L42" s="343">
        <v>44834</v>
      </c>
      <c r="M42" s="343">
        <v>43732</v>
      </c>
      <c r="O42" s="342" t="s">
        <v>1423</v>
      </c>
      <c r="P42" s="342" t="s">
        <v>4557</v>
      </c>
      <c r="Q42" s="342">
        <v>6126460489</v>
      </c>
      <c r="R42" s="342">
        <v>9110</v>
      </c>
      <c r="V42" s="342" t="s">
        <v>2099</v>
      </c>
      <c r="W42" s="342">
        <v>204446</v>
      </c>
      <c r="X42" s="342" t="s">
        <v>4990</v>
      </c>
      <c r="Y42" s="343">
        <v>41107</v>
      </c>
      <c r="Z42" s="342" t="s">
        <v>4063</v>
      </c>
      <c r="AA42" s="343">
        <v>43732</v>
      </c>
      <c r="AB42" s="342" t="s">
        <v>4064</v>
      </c>
      <c r="AC42" s="342" t="s">
        <v>4064</v>
      </c>
      <c r="AD42" s="342" t="s">
        <v>4065</v>
      </c>
      <c r="AH42" s="342" t="s">
        <v>4071</v>
      </c>
      <c r="AI42" s="342" t="s">
        <v>4067</v>
      </c>
      <c r="AJ42" s="342" t="s">
        <v>6088</v>
      </c>
      <c r="AK42" s="342">
        <v>11352</v>
      </c>
    </row>
    <row r="43" spans="1:44">
      <c r="A43" s="342">
        <v>142610</v>
      </c>
      <c r="B43" s="342" t="s">
        <v>1498</v>
      </c>
      <c r="C43" s="342" t="s">
        <v>1263</v>
      </c>
      <c r="D43" s="342">
        <v>45373</v>
      </c>
      <c r="E43" s="342" t="s">
        <v>417</v>
      </c>
      <c r="F43" s="342" t="s">
        <v>51</v>
      </c>
      <c r="G43" s="342">
        <v>97153</v>
      </c>
      <c r="H43" s="342" t="s">
        <v>591</v>
      </c>
      <c r="I43" s="342" t="s">
        <v>40</v>
      </c>
      <c r="J43" s="342" t="s">
        <v>5282</v>
      </c>
      <c r="K43" s="342" t="s">
        <v>1233</v>
      </c>
      <c r="L43" s="343">
        <v>45412</v>
      </c>
      <c r="M43" s="343">
        <v>44672</v>
      </c>
      <c r="O43" s="342" t="s">
        <v>6015</v>
      </c>
      <c r="P43" s="342" t="s">
        <v>5699</v>
      </c>
      <c r="Q43" s="342">
        <v>6143356505</v>
      </c>
      <c r="R43" s="342">
        <v>9110</v>
      </c>
      <c r="V43" s="342" t="s">
        <v>2099</v>
      </c>
      <c r="W43" s="342">
        <v>30039</v>
      </c>
      <c r="X43" s="342" t="s">
        <v>4641</v>
      </c>
      <c r="Y43" s="343">
        <v>44069</v>
      </c>
      <c r="Z43" s="342" t="s">
        <v>4063</v>
      </c>
      <c r="AA43" s="343">
        <v>44672</v>
      </c>
      <c r="AB43" s="342" t="s">
        <v>4064</v>
      </c>
      <c r="AC43" s="342" t="s">
        <v>4064</v>
      </c>
      <c r="AD43" s="342" t="s">
        <v>4065</v>
      </c>
      <c r="AH43" s="342" t="s">
        <v>4069</v>
      </c>
      <c r="AI43" s="342" t="s">
        <v>4067</v>
      </c>
      <c r="AJ43" s="342" t="s">
        <v>5851</v>
      </c>
      <c r="AK43" s="342">
        <v>11428</v>
      </c>
      <c r="AL43" s="342">
        <v>5290</v>
      </c>
    </row>
    <row r="44" spans="1:44">
      <c r="A44" s="342">
        <v>144548</v>
      </c>
      <c r="B44" s="342" t="s">
        <v>679</v>
      </c>
      <c r="C44" s="342" t="s">
        <v>680</v>
      </c>
      <c r="D44" s="342" t="s">
        <v>681</v>
      </c>
      <c r="E44" s="342" t="s">
        <v>682</v>
      </c>
      <c r="F44" s="342" t="s">
        <v>45</v>
      </c>
      <c r="G44" s="342" t="s">
        <v>808</v>
      </c>
      <c r="H44" s="342" t="s">
        <v>591</v>
      </c>
      <c r="I44" s="342" t="s">
        <v>40</v>
      </c>
      <c r="J44" s="342" t="s">
        <v>1277</v>
      </c>
      <c r="K44" s="342" t="s">
        <v>5218</v>
      </c>
      <c r="L44" s="343">
        <v>45595</v>
      </c>
      <c r="M44" s="343">
        <v>44510</v>
      </c>
      <c r="O44" s="342" t="s">
        <v>4799</v>
      </c>
      <c r="P44" s="342" t="s">
        <v>5700</v>
      </c>
      <c r="Q44" s="342">
        <v>6113198722</v>
      </c>
      <c r="R44" s="342">
        <v>9110</v>
      </c>
      <c r="V44" s="342" t="s">
        <v>2099</v>
      </c>
      <c r="W44" s="342">
        <v>204445</v>
      </c>
      <c r="X44" s="342" t="s">
        <v>5236</v>
      </c>
      <c r="Y44" s="343">
        <v>42313</v>
      </c>
      <c r="Z44" s="342" t="s">
        <v>4063</v>
      </c>
      <c r="AA44" s="343">
        <v>44510</v>
      </c>
      <c r="AB44" s="342" t="s">
        <v>4064</v>
      </c>
      <c r="AC44" s="342" t="s">
        <v>4064</v>
      </c>
      <c r="AD44" s="342" t="s">
        <v>4065</v>
      </c>
      <c r="AH44" s="342" t="s">
        <v>4069</v>
      </c>
      <c r="AI44" s="342" t="s">
        <v>4067</v>
      </c>
      <c r="AJ44" s="342" t="s">
        <v>6089</v>
      </c>
      <c r="AK44" s="342">
        <v>11630</v>
      </c>
    </row>
    <row r="45" spans="1:44">
      <c r="A45" s="342">
        <v>146895</v>
      </c>
      <c r="B45" s="342" t="s">
        <v>669</v>
      </c>
      <c r="C45" s="342" t="s">
        <v>120</v>
      </c>
      <c r="D45" s="342">
        <v>60101</v>
      </c>
      <c r="E45" s="342" t="s">
        <v>121</v>
      </c>
      <c r="F45" s="342" t="s">
        <v>51</v>
      </c>
      <c r="G45" s="342">
        <v>268</v>
      </c>
      <c r="H45" s="342" t="s">
        <v>591</v>
      </c>
      <c r="I45" s="342" t="s">
        <v>40</v>
      </c>
      <c r="J45" s="342" t="s">
        <v>1277</v>
      </c>
      <c r="K45" s="342" t="s">
        <v>1402</v>
      </c>
      <c r="L45" s="343">
        <v>45442</v>
      </c>
      <c r="M45" s="343">
        <v>44327</v>
      </c>
      <c r="O45" s="342" t="s">
        <v>4278</v>
      </c>
      <c r="P45" s="342" t="s">
        <v>1537</v>
      </c>
      <c r="Q45" s="342">
        <v>6115774649</v>
      </c>
      <c r="R45" s="342">
        <v>9110</v>
      </c>
      <c r="S45" s="342" t="s">
        <v>1575</v>
      </c>
      <c r="T45" s="342" t="s">
        <v>2034</v>
      </c>
      <c r="V45" s="342" t="s">
        <v>2099</v>
      </c>
      <c r="W45" s="342">
        <v>300807</v>
      </c>
      <c r="X45" s="342" t="s">
        <v>4990</v>
      </c>
      <c r="Y45" s="343">
        <v>41673</v>
      </c>
      <c r="Z45" s="342" t="s">
        <v>4063</v>
      </c>
      <c r="AA45" s="343">
        <v>44327</v>
      </c>
      <c r="AB45" s="342" t="s">
        <v>4064</v>
      </c>
      <c r="AC45" s="342" t="s">
        <v>4064</v>
      </c>
      <c r="AD45" s="342" t="s">
        <v>4065</v>
      </c>
      <c r="AH45" s="342" t="s">
        <v>4084</v>
      </c>
      <c r="AI45" s="342" t="s">
        <v>4067</v>
      </c>
      <c r="AJ45" s="342" t="s">
        <v>5967</v>
      </c>
      <c r="AK45" s="342">
        <v>20047</v>
      </c>
    </row>
    <row r="46" spans="1:44">
      <c r="A46" s="342">
        <v>147189</v>
      </c>
      <c r="B46" s="342" t="s">
        <v>122</v>
      </c>
      <c r="C46" s="342" t="s">
        <v>4384</v>
      </c>
      <c r="D46" s="342">
        <v>78531</v>
      </c>
      <c r="E46" s="342" t="s">
        <v>123</v>
      </c>
      <c r="F46" s="342" t="s">
        <v>47</v>
      </c>
      <c r="G46" s="342" t="s">
        <v>809</v>
      </c>
      <c r="H46" s="342" t="s">
        <v>591</v>
      </c>
      <c r="I46" s="342" t="s">
        <v>40</v>
      </c>
      <c r="J46" s="342" t="s">
        <v>1288</v>
      </c>
      <c r="K46" s="342" t="s">
        <v>1233</v>
      </c>
      <c r="L46" s="343">
        <v>45596</v>
      </c>
      <c r="M46" s="343">
        <v>44510</v>
      </c>
      <c r="O46" s="342" t="s">
        <v>1071</v>
      </c>
      <c r="P46" s="342" t="s">
        <v>4406</v>
      </c>
      <c r="Q46" s="342">
        <v>6150438542</v>
      </c>
      <c r="R46" s="342">
        <v>9110</v>
      </c>
      <c r="V46" s="342" t="s">
        <v>2099</v>
      </c>
      <c r="W46" s="342">
        <v>70304</v>
      </c>
      <c r="X46" s="342" t="s">
        <v>4085</v>
      </c>
      <c r="Y46" s="343">
        <v>39419</v>
      </c>
      <c r="Z46" s="342" t="s">
        <v>4063</v>
      </c>
      <c r="AA46" s="343">
        <v>44510</v>
      </c>
      <c r="AB46" s="342" t="s">
        <v>4064</v>
      </c>
      <c r="AC46" s="342" t="s">
        <v>4064</v>
      </c>
      <c r="AD46" s="342" t="s">
        <v>4065</v>
      </c>
      <c r="AH46" s="342" t="s">
        <v>4069</v>
      </c>
      <c r="AI46" s="342" t="s">
        <v>4067</v>
      </c>
      <c r="AJ46" s="342" t="s">
        <v>5884</v>
      </c>
      <c r="AK46" s="342">
        <v>11990</v>
      </c>
    </row>
    <row r="47" spans="1:44">
      <c r="A47" s="342">
        <v>147245</v>
      </c>
      <c r="B47" s="342" t="s">
        <v>1232</v>
      </c>
      <c r="C47" s="342" t="s">
        <v>124</v>
      </c>
      <c r="D47" s="342">
        <v>28906</v>
      </c>
      <c r="E47" s="342" t="s">
        <v>125</v>
      </c>
      <c r="F47" s="342" t="s">
        <v>126</v>
      </c>
      <c r="G47" s="342" t="s">
        <v>810</v>
      </c>
      <c r="H47" s="342" t="s">
        <v>591</v>
      </c>
      <c r="I47" s="342" t="s">
        <v>40</v>
      </c>
      <c r="J47" s="342" t="s">
        <v>5281</v>
      </c>
      <c r="K47" s="342" t="s">
        <v>1402</v>
      </c>
      <c r="L47" s="343">
        <v>45443</v>
      </c>
      <c r="M47" s="343">
        <v>44697</v>
      </c>
      <c r="O47" s="342" t="s">
        <v>5671</v>
      </c>
      <c r="P47" s="342" t="s">
        <v>5701</v>
      </c>
      <c r="Q47" s="342">
        <v>6110407526</v>
      </c>
      <c r="R47" s="342">
        <v>9110</v>
      </c>
      <c r="T47" s="342" t="s">
        <v>2034</v>
      </c>
      <c r="V47" s="342" t="s">
        <v>2099</v>
      </c>
      <c r="W47" s="342">
        <v>203552</v>
      </c>
      <c r="X47" s="342" t="s">
        <v>4093</v>
      </c>
      <c r="Y47" s="343">
        <v>41673</v>
      </c>
      <c r="Z47" s="342" t="s">
        <v>4063</v>
      </c>
      <c r="AA47" s="343">
        <v>44697</v>
      </c>
      <c r="AB47" s="342" t="s">
        <v>4064</v>
      </c>
      <c r="AC47" s="342" t="s">
        <v>4064</v>
      </c>
      <c r="AD47" s="342" t="s">
        <v>4065</v>
      </c>
      <c r="AH47" s="342" t="s">
        <v>4069</v>
      </c>
      <c r="AI47" s="342" t="s">
        <v>4067</v>
      </c>
      <c r="AJ47" s="342" t="s">
        <v>6090</v>
      </c>
      <c r="AK47" s="342">
        <v>11999</v>
      </c>
      <c r="AL47" s="342">
        <v>6959</v>
      </c>
      <c r="AM47" s="342" t="s">
        <v>6091</v>
      </c>
      <c r="AR47" s="342" t="s">
        <v>4086</v>
      </c>
    </row>
    <row r="48" spans="1:44">
      <c r="A48" s="342">
        <v>147463</v>
      </c>
      <c r="B48" s="342" t="s">
        <v>1322</v>
      </c>
      <c r="C48" s="342" t="s">
        <v>1323</v>
      </c>
      <c r="D48" s="342" t="s">
        <v>1324</v>
      </c>
      <c r="E48" s="342" t="s">
        <v>1325</v>
      </c>
      <c r="F48" s="342" t="s">
        <v>51</v>
      </c>
      <c r="G48" s="342">
        <v>11599</v>
      </c>
      <c r="H48" s="342" t="s">
        <v>591</v>
      </c>
      <c r="I48" s="342" t="s">
        <v>40</v>
      </c>
      <c r="J48" s="342" t="s">
        <v>5449</v>
      </c>
      <c r="K48" s="342" t="s">
        <v>1402</v>
      </c>
      <c r="L48" s="343">
        <v>44895</v>
      </c>
      <c r="M48" s="343">
        <v>44160</v>
      </c>
      <c r="O48" s="342" t="s">
        <v>6016</v>
      </c>
      <c r="P48" s="342" t="s">
        <v>5702</v>
      </c>
      <c r="Q48" s="342">
        <v>6110587242</v>
      </c>
      <c r="R48" s="342">
        <v>9110</v>
      </c>
      <c r="V48" s="342" t="s">
        <v>2099</v>
      </c>
      <c r="W48" s="342">
        <v>308176</v>
      </c>
      <c r="X48" s="342" t="s">
        <v>5523</v>
      </c>
      <c r="Y48" s="343">
        <v>43621</v>
      </c>
      <c r="Z48" s="342" t="s">
        <v>4063</v>
      </c>
      <c r="AA48" s="343">
        <v>44160</v>
      </c>
      <c r="AB48" s="342" t="s">
        <v>4064</v>
      </c>
      <c r="AC48" s="342" t="s">
        <v>4064</v>
      </c>
      <c r="AD48" s="342" t="s">
        <v>4065</v>
      </c>
      <c r="AI48" s="342" t="s">
        <v>4067</v>
      </c>
      <c r="AJ48" s="342" t="s">
        <v>5871</v>
      </c>
    </row>
    <row r="49" spans="1:44">
      <c r="A49" s="342">
        <v>147594</v>
      </c>
      <c r="B49" s="342" t="s">
        <v>5426</v>
      </c>
      <c r="C49" s="342" t="s">
        <v>5427</v>
      </c>
      <c r="D49" s="342">
        <v>91410</v>
      </c>
      <c r="E49" s="342" t="s">
        <v>5428</v>
      </c>
      <c r="F49" s="342" t="s">
        <v>47</v>
      </c>
      <c r="G49" s="342" t="s">
        <v>5429</v>
      </c>
      <c r="H49" s="342" t="s">
        <v>591</v>
      </c>
      <c r="I49" s="342" t="s">
        <v>40</v>
      </c>
      <c r="J49" s="342" t="s">
        <v>1336</v>
      </c>
      <c r="K49" s="342" t="s">
        <v>1233</v>
      </c>
      <c r="L49" s="343">
        <v>45716</v>
      </c>
      <c r="M49" s="343">
        <v>44691</v>
      </c>
      <c r="O49" s="342" t="s">
        <v>5979</v>
      </c>
      <c r="P49" s="342" t="s">
        <v>5703</v>
      </c>
      <c r="Q49" s="342">
        <v>6111496882</v>
      </c>
      <c r="R49" s="342">
        <v>9110</v>
      </c>
      <c r="V49" s="342" t="s">
        <v>2099</v>
      </c>
      <c r="W49" s="342">
        <v>70287</v>
      </c>
      <c r="X49" s="342" t="s">
        <v>4112</v>
      </c>
      <c r="Y49" s="343">
        <v>44691</v>
      </c>
      <c r="Z49" s="342" t="s">
        <v>4063</v>
      </c>
      <c r="AA49" s="343">
        <v>44691</v>
      </c>
      <c r="AB49" s="342" t="s">
        <v>4064</v>
      </c>
      <c r="AC49" s="342" t="s">
        <v>4064</v>
      </c>
      <c r="AD49" s="342" t="s">
        <v>4065</v>
      </c>
      <c r="AH49" s="342" t="s">
        <v>4069</v>
      </c>
      <c r="AI49" s="342" t="s">
        <v>4067</v>
      </c>
      <c r="AJ49" s="342" t="s">
        <v>5844</v>
      </c>
      <c r="AK49" s="342">
        <v>21037</v>
      </c>
    </row>
    <row r="50" spans="1:44">
      <c r="A50" s="342">
        <v>148000</v>
      </c>
      <c r="B50" s="342" t="s">
        <v>127</v>
      </c>
      <c r="C50" s="342" t="s">
        <v>128</v>
      </c>
      <c r="D50" s="342" t="s">
        <v>4882</v>
      </c>
      <c r="E50" s="342" t="s">
        <v>129</v>
      </c>
      <c r="F50" s="342" t="s">
        <v>51</v>
      </c>
      <c r="G50" s="342">
        <v>91816</v>
      </c>
      <c r="H50" s="342" t="s">
        <v>591</v>
      </c>
      <c r="I50" s="342" t="s">
        <v>40</v>
      </c>
      <c r="J50" s="342" t="s">
        <v>1277</v>
      </c>
      <c r="K50" s="342" t="s">
        <v>1402</v>
      </c>
      <c r="L50" s="343">
        <v>45382</v>
      </c>
      <c r="M50" s="343">
        <v>44270</v>
      </c>
      <c r="O50" s="342" t="s">
        <v>4642</v>
      </c>
      <c r="P50" s="342" t="s">
        <v>4467</v>
      </c>
      <c r="Q50" s="342">
        <v>6124689806</v>
      </c>
      <c r="R50" s="342">
        <v>9110</v>
      </c>
      <c r="V50" s="342" t="s">
        <v>2099</v>
      </c>
      <c r="W50" s="342">
        <v>100128</v>
      </c>
      <c r="X50" s="342" t="s">
        <v>5148</v>
      </c>
      <c r="Y50" s="343">
        <v>39419</v>
      </c>
      <c r="Z50" s="342" t="s">
        <v>4063</v>
      </c>
      <c r="AA50" s="343">
        <v>44270</v>
      </c>
      <c r="AB50" s="342" t="s">
        <v>4064</v>
      </c>
      <c r="AC50" s="342" t="s">
        <v>4064</v>
      </c>
      <c r="AD50" s="342" t="s">
        <v>4065</v>
      </c>
      <c r="AH50" s="342" t="s">
        <v>4069</v>
      </c>
      <c r="AI50" s="342" t="s">
        <v>4067</v>
      </c>
      <c r="AJ50" s="342" t="s">
        <v>5847</v>
      </c>
      <c r="AK50" s="342">
        <v>12107</v>
      </c>
    </row>
    <row r="51" spans="1:44">
      <c r="A51" s="342">
        <v>148971</v>
      </c>
      <c r="B51" s="342" t="s">
        <v>130</v>
      </c>
      <c r="C51" s="342" t="s">
        <v>131</v>
      </c>
      <c r="D51" s="342">
        <v>91919</v>
      </c>
      <c r="E51" s="342" t="s">
        <v>132</v>
      </c>
      <c r="F51" s="342" t="s">
        <v>47</v>
      </c>
      <c r="G51" s="342" t="s">
        <v>811</v>
      </c>
      <c r="H51" s="342" t="s">
        <v>591</v>
      </c>
      <c r="I51" s="342" t="s">
        <v>40</v>
      </c>
      <c r="J51" s="342" t="s">
        <v>1277</v>
      </c>
      <c r="K51" s="342" t="s">
        <v>1402</v>
      </c>
      <c r="L51" s="343">
        <v>45412</v>
      </c>
      <c r="M51" s="343">
        <v>44698</v>
      </c>
      <c r="O51" s="342" t="s">
        <v>5547</v>
      </c>
      <c r="P51" s="342" t="s">
        <v>5704</v>
      </c>
      <c r="Q51" s="342">
        <v>6124189445</v>
      </c>
      <c r="R51" s="342">
        <v>9110</v>
      </c>
      <c r="T51" s="342" t="s">
        <v>2030</v>
      </c>
      <c r="V51" s="342" t="s">
        <v>2099</v>
      </c>
      <c r="W51" s="342">
        <v>200861</v>
      </c>
      <c r="X51" s="342" t="s">
        <v>4087</v>
      </c>
      <c r="Y51" s="343">
        <v>41729</v>
      </c>
      <c r="Z51" s="342" t="s">
        <v>4063</v>
      </c>
      <c r="AA51" s="343">
        <v>44698</v>
      </c>
      <c r="AB51" s="342" t="s">
        <v>4064</v>
      </c>
      <c r="AC51" s="342" t="s">
        <v>4064</v>
      </c>
      <c r="AD51" s="342" t="s">
        <v>4065</v>
      </c>
      <c r="AH51" s="342" t="s">
        <v>4079</v>
      </c>
      <c r="AI51" s="342" t="s">
        <v>4067</v>
      </c>
      <c r="AJ51" s="342" t="s">
        <v>6008</v>
      </c>
      <c r="AK51" s="342">
        <v>12237</v>
      </c>
      <c r="AL51" s="342">
        <v>6270</v>
      </c>
      <c r="AM51" s="342" t="s">
        <v>4806</v>
      </c>
      <c r="AR51" s="342" t="s">
        <v>4088</v>
      </c>
    </row>
    <row r="52" spans="1:44">
      <c r="A52" s="342">
        <v>150190</v>
      </c>
      <c r="B52" s="342" t="s">
        <v>4506</v>
      </c>
      <c r="C52" s="342" t="s">
        <v>4507</v>
      </c>
      <c r="D52" s="342">
        <v>26002</v>
      </c>
      <c r="E52" s="342" t="s">
        <v>134</v>
      </c>
      <c r="F52" s="342" t="s">
        <v>47</v>
      </c>
      <c r="G52" s="342" t="s">
        <v>812</v>
      </c>
      <c r="H52" s="342" t="s">
        <v>591</v>
      </c>
      <c r="I52" s="342" t="s">
        <v>40</v>
      </c>
      <c r="J52" s="342" t="s">
        <v>1277</v>
      </c>
      <c r="K52" s="342" t="s">
        <v>1233</v>
      </c>
      <c r="L52" s="343">
        <v>45473</v>
      </c>
      <c r="M52" s="343">
        <v>44363</v>
      </c>
      <c r="O52" s="342" t="s">
        <v>1403</v>
      </c>
      <c r="P52" s="342" t="s">
        <v>5705</v>
      </c>
      <c r="Q52" s="342">
        <v>6111917921</v>
      </c>
      <c r="R52" s="342">
        <v>9110</v>
      </c>
      <c r="T52" s="342" t="s">
        <v>2034</v>
      </c>
      <c r="V52" s="342" t="s">
        <v>2099</v>
      </c>
      <c r="W52" s="342">
        <v>90860</v>
      </c>
      <c r="X52" s="342" t="s">
        <v>4089</v>
      </c>
      <c r="Y52" s="343">
        <v>39731</v>
      </c>
      <c r="Z52" s="342" t="s">
        <v>4063</v>
      </c>
      <c r="AA52" s="343">
        <v>44363</v>
      </c>
      <c r="AB52" s="342" t="s">
        <v>4064</v>
      </c>
      <c r="AC52" s="342" t="s">
        <v>4064</v>
      </c>
      <c r="AD52" s="342" t="s">
        <v>4065</v>
      </c>
      <c r="AH52" s="342" t="s">
        <v>4069</v>
      </c>
      <c r="AI52" s="342" t="s">
        <v>4067</v>
      </c>
      <c r="AJ52" s="342" t="s">
        <v>5851</v>
      </c>
      <c r="AK52" s="342">
        <v>12394</v>
      </c>
    </row>
    <row r="53" spans="1:44">
      <c r="A53" s="342">
        <v>150344</v>
      </c>
      <c r="B53" s="342" t="s">
        <v>1207</v>
      </c>
      <c r="C53" s="342" t="s">
        <v>1208</v>
      </c>
      <c r="D53" s="342" t="s">
        <v>1209</v>
      </c>
      <c r="E53" s="342" t="s">
        <v>1210</v>
      </c>
      <c r="F53" s="342" t="s">
        <v>1211</v>
      </c>
      <c r="G53" s="342" t="s">
        <v>1261</v>
      </c>
      <c r="H53" s="342" t="s">
        <v>591</v>
      </c>
      <c r="I53" s="342" t="s">
        <v>40</v>
      </c>
      <c r="J53" s="342" t="s">
        <v>4608</v>
      </c>
      <c r="K53" s="342" t="s">
        <v>1233</v>
      </c>
      <c r="L53" s="343">
        <v>44985</v>
      </c>
      <c r="M53" s="343">
        <v>44250</v>
      </c>
      <c r="O53" s="342" t="s">
        <v>4600</v>
      </c>
      <c r="P53" s="342" t="s">
        <v>4539</v>
      </c>
      <c r="Q53" s="342">
        <v>6120227107</v>
      </c>
      <c r="R53" s="342">
        <v>9110</v>
      </c>
      <c r="U53" s="342" t="s">
        <v>2035</v>
      </c>
      <c r="V53" s="342" t="s">
        <v>2099</v>
      </c>
      <c r="W53" s="342">
        <v>300421</v>
      </c>
      <c r="X53" s="342" t="s">
        <v>5147</v>
      </c>
      <c r="Y53" s="343">
        <v>43354</v>
      </c>
      <c r="Z53" s="342" t="s">
        <v>4063</v>
      </c>
      <c r="AA53" s="343">
        <v>44250</v>
      </c>
      <c r="AB53" s="342" t="s">
        <v>4064</v>
      </c>
      <c r="AC53" s="342" t="s">
        <v>4064</v>
      </c>
      <c r="AD53" s="342" t="s">
        <v>4065</v>
      </c>
      <c r="AI53" s="342" t="s">
        <v>4067</v>
      </c>
      <c r="AJ53" s="342" t="s">
        <v>5844</v>
      </c>
    </row>
    <row r="54" spans="1:44">
      <c r="A54" s="342">
        <v>150991</v>
      </c>
      <c r="B54" s="342" t="s">
        <v>1169</v>
      </c>
      <c r="C54" s="342" t="s">
        <v>135</v>
      </c>
      <c r="D54" s="342">
        <v>21129</v>
      </c>
      <c r="E54" s="342" t="s">
        <v>74</v>
      </c>
      <c r="F54" s="342" t="s">
        <v>55</v>
      </c>
      <c r="G54" s="342" t="s">
        <v>813</v>
      </c>
      <c r="H54" s="342" t="s">
        <v>591</v>
      </c>
      <c r="I54" s="342" t="s">
        <v>40</v>
      </c>
      <c r="J54" s="342" t="s">
        <v>4608</v>
      </c>
      <c r="K54" s="342" t="s">
        <v>1233</v>
      </c>
      <c r="L54" s="343">
        <v>44985</v>
      </c>
      <c r="M54" s="343">
        <v>44250</v>
      </c>
      <c r="O54" s="342" t="s">
        <v>1330</v>
      </c>
      <c r="P54" s="342" t="s">
        <v>5706</v>
      </c>
      <c r="Q54" s="342">
        <v>6115516140</v>
      </c>
      <c r="R54" s="342">
        <v>9110</v>
      </c>
      <c r="S54" s="342" t="s">
        <v>1580</v>
      </c>
      <c r="V54" s="342" t="s">
        <v>2099</v>
      </c>
      <c r="W54" s="342">
        <v>70074</v>
      </c>
      <c r="X54" s="342" t="s">
        <v>4669</v>
      </c>
      <c r="Y54" s="343">
        <v>39419</v>
      </c>
      <c r="Z54" s="342" t="s">
        <v>4063</v>
      </c>
      <c r="AA54" s="343">
        <v>44250</v>
      </c>
      <c r="AB54" s="342" t="s">
        <v>4064</v>
      </c>
      <c r="AC54" s="342" t="s">
        <v>4064</v>
      </c>
      <c r="AD54" s="342" t="s">
        <v>4065</v>
      </c>
      <c r="AH54" s="342" t="s">
        <v>4079</v>
      </c>
      <c r="AI54" s="342" t="s">
        <v>4067</v>
      </c>
      <c r="AJ54" s="342" t="s">
        <v>5856</v>
      </c>
      <c r="AK54" s="342">
        <v>12508</v>
      </c>
    </row>
    <row r="55" spans="1:44">
      <c r="A55" s="342">
        <v>152824</v>
      </c>
      <c r="B55" s="342" t="s">
        <v>814</v>
      </c>
      <c r="C55" s="342" t="s">
        <v>815</v>
      </c>
      <c r="D55" s="342">
        <v>35147</v>
      </c>
      <c r="E55" s="342" t="s">
        <v>816</v>
      </c>
      <c r="F55" s="342" t="s">
        <v>51</v>
      </c>
      <c r="G55" s="342" t="s">
        <v>817</v>
      </c>
      <c r="H55" s="342" t="s">
        <v>591</v>
      </c>
      <c r="I55" s="342" t="s">
        <v>40</v>
      </c>
      <c r="J55" s="342" t="s">
        <v>5278</v>
      </c>
      <c r="K55" s="342" t="s">
        <v>1233</v>
      </c>
      <c r="L55" s="343">
        <v>44985</v>
      </c>
      <c r="M55" s="343">
        <v>44250</v>
      </c>
      <c r="O55" s="342" t="s">
        <v>4885</v>
      </c>
      <c r="P55" s="342" t="s">
        <v>5707</v>
      </c>
      <c r="Q55" s="342">
        <v>6126207804</v>
      </c>
      <c r="R55" s="342">
        <v>9110</v>
      </c>
      <c r="V55" s="342" t="s">
        <v>2099</v>
      </c>
      <c r="W55" s="342">
        <v>306750</v>
      </c>
      <c r="X55" s="342" t="s">
        <v>5387</v>
      </c>
      <c r="Y55" s="343">
        <v>42646</v>
      </c>
      <c r="Z55" s="342" t="s">
        <v>4063</v>
      </c>
      <c r="AA55" s="343">
        <v>44250</v>
      </c>
      <c r="AB55" s="342" t="s">
        <v>4064</v>
      </c>
      <c r="AC55" s="342" t="s">
        <v>4064</v>
      </c>
      <c r="AD55" s="342" t="s">
        <v>4065</v>
      </c>
      <c r="AI55" s="342" t="s">
        <v>4067</v>
      </c>
      <c r="AJ55" s="342" t="s">
        <v>5844</v>
      </c>
    </row>
    <row r="56" spans="1:44">
      <c r="A56" s="342">
        <v>152826</v>
      </c>
      <c r="B56" s="342" t="s">
        <v>395</v>
      </c>
      <c r="C56" s="342" t="s">
        <v>136</v>
      </c>
      <c r="D56" s="342">
        <v>60439</v>
      </c>
      <c r="E56" s="342" t="s">
        <v>137</v>
      </c>
      <c r="F56" s="342" t="s">
        <v>55</v>
      </c>
      <c r="G56" s="342" t="s">
        <v>818</v>
      </c>
      <c r="H56" s="342" t="s">
        <v>591</v>
      </c>
      <c r="I56" s="342" t="s">
        <v>40</v>
      </c>
      <c r="J56" s="342" t="s">
        <v>5278</v>
      </c>
      <c r="K56" s="342" t="s">
        <v>1233</v>
      </c>
      <c r="L56" s="343">
        <v>44985</v>
      </c>
      <c r="M56" s="343">
        <v>44250</v>
      </c>
      <c r="O56" s="342" t="s">
        <v>5190</v>
      </c>
      <c r="P56" s="342" t="s">
        <v>5708</v>
      </c>
      <c r="Q56" s="342">
        <v>6113889060</v>
      </c>
      <c r="R56" s="342">
        <v>9110</v>
      </c>
      <c r="V56" s="342" t="s">
        <v>2099</v>
      </c>
      <c r="W56" s="342">
        <v>70080</v>
      </c>
      <c r="X56" s="342" t="s">
        <v>5237</v>
      </c>
      <c r="Y56" s="343">
        <v>39419</v>
      </c>
      <c r="Z56" s="342" t="s">
        <v>4063</v>
      </c>
      <c r="AA56" s="343">
        <v>44250</v>
      </c>
      <c r="AB56" s="342" t="s">
        <v>4064</v>
      </c>
      <c r="AC56" s="342" t="s">
        <v>4064</v>
      </c>
      <c r="AD56" s="342" t="s">
        <v>4065</v>
      </c>
      <c r="AH56" s="342" t="s">
        <v>4069</v>
      </c>
      <c r="AI56" s="342" t="s">
        <v>4067</v>
      </c>
      <c r="AJ56" s="342" t="s">
        <v>5844</v>
      </c>
      <c r="AK56" s="342">
        <v>18926</v>
      </c>
    </row>
    <row r="57" spans="1:44">
      <c r="A57" s="342">
        <v>152827</v>
      </c>
      <c r="B57" s="342" t="s">
        <v>395</v>
      </c>
      <c r="C57" s="342" t="s">
        <v>138</v>
      </c>
      <c r="D57" s="342">
        <v>88662</v>
      </c>
      <c r="E57" s="342" t="s">
        <v>139</v>
      </c>
      <c r="F57" s="342" t="s">
        <v>55</v>
      </c>
      <c r="G57" s="342" t="s">
        <v>819</v>
      </c>
      <c r="H57" s="342" t="s">
        <v>591</v>
      </c>
      <c r="I57" s="342" t="s">
        <v>40</v>
      </c>
      <c r="J57" s="342" t="s">
        <v>5278</v>
      </c>
      <c r="K57" s="342" t="s">
        <v>1233</v>
      </c>
      <c r="L57" s="343">
        <v>44985</v>
      </c>
      <c r="M57" s="343">
        <v>44250</v>
      </c>
      <c r="O57" s="342" t="s">
        <v>5191</v>
      </c>
      <c r="P57" s="342" t="s">
        <v>5709</v>
      </c>
      <c r="Q57" s="342">
        <v>6111822223</v>
      </c>
      <c r="R57" s="342">
        <v>9110</v>
      </c>
      <c r="V57" s="342" t="s">
        <v>2099</v>
      </c>
      <c r="W57" s="342">
        <v>100143</v>
      </c>
      <c r="X57" s="342" t="s">
        <v>4078</v>
      </c>
      <c r="Y57" s="343">
        <v>39419</v>
      </c>
      <c r="Z57" s="342" t="s">
        <v>4063</v>
      </c>
      <c r="AA57" s="343">
        <v>44250</v>
      </c>
      <c r="AB57" s="342" t="s">
        <v>4064</v>
      </c>
      <c r="AC57" s="342" t="s">
        <v>4064</v>
      </c>
      <c r="AD57" s="342" t="s">
        <v>4065</v>
      </c>
      <c r="AH57" s="342" t="s">
        <v>4090</v>
      </c>
      <c r="AI57" s="342" t="s">
        <v>4067</v>
      </c>
      <c r="AJ57" s="342" t="s">
        <v>5844</v>
      </c>
      <c r="AK57" s="342">
        <v>11515</v>
      </c>
    </row>
    <row r="58" spans="1:44">
      <c r="A58" s="342">
        <v>154705</v>
      </c>
      <c r="B58" s="342" t="s">
        <v>694</v>
      </c>
      <c r="C58" s="342" t="s">
        <v>141</v>
      </c>
      <c r="D58" s="342">
        <v>1109</v>
      </c>
      <c r="E58" s="342" t="s">
        <v>90</v>
      </c>
      <c r="F58" s="342" t="s">
        <v>55</v>
      </c>
      <c r="G58" s="342" t="s">
        <v>820</v>
      </c>
      <c r="H58" s="342" t="s">
        <v>591</v>
      </c>
      <c r="I58" s="342" t="s">
        <v>41</v>
      </c>
      <c r="J58" s="342" t="s">
        <v>786</v>
      </c>
      <c r="K58" s="342" t="s">
        <v>1402</v>
      </c>
      <c r="L58" s="343">
        <v>44957</v>
      </c>
      <c r="M58" s="343">
        <v>44221</v>
      </c>
      <c r="O58" s="342" t="s">
        <v>5548</v>
      </c>
      <c r="P58" s="342" t="s">
        <v>5710</v>
      </c>
      <c r="Q58" s="342">
        <v>6116264624</v>
      </c>
      <c r="R58" s="342">
        <v>9110</v>
      </c>
      <c r="V58" s="342" t="s">
        <v>2217</v>
      </c>
      <c r="W58" s="342">
        <v>200030</v>
      </c>
      <c r="X58" s="342" t="s">
        <v>4906</v>
      </c>
      <c r="Y58" s="343">
        <v>39419</v>
      </c>
      <c r="Z58" s="342" t="s">
        <v>4063</v>
      </c>
      <c r="AA58" s="343">
        <v>44221</v>
      </c>
      <c r="AB58" s="342" t="s">
        <v>4064</v>
      </c>
      <c r="AC58" s="342" t="s">
        <v>4064</v>
      </c>
      <c r="AD58" s="342" t="s">
        <v>4065</v>
      </c>
      <c r="AH58" s="342" t="s">
        <v>4069</v>
      </c>
      <c r="AI58" s="342" t="s">
        <v>4067</v>
      </c>
      <c r="AJ58" s="342" t="s">
        <v>5864</v>
      </c>
      <c r="AK58" s="342">
        <v>21040</v>
      </c>
      <c r="AL58" s="342">
        <v>7840</v>
      </c>
      <c r="AR58" s="342" t="s">
        <v>4091</v>
      </c>
    </row>
    <row r="59" spans="1:44">
      <c r="A59" s="342">
        <v>154705</v>
      </c>
      <c r="B59" s="342" t="s">
        <v>694</v>
      </c>
      <c r="C59" s="342" t="s">
        <v>141</v>
      </c>
      <c r="D59" s="342">
        <v>1109</v>
      </c>
      <c r="E59" s="342" t="s">
        <v>90</v>
      </c>
      <c r="F59" s="342" t="s">
        <v>55</v>
      </c>
      <c r="G59" s="342" t="s">
        <v>820</v>
      </c>
      <c r="H59" s="342" t="s">
        <v>591</v>
      </c>
      <c r="I59" s="342" t="s">
        <v>40</v>
      </c>
      <c r="J59" s="342" t="s">
        <v>786</v>
      </c>
      <c r="K59" s="342" t="s">
        <v>1402</v>
      </c>
      <c r="L59" s="343">
        <v>45199</v>
      </c>
      <c r="M59" s="343">
        <v>44287</v>
      </c>
      <c r="O59" s="342" t="s">
        <v>5548</v>
      </c>
      <c r="P59" s="342" t="s">
        <v>5710</v>
      </c>
      <c r="Q59" s="342">
        <v>6116264624</v>
      </c>
      <c r="R59" s="342">
        <v>9110</v>
      </c>
      <c r="V59" s="342" t="s">
        <v>2099</v>
      </c>
      <c r="W59" s="342">
        <v>200030</v>
      </c>
      <c r="X59" s="342" t="s">
        <v>4906</v>
      </c>
      <c r="Y59" s="343">
        <v>39419</v>
      </c>
      <c r="Z59" s="342" t="s">
        <v>4063</v>
      </c>
      <c r="AA59" s="343">
        <v>44287</v>
      </c>
      <c r="AB59" s="342" t="s">
        <v>4064</v>
      </c>
      <c r="AC59" s="342" t="s">
        <v>4064</v>
      </c>
      <c r="AD59" s="342" t="s">
        <v>4065</v>
      </c>
      <c r="AH59" s="342" t="s">
        <v>4069</v>
      </c>
      <c r="AI59" s="342" t="s">
        <v>4067</v>
      </c>
      <c r="AJ59" s="342" t="s">
        <v>5867</v>
      </c>
      <c r="AK59" s="342">
        <v>21040</v>
      </c>
      <c r="AL59" s="342">
        <v>7840</v>
      </c>
      <c r="AR59" s="342" t="s">
        <v>4091</v>
      </c>
    </row>
    <row r="60" spans="1:44">
      <c r="A60" s="342">
        <v>154726</v>
      </c>
      <c r="B60" s="342" t="s">
        <v>2525</v>
      </c>
      <c r="C60" s="342" t="s">
        <v>2526</v>
      </c>
      <c r="D60" s="342">
        <v>65290</v>
      </c>
      <c r="E60" s="342" t="s">
        <v>2527</v>
      </c>
      <c r="F60" s="342" t="s">
        <v>47</v>
      </c>
      <c r="G60" s="342" t="s">
        <v>2528</v>
      </c>
      <c r="H60" s="342" t="s">
        <v>591</v>
      </c>
      <c r="I60" s="342" t="s">
        <v>40</v>
      </c>
      <c r="J60" s="342" t="s">
        <v>1510</v>
      </c>
      <c r="K60" s="342" t="s">
        <v>1402</v>
      </c>
      <c r="L60" s="343">
        <v>44926</v>
      </c>
      <c r="M60" s="343">
        <v>44161</v>
      </c>
      <c r="O60" s="342" t="s">
        <v>2530</v>
      </c>
      <c r="P60" s="342" t="s">
        <v>5711</v>
      </c>
      <c r="Q60" s="342">
        <v>6115594528</v>
      </c>
      <c r="R60" s="342">
        <v>9110</v>
      </c>
      <c r="V60" s="342" t="s">
        <v>2099</v>
      </c>
      <c r="W60" s="342">
        <v>90204</v>
      </c>
      <c r="X60" s="342" t="s">
        <v>5118</v>
      </c>
      <c r="Y60" s="343">
        <v>41718</v>
      </c>
      <c r="Z60" s="342" t="s">
        <v>4063</v>
      </c>
      <c r="AA60" s="343">
        <v>44161</v>
      </c>
      <c r="AB60" s="342" t="s">
        <v>4064</v>
      </c>
      <c r="AC60" s="342" t="s">
        <v>4064</v>
      </c>
      <c r="AD60" s="342" t="s">
        <v>4065</v>
      </c>
      <c r="AH60" s="342" t="s">
        <v>4079</v>
      </c>
      <c r="AI60" s="342" t="s">
        <v>4067</v>
      </c>
      <c r="AJ60" s="342" t="s">
        <v>5854</v>
      </c>
      <c r="AK60" s="342">
        <v>26829</v>
      </c>
      <c r="AL60" s="342">
        <v>10064</v>
      </c>
      <c r="AM60" s="342" t="s">
        <v>4907</v>
      </c>
      <c r="AR60" s="342" t="s">
        <v>4092</v>
      </c>
    </row>
    <row r="61" spans="1:44">
      <c r="A61" s="342">
        <v>154780</v>
      </c>
      <c r="B61" s="342" t="s">
        <v>1495</v>
      </c>
      <c r="C61" s="342" t="s">
        <v>1496</v>
      </c>
      <c r="D61" s="342">
        <v>33142</v>
      </c>
      <c r="E61" s="342" t="s">
        <v>110</v>
      </c>
      <c r="F61" s="342" t="s">
        <v>51</v>
      </c>
      <c r="G61" s="342">
        <v>57399</v>
      </c>
      <c r="H61" s="342" t="s">
        <v>591</v>
      </c>
      <c r="I61" s="342" t="s">
        <v>40</v>
      </c>
      <c r="J61" s="342" t="s">
        <v>5280</v>
      </c>
      <c r="K61" s="342" t="s">
        <v>1233</v>
      </c>
      <c r="L61" s="343">
        <v>45291</v>
      </c>
      <c r="M61" s="343">
        <v>44180</v>
      </c>
      <c r="O61" s="342" t="s">
        <v>4202</v>
      </c>
      <c r="P61" s="342" t="s">
        <v>5712</v>
      </c>
      <c r="Q61" s="342">
        <v>6130799104</v>
      </c>
      <c r="R61" s="342">
        <v>9110</v>
      </c>
      <c r="V61" s="342" t="s">
        <v>2099</v>
      </c>
      <c r="W61" s="342">
        <v>70086</v>
      </c>
      <c r="X61" s="342" t="s">
        <v>4419</v>
      </c>
      <c r="Y61" s="343">
        <v>44180</v>
      </c>
      <c r="Z61" s="342" t="s">
        <v>4063</v>
      </c>
      <c r="AA61" s="343">
        <v>44180</v>
      </c>
      <c r="AB61" s="342" t="s">
        <v>4064</v>
      </c>
      <c r="AC61" s="342" t="s">
        <v>4064</v>
      </c>
      <c r="AD61" s="342" t="s">
        <v>4065</v>
      </c>
      <c r="AH61" s="342" t="s">
        <v>4226</v>
      </c>
      <c r="AI61" s="342" t="s">
        <v>4067</v>
      </c>
      <c r="AJ61" s="342" t="s">
        <v>5846</v>
      </c>
      <c r="AK61" s="342">
        <v>12876</v>
      </c>
    </row>
    <row r="62" spans="1:44">
      <c r="A62" s="342">
        <v>154799</v>
      </c>
      <c r="B62" s="342" t="s">
        <v>1187</v>
      </c>
      <c r="C62" s="342" t="s">
        <v>1188</v>
      </c>
      <c r="D62" s="342">
        <v>49512</v>
      </c>
      <c r="E62" s="342" t="s">
        <v>422</v>
      </c>
      <c r="F62" s="342" t="s">
        <v>51</v>
      </c>
      <c r="G62" s="342">
        <v>17472</v>
      </c>
      <c r="H62" s="342" t="s">
        <v>591</v>
      </c>
      <c r="I62" s="342" t="s">
        <v>40</v>
      </c>
      <c r="J62" s="342" t="s">
        <v>5279</v>
      </c>
      <c r="K62" s="342" t="s">
        <v>1402</v>
      </c>
      <c r="L62" s="343">
        <v>45291</v>
      </c>
      <c r="M62" s="343">
        <v>44547</v>
      </c>
      <c r="O62" s="342" t="s">
        <v>4811</v>
      </c>
      <c r="P62" s="342" t="s">
        <v>5490</v>
      </c>
      <c r="Q62" s="342">
        <v>6115531565</v>
      </c>
      <c r="R62" s="342">
        <v>9110</v>
      </c>
      <c r="V62" s="342" t="s">
        <v>2099</v>
      </c>
      <c r="W62" s="342">
        <v>70241</v>
      </c>
      <c r="X62" s="342" t="s">
        <v>5386</v>
      </c>
      <c r="Y62" s="343">
        <v>43270</v>
      </c>
      <c r="Z62" s="342" t="s">
        <v>4063</v>
      </c>
      <c r="AA62" s="343">
        <v>44547</v>
      </c>
      <c r="AB62" s="342" t="s">
        <v>4064</v>
      </c>
      <c r="AC62" s="342" t="s">
        <v>4064</v>
      </c>
      <c r="AD62" s="342" t="s">
        <v>4065</v>
      </c>
      <c r="AH62" s="342" t="s">
        <v>4069</v>
      </c>
      <c r="AI62" s="342" t="s">
        <v>4067</v>
      </c>
      <c r="AJ62" s="342" t="s">
        <v>5858</v>
      </c>
      <c r="AK62" s="342">
        <v>29480</v>
      </c>
    </row>
    <row r="63" spans="1:44">
      <c r="A63" s="342">
        <v>154804</v>
      </c>
      <c r="B63" s="342" t="s">
        <v>1221</v>
      </c>
      <c r="C63" s="342" t="s">
        <v>1222</v>
      </c>
      <c r="D63" s="342" t="s">
        <v>1223</v>
      </c>
      <c r="E63" s="342" t="s">
        <v>1224</v>
      </c>
      <c r="F63" s="342" t="s">
        <v>51</v>
      </c>
      <c r="G63" s="342">
        <v>2750</v>
      </c>
      <c r="H63" s="342" t="s">
        <v>591</v>
      </c>
      <c r="I63" s="342" t="s">
        <v>40</v>
      </c>
      <c r="J63" s="342" t="s">
        <v>5279</v>
      </c>
      <c r="K63" s="342" t="s">
        <v>1402</v>
      </c>
      <c r="L63" s="343">
        <v>45291</v>
      </c>
      <c r="M63" s="343">
        <v>44547</v>
      </c>
      <c r="O63" s="342" t="s">
        <v>6017</v>
      </c>
      <c r="P63" s="342" t="s">
        <v>5713</v>
      </c>
      <c r="Q63" s="342">
        <v>6111038185</v>
      </c>
      <c r="R63" s="342">
        <v>9110</v>
      </c>
      <c r="V63" s="342" t="s">
        <v>2099</v>
      </c>
      <c r="W63" s="342">
        <v>301944</v>
      </c>
      <c r="X63" s="342" t="s">
        <v>5386</v>
      </c>
      <c r="Y63" s="343">
        <v>41794</v>
      </c>
      <c r="Z63" s="342" t="s">
        <v>4063</v>
      </c>
      <c r="AA63" s="343">
        <v>44547</v>
      </c>
      <c r="AB63" s="342" t="s">
        <v>4064</v>
      </c>
      <c r="AC63" s="342" t="s">
        <v>4064</v>
      </c>
      <c r="AD63" s="342" t="s">
        <v>4065</v>
      </c>
      <c r="AI63" s="342" t="s">
        <v>4067</v>
      </c>
      <c r="AJ63" s="342" t="s">
        <v>5868</v>
      </c>
    </row>
    <row r="64" spans="1:44">
      <c r="A64" s="342">
        <v>154822</v>
      </c>
      <c r="B64" s="342" t="s">
        <v>142</v>
      </c>
      <c r="C64" s="342" t="s">
        <v>143</v>
      </c>
      <c r="D64" s="342" t="s">
        <v>144</v>
      </c>
      <c r="E64" s="342" t="s">
        <v>145</v>
      </c>
      <c r="F64" s="342" t="s">
        <v>51</v>
      </c>
      <c r="G64" s="342">
        <v>62983</v>
      </c>
      <c r="H64" s="342" t="s">
        <v>591</v>
      </c>
      <c r="I64" s="342" t="s">
        <v>40</v>
      </c>
      <c r="J64" s="342" t="s">
        <v>5279</v>
      </c>
      <c r="K64" s="342" t="s">
        <v>1402</v>
      </c>
      <c r="L64" s="343">
        <v>45291</v>
      </c>
      <c r="M64" s="343">
        <v>44547</v>
      </c>
      <c r="O64" s="342" t="s">
        <v>6018</v>
      </c>
      <c r="P64" s="342" t="s">
        <v>5714</v>
      </c>
      <c r="Q64" s="342">
        <v>6111784701</v>
      </c>
      <c r="R64" s="342">
        <v>9110</v>
      </c>
      <c r="V64" s="342" t="s">
        <v>2099</v>
      </c>
      <c r="W64" s="342">
        <v>100158</v>
      </c>
      <c r="X64" s="342" t="s">
        <v>5971</v>
      </c>
      <c r="Y64" s="343">
        <v>41690</v>
      </c>
      <c r="Z64" s="342" t="s">
        <v>4063</v>
      </c>
      <c r="AA64" s="343">
        <v>44547</v>
      </c>
      <c r="AB64" s="342" t="s">
        <v>4064</v>
      </c>
      <c r="AC64" s="342" t="s">
        <v>4064</v>
      </c>
      <c r="AD64" s="342" t="s">
        <v>4065</v>
      </c>
      <c r="AH64" s="342" t="s">
        <v>4090</v>
      </c>
      <c r="AI64" s="342" t="s">
        <v>4067</v>
      </c>
      <c r="AJ64" s="342" t="s">
        <v>5868</v>
      </c>
      <c r="AK64" s="342">
        <v>18961</v>
      </c>
      <c r="AL64" s="342">
        <v>4761</v>
      </c>
      <c r="AM64" s="342" t="s">
        <v>4737</v>
      </c>
    </row>
    <row r="65" spans="1:44">
      <c r="A65" s="342">
        <v>154827</v>
      </c>
      <c r="B65" s="342" t="s">
        <v>5251</v>
      </c>
      <c r="C65" s="342" t="s">
        <v>5252</v>
      </c>
      <c r="D65" s="342">
        <v>82205</v>
      </c>
      <c r="E65" s="342" t="s">
        <v>88</v>
      </c>
      <c r="F65" s="342" t="s">
        <v>55</v>
      </c>
      <c r="G65" s="342" t="s">
        <v>5253</v>
      </c>
      <c r="H65" s="342" t="s">
        <v>1194</v>
      </c>
      <c r="I65" s="342" t="s">
        <v>40</v>
      </c>
      <c r="J65" s="342" t="s">
        <v>5279</v>
      </c>
      <c r="L65" s="343">
        <v>44926</v>
      </c>
      <c r="N65" s="343">
        <v>44926</v>
      </c>
      <c r="R65" s="342">
        <v>9110</v>
      </c>
      <c r="W65" s="342">
        <v>351653</v>
      </c>
      <c r="X65" s="342" t="s">
        <v>5277</v>
      </c>
      <c r="AD65" s="342" t="s">
        <v>4065</v>
      </c>
      <c r="AH65" s="342" t="s">
        <v>5525</v>
      </c>
      <c r="AI65" s="342" t="s">
        <v>4067</v>
      </c>
      <c r="AJ65" s="342" t="s">
        <v>5869</v>
      </c>
    </row>
    <row r="66" spans="1:44">
      <c r="A66" s="342">
        <v>155695</v>
      </c>
      <c r="B66" s="342" t="s">
        <v>604</v>
      </c>
      <c r="C66" s="342" t="s">
        <v>146</v>
      </c>
      <c r="D66" s="342" t="s">
        <v>605</v>
      </c>
      <c r="E66" s="342" t="s">
        <v>147</v>
      </c>
      <c r="F66" s="342" t="s">
        <v>51</v>
      </c>
      <c r="G66" s="342">
        <v>8748</v>
      </c>
      <c r="H66" s="342" t="s">
        <v>591</v>
      </c>
      <c r="I66" s="342" t="s">
        <v>40</v>
      </c>
      <c r="J66" s="342" t="s">
        <v>1421</v>
      </c>
      <c r="K66" s="342" t="s">
        <v>1402</v>
      </c>
      <c r="L66" s="343">
        <v>44926</v>
      </c>
      <c r="M66" s="343">
        <v>44180</v>
      </c>
      <c r="O66" s="342" t="s">
        <v>5605</v>
      </c>
      <c r="P66" s="342" t="s">
        <v>5715</v>
      </c>
      <c r="Q66" s="342">
        <v>6119315541</v>
      </c>
      <c r="R66" s="342">
        <v>9110</v>
      </c>
      <c r="S66" s="342" t="s">
        <v>1575</v>
      </c>
      <c r="V66" s="342" t="s">
        <v>2099</v>
      </c>
      <c r="W66" s="342">
        <v>70282</v>
      </c>
      <c r="X66" s="342" t="s">
        <v>4125</v>
      </c>
      <c r="Y66" s="343">
        <v>39419</v>
      </c>
      <c r="Z66" s="342" t="s">
        <v>4063</v>
      </c>
      <c r="AA66" s="343">
        <v>44180</v>
      </c>
      <c r="AB66" s="342" t="s">
        <v>4064</v>
      </c>
      <c r="AC66" s="342" t="s">
        <v>4064</v>
      </c>
      <c r="AD66" s="342" t="s">
        <v>4065</v>
      </c>
      <c r="AH66" s="342" t="s">
        <v>4069</v>
      </c>
      <c r="AI66" s="342" t="s">
        <v>4067</v>
      </c>
      <c r="AJ66" s="342" t="s">
        <v>5868</v>
      </c>
      <c r="AK66" s="342">
        <v>12373</v>
      </c>
    </row>
    <row r="67" spans="1:44">
      <c r="A67" s="342">
        <v>155870</v>
      </c>
      <c r="B67" s="342" t="s">
        <v>148</v>
      </c>
      <c r="C67" s="342" t="s">
        <v>149</v>
      </c>
      <c r="D67" s="342">
        <v>85053</v>
      </c>
      <c r="E67" s="342" t="s">
        <v>150</v>
      </c>
      <c r="F67" s="342" t="s">
        <v>55</v>
      </c>
      <c r="G67" s="342" t="s">
        <v>821</v>
      </c>
      <c r="H67" s="342" t="s">
        <v>591</v>
      </c>
      <c r="I67" s="342" t="s">
        <v>40</v>
      </c>
      <c r="J67" s="342" t="s">
        <v>1277</v>
      </c>
      <c r="K67" s="342" t="s">
        <v>1402</v>
      </c>
      <c r="L67" s="343">
        <v>45535</v>
      </c>
      <c r="M67" s="343">
        <v>44438</v>
      </c>
      <c r="O67" s="342" t="s">
        <v>1490</v>
      </c>
      <c r="P67" s="342" t="s">
        <v>4503</v>
      </c>
      <c r="Q67" s="342">
        <v>6119301160</v>
      </c>
      <c r="R67" s="342">
        <v>9110</v>
      </c>
      <c r="T67" s="342" t="s">
        <v>2034</v>
      </c>
      <c r="V67" s="342" t="s">
        <v>2099</v>
      </c>
      <c r="W67" s="342">
        <v>70306</v>
      </c>
      <c r="X67" s="342" t="s">
        <v>4536</v>
      </c>
      <c r="Y67" s="343">
        <v>39419</v>
      </c>
      <c r="Z67" s="342" t="s">
        <v>4063</v>
      </c>
      <c r="AA67" s="343">
        <v>44438</v>
      </c>
      <c r="AB67" s="342" t="s">
        <v>4064</v>
      </c>
      <c r="AC67" s="342" t="s">
        <v>4064</v>
      </c>
      <c r="AD67" s="342" t="s">
        <v>4065</v>
      </c>
      <c r="AH67" s="342" t="s">
        <v>4069</v>
      </c>
      <c r="AI67" s="342" t="s">
        <v>4067</v>
      </c>
      <c r="AJ67" s="342" t="s">
        <v>5854</v>
      </c>
      <c r="AK67" s="342">
        <v>13003</v>
      </c>
      <c r="AN67" s="342" t="s">
        <v>4456</v>
      </c>
    </row>
    <row r="68" spans="1:44">
      <c r="A68" s="342">
        <v>156442</v>
      </c>
      <c r="B68" s="342" t="s">
        <v>152</v>
      </c>
      <c r="C68" s="342" t="s">
        <v>153</v>
      </c>
      <c r="D68" s="342">
        <v>35824</v>
      </c>
      <c r="E68" s="342" t="s">
        <v>154</v>
      </c>
      <c r="F68" s="342" t="s">
        <v>51</v>
      </c>
      <c r="G68" s="342" t="s">
        <v>822</v>
      </c>
      <c r="H68" s="342" t="s">
        <v>591</v>
      </c>
      <c r="I68" s="342" t="s">
        <v>40</v>
      </c>
      <c r="J68" s="342" t="s">
        <v>5450</v>
      </c>
      <c r="K68" s="342" t="s">
        <v>1402</v>
      </c>
      <c r="L68" s="343">
        <v>45322</v>
      </c>
      <c r="M68" s="343">
        <v>44221</v>
      </c>
      <c r="O68" s="342" t="s">
        <v>5455</v>
      </c>
      <c r="P68" s="342" t="s">
        <v>4795</v>
      </c>
      <c r="Q68" s="342">
        <v>6139620782</v>
      </c>
      <c r="R68" s="342">
        <v>9110</v>
      </c>
      <c r="V68" s="342" t="s">
        <v>2099</v>
      </c>
      <c r="W68" s="342">
        <v>70090</v>
      </c>
      <c r="X68" s="342" t="s">
        <v>5238</v>
      </c>
      <c r="Y68" s="343">
        <v>39419</v>
      </c>
      <c r="Z68" s="342" t="s">
        <v>4063</v>
      </c>
      <c r="AA68" s="343">
        <v>44221</v>
      </c>
      <c r="AB68" s="342" t="s">
        <v>4064</v>
      </c>
      <c r="AC68" s="342" t="s">
        <v>4064</v>
      </c>
      <c r="AD68" s="342" t="s">
        <v>4065</v>
      </c>
      <c r="AH68" s="342" t="s">
        <v>4075</v>
      </c>
      <c r="AI68" s="342" t="s">
        <v>4067</v>
      </c>
      <c r="AJ68" s="342" t="s">
        <v>6092</v>
      </c>
      <c r="AK68" s="342">
        <v>23200</v>
      </c>
    </row>
    <row r="69" spans="1:44">
      <c r="A69" s="342">
        <v>156721</v>
      </c>
      <c r="B69" s="342" t="s">
        <v>1468</v>
      </c>
      <c r="C69" s="342" t="s">
        <v>1173</v>
      </c>
      <c r="D69" s="342">
        <v>79180</v>
      </c>
      <c r="E69" s="342" t="s">
        <v>1174</v>
      </c>
      <c r="F69" s="342" t="s">
        <v>47</v>
      </c>
      <c r="G69" s="342" t="s">
        <v>621</v>
      </c>
      <c r="H69" s="342" t="s">
        <v>591</v>
      </c>
      <c r="I69" s="342" t="s">
        <v>40</v>
      </c>
      <c r="J69" s="342" t="s">
        <v>5280</v>
      </c>
      <c r="K69" s="342" t="s">
        <v>5218</v>
      </c>
      <c r="L69" s="343">
        <v>45382</v>
      </c>
      <c r="M69" s="343">
        <v>44649</v>
      </c>
      <c r="O69" s="342" t="s">
        <v>5549</v>
      </c>
      <c r="P69" s="342" t="s">
        <v>5716</v>
      </c>
      <c r="Q69" s="342">
        <v>6152723080</v>
      </c>
      <c r="R69" s="342">
        <v>9110</v>
      </c>
      <c r="V69" s="342" t="s">
        <v>2099</v>
      </c>
      <c r="W69" s="342">
        <v>204637</v>
      </c>
      <c r="X69" s="342" t="s">
        <v>4094</v>
      </c>
      <c r="Y69" s="343">
        <v>39419</v>
      </c>
      <c r="Z69" s="342" t="s">
        <v>4063</v>
      </c>
      <c r="AA69" s="343">
        <v>44649</v>
      </c>
      <c r="AB69" s="342" t="s">
        <v>4064</v>
      </c>
      <c r="AC69" s="342" t="s">
        <v>4064</v>
      </c>
      <c r="AD69" s="342" t="s">
        <v>4065</v>
      </c>
      <c r="AH69" s="342" t="s">
        <v>4095</v>
      </c>
      <c r="AI69" s="342" t="s">
        <v>4067</v>
      </c>
      <c r="AJ69" s="342" t="s">
        <v>6093</v>
      </c>
      <c r="AK69" s="342">
        <v>12898</v>
      </c>
      <c r="AR69" s="342" t="s">
        <v>4096</v>
      </c>
    </row>
    <row r="70" spans="1:44">
      <c r="A70" s="342">
        <v>157178</v>
      </c>
      <c r="B70" s="342" t="s">
        <v>5893</v>
      </c>
      <c r="C70" s="342" t="s">
        <v>1066</v>
      </c>
      <c r="D70" s="342">
        <v>22880</v>
      </c>
      <c r="E70" s="342" t="s">
        <v>155</v>
      </c>
      <c r="F70" s="342" t="s">
        <v>55</v>
      </c>
      <c r="G70" s="342" t="s">
        <v>823</v>
      </c>
      <c r="H70" s="342" t="s">
        <v>591</v>
      </c>
      <c r="I70" s="342" t="s">
        <v>40</v>
      </c>
      <c r="J70" s="342" t="s">
        <v>5280</v>
      </c>
      <c r="K70" s="342" t="s">
        <v>1402</v>
      </c>
      <c r="L70" s="343">
        <v>45199</v>
      </c>
      <c r="M70" s="343">
        <v>44091</v>
      </c>
      <c r="O70" s="342" t="s">
        <v>5606</v>
      </c>
      <c r="P70" s="342" t="s">
        <v>5491</v>
      </c>
      <c r="Q70" s="342">
        <v>6111831201</v>
      </c>
      <c r="R70" s="342">
        <v>9110</v>
      </c>
      <c r="T70" s="342" t="s">
        <v>2036</v>
      </c>
      <c r="V70" s="342" t="s">
        <v>2099</v>
      </c>
      <c r="W70" s="342">
        <v>70092</v>
      </c>
      <c r="X70" s="342" t="s">
        <v>5235</v>
      </c>
      <c r="Y70" s="343">
        <v>39766</v>
      </c>
      <c r="Z70" s="342" t="s">
        <v>4063</v>
      </c>
      <c r="AA70" s="343">
        <v>44091</v>
      </c>
      <c r="AB70" s="342" t="s">
        <v>4064</v>
      </c>
      <c r="AC70" s="342" t="s">
        <v>4064</v>
      </c>
      <c r="AD70" s="342" t="s">
        <v>4065</v>
      </c>
      <c r="AH70" s="342" t="s">
        <v>4069</v>
      </c>
      <c r="AI70" s="342" t="s">
        <v>4067</v>
      </c>
      <c r="AJ70" s="342" t="s">
        <v>6094</v>
      </c>
      <c r="AK70" s="342">
        <v>13183</v>
      </c>
    </row>
    <row r="71" spans="1:44">
      <c r="A71" s="342">
        <v>157485</v>
      </c>
      <c r="B71" s="342" t="s">
        <v>156</v>
      </c>
      <c r="C71" s="342" t="s">
        <v>157</v>
      </c>
      <c r="D71" s="342">
        <v>86609</v>
      </c>
      <c r="E71" s="342" t="s">
        <v>158</v>
      </c>
      <c r="F71" s="342" t="s">
        <v>55</v>
      </c>
      <c r="G71" s="342" t="s">
        <v>824</v>
      </c>
      <c r="H71" s="342" t="s">
        <v>591</v>
      </c>
      <c r="I71" s="342" t="s">
        <v>40</v>
      </c>
      <c r="J71" s="342" t="s">
        <v>1421</v>
      </c>
      <c r="K71" s="342" t="s">
        <v>1402</v>
      </c>
      <c r="L71" s="343">
        <v>45596</v>
      </c>
      <c r="M71" s="343">
        <v>44491</v>
      </c>
      <c r="O71" s="342" t="s">
        <v>5125</v>
      </c>
      <c r="P71" s="342" t="s">
        <v>5421</v>
      </c>
      <c r="Q71" s="342">
        <v>6116233040</v>
      </c>
      <c r="R71" s="342">
        <v>9110</v>
      </c>
      <c r="V71" s="342" t="s">
        <v>2099</v>
      </c>
      <c r="W71" s="342">
        <v>204483</v>
      </c>
      <c r="X71" s="342" t="s">
        <v>4097</v>
      </c>
      <c r="Y71" s="343">
        <v>39419</v>
      </c>
      <c r="Z71" s="342" t="s">
        <v>4063</v>
      </c>
      <c r="AA71" s="343">
        <v>44491</v>
      </c>
      <c r="AB71" s="342" t="s">
        <v>4064</v>
      </c>
      <c r="AC71" s="342" t="s">
        <v>4064</v>
      </c>
      <c r="AD71" s="342" t="s">
        <v>4065</v>
      </c>
      <c r="AH71" s="342" t="s">
        <v>4079</v>
      </c>
      <c r="AI71" s="342" t="s">
        <v>4067</v>
      </c>
      <c r="AJ71" s="342" t="s">
        <v>5864</v>
      </c>
      <c r="AK71" s="342">
        <v>13214</v>
      </c>
      <c r="AR71" s="342" t="s">
        <v>4098</v>
      </c>
    </row>
    <row r="72" spans="1:44">
      <c r="A72" s="342">
        <v>159338</v>
      </c>
      <c r="B72" s="342" t="s">
        <v>160</v>
      </c>
      <c r="C72" s="342" t="s">
        <v>161</v>
      </c>
      <c r="D72" s="342">
        <v>4910</v>
      </c>
      <c r="E72" s="342" t="s">
        <v>162</v>
      </c>
      <c r="F72" s="342" t="s">
        <v>163</v>
      </c>
      <c r="G72" s="342" t="s">
        <v>825</v>
      </c>
      <c r="H72" s="342" t="s">
        <v>591</v>
      </c>
      <c r="I72" s="342" t="s">
        <v>40</v>
      </c>
      <c r="J72" s="342" t="s">
        <v>1288</v>
      </c>
      <c r="K72" s="342" t="s">
        <v>1233</v>
      </c>
      <c r="L72" s="343">
        <v>45504</v>
      </c>
      <c r="M72" s="343">
        <v>44404</v>
      </c>
      <c r="O72" s="342" t="s">
        <v>5415</v>
      </c>
      <c r="P72" s="342" t="s">
        <v>5717</v>
      </c>
      <c r="Q72" s="342">
        <v>6111868928</v>
      </c>
      <c r="R72" s="342">
        <v>9110</v>
      </c>
      <c r="V72" s="342" t="s">
        <v>2099</v>
      </c>
      <c r="W72" s="342">
        <v>204818</v>
      </c>
      <c r="X72" s="342" t="s">
        <v>4275</v>
      </c>
      <c r="Y72" s="343">
        <v>39560</v>
      </c>
      <c r="Z72" s="342" t="s">
        <v>4063</v>
      </c>
      <c r="AA72" s="343">
        <v>44404</v>
      </c>
      <c r="AB72" s="342" t="s">
        <v>4064</v>
      </c>
      <c r="AC72" s="342" t="s">
        <v>4064</v>
      </c>
      <c r="AD72" s="342" t="s">
        <v>4065</v>
      </c>
      <c r="AH72" s="342" t="s">
        <v>4099</v>
      </c>
      <c r="AI72" s="342" t="s">
        <v>4067</v>
      </c>
      <c r="AJ72" s="342" t="s">
        <v>5881</v>
      </c>
      <c r="AK72" s="342">
        <v>13413</v>
      </c>
      <c r="AM72" s="342" t="s">
        <v>5931</v>
      </c>
      <c r="AR72" s="342" t="s">
        <v>4100</v>
      </c>
    </row>
    <row r="73" spans="1:44">
      <c r="A73" s="342">
        <v>159846</v>
      </c>
      <c r="B73" s="342" t="s">
        <v>1170</v>
      </c>
      <c r="C73" s="342" t="s">
        <v>164</v>
      </c>
      <c r="D73" s="342" t="s">
        <v>165</v>
      </c>
      <c r="E73" s="342" t="s">
        <v>166</v>
      </c>
      <c r="F73" s="342" t="s">
        <v>97</v>
      </c>
      <c r="G73" s="342" t="s">
        <v>1171</v>
      </c>
      <c r="H73" s="342" t="s">
        <v>591</v>
      </c>
      <c r="I73" s="342" t="s">
        <v>40</v>
      </c>
      <c r="J73" s="342" t="s">
        <v>1510</v>
      </c>
      <c r="K73" s="342" t="s">
        <v>1233</v>
      </c>
      <c r="L73" s="343">
        <v>45107</v>
      </c>
      <c r="M73" s="343">
        <v>44441</v>
      </c>
      <c r="O73" s="342" t="s">
        <v>4555</v>
      </c>
      <c r="P73" s="342" t="s">
        <v>1538</v>
      </c>
      <c r="Q73" s="342">
        <v>6147236126</v>
      </c>
      <c r="R73" s="342">
        <v>9110</v>
      </c>
      <c r="V73" s="342" t="s">
        <v>2099</v>
      </c>
      <c r="W73" s="342">
        <v>229189</v>
      </c>
      <c r="X73" s="342" t="s">
        <v>4988</v>
      </c>
      <c r="Y73" s="343">
        <v>39419</v>
      </c>
      <c r="Z73" s="342" t="s">
        <v>4063</v>
      </c>
      <c r="AA73" s="343">
        <v>44441</v>
      </c>
      <c r="AB73" s="342" t="s">
        <v>4064</v>
      </c>
      <c r="AC73" s="342" t="s">
        <v>4064</v>
      </c>
      <c r="AD73" s="342" t="s">
        <v>4065</v>
      </c>
      <c r="AI73" s="342" t="s">
        <v>4067</v>
      </c>
      <c r="AJ73" s="342" t="s">
        <v>5866</v>
      </c>
    </row>
    <row r="74" spans="1:44">
      <c r="A74" s="342">
        <v>159850</v>
      </c>
      <c r="B74" s="342" t="s">
        <v>1436</v>
      </c>
      <c r="C74" s="342" t="s">
        <v>1437</v>
      </c>
      <c r="D74" s="342" t="s">
        <v>165</v>
      </c>
      <c r="E74" s="342" t="s">
        <v>166</v>
      </c>
      <c r="F74" s="342" t="s">
        <v>97</v>
      </c>
      <c r="G74" s="342" t="s">
        <v>1438</v>
      </c>
      <c r="H74" s="342" t="s">
        <v>591</v>
      </c>
      <c r="I74" s="342" t="s">
        <v>40</v>
      </c>
      <c r="J74" s="342" t="s">
        <v>1510</v>
      </c>
      <c r="K74" s="342" t="s">
        <v>1233</v>
      </c>
      <c r="L74" s="343">
        <v>45107</v>
      </c>
      <c r="M74" s="343">
        <v>44179</v>
      </c>
      <c r="O74" s="342" t="s">
        <v>4263</v>
      </c>
      <c r="P74" s="342" t="s">
        <v>5718</v>
      </c>
      <c r="Q74" s="342">
        <v>6111683983</v>
      </c>
      <c r="R74" s="342">
        <v>9100</v>
      </c>
      <c r="U74" s="342" t="s">
        <v>4196</v>
      </c>
      <c r="V74" s="342" t="s">
        <v>2099</v>
      </c>
      <c r="W74" s="342">
        <v>228038</v>
      </c>
      <c r="X74" s="342" t="s">
        <v>4908</v>
      </c>
      <c r="Y74" s="343">
        <v>44179</v>
      </c>
      <c r="Z74" s="342" t="s">
        <v>4063</v>
      </c>
      <c r="AA74" s="343">
        <v>44179</v>
      </c>
      <c r="AB74" s="342" t="s">
        <v>4064</v>
      </c>
      <c r="AC74" s="342" t="s">
        <v>4064</v>
      </c>
      <c r="AD74" s="342" t="s">
        <v>4065</v>
      </c>
      <c r="AH74" s="342" t="s">
        <v>4079</v>
      </c>
      <c r="AI74" s="342" t="s">
        <v>4067</v>
      </c>
      <c r="AJ74" s="342" t="s">
        <v>5851</v>
      </c>
      <c r="AK74" s="342">
        <v>13482</v>
      </c>
      <c r="AR74" s="342" t="s">
        <v>4101</v>
      </c>
    </row>
    <row r="75" spans="1:44">
      <c r="A75" s="342">
        <v>160225</v>
      </c>
      <c r="B75" s="342" t="s">
        <v>167</v>
      </c>
      <c r="C75" s="342" t="s">
        <v>168</v>
      </c>
      <c r="D75" s="342" t="s">
        <v>169</v>
      </c>
      <c r="E75" s="342" t="s">
        <v>170</v>
      </c>
      <c r="F75" s="342" t="s">
        <v>45</v>
      </c>
      <c r="G75" s="342" t="s">
        <v>826</v>
      </c>
      <c r="H75" s="342" t="s">
        <v>591</v>
      </c>
      <c r="I75" s="342" t="s">
        <v>40</v>
      </c>
      <c r="J75" s="342" t="s">
        <v>5279</v>
      </c>
      <c r="K75" s="342" t="s">
        <v>1402</v>
      </c>
      <c r="L75" s="343">
        <v>45291</v>
      </c>
      <c r="M75" s="343">
        <v>44547</v>
      </c>
      <c r="O75" s="342" t="s">
        <v>5980</v>
      </c>
      <c r="P75" s="342" t="s">
        <v>5719</v>
      </c>
      <c r="Q75" s="342">
        <v>6113708086</v>
      </c>
      <c r="R75" s="342">
        <v>9110</v>
      </c>
      <c r="V75" s="342" t="s">
        <v>2099</v>
      </c>
      <c r="W75" s="342">
        <v>30062</v>
      </c>
      <c r="X75" s="342" t="s">
        <v>4076</v>
      </c>
      <c r="Y75" s="343">
        <v>39766</v>
      </c>
      <c r="Z75" s="342" t="s">
        <v>4063</v>
      </c>
      <c r="AA75" s="343">
        <v>44547</v>
      </c>
      <c r="AB75" s="342" t="s">
        <v>4064</v>
      </c>
      <c r="AC75" s="342" t="s">
        <v>4064</v>
      </c>
      <c r="AD75" s="342" t="s">
        <v>4065</v>
      </c>
      <c r="AH75" s="342" t="s">
        <v>4069</v>
      </c>
      <c r="AI75" s="342" t="s">
        <v>4067</v>
      </c>
      <c r="AJ75" s="342" t="s">
        <v>5868</v>
      </c>
      <c r="AK75" s="342">
        <v>13724</v>
      </c>
      <c r="AM75" s="342" t="s">
        <v>5587</v>
      </c>
    </row>
    <row r="76" spans="1:44">
      <c r="A76" s="342">
        <v>160759</v>
      </c>
      <c r="B76" s="342" t="s">
        <v>171</v>
      </c>
      <c r="C76" s="342" t="s">
        <v>172</v>
      </c>
      <c r="D76" s="342">
        <v>27012</v>
      </c>
      <c r="E76" s="342" t="s">
        <v>173</v>
      </c>
      <c r="F76" s="342" t="s">
        <v>51</v>
      </c>
      <c r="G76" s="342" t="s">
        <v>827</v>
      </c>
      <c r="H76" s="342" t="s">
        <v>591</v>
      </c>
      <c r="I76" s="342" t="s">
        <v>40</v>
      </c>
      <c r="J76" s="342" t="s">
        <v>786</v>
      </c>
      <c r="K76" s="342" t="s">
        <v>1402</v>
      </c>
      <c r="L76" s="343">
        <v>45412</v>
      </c>
      <c r="M76" s="343">
        <v>44295</v>
      </c>
      <c r="O76" s="342" t="s">
        <v>5456</v>
      </c>
      <c r="P76" s="342" t="s">
        <v>5720</v>
      </c>
      <c r="Q76" s="342">
        <v>6110453266</v>
      </c>
      <c r="R76" s="342">
        <v>9110</v>
      </c>
      <c r="V76" s="342" t="s">
        <v>2099</v>
      </c>
      <c r="W76" s="342">
        <v>70100</v>
      </c>
      <c r="X76" s="342" t="s">
        <v>4078</v>
      </c>
      <c r="Y76" s="343">
        <v>39766</v>
      </c>
      <c r="Z76" s="342" t="s">
        <v>4063</v>
      </c>
      <c r="AA76" s="343">
        <v>44295</v>
      </c>
      <c r="AB76" s="342" t="s">
        <v>4064</v>
      </c>
      <c r="AC76" s="342" t="s">
        <v>4064</v>
      </c>
      <c r="AD76" s="342" t="s">
        <v>4065</v>
      </c>
      <c r="AH76" s="342" t="s">
        <v>4069</v>
      </c>
      <c r="AI76" s="342" t="s">
        <v>4067</v>
      </c>
      <c r="AJ76" s="342" t="s">
        <v>5850</v>
      </c>
      <c r="AK76" s="342">
        <v>32362</v>
      </c>
      <c r="AL76" s="342">
        <v>4183</v>
      </c>
      <c r="AN76" s="342" t="s">
        <v>4102</v>
      </c>
    </row>
    <row r="77" spans="1:44">
      <c r="A77" s="342">
        <v>161192</v>
      </c>
      <c r="B77" s="342" t="s">
        <v>726</v>
      </c>
      <c r="C77" s="342" t="s">
        <v>727</v>
      </c>
      <c r="D77" s="342" t="s">
        <v>728</v>
      </c>
      <c r="E77" s="342" t="s">
        <v>729</v>
      </c>
      <c r="F77" s="342" t="s">
        <v>51</v>
      </c>
      <c r="G77" s="342">
        <v>99837</v>
      </c>
      <c r="H77" s="342" t="s">
        <v>591</v>
      </c>
      <c r="I77" s="342" t="s">
        <v>40</v>
      </c>
      <c r="J77" s="342" t="s">
        <v>1277</v>
      </c>
      <c r="K77" s="342" t="s">
        <v>1402</v>
      </c>
      <c r="L77" s="343">
        <v>45747</v>
      </c>
      <c r="M77" s="343">
        <v>44649</v>
      </c>
      <c r="O77" s="342" t="s">
        <v>4345</v>
      </c>
      <c r="P77" s="342" t="s">
        <v>5375</v>
      </c>
      <c r="Q77" s="342">
        <v>6111645604</v>
      </c>
      <c r="R77" s="342">
        <v>9110</v>
      </c>
      <c r="V77" s="342" t="s">
        <v>2099</v>
      </c>
      <c r="W77" s="342">
        <v>100198</v>
      </c>
      <c r="X77" s="342" t="s">
        <v>4154</v>
      </c>
      <c r="Y77" s="343">
        <v>42446</v>
      </c>
      <c r="Z77" s="342" t="s">
        <v>4063</v>
      </c>
      <c r="AA77" s="343">
        <v>44649</v>
      </c>
      <c r="AB77" s="342" t="s">
        <v>4064</v>
      </c>
      <c r="AC77" s="342" t="s">
        <v>4064</v>
      </c>
      <c r="AD77" s="342" t="s">
        <v>4065</v>
      </c>
      <c r="AH77" s="342" t="s">
        <v>4069</v>
      </c>
      <c r="AI77" s="342" t="s">
        <v>4067</v>
      </c>
      <c r="AJ77" s="342" t="s">
        <v>5858</v>
      </c>
      <c r="AK77" s="342">
        <v>13657</v>
      </c>
    </row>
    <row r="78" spans="1:44">
      <c r="A78" s="342">
        <v>161320</v>
      </c>
      <c r="B78" s="342" t="s">
        <v>829</v>
      </c>
      <c r="C78" s="342" t="s">
        <v>830</v>
      </c>
      <c r="D78" s="342">
        <v>510470</v>
      </c>
      <c r="E78" s="342" t="s">
        <v>174</v>
      </c>
      <c r="F78" s="342" t="s">
        <v>175</v>
      </c>
      <c r="H78" s="342" t="s">
        <v>591</v>
      </c>
      <c r="I78" s="342" t="s">
        <v>41</v>
      </c>
      <c r="J78" s="342" t="s">
        <v>786</v>
      </c>
      <c r="K78" s="342" t="s">
        <v>1402</v>
      </c>
      <c r="L78" s="343">
        <v>45107</v>
      </c>
      <c r="M78" s="343">
        <v>44363</v>
      </c>
      <c r="O78" s="342" t="s">
        <v>6019</v>
      </c>
      <c r="P78" s="342" t="s">
        <v>5142</v>
      </c>
      <c r="Q78" s="342">
        <v>6136386207</v>
      </c>
      <c r="R78" s="342">
        <v>9110</v>
      </c>
      <c r="V78" s="342" t="s">
        <v>2217</v>
      </c>
      <c r="W78" s="342">
        <v>228793</v>
      </c>
      <c r="X78" s="342" t="s">
        <v>4995</v>
      </c>
      <c r="Y78" s="343">
        <v>41390</v>
      </c>
      <c r="Z78" s="342" t="s">
        <v>4063</v>
      </c>
      <c r="AA78" s="343">
        <v>44363</v>
      </c>
      <c r="AB78" s="342" t="s">
        <v>4064</v>
      </c>
      <c r="AC78" s="342" t="s">
        <v>4064</v>
      </c>
      <c r="AD78" s="342" t="s">
        <v>4065</v>
      </c>
      <c r="AI78" s="342" t="s">
        <v>4067</v>
      </c>
      <c r="AJ78" s="342" t="s">
        <v>5850</v>
      </c>
    </row>
    <row r="79" spans="1:44">
      <c r="A79" s="342">
        <v>163288</v>
      </c>
      <c r="B79" s="342" t="s">
        <v>176</v>
      </c>
      <c r="C79" s="342" t="s">
        <v>177</v>
      </c>
      <c r="D79" s="342">
        <v>95310</v>
      </c>
      <c r="E79" s="342" t="s">
        <v>178</v>
      </c>
      <c r="F79" s="342" t="s">
        <v>47</v>
      </c>
      <c r="G79" s="342" t="s">
        <v>831</v>
      </c>
      <c r="H79" s="342" t="s">
        <v>591</v>
      </c>
      <c r="I79" s="342" t="s">
        <v>40</v>
      </c>
      <c r="J79" s="342" t="s">
        <v>5282</v>
      </c>
      <c r="K79" s="342" t="s">
        <v>1233</v>
      </c>
      <c r="L79" s="343">
        <v>45412</v>
      </c>
      <c r="M79" s="343">
        <v>44672</v>
      </c>
      <c r="O79" s="342" t="s">
        <v>5550</v>
      </c>
      <c r="P79" s="342" t="s">
        <v>5721</v>
      </c>
      <c r="Q79" s="342">
        <v>6119818488</v>
      </c>
      <c r="R79" s="342">
        <v>9110</v>
      </c>
      <c r="V79" s="342" t="s">
        <v>2099</v>
      </c>
      <c r="W79" s="342">
        <v>100395</v>
      </c>
      <c r="X79" s="342" t="s">
        <v>4135</v>
      </c>
      <c r="Y79" s="343">
        <v>39419</v>
      </c>
      <c r="Z79" s="342" t="s">
        <v>4063</v>
      </c>
      <c r="AA79" s="343">
        <v>44672</v>
      </c>
      <c r="AB79" s="342" t="s">
        <v>4064</v>
      </c>
      <c r="AC79" s="342" t="s">
        <v>4064</v>
      </c>
      <c r="AD79" s="342" t="s">
        <v>4065</v>
      </c>
      <c r="AH79" s="342" t="s">
        <v>4069</v>
      </c>
      <c r="AI79" s="342" t="s">
        <v>4067</v>
      </c>
      <c r="AJ79" s="342" t="s">
        <v>5851</v>
      </c>
      <c r="AK79" s="342">
        <v>15375</v>
      </c>
    </row>
    <row r="80" spans="1:44">
      <c r="A80" s="342">
        <v>163308</v>
      </c>
      <c r="B80" s="342" t="s">
        <v>179</v>
      </c>
      <c r="C80" s="342" t="s">
        <v>180</v>
      </c>
      <c r="D80" s="342">
        <v>27950</v>
      </c>
      <c r="E80" s="342" t="s">
        <v>181</v>
      </c>
      <c r="F80" s="342" t="s">
        <v>47</v>
      </c>
      <c r="G80" s="342" t="s">
        <v>4966</v>
      </c>
      <c r="H80" s="342" t="s">
        <v>591</v>
      </c>
      <c r="I80" s="342" t="s">
        <v>40</v>
      </c>
      <c r="J80" s="342" t="s">
        <v>5282</v>
      </c>
      <c r="K80" s="342" t="s">
        <v>1233</v>
      </c>
      <c r="L80" s="343">
        <v>45412</v>
      </c>
      <c r="M80" s="343">
        <v>44672</v>
      </c>
      <c r="O80" s="342" t="s">
        <v>5416</v>
      </c>
      <c r="P80" s="342" t="s">
        <v>5721</v>
      </c>
      <c r="Q80" s="342">
        <v>6126205848</v>
      </c>
      <c r="R80" s="342">
        <v>9110</v>
      </c>
      <c r="V80" s="342" t="s">
        <v>2099</v>
      </c>
      <c r="W80" s="342">
        <v>30250</v>
      </c>
      <c r="X80" s="342" t="s">
        <v>4135</v>
      </c>
      <c r="Y80" s="343">
        <v>39682</v>
      </c>
      <c r="Z80" s="342" t="s">
        <v>4063</v>
      </c>
      <c r="AA80" s="343">
        <v>44672</v>
      </c>
      <c r="AB80" s="342" t="s">
        <v>4064</v>
      </c>
      <c r="AC80" s="342" t="s">
        <v>4064</v>
      </c>
      <c r="AD80" s="342" t="s">
        <v>4065</v>
      </c>
      <c r="AH80" s="342" t="s">
        <v>4069</v>
      </c>
      <c r="AI80" s="342" t="s">
        <v>4067</v>
      </c>
      <c r="AJ80" s="342" t="s">
        <v>5853</v>
      </c>
      <c r="AK80" s="342">
        <v>17373</v>
      </c>
      <c r="AM80" s="342" t="s">
        <v>4103</v>
      </c>
    </row>
    <row r="81" spans="1:44">
      <c r="A81" s="342">
        <v>163325</v>
      </c>
      <c r="B81" s="342" t="s">
        <v>1374</v>
      </c>
      <c r="C81" s="342" t="s">
        <v>182</v>
      </c>
      <c r="D81" s="342">
        <v>59557</v>
      </c>
      <c r="E81" s="342" t="s">
        <v>183</v>
      </c>
      <c r="F81" s="342" t="s">
        <v>55</v>
      </c>
      <c r="G81" s="342" t="s">
        <v>832</v>
      </c>
      <c r="H81" s="342" t="s">
        <v>591</v>
      </c>
      <c r="I81" s="342" t="s">
        <v>40</v>
      </c>
      <c r="J81" s="342" t="s">
        <v>5282</v>
      </c>
      <c r="K81" s="342" t="s">
        <v>1402</v>
      </c>
      <c r="L81" s="343">
        <v>45382</v>
      </c>
      <c r="M81" s="343">
        <v>44735</v>
      </c>
      <c r="O81" s="342" t="s">
        <v>5203</v>
      </c>
      <c r="P81" s="342" t="s">
        <v>5722</v>
      </c>
      <c r="Q81" s="342">
        <v>6111230501</v>
      </c>
      <c r="R81" s="342">
        <v>9110</v>
      </c>
      <c r="V81" s="342" t="s">
        <v>2099</v>
      </c>
      <c r="W81" s="342">
        <v>30254</v>
      </c>
      <c r="X81" s="342" t="s">
        <v>4109</v>
      </c>
      <c r="Y81" s="343">
        <v>39419</v>
      </c>
      <c r="Z81" s="342" t="s">
        <v>4063</v>
      </c>
      <c r="AA81" s="343">
        <v>44735</v>
      </c>
      <c r="AB81" s="342" t="s">
        <v>4064</v>
      </c>
      <c r="AC81" s="342" t="s">
        <v>4064</v>
      </c>
      <c r="AD81" s="342" t="s">
        <v>4065</v>
      </c>
      <c r="AH81" s="342" t="s">
        <v>4069</v>
      </c>
      <c r="AI81" s="342" t="s">
        <v>4067</v>
      </c>
      <c r="AJ81" s="342" t="s">
        <v>5850</v>
      </c>
      <c r="AK81" s="342">
        <v>14149</v>
      </c>
    </row>
    <row r="82" spans="1:44">
      <c r="A82" s="342">
        <v>164991</v>
      </c>
      <c r="B82" s="342" t="s">
        <v>698</v>
      </c>
      <c r="C82" s="342" t="s">
        <v>185</v>
      </c>
      <c r="D82" s="342" t="s">
        <v>186</v>
      </c>
      <c r="E82" s="342" t="s">
        <v>606</v>
      </c>
      <c r="F82" s="342" t="s">
        <v>97</v>
      </c>
      <c r="G82" s="342" t="s">
        <v>833</v>
      </c>
      <c r="H82" s="342" t="s">
        <v>591</v>
      </c>
      <c r="I82" s="342" t="s">
        <v>40</v>
      </c>
      <c r="J82" s="342" t="s">
        <v>5282</v>
      </c>
      <c r="K82" s="342" t="s">
        <v>1402</v>
      </c>
      <c r="L82" s="343">
        <v>45382</v>
      </c>
      <c r="M82" s="343">
        <v>44735</v>
      </c>
      <c r="O82" s="342" t="s">
        <v>5607</v>
      </c>
      <c r="P82" s="342" t="s">
        <v>5723</v>
      </c>
      <c r="Q82" s="342">
        <v>6122161986</v>
      </c>
      <c r="R82" s="342">
        <v>9110</v>
      </c>
      <c r="V82" s="342" t="s">
        <v>2099</v>
      </c>
      <c r="W82" s="342">
        <v>303119</v>
      </c>
      <c r="X82" s="342" t="s">
        <v>5340</v>
      </c>
      <c r="Y82" s="343">
        <v>41673</v>
      </c>
      <c r="Z82" s="342" t="s">
        <v>4063</v>
      </c>
      <c r="AA82" s="343">
        <v>44735</v>
      </c>
      <c r="AB82" s="342" t="s">
        <v>4064</v>
      </c>
      <c r="AC82" s="342" t="s">
        <v>4064</v>
      </c>
      <c r="AD82" s="342" t="s">
        <v>4065</v>
      </c>
      <c r="AI82" s="342" t="s">
        <v>4067</v>
      </c>
      <c r="AJ82" s="342" t="s">
        <v>5850</v>
      </c>
    </row>
    <row r="83" spans="1:44">
      <c r="A83" s="342">
        <v>164994</v>
      </c>
      <c r="B83" s="342" t="s">
        <v>184</v>
      </c>
      <c r="C83" s="342" t="s">
        <v>187</v>
      </c>
      <c r="D83" s="342" t="s">
        <v>188</v>
      </c>
      <c r="E83" s="342" t="s">
        <v>189</v>
      </c>
      <c r="F83" s="342" t="s">
        <v>51</v>
      </c>
      <c r="G83" s="342">
        <v>73030</v>
      </c>
      <c r="H83" s="342" t="s">
        <v>591</v>
      </c>
      <c r="I83" s="342" t="s">
        <v>40</v>
      </c>
      <c r="J83" s="342" t="s">
        <v>5282</v>
      </c>
      <c r="K83" s="342" t="s">
        <v>1402</v>
      </c>
      <c r="L83" s="343">
        <v>45412</v>
      </c>
      <c r="M83" s="343">
        <v>44754</v>
      </c>
      <c r="O83" s="342" t="s">
        <v>6020</v>
      </c>
      <c r="P83" s="342" t="s">
        <v>5724</v>
      </c>
      <c r="Q83" s="342">
        <v>6123854920</v>
      </c>
      <c r="R83" s="342">
        <v>9110</v>
      </c>
      <c r="V83" s="342" t="s">
        <v>2099</v>
      </c>
      <c r="W83" s="342">
        <v>70228</v>
      </c>
      <c r="X83" s="342" t="s">
        <v>4074</v>
      </c>
      <c r="Y83" s="343">
        <v>39868</v>
      </c>
      <c r="Z83" s="342" t="s">
        <v>4063</v>
      </c>
      <c r="AA83" s="343">
        <v>44754</v>
      </c>
      <c r="AB83" s="342" t="s">
        <v>4064</v>
      </c>
      <c r="AC83" s="342" t="s">
        <v>4064</v>
      </c>
      <c r="AD83" s="342" t="s">
        <v>4065</v>
      </c>
      <c r="AH83" s="342" t="s">
        <v>4069</v>
      </c>
      <c r="AI83" s="342" t="s">
        <v>4067</v>
      </c>
      <c r="AJ83" s="342" t="s">
        <v>5854</v>
      </c>
      <c r="AK83" s="342">
        <v>22535</v>
      </c>
      <c r="AM83" s="342" t="s">
        <v>4185</v>
      </c>
    </row>
    <row r="84" spans="1:44">
      <c r="A84" s="342">
        <v>164995</v>
      </c>
      <c r="B84" s="342" t="s">
        <v>184</v>
      </c>
      <c r="C84" s="342" t="s">
        <v>190</v>
      </c>
      <c r="D84" s="342" t="s">
        <v>191</v>
      </c>
      <c r="E84" s="342" t="s">
        <v>192</v>
      </c>
      <c r="F84" s="342" t="s">
        <v>51</v>
      </c>
      <c r="G84" s="342">
        <v>99167</v>
      </c>
      <c r="H84" s="342" t="s">
        <v>591</v>
      </c>
      <c r="I84" s="342" t="s">
        <v>40</v>
      </c>
      <c r="J84" s="342" t="s">
        <v>5282</v>
      </c>
      <c r="K84" s="342" t="s">
        <v>1402</v>
      </c>
      <c r="L84" s="343">
        <v>45412</v>
      </c>
      <c r="M84" s="343">
        <v>44673</v>
      </c>
      <c r="O84" s="342" t="s">
        <v>6021</v>
      </c>
      <c r="P84" s="342" t="s">
        <v>5725</v>
      </c>
      <c r="Q84" s="342">
        <v>6111867068</v>
      </c>
      <c r="R84" s="342">
        <v>9110</v>
      </c>
      <c r="V84" s="342" t="s">
        <v>2099</v>
      </c>
      <c r="W84" s="342">
        <v>70293</v>
      </c>
      <c r="X84" s="342" t="s">
        <v>4106</v>
      </c>
      <c r="Y84" s="343">
        <v>39419</v>
      </c>
      <c r="Z84" s="342" t="s">
        <v>4063</v>
      </c>
      <c r="AA84" s="343">
        <v>44673</v>
      </c>
      <c r="AB84" s="342" t="s">
        <v>4064</v>
      </c>
      <c r="AC84" s="342" t="s">
        <v>4064</v>
      </c>
      <c r="AD84" s="342" t="s">
        <v>4065</v>
      </c>
      <c r="AH84" s="342" t="s">
        <v>4069</v>
      </c>
      <c r="AI84" s="342" t="s">
        <v>4067</v>
      </c>
      <c r="AJ84" s="342" t="s">
        <v>5864</v>
      </c>
      <c r="AK84" s="342">
        <v>18251</v>
      </c>
    </row>
    <row r="85" spans="1:44">
      <c r="A85" s="342">
        <v>164998</v>
      </c>
      <c r="B85" s="342" t="s">
        <v>193</v>
      </c>
      <c r="C85" s="342" t="s">
        <v>194</v>
      </c>
      <c r="D85" s="342">
        <v>85034</v>
      </c>
      <c r="E85" s="342" t="s">
        <v>195</v>
      </c>
      <c r="F85" s="342" t="s">
        <v>51</v>
      </c>
      <c r="G85" s="342" t="s">
        <v>834</v>
      </c>
      <c r="H85" s="342" t="s">
        <v>591</v>
      </c>
      <c r="I85" s="342" t="s">
        <v>40</v>
      </c>
      <c r="J85" s="342" t="s">
        <v>5282</v>
      </c>
      <c r="K85" s="342" t="s">
        <v>1402</v>
      </c>
      <c r="L85" s="343">
        <v>45412</v>
      </c>
      <c r="M85" s="343">
        <v>44754</v>
      </c>
      <c r="O85" s="342" t="s">
        <v>6022</v>
      </c>
      <c r="P85" s="342" t="s">
        <v>5726</v>
      </c>
      <c r="Q85" s="342">
        <v>6111871465</v>
      </c>
      <c r="R85" s="342">
        <v>9110</v>
      </c>
      <c r="V85" s="342" t="s">
        <v>2099</v>
      </c>
      <c r="W85" s="342">
        <v>70294</v>
      </c>
      <c r="X85" s="342" t="s">
        <v>4106</v>
      </c>
      <c r="Y85" s="343">
        <v>41673</v>
      </c>
      <c r="Z85" s="342" t="s">
        <v>4063</v>
      </c>
      <c r="AA85" s="343">
        <v>44754</v>
      </c>
      <c r="AB85" s="342" t="s">
        <v>4064</v>
      </c>
      <c r="AC85" s="342" t="s">
        <v>4064</v>
      </c>
      <c r="AD85" s="342" t="s">
        <v>4065</v>
      </c>
      <c r="AH85" s="342" t="s">
        <v>4107</v>
      </c>
      <c r="AI85" s="342" t="s">
        <v>4067</v>
      </c>
      <c r="AJ85" s="342" t="s">
        <v>5850</v>
      </c>
      <c r="AK85" s="342">
        <v>33864</v>
      </c>
      <c r="AR85" s="342" t="s">
        <v>4108</v>
      </c>
    </row>
    <row r="86" spans="1:44">
      <c r="A86" s="342">
        <v>166186</v>
      </c>
      <c r="B86" s="342" t="s">
        <v>4824</v>
      </c>
      <c r="C86" s="342" t="s">
        <v>4825</v>
      </c>
      <c r="D86" s="342">
        <v>69730</v>
      </c>
      <c r="E86" s="342" t="s">
        <v>4826</v>
      </c>
      <c r="F86" s="342" t="s">
        <v>47</v>
      </c>
      <c r="G86" s="342" t="s">
        <v>4827</v>
      </c>
      <c r="H86" s="342" t="s">
        <v>591</v>
      </c>
      <c r="I86" s="342" t="s">
        <v>42</v>
      </c>
      <c r="J86" s="342" t="s">
        <v>1421</v>
      </c>
      <c r="K86" s="342" t="s">
        <v>5218</v>
      </c>
      <c r="L86" s="343">
        <v>44832</v>
      </c>
      <c r="M86" s="343">
        <v>44502</v>
      </c>
      <c r="O86" s="342" t="s">
        <v>4830</v>
      </c>
      <c r="P86" s="342" t="s">
        <v>4832</v>
      </c>
      <c r="R86" s="342">
        <v>9110</v>
      </c>
      <c r="S86" s="342" t="s">
        <v>1571</v>
      </c>
      <c r="V86" s="342" t="s">
        <v>4769</v>
      </c>
      <c r="W86" s="342">
        <v>80136</v>
      </c>
      <c r="X86" s="342" t="s">
        <v>5526</v>
      </c>
      <c r="Y86" s="343">
        <v>44530</v>
      </c>
      <c r="Z86" s="342" t="s">
        <v>4063</v>
      </c>
      <c r="AA86" s="343">
        <v>44502</v>
      </c>
      <c r="AB86" s="342" t="s">
        <v>4064</v>
      </c>
      <c r="AC86" s="342" t="s">
        <v>4064</v>
      </c>
      <c r="AD86" s="342" t="s">
        <v>4065</v>
      </c>
      <c r="AI86" s="342" t="s">
        <v>4111</v>
      </c>
      <c r="AJ86" s="342" t="s">
        <v>6095</v>
      </c>
    </row>
    <row r="87" spans="1:44">
      <c r="A87" s="342">
        <v>167569</v>
      </c>
      <c r="B87" s="342" t="s">
        <v>196</v>
      </c>
      <c r="C87" s="342" t="s">
        <v>197</v>
      </c>
      <c r="D87" s="342">
        <v>10999</v>
      </c>
      <c r="E87" s="342" t="s">
        <v>198</v>
      </c>
      <c r="F87" s="342" t="s">
        <v>55</v>
      </c>
      <c r="G87" s="342" t="s">
        <v>835</v>
      </c>
      <c r="H87" s="342" t="s">
        <v>591</v>
      </c>
      <c r="I87" s="342" t="s">
        <v>40</v>
      </c>
      <c r="J87" s="342" t="s">
        <v>5283</v>
      </c>
      <c r="K87" s="342" t="s">
        <v>1402</v>
      </c>
      <c r="L87" s="343">
        <v>45199</v>
      </c>
      <c r="M87" s="343">
        <v>44090</v>
      </c>
      <c r="O87" s="342" t="s">
        <v>1314</v>
      </c>
      <c r="P87" s="342" t="s">
        <v>5727</v>
      </c>
      <c r="Q87" s="342">
        <v>6116132840</v>
      </c>
      <c r="R87" s="342">
        <v>9110</v>
      </c>
      <c r="V87" s="342" t="s">
        <v>2099</v>
      </c>
      <c r="W87" s="342">
        <v>70311</v>
      </c>
      <c r="X87" s="342" t="s">
        <v>4420</v>
      </c>
      <c r="Y87" s="343">
        <v>39419</v>
      </c>
      <c r="Z87" s="342" t="s">
        <v>4063</v>
      </c>
      <c r="AA87" s="343">
        <v>44090</v>
      </c>
      <c r="AB87" s="342" t="s">
        <v>4064</v>
      </c>
      <c r="AC87" s="342" t="s">
        <v>4064</v>
      </c>
      <c r="AD87" s="342" t="s">
        <v>4065</v>
      </c>
      <c r="AH87" s="342" t="s">
        <v>4069</v>
      </c>
      <c r="AI87" s="342" t="s">
        <v>4067</v>
      </c>
      <c r="AJ87" s="342" t="s">
        <v>5868</v>
      </c>
      <c r="AK87" s="342">
        <v>14273</v>
      </c>
    </row>
    <row r="88" spans="1:44">
      <c r="A88" s="342">
        <v>167659</v>
      </c>
      <c r="B88" s="342" t="s">
        <v>199</v>
      </c>
      <c r="C88" s="342" t="s">
        <v>200</v>
      </c>
      <c r="D88" s="342">
        <v>43078</v>
      </c>
      <c r="E88" s="342" t="s">
        <v>201</v>
      </c>
      <c r="F88" s="342" t="s">
        <v>51</v>
      </c>
      <c r="G88" s="342">
        <v>72914</v>
      </c>
      <c r="H88" s="342" t="s">
        <v>591</v>
      </c>
      <c r="I88" s="342" t="s">
        <v>40</v>
      </c>
      <c r="J88" s="342" t="s">
        <v>5450</v>
      </c>
      <c r="K88" s="342" t="s">
        <v>1233</v>
      </c>
      <c r="L88" s="343">
        <v>45077</v>
      </c>
      <c r="M88" s="343">
        <v>44705</v>
      </c>
      <c r="O88" s="342" t="s">
        <v>6023</v>
      </c>
      <c r="P88" s="342" t="s">
        <v>4716</v>
      </c>
      <c r="Q88" s="342">
        <v>6115277625</v>
      </c>
      <c r="R88" s="342">
        <v>9110</v>
      </c>
      <c r="S88" s="342" t="s">
        <v>1575</v>
      </c>
      <c r="V88" s="342" t="s">
        <v>2099</v>
      </c>
      <c r="W88" s="342">
        <v>30293</v>
      </c>
      <c r="X88" s="342" t="s">
        <v>4109</v>
      </c>
      <c r="Y88" s="343">
        <v>40610</v>
      </c>
      <c r="Z88" s="342" t="s">
        <v>4063</v>
      </c>
      <c r="AA88" s="343">
        <v>44705</v>
      </c>
      <c r="AB88" s="342" t="s">
        <v>4064</v>
      </c>
      <c r="AC88" s="342" t="s">
        <v>4064</v>
      </c>
      <c r="AD88" s="342" t="s">
        <v>4065</v>
      </c>
      <c r="AH88" s="342" t="s">
        <v>4069</v>
      </c>
      <c r="AI88" s="342" t="s">
        <v>4067</v>
      </c>
      <c r="AJ88" s="342" t="s">
        <v>5848</v>
      </c>
      <c r="AK88" s="342">
        <v>13931</v>
      </c>
    </row>
    <row r="89" spans="1:44">
      <c r="A89" s="342">
        <v>167661</v>
      </c>
      <c r="B89" s="342" t="s">
        <v>645</v>
      </c>
      <c r="C89" s="342" t="s">
        <v>202</v>
      </c>
      <c r="D89" s="342">
        <v>65479</v>
      </c>
      <c r="E89" s="342" t="s">
        <v>203</v>
      </c>
      <c r="F89" s="342" t="s">
        <v>55</v>
      </c>
      <c r="G89" s="342" t="s">
        <v>836</v>
      </c>
      <c r="H89" s="342" t="s">
        <v>591</v>
      </c>
      <c r="I89" s="342" t="s">
        <v>40</v>
      </c>
      <c r="J89" s="342" t="s">
        <v>5450</v>
      </c>
      <c r="K89" s="342" t="s">
        <v>1233</v>
      </c>
      <c r="L89" s="343">
        <v>45077</v>
      </c>
      <c r="M89" s="343">
        <v>44705</v>
      </c>
      <c r="O89" s="342" t="s">
        <v>4232</v>
      </c>
      <c r="P89" s="342" t="s">
        <v>5728</v>
      </c>
      <c r="Q89" s="342">
        <v>6111353268</v>
      </c>
      <c r="R89" s="342">
        <v>9110</v>
      </c>
      <c r="V89" s="342" t="s">
        <v>2099</v>
      </c>
      <c r="W89" s="342">
        <v>202252</v>
      </c>
      <c r="X89" s="342" t="s">
        <v>5149</v>
      </c>
      <c r="Y89" s="343">
        <v>39419</v>
      </c>
      <c r="Z89" s="342" t="s">
        <v>4063</v>
      </c>
      <c r="AA89" s="343">
        <v>44705</v>
      </c>
      <c r="AB89" s="342" t="s">
        <v>4064</v>
      </c>
      <c r="AC89" s="342" t="s">
        <v>4064</v>
      </c>
      <c r="AD89" s="342" t="s">
        <v>4065</v>
      </c>
      <c r="AH89" s="342" t="s">
        <v>4069</v>
      </c>
      <c r="AI89" s="342" t="s">
        <v>4067</v>
      </c>
      <c r="AJ89" s="342" t="s">
        <v>5874</v>
      </c>
      <c r="AK89" s="342">
        <v>10660</v>
      </c>
    </row>
    <row r="90" spans="1:44">
      <c r="A90" s="342">
        <v>167686</v>
      </c>
      <c r="B90" s="342" t="s">
        <v>651</v>
      </c>
      <c r="C90" s="342" t="s">
        <v>204</v>
      </c>
      <c r="D90" s="342" t="s">
        <v>205</v>
      </c>
      <c r="E90" s="342" t="s">
        <v>206</v>
      </c>
      <c r="F90" s="342" t="s">
        <v>107</v>
      </c>
      <c r="G90" s="342">
        <v>7217</v>
      </c>
      <c r="H90" s="342" t="s">
        <v>591</v>
      </c>
      <c r="I90" s="342" t="s">
        <v>40</v>
      </c>
      <c r="J90" s="342" t="s">
        <v>5450</v>
      </c>
      <c r="K90" s="342" t="s">
        <v>1233</v>
      </c>
      <c r="L90" s="343">
        <v>45077</v>
      </c>
      <c r="M90" s="343">
        <v>44705</v>
      </c>
      <c r="O90" s="342" t="s">
        <v>5210</v>
      </c>
      <c r="P90" s="342" t="s">
        <v>5729</v>
      </c>
      <c r="Q90" s="342">
        <v>6115474541</v>
      </c>
      <c r="R90" s="342">
        <v>9110</v>
      </c>
      <c r="V90" s="342" t="s">
        <v>2099</v>
      </c>
      <c r="W90" s="342">
        <v>100224</v>
      </c>
      <c r="X90" s="342" t="s">
        <v>4113</v>
      </c>
      <c r="Y90" s="343">
        <v>40207</v>
      </c>
      <c r="Z90" s="342" t="s">
        <v>4063</v>
      </c>
      <c r="AA90" s="343">
        <v>44705</v>
      </c>
      <c r="AB90" s="342" t="s">
        <v>4064</v>
      </c>
      <c r="AC90" s="342" t="s">
        <v>4064</v>
      </c>
      <c r="AD90" s="342" t="s">
        <v>4065</v>
      </c>
      <c r="AH90" s="342" t="s">
        <v>4069</v>
      </c>
      <c r="AI90" s="342" t="s">
        <v>4067</v>
      </c>
      <c r="AJ90" s="342" t="s">
        <v>5881</v>
      </c>
      <c r="AK90" s="342">
        <v>21237</v>
      </c>
      <c r="AR90" s="342" t="s">
        <v>4110</v>
      </c>
    </row>
    <row r="91" spans="1:44">
      <c r="A91" s="342">
        <v>167687</v>
      </c>
      <c r="B91" s="342" t="s">
        <v>207</v>
      </c>
      <c r="C91" s="342" t="s">
        <v>208</v>
      </c>
      <c r="D91" s="342" t="s">
        <v>209</v>
      </c>
      <c r="E91" s="342" t="s">
        <v>210</v>
      </c>
      <c r="F91" s="342" t="s">
        <v>45</v>
      </c>
      <c r="G91" s="342" t="s">
        <v>837</v>
      </c>
      <c r="H91" s="342" t="s">
        <v>591</v>
      </c>
      <c r="I91" s="342" t="s">
        <v>40</v>
      </c>
      <c r="J91" s="342" t="s">
        <v>5450</v>
      </c>
      <c r="K91" s="342" t="s">
        <v>1233</v>
      </c>
      <c r="L91" s="343">
        <v>45077</v>
      </c>
      <c r="M91" s="343">
        <v>44705</v>
      </c>
      <c r="O91" s="342" t="s">
        <v>4592</v>
      </c>
      <c r="P91" s="342" t="s">
        <v>5730</v>
      </c>
      <c r="Q91" s="342">
        <v>6120205763</v>
      </c>
      <c r="R91" s="342">
        <v>9110</v>
      </c>
      <c r="V91" s="342" t="s">
        <v>2099</v>
      </c>
      <c r="W91" s="342">
        <v>300748</v>
      </c>
      <c r="X91" s="342" t="s">
        <v>5524</v>
      </c>
      <c r="Y91" s="343">
        <v>40233</v>
      </c>
      <c r="Z91" s="342" t="s">
        <v>4063</v>
      </c>
      <c r="AA91" s="343">
        <v>44705</v>
      </c>
      <c r="AB91" s="342" t="s">
        <v>4064</v>
      </c>
      <c r="AC91" s="342" t="s">
        <v>4064</v>
      </c>
      <c r="AD91" s="342" t="s">
        <v>4065</v>
      </c>
      <c r="AH91" s="342" t="s">
        <v>4081</v>
      </c>
      <c r="AI91" s="342" t="s">
        <v>4111</v>
      </c>
      <c r="AJ91" s="342" t="s">
        <v>5866</v>
      </c>
    </row>
    <row r="92" spans="1:44">
      <c r="A92" s="342">
        <v>167696</v>
      </c>
      <c r="B92" s="342" t="s">
        <v>705</v>
      </c>
      <c r="C92" s="342" t="s">
        <v>708</v>
      </c>
      <c r="D92" s="342" t="s">
        <v>709</v>
      </c>
      <c r="E92" s="342" t="s">
        <v>195</v>
      </c>
      <c r="F92" s="342" t="s">
        <v>51</v>
      </c>
      <c r="G92" s="342">
        <v>58960</v>
      </c>
      <c r="H92" s="342" t="s">
        <v>591</v>
      </c>
      <c r="I92" s="342" t="s">
        <v>40</v>
      </c>
      <c r="J92" s="342" t="s">
        <v>5281</v>
      </c>
      <c r="K92" s="342" t="s">
        <v>1233</v>
      </c>
      <c r="L92" s="343">
        <v>45077</v>
      </c>
      <c r="M92" s="343">
        <v>44705</v>
      </c>
      <c r="O92" s="342" t="s">
        <v>6024</v>
      </c>
      <c r="P92" s="342" t="s">
        <v>5731</v>
      </c>
      <c r="Q92" s="342">
        <v>6111423606</v>
      </c>
      <c r="R92" s="342">
        <v>9110</v>
      </c>
      <c r="V92" s="342" t="s">
        <v>2099</v>
      </c>
      <c r="W92" s="342">
        <v>100234</v>
      </c>
      <c r="X92" s="342" t="s">
        <v>5389</v>
      </c>
      <c r="Y92" s="343">
        <v>42443</v>
      </c>
      <c r="Z92" s="342" t="s">
        <v>4063</v>
      </c>
      <c r="AA92" s="343">
        <v>44705</v>
      </c>
      <c r="AB92" s="342" t="s">
        <v>4064</v>
      </c>
      <c r="AC92" s="342" t="s">
        <v>4064</v>
      </c>
      <c r="AD92" s="342" t="s">
        <v>4065</v>
      </c>
      <c r="AH92" s="342" t="s">
        <v>4069</v>
      </c>
      <c r="AI92" s="342" t="s">
        <v>4067</v>
      </c>
      <c r="AJ92" s="342" t="s">
        <v>5881</v>
      </c>
      <c r="AK92" s="342">
        <v>14295</v>
      </c>
      <c r="AL92" s="342">
        <v>14295</v>
      </c>
    </row>
    <row r="93" spans="1:44">
      <c r="A93" s="342">
        <v>167700</v>
      </c>
      <c r="B93" s="342" t="s">
        <v>211</v>
      </c>
      <c r="C93" s="342" t="s">
        <v>630</v>
      </c>
      <c r="D93" s="342" t="s">
        <v>631</v>
      </c>
      <c r="E93" s="342" t="s">
        <v>632</v>
      </c>
      <c r="F93" s="342" t="s">
        <v>51</v>
      </c>
      <c r="G93" s="342">
        <v>64547</v>
      </c>
      <c r="H93" s="342" t="s">
        <v>591</v>
      </c>
      <c r="I93" s="342" t="s">
        <v>40</v>
      </c>
      <c r="J93" s="342" t="s">
        <v>5450</v>
      </c>
      <c r="K93" s="342" t="s">
        <v>1233</v>
      </c>
      <c r="L93" s="343">
        <v>45077</v>
      </c>
      <c r="M93" s="343">
        <v>44705</v>
      </c>
      <c r="O93" s="342" t="s">
        <v>5672</v>
      </c>
      <c r="P93" s="342" t="s">
        <v>5732</v>
      </c>
      <c r="Q93" s="342">
        <v>6111391709</v>
      </c>
      <c r="R93" s="342">
        <v>9110</v>
      </c>
      <c r="V93" s="342" t="s">
        <v>2099</v>
      </c>
      <c r="W93" s="342">
        <v>300141</v>
      </c>
      <c r="X93" s="342" t="s">
        <v>5147</v>
      </c>
      <c r="Y93" s="343">
        <v>42180</v>
      </c>
      <c r="Z93" s="342" t="s">
        <v>4063</v>
      </c>
      <c r="AA93" s="343">
        <v>44705</v>
      </c>
      <c r="AB93" s="342" t="s">
        <v>4064</v>
      </c>
      <c r="AC93" s="342" t="s">
        <v>4064</v>
      </c>
      <c r="AD93" s="342" t="s">
        <v>4065</v>
      </c>
      <c r="AH93" s="342" t="s">
        <v>4075</v>
      </c>
      <c r="AI93" s="342" t="s">
        <v>4067</v>
      </c>
      <c r="AJ93" s="342" t="s">
        <v>6003</v>
      </c>
    </row>
    <row r="94" spans="1:44">
      <c r="A94" s="342">
        <v>167703</v>
      </c>
      <c r="B94" s="342" t="s">
        <v>211</v>
      </c>
      <c r="C94" s="342" t="s">
        <v>212</v>
      </c>
      <c r="D94" s="342">
        <v>85284</v>
      </c>
      <c r="E94" s="342" t="s">
        <v>213</v>
      </c>
      <c r="F94" s="342" t="s">
        <v>51</v>
      </c>
      <c r="G94" s="342">
        <v>59364</v>
      </c>
      <c r="H94" s="342" t="s">
        <v>591</v>
      </c>
      <c r="I94" s="342" t="s">
        <v>40</v>
      </c>
      <c r="J94" s="342" t="s">
        <v>5281</v>
      </c>
      <c r="K94" s="342" t="s">
        <v>1233</v>
      </c>
      <c r="L94" s="343">
        <v>45077</v>
      </c>
      <c r="M94" s="343">
        <v>44705</v>
      </c>
      <c r="O94" s="342" t="s">
        <v>1491</v>
      </c>
      <c r="P94" s="342" t="s">
        <v>5732</v>
      </c>
      <c r="Q94" s="342">
        <v>6111353543</v>
      </c>
      <c r="R94" s="342">
        <v>9110</v>
      </c>
      <c r="V94" s="342" t="s">
        <v>2099</v>
      </c>
      <c r="W94" s="342">
        <v>100226</v>
      </c>
      <c r="X94" s="342" t="s">
        <v>4076</v>
      </c>
      <c r="Y94" s="343">
        <v>39980</v>
      </c>
      <c r="Z94" s="342" t="s">
        <v>4063</v>
      </c>
      <c r="AA94" s="343">
        <v>44705</v>
      </c>
      <c r="AB94" s="342" t="s">
        <v>4064</v>
      </c>
      <c r="AC94" s="342" t="s">
        <v>4064</v>
      </c>
      <c r="AD94" s="342" t="s">
        <v>4065</v>
      </c>
      <c r="AH94" s="342" t="s">
        <v>4069</v>
      </c>
      <c r="AI94" s="342" t="s">
        <v>4067</v>
      </c>
      <c r="AJ94" s="342" t="s">
        <v>5873</v>
      </c>
      <c r="AK94" s="342">
        <v>10644</v>
      </c>
    </row>
    <row r="95" spans="1:44">
      <c r="A95" s="342">
        <v>167710</v>
      </c>
      <c r="B95" s="342" t="s">
        <v>214</v>
      </c>
      <c r="C95" s="342" t="s">
        <v>215</v>
      </c>
      <c r="D95" s="342" t="s">
        <v>216</v>
      </c>
      <c r="E95" s="342" t="s">
        <v>217</v>
      </c>
      <c r="F95" s="342" t="s">
        <v>51</v>
      </c>
      <c r="G95" s="342">
        <v>22373</v>
      </c>
      <c r="H95" s="342" t="s">
        <v>591</v>
      </c>
      <c r="I95" s="342" t="s">
        <v>40</v>
      </c>
      <c r="J95" s="342" t="s">
        <v>5450</v>
      </c>
      <c r="K95" s="342" t="s">
        <v>1233</v>
      </c>
      <c r="L95" s="343">
        <v>45077</v>
      </c>
      <c r="M95" s="343">
        <v>44705</v>
      </c>
      <c r="O95" s="342" t="s">
        <v>4977</v>
      </c>
      <c r="P95" s="342" t="s">
        <v>5730</v>
      </c>
      <c r="Q95" s="342">
        <v>6115264968</v>
      </c>
      <c r="R95" s="342">
        <v>9110</v>
      </c>
      <c r="V95" s="342" t="s">
        <v>2099</v>
      </c>
      <c r="W95" s="342">
        <v>227278</v>
      </c>
      <c r="X95" s="342" t="s">
        <v>4112</v>
      </c>
      <c r="Y95" s="343">
        <v>41673</v>
      </c>
      <c r="Z95" s="342" t="s">
        <v>4063</v>
      </c>
      <c r="AA95" s="343">
        <v>44705</v>
      </c>
      <c r="AB95" s="342" t="s">
        <v>4064</v>
      </c>
      <c r="AC95" s="342" t="s">
        <v>4064</v>
      </c>
      <c r="AD95" s="342" t="s">
        <v>4065</v>
      </c>
      <c r="AH95" s="342" t="s">
        <v>4069</v>
      </c>
      <c r="AI95" s="342" t="s">
        <v>4067</v>
      </c>
      <c r="AJ95" s="342" t="s">
        <v>5863</v>
      </c>
      <c r="AK95" s="342">
        <v>20075</v>
      </c>
    </row>
    <row r="96" spans="1:44">
      <c r="A96" s="342">
        <v>167750</v>
      </c>
      <c r="B96" s="342" t="s">
        <v>1225</v>
      </c>
      <c r="C96" s="342" t="s">
        <v>1226</v>
      </c>
      <c r="D96" s="342">
        <v>85034</v>
      </c>
      <c r="E96" s="342" t="s">
        <v>195</v>
      </c>
      <c r="F96" s="342" t="s">
        <v>51</v>
      </c>
      <c r="G96" s="342" t="s">
        <v>838</v>
      </c>
      <c r="H96" s="342" t="s">
        <v>591</v>
      </c>
      <c r="I96" s="342" t="s">
        <v>40</v>
      </c>
      <c r="J96" s="342" t="s">
        <v>5281</v>
      </c>
      <c r="K96" s="342" t="s">
        <v>1233</v>
      </c>
      <c r="L96" s="343">
        <v>45077</v>
      </c>
      <c r="M96" s="343">
        <v>44705</v>
      </c>
      <c r="O96" s="342" t="s">
        <v>4279</v>
      </c>
      <c r="P96" s="342" t="s">
        <v>5732</v>
      </c>
      <c r="Q96" s="342">
        <v>6111351406</v>
      </c>
      <c r="R96" s="342">
        <v>9110</v>
      </c>
      <c r="V96" s="342" t="s">
        <v>2099</v>
      </c>
      <c r="W96" s="342">
        <v>300537</v>
      </c>
      <c r="X96" s="342" t="s">
        <v>4113</v>
      </c>
      <c r="Y96" s="343">
        <v>40548</v>
      </c>
      <c r="Z96" s="342" t="s">
        <v>4063</v>
      </c>
      <c r="AA96" s="343">
        <v>44705</v>
      </c>
      <c r="AB96" s="342" t="s">
        <v>4064</v>
      </c>
      <c r="AC96" s="342" t="s">
        <v>4064</v>
      </c>
      <c r="AD96" s="342" t="s">
        <v>4065</v>
      </c>
      <c r="AH96" s="342" t="s">
        <v>4114</v>
      </c>
      <c r="AI96" s="342" t="s">
        <v>4067</v>
      </c>
      <c r="AJ96" s="342" t="s">
        <v>5866</v>
      </c>
    </row>
    <row r="97" spans="1:44">
      <c r="A97" s="342">
        <v>167783</v>
      </c>
      <c r="B97" s="342" t="s">
        <v>219</v>
      </c>
      <c r="C97" s="342" t="s">
        <v>220</v>
      </c>
      <c r="D97" s="342" t="s">
        <v>221</v>
      </c>
      <c r="E97" s="342" t="s">
        <v>222</v>
      </c>
      <c r="F97" s="342" t="s">
        <v>51</v>
      </c>
      <c r="G97" s="342">
        <v>70210</v>
      </c>
      <c r="H97" s="342" t="s">
        <v>591</v>
      </c>
      <c r="I97" s="342" t="s">
        <v>40</v>
      </c>
      <c r="J97" s="342" t="s">
        <v>5281</v>
      </c>
      <c r="K97" s="342" t="s">
        <v>1233</v>
      </c>
      <c r="L97" s="343">
        <v>45077</v>
      </c>
      <c r="M97" s="343">
        <v>44705</v>
      </c>
      <c r="O97" s="342" t="s">
        <v>4280</v>
      </c>
      <c r="P97" s="342" t="s">
        <v>5733</v>
      </c>
      <c r="Q97" s="342">
        <v>6111350960</v>
      </c>
      <c r="R97" s="342">
        <v>9110</v>
      </c>
      <c r="V97" s="342" t="s">
        <v>2099</v>
      </c>
      <c r="W97" s="342">
        <v>205152</v>
      </c>
      <c r="X97" s="342" t="s">
        <v>4113</v>
      </c>
      <c r="Y97" s="343">
        <v>41673</v>
      </c>
      <c r="Z97" s="342" t="s">
        <v>4063</v>
      </c>
      <c r="AA97" s="343">
        <v>44705</v>
      </c>
      <c r="AB97" s="342" t="s">
        <v>4064</v>
      </c>
      <c r="AC97" s="342" t="s">
        <v>4064</v>
      </c>
      <c r="AD97" s="342" t="s">
        <v>4065</v>
      </c>
      <c r="AH97" s="342" t="s">
        <v>4069</v>
      </c>
      <c r="AI97" s="342" t="s">
        <v>4067</v>
      </c>
      <c r="AJ97" s="342" t="s">
        <v>5935</v>
      </c>
      <c r="AK97" s="342">
        <v>10642</v>
      </c>
    </row>
    <row r="98" spans="1:44">
      <c r="A98" s="342">
        <v>168509</v>
      </c>
      <c r="B98" s="342" t="s">
        <v>223</v>
      </c>
      <c r="C98" s="342" t="s">
        <v>224</v>
      </c>
      <c r="D98" s="342" t="s">
        <v>225</v>
      </c>
      <c r="E98" s="342" t="s">
        <v>226</v>
      </c>
      <c r="F98" s="342" t="s">
        <v>45</v>
      </c>
      <c r="G98" s="342" t="s">
        <v>839</v>
      </c>
      <c r="H98" s="342" t="s">
        <v>591</v>
      </c>
      <c r="I98" s="342" t="s">
        <v>40</v>
      </c>
      <c r="J98" s="342" t="s">
        <v>5282</v>
      </c>
      <c r="K98" s="342" t="s">
        <v>1233</v>
      </c>
      <c r="L98" s="343">
        <v>45412</v>
      </c>
      <c r="M98" s="343">
        <v>44672</v>
      </c>
      <c r="O98" s="342" t="s">
        <v>5673</v>
      </c>
      <c r="P98" s="342" t="s">
        <v>5074</v>
      </c>
      <c r="Q98" s="342">
        <v>6111789968</v>
      </c>
      <c r="R98" s="342">
        <v>9110</v>
      </c>
      <c r="V98" s="342" t="s">
        <v>2099</v>
      </c>
      <c r="W98" s="342">
        <v>303127</v>
      </c>
      <c r="X98" s="342" t="s">
        <v>5340</v>
      </c>
      <c r="Y98" s="343">
        <v>41673</v>
      </c>
      <c r="Z98" s="342" t="s">
        <v>4063</v>
      </c>
      <c r="AA98" s="343">
        <v>44672</v>
      </c>
      <c r="AB98" s="342" t="s">
        <v>4064</v>
      </c>
      <c r="AC98" s="342" t="s">
        <v>4064</v>
      </c>
      <c r="AD98" s="342" t="s">
        <v>4065</v>
      </c>
      <c r="AI98" s="342" t="s">
        <v>4067</v>
      </c>
      <c r="AJ98" s="342" t="s">
        <v>5846</v>
      </c>
    </row>
    <row r="99" spans="1:44">
      <c r="A99" s="342">
        <v>168942</v>
      </c>
      <c r="B99" s="342" t="s">
        <v>1251</v>
      </c>
      <c r="C99" s="342" t="s">
        <v>1252</v>
      </c>
      <c r="D99" s="342">
        <v>35801</v>
      </c>
      <c r="E99" s="342" t="s">
        <v>478</v>
      </c>
      <c r="F99" s="342" t="s">
        <v>47</v>
      </c>
      <c r="G99" s="342" t="s">
        <v>1241</v>
      </c>
      <c r="H99" s="342" t="s">
        <v>591</v>
      </c>
      <c r="I99" s="342" t="s">
        <v>40</v>
      </c>
      <c r="J99" s="342" t="s">
        <v>5280</v>
      </c>
      <c r="K99" s="342" t="s">
        <v>1233</v>
      </c>
      <c r="L99" s="343">
        <v>45230</v>
      </c>
      <c r="M99" s="343">
        <v>44319</v>
      </c>
      <c r="O99" s="342" t="s">
        <v>5608</v>
      </c>
      <c r="P99" s="342" t="s">
        <v>5734</v>
      </c>
      <c r="Q99" s="342">
        <v>6120064881</v>
      </c>
      <c r="R99" s="342">
        <v>9110</v>
      </c>
      <c r="V99" s="342" t="s">
        <v>2099</v>
      </c>
      <c r="W99" s="342">
        <v>300514</v>
      </c>
      <c r="X99" s="342" t="s">
        <v>5338</v>
      </c>
      <c r="Y99" s="343">
        <v>43444</v>
      </c>
      <c r="Z99" s="342" t="s">
        <v>4063</v>
      </c>
      <c r="AA99" s="343">
        <v>44319</v>
      </c>
      <c r="AB99" s="342" t="s">
        <v>4064</v>
      </c>
      <c r="AC99" s="342" t="s">
        <v>4064</v>
      </c>
      <c r="AD99" s="342" t="s">
        <v>4065</v>
      </c>
      <c r="AI99" s="342" t="s">
        <v>4067</v>
      </c>
      <c r="AJ99" s="342" t="s">
        <v>5851</v>
      </c>
    </row>
    <row r="100" spans="1:44">
      <c r="A100" s="342">
        <v>169995</v>
      </c>
      <c r="B100" s="342" t="s">
        <v>5412</v>
      </c>
      <c r="C100" s="342" t="s">
        <v>227</v>
      </c>
      <c r="D100" s="342">
        <v>28200</v>
      </c>
      <c r="E100" s="342" t="s">
        <v>228</v>
      </c>
      <c r="F100" s="342" t="s">
        <v>47</v>
      </c>
      <c r="G100" s="342" t="s">
        <v>840</v>
      </c>
      <c r="H100" s="342" t="s">
        <v>591</v>
      </c>
      <c r="I100" s="342" t="s">
        <v>40</v>
      </c>
      <c r="J100" s="342" t="s">
        <v>5449</v>
      </c>
      <c r="K100" s="342" t="s">
        <v>1402</v>
      </c>
      <c r="L100" s="343">
        <v>45350</v>
      </c>
      <c r="M100" s="343">
        <v>44434</v>
      </c>
      <c r="O100" s="342" t="s">
        <v>6025</v>
      </c>
      <c r="P100" s="342" t="s">
        <v>5735</v>
      </c>
      <c r="Q100" s="342">
        <v>6111133624</v>
      </c>
      <c r="R100" s="342">
        <v>9110</v>
      </c>
      <c r="V100" s="342" t="s">
        <v>2099</v>
      </c>
      <c r="W100" s="342">
        <v>70122</v>
      </c>
      <c r="X100" s="342" t="s">
        <v>4116</v>
      </c>
      <c r="Y100" s="343">
        <v>39766</v>
      </c>
      <c r="Z100" s="342" t="s">
        <v>4063</v>
      </c>
      <c r="AA100" s="343">
        <v>44434</v>
      </c>
      <c r="AB100" s="342" t="s">
        <v>4064</v>
      </c>
      <c r="AC100" s="342" t="s">
        <v>4064</v>
      </c>
      <c r="AD100" s="342" t="s">
        <v>4065</v>
      </c>
      <c r="AH100" s="342" t="s">
        <v>4069</v>
      </c>
      <c r="AI100" s="342" t="s">
        <v>4067</v>
      </c>
      <c r="AJ100" s="342" t="s">
        <v>5854</v>
      </c>
      <c r="AK100" s="342">
        <v>14527</v>
      </c>
      <c r="AM100" s="342" t="s">
        <v>4297</v>
      </c>
    </row>
    <row r="101" spans="1:44">
      <c r="A101" s="342">
        <v>170121</v>
      </c>
      <c r="B101" s="342" t="s">
        <v>229</v>
      </c>
      <c r="C101" s="342" t="s">
        <v>230</v>
      </c>
      <c r="D101" s="342">
        <v>94420</v>
      </c>
      <c r="E101" s="342" t="s">
        <v>231</v>
      </c>
      <c r="F101" s="342" t="s">
        <v>47</v>
      </c>
      <c r="G101" s="342" t="s">
        <v>841</v>
      </c>
      <c r="H101" s="342" t="s">
        <v>591</v>
      </c>
      <c r="I101" s="342" t="s">
        <v>40</v>
      </c>
      <c r="J101" s="342" t="s">
        <v>1277</v>
      </c>
      <c r="K101" s="342" t="s">
        <v>1402</v>
      </c>
      <c r="L101" s="343">
        <v>45382</v>
      </c>
      <c r="M101" s="343">
        <v>44270</v>
      </c>
      <c r="O101" s="342" t="s">
        <v>1501</v>
      </c>
      <c r="P101" s="342" t="s">
        <v>5736</v>
      </c>
      <c r="Q101" s="342">
        <v>6130235642</v>
      </c>
      <c r="R101" s="342">
        <v>9110</v>
      </c>
      <c r="V101" s="342" t="s">
        <v>2099</v>
      </c>
      <c r="W101" s="342">
        <v>70120</v>
      </c>
      <c r="X101" s="342" t="s">
        <v>4093</v>
      </c>
      <c r="Y101" s="343">
        <v>40366</v>
      </c>
      <c r="Z101" s="342" t="s">
        <v>4063</v>
      </c>
      <c r="AA101" s="343">
        <v>44270</v>
      </c>
      <c r="AB101" s="342" t="s">
        <v>4064</v>
      </c>
      <c r="AC101" s="342" t="s">
        <v>4064</v>
      </c>
      <c r="AD101" s="342" t="s">
        <v>4065</v>
      </c>
      <c r="AH101" s="342" t="s">
        <v>4069</v>
      </c>
      <c r="AI101" s="342" t="s">
        <v>4067</v>
      </c>
      <c r="AJ101" s="342" t="s">
        <v>5854</v>
      </c>
      <c r="AK101" s="342">
        <v>14543</v>
      </c>
    </row>
    <row r="102" spans="1:44">
      <c r="A102" s="342">
        <v>171379</v>
      </c>
      <c r="B102" s="342" t="s">
        <v>772</v>
      </c>
      <c r="C102" s="342" t="s">
        <v>773</v>
      </c>
      <c r="D102" s="342" t="s">
        <v>774</v>
      </c>
      <c r="E102" s="342" t="s">
        <v>775</v>
      </c>
      <c r="F102" s="342" t="s">
        <v>45</v>
      </c>
      <c r="G102" s="342" t="s">
        <v>842</v>
      </c>
      <c r="H102" s="342" t="s">
        <v>591</v>
      </c>
      <c r="I102" s="342" t="s">
        <v>40</v>
      </c>
      <c r="J102" s="342" t="s">
        <v>5280</v>
      </c>
      <c r="K102" s="342" t="s">
        <v>1402</v>
      </c>
      <c r="L102" s="343">
        <v>45716</v>
      </c>
      <c r="M102" s="343">
        <v>44705</v>
      </c>
      <c r="O102" s="342" t="s">
        <v>5345</v>
      </c>
      <c r="P102" s="342" t="s">
        <v>1539</v>
      </c>
      <c r="Q102" s="342">
        <v>6113682186</v>
      </c>
      <c r="R102" s="342">
        <v>9110</v>
      </c>
      <c r="U102" s="342" t="s">
        <v>5514</v>
      </c>
      <c r="V102" s="342" t="s">
        <v>2099</v>
      </c>
      <c r="W102" s="342">
        <v>300804</v>
      </c>
      <c r="X102" s="342" t="s">
        <v>5527</v>
      </c>
      <c r="Y102" s="343">
        <v>39888</v>
      </c>
      <c r="Z102" s="342" t="s">
        <v>4063</v>
      </c>
      <c r="AA102" s="343">
        <v>44705</v>
      </c>
      <c r="AB102" s="342" t="s">
        <v>4064</v>
      </c>
      <c r="AC102" s="342" t="s">
        <v>4064</v>
      </c>
      <c r="AD102" s="342" t="s">
        <v>4065</v>
      </c>
      <c r="AH102" s="342" t="s">
        <v>4115</v>
      </c>
      <c r="AI102" s="342" t="s">
        <v>4111</v>
      </c>
      <c r="AJ102" s="342" t="s">
        <v>6096</v>
      </c>
    </row>
    <row r="103" spans="1:44">
      <c r="A103" s="342">
        <v>171380</v>
      </c>
      <c r="B103" s="342" t="s">
        <v>1439</v>
      </c>
      <c r="C103" s="342" t="s">
        <v>497</v>
      </c>
      <c r="D103" s="342">
        <v>78373</v>
      </c>
      <c r="E103" s="342" t="s">
        <v>232</v>
      </c>
      <c r="F103" s="342" t="s">
        <v>47</v>
      </c>
      <c r="G103" s="342" t="s">
        <v>843</v>
      </c>
      <c r="H103" s="342" t="s">
        <v>591</v>
      </c>
      <c r="I103" s="342" t="s">
        <v>40</v>
      </c>
      <c r="J103" s="342" t="s">
        <v>5449</v>
      </c>
      <c r="K103" s="342" t="s">
        <v>1402</v>
      </c>
      <c r="L103" s="343">
        <v>45350</v>
      </c>
      <c r="M103" s="343">
        <v>44673</v>
      </c>
      <c r="O103" s="342" t="s">
        <v>6026</v>
      </c>
      <c r="P103" s="342" t="s">
        <v>5737</v>
      </c>
      <c r="Q103" s="342">
        <v>6111175682</v>
      </c>
      <c r="R103" s="342">
        <v>9110</v>
      </c>
      <c r="V103" s="342" t="s">
        <v>2099</v>
      </c>
      <c r="W103" s="342">
        <v>30057</v>
      </c>
      <c r="X103" s="342" t="s">
        <v>4116</v>
      </c>
      <c r="Y103" s="343">
        <v>39721</v>
      </c>
      <c r="Z103" s="342" t="s">
        <v>4063</v>
      </c>
      <c r="AA103" s="343">
        <v>44673</v>
      </c>
      <c r="AB103" s="342" t="s">
        <v>4064</v>
      </c>
      <c r="AC103" s="342" t="s">
        <v>4064</v>
      </c>
      <c r="AD103" s="342" t="s">
        <v>4065</v>
      </c>
      <c r="AH103" s="342" t="s">
        <v>4069</v>
      </c>
      <c r="AI103" s="342" t="s">
        <v>4067</v>
      </c>
      <c r="AJ103" s="342" t="s">
        <v>5854</v>
      </c>
      <c r="AK103" s="342">
        <v>14637</v>
      </c>
    </row>
    <row r="104" spans="1:44">
      <c r="A104" s="342">
        <v>171387</v>
      </c>
      <c r="B104" s="342" t="s">
        <v>5412</v>
      </c>
      <c r="C104" s="342" t="s">
        <v>233</v>
      </c>
      <c r="D104" s="342">
        <v>42230</v>
      </c>
      <c r="E104" s="342" t="s">
        <v>234</v>
      </c>
      <c r="F104" s="342" t="s">
        <v>47</v>
      </c>
      <c r="G104" s="342" t="s">
        <v>844</v>
      </c>
      <c r="H104" s="342" t="s">
        <v>591</v>
      </c>
      <c r="I104" s="342" t="s">
        <v>40</v>
      </c>
      <c r="J104" s="342" t="s">
        <v>5449</v>
      </c>
      <c r="K104" s="342" t="s">
        <v>1402</v>
      </c>
      <c r="L104" s="343">
        <v>45350</v>
      </c>
      <c r="M104" s="343">
        <v>44434</v>
      </c>
      <c r="O104" s="342" t="s">
        <v>6027</v>
      </c>
      <c r="P104" s="342" t="s">
        <v>5738</v>
      </c>
      <c r="Q104" s="342">
        <v>6111354461</v>
      </c>
      <c r="R104" s="342">
        <v>9110</v>
      </c>
      <c r="V104" s="342" t="s">
        <v>2099</v>
      </c>
      <c r="W104" s="342">
        <v>100620</v>
      </c>
      <c r="X104" s="342" t="s">
        <v>4117</v>
      </c>
      <c r="Y104" s="343">
        <v>39419</v>
      </c>
      <c r="Z104" s="342" t="s">
        <v>4063</v>
      </c>
      <c r="AA104" s="343">
        <v>44434</v>
      </c>
      <c r="AB104" s="342" t="s">
        <v>4064</v>
      </c>
      <c r="AC104" s="342" t="s">
        <v>4064</v>
      </c>
      <c r="AD104" s="342" t="s">
        <v>4065</v>
      </c>
      <c r="AH104" s="342" t="s">
        <v>4075</v>
      </c>
      <c r="AI104" s="342" t="s">
        <v>4067</v>
      </c>
      <c r="AJ104" s="342" t="s">
        <v>5871</v>
      </c>
      <c r="AK104" s="342">
        <v>14639</v>
      </c>
    </row>
    <row r="105" spans="1:44">
      <c r="A105" s="342">
        <v>171397</v>
      </c>
      <c r="B105" s="342" t="s">
        <v>845</v>
      </c>
      <c r="C105" s="342" t="s">
        <v>1084</v>
      </c>
      <c r="D105" s="342">
        <v>52498</v>
      </c>
      <c r="E105" s="342" t="s">
        <v>235</v>
      </c>
      <c r="F105" s="342" t="s">
        <v>51</v>
      </c>
      <c r="G105" s="342" t="s">
        <v>846</v>
      </c>
      <c r="H105" s="342" t="s">
        <v>591</v>
      </c>
      <c r="I105" s="342" t="s">
        <v>1114</v>
      </c>
      <c r="J105" s="342" t="s">
        <v>1510</v>
      </c>
      <c r="K105" s="342" t="s">
        <v>1233</v>
      </c>
      <c r="L105" s="343">
        <v>44926</v>
      </c>
      <c r="M105" s="343">
        <v>44375</v>
      </c>
      <c r="P105" s="342" t="s">
        <v>5739</v>
      </c>
      <c r="Q105" s="342">
        <v>6134534640</v>
      </c>
      <c r="R105" s="342">
        <v>9120</v>
      </c>
      <c r="V105" s="342" t="s">
        <v>2131</v>
      </c>
      <c r="W105" s="342">
        <v>302846</v>
      </c>
      <c r="X105" s="342" t="s">
        <v>4988</v>
      </c>
      <c r="Y105" s="343">
        <v>43054</v>
      </c>
      <c r="Z105" s="342" t="s">
        <v>4063</v>
      </c>
      <c r="AA105" s="343">
        <v>44375</v>
      </c>
      <c r="AB105" s="342" t="s">
        <v>4064</v>
      </c>
      <c r="AC105" s="342" t="s">
        <v>4064</v>
      </c>
      <c r="AD105" s="342" t="s">
        <v>4065</v>
      </c>
      <c r="AI105" s="342" t="s">
        <v>4067</v>
      </c>
      <c r="AJ105" s="342" t="s">
        <v>5879</v>
      </c>
    </row>
    <row r="106" spans="1:44">
      <c r="A106" s="342">
        <v>172190</v>
      </c>
      <c r="B106" s="342" t="s">
        <v>673</v>
      </c>
      <c r="C106" s="342" t="s">
        <v>674</v>
      </c>
      <c r="D106" s="342">
        <v>91342</v>
      </c>
      <c r="E106" s="342" t="s">
        <v>675</v>
      </c>
      <c r="F106" s="342" t="s">
        <v>51</v>
      </c>
      <c r="G106" s="342">
        <v>91812</v>
      </c>
      <c r="H106" s="342" t="s">
        <v>591</v>
      </c>
      <c r="I106" s="342" t="s">
        <v>40</v>
      </c>
      <c r="J106" s="342" t="s">
        <v>1277</v>
      </c>
      <c r="L106" s="343">
        <v>45229</v>
      </c>
      <c r="M106" s="343">
        <v>44134</v>
      </c>
      <c r="O106" s="342" t="s">
        <v>2531</v>
      </c>
      <c r="P106" s="342" t="s">
        <v>4425</v>
      </c>
      <c r="Q106" s="342">
        <v>6116555401</v>
      </c>
      <c r="R106" s="342">
        <v>9110</v>
      </c>
      <c r="V106" s="342" t="s">
        <v>2099</v>
      </c>
      <c r="W106" s="342">
        <v>228944</v>
      </c>
      <c r="X106" s="342" t="s">
        <v>4118</v>
      </c>
      <c r="Y106" s="343">
        <v>39419</v>
      </c>
      <c r="Z106" s="342" t="s">
        <v>4063</v>
      </c>
      <c r="AA106" s="343">
        <v>44134</v>
      </c>
      <c r="AB106" s="342" t="s">
        <v>4064</v>
      </c>
      <c r="AC106" s="342" t="s">
        <v>4064</v>
      </c>
      <c r="AD106" s="342" t="s">
        <v>4065</v>
      </c>
      <c r="AI106" s="342" t="s">
        <v>4067</v>
      </c>
      <c r="AJ106" s="342" t="s">
        <v>6097</v>
      </c>
      <c r="AK106" s="342">
        <v>14765</v>
      </c>
    </row>
    <row r="107" spans="1:44">
      <c r="A107" s="342">
        <v>172438</v>
      </c>
      <c r="B107" s="342" t="s">
        <v>4695</v>
      </c>
      <c r="C107" s="342" t="s">
        <v>4696</v>
      </c>
      <c r="D107" s="342">
        <v>4030</v>
      </c>
      <c r="E107" s="342" t="s">
        <v>4697</v>
      </c>
      <c r="F107" s="342" t="s">
        <v>66</v>
      </c>
      <c r="G107" s="342" t="s">
        <v>4698</v>
      </c>
      <c r="H107" s="342" t="s">
        <v>591</v>
      </c>
      <c r="I107" s="342" t="s">
        <v>784</v>
      </c>
      <c r="J107" s="342" t="s">
        <v>4638</v>
      </c>
      <c r="L107" s="343">
        <v>44864</v>
      </c>
      <c r="M107" s="343">
        <v>44214</v>
      </c>
      <c r="O107" s="342" t="s">
        <v>4864</v>
      </c>
      <c r="P107" s="342" t="s">
        <v>5075</v>
      </c>
      <c r="Q107" s="342">
        <v>6145593188</v>
      </c>
      <c r="R107" s="342">
        <v>9100</v>
      </c>
      <c r="V107" s="342" t="s">
        <v>2233</v>
      </c>
      <c r="W107" s="342">
        <v>100256</v>
      </c>
      <c r="X107" s="342" t="s">
        <v>4989</v>
      </c>
      <c r="Y107" s="343">
        <v>42872</v>
      </c>
      <c r="Z107" s="342" t="s">
        <v>4063</v>
      </c>
      <c r="AA107" s="343">
        <v>44214</v>
      </c>
      <c r="AB107" s="342" t="s">
        <v>4064</v>
      </c>
      <c r="AC107" s="342" t="s">
        <v>4064</v>
      </c>
      <c r="AD107" s="342" t="s">
        <v>4065</v>
      </c>
      <c r="AI107" s="342" t="s">
        <v>4067</v>
      </c>
      <c r="AJ107" s="342" t="s">
        <v>6001</v>
      </c>
      <c r="AK107" s="342">
        <v>26721</v>
      </c>
    </row>
    <row r="108" spans="1:44">
      <c r="A108" s="342">
        <v>172438</v>
      </c>
      <c r="B108" s="342" t="s">
        <v>4695</v>
      </c>
      <c r="C108" s="342" t="s">
        <v>4696</v>
      </c>
      <c r="D108" s="342">
        <v>4030</v>
      </c>
      <c r="E108" s="342" t="s">
        <v>4697</v>
      </c>
      <c r="F108" s="342" t="s">
        <v>66</v>
      </c>
      <c r="G108" s="342" t="s">
        <v>4698</v>
      </c>
      <c r="H108" s="342" t="s">
        <v>591</v>
      </c>
      <c r="I108" s="342" t="s">
        <v>787</v>
      </c>
      <c r="J108" s="342" t="s">
        <v>4638</v>
      </c>
      <c r="L108" s="343">
        <v>44864</v>
      </c>
      <c r="M108" s="343">
        <v>44214</v>
      </c>
      <c r="O108" s="342" t="s">
        <v>4864</v>
      </c>
      <c r="P108" s="342" t="s">
        <v>5075</v>
      </c>
      <c r="Q108" s="342">
        <v>6145593188</v>
      </c>
      <c r="R108" s="342">
        <v>9110</v>
      </c>
      <c r="V108" s="342" t="s">
        <v>2217</v>
      </c>
      <c r="W108" s="342">
        <v>100256</v>
      </c>
      <c r="X108" s="342" t="s">
        <v>4989</v>
      </c>
      <c r="Y108" s="343">
        <v>42872</v>
      </c>
      <c r="Z108" s="342" t="s">
        <v>4063</v>
      </c>
      <c r="AA108" s="343">
        <v>44214</v>
      </c>
      <c r="AB108" s="342" t="s">
        <v>4064</v>
      </c>
      <c r="AC108" s="342" t="s">
        <v>4064</v>
      </c>
      <c r="AD108" s="342" t="s">
        <v>4065</v>
      </c>
      <c r="AI108" s="342" t="s">
        <v>4067</v>
      </c>
      <c r="AJ108" s="342" t="s">
        <v>6009</v>
      </c>
      <c r="AK108" s="342">
        <v>26721</v>
      </c>
    </row>
    <row r="109" spans="1:44">
      <c r="A109" s="342">
        <v>172671</v>
      </c>
      <c r="B109" s="342" t="s">
        <v>1308</v>
      </c>
      <c r="C109" s="342" t="s">
        <v>1309</v>
      </c>
      <c r="D109" s="342">
        <v>11104</v>
      </c>
      <c r="E109" s="342" t="s">
        <v>1310</v>
      </c>
      <c r="F109" s="342" t="s">
        <v>1311</v>
      </c>
      <c r="H109" s="342" t="s">
        <v>591</v>
      </c>
      <c r="I109" s="342" t="s">
        <v>41</v>
      </c>
      <c r="J109" s="342" t="s">
        <v>1421</v>
      </c>
      <c r="K109" s="342" t="s">
        <v>1402</v>
      </c>
      <c r="L109" s="343">
        <v>45381</v>
      </c>
      <c r="M109" s="343">
        <v>44455</v>
      </c>
      <c r="O109" s="342" t="s">
        <v>4939</v>
      </c>
      <c r="P109" s="342" t="s">
        <v>1540</v>
      </c>
      <c r="Q109" s="342">
        <v>6150930189</v>
      </c>
      <c r="R109" s="342">
        <v>9110</v>
      </c>
      <c r="V109" s="342" t="s">
        <v>2217</v>
      </c>
      <c r="W109" s="342">
        <v>302992</v>
      </c>
      <c r="X109" s="342" t="s">
        <v>4991</v>
      </c>
      <c r="Y109" s="343">
        <v>42464</v>
      </c>
      <c r="Z109" s="342" t="s">
        <v>4063</v>
      </c>
      <c r="AA109" s="343">
        <v>44455</v>
      </c>
      <c r="AB109" s="342" t="s">
        <v>4064</v>
      </c>
      <c r="AC109" s="342" t="s">
        <v>4064</v>
      </c>
      <c r="AD109" s="342" t="s">
        <v>4065</v>
      </c>
      <c r="AI109" s="342" t="s">
        <v>4067</v>
      </c>
      <c r="AJ109" s="342" t="s">
        <v>5999</v>
      </c>
    </row>
    <row r="110" spans="1:44">
      <c r="A110" s="342">
        <v>173784</v>
      </c>
      <c r="B110" s="342" t="s">
        <v>237</v>
      </c>
      <c r="C110" s="342" t="s">
        <v>238</v>
      </c>
      <c r="D110" s="342" t="s">
        <v>239</v>
      </c>
      <c r="E110" s="342" t="s">
        <v>240</v>
      </c>
      <c r="F110" s="342" t="s">
        <v>51</v>
      </c>
      <c r="G110" s="342">
        <v>16017</v>
      </c>
      <c r="H110" s="342" t="s">
        <v>591</v>
      </c>
      <c r="I110" s="342" t="s">
        <v>40</v>
      </c>
      <c r="J110" s="342" t="s">
        <v>1277</v>
      </c>
      <c r="L110" s="343">
        <v>45016</v>
      </c>
      <c r="M110" s="343">
        <v>43909</v>
      </c>
      <c r="O110" s="342" t="s">
        <v>5034</v>
      </c>
      <c r="P110" s="342" t="s">
        <v>1541</v>
      </c>
      <c r="Q110" s="342">
        <v>6119426867</v>
      </c>
      <c r="R110" s="342">
        <v>9110</v>
      </c>
      <c r="S110" s="342" t="s">
        <v>1575</v>
      </c>
      <c r="V110" s="342" t="s">
        <v>2099</v>
      </c>
      <c r="W110" s="342">
        <v>70129</v>
      </c>
      <c r="X110" s="342" t="s">
        <v>5237</v>
      </c>
      <c r="Y110" s="343">
        <v>41710</v>
      </c>
      <c r="Z110" s="342" t="s">
        <v>4063</v>
      </c>
      <c r="AA110" s="343">
        <v>43909</v>
      </c>
      <c r="AB110" s="342" t="s">
        <v>4064</v>
      </c>
      <c r="AC110" s="342" t="s">
        <v>4064</v>
      </c>
      <c r="AD110" s="342" t="s">
        <v>4065</v>
      </c>
      <c r="AH110" s="342" t="s">
        <v>4069</v>
      </c>
      <c r="AI110" s="342" t="s">
        <v>4067</v>
      </c>
      <c r="AJ110" s="342" t="s">
        <v>6098</v>
      </c>
      <c r="AK110" s="342">
        <v>14937</v>
      </c>
    </row>
    <row r="111" spans="1:44">
      <c r="A111" s="342">
        <v>173807</v>
      </c>
      <c r="B111" s="342" t="s">
        <v>5668</v>
      </c>
      <c r="C111" s="342" t="s">
        <v>241</v>
      </c>
      <c r="D111" s="342">
        <v>21614</v>
      </c>
      <c r="E111" s="342" t="s">
        <v>242</v>
      </c>
      <c r="F111" s="342" t="s">
        <v>55</v>
      </c>
      <c r="G111" s="342" t="s">
        <v>847</v>
      </c>
      <c r="H111" s="342" t="s">
        <v>591</v>
      </c>
      <c r="I111" s="342" t="s">
        <v>40</v>
      </c>
      <c r="J111" s="342" t="s">
        <v>1421</v>
      </c>
      <c r="K111" s="342" t="s">
        <v>1402</v>
      </c>
      <c r="L111" s="343">
        <v>45596</v>
      </c>
      <c r="M111" s="343">
        <v>44491</v>
      </c>
      <c r="O111" s="342" t="s">
        <v>5674</v>
      </c>
      <c r="P111" s="342" t="s">
        <v>4831</v>
      </c>
      <c r="Q111" s="342">
        <v>6114493727</v>
      </c>
      <c r="R111" s="342">
        <v>9100</v>
      </c>
      <c r="V111" s="342" t="s">
        <v>2099</v>
      </c>
      <c r="W111" s="342">
        <v>227879</v>
      </c>
      <c r="X111" s="342" t="s">
        <v>4421</v>
      </c>
      <c r="Y111" s="343">
        <v>39958</v>
      </c>
      <c r="Z111" s="342" t="s">
        <v>4063</v>
      </c>
      <c r="AA111" s="343">
        <v>44491</v>
      </c>
      <c r="AB111" s="342" t="s">
        <v>4064</v>
      </c>
      <c r="AC111" s="342" t="s">
        <v>4064</v>
      </c>
      <c r="AD111" s="342" t="s">
        <v>4065</v>
      </c>
      <c r="AI111" s="342" t="s">
        <v>4067</v>
      </c>
      <c r="AJ111" s="342" t="s">
        <v>5847</v>
      </c>
      <c r="AR111" s="342" t="s">
        <v>4119</v>
      </c>
    </row>
    <row r="112" spans="1:44">
      <c r="A112" s="342">
        <v>173808</v>
      </c>
      <c r="B112" s="342" t="s">
        <v>1307</v>
      </c>
      <c r="C112" s="342" t="s">
        <v>243</v>
      </c>
      <c r="D112" s="342" t="s">
        <v>244</v>
      </c>
      <c r="E112" s="342" t="s">
        <v>245</v>
      </c>
      <c r="F112" s="342" t="s">
        <v>51</v>
      </c>
      <c r="G112" s="342">
        <v>61423</v>
      </c>
      <c r="H112" s="342" t="s">
        <v>591</v>
      </c>
      <c r="I112" s="342" t="s">
        <v>40</v>
      </c>
      <c r="J112" s="342" t="s">
        <v>5282</v>
      </c>
      <c r="K112" s="342" t="s">
        <v>1402</v>
      </c>
      <c r="L112" s="343">
        <v>45076</v>
      </c>
      <c r="M112" s="343">
        <v>44735</v>
      </c>
      <c r="O112" s="342" t="s">
        <v>6028</v>
      </c>
      <c r="P112" s="342" t="s">
        <v>5265</v>
      </c>
      <c r="Q112" s="342">
        <v>6111550825</v>
      </c>
      <c r="R112" s="342">
        <v>9110</v>
      </c>
      <c r="V112" s="342" t="s">
        <v>2099</v>
      </c>
      <c r="W112" s="342">
        <v>100261</v>
      </c>
      <c r="X112" s="342" t="s">
        <v>5321</v>
      </c>
      <c r="Y112" s="343">
        <v>41673</v>
      </c>
      <c r="Z112" s="342" t="s">
        <v>4063</v>
      </c>
      <c r="AA112" s="343">
        <v>44735</v>
      </c>
      <c r="AB112" s="342" t="s">
        <v>4064</v>
      </c>
      <c r="AC112" s="342" t="s">
        <v>4064</v>
      </c>
      <c r="AD112" s="342" t="s">
        <v>4065</v>
      </c>
      <c r="AH112" s="342" t="s">
        <v>4120</v>
      </c>
      <c r="AI112" s="342" t="s">
        <v>4067</v>
      </c>
      <c r="AJ112" s="342" t="s">
        <v>5850</v>
      </c>
      <c r="AK112" s="342">
        <v>19083</v>
      </c>
    </row>
    <row r="113" spans="1:44">
      <c r="A113" s="342">
        <v>175626</v>
      </c>
      <c r="B113" s="342" t="s">
        <v>1451</v>
      </c>
      <c r="C113" s="342" t="s">
        <v>1452</v>
      </c>
      <c r="D113" s="342">
        <v>7605</v>
      </c>
      <c r="E113" s="342" t="s">
        <v>1375</v>
      </c>
      <c r="F113" s="342" t="s">
        <v>51</v>
      </c>
      <c r="G113" s="342">
        <v>34345</v>
      </c>
      <c r="H113" s="342" t="s">
        <v>591</v>
      </c>
      <c r="I113" s="342" t="s">
        <v>40</v>
      </c>
      <c r="J113" s="342" t="s">
        <v>5278</v>
      </c>
      <c r="K113" s="342" t="s">
        <v>1233</v>
      </c>
      <c r="L113" s="343">
        <v>44895</v>
      </c>
      <c r="M113" s="343">
        <v>44158</v>
      </c>
      <c r="O113" s="342" t="s">
        <v>5222</v>
      </c>
      <c r="P113" s="342" t="s">
        <v>4240</v>
      </c>
      <c r="Q113" s="342">
        <v>6111736461</v>
      </c>
      <c r="R113" s="342">
        <v>9110</v>
      </c>
      <c r="U113" s="342" t="s">
        <v>5179</v>
      </c>
      <c r="V113" s="342" t="s">
        <v>2099</v>
      </c>
      <c r="W113" s="342">
        <v>228963</v>
      </c>
      <c r="X113" s="342" t="s">
        <v>5387</v>
      </c>
      <c r="Y113" s="343">
        <v>39419</v>
      </c>
      <c r="Z113" s="342" t="s">
        <v>4063</v>
      </c>
      <c r="AA113" s="343">
        <v>44158</v>
      </c>
      <c r="AB113" s="342" t="s">
        <v>4064</v>
      </c>
      <c r="AC113" s="342" t="s">
        <v>4064</v>
      </c>
      <c r="AD113" s="342" t="s">
        <v>4065</v>
      </c>
      <c r="AI113" s="342" t="s">
        <v>4111</v>
      </c>
      <c r="AJ113" s="342" t="s">
        <v>5870</v>
      </c>
    </row>
    <row r="114" spans="1:44">
      <c r="A114" s="342">
        <v>175845</v>
      </c>
      <c r="B114" s="342" t="s">
        <v>247</v>
      </c>
      <c r="C114" s="342" t="s">
        <v>248</v>
      </c>
      <c r="D114" s="342">
        <v>92167</v>
      </c>
      <c r="E114" s="342" t="s">
        <v>249</v>
      </c>
      <c r="F114" s="342" t="s">
        <v>47</v>
      </c>
      <c r="G114" s="342" t="s">
        <v>848</v>
      </c>
      <c r="H114" s="342" t="s">
        <v>591</v>
      </c>
      <c r="I114" s="342" t="s">
        <v>40</v>
      </c>
      <c r="J114" s="342" t="s">
        <v>5282</v>
      </c>
      <c r="K114" s="342" t="s">
        <v>1402</v>
      </c>
      <c r="L114" s="343">
        <v>45076</v>
      </c>
      <c r="M114" s="343">
        <v>44735</v>
      </c>
      <c r="O114" s="342" t="s">
        <v>4480</v>
      </c>
      <c r="P114" s="342" t="s">
        <v>1542</v>
      </c>
      <c r="Q114" s="342">
        <v>6114370507</v>
      </c>
      <c r="R114" s="342">
        <v>9110</v>
      </c>
      <c r="V114" s="342" t="s">
        <v>2099</v>
      </c>
      <c r="W114" s="342">
        <v>90844</v>
      </c>
      <c r="X114" s="342" t="s">
        <v>5321</v>
      </c>
      <c r="Y114" s="343">
        <v>41696</v>
      </c>
      <c r="Z114" s="342" t="s">
        <v>4063</v>
      </c>
      <c r="AA114" s="343">
        <v>44735</v>
      </c>
      <c r="AB114" s="342" t="s">
        <v>4064</v>
      </c>
      <c r="AC114" s="342" t="s">
        <v>4064</v>
      </c>
      <c r="AD114" s="342" t="s">
        <v>4065</v>
      </c>
      <c r="AH114" s="342" t="s">
        <v>4069</v>
      </c>
      <c r="AI114" s="342" t="s">
        <v>4067</v>
      </c>
      <c r="AJ114" s="342" t="s">
        <v>5871</v>
      </c>
      <c r="AK114" s="342">
        <v>27551</v>
      </c>
    </row>
    <row r="115" spans="1:44">
      <c r="A115" s="342">
        <v>176711</v>
      </c>
      <c r="B115" s="342" t="s">
        <v>250</v>
      </c>
      <c r="C115" s="342" t="s">
        <v>251</v>
      </c>
      <c r="D115" s="342">
        <v>31079</v>
      </c>
      <c r="E115" s="342" t="s">
        <v>93</v>
      </c>
      <c r="F115" s="342" t="s">
        <v>47</v>
      </c>
      <c r="G115" s="342" t="s">
        <v>849</v>
      </c>
      <c r="H115" s="342" t="s">
        <v>591</v>
      </c>
      <c r="I115" s="342" t="s">
        <v>40</v>
      </c>
      <c r="J115" s="342" t="s">
        <v>5278</v>
      </c>
      <c r="K115" s="342" t="s">
        <v>1233</v>
      </c>
      <c r="L115" s="343">
        <v>45596</v>
      </c>
      <c r="M115" s="343">
        <v>44490</v>
      </c>
      <c r="O115" s="342" t="s">
        <v>4784</v>
      </c>
      <c r="P115" s="342" t="s">
        <v>5740</v>
      </c>
      <c r="Q115" s="342">
        <v>6111446560</v>
      </c>
      <c r="R115" s="342">
        <v>9110</v>
      </c>
      <c r="V115" s="342" t="s">
        <v>2099</v>
      </c>
      <c r="W115" s="342">
        <v>90867</v>
      </c>
      <c r="X115" s="342" t="s">
        <v>4584</v>
      </c>
      <c r="Y115" s="343">
        <v>39419</v>
      </c>
      <c r="Z115" s="342" t="s">
        <v>4063</v>
      </c>
      <c r="AA115" s="343">
        <v>44490</v>
      </c>
      <c r="AB115" s="342" t="s">
        <v>4064</v>
      </c>
      <c r="AC115" s="342" t="s">
        <v>4064</v>
      </c>
      <c r="AD115" s="342" t="s">
        <v>4065</v>
      </c>
      <c r="AH115" s="342" t="s">
        <v>4069</v>
      </c>
      <c r="AI115" s="342" t="s">
        <v>4067</v>
      </c>
      <c r="AJ115" s="342" t="s">
        <v>5844</v>
      </c>
      <c r="AK115" s="342">
        <v>15133</v>
      </c>
      <c r="AL115" s="342">
        <v>5978</v>
      </c>
      <c r="AR115" s="342" t="s">
        <v>4121</v>
      </c>
    </row>
    <row r="116" spans="1:44">
      <c r="A116" s="342">
        <v>176864</v>
      </c>
      <c r="B116" s="342" t="s">
        <v>252</v>
      </c>
      <c r="C116" s="342" t="s">
        <v>253</v>
      </c>
      <c r="D116" s="342">
        <v>78420</v>
      </c>
      <c r="E116" s="342" t="s">
        <v>254</v>
      </c>
      <c r="F116" s="342" t="s">
        <v>47</v>
      </c>
      <c r="G116" s="342" t="s">
        <v>850</v>
      </c>
      <c r="H116" s="342" t="s">
        <v>591</v>
      </c>
      <c r="I116" s="342" t="s">
        <v>40</v>
      </c>
      <c r="J116" s="342" t="s">
        <v>1277</v>
      </c>
      <c r="K116" s="342" t="s">
        <v>1233</v>
      </c>
      <c r="L116" s="343">
        <v>45138</v>
      </c>
      <c r="M116" s="343">
        <v>44036</v>
      </c>
      <c r="O116" s="342" t="s">
        <v>1315</v>
      </c>
      <c r="P116" s="342" t="s">
        <v>4494</v>
      </c>
      <c r="Q116" s="342">
        <v>6116733809</v>
      </c>
      <c r="R116" s="342">
        <v>9110</v>
      </c>
      <c r="V116" s="342" t="s">
        <v>2099</v>
      </c>
      <c r="W116" s="342">
        <v>70297</v>
      </c>
      <c r="X116" s="342" t="s">
        <v>5875</v>
      </c>
      <c r="Y116" s="343">
        <v>39419</v>
      </c>
      <c r="Z116" s="342" t="s">
        <v>4063</v>
      </c>
      <c r="AA116" s="343">
        <v>44036</v>
      </c>
      <c r="AB116" s="342" t="s">
        <v>4064</v>
      </c>
      <c r="AC116" s="342" t="s">
        <v>4064</v>
      </c>
      <c r="AD116" s="342" t="s">
        <v>4065</v>
      </c>
      <c r="AH116" s="342" t="s">
        <v>4069</v>
      </c>
      <c r="AI116" s="342" t="s">
        <v>4067</v>
      </c>
      <c r="AJ116" s="342" t="s">
        <v>5888</v>
      </c>
      <c r="AK116" s="342">
        <v>15152</v>
      </c>
    </row>
    <row r="117" spans="1:44">
      <c r="A117" s="342">
        <v>177839</v>
      </c>
      <c r="B117" s="342" t="s">
        <v>256</v>
      </c>
      <c r="C117" s="342" t="s">
        <v>257</v>
      </c>
      <c r="D117" s="342">
        <v>31016</v>
      </c>
      <c r="E117" s="342" t="s">
        <v>258</v>
      </c>
      <c r="F117" s="342" t="s">
        <v>47</v>
      </c>
      <c r="G117" s="342" t="s">
        <v>851</v>
      </c>
      <c r="H117" s="342" t="s">
        <v>591</v>
      </c>
      <c r="I117" s="342" t="s">
        <v>40</v>
      </c>
      <c r="J117" s="342" t="s">
        <v>5279</v>
      </c>
      <c r="K117" s="342" t="s">
        <v>1233</v>
      </c>
      <c r="L117" s="343">
        <v>45229</v>
      </c>
      <c r="M117" s="343">
        <v>44679</v>
      </c>
      <c r="O117" s="342" t="s">
        <v>5675</v>
      </c>
      <c r="P117" s="342" t="s">
        <v>5985</v>
      </c>
      <c r="Q117" s="342">
        <v>6111629549</v>
      </c>
      <c r="R117" s="342">
        <v>9110</v>
      </c>
      <c r="V117" s="342" t="s">
        <v>2099</v>
      </c>
      <c r="W117" s="342">
        <v>200015</v>
      </c>
      <c r="X117" s="342" t="s">
        <v>5238</v>
      </c>
      <c r="Y117" s="343">
        <v>39419</v>
      </c>
      <c r="Z117" s="342" t="s">
        <v>4063</v>
      </c>
      <c r="AA117" s="343">
        <v>44679</v>
      </c>
      <c r="AB117" s="342" t="s">
        <v>4064</v>
      </c>
      <c r="AC117" s="342" t="s">
        <v>4064</v>
      </c>
      <c r="AD117" s="342" t="s">
        <v>4065</v>
      </c>
      <c r="AH117" s="342" t="s">
        <v>4069</v>
      </c>
      <c r="AI117" s="342" t="s">
        <v>4067</v>
      </c>
      <c r="AJ117" s="342" t="s">
        <v>5879</v>
      </c>
      <c r="AK117" s="342">
        <v>15241</v>
      </c>
      <c r="AM117" s="342" t="s">
        <v>5972</v>
      </c>
    </row>
    <row r="118" spans="1:44">
      <c r="A118" s="342">
        <v>177845</v>
      </c>
      <c r="B118" s="342" t="s">
        <v>852</v>
      </c>
      <c r="C118" s="342" t="s">
        <v>853</v>
      </c>
      <c r="D118" s="342" t="s">
        <v>854</v>
      </c>
      <c r="E118" s="342" t="s">
        <v>855</v>
      </c>
      <c r="F118" s="342" t="s">
        <v>51</v>
      </c>
      <c r="G118" s="345">
        <v>764</v>
      </c>
      <c r="H118" s="342" t="s">
        <v>591</v>
      </c>
      <c r="I118" s="342" t="s">
        <v>40</v>
      </c>
      <c r="J118" s="342" t="s">
        <v>5279</v>
      </c>
      <c r="K118" s="342" t="s">
        <v>1233</v>
      </c>
      <c r="L118" s="343">
        <v>45229</v>
      </c>
      <c r="M118" s="343">
        <v>44679</v>
      </c>
      <c r="O118" s="342" t="s">
        <v>5150</v>
      </c>
      <c r="P118" s="342" t="s">
        <v>1543</v>
      </c>
      <c r="Q118" s="342">
        <v>6122776368</v>
      </c>
      <c r="R118" s="342">
        <v>9110</v>
      </c>
      <c r="V118" s="342" t="s">
        <v>2099</v>
      </c>
      <c r="W118" s="342">
        <v>303976</v>
      </c>
      <c r="X118" s="342" t="s">
        <v>5386</v>
      </c>
      <c r="Y118" s="343">
        <v>41673</v>
      </c>
      <c r="Z118" s="342" t="s">
        <v>4063</v>
      </c>
      <c r="AA118" s="343">
        <v>44679</v>
      </c>
      <c r="AB118" s="342" t="s">
        <v>4064</v>
      </c>
      <c r="AC118" s="342" t="s">
        <v>4064</v>
      </c>
      <c r="AD118" s="342" t="s">
        <v>4065</v>
      </c>
      <c r="AI118" s="342" t="s">
        <v>4067</v>
      </c>
      <c r="AJ118" s="342" t="s">
        <v>5845</v>
      </c>
    </row>
    <row r="119" spans="1:44">
      <c r="A119" s="342">
        <v>178134</v>
      </c>
      <c r="B119" s="342" t="s">
        <v>259</v>
      </c>
      <c r="C119" s="342" t="s">
        <v>260</v>
      </c>
      <c r="D119" s="342">
        <v>79115</v>
      </c>
      <c r="E119" s="342" t="s">
        <v>261</v>
      </c>
      <c r="F119" s="342" t="s">
        <v>55</v>
      </c>
      <c r="G119" s="342" t="s">
        <v>856</v>
      </c>
      <c r="H119" s="342" t="s">
        <v>591</v>
      </c>
      <c r="I119" s="342" t="s">
        <v>40</v>
      </c>
      <c r="J119" s="342" t="s">
        <v>5278</v>
      </c>
      <c r="K119" s="342" t="s">
        <v>1233</v>
      </c>
      <c r="L119" s="343">
        <v>45076</v>
      </c>
      <c r="M119" s="343">
        <v>44014</v>
      </c>
      <c r="O119" s="342" t="s">
        <v>4886</v>
      </c>
      <c r="P119" s="342" t="s">
        <v>5741</v>
      </c>
      <c r="Q119" s="342">
        <v>6113745065</v>
      </c>
      <c r="R119" s="342">
        <v>9110</v>
      </c>
      <c r="V119" s="342" t="s">
        <v>2099</v>
      </c>
      <c r="W119" s="342">
        <v>70140</v>
      </c>
      <c r="X119" s="342" t="s">
        <v>4122</v>
      </c>
      <c r="Y119" s="343">
        <v>39419</v>
      </c>
      <c r="Z119" s="342" t="s">
        <v>4063</v>
      </c>
      <c r="AA119" s="343">
        <v>44014</v>
      </c>
      <c r="AB119" s="342" t="s">
        <v>4064</v>
      </c>
      <c r="AC119" s="342" t="s">
        <v>4064</v>
      </c>
      <c r="AD119" s="342" t="s">
        <v>4065</v>
      </c>
      <c r="AH119" s="342" t="s">
        <v>4069</v>
      </c>
      <c r="AI119" s="342" t="s">
        <v>4067</v>
      </c>
      <c r="AJ119" s="342" t="s">
        <v>5935</v>
      </c>
      <c r="AK119" s="342">
        <v>15265</v>
      </c>
    </row>
    <row r="120" spans="1:44">
      <c r="A120" s="342">
        <v>178633</v>
      </c>
      <c r="B120" s="342" t="s">
        <v>1175</v>
      </c>
      <c r="C120" s="342" t="s">
        <v>1176</v>
      </c>
      <c r="D120" s="342">
        <v>31140</v>
      </c>
      <c r="E120" s="342" t="s">
        <v>828</v>
      </c>
      <c r="F120" s="342" t="s">
        <v>47</v>
      </c>
      <c r="G120" s="342" t="s">
        <v>1177</v>
      </c>
      <c r="H120" s="342" t="s">
        <v>591</v>
      </c>
      <c r="I120" s="342" t="s">
        <v>40</v>
      </c>
      <c r="J120" s="342" t="s">
        <v>1510</v>
      </c>
      <c r="K120" s="342" t="s">
        <v>1402</v>
      </c>
      <c r="L120" s="343">
        <v>45381</v>
      </c>
      <c r="M120" s="343">
        <v>44452</v>
      </c>
      <c r="O120" s="342" t="s">
        <v>4742</v>
      </c>
      <c r="P120" s="342" t="s">
        <v>5742</v>
      </c>
      <c r="Q120" s="342">
        <v>6120942563</v>
      </c>
      <c r="R120" s="342">
        <v>9110</v>
      </c>
      <c r="V120" s="342" t="s">
        <v>2099</v>
      </c>
      <c r="W120" s="342">
        <v>90267</v>
      </c>
      <c r="X120" s="342" t="s">
        <v>6099</v>
      </c>
      <c r="Y120" s="343">
        <v>39419</v>
      </c>
      <c r="Z120" s="342" t="s">
        <v>4063</v>
      </c>
      <c r="AA120" s="343">
        <v>44452</v>
      </c>
      <c r="AB120" s="342" t="s">
        <v>4064</v>
      </c>
      <c r="AC120" s="342" t="s">
        <v>4064</v>
      </c>
      <c r="AD120" s="342" t="s">
        <v>4065</v>
      </c>
      <c r="AI120" s="342" t="s">
        <v>4067</v>
      </c>
      <c r="AJ120" s="342" t="s">
        <v>5847</v>
      </c>
      <c r="AK120" s="342">
        <v>13782</v>
      </c>
      <c r="AL120" s="342">
        <v>6282</v>
      </c>
      <c r="AR120" s="342" t="s">
        <v>4123</v>
      </c>
    </row>
    <row r="121" spans="1:44">
      <c r="A121" s="342">
        <v>178963</v>
      </c>
      <c r="B121" s="342" t="s">
        <v>262</v>
      </c>
      <c r="C121" s="342" t="s">
        <v>263</v>
      </c>
      <c r="D121" s="342">
        <v>22335</v>
      </c>
      <c r="E121" s="342" t="s">
        <v>74</v>
      </c>
      <c r="F121" s="342" t="s">
        <v>55</v>
      </c>
      <c r="G121" s="342" t="s">
        <v>857</v>
      </c>
      <c r="H121" s="342" t="s">
        <v>591</v>
      </c>
      <c r="I121" s="342" t="s">
        <v>41</v>
      </c>
      <c r="J121" s="342" t="s">
        <v>4638</v>
      </c>
      <c r="K121" s="342" t="s">
        <v>1402</v>
      </c>
      <c r="L121" s="343">
        <v>44895</v>
      </c>
      <c r="M121" s="343">
        <v>44676</v>
      </c>
      <c r="O121" s="342" t="s">
        <v>5551</v>
      </c>
      <c r="P121" s="342" t="s">
        <v>5492</v>
      </c>
      <c r="Q121" s="342">
        <v>6121397421</v>
      </c>
      <c r="R121" s="342">
        <v>9110</v>
      </c>
      <c r="V121" s="342" t="s">
        <v>2217</v>
      </c>
      <c r="W121" s="342">
        <v>227377</v>
      </c>
      <c r="X121" s="342" t="s">
        <v>4418</v>
      </c>
      <c r="Y121" s="343">
        <v>40674</v>
      </c>
      <c r="Z121" s="342" t="s">
        <v>4063</v>
      </c>
      <c r="AA121" s="343">
        <v>44676</v>
      </c>
      <c r="AB121" s="342" t="s">
        <v>4064</v>
      </c>
      <c r="AC121" s="342" t="s">
        <v>4064</v>
      </c>
      <c r="AD121" s="342" t="s">
        <v>4065</v>
      </c>
      <c r="AH121" s="342" t="s">
        <v>4071</v>
      </c>
      <c r="AI121" s="342" t="s">
        <v>4067</v>
      </c>
      <c r="AJ121" s="342" t="s">
        <v>6100</v>
      </c>
      <c r="AK121" s="342">
        <v>15418</v>
      </c>
    </row>
    <row r="122" spans="1:44">
      <c r="A122" s="342">
        <v>178963</v>
      </c>
      <c r="B122" s="342" t="s">
        <v>262</v>
      </c>
      <c r="C122" s="342" t="s">
        <v>263</v>
      </c>
      <c r="D122" s="342">
        <v>22335</v>
      </c>
      <c r="E122" s="342" t="s">
        <v>74</v>
      </c>
      <c r="F122" s="342" t="s">
        <v>55</v>
      </c>
      <c r="G122" s="342" t="s">
        <v>857</v>
      </c>
      <c r="H122" s="342" t="s">
        <v>591</v>
      </c>
      <c r="I122" s="342" t="s">
        <v>40</v>
      </c>
      <c r="J122" s="342" t="s">
        <v>4638</v>
      </c>
      <c r="K122" s="342" t="s">
        <v>1402</v>
      </c>
      <c r="L122" s="343">
        <v>45688</v>
      </c>
      <c r="M122" s="343">
        <v>44760</v>
      </c>
      <c r="O122" s="342" t="s">
        <v>5551</v>
      </c>
      <c r="P122" s="342" t="s">
        <v>5492</v>
      </c>
      <c r="Q122" s="342">
        <v>6121397421</v>
      </c>
      <c r="R122" s="342">
        <v>9110</v>
      </c>
      <c r="V122" s="342" t="s">
        <v>2099</v>
      </c>
      <c r="W122" s="342">
        <v>227377</v>
      </c>
      <c r="X122" s="342" t="s">
        <v>4418</v>
      </c>
      <c r="Y122" s="343">
        <v>39419</v>
      </c>
      <c r="Z122" s="342" t="s">
        <v>4063</v>
      </c>
      <c r="AA122" s="343">
        <v>44760</v>
      </c>
      <c r="AB122" s="342" t="s">
        <v>4064</v>
      </c>
      <c r="AC122" s="342" t="s">
        <v>4064</v>
      </c>
      <c r="AD122" s="342" t="s">
        <v>4065</v>
      </c>
      <c r="AH122" s="342" t="s">
        <v>4071</v>
      </c>
      <c r="AI122" s="342" t="s">
        <v>4067</v>
      </c>
      <c r="AJ122" s="342" t="s">
        <v>6000</v>
      </c>
      <c r="AK122" s="342">
        <v>15418</v>
      </c>
    </row>
    <row r="123" spans="1:44">
      <c r="A123" s="342">
        <v>178963</v>
      </c>
      <c r="B123" s="342" t="s">
        <v>262</v>
      </c>
      <c r="C123" s="342" t="s">
        <v>263</v>
      </c>
      <c r="D123" s="342">
        <v>22335</v>
      </c>
      <c r="E123" s="342" t="s">
        <v>74</v>
      </c>
      <c r="F123" s="342" t="s">
        <v>55</v>
      </c>
      <c r="G123" s="342" t="s">
        <v>857</v>
      </c>
      <c r="H123" s="342" t="s">
        <v>591</v>
      </c>
      <c r="I123" s="342" t="s">
        <v>784</v>
      </c>
      <c r="J123" s="342" t="s">
        <v>4638</v>
      </c>
      <c r="K123" s="342" t="s">
        <v>1402</v>
      </c>
      <c r="L123" s="343">
        <v>45138</v>
      </c>
      <c r="M123" s="343">
        <v>44750</v>
      </c>
      <c r="O123" s="342" t="s">
        <v>5551</v>
      </c>
      <c r="P123" s="342" t="s">
        <v>5492</v>
      </c>
      <c r="Q123" s="342">
        <v>6121397421</v>
      </c>
      <c r="R123" s="342">
        <v>9100</v>
      </c>
      <c r="V123" s="342" t="s">
        <v>2233</v>
      </c>
      <c r="W123" s="342">
        <v>227377</v>
      </c>
      <c r="X123" s="342" t="s">
        <v>4418</v>
      </c>
      <c r="Y123" s="343">
        <v>42872</v>
      </c>
      <c r="Z123" s="342" t="s">
        <v>4063</v>
      </c>
      <c r="AA123" s="343">
        <v>44750</v>
      </c>
      <c r="AB123" s="342" t="s">
        <v>4064</v>
      </c>
      <c r="AC123" s="342" t="s">
        <v>4064</v>
      </c>
      <c r="AD123" s="342" t="s">
        <v>4065</v>
      </c>
      <c r="AH123" s="342" t="s">
        <v>4071</v>
      </c>
      <c r="AI123" s="342" t="s">
        <v>4067</v>
      </c>
      <c r="AJ123" s="342" t="s">
        <v>5999</v>
      </c>
      <c r="AK123" s="342">
        <v>15418</v>
      </c>
    </row>
    <row r="124" spans="1:44">
      <c r="A124" s="342">
        <v>179320</v>
      </c>
      <c r="B124" s="342" t="s">
        <v>264</v>
      </c>
      <c r="C124" s="342" t="s">
        <v>858</v>
      </c>
      <c r="D124" s="342">
        <v>78125</v>
      </c>
      <c r="E124" s="342" t="s">
        <v>859</v>
      </c>
      <c r="F124" s="342" t="s">
        <v>47</v>
      </c>
      <c r="G124" s="342" t="s">
        <v>860</v>
      </c>
      <c r="H124" s="342" t="s">
        <v>591</v>
      </c>
      <c r="I124" s="342" t="s">
        <v>40</v>
      </c>
      <c r="J124" s="342" t="s">
        <v>1277</v>
      </c>
      <c r="L124" s="343">
        <v>45291</v>
      </c>
      <c r="M124" s="343">
        <v>44161</v>
      </c>
      <c r="O124" s="342" t="s">
        <v>1072</v>
      </c>
      <c r="P124" s="342" t="s">
        <v>5076</v>
      </c>
      <c r="Q124" s="342">
        <v>6121077602</v>
      </c>
      <c r="R124" s="342">
        <v>9110</v>
      </c>
      <c r="V124" s="342" t="s">
        <v>2099</v>
      </c>
      <c r="W124" s="342">
        <v>70147</v>
      </c>
      <c r="X124" s="342" t="s">
        <v>5875</v>
      </c>
      <c r="Y124" s="343">
        <v>41628</v>
      </c>
      <c r="Z124" s="342" t="s">
        <v>4063</v>
      </c>
      <c r="AA124" s="343">
        <v>44161</v>
      </c>
      <c r="AB124" s="342" t="s">
        <v>4064</v>
      </c>
      <c r="AC124" s="342" t="s">
        <v>4064</v>
      </c>
      <c r="AD124" s="342" t="s">
        <v>4065</v>
      </c>
      <c r="AH124" s="342" t="s">
        <v>4069</v>
      </c>
      <c r="AI124" s="342" t="s">
        <v>4067</v>
      </c>
      <c r="AJ124" s="342" t="s">
        <v>6101</v>
      </c>
      <c r="AK124" s="342">
        <v>15467</v>
      </c>
    </row>
    <row r="125" spans="1:44">
      <c r="A125" s="342">
        <v>180121</v>
      </c>
      <c r="B125" s="342" t="s">
        <v>861</v>
      </c>
      <c r="C125" s="342" t="s">
        <v>862</v>
      </c>
      <c r="D125" s="342" t="s">
        <v>863</v>
      </c>
      <c r="E125" s="342" t="s">
        <v>265</v>
      </c>
      <c r="F125" s="342" t="s">
        <v>45</v>
      </c>
      <c r="G125" s="342" t="s">
        <v>864</v>
      </c>
      <c r="H125" s="342" t="s">
        <v>591</v>
      </c>
      <c r="I125" s="342" t="s">
        <v>787</v>
      </c>
      <c r="J125" s="342" t="s">
        <v>1336</v>
      </c>
      <c r="L125" s="343">
        <v>45015</v>
      </c>
      <c r="M125" s="343">
        <v>44214</v>
      </c>
      <c r="O125" s="342" t="s">
        <v>5035</v>
      </c>
      <c r="P125" s="342" t="s">
        <v>5077</v>
      </c>
      <c r="Q125" s="342">
        <v>6115242168</v>
      </c>
      <c r="R125" s="342">
        <v>9110</v>
      </c>
      <c r="V125" s="342" t="s">
        <v>2217</v>
      </c>
      <c r="W125" s="342">
        <v>10088</v>
      </c>
      <c r="X125" s="342" t="s">
        <v>4994</v>
      </c>
      <c r="Y125" s="343">
        <v>42907</v>
      </c>
      <c r="Z125" s="342" t="s">
        <v>4063</v>
      </c>
      <c r="AA125" s="343">
        <v>44214</v>
      </c>
      <c r="AB125" s="342" t="s">
        <v>4064</v>
      </c>
      <c r="AC125" s="342" t="s">
        <v>4064</v>
      </c>
      <c r="AD125" s="342" t="s">
        <v>4065</v>
      </c>
      <c r="AH125" s="342" t="s">
        <v>4071</v>
      </c>
      <c r="AI125" s="342" t="s">
        <v>4067</v>
      </c>
      <c r="AJ125" s="342" t="s">
        <v>6102</v>
      </c>
      <c r="AK125" s="342">
        <v>24618</v>
      </c>
      <c r="AM125" s="342" t="s">
        <v>4124</v>
      </c>
    </row>
    <row r="126" spans="1:44">
      <c r="A126" s="342">
        <v>180458</v>
      </c>
      <c r="B126" s="342" t="s">
        <v>266</v>
      </c>
      <c r="C126" s="342" t="s">
        <v>736</v>
      </c>
      <c r="D126" s="342">
        <v>98021</v>
      </c>
      <c r="E126" s="342" t="s">
        <v>267</v>
      </c>
      <c r="F126" s="342" t="s">
        <v>51</v>
      </c>
      <c r="G126" s="342" t="s">
        <v>865</v>
      </c>
      <c r="H126" s="342" t="s">
        <v>591</v>
      </c>
      <c r="I126" s="342" t="s">
        <v>40</v>
      </c>
      <c r="J126" s="342" t="s">
        <v>4608</v>
      </c>
      <c r="K126" s="342" t="s">
        <v>5218</v>
      </c>
      <c r="L126" s="343">
        <v>45777</v>
      </c>
      <c r="M126" s="343">
        <v>44699</v>
      </c>
      <c r="O126" s="342" t="s">
        <v>6029</v>
      </c>
      <c r="P126" s="342" t="s">
        <v>4770</v>
      </c>
      <c r="Q126" s="342">
        <v>6113218521</v>
      </c>
      <c r="R126" s="342">
        <v>9110</v>
      </c>
      <c r="V126" s="342" t="s">
        <v>2099</v>
      </c>
      <c r="W126" s="342">
        <v>70153</v>
      </c>
      <c r="X126" s="342" t="s">
        <v>5356</v>
      </c>
      <c r="Y126" s="343">
        <v>41673</v>
      </c>
      <c r="Z126" s="342" t="s">
        <v>4063</v>
      </c>
      <c r="AA126" s="343">
        <v>44699</v>
      </c>
      <c r="AB126" s="342" t="s">
        <v>4064</v>
      </c>
      <c r="AC126" s="342" t="s">
        <v>4064</v>
      </c>
      <c r="AD126" s="342" t="s">
        <v>4065</v>
      </c>
      <c r="AH126" s="342" t="s">
        <v>4071</v>
      </c>
      <c r="AI126" s="342" t="s">
        <v>4067</v>
      </c>
      <c r="AJ126" s="342" t="s">
        <v>6103</v>
      </c>
      <c r="AK126" s="342">
        <v>19958</v>
      </c>
    </row>
    <row r="127" spans="1:44">
      <c r="A127" s="342">
        <v>180954</v>
      </c>
      <c r="B127" s="342" t="s">
        <v>4562</v>
      </c>
      <c r="C127" s="342" t="s">
        <v>4563</v>
      </c>
      <c r="D127" s="342" t="s">
        <v>4564</v>
      </c>
      <c r="E127" s="342" t="s">
        <v>4565</v>
      </c>
      <c r="F127" s="342" t="s">
        <v>51</v>
      </c>
      <c r="G127" s="342">
        <v>76374</v>
      </c>
      <c r="H127" s="342" t="s">
        <v>591</v>
      </c>
      <c r="I127" s="342" t="s">
        <v>40</v>
      </c>
      <c r="J127" s="342" t="s">
        <v>5280</v>
      </c>
      <c r="K127" s="342" t="s">
        <v>5218</v>
      </c>
      <c r="L127" s="343">
        <v>45382</v>
      </c>
      <c r="M127" s="343">
        <v>44649</v>
      </c>
      <c r="O127" s="342" t="s">
        <v>6030</v>
      </c>
      <c r="P127" s="342" t="s">
        <v>4633</v>
      </c>
      <c r="Q127" s="342">
        <v>6110726485</v>
      </c>
      <c r="R127" s="342">
        <v>9100</v>
      </c>
      <c r="V127" s="342" t="s">
        <v>2099</v>
      </c>
      <c r="W127" s="342">
        <v>227399</v>
      </c>
      <c r="X127" s="342" t="s">
        <v>5338</v>
      </c>
      <c r="Y127" s="343">
        <v>44355</v>
      </c>
      <c r="Z127" s="342" t="s">
        <v>4063</v>
      </c>
      <c r="AA127" s="343">
        <v>44649</v>
      </c>
      <c r="AB127" s="342" t="s">
        <v>4064</v>
      </c>
      <c r="AC127" s="342" t="s">
        <v>4064</v>
      </c>
      <c r="AD127" s="342" t="s">
        <v>4065</v>
      </c>
      <c r="AI127" s="342" t="s">
        <v>4067</v>
      </c>
      <c r="AJ127" s="342" t="s">
        <v>6104</v>
      </c>
      <c r="AK127" s="342">
        <v>19944</v>
      </c>
    </row>
    <row r="128" spans="1:44">
      <c r="A128" s="342">
        <v>181114</v>
      </c>
      <c r="B128" s="342" t="s">
        <v>1152</v>
      </c>
      <c r="C128" s="342" t="s">
        <v>268</v>
      </c>
      <c r="D128" s="342" t="s">
        <v>269</v>
      </c>
      <c r="E128" s="342" t="s">
        <v>159</v>
      </c>
      <c r="F128" s="342" t="s">
        <v>51</v>
      </c>
      <c r="G128" s="342">
        <v>25693</v>
      </c>
      <c r="H128" s="342" t="s">
        <v>591</v>
      </c>
      <c r="I128" s="342" t="s">
        <v>40</v>
      </c>
      <c r="J128" s="342" t="s">
        <v>5283</v>
      </c>
      <c r="K128" s="342" t="s">
        <v>1233</v>
      </c>
      <c r="L128" s="343">
        <v>45230</v>
      </c>
      <c r="M128" s="343">
        <v>44316</v>
      </c>
      <c r="O128" s="342" t="s">
        <v>4611</v>
      </c>
      <c r="P128" s="342" t="s">
        <v>5743</v>
      </c>
      <c r="Q128" s="342">
        <v>6149265166</v>
      </c>
      <c r="R128" s="342">
        <v>9110</v>
      </c>
      <c r="V128" s="342" t="s">
        <v>2099</v>
      </c>
      <c r="W128" s="342">
        <v>100289</v>
      </c>
      <c r="X128" s="342" t="s">
        <v>4105</v>
      </c>
      <c r="Y128" s="343">
        <v>41775</v>
      </c>
      <c r="Z128" s="342" t="s">
        <v>4063</v>
      </c>
      <c r="AA128" s="343">
        <v>44316</v>
      </c>
      <c r="AB128" s="342" t="s">
        <v>4064</v>
      </c>
      <c r="AC128" s="342" t="s">
        <v>4064</v>
      </c>
      <c r="AD128" s="342" t="s">
        <v>4065</v>
      </c>
      <c r="AH128" s="342" t="s">
        <v>4069</v>
      </c>
      <c r="AI128" s="342" t="s">
        <v>4067</v>
      </c>
      <c r="AJ128" s="342" t="s">
        <v>5848</v>
      </c>
      <c r="AK128" s="342">
        <v>37581</v>
      </c>
    </row>
    <row r="129" spans="1:44">
      <c r="A129" s="342">
        <v>181579</v>
      </c>
      <c r="B129" s="342" t="s">
        <v>866</v>
      </c>
      <c r="C129" s="342" t="s">
        <v>867</v>
      </c>
      <c r="D129" s="342">
        <v>67129</v>
      </c>
      <c r="E129" s="342" t="s">
        <v>270</v>
      </c>
      <c r="F129" s="342" t="s">
        <v>47</v>
      </c>
      <c r="H129" s="342" t="s">
        <v>591</v>
      </c>
      <c r="I129" s="342" t="s">
        <v>40</v>
      </c>
      <c r="J129" s="342" t="s">
        <v>5280</v>
      </c>
      <c r="K129" s="342" t="s">
        <v>1233</v>
      </c>
      <c r="L129" s="343">
        <v>45230</v>
      </c>
      <c r="M129" s="343">
        <v>44319</v>
      </c>
      <c r="O129" s="342" t="s">
        <v>5001</v>
      </c>
      <c r="P129" s="342" t="s">
        <v>5744</v>
      </c>
      <c r="Q129" s="342">
        <v>6135733107</v>
      </c>
      <c r="R129" s="342">
        <v>9110</v>
      </c>
      <c r="V129" s="342" t="s">
        <v>2099</v>
      </c>
      <c r="W129" s="342">
        <v>202224</v>
      </c>
      <c r="X129" s="342" t="s">
        <v>4125</v>
      </c>
      <c r="Y129" s="343">
        <v>39419</v>
      </c>
      <c r="Z129" s="342" t="s">
        <v>4063</v>
      </c>
      <c r="AA129" s="343">
        <v>44319</v>
      </c>
      <c r="AB129" s="342" t="s">
        <v>4064</v>
      </c>
      <c r="AC129" s="342" t="s">
        <v>4064</v>
      </c>
      <c r="AD129" s="342" t="s">
        <v>4065</v>
      </c>
      <c r="AH129" s="342" t="s">
        <v>4126</v>
      </c>
      <c r="AI129" s="342" t="s">
        <v>4067</v>
      </c>
      <c r="AJ129" s="342" t="s">
        <v>5851</v>
      </c>
      <c r="AK129" s="342">
        <v>15746</v>
      </c>
      <c r="AM129" s="342" t="s">
        <v>4823</v>
      </c>
      <c r="AR129" s="342" t="s">
        <v>4127</v>
      </c>
    </row>
    <row r="130" spans="1:44">
      <c r="A130" s="342">
        <v>181583</v>
      </c>
      <c r="B130" s="342" t="s">
        <v>743</v>
      </c>
      <c r="C130" s="342" t="s">
        <v>271</v>
      </c>
      <c r="D130" s="342">
        <v>78140</v>
      </c>
      <c r="E130" s="342" t="s">
        <v>272</v>
      </c>
      <c r="F130" s="342" t="s">
        <v>47</v>
      </c>
      <c r="G130" s="342" t="s">
        <v>868</v>
      </c>
      <c r="H130" s="342" t="s">
        <v>591</v>
      </c>
      <c r="I130" s="342" t="s">
        <v>40</v>
      </c>
      <c r="J130" s="342" t="s">
        <v>5280</v>
      </c>
      <c r="K130" s="342" t="s">
        <v>1233</v>
      </c>
      <c r="L130" s="343">
        <v>45230</v>
      </c>
      <c r="M130" s="343">
        <v>44319</v>
      </c>
      <c r="O130" s="342" t="s">
        <v>5002</v>
      </c>
      <c r="P130" s="342" t="s">
        <v>5745</v>
      </c>
      <c r="Q130" s="342">
        <v>6135733107</v>
      </c>
      <c r="R130" s="342">
        <v>9110</v>
      </c>
      <c r="V130" s="342" t="s">
        <v>2099</v>
      </c>
      <c r="W130" s="342">
        <v>30015</v>
      </c>
      <c r="X130" s="342" t="s">
        <v>4125</v>
      </c>
      <c r="Y130" s="343">
        <v>39419</v>
      </c>
      <c r="Z130" s="342" t="s">
        <v>4063</v>
      </c>
      <c r="AA130" s="343">
        <v>44319</v>
      </c>
      <c r="AB130" s="342" t="s">
        <v>4064</v>
      </c>
      <c r="AC130" s="342" t="s">
        <v>4064</v>
      </c>
      <c r="AD130" s="342" t="s">
        <v>4065</v>
      </c>
      <c r="AH130" s="342" t="s">
        <v>4069</v>
      </c>
      <c r="AI130" s="342" t="s">
        <v>4067</v>
      </c>
      <c r="AJ130" s="342" t="s">
        <v>5886</v>
      </c>
      <c r="AK130" s="342">
        <v>15736</v>
      </c>
    </row>
    <row r="131" spans="1:44">
      <c r="A131" s="342">
        <v>181608</v>
      </c>
      <c r="B131" s="342" t="s">
        <v>869</v>
      </c>
      <c r="C131" s="342" t="s">
        <v>276</v>
      </c>
      <c r="D131" s="342" t="s">
        <v>274</v>
      </c>
      <c r="E131" s="342" t="s">
        <v>275</v>
      </c>
      <c r="F131" s="342" t="s">
        <v>45</v>
      </c>
      <c r="G131" s="342" t="s">
        <v>870</v>
      </c>
      <c r="H131" s="342" t="s">
        <v>591</v>
      </c>
      <c r="I131" s="342" t="s">
        <v>40</v>
      </c>
      <c r="J131" s="342" t="s">
        <v>5280</v>
      </c>
      <c r="K131" s="342" t="s">
        <v>1233</v>
      </c>
      <c r="L131" s="343">
        <v>45230</v>
      </c>
      <c r="M131" s="343">
        <v>44319</v>
      </c>
      <c r="O131" s="342" t="s">
        <v>4699</v>
      </c>
      <c r="P131" s="342" t="s">
        <v>5746</v>
      </c>
      <c r="Q131" s="342">
        <v>6135733107</v>
      </c>
      <c r="R131" s="342">
        <v>9110</v>
      </c>
      <c r="V131" s="342" t="s">
        <v>2099</v>
      </c>
      <c r="W131" s="342">
        <v>229359</v>
      </c>
      <c r="X131" s="342" t="s">
        <v>5338</v>
      </c>
      <c r="Y131" s="343">
        <v>39419</v>
      </c>
      <c r="Z131" s="342" t="s">
        <v>4063</v>
      </c>
      <c r="AA131" s="343">
        <v>44319</v>
      </c>
      <c r="AB131" s="342" t="s">
        <v>4064</v>
      </c>
      <c r="AC131" s="342" t="s">
        <v>4064</v>
      </c>
      <c r="AD131" s="342" t="s">
        <v>4065</v>
      </c>
      <c r="AI131" s="342" t="s">
        <v>4067</v>
      </c>
      <c r="AJ131" s="342" t="s">
        <v>5853</v>
      </c>
    </row>
    <row r="132" spans="1:44">
      <c r="A132" s="342">
        <v>182320</v>
      </c>
      <c r="B132" s="342" t="s">
        <v>537</v>
      </c>
      <c r="C132" s="342" t="s">
        <v>695</v>
      </c>
      <c r="D132" s="342">
        <v>10126</v>
      </c>
      <c r="E132" s="342" t="s">
        <v>696</v>
      </c>
      <c r="F132" s="342" t="s">
        <v>98</v>
      </c>
      <c r="G132" s="342" t="s">
        <v>697</v>
      </c>
      <c r="H132" s="342" t="s">
        <v>591</v>
      </c>
      <c r="I132" s="342" t="s">
        <v>40</v>
      </c>
      <c r="J132" s="342" t="s">
        <v>5282</v>
      </c>
      <c r="K132" s="342" t="s">
        <v>1233</v>
      </c>
      <c r="L132" s="343">
        <v>45412</v>
      </c>
      <c r="M132" s="343">
        <v>44672</v>
      </c>
      <c r="O132" s="342" t="s">
        <v>4865</v>
      </c>
      <c r="P132" s="342" t="s">
        <v>1544</v>
      </c>
      <c r="Q132" s="342">
        <v>6110658647</v>
      </c>
      <c r="R132" s="342">
        <v>9110</v>
      </c>
      <c r="U132" s="342" t="s">
        <v>2037</v>
      </c>
      <c r="V132" s="342" t="s">
        <v>2099</v>
      </c>
      <c r="W132" s="342">
        <v>300105</v>
      </c>
      <c r="X132" s="342" t="s">
        <v>5340</v>
      </c>
      <c r="Y132" s="343">
        <v>42383</v>
      </c>
      <c r="Z132" s="342" t="s">
        <v>4063</v>
      </c>
      <c r="AA132" s="343">
        <v>44672</v>
      </c>
      <c r="AB132" s="342" t="s">
        <v>4064</v>
      </c>
      <c r="AC132" s="342" t="s">
        <v>4064</v>
      </c>
      <c r="AD132" s="342" t="s">
        <v>4065</v>
      </c>
      <c r="AH132" s="342" t="s">
        <v>4069</v>
      </c>
      <c r="AI132" s="342" t="s">
        <v>4067</v>
      </c>
      <c r="AJ132" s="342" t="s">
        <v>5846</v>
      </c>
      <c r="AK132" s="342">
        <v>57</v>
      </c>
    </row>
    <row r="133" spans="1:44">
      <c r="A133" s="342">
        <v>183135</v>
      </c>
      <c r="B133" s="342" t="s">
        <v>277</v>
      </c>
      <c r="C133" s="342" t="s">
        <v>278</v>
      </c>
      <c r="D133" s="342" t="s">
        <v>279</v>
      </c>
      <c r="E133" s="342" t="s">
        <v>222</v>
      </c>
      <c r="F133" s="342" t="s">
        <v>51</v>
      </c>
      <c r="G133" s="342" t="s">
        <v>871</v>
      </c>
      <c r="H133" s="342" t="s">
        <v>591</v>
      </c>
      <c r="I133" s="342" t="s">
        <v>40</v>
      </c>
      <c r="J133" s="342" t="s">
        <v>5279</v>
      </c>
      <c r="K133" s="342" t="s">
        <v>1402</v>
      </c>
      <c r="L133" s="343">
        <v>45473</v>
      </c>
      <c r="M133" s="343">
        <v>44364</v>
      </c>
      <c r="O133" s="342" t="s">
        <v>5552</v>
      </c>
      <c r="P133" s="342" t="s">
        <v>5747</v>
      </c>
      <c r="Q133" s="342">
        <v>6115579721</v>
      </c>
      <c r="R133" s="342">
        <v>9110</v>
      </c>
      <c r="T133" s="342" t="s">
        <v>2030</v>
      </c>
      <c r="V133" s="342" t="s">
        <v>2099</v>
      </c>
      <c r="W133" s="342">
        <v>301375</v>
      </c>
      <c r="X133" s="342" t="s">
        <v>5877</v>
      </c>
      <c r="Y133" s="343">
        <v>41971</v>
      </c>
      <c r="Z133" s="342" t="s">
        <v>4063</v>
      </c>
      <c r="AA133" s="343">
        <v>44364</v>
      </c>
      <c r="AB133" s="342" t="s">
        <v>4064</v>
      </c>
      <c r="AC133" s="342" t="s">
        <v>4064</v>
      </c>
      <c r="AD133" s="342" t="s">
        <v>4065</v>
      </c>
      <c r="AH133" s="342" t="s">
        <v>4129</v>
      </c>
      <c r="AI133" s="342" t="s">
        <v>4067</v>
      </c>
      <c r="AJ133" s="342" t="s">
        <v>5850</v>
      </c>
      <c r="AM133" s="342" t="s">
        <v>4186</v>
      </c>
    </row>
    <row r="134" spans="1:44">
      <c r="A134" s="342">
        <v>183137</v>
      </c>
      <c r="B134" s="342" t="s">
        <v>280</v>
      </c>
      <c r="C134" s="342" t="s">
        <v>281</v>
      </c>
      <c r="D134" s="342" t="s">
        <v>282</v>
      </c>
      <c r="E134" s="342" t="s">
        <v>283</v>
      </c>
      <c r="F134" s="342" t="s">
        <v>45</v>
      </c>
      <c r="G134" s="342" t="s">
        <v>284</v>
      </c>
      <c r="H134" s="342" t="s">
        <v>591</v>
      </c>
      <c r="I134" s="342" t="s">
        <v>40</v>
      </c>
      <c r="J134" s="342" t="s">
        <v>5279</v>
      </c>
      <c r="K134" s="342" t="s">
        <v>1402</v>
      </c>
      <c r="L134" s="343">
        <v>45473</v>
      </c>
      <c r="M134" s="343">
        <v>44364</v>
      </c>
      <c r="O134" s="342" t="s">
        <v>5417</v>
      </c>
      <c r="P134" s="342" t="s">
        <v>5748</v>
      </c>
      <c r="Q134" s="342">
        <v>6113228320</v>
      </c>
      <c r="R134" s="342">
        <v>9110</v>
      </c>
      <c r="T134" s="342" t="s">
        <v>2030</v>
      </c>
      <c r="V134" s="342" t="s">
        <v>2099</v>
      </c>
      <c r="W134" s="342">
        <v>229283</v>
      </c>
      <c r="X134" s="342" t="s">
        <v>5386</v>
      </c>
      <c r="Y134" s="343">
        <v>39419</v>
      </c>
      <c r="Z134" s="342" t="s">
        <v>4063</v>
      </c>
      <c r="AA134" s="343">
        <v>44364</v>
      </c>
      <c r="AB134" s="342" t="s">
        <v>4064</v>
      </c>
      <c r="AC134" s="342" t="s">
        <v>4064</v>
      </c>
      <c r="AD134" s="342" t="s">
        <v>4065</v>
      </c>
      <c r="AI134" s="342" t="s">
        <v>4067</v>
      </c>
      <c r="AJ134" s="342" t="s">
        <v>5854</v>
      </c>
    </row>
    <row r="135" spans="1:44">
      <c r="A135" s="342">
        <v>183144</v>
      </c>
      <c r="B135" s="342" t="s">
        <v>285</v>
      </c>
      <c r="C135" s="342" t="s">
        <v>602</v>
      </c>
      <c r="D135" s="342">
        <v>14052</v>
      </c>
      <c r="E135" s="342" t="s">
        <v>286</v>
      </c>
      <c r="F135" s="342" t="s">
        <v>51</v>
      </c>
      <c r="G135" s="342">
        <v>94697</v>
      </c>
      <c r="H135" s="342" t="s">
        <v>591</v>
      </c>
      <c r="I135" s="342" t="s">
        <v>40</v>
      </c>
      <c r="J135" s="342" t="s">
        <v>5279</v>
      </c>
      <c r="K135" s="342" t="s">
        <v>1402</v>
      </c>
      <c r="L135" s="343">
        <v>45473</v>
      </c>
      <c r="M135" s="343">
        <v>44364</v>
      </c>
      <c r="O135" s="342" t="s">
        <v>6031</v>
      </c>
      <c r="P135" s="342" t="s">
        <v>5749</v>
      </c>
      <c r="Q135" s="342">
        <v>6115579705</v>
      </c>
      <c r="R135" s="342">
        <v>9110</v>
      </c>
      <c r="T135" s="342" t="s">
        <v>2030</v>
      </c>
      <c r="V135" s="342" t="s">
        <v>2099</v>
      </c>
      <c r="W135" s="342">
        <v>100297</v>
      </c>
      <c r="X135" s="342" t="s">
        <v>5386</v>
      </c>
      <c r="Y135" s="343">
        <v>40336</v>
      </c>
      <c r="Z135" s="342" t="s">
        <v>4063</v>
      </c>
      <c r="AA135" s="343">
        <v>44364</v>
      </c>
      <c r="AB135" s="342" t="s">
        <v>4064</v>
      </c>
      <c r="AC135" s="342" t="s">
        <v>4064</v>
      </c>
      <c r="AD135" s="342" t="s">
        <v>4065</v>
      </c>
      <c r="AH135" s="342" t="s">
        <v>4069</v>
      </c>
      <c r="AI135" s="342" t="s">
        <v>4067</v>
      </c>
      <c r="AJ135" s="342" t="s">
        <v>5850</v>
      </c>
      <c r="AK135" s="342">
        <v>32263</v>
      </c>
    </row>
    <row r="136" spans="1:44">
      <c r="A136" s="342">
        <v>183727</v>
      </c>
      <c r="B136" s="342" t="s">
        <v>1351</v>
      </c>
      <c r="C136" s="342" t="s">
        <v>1352</v>
      </c>
      <c r="D136" s="342" t="s">
        <v>1353</v>
      </c>
      <c r="E136" s="342" t="s">
        <v>1354</v>
      </c>
      <c r="F136" s="342" t="s">
        <v>45</v>
      </c>
      <c r="G136" s="342" t="s">
        <v>1355</v>
      </c>
      <c r="H136" s="342" t="s">
        <v>591</v>
      </c>
      <c r="I136" s="342" t="s">
        <v>40</v>
      </c>
      <c r="J136" s="342" t="s">
        <v>1288</v>
      </c>
      <c r="K136" s="342" t="s">
        <v>1233</v>
      </c>
      <c r="L136" s="343">
        <v>45230</v>
      </c>
      <c r="M136" s="343">
        <v>44509</v>
      </c>
      <c r="O136" s="342" t="s">
        <v>5192</v>
      </c>
      <c r="P136" s="342" t="s">
        <v>4540</v>
      </c>
      <c r="R136" s="342">
        <v>9110</v>
      </c>
      <c r="S136" s="342" t="s">
        <v>1571</v>
      </c>
      <c r="V136" s="342" t="s">
        <v>2099</v>
      </c>
      <c r="W136" s="342">
        <v>308344</v>
      </c>
      <c r="X136" s="342" t="s">
        <v>4992</v>
      </c>
      <c r="Y136" s="343">
        <v>43745</v>
      </c>
      <c r="Z136" s="342" t="s">
        <v>4063</v>
      </c>
      <c r="AA136" s="343">
        <v>44509</v>
      </c>
      <c r="AB136" s="342" t="s">
        <v>4064</v>
      </c>
      <c r="AC136" s="342" t="s">
        <v>4064</v>
      </c>
      <c r="AD136" s="342" t="s">
        <v>4065</v>
      </c>
      <c r="AI136" s="342" t="s">
        <v>4067</v>
      </c>
      <c r="AJ136" s="342" t="s">
        <v>5880</v>
      </c>
    </row>
    <row r="137" spans="1:44">
      <c r="A137" s="342">
        <v>184292</v>
      </c>
      <c r="B137" s="342" t="s">
        <v>1415</v>
      </c>
      <c r="C137" s="342" t="s">
        <v>287</v>
      </c>
      <c r="D137" s="342">
        <v>31300</v>
      </c>
      <c r="E137" s="342" t="s">
        <v>93</v>
      </c>
      <c r="F137" s="342" t="s">
        <v>47</v>
      </c>
      <c r="G137" s="342" t="s">
        <v>288</v>
      </c>
      <c r="H137" s="342" t="s">
        <v>591</v>
      </c>
      <c r="I137" s="342" t="s">
        <v>43</v>
      </c>
      <c r="J137" s="342" t="s">
        <v>786</v>
      </c>
      <c r="K137" s="342" t="s">
        <v>1233</v>
      </c>
      <c r="L137" s="343">
        <v>45412</v>
      </c>
      <c r="M137" s="343">
        <v>44344</v>
      </c>
      <c r="O137" s="342" t="s">
        <v>5457</v>
      </c>
      <c r="P137" s="342" t="s">
        <v>5399</v>
      </c>
      <c r="Q137" s="342">
        <v>6126942143</v>
      </c>
      <c r="R137" s="342">
        <v>9110</v>
      </c>
      <c r="V137" s="342" t="s">
        <v>4130</v>
      </c>
      <c r="W137" s="342">
        <v>80184</v>
      </c>
      <c r="X137" s="342" t="s">
        <v>4131</v>
      </c>
      <c r="Y137" s="343">
        <v>39419</v>
      </c>
      <c r="Z137" s="342" t="s">
        <v>4063</v>
      </c>
      <c r="AA137" s="343">
        <v>44344</v>
      </c>
      <c r="AB137" s="342" t="s">
        <v>4064</v>
      </c>
      <c r="AC137" s="342" t="s">
        <v>4064</v>
      </c>
      <c r="AD137" s="342" t="s">
        <v>4065</v>
      </c>
      <c r="AI137" s="342" t="s">
        <v>4067</v>
      </c>
      <c r="AJ137" s="342" t="s">
        <v>6105</v>
      </c>
    </row>
    <row r="138" spans="1:44">
      <c r="A138" s="342">
        <v>185056</v>
      </c>
      <c r="B138" s="342" t="s">
        <v>754</v>
      </c>
      <c r="C138" s="342" t="s">
        <v>289</v>
      </c>
      <c r="D138" s="342">
        <v>60388</v>
      </c>
      <c r="E138" s="342" t="s">
        <v>290</v>
      </c>
      <c r="F138" s="342" t="s">
        <v>55</v>
      </c>
      <c r="G138" s="342" t="s">
        <v>291</v>
      </c>
      <c r="H138" s="342" t="s">
        <v>591</v>
      </c>
      <c r="I138" s="342" t="s">
        <v>40</v>
      </c>
      <c r="J138" s="342" t="s">
        <v>5282</v>
      </c>
      <c r="K138" s="342" t="s">
        <v>1402</v>
      </c>
      <c r="L138" s="343">
        <v>45412</v>
      </c>
      <c r="M138" s="343">
        <v>44673</v>
      </c>
      <c r="O138" s="342" t="s">
        <v>5553</v>
      </c>
      <c r="P138" s="342" t="s">
        <v>5750</v>
      </c>
      <c r="Q138" s="342">
        <v>6111842465</v>
      </c>
      <c r="R138" s="342">
        <v>9110</v>
      </c>
      <c r="V138" s="342" t="s">
        <v>2099</v>
      </c>
      <c r="W138" s="342">
        <v>70172</v>
      </c>
      <c r="X138" s="342" t="s">
        <v>4074</v>
      </c>
      <c r="Y138" s="343">
        <v>39419</v>
      </c>
      <c r="Z138" s="342" t="s">
        <v>4063</v>
      </c>
      <c r="AA138" s="343">
        <v>44673</v>
      </c>
      <c r="AB138" s="342" t="s">
        <v>4064</v>
      </c>
      <c r="AC138" s="342" t="s">
        <v>4064</v>
      </c>
      <c r="AD138" s="342" t="s">
        <v>4065</v>
      </c>
      <c r="AH138" s="342" t="s">
        <v>4069</v>
      </c>
      <c r="AI138" s="342" t="s">
        <v>4067</v>
      </c>
      <c r="AJ138" s="342" t="s">
        <v>5867</v>
      </c>
      <c r="AK138" s="342">
        <v>22841</v>
      </c>
    </row>
    <row r="139" spans="1:44">
      <c r="A139" s="342">
        <v>185063</v>
      </c>
      <c r="B139" s="342" t="s">
        <v>661</v>
      </c>
      <c r="C139" s="342" t="s">
        <v>292</v>
      </c>
      <c r="D139" s="342">
        <v>74116</v>
      </c>
      <c r="E139" s="342" t="s">
        <v>119</v>
      </c>
      <c r="F139" s="342" t="s">
        <v>51</v>
      </c>
      <c r="G139" s="342">
        <v>29957</v>
      </c>
      <c r="H139" s="342" t="s">
        <v>591</v>
      </c>
      <c r="I139" s="342" t="s">
        <v>40</v>
      </c>
      <c r="J139" s="342" t="s">
        <v>1510</v>
      </c>
      <c r="L139" s="343">
        <v>45230</v>
      </c>
      <c r="M139" s="343">
        <v>44119</v>
      </c>
      <c r="O139" s="342" t="s">
        <v>5554</v>
      </c>
      <c r="P139" s="342" t="s">
        <v>4718</v>
      </c>
      <c r="Q139" s="342">
        <v>6110645621</v>
      </c>
      <c r="R139" s="342">
        <v>9110</v>
      </c>
      <c r="V139" s="342" t="s">
        <v>2099</v>
      </c>
      <c r="W139" s="342">
        <v>227829</v>
      </c>
      <c r="X139" s="342" t="s">
        <v>4988</v>
      </c>
      <c r="Y139" s="343">
        <v>39542</v>
      </c>
      <c r="Z139" s="342" t="s">
        <v>4063</v>
      </c>
      <c r="AA139" s="343">
        <v>44119</v>
      </c>
      <c r="AB139" s="342" t="s">
        <v>4064</v>
      </c>
      <c r="AC139" s="342" t="s">
        <v>4064</v>
      </c>
      <c r="AD139" s="342" t="s">
        <v>4065</v>
      </c>
      <c r="AI139" s="342" t="s">
        <v>4067</v>
      </c>
      <c r="AJ139" s="342" t="s">
        <v>5884</v>
      </c>
      <c r="AK139" s="342">
        <v>30176</v>
      </c>
    </row>
    <row r="140" spans="1:44">
      <c r="A140" s="342">
        <v>185279</v>
      </c>
      <c r="B140" s="342" t="s">
        <v>4998</v>
      </c>
      <c r="C140" s="342" t="s">
        <v>4999</v>
      </c>
      <c r="D140" s="342">
        <v>44266</v>
      </c>
      <c r="E140" s="342" t="s">
        <v>5000</v>
      </c>
      <c r="F140" s="342" t="s">
        <v>51</v>
      </c>
      <c r="G140" s="342">
        <v>86228</v>
      </c>
      <c r="H140" s="342" t="s">
        <v>591</v>
      </c>
      <c r="I140" s="342" t="s">
        <v>40</v>
      </c>
      <c r="J140" s="342" t="s">
        <v>4608</v>
      </c>
      <c r="K140" s="342" t="s">
        <v>5218</v>
      </c>
      <c r="L140" s="343">
        <v>45777</v>
      </c>
      <c r="M140" s="343">
        <v>44699</v>
      </c>
      <c r="O140" s="342" t="s">
        <v>5036</v>
      </c>
      <c r="P140" s="342" t="s">
        <v>5078</v>
      </c>
      <c r="Q140" s="342">
        <v>6110598985</v>
      </c>
      <c r="R140" s="342">
        <v>9100</v>
      </c>
      <c r="U140" s="342" t="s">
        <v>5180</v>
      </c>
      <c r="V140" s="342" t="s">
        <v>2099</v>
      </c>
      <c r="W140" s="342">
        <v>227441</v>
      </c>
      <c r="X140" s="342" t="s">
        <v>5409</v>
      </c>
      <c r="Y140" s="343">
        <v>44564</v>
      </c>
      <c r="Z140" s="342" t="s">
        <v>4063</v>
      </c>
      <c r="AA140" s="343">
        <v>44699</v>
      </c>
      <c r="AB140" s="342" t="s">
        <v>4064</v>
      </c>
      <c r="AC140" s="342" t="s">
        <v>4064</v>
      </c>
      <c r="AD140" s="342" t="s">
        <v>4065</v>
      </c>
      <c r="AI140" s="342" t="s">
        <v>4111</v>
      </c>
      <c r="AJ140" s="342" t="s">
        <v>6106</v>
      </c>
      <c r="AK140" s="342">
        <v>20057</v>
      </c>
    </row>
    <row r="141" spans="1:44">
      <c r="A141" s="342">
        <v>186779</v>
      </c>
      <c r="B141" s="342" t="s">
        <v>678</v>
      </c>
      <c r="C141" s="342" t="s">
        <v>683</v>
      </c>
      <c r="D141" s="342">
        <v>33178</v>
      </c>
      <c r="E141" s="342" t="s">
        <v>110</v>
      </c>
      <c r="F141" s="342" t="s">
        <v>51</v>
      </c>
      <c r="G141" s="342" t="s">
        <v>872</v>
      </c>
      <c r="H141" s="342" t="s">
        <v>591</v>
      </c>
      <c r="I141" s="342" t="s">
        <v>40</v>
      </c>
      <c r="J141" s="342" t="s">
        <v>5283</v>
      </c>
      <c r="K141" s="342" t="s">
        <v>1233</v>
      </c>
      <c r="L141" s="343">
        <v>45230</v>
      </c>
      <c r="M141" s="343">
        <v>44316</v>
      </c>
      <c r="O141" s="342" t="s">
        <v>5292</v>
      </c>
      <c r="P141" s="342" t="s">
        <v>5751</v>
      </c>
      <c r="Q141" s="342">
        <v>6126422841</v>
      </c>
      <c r="R141" s="342">
        <v>9110</v>
      </c>
      <c r="V141" s="342" t="s">
        <v>2099</v>
      </c>
      <c r="W141" s="342">
        <v>306245</v>
      </c>
      <c r="X141" s="342" t="s">
        <v>5388</v>
      </c>
      <c r="Y141" s="343">
        <v>42304</v>
      </c>
      <c r="Z141" s="342" t="s">
        <v>4063</v>
      </c>
      <c r="AA141" s="343">
        <v>44316</v>
      </c>
      <c r="AB141" s="342" t="s">
        <v>4064</v>
      </c>
      <c r="AC141" s="342" t="s">
        <v>4064</v>
      </c>
      <c r="AD141" s="342" t="s">
        <v>4065</v>
      </c>
      <c r="AI141" s="342" t="s">
        <v>4067</v>
      </c>
      <c r="AJ141" s="342" t="s">
        <v>5884</v>
      </c>
    </row>
    <row r="142" spans="1:44">
      <c r="A142" s="342">
        <v>187125</v>
      </c>
      <c r="B142" s="342" t="s">
        <v>747</v>
      </c>
      <c r="C142" s="342" t="s">
        <v>293</v>
      </c>
      <c r="D142" s="342" t="s">
        <v>294</v>
      </c>
      <c r="E142" s="342" t="s">
        <v>295</v>
      </c>
      <c r="F142" s="342" t="s">
        <v>51</v>
      </c>
      <c r="G142" s="342">
        <v>92003</v>
      </c>
      <c r="H142" s="342" t="s">
        <v>591</v>
      </c>
      <c r="I142" s="342" t="s">
        <v>40</v>
      </c>
      <c r="J142" s="342" t="s">
        <v>1336</v>
      </c>
      <c r="K142" s="342" t="s">
        <v>1402</v>
      </c>
      <c r="L142" s="343">
        <v>45199</v>
      </c>
      <c r="M142" s="343">
        <v>44648</v>
      </c>
      <c r="O142" s="342" t="s">
        <v>4887</v>
      </c>
      <c r="P142" s="342" t="s">
        <v>5752</v>
      </c>
      <c r="Q142" s="342">
        <v>6111224122</v>
      </c>
      <c r="R142" s="342">
        <v>9110</v>
      </c>
      <c r="S142" s="342" t="s">
        <v>1575</v>
      </c>
      <c r="V142" s="342" t="s">
        <v>2099</v>
      </c>
      <c r="W142" s="342">
        <v>300307</v>
      </c>
      <c r="X142" s="342" t="s">
        <v>4994</v>
      </c>
      <c r="Y142" s="343">
        <v>39730</v>
      </c>
      <c r="Z142" s="342" t="s">
        <v>4063</v>
      </c>
      <c r="AA142" s="343">
        <v>44648</v>
      </c>
      <c r="AB142" s="342" t="s">
        <v>4064</v>
      </c>
      <c r="AC142" s="342" t="s">
        <v>4064</v>
      </c>
      <c r="AD142" s="342" t="s">
        <v>4065</v>
      </c>
      <c r="AI142" s="342" t="s">
        <v>4067</v>
      </c>
      <c r="AJ142" s="342" t="s">
        <v>5843</v>
      </c>
    </row>
    <row r="143" spans="1:44">
      <c r="A143" s="342">
        <v>187130</v>
      </c>
      <c r="B143" s="342" t="s">
        <v>296</v>
      </c>
      <c r="C143" s="342" t="s">
        <v>297</v>
      </c>
      <c r="D143" s="342" t="s">
        <v>298</v>
      </c>
      <c r="E143" s="342" t="s">
        <v>299</v>
      </c>
      <c r="F143" s="342" t="s">
        <v>51</v>
      </c>
      <c r="G143" s="342">
        <v>26055</v>
      </c>
      <c r="H143" s="342" t="s">
        <v>591</v>
      </c>
      <c r="I143" s="342" t="s">
        <v>40</v>
      </c>
      <c r="J143" s="342" t="s">
        <v>5278</v>
      </c>
      <c r="K143" s="342" t="s">
        <v>1402</v>
      </c>
      <c r="L143" s="343">
        <v>45199</v>
      </c>
      <c r="M143" s="343">
        <v>44648</v>
      </c>
      <c r="O143" s="342" t="s">
        <v>6032</v>
      </c>
      <c r="P143" s="342" t="s">
        <v>5753</v>
      </c>
      <c r="Q143" s="342">
        <v>6111808687</v>
      </c>
      <c r="R143" s="342">
        <v>9110</v>
      </c>
      <c r="V143" s="342" t="s">
        <v>2099</v>
      </c>
      <c r="W143" s="342">
        <v>30155</v>
      </c>
      <c r="X143" s="342" t="s">
        <v>4076</v>
      </c>
      <c r="Y143" s="343">
        <v>41673</v>
      </c>
      <c r="Z143" s="342" t="s">
        <v>4063</v>
      </c>
      <c r="AA143" s="343">
        <v>44648</v>
      </c>
      <c r="AB143" s="342" t="s">
        <v>4064</v>
      </c>
      <c r="AC143" s="342" t="s">
        <v>4064</v>
      </c>
      <c r="AD143" s="342" t="s">
        <v>4065</v>
      </c>
      <c r="AH143" s="342" t="s">
        <v>4069</v>
      </c>
      <c r="AI143" s="342" t="s">
        <v>4067</v>
      </c>
      <c r="AJ143" s="342" t="s">
        <v>5842</v>
      </c>
      <c r="AK143" s="342">
        <v>16462</v>
      </c>
    </row>
    <row r="144" spans="1:44">
      <c r="A144" s="342">
        <v>187150</v>
      </c>
      <c r="B144" s="342" t="s">
        <v>300</v>
      </c>
      <c r="C144" s="342" t="s">
        <v>301</v>
      </c>
      <c r="D144" s="342">
        <v>31021</v>
      </c>
      <c r="E144" s="342" t="s">
        <v>302</v>
      </c>
      <c r="F144" s="342" t="s">
        <v>51</v>
      </c>
      <c r="G144" s="342">
        <v>49695</v>
      </c>
      <c r="H144" s="342" t="s">
        <v>591</v>
      </c>
      <c r="I144" s="342" t="s">
        <v>40</v>
      </c>
      <c r="J144" s="342" t="s">
        <v>5278</v>
      </c>
      <c r="K144" s="342" t="s">
        <v>1402</v>
      </c>
      <c r="L144" s="343">
        <v>45199</v>
      </c>
      <c r="M144" s="343">
        <v>44648</v>
      </c>
      <c r="O144" s="342" t="s">
        <v>4481</v>
      </c>
      <c r="P144" s="342" t="s">
        <v>4407</v>
      </c>
      <c r="Q144" s="342">
        <v>6115472569</v>
      </c>
      <c r="R144" s="342">
        <v>9110</v>
      </c>
      <c r="V144" s="342" t="s">
        <v>2099</v>
      </c>
      <c r="W144" s="342">
        <v>301943</v>
      </c>
      <c r="X144" s="342" t="s">
        <v>5387</v>
      </c>
      <c r="Y144" s="343">
        <v>40942</v>
      </c>
      <c r="Z144" s="342" t="s">
        <v>4063</v>
      </c>
      <c r="AA144" s="343">
        <v>44648</v>
      </c>
      <c r="AB144" s="342" t="s">
        <v>4064</v>
      </c>
      <c r="AC144" s="342" t="s">
        <v>4064</v>
      </c>
      <c r="AD144" s="342" t="s">
        <v>4065</v>
      </c>
      <c r="AI144" s="342" t="s">
        <v>4067</v>
      </c>
      <c r="AJ144" s="342" t="s">
        <v>5843</v>
      </c>
    </row>
    <row r="145" spans="1:44">
      <c r="A145" s="342">
        <v>187343</v>
      </c>
      <c r="B145" s="342" t="s">
        <v>303</v>
      </c>
      <c r="C145" s="342" t="s">
        <v>304</v>
      </c>
      <c r="D145" s="342">
        <v>91028</v>
      </c>
      <c r="E145" s="342" t="s">
        <v>305</v>
      </c>
      <c r="F145" s="342" t="s">
        <v>47</v>
      </c>
      <c r="G145" s="342" t="s">
        <v>873</v>
      </c>
      <c r="H145" s="342" t="s">
        <v>591</v>
      </c>
      <c r="I145" s="342" t="s">
        <v>40</v>
      </c>
      <c r="J145" s="342" t="s">
        <v>1277</v>
      </c>
      <c r="L145" s="343">
        <v>45260</v>
      </c>
      <c r="M145" s="343">
        <v>44165</v>
      </c>
      <c r="O145" s="342" t="s">
        <v>1306</v>
      </c>
      <c r="P145" s="342" t="s">
        <v>5754</v>
      </c>
      <c r="Q145" s="342">
        <v>6121399788</v>
      </c>
      <c r="R145" s="342">
        <v>9110</v>
      </c>
      <c r="U145" s="342" t="s">
        <v>2038</v>
      </c>
      <c r="V145" s="342" t="s">
        <v>2099</v>
      </c>
      <c r="W145" s="342">
        <v>204660</v>
      </c>
      <c r="X145" s="342" t="s">
        <v>5875</v>
      </c>
      <c r="Y145" s="343">
        <v>39766</v>
      </c>
      <c r="Z145" s="342" t="s">
        <v>4063</v>
      </c>
      <c r="AA145" s="343">
        <v>44165</v>
      </c>
      <c r="AB145" s="342" t="s">
        <v>4064</v>
      </c>
      <c r="AC145" s="342" t="s">
        <v>4064</v>
      </c>
      <c r="AD145" s="342" t="s">
        <v>4065</v>
      </c>
      <c r="AH145" s="342" t="s">
        <v>4069</v>
      </c>
      <c r="AI145" s="342" t="s">
        <v>4067</v>
      </c>
      <c r="AJ145" s="342" t="s">
        <v>5932</v>
      </c>
      <c r="AK145" s="342">
        <v>18949</v>
      </c>
    </row>
    <row r="146" spans="1:44">
      <c r="A146" s="342">
        <v>187722</v>
      </c>
      <c r="B146" s="342" t="s">
        <v>1199</v>
      </c>
      <c r="C146" s="342" t="s">
        <v>1200</v>
      </c>
      <c r="D146" s="342">
        <v>78310</v>
      </c>
      <c r="E146" s="342" t="s">
        <v>1201</v>
      </c>
      <c r="F146" s="342" t="s">
        <v>47</v>
      </c>
      <c r="G146" s="342" t="s">
        <v>1202</v>
      </c>
      <c r="H146" s="342" t="s">
        <v>591</v>
      </c>
      <c r="I146" s="342" t="s">
        <v>40</v>
      </c>
      <c r="J146" s="342" t="s">
        <v>5279</v>
      </c>
      <c r="K146" s="342" t="s">
        <v>1402</v>
      </c>
      <c r="L146" s="343">
        <v>45291</v>
      </c>
      <c r="M146" s="343">
        <v>44547</v>
      </c>
      <c r="O146" s="342" t="s">
        <v>2532</v>
      </c>
      <c r="P146" s="342" t="s">
        <v>5755</v>
      </c>
      <c r="Q146" s="342">
        <v>6110357142</v>
      </c>
      <c r="R146" s="342">
        <v>9110</v>
      </c>
      <c r="V146" s="342" t="s">
        <v>2099</v>
      </c>
      <c r="W146" s="342">
        <v>70177</v>
      </c>
      <c r="X146" s="342" t="s">
        <v>4093</v>
      </c>
      <c r="Y146" s="343">
        <v>43312</v>
      </c>
      <c r="Z146" s="342" t="s">
        <v>4063</v>
      </c>
      <c r="AA146" s="343">
        <v>44547</v>
      </c>
      <c r="AB146" s="342" t="s">
        <v>4064</v>
      </c>
      <c r="AC146" s="342" t="s">
        <v>4064</v>
      </c>
      <c r="AD146" s="342" t="s">
        <v>4065</v>
      </c>
      <c r="AH146" s="342" t="s">
        <v>4090</v>
      </c>
      <c r="AI146" s="342" t="s">
        <v>4067</v>
      </c>
      <c r="AJ146" s="342" t="s">
        <v>5868</v>
      </c>
      <c r="AK146" s="342">
        <v>12938</v>
      </c>
    </row>
    <row r="147" spans="1:44">
      <c r="A147" s="342">
        <v>187949</v>
      </c>
      <c r="B147" s="342" t="s">
        <v>306</v>
      </c>
      <c r="C147" s="342" t="s">
        <v>307</v>
      </c>
      <c r="D147" s="342">
        <v>67346</v>
      </c>
      <c r="E147" s="342" t="s">
        <v>308</v>
      </c>
      <c r="F147" s="342" t="s">
        <v>55</v>
      </c>
      <c r="G147" s="342" t="s">
        <v>874</v>
      </c>
      <c r="H147" s="342" t="s">
        <v>591</v>
      </c>
      <c r="I147" s="342" t="s">
        <v>40</v>
      </c>
      <c r="J147" s="342" t="s">
        <v>1510</v>
      </c>
      <c r="K147" s="342" t="s">
        <v>1402</v>
      </c>
      <c r="L147" s="343">
        <v>45473</v>
      </c>
      <c r="M147" s="343">
        <v>44740</v>
      </c>
      <c r="O147" s="342" t="s">
        <v>2533</v>
      </c>
      <c r="P147" s="342" t="s">
        <v>4922</v>
      </c>
      <c r="Q147" s="342">
        <v>6113405965</v>
      </c>
      <c r="R147" s="342">
        <v>9110</v>
      </c>
      <c r="V147" s="342" t="s">
        <v>2099</v>
      </c>
      <c r="W147" s="342">
        <v>204863</v>
      </c>
      <c r="X147" s="342" t="s">
        <v>4132</v>
      </c>
      <c r="Y147" s="343">
        <v>39419</v>
      </c>
      <c r="Z147" s="342" t="s">
        <v>4063</v>
      </c>
      <c r="AA147" s="343">
        <v>44740</v>
      </c>
      <c r="AB147" s="342" t="s">
        <v>4064</v>
      </c>
      <c r="AC147" s="342" t="s">
        <v>4064</v>
      </c>
      <c r="AD147" s="342" t="s">
        <v>4065</v>
      </c>
      <c r="AH147" s="342" t="s">
        <v>4069</v>
      </c>
      <c r="AI147" s="342" t="s">
        <v>4067</v>
      </c>
      <c r="AJ147" s="342" t="s">
        <v>5868</v>
      </c>
      <c r="AK147" s="342">
        <v>21374</v>
      </c>
      <c r="AL147" s="342">
        <v>4928</v>
      </c>
      <c r="AM147" s="342" t="s">
        <v>5529</v>
      </c>
      <c r="AR147" s="342" t="s">
        <v>4133</v>
      </c>
    </row>
    <row r="148" spans="1:44">
      <c r="A148" s="342">
        <v>188701</v>
      </c>
      <c r="B148" s="342" t="s">
        <v>4932</v>
      </c>
      <c r="C148" s="342" t="s">
        <v>4933</v>
      </c>
      <c r="D148" s="342">
        <v>82710</v>
      </c>
      <c r="E148" s="342" t="s">
        <v>4934</v>
      </c>
      <c r="F148" s="342" t="s">
        <v>47</v>
      </c>
      <c r="G148" s="342" t="s">
        <v>4935</v>
      </c>
      <c r="H148" s="342" t="s">
        <v>591</v>
      </c>
      <c r="I148" s="342" t="s">
        <v>40</v>
      </c>
      <c r="J148" s="342" t="s">
        <v>1277</v>
      </c>
      <c r="K148" s="342" t="s">
        <v>5218</v>
      </c>
      <c r="L148" s="343">
        <v>45291</v>
      </c>
      <c r="M148" s="343">
        <v>44544</v>
      </c>
      <c r="O148" s="342" t="s">
        <v>4940</v>
      </c>
      <c r="P148" s="342" t="s">
        <v>5986</v>
      </c>
      <c r="Q148" s="342">
        <v>6123045700</v>
      </c>
      <c r="R148" s="342">
        <v>9110</v>
      </c>
      <c r="V148" s="342" t="s">
        <v>2099</v>
      </c>
      <c r="W148" s="342">
        <v>228797</v>
      </c>
      <c r="X148" s="342" t="s">
        <v>4997</v>
      </c>
      <c r="Y148" s="343">
        <v>39419</v>
      </c>
      <c r="Z148" s="342" t="s">
        <v>4063</v>
      </c>
      <c r="AA148" s="343">
        <v>44544</v>
      </c>
      <c r="AB148" s="342" t="s">
        <v>4064</v>
      </c>
      <c r="AC148" s="342" t="s">
        <v>4064</v>
      </c>
      <c r="AD148" s="342" t="s">
        <v>4065</v>
      </c>
      <c r="AI148" s="342" t="s">
        <v>4067</v>
      </c>
      <c r="AJ148" s="342" t="s">
        <v>6107</v>
      </c>
    </row>
    <row r="149" spans="1:44">
      <c r="A149" s="342">
        <v>189074</v>
      </c>
      <c r="B149" s="342" t="s">
        <v>309</v>
      </c>
      <c r="C149" s="342" t="s">
        <v>310</v>
      </c>
      <c r="D149" s="342" t="s">
        <v>755</v>
      </c>
      <c r="E149" s="342" t="s">
        <v>154</v>
      </c>
      <c r="F149" s="342" t="s">
        <v>51</v>
      </c>
      <c r="G149" s="342">
        <v>53117</v>
      </c>
      <c r="H149" s="342" t="s">
        <v>591</v>
      </c>
      <c r="I149" s="342" t="s">
        <v>40</v>
      </c>
      <c r="J149" s="342" t="s">
        <v>1336</v>
      </c>
      <c r="L149" s="343">
        <v>45138</v>
      </c>
      <c r="M149" s="343">
        <v>44035</v>
      </c>
      <c r="O149" s="342" t="s">
        <v>6033</v>
      </c>
      <c r="P149" s="342" t="s">
        <v>5756</v>
      </c>
      <c r="Q149" s="342">
        <v>6114967347</v>
      </c>
      <c r="R149" s="342">
        <v>9110</v>
      </c>
      <c r="V149" s="342" t="s">
        <v>2099</v>
      </c>
      <c r="W149" s="342">
        <v>100321</v>
      </c>
      <c r="X149" s="342" t="s">
        <v>5018</v>
      </c>
      <c r="Y149" s="343">
        <v>39419</v>
      </c>
      <c r="Z149" s="342" t="s">
        <v>4063</v>
      </c>
      <c r="AA149" s="343">
        <v>44035</v>
      </c>
      <c r="AB149" s="342" t="s">
        <v>4064</v>
      </c>
      <c r="AC149" s="342" t="s">
        <v>4064</v>
      </c>
      <c r="AD149" s="342" t="s">
        <v>4065</v>
      </c>
      <c r="AH149" s="342" t="s">
        <v>4069</v>
      </c>
      <c r="AI149" s="342" t="s">
        <v>4067</v>
      </c>
      <c r="AJ149" s="342" t="s">
        <v>6005</v>
      </c>
      <c r="AK149" s="342">
        <v>16675</v>
      </c>
    </row>
    <row r="150" spans="1:44">
      <c r="A150" s="342">
        <v>189129</v>
      </c>
      <c r="B150" s="342" t="s">
        <v>1292</v>
      </c>
      <c r="C150" s="342" t="s">
        <v>1293</v>
      </c>
      <c r="D150" s="342" t="s">
        <v>1294</v>
      </c>
      <c r="E150" s="342" t="s">
        <v>1295</v>
      </c>
      <c r="F150" s="342" t="s">
        <v>107</v>
      </c>
      <c r="G150" s="342">
        <v>198</v>
      </c>
      <c r="H150" s="342" t="s">
        <v>591</v>
      </c>
      <c r="I150" s="342" t="s">
        <v>737</v>
      </c>
      <c r="J150" s="342" t="s">
        <v>5281</v>
      </c>
      <c r="K150" s="342" t="s">
        <v>1233</v>
      </c>
      <c r="L150" s="343">
        <v>45657</v>
      </c>
      <c r="M150" s="343">
        <v>44754</v>
      </c>
      <c r="O150" s="342" t="s">
        <v>1296</v>
      </c>
      <c r="P150" s="342" t="s">
        <v>4450</v>
      </c>
      <c r="Q150" s="342">
        <v>6111901704</v>
      </c>
      <c r="R150" s="342" t="s">
        <v>1580</v>
      </c>
      <c r="S150" s="342" t="s">
        <v>1575</v>
      </c>
      <c r="V150" s="342" t="s">
        <v>4062</v>
      </c>
      <c r="W150" s="342">
        <v>70178</v>
      </c>
      <c r="X150" s="342" t="s">
        <v>5149</v>
      </c>
      <c r="Y150" s="343">
        <v>43517</v>
      </c>
      <c r="Z150" s="342" t="s">
        <v>4063</v>
      </c>
      <c r="AA150" s="343">
        <v>44754</v>
      </c>
      <c r="AB150" s="342" t="s">
        <v>4064</v>
      </c>
      <c r="AC150" s="342" t="s">
        <v>4064</v>
      </c>
      <c r="AD150" s="342" t="s">
        <v>4065</v>
      </c>
      <c r="AH150" s="342" t="s">
        <v>4069</v>
      </c>
      <c r="AI150" s="342" t="s">
        <v>4067</v>
      </c>
      <c r="AJ150" s="342" t="s">
        <v>6108</v>
      </c>
      <c r="AK150" s="342">
        <v>16683</v>
      </c>
    </row>
    <row r="151" spans="1:44">
      <c r="A151" s="342">
        <v>190670</v>
      </c>
      <c r="B151" s="342" t="s">
        <v>312</v>
      </c>
      <c r="C151" s="342" t="s">
        <v>5589</v>
      </c>
      <c r="D151" s="342">
        <v>46101</v>
      </c>
      <c r="E151" s="342" t="s">
        <v>313</v>
      </c>
      <c r="F151" s="342" t="s">
        <v>47</v>
      </c>
      <c r="G151" s="342" t="s">
        <v>875</v>
      </c>
      <c r="H151" s="342" t="s">
        <v>591</v>
      </c>
      <c r="I151" s="342" t="s">
        <v>40</v>
      </c>
      <c r="J151" s="342" t="s">
        <v>5282</v>
      </c>
      <c r="K151" s="342" t="s">
        <v>1233</v>
      </c>
      <c r="L151" s="343">
        <v>45412</v>
      </c>
      <c r="M151" s="343">
        <v>44672</v>
      </c>
      <c r="O151" s="342" t="s">
        <v>5676</v>
      </c>
      <c r="P151" s="342" t="s">
        <v>5919</v>
      </c>
      <c r="Q151" s="342">
        <v>6111840328</v>
      </c>
      <c r="R151" s="342">
        <v>9110</v>
      </c>
      <c r="V151" s="342" t="s">
        <v>2099</v>
      </c>
      <c r="W151" s="342">
        <v>70182</v>
      </c>
      <c r="X151" s="342" t="s">
        <v>4093</v>
      </c>
      <c r="Y151" s="343">
        <v>39419</v>
      </c>
      <c r="Z151" s="342" t="s">
        <v>4063</v>
      </c>
      <c r="AA151" s="343">
        <v>44672</v>
      </c>
      <c r="AB151" s="342" t="s">
        <v>4064</v>
      </c>
      <c r="AC151" s="342" t="s">
        <v>4064</v>
      </c>
      <c r="AD151" s="342" t="s">
        <v>4065</v>
      </c>
      <c r="AH151" s="342" t="s">
        <v>4069</v>
      </c>
      <c r="AI151" s="342" t="s">
        <v>4067</v>
      </c>
      <c r="AJ151" s="342" t="s">
        <v>5852</v>
      </c>
      <c r="AK151" s="342">
        <v>16939</v>
      </c>
      <c r="AL151" s="342">
        <v>6412</v>
      </c>
      <c r="AM151" s="342" t="s">
        <v>5933</v>
      </c>
      <c r="AR151" s="342" t="s">
        <v>4136</v>
      </c>
    </row>
    <row r="152" spans="1:44">
      <c r="A152" s="342">
        <v>190829</v>
      </c>
      <c r="B152" s="342" t="s">
        <v>607</v>
      </c>
      <c r="C152" s="342" t="s">
        <v>672</v>
      </c>
      <c r="D152" s="342">
        <v>69530</v>
      </c>
      <c r="E152" s="342" t="s">
        <v>608</v>
      </c>
      <c r="F152" s="342" t="s">
        <v>47</v>
      </c>
      <c r="G152" s="342" t="s">
        <v>1075</v>
      </c>
      <c r="H152" s="342" t="s">
        <v>591</v>
      </c>
      <c r="I152" s="342" t="s">
        <v>40</v>
      </c>
      <c r="J152" s="342" t="s">
        <v>1277</v>
      </c>
      <c r="K152" s="342" t="s">
        <v>1233</v>
      </c>
      <c r="L152" s="343">
        <v>45688</v>
      </c>
      <c r="M152" s="343">
        <v>44589</v>
      </c>
      <c r="O152" s="342" t="s">
        <v>1076</v>
      </c>
      <c r="P152" s="342" t="s">
        <v>6073</v>
      </c>
      <c r="Q152" s="342">
        <v>6116160184</v>
      </c>
      <c r="R152" s="342">
        <v>9110</v>
      </c>
      <c r="V152" s="342" t="s">
        <v>2099</v>
      </c>
      <c r="W152" s="342">
        <v>70299</v>
      </c>
      <c r="X152" s="342" t="s">
        <v>4137</v>
      </c>
      <c r="Y152" s="343">
        <v>42130</v>
      </c>
      <c r="Z152" s="342" t="s">
        <v>4063</v>
      </c>
      <c r="AA152" s="343">
        <v>44589</v>
      </c>
      <c r="AB152" s="342" t="s">
        <v>4064</v>
      </c>
      <c r="AC152" s="342" t="s">
        <v>4064</v>
      </c>
      <c r="AD152" s="342" t="s">
        <v>4065</v>
      </c>
      <c r="AH152" s="342" t="s">
        <v>4069</v>
      </c>
      <c r="AI152" s="342" t="s">
        <v>4067</v>
      </c>
      <c r="AJ152" s="342" t="s">
        <v>5888</v>
      </c>
      <c r="AK152" s="342">
        <v>16872</v>
      </c>
    </row>
    <row r="153" spans="1:44">
      <c r="A153" s="342">
        <v>192526</v>
      </c>
      <c r="B153" s="342" t="s">
        <v>316</v>
      </c>
      <c r="C153" s="342" t="s">
        <v>317</v>
      </c>
      <c r="D153" s="342">
        <v>31701</v>
      </c>
      <c r="E153" s="342" t="s">
        <v>151</v>
      </c>
      <c r="F153" s="342" t="s">
        <v>47</v>
      </c>
      <c r="G153" s="342" t="s">
        <v>876</v>
      </c>
      <c r="H153" s="342" t="s">
        <v>591</v>
      </c>
      <c r="I153" s="342" t="s">
        <v>40</v>
      </c>
      <c r="J153" s="342" t="s">
        <v>5282</v>
      </c>
      <c r="K153" s="342" t="s">
        <v>1233</v>
      </c>
      <c r="L153" s="343">
        <v>45077</v>
      </c>
      <c r="M153" s="343">
        <v>44347</v>
      </c>
      <c r="O153" s="342" t="s">
        <v>4203</v>
      </c>
      <c r="P153" s="342" t="s">
        <v>5757</v>
      </c>
      <c r="Q153" s="342">
        <v>6123939243</v>
      </c>
      <c r="R153" s="342">
        <v>9110</v>
      </c>
      <c r="V153" s="342" t="s">
        <v>2099</v>
      </c>
      <c r="W153" s="342">
        <v>228553</v>
      </c>
      <c r="X153" s="342" t="s">
        <v>5357</v>
      </c>
      <c r="Y153" s="343">
        <v>39419</v>
      </c>
      <c r="Z153" s="342" t="s">
        <v>4063</v>
      </c>
      <c r="AA153" s="343">
        <v>44347</v>
      </c>
      <c r="AB153" s="342" t="s">
        <v>4064</v>
      </c>
      <c r="AC153" s="342" t="s">
        <v>4064</v>
      </c>
      <c r="AD153" s="342" t="s">
        <v>4065</v>
      </c>
      <c r="AH153" s="342" t="s">
        <v>4126</v>
      </c>
      <c r="AI153" s="342" t="s">
        <v>4067</v>
      </c>
      <c r="AJ153" s="342" t="s">
        <v>5935</v>
      </c>
    </row>
    <row r="154" spans="1:44">
      <c r="A154" s="342">
        <v>192537</v>
      </c>
      <c r="B154" s="342" t="s">
        <v>318</v>
      </c>
      <c r="C154" s="342" t="s">
        <v>319</v>
      </c>
      <c r="D154" s="342" t="s">
        <v>877</v>
      </c>
      <c r="E154" s="342" t="s">
        <v>235</v>
      </c>
      <c r="F154" s="342" t="s">
        <v>51</v>
      </c>
      <c r="G154" s="342" t="s">
        <v>878</v>
      </c>
      <c r="H154" s="342" t="s">
        <v>591</v>
      </c>
      <c r="I154" s="342" t="s">
        <v>40</v>
      </c>
      <c r="J154" s="342" t="s">
        <v>5282</v>
      </c>
      <c r="K154" s="342" t="s">
        <v>1233</v>
      </c>
      <c r="L154" s="343">
        <v>45077</v>
      </c>
      <c r="M154" s="343">
        <v>44344</v>
      </c>
      <c r="O154" s="342" t="s">
        <v>5126</v>
      </c>
      <c r="P154" s="342" t="s">
        <v>5758</v>
      </c>
      <c r="Q154" s="342">
        <v>6120706961</v>
      </c>
      <c r="R154" s="342">
        <v>9110</v>
      </c>
      <c r="V154" s="342" t="s">
        <v>2099</v>
      </c>
      <c r="W154" s="342">
        <v>100338</v>
      </c>
      <c r="X154" s="342" t="s">
        <v>4118</v>
      </c>
      <c r="Y154" s="343">
        <v>41673</v>
      </c>
      <c r="Z154" s="342" t="s">
        <v>4063</v>
      </c>
      <c r="AA154" s="343">
        <v>44344</v>
      </c>
      <c r="AB154" s="342" t="s">
        <v>4064</v>
      </c>
      <c r="AC154" s="342" t="s">
        <v>4064</v>
      </c>
      <c r="AD154" s="342" t="s">
        <v>4065</v>
      </c>
      <c r="AH154" s="342" t="s">
        <v>4069</v>
      </c>
      <c r="AI154" s="342" t="s">
        <v>4067</v>
      </c>
      <c r="AJ154" s="342" t="s">
        <v>5890</v>
      </c>
      <c r="AK154" s="342">
        <v>17127</v>
      </c>
    </row>
    <row r="155" spans="1:44">
      <c r="A155" s="342">
        <v>192768</v>
      </c>
      <c r="B155" s="342" t="s">
        <v>4967</v>
      </c>
      <c r="C155" s="342" t="s">
        <v>320</v>
      </c>
      <c r="D155" s="342">
        <v>91910</v>
      </c>
      <c r="E155" s="342" t="s">
        <v>321</v>
      </c>
      <c r="F155" s="342" t="s">
        <v>51</v>
      </c>
      <c r="G155" s="342">
        <v>51563</v>
      </c>
      <c r="H155" s="342" t="s">
        <v>591</v>
      </c>
      <c r="I155" s="342" t="s">
        <v>40</v>
      </c>
      <c r="J155" s="342" t="s">
        <v>5282</v>
      </c>
      <c r="K155" s="342" t="s">
        <v>1402</v>
      </c>
      <c r="L155" s="343">
        <v>45473</v>
      </c>
      <c r="M155" s="343">
        <v>44735</v>
      </c>
      <c r="O155" s="342" t="s">
        <v>6034</v>
      </c>
      <c r="P155" s="342" t="s">
        <v>5759</v>
      </c>
      <c r="Q155" s="342">
        <v>6111192649</v>
      </c>
      <c r="R155" s="342">
        <v>9110</v>
      </c>
      <c r="V155" s="342" t="s">
        <v>2099</v>
      </c>
      <c r="W155" s="342">
        <v>100445</v>
      </c>
      <c r="X155" s="342" t="s">
        <v>4845</v>
      </c>
      <c r="Y155" s="343">
        <v>39419</v>
      </c>
      <c r="Z155" s="342" t="s">
        <v>4063</v>
      </c>
      <c r="AA155" s="343">
        <v>44735</v>
      </c>
      <c r="AB155" s="342" t="s">
        <v>4064</v>
      </c>
      <c r="AC155" s="342" t="s">
        <v>4064</v>
      </c>
      <c r="AD155" s="342" t="s">
        <v>4065</v>
      </c>
      <c r="AH155" s="342" t="s">
        <v>4138</v>
      </c>
      <c r="AI155" s="342" t="s">
        <v>4067</v>
      </c>
      <c r="AJ155" s="342" t="s">
        <v>5858</v>
      </c>
      <c r="AK155" s="342">
        <v>17162</v>
      </c>
      <c r="AM155" s="342" t="s">
        <v>6109</v>
      </c>
      <c r="AR155" s="342" t="s">
        <v>4909</v>
      </c>
    </row>
    <row r="156" spans="1:44">
      <c r="A156" s="342">
        <v>192949</v>
      </c>
      <c r="B156" s="342" t="s">
        <v>1363</v>
      </c>
      <c r="C156" s="342" t="s">
        <v>322</v>
      </c>
      <c r="D156" s="342" t="s">
        <v>323</v>
      </c>
      <c r="E156" s="342" t="s">
        <v>324</v>
      </c>
      <c r="F156" s="342" t="s">
        <v>51</v>
      </c>
      <c r="G156" s="342">
        <v>59885</v>
      </c>
      <c r="H156" s="342" t="s">
        <v>591</v>
      </c>
      <c r="I156" s="342" t="s">
        <v>40</v>
      </c>
      <c r="J156" s="342" t="s">
        <v>5282</v>
      </c>
      <c r="K156" s="342" t="s">
        <v>1402</v>
      </c>
      <c r="L156" s="343">
        <v>45076</v>
      </c>
      <c r="M156" s="343">
        <v>44735</v>
      </c>
      <c r="O156" s="342" t="s">
        <v>6035</v>
      </c>
      <c r="P156" s="342" t="s">
        <v>5760</v>
      </c>
      <c r="Q156" s="342">
        <v>6115286221</v>
      </c>
      <c r="R156" s="342">
        <v>9110</v>
      </c>
      <c r="V156" s="342" t="s">
        <v>2099</v>
      </c>
      <c r="W156" s="342">
        <v>70110</v>
      </c>
      <c r="X156" s="342" t="s">
        <v>4139</v>
      </c>
      <c r="Y156" s="343">
        <v>39419</v>
      </c>
      <c r="Z156" s="342" t="s">
        <v>4063</v>
      </c>
      <c r="AA156" s="343">
        <v>44735</v>
      </c>
      <c r="AB156" s="342" t="s">
        <v>4064</v>
      </c>
      <c r="AC156" s="342" t="s">
        <v>4064</v>
      </c>
      <c r="AD156" s="342" t="s">
        <v>4065</v>
      </c>
      <c r="AH156" s="342" t="s">
        <v>4079</v>
      </c>
      <c r="AI156" s="342" t="s">
        <v>4067</v>
      </c>
      <c r="AJ156" s="342" t="s">
        <v>5868</v>
      </c>
      <c r="AK156" s="342">
        <v>17211</v>
      </c>
      <c r="AL156" s="342">
        <v>3076</v>
      </c>
      <c r="AM156" s="342" t="s">
        <v>5199</v>
      </c>
    </row>
    <row r="157" spans="1:44">
      <c r="A157" s="342">
        <v>193845</v>
      </c>
      <c r="B157" s="342" t="s">
        <v>325</v>
      </c>
      <c r="C157" s="342" t="s">
        <v>609</v>
      </c>
      <c r="D157" s="342">
        <v>33074</v>
      </c>
      <c r="E157" s="342" t="s">
        <v>610</v>
      </c>
      <c r="F157" s="342" t="s">
        <v>47</v>
      </c>
      <c r="H157" s="342" t="s">
        <v>591</v>
      </c>
      <c r="I157" s="342" t="s">
        <v>40</v>
      </c>
      <c r="J157" s="342" t="s">
        <v>5278</v>
      </c>
      <c r="K157" s="342" t="s">
        <v>1402</v>
      </c>
      <c r="L157" s="343">
        <v>45443</v>
      </c>
      <c r="M157" s="343">
        <v>44337</v>
      </c>
      <c r="O157" s="342" t="s">
        <v>1073</v>
      </c>
      <c r="P157" s="342" t="s">
        <v>5920</v>
      </c>
      <c r="Q157" s="342">
        <v>6116654124</v>
      </c>
      <c r="R157" s="342">
        <v>9110</v>
      </c>
      <c r="V157" s="342" t="s">
        <v>2099</v>
      </c>
      <c r="W157" s="342">
        <v>70190</v>
      </c>
      <c r="X157" s="342" t="s">
        <v>4140</v>
      </c>
      <c r="Y157" s="343">
        <v>42137</v>
      </c>
      <c r="Z157" s="342" t="s">
        <v>4063</v>
      </c>
      <c r="AA157" s="343">
        <v>44337</v>
      </c>
      <c r="AB157" s="342" t="s">
        <v>4064</v>
      </c>
      <c r="AC157" s="342" t="s">
        <v>4064</v>
      </c>
      <c r="AD157" s="342" t="s">
        <v>4065</v>
      </c>
      <c r="AH157" s="342" t="s">
        <v>4069</v>
      </c>
      <c r="AI157" s="342" t="s">
        <v>4067</v>
      </c>
      <c r="AJ157" s="342" t="s">
        <v>5858</v>
      </c>
      <c r="AK157" s="342">
        <v>17339</v>
      </c>
    </row>
    <row r="158" spans="1:44">
      <c r="A158" s="342">
        <v>193891</v>
      </c>
      <c r="B158" s="342" t="s">
        <v>748</v>
      </c>
      <c r="C158" s="342" t="s">
        <v>326</v>
      </c>
      <c r="D158" s="342">
        <v>91344</v>
      </c>
      <c r="E158" s="342" t="s">
        <v>327</v>
      </c>
      <c r="F158" s="342" t="s">
        <v>47</v>
      </c>
      <c r="H158" s="342" t="s">
        <v>591</v>
      </c>
      <c r="I158" s="342" t="s">
        <v>40</v>
      </c>
      <c r="J158" s="342" t="s">
        <v>5280</v>
      </c>
      <c r="K158" s="342" t="s">
        <v>1233</v>
      </c>
      <c r="L158" s="343">
        <v>45382</v>
      </c>
      <c r="M158" s="343">
        <v>44467</v>
      </c>
      <c r="O158" s="342" t="s">
        <v>5555</v>
      </c>
      <c r="P158" s="342" t="s">
        <v>5761</v>
      </c>
      <c r="Q158" s="342">
        <v>6123305123</v>
      </c>
      <c r="R158" s="342">
        <v>9110</v>
      </c>
      <c r="V158" s="342" t="s">
        <v>2099</v>
      </c>
      <c r="W158" s="342">
        <v>228056</v>
      </c>
      <c r="X158" s="342" t="s">
        <v>5338</v>
      </c>
      <c r="Y158" s="343">
        <v>41673</v>
      </c>
      <c r="Z158" s="342" t="s">
        <v>4063</v>
      </c>
      <c r="AA158" s="343">
        <v>44467</v>
      </c>
      <c r="AB158" s="342" t="s">
        <v>4064</v>
      </c>
      <c r="AC158" s="342" t="s">
        <v>4064</v>
      </c>
      <c r="AD158" s="342" t="s">
        <v>4065</v>
      </c>
      <c r="AH158" s="342" t="s">
        <v>4081</v>
      </c>
      <c r="AI158" s="342" t="s">
        <v>4067</v>
      </c>
      <c r="AJ158" s="342" t="s">
        <v>5844</v>
      </c>
    </row>
    <row r="159" spans="1:44">
      <c r="A159" s="342">
        <v>193948</v>
      </c>
      <c r="B159" s="342" t="s">
        <v>328</v>
      </c>
      <c r="C159" s="342" t="s">
        <v>329</v>
      </c>
      <c r="D159" s="342">
        <v>45600</v>
      </c>
      <c r="E159" s="342" t="s">
        <v>330</v>
      </c>
      <c r="F159" s="342" t="s">
        <v>47</v>
      </c>
      <c r="G159" s="342" t="s">
        <v>879</v>
      </c>
      <c r="H159" s="342" t="s">
        <v>591</v>
      </c>
      <c r="I159" s="342" t="s">
        <v>40</v>
      </c>
      <c r="J159" s="342" t="s">
        <v>5283</v>
      </c>
      <c r="K159" s="342" t="s">
        <v>1402</v>
      </c>
      <c r="L159" s="343">
        <v>44865</v>
      </c>
      <c r="M159" s="343">
        <v>44130</v>
      </c>
      <c r="O159" s="342" t="s">
        <v>5556</v>
      </c>
      <c r="P159" s="342" t="s">
        <v>5242</v>
      </c>
      <c r="Q159" s="342">
        <v>6115285426</v>
      </c>
      <c r="R159" s="342">
        <v>9110</v>
      </c>
      <c r="V159" s="342" t="s">
        <v>2099</v>
      </c>
      <c r="W159" s="342">
        <v>70192</v>
      </c>
      <c r="X159" s="342" t="s">
        <v>4244</v>
      </c>
      <c r="Y159" s="343">
        <v>41550</v>
      </c>
      <c r="Z159" s="342" t="s">
        <v>4063</v>
      </c>
      <c r="AA159" s="343">
        <v>44130</v>
      </c>
      <c r="AB159" s="342" t="s">
        <v>4064</v>
      </c>
      <c r="AC159" s="342" t="s">
        <v>4064</v>
      </c>
      <c r="AD159" s="342" t="s">
        <v>4065</v>
      </c>
      <c r="AH159" s="342" t="s">
        <v>4069</v>
      </c>
      <c r="AI159" s="342" t="s">
        <v>4067</v>
      </c>
      <c r="AJ159" s="342" t="s">
        <v>5842</v>
      </c>
      <c r="AK159" s="342">
        <v>18230</v>
      </c>
    </row>
    <row r="160" spans="1:44">
      <c r="A160" s="342">
        <v>196524</v>
      </c>
      <c r="B160" s="342" t="s">
        <v>686</v>
      </c>
      <c r="C160" s="342" t="s">
        <v>332</v>
      </c>
      <c r="D160" s="342">
        <v>41100</v>
      </c>
      <c r="E160" s="342" t="s">
        <v>333</v>
      </c>
      <c r="F160" s="342" t="s">
        <v>47</v>
      </c>
      <c r="G160" s="342" t="s">
        <v>880</v>
      </c>
      <c r="H160" s="342" t="s">
        <v>591</v>
      </c>
      <c r="I160" s="342" t="s">
        <v>40</v>
      </c>
      <c r="J160" s="342" t="s">
        <v>5281</v>
      </c>
      <c r="K160" s="342" t="s">
        <v>1233</v>
      </c>
      <c r="L160" s="343">
        <v>45077</v>
      </c>
      <c r="M160" s="343">
        <v>44705</v>
      </c>
      <c r="O160" s="342" t="s">
        <v>4424</v>
      </c>
      <c r="P160" s="342" t="s">
        <v>5732</v>
      </c>
      <c r="Q160" s="342">
        <v>6120272343</v>
      </c>
      <c r="R160" s="342">
        <v>9110</v>
      </c>
      <c r="V160" s="342" t="s">
        <v>2099</v>
      </c>
      <c r="W160" s="342">
        <v>229380</v>
      </c>
      <c r="X160" s="342" t="s">
        <v>5343</v>
      </c>
      <c r="Y160" s="343">
        <v>39419</v>
      </c>
      <c r="Z160" s="342" t="s">
        <v>4063</v>
      </c>
      <c r="AA160" s="343">
        <v>44705</v>
      </c>
      <c r="AB160" s="342" t="s">
        <v>4064</v>
      </c>
      <c r="AC160" s="342" t="s">
        <v>4064</v>
      </c>
      <c r="AD160" s="342" t="s">
        <v>4065</v>
      </c>
      <c r="AI160" s="342" t="s">
        <v>4067</v>
      </c>
      <c r="AJ160" s="342" t="s">
        <v>5872</v>
      </c>
    </row>
    <row r="161" spans="1:40">
      <c r="A161" s="342">
        <v>196561</v>
      </c>
      <c r="B161" s="342" t="s">
        <v>4968</v>
      </c>
      <c r="C161" s="342" t="s">
        <v>4969</v>
      </c>
      <c r="D161" s="342">
        <v>21019</v>
      </c>
      <c r="E161" s="342" t="s">
        <v>4970</v>
      </c>
      <c r="F161" s="342" t="s">
        <v>98</v>
      </c>
      <c r="G161" s="342" t="s">
        <v>4971</v>
      </c>
      <c r="H161" s="342" t="s">
        <v>591</v>
      </c>
      <c r="I161" s="342" t="s">
        <v>40</v>
      </c>
      <c r="J161" s="342" t="s">
        <v>5282</v>
      </c>
      <c r="K161" s="342" t="s">
        <v>1233</v>
      </c>
      <c r="L161" s="343">
        <v>45412</v>
      </c>
      <c r="M161" s="343">
        <v>44672</v>
      </c>
      <c r="O161" s="342" t="s">
        <v>5151</v>
      </c>
      <c r="P161" s="342" t="s">
        <v>4979</v>
      </c>
      <c r="Q161" s="342">
        <v>6119766666</v>
      </c>
      <c r="R161" s="342">
        <v>9110</v>
      </c>
      <c r="U161" s="342" t="s">
        <v>5015</v>
      </c>
      <c r="V161" s="342" t="s">
        <v>2099</v>
      </c>
      <c r="W161" s="342">
        <v>300518</v>
      </c>
      <c r="X161" s="342" t="s">
        <v>4997</v>
      </c>
      <c r="Y161" s="343">
        <v>44544</v>
      </c>
      <c r="Z161" s="342" t="s">
        <v>4063</v>
      </c>
      <c r="AA161" s="343">
        <v>44672</v>
      </c>
      <c r="AB161" s="342" t="s">
        <v>4064</v>
      </c>
      <c r="AC161" s="342" t="s">
        <v>4064</v>
      </c>
      <c r="AD161" s="342" t="s">
        <v>4065</v>
      </c>
      <c r="AI161" s="342" t="s">
        <v>4111</v>
      </c>
      <c r="AJ161" s="342" t="s">
        <v>5855</v>
      </c>
    </row>
    <row r="162" spans="1:40">
      <c r="A162" s="342">
        <v>197075</v>
      </c>
      <c r="B162" s="342" t="s">
        <v>1278</v>
      </c>
      <c r="C162" s="342" t="s">
        <v>611</v>
      </c>
      <c r="D162" s="342" t="s">
        <v>612</v>
      </c>
      <c r="E162" s="342" t="s">
        <v>418</v>
      </c>
      <c r="F162" s="342" t="s">
        <v>45</v>
      </c>
      <c r="G162" s="342" t="s">
        <v>881</v>
      </c>
      <c r="H162" s="342" t="s">
        <v>591</v>
      </c>
      <c r="I162" s="342" t="s">
        <v>40</v>
      </c>
      <c r="J162" s="342" t="s">
        <v>5283</v>
      </c>
      <c r="K162" s="342" t="s">
        <v>1233</v>
      </c>
      <c r="L162" s="343">
        <v>45230</v>
      </c>
      <c r="M162" s="343">
        <v>44735</v>
      </c>
      <c r="O162" s="342" t="s">
        <v>4593</v>
      </c>
      <c r="P162" s="342" t="s">
        <v>5762</v>
      </c>
      <c r="Q162" s="342">
        <v>6115491207</v>
      </c>
      <c r="R162" s="342">
        <v>9110</v>
      </c>
      <c r="V162" s="342" t="s">
        <v>2099</v>
      </c>
      <c r="W162" s="342">
        <v>228550</v>
      </c>
      <c r="X162" s="342" t="s">
        <v>5388</v>
      </c>
      <c r="Y162" s="343">
        <v>42130</v>
      </c>
      <c r="Z162" s="342" t="s">
        <v>4063</v>
      </c>
      <c r="AA162" s="343">
        <v>44735</v>
      </c>
      <c r="AB162" s="342" t="s">
        <v>4064</v>
      </c>
      <c r="AC162" s="342" t="s">
        <v>4064</v>
      </c>
      <c r="AD162" s="342" t="s">
        <v>4065</v>
      </c>
      <c r="AH162" s="342" t="s">
        <v>4069</v>
      </c>
      <c r="AI162" s="342" t="s">
        <v>4067</v>
      </c>
      <c r="AJ162" s="342" t="s">
        <v>5935</v>
      </c>
    </row>
    <row r="163" spans="1:40">
      <c r="A163" s="342">
        <v>197134</v>
      </c>
      <c r="B163" s="342" t="s">
        <v>652</v>
      </c>
      <c r="C163" s="342" t="s">
        <v>653</v>
      </c>
      <c r="D163" s="342">
        <v>92000</v>
      </c>
      <c r="E163" s="342" t="s">
        <v>654</v>
      </c>
      <c r="F163" s="342" t="s">
        <v>47</v>
      </c>
      <c r="G163" s="342" t="s">
        <v>882</v>
      </c>
      <c r="H163" s="342" t="s">
        <v>591</v>
      </c>
      <c r="I163" s="342" t="s">
        <v>40</v>
      </c>
      <c r="J163" s="342" t="s">
        <v>1277</v>
      </c>
      <c r="K163" s="342" t="s">
        <v>1233</v>
      </c>
      <c r="L163" s="343">
        <v>45137</v>
      </c>
      <c r="M163" s="343">
        <v>44036</v>
      </c>
      <c r="O163" s="342" t="s">
        <v>1488</v>
      </c>
      <c r="P163" s="342" t="s">
        <v>5079</v>
      </c>
      <c r="Q163" s="342">
        <v>6130798082</v>
      </c>
      <c r="R163" s="342">
        <v>9110</v>
      </c>
      <c r="V163" s="342" t="s">
        <v>2099</v>
      </c>
      <c r="W163" s="342">
        <v>306074</v>
      </c>
      <c r="X163" s="342" t="s">
        <v>4990</v>
      </c>
      <c r="Y163" s="343">
        <v>42209</v>
      </c>
      <c r="Z163" s="342" t="s">
        <v>4063</v>
      </c>
      <c r="AA163" s="343">
        <v>44036</v>
      </c>
      <c r="AB163" s="342" t="s">
        <v>4064</v>
      </c>
      <c r="AC163" s="342" t="s">
        <v>4064</v>
      </c>
      <c r="AD163" s="342" t="s">
        <v>4065</v>
      </c>
      <c r="AI163" s="342" t="s">
        <v>4067</v>
      </c>
      <c r="AJ163" s="342" t="s">
        <v>5935</v>
      </c>
    </row>
    <row r="164" spans="1:40">
      <c r="A164" s="342">
        <v>197413</v>
      </c>
      <c r="B164" s="342" t="s">
        <v>746</v>
      </c>
      <c r="C164" s="342" t="s">
        <v>4257</v>
      </c>
      <c r="D164" s="342" t="s">
        <v>85</v>
      </c>
      <c r="E164" s="342" t="s">
        <v>86</v>
      </c>
      <c r="F164" s="342" t="s">
        <v>51</v>
      </c>
      <c r="G164" s="342" t="s">
        <v>4443</v>
      </c>
      <c r="H164" s="342" t="s">
        <v>591</v>
      </c>
      <c r="I164" s="342" t="s">
        <v>40</v>
      </c>
      <c r="J164" s="342" t="s">
        <v>5280</v>
      </c>
      <c r="K164" s="342" t="s">
        <v>1233</v>
      </c>
      <c r="L164" s="343">
        <v>45382</v>
      </c>
      <c r="M164" s="343">
        <v>44467</v>
      </c>
      <c r="O164" s="342" t="s">
        <v>6036</v>
      </c>
      <c r="P164" s="342" t="s">
        <v>5143</v>
      </c>
      <c r="Q164" s="342">
        <v>6135750009</v>
      </c>
      <c r="R164" s="342">
        <v>9110</v>
      </c>
      <c r="U164" s="342" t="s">
        <v>4273</v>
      </c>
      <c r="V164" s="342" t="s">
        <v>2099</v>
      </c>
      <c r="W164" s="342">
        <v>309155</v>
      </c>
      <c r="X164" s="342" t="s">
        <v>5338</v>
      </c>
      <c r="Y164" s="343">
        <v>44210</v>
      </c>
      <c r="Z164" s="342" t="s">
        <v>4063</v>
      </c>
      <c r="AA164" s="343">
        <v>44467</v>
      </c>
      <c r="AB164" s="342" t="s">
        <v>4064</v>
      </c>
      <c r="AC164" s="342" t="s">
        <v>4064</v>
      </c>
      <c r="AD164" s="342" t="s">
        <v>4065</v>
      </c>
      <c r="AI164" s="342" t="s">
        <v>4067</v>
      </c>
      <c r="AJ164" s="342" t="s">
        <v>5855</v>
      </c>
    </row>
    <row r="165" spans="1:40">
      <c r="A165" s="342">
        <v>197511</v>
      </c>
      <c r="B165" s="342" t="s">
        <v>296</v>
      </c>
      <c r="C165" s="342" t="s">
        <v>334</v>
      </c>
      <c r="D165" s="342">
        <v>34117</v>
      </c>
      <c r="E165" s="342" t="s">
        <v>335</v>
      </c>
      <c r="F165" s="342" t="s">
        <v>51</v>
      </c>
      <c r="G165" s="342">
        <v>99321</v>
      </c>
      <c r="H165" s="342" t="s">
        <v>591</v>
      </c>
      <c r="I165" s="342" t="s">
        <v>40</v>
      </c>
      <c r="J165" s="342" t="s">
        <v>1336</v>
      </c>
      <c r="K165" s="342" t="s">
        <v>1402</v>
      </c>
      <c r="L165" s="343">
        <v>45199</v>
      </c>
      <c r="M165" s="343">
        <v>44648</v>
      </c>
      <c r="O165" s="342" t="s">
        <v>6037</v>
      </c>
      <c r="P165" s="342" t="s">
        <v>5921</v>
      </c>
      <c r="Q165" s="342">
        <v>6113239429</v>
      </c>
      <c r="R165" s="342">
        <v>9110</v>
      </c>
      <c r="V165" s="342" t="s">
        <v>2099</v>
      </c>
      <c r="W165" s="342">
        <v>90560</v>
      </c>
      <c r="X165" s="342" t="s">
        <v>4076</v>
      </c>
      <c r="Y165" s="343">
        <v>41690</v>
      </c>
      <c r="Z165" s="342" t="s">
        <v>4063</v>
      </c>
      <c r="AA165" s="343">
        <v>44648</v>
      </c>
      <c r="AB165" s="342" t="s">
        <v>4064</v>
      </c>
      <c r="AC165" s="342" t="s">
        <v>4064</v>
      </c>
      <c r="AD165" s="342" t="s">
        <v>4065</v>
      </c>
      <c r="AH165" s="342" t="s">
        <v>4068</v>
      </c>
      <c r="AI165" s="342" t="s">
        <v>4067</v>
      </c>
      <c r="AJ165" s="342" t="s">
        <v>5843</v>
      </c>
      <c r="AK165" s="342">
        <v>17690</v>
      </c>
      <c r="AL165" s="342">
        <v>5561</v>
      </c>
      <c r="AM165" s="342" t="s">
        <v>5588</v>
      </c>
    </row>
    <row r="166" spans="1:40">
      <c r="A166" s="342">
        <v>197643</v>
      </c>
      <c r="B166" s="342" t="s">
        <v>1242</v>
      </c>
      <c r="C166" s="342" t="s">
        <v>1243</v>
      </c>
      <c r="D166" s="342">
        <v>819831</v>
      </c>
      <c r="E166" s="342" t="s">
        <v>336</v>
      </c>
      <c r="F166" s="342" t="s">
        <v>337</v>
      </c>
      <c r="G166" s="342" t="s">
        <v>883</v>
      </c>
      <c r="H166" s="342" t="s">
        <v>591</v>
      </c>
      <c r="I166" s="342" t="s">
        <v>41</v>
      </c>
      <c r="J166" s="342" t="s">
        <v>786</v>
      </c>
      <c r="K166" s="342" t="s">
        <v>1233</v>
      </c>
      <c r="L166" s="343">
        <v>45412</v>
      </c>
      <c r="M166" s="343">
        <v>44319</v>
      </c>
      <c r="O166" s="342" t="s">
        <v>5557</v>
      </c>
      <c r="P166" s="342" t="s">
        <v>5080</v>
      </c>
      <c r="Q166" s="342">
        <v>6129397009</v>
      </c>
      <c r="R166" s="342">
        <v>9110</v>
      </c>
      <c r="V166" s="342" t="s">
        <v>2217</v>
      </c>
      <c r="W166" s="342">
        <v>300289</v>
      </c>
      <c r="X166" s="342" t="s">
        <v>4995</v>
      </c>
      <c r="Y166" s="343">
        <v>40316</v>
      </c>
      <c r="Z166" s="342" t="s">
        <v>4063</v>
      </c>
      <c r="AA166" s="343">
        <v>44319</v>
      </c>
      <c r="AB166" s="342" t="s">
        <v>4064</v>
      </c>
      <c r="AC166" s="342" t="s">
        <v>4064</v>
      </c>
      <c r="AD166" s="342" t="s">
        <v>4065</v>
      </c>
      <c r="AH166" s="342" t="s">
        <v>4069</v>
      </c>
      <c r="AI166" s="342" t="s">
        <v>4067</v>
      </c>
      <c r="AJ166" s="342" t="s">
        <v>5853</v>
      </c>
    </row>
    <row r="167" spans="1:40">
      <c r="A167" s="342">
        <v>197643</v>
      </c>
      <c r="B167" s="342" t="s">
        <v>1242</v>
      </c>
      <c r="C167" s="342" t="s">
        <v>1243</v>
      </c>
      <c r="D167" s="342">
        <v>819831</v>
      </c>
      <c r="E167" s="342" t="s">
        <v>336</v>
      </c>
      <c r="F167" s="342" t="s">
        <v>337</v>
      </c>
      <c r="G167" s="342" t="s">
        <v>883</v>
      </c>
      <c r="H167" s="342" t="s">
        <v>591</v>
      </c>
      <c r="I167" s="342" t="s">
        <v>40</v>
      </c>
      <c r="J167" s="342" t="s">
        <v>786</v>
      </c>
      <c r="K167" s="342" t="s">
        <v>1233</v>
      </c>
      <c r="L167" s="343">
        <v>45290</v>
      </c>
      <c r="M167" s="343">
        <v>44379</v>
      </c>
      <c r="O167" s="342" t="s">
        <v>5557</v>
      </c>
      <c r="P167" s="342" t="s">
        <v>5080</v>
      </c>
      <c r="Q167" s="342">
        <v>6129397009</v>
      </c>
      <c r="R167" s="342">
        <v>9110</v>
      </c>
      <c r="V167" s="342" t="s">
        <v>2099</v>
      </c>
      <c r="W167" s="342">
        <v>300289</v>
      </c>
      <c r="X167" s="342" t="s">
        <v>4995</v>
      </c>
      <c r="Y167" s="343">
        <v>39714</v>
      </c>
      <c r="Z167" s="342" t="s">
        <v>4063</v>
      </c>
      <c r="AA167" s="343">
        <v>44379</v>
      </c>
      <c r="AB167" s="342" t="s">
        <v>4064</v>
      </c>
      <c r="AC167" s="342" t="s">
        <v>4064</v>
      </c>
      <c r="AD167" s="342" t="s">
        <v>4065</v>
      </c>
      <c r="AH167" s="342" t="s">
        <v>4069</v>
      </c>
      <c r="AI167" s="342" t="s">
        <v>4067</v>
      </c>
      <c r="AJ167" s="342" t="s">
        <v>5851</v>
      </c>
    </row>
    <row r="168" spans="1:40">
      <c r="A168" s="342">
        <v>197643</v>
      </c>
      <c r="B168" s="342" t="s">
        <v>1242</v>
      </c>
      <c r="C168" s="342" t="s">
        <v>1243</v>
      </c>
      <c r="D168" s="342">
        <v>819831</v>
      </c>
      <c r="E168" s="342" t="s">
        <v>336</v>
      </c>
      <c r="F168" s="342" t="s">
        <v>337</v>
      </c>
      <c r="G168" s="342" t="s">
        <v>883</v>
      </c>
      <c r="H168" s="342" t="s">
        <v>591</v>
      </c>
      <c r="I168" s="342" t="s">
        <v>685</v>
      </c>
      <c r="J168" s="342" t="s">
        <v>786</v>
      </c>
      <c r="K168" s="342" t="s">
        <v>1233</v>
      </c>
      <c r="L168" s="343">
        <v>45291</v>
      </c>
      <c r="M168" s="343">
        <v>44540</v>
      </c>
      <c r="O168" s="342" t="s">
        <v>5557</v>
      </c>
      <c r="P168" s="342" t="s">
        <v>5080</v>
      </c>
      <c r="Q168" s="342">
        <v>6129397009</v>
      </c>
      <c r="R168" s="342">
        <v>9100</v>
      </c>
      <c r="V168" s="342" t="s">
        <v>2152</v>
      </c>
      <c r="W168" s="342">
        <v>300289</v>
      </c>
      <c r="X168" s="342" t="s">
        <v>4995</v>
      </c>
      <c r="Y168" s="343">
        <v>42522</v>
      </c>
      <c r="Z168" s="342" t="s">
        <v>4063</v>
      </c>
      <c r="AA168" s="343">
        <v>44540</v>
      </c>
      <c r="AB168" s="342" t="s">
        <v>4064</v>
      </c>
      <c r="AC168" s="342" t="s">
        <v>4064</v>
      </c>
      <c r="AD168" s="342" t="s">
        <v>4065</v>
      </c>
      <c r="AH168" s="342" t="s">
        <v>4069</v>
      </c>
      <c r="AI168" s="342" t="s">
        <v>4067</v>
      </c>
      <c r="AJ168" s="342" t="s">
        <v>5851</v>
      </c>
    </row>
    <row r="169" spans="1:40">
      <c r="A169" s="342">
        <v>198164</v>
      </c>
      <c r="B169" s="342" t="s">
        <v>884</v>
      </c>
      <c r="C169" s="342" t="s">
        <v>402</v>
      </c>
      <c r="D169" s="342" t="s">
        <v>885</v>
      </c>
      <c r="E169" s="342" t="s">
        <v>403</v>
      </c>
      <c r="F169" s="342" t="s">
        <v>51</v>
      </c>
      <c r="H169" s="342" t="s">
        <v>591</v>
      </c>
      <c r="I169" s="342" t="s">
        <v>40</v>
      </c>
      <c r="J169" s="342" t="s">
        <v>5282</v>
      </c>
      <c r="K169" s="342" t="s">
        <v>1402</v>
      </c>
      <c r="L169" s="343">
        <v>45473</v>
      </c>
      <c r="M169" s="343">
        <v>44735</v>
      </c>
      <c r="O169" s="342" t="s">
        <v>6038</v>
      </c>
      <c r="P169" s="342" t="s">
        <v>5763</v>
      </c>
      <c r="Q169" s="342">
        <v>6110785400</v>
      </c>
      <c r="R169" s="342">
        <v>9110</v>
      </c>
      <c r="V169" s="342" t="s">
        <v>2099</v>
      </c>
      <c r="W169" s="342">
        <v>229202</v>
      </c>
      <c r="X169" s="342" t="s">
        <v>5340</v>
      </c>
      <c r="Y169" s="343">
        <v>39419</v>
      </c>
      <c r="Z169" s="342" t="s">
        <v>4063</v>
      </c>
      <c r="AA169" s="343">
        <v>44735</v>
      </c>
      <c r="AB169" s="342" t="s">
        <v>4064</v>
      </c>
      <c r="AC169" s="342" t="s">
        <v>4064</v>
      </c>
      <c r="AD169" s="342" t="s">
        <v>4065</v>
      </c>
      <c r="AI169" s="342" t="s">
        <v>4067</v>
      </c>
      <c r="AJ169" s="342" t="s">
        <v>5858</v>
      </c>
    </row>
    <row r="170" spans="1:40">
      <c r="A170" s="342">
        <v>198305</v>
      </c>
      <c r="B170" s="342" t="s">
        <v>886</v>
      </c>
      <c r="C170" s="342" t="s">
        <v>887</v>
      </c>
      <c r="D170" s="342">
        <v>52025</v>
      </c>
      <c r="E170" s="342" t="s">
        <v>656</v>
      </c>
      <c r="F170" s="342" t="s">
        <v>98</v>
      </c>
      <c r="G170" s="342" t="s">
        <v>888</v>
      </c>
      <c r="H170" s="342" t="s">
        <v>591</v>
      </c>
      <c r="I170" s="342" t="s">
        <v>40</v>
      </c>
      <c r="J170" s="342" t="s">
        <v>5449</v>
      </c>
      <c r="K170" s="342" t="s">
        <v>1402</v>
      </c>
      <c r="L170" s="343">
        <v>44985</v>
      </c>
      <c r="M170" s="343">
        <v>43868</v>
      </c>
      <c r="O170" s="342" t="s">
        <v>4785</v>
      </c>
      <c r="P170" s="342" t="s">
        <v>5764</v>
      </c>
      <c r="Q170" s="342">
        <v>6145219200</v>
      </c>
      <c r="R170" s="342">
        <v>9110</v>
      </c>
      <c r="V170" s="342" t="s">
        <v>2099</v>
      </c>
      <c r="W170" s="342">
        <v>70201</v>
      </c>
      <c r="X170" s="342" t="s">
        <v>4141</v>
      </c>
      <c r="Y170" s="343">
        <v>42221</v>
      </c>
      <c r="Z170" s="342" t="s">
        <v>4063</v>
      </c>
      <c r="AA170" s="343">
        <v>43868</v>
      </c>
      <c r="AB170" s="342" t="s">
        <v>4064</v>
      </c>
      <c r="AC170" s="342" t="s">
        <v>4064</v>
      </c>
      <c r="AD170" s="342" t="s">
        <v>4065</v>
      </c>
      <c r="AH170" s="342" t="s">
        <v>4069</v>
      </c>
      <c r="AI170" s="342" t="s">
        <v>4067</v>
      </c>
      <c r="AJ170" s="342" t="s">
        <v>5936</v>
      </c>
      <c r="AK170" s="342">
        <v>17828</v>
      </c>
    </row>
    <row r="171" spans="1:40">
      <c r="A171" s="342">
        <v>198312</v>
      </c>
      <c r="B171" s="342" t="s">
        <v>687</v>
      </c>
      <c r="C171" s="342" t="s">
        <v>688</v>
      </c>
      <c r="D171" s="342" t="s">
        <v>689</v>
      </c>
      <c r="E171" s="342" t="s">
        <v>690</v>
      </c>
      <c r="F171" s="342" t="s">
        <v>45</v>
      </c>
      <c r="G171" s="342" t="s">
        <v>889</v>
      </c>
      <c r="H171" s="342" t="s">
        <v>591</v>
      </c>
      <c r="I171" s="342" t="s">
        <v>40</v>
      </c>
      <c r="J171" s="342" t="s">
        <v>1277</v>
      </c>
      <c r="K171" s="342" t="s">
        <v>5218</v>
      </c>
      <c r="L171" s="343">
        <v>45596</v>
      </c>
      <c r="M171" s="343">
        <v>44510</v>
      </c>
      <c r="O171" s="342" t="s">
        <v>4594</v>
      </c>
      <c r="P171" s="342" t="s">
        <v>5765</v>
      </c>
      <c r="Q171" s="342">
        <v>6120510568</v>
      </c>
      <c r="R171" s="342">
        <v>9110</v>
      </c>
      <c r="V171" s="342" t="s">
        <v>2099</v>
      </c>
      <c r="W171" s="342">
        <v>100360</v>
      </c>
      <c r="X171" s="342" t="s">
        <v>4073</v>
      </c>
      <c r="Y171" s="343">
        <v>42335</v>
      </c>
      <c r="Z171" s="342" t="s">
        <v>4063</v>
      </c>
      <c r="AA171" s="343">
        <v>44510</v>
      </c>
      <c r="AB171" s="342" t="s">
        <v>4064</v>
      </c>
      <c r="AC171" s="342" t="s">
        <v>4064</v>
      </c>
      <c r="AD171" s="342" t="s">
        <v>4065</v>
      </c>
      <c r="AH171" s="342" t="s">
        <v>4069</v>
      </c>
      <c r="AI171" s="342" t="s">
        <v>4067</v>
      </c>
      <c r="AJ171" s="342" t="s">
        <v>6110</v>
      </c>
      <c r="AK171" s="342">
        <v>37231</v>
      </c>
    </row>
    <row r="172" spans="1:40">
      <c r="A172" s="342">
        <v>198342</v>
      </c>
      <c r="B172" s="342" t="s">
        <v>338</v>
      </c>
      <c r="C172" s="342" t="s">
        <v>339</v>
      </c>
      <c r="D172" s="342">
        <v>83646</v>
      </c>
      <c r="E172" s="342" t="s">
        <v>340</v>
      </c>
      <c r="F172" s="342" t="s">
        <v>55</v>
      </c>
      <c r="G172" s="342" t="s">
        <v>890</v>
      </c>
      <c r="H172" s="342" t="s">
        <v>591</v>
      </c>
      <c r="I172" s="342" t="s">
        <v>40</v>
      </c>
      <c r="J172" s="342" t="s">
        <v>5279</v>
      </c>
      <c r="K172" s="342" t="s">
        <v>1402</v>
      </c>
      <c r="L172" s="343">
        <v>45565</v>
      </c>
      <c r="M172" s="343">
        <v>44462</v>
      </c>
      <c r="O172" s="342" t="s">
        <v>4462</v>
      </c>
      <c r="P172" s="342" t="s">
        <v>5766</v>
      </c>
      <c r="Q172" s="342">
        <v>6113885161</v>
      </c>
      <c r="R172" s="342">
        <v>9110</v>
      </c>
      <c r="V172" s="342" t="s">
        <v>2099</v>
      </c>
      <c r="W172" s="342">
        <v>70307</v>
      </c>
      <c r="X172" s="342" t="s">
        <v>5148</v>
      </c>
      <c r="Y172" s="343">
        <v>39419</v>
      </c>
      <c r="Z172" s="342" t="s">
        <v>4063</v>
      </c>
      <c r="AA172" s="343">
        <v>44462</v>
      </c>
      <c r="AB172" s="342" t="s">
        <v>4064</v>
      </c>
      <c r="AC172" s="342" t="s">
        <v>4064</v>
      </c>
      <c r="AD172" s="342" t="s">
        <v>4065</v>
      </c>
      <c r="AH172" s="342" t="s">
        <v>4069</v>
      </c>
      <c r="AI172" s="342" t="s">
        <v>4067</v>
      </c>
      <c r="AJ172" s="342" t="s">
        <v>5934</v>
      </c>
      <c r="AK172" s="342">
        <v>19168</v>
      </c>
    </row>
    <row r="173" spans="1:40">
      <c r="A173" s="342">
        <v>198586</v>
      </c>
      <c r="B173" s="342" t="s">
        <v>341</v>
      </c>
      <c r="C173" s="342" t="s">
        <v>342</v>
      </c>
      <c r="D173" s="342" t="s">
        <v>343</v>
      </c>
      <c r="E173" s="342" t="s">
        <v>226</v>
      </c>
      <c r="F173" s="342" t="s">
        <v>45</v>
      </c>
      <c r="G173" s="342" t="s">
        <v>891</v>
      </c>
      <c r="H173" s="342" t="s">
        <v>591</v>
      </c>
      <c r="I173" s="342" t="s">
        <v>40</v>
      </c>
      <c r="J173" s="342" t="s">
        <v>5279</v>
      </c>
      <c r="K173" s="342" t="s">
        <v>1402</v>
      </c>
      <c r="L173" s="343">
        <v>45473</v>
      </c>
      <c r="M173" s="343">
        <v>44364</v>
      </c>
      <c r="O173" s="342" t="s">
        <v>5293</v>
      </c>
      <c r="P173" s="342" t="s">
        <v>5767</v>
      </c>
      <c r="Q173" s="342">
        <v>6114169381</v>
      </c>
      <c r="R173" s="342">
        <v>9110</v>
      </c>
      <c r="T173" s="342" t="s">
        <v>2030</v>
      </c>
      <c r="V173" s="342" t="s">
        <v>2099</v>
      </c>
      <c r="W173" s="342">
        <v>212127</v>
      </c>
      <c r="X173" s="342" t="s">
        <v>5386</v>
      </c>
      <c r="Y173" s="343">
        <v>39419</v>
      </c>
      <c r="Z173" s="342" t="s">
        <v>4063</v>
      </c>
      <c r="AA173" s="343">
        <v>44364</v>
      </c>
      <c r="AB173" s="342" t="s">
        <v>4064</v>
      </c>
      <c r="AC173" s="342" t="s">
        <v>4064</v>
      </c>
      <c r="AD173" s="342" t="s">
        <v>4065</v>
      </c>
      <c r="AH173" s="342" t="s">
        <v>4142</v>
      </c>
      <c r="AI173" s="342" t="s">
        <v>4067</v>
      </c>
      <c r="AJ173" s="342" t="s">
        <v>5871</v>
      </c>
      <c r="AK173" s="342">
        <v>12749</v>
      </c>
      <c r="AN173" s="342" t="s">
        <v>4143</v>
      </c>
    </row>
    <row r="174" spans="1:40">
      <c r="A174" s="342">
        <v>198587</v>
      </c>
      <c r="B174" s="342" t="s">
        <v>732</v>
      </c>
      <c r="C174" s="342" t="s">
        <v>344</v>
      </c>
      <c r="D174" s="342">
        <v>98903</v>
      </c>
      <c r="E174" s="342" t="s">
        <v>345</v>
      </c>
      <c r="F174" s="342" t="s">
        <v>51</v>
      </c>
      <c r="H174" s="342" t="s">
        <v>591</v>
      </c>
      <c r="I174" s="342" t="s">
        <v>40</v>
      </c>
      <c r="J174" s="342" t="s">
        <v>786</v>
      </c>
      <c r="K174" s="342" t="s">
        <v>1402</v>
      </c>
      <c r="L174" s="343">
        <v>45412</v>
      </c>
      <c r="M174" s="343">
        <v>44316</v>
      </c>
      <c r="O174" s="342" t="s">
        <v>6039</v>
      </c>
      <c r="P174" s="342" t="s">
        <v>5081</v>
      </c>
      <c r="Q174" s="342">
        <v>6114994666</v>
      </c>
      <c r="R174" s="342">
        <v>9110</v>
      </c>
      <c r="V174" s="342" t="s">
        <v>2099</v>
      </c>
      <c r="W174" s="342">
        <v>302590</v>
      </c>
      <c r="X174" s="342" t="s">
        <v>4995</v>
      </c>
      <c r="Y174" s="343">
        <v>40728</v>
      </c>
      <c r="Z174" s="342" t="s">
        <v>4063</v>
      </c>
      <c r="AA174" s="343">
        <v>44316</v>
      </c>
      <c r="AB174" s="342" t="s">
        <v>4064</v>
      </c>
      <c r="AC174" s="342" t="s">
        <v>4064</v>
      </c>
      <c r="AD174" s="342" t="s">
        <v>4065</v>
      </c>
      <c r="AI174" s="342" t="s">
        <v>4067</v>
      </c>
      <c r="AJ174" s="342" t="s">
        <v>5867</v>
      </c>
    </row>
    <row r="175" spans="1:40">
      <c r="A175" s="342">
        <v>198590</v>
      </c>
      <c r="B175" s="342" t="s">
        <v>346</v>
      </c>
      <c r="C175" s="342" t="s">
        <v>629</v>
      </c>
      <c r="D175" s="342" t="s">
        <v>347</v>
      </c>
      <c r="E175" s="342" t="s">
        <v>348</v>
      </c>
      <c r="F175" s="342" t="s">
        <v>45</v>
      </c>
      <c r="G175" s="342" t="s">
        <v>892</v>
      </c>
      <c r="H175" s="342" t="s">
        <v>591</v>
      </c>
      <c r="I175" s="342" t="s">
        <v>40</v>
      </c>
      <c r="J175" s="342" t="s">
        <v>5280</v>
      </c>
      <c r="K175" s="342" t="s">
        <v>1233</v>
      </c>
      <c r="L175" s="343">
        <v>45838</v>
      </c>
      <c r="M175" s="343">
        <v>44742</v>
      </c>
      <c r="O175" s="342" t="s">
        <v>5458</v>
      </c>
      <c r="P175" s="342" t="s">
        <v>5493</v>
      </c>
      <c r="Q175" s="342">
        <v>6111397208</v>
      </c>
      <c r="R175" s="342">
        <v>9110</v>
      </c>
      <c r="V175" s="342" t="s">
        <v>2099</v>
      </c>
      <c r="W175" s="342">
        <v>30047</v>
      </c>
      <c r="X175" s="342" t="s">
        <v>4122</v>
      </c>
      <c r="Y175" s="343">
        <v>40452</v>
      </c>
      <c r="Z175" s="342" t="s">
        <v>4063</v>
      </c>
      <c r="AA175" s="343">
        <v>44742</v>
      </c>
      <c r="AB175" s="342" t="s">
        <v>4064</v>
      </c>
      <c r="AC175" s="342" t="s">
        <v>4064</v>
      </c>
      <c r="AD175" s="342" t="s">
        <v>4065</v>
      </c>
      <c r="AH175" s="342" t="s">
        <v>4069</v>
      </c>
      <c r="AI175" s="342" t="s">
        <v>4067</v>
      </c>
      <c r="AJ175" s="342" t="s">
        <v>5935</v>
      </c>
      <c r="AK175" s="342">
        <v>17894</v>
      </c>
    </row>
    <row r="176" spans="1:40">
      <c r="A176" s="342">
        <v>198697</v>
      </c>
      <c r="B176" s="342" t="s">
        <v>4444</v>
      </c>
      <c r="C176" s="342" t="s">
        <v>4445</v>
      </c>
      <c r="D176" s="342">
        <v>78771</v>
      </c>
      <c r="E176" s="342" t="s">
        <v>4446</v>
      </c>
      <c r="F176" s="342" t="s">
        <v>47</v>
      </c>
      <c r="H176" s="342" t="s">
        <v>591</v>
      </c>
      <c r="I176" s="342" t="s">
        <v>40</v>
      </c>
      <c r="J176" s="342" t="s">
        <v>5280</v>
      </c>
      <c r="K176" s="342" t="s">
        <v>1402</v>
      </c>
      <c r="L176" s="343">
        <v>45473</v>
      </c>
      <c r="M176" s="343">
        <v>44728</v>
      </c>
      <c r="O176" s="342" t="s">
        <v>5558</v>
      </c>
      <c r="P176" s="342" t="s">
        <v>4687</v>
      </c>
      <c r="Q176" s="342">
        <v>6121725048</v>
      </c>
      <c r="R176" s="342">
        <v>9110</v>
      </c>
      <c r="U176" s="342" t="s">
        <v>5406</v>
      </c>
      <c r="V176" s="342" t="s">
        <v>2099</v>
      </c>
      <c r="W176" s="342">
        <v>309262</v>
      </c>
      <c r="X176" s="342" t="s">
        <v>5338</v>
      </c>
      <c r="Y176" s="343">
        <v>44294</v>
      </c>
      <c r="Z176" s="342" t="s">
        <v>4063</v>
      </c>
      <c r="AA176" s="343">
        <v>44728</v>
      </c>
      <c r="AB176" s="342" t="s">
        <v>4064</v>
      </c>
      <c r="AC176" s="342" t="s">
        <v>4064</v>
      </c>
      <c r="AD176" s="342" t="s">
        <v>4065</v>
      </c>
      <c r="AI176" s="342" t="s">
        <v>4067</v>
      </c>
      <c r="AJ176" s="342" t="s">
        <v>5850</v>
      </c>
    </row>
    <row r="177" spans="1:44">
      <c r="A177" s="342">
        <v>198701</v>
      </c>
      <c r="B177" s="342" t="s">
        <v>1475</v>
      </c>
      <c r="C177" s="342" t="s">
        <v>1476</v>
      </c>
      <c r="D177" s="342">
        <v>77550</v>
      </c>
      <c r="E177" s="342" t="s">
        <v>1477</v>
      </c>
      <c r="F177" s="342" t="s">
        <v>47</v>
      </c>
      <c r="H177" s="342" t="s">
        <v>591</v>
      </c>
      <c r="I177" s="342" t="s">
        <v>40</v>
      </c>
      <c r="J177" s="342" t="s">
        <v>5280</v>
      </c>
      <c r="K177" s="342" t="s">
        <v>1402</v>
      </c>
      <c r="L177" s="343">
        <v>45473</v>
      </c>
      <c r="M177" s="343">
        <v>44728</v>
      </c>
      <c r="O177" s="342" t="s">
        <v>5559</v>
      </c>
      <c r="P177" s="342" t="s">
        <v>5768</v>
      </c>
      <c r="Q177" s="342">
        <v>6121725048</v>
      </c>
      <c r="R177" s="342">
        <v>9110</v>
      </c>
      <c r="U177" s="342" t="s">
        <v>2039</v>
      </c>
      <c r="V177" s="342" t="s">
        <v>2099</v>
      </c>
      <c r="W177" s="342">
        <v>301322</v>
      </c>
      <c r="X177" s="342" t="s">
        <v>5338</v>
      </c>
      <c r="Y177" s="343">
        <v>43987</v>
      </c>
      <c r="Z177" s="342" t="s">
        <v>4063</v>
      </c>
      <c r="AA177" s="343">
        <v>44728</v>
      </c>
      <c r="AB177" s="342" t="s">
        <v>4064</v>
      </c>
      <c r="AC177" s="342" t="s">
        <v>4064</v>
      </c>
      <c r="AD177" s="342" t="s">
        <v>4065</v>
      </c>
      <c r="AI177" s="342" t="s">
        <v>4067</v>
      </c>
      <c r="AJ177" s="342" t="s">
        <v>6096</v>
      </c>
      <c r="AR177" s="342" t="s">
        <v>4144</v>
      </c>
    </row>
    <row r="178" spans="1:44">
      <c r="A178" s="342">
        <v>198770</v>
      </c>
      <c r="B178" s="342" t="s">
        <v>893</v>
      </c>
      <c r="C178" s="342" t="s">
        <v>894</v>
      </c>
      <c r="D178" s="342">
        <v>93290</v>
      </c>
      <c r="E178" s="342" t="s">
        <v>895</v>
      </c>
      <c r="F178" s="342" t="s">
        <v>47</v>
      </c>
      <c r="H178" s="342" t="s">
        <v>591</v>
      </c>
      <c r="I178" s="342" t="s">
        <v>749</v>
      </c>
      <c r="J178" s="342" t="s">
        <v>1421</v>
      </c>
      <c r="K178" s="342" t="s">
        <v>1402</v>
      </c>
      <c r="L178" s="343">
        <v>44895</v>
      </c>
      <c r="M178" s="343">
        <v>44519</v>
      </c>
      <c r="Q178" s="342">
        <v>6143646260</v>
      </c>
      <c r="R178" s="342" t="s">
        <v>1580</v>
      </c>
      <c r="S178" s="342" t="s">
        <v>1571</v>
      </c>
      <c r="V178" s="342" t="s">
        <v>4062</v>
      </c>
      <c r="W178" s="342">
        <v>100365</v>
      </c>
      <c r="X178" s="342" t="s">
        <v>4991</v>
      </c>
      <c r="Y178" s="343">
        <v>42521</v>
      </c>
      <c r="Z178" s="342" t="s">
        <v>4063</v>
      </c>
      <c r="AA178" s="343">
        <v>44519</v>
      </c>
      <c r="AB178" s="342" t="s">
        <v>4064</v>
      </c>
      <c r="AC178" s="342" t="s">
        <v>4064</v>
      </c>
      <c r="AD178" s="342" t="s">
        <v>4065</v>
      </c>
      <c r="AH178" s="342" t="s">
        <v>4145</v>
      </c>
      <c r="AI178" s="342" t="s">
        <v>4067</v>
      </c>
      <c r="AJ178" s="342" t="s">
        <v>6111</v>
      </c>
    </row>
    <row r="179" spans="1:44">
      <c r="A179" s="342">
        <v>198967</v>
      </c>
      <c r="B179" s="342" t="s">
        <v>350</v>
      </c>
      <c r="C179" s="342" t="s">
        <v>351</v>
      </c>
      <c r="D179" s="342">
        <v>6041</v>
      </c>
      <c r="E179" s="342" t="s">
        <v>352</v>
      </c>
      <c r="F179" s="342" t="s">
        <v>118</v>
      </c>
      <c r="G179" s="342" t="s">
        <v>896</v>
      </c>
      <c r="H179" s="342" t="s">
        <v>591</v>
      </c>
      <c r="I179" s="342" t="s">
        <v>40</v>
      </c>
      <c r="J179" s="342" t="s">
        <v>1510</v>
      </c>
      <c r="K179" s="342" t="s">
        <v>1402</v>
      </c>
      <c r="L179" s="343">
        <v>45868</v>
      </c>
      <c r="M179" s="343">
        <v>44740</v>
      </c>
      <c r="O179" s="342" t="s">
        <v>4556</v>
      </c>
      <c r="P179" s="342" t="s">
        <v>5769</v>
      </c>
      <c r="Q179" s="342">
        <v>6115831508</v>
      </c>
      <c r="R179" s="342">
        <v>9110</v>
      </c>
      <c r="V179" s="342" t="s">
        <v>2099</v>
      </c>
      <c r="W179" s="342">
        <v>90876</v>
      </c>
      <c r="X179" s="342" t="s">
        <v>4276</v>
      </c>
      <c r="Y179" s="343">
        <v>39419</v>
      </c>
      <c r="Z179" s="342" t="s">
        <v>4063</v>
      </c>
      <c r="AA179" s="343">
        <v>44740</v>
      </c>
      <c r="AB179" s="342" t="s">
        <v>4064</v>
      </c>
      <c r="AC179" s="342" t="s">
        <v>4064</v>
      </c>
      <c r="AD179" s="342" t="s">
        <v>4065</v>
      </c>
      <c r="AH179" s="342" t="s">
        <v>4146</v>
      </c>
      <c r="AI179" s="342" t="s">
        <v>4067</v>
      </c>
      <c r="AJ179" s="342" t="s">
        <v>5858</v>
      </c>
      <c r="AK179" s="342">
        <v>17988</v>
      </c>
      <c r="AL179" s="342">
        <v>5434</v>
      </c>
      <c r="AM179" s="342" t="s">
        <v>5209</v>
      </c>
      <c r="AR179" s="342" t="s">
        <v>4147</v>
      </c>
    </row>
    <row r="180" spans="1:44">
      <c r="A180" s="342">
        <v>199184</v>
      </c>
      <c r="B180" s="342" t="s">
        <v>1227</v>
      </c>
      <c r="C180" s="342" t="s">
        <v>1228</v>
      </c>
      <c r="D180" s="342">
        <v>87800</v>
      </c>
      <c r="E180" s="342" t="s">
        <v>1229</v>
      </c>
      <c r="F180" s="342" t="s">
        <v>47</v>
      </c>
      <c r="G180" s="342" t="s">
        <v>1230</v>
      </c>
      <c r="H180" s="342" t="s">
        <v>591</v>
      </c>
      <c r="I180" s="342" t="s">
        <v>737</v>
      </c>
      <c r="J180" s="342" t="s">
        <v>5280</v>
      </c>
      <c r="K180" s="342" t="s">
        <v>1233</v>
      </c>
      <c r="L180" s="343">
        <v>45716</v>
      </c>
      <c r="M180" s="343">
        <v>44616</v>
      </c>
      <c r="O180" s="342" t="s">
        <v>1231</v>
      </c>
      <c r="P180" s="342" t="s">
        <v>5770</v>
      </c>
      <c r="Q180" s="342">
        <v>6111419500</v>
      </c>
      <c r="R180" s="342" t="s">
        <v>1580</v>
      </c>
      <c r="V180" s="342" t="s">
        <v>4062</v>
      </c>
      <c r="W180" s="342">
        <v>70205</v>
      </c>
      <c r="X180" s="342" t="s">
        <v>4093</v>
      </c>
      <c r="Y180" s="343">
        <v>43378</v>
      </c>
      <c r="Z180" s="342" t="s">
        <v>4063</v>
      </c>
      <c r="AA180" s="343">
        <v>44616</v>
      </c>
      <c r="AB180" s="342" t="s">
        <v>4064</v>
      </c>
      <c r="AC180" s="342" t="s">
        <v>4064</v>
      </c>
      <c r="AD180" s="342" t="s">
        <v>4065</v>
      </c>
      <c r="AH180" s="342" t="s">
        <v>4069</v>
      </c>
      <c r="AI180" s="342" t="s">
        <v>4067</v>
      </c>
      <c r="AJ180" s="342" t="s">
        <v>6112</v>
      </c>
      <c r="AK180" s="342">
        <v>17971</v>
      </c>
      <c r="AM180" s="342" t="s">
        <v>6113</v>
      </c>
    </row>
    <row r="181" spans="1:44">
      <c r="A181" s="342">
        <v>199281</v>
      </c>
      <c r="B181" s="342" t="s">
        <v>5025</v>
      </c>
      <c r="C181" s="342" t="s">
        <v>1129</v>
      </c>
      <c r="D181" s="342">
        <v>17300</v>
      </c>
      <c r="E181" s="342" t="s">
        <v>353</v>
      </c>
      <c r="F181" s="342" t="s">
        <v>47</v>
      </c>
      <c r="G181" s="342" t="s">
        <v>897</v>
      </c>
      <c r="H181" s="342" t="s">
        <v>591</v>
      </c>
      <c r="I181" s="342" t="s">
        <v>40</v>
      </c>
      <c r="J181" s="342" t="s">
        <v>4638</v>
      </c>
      <c r="K181" s="342" t="s">
        <v>1233</v>
      </c>
      <c r="L181" s="343">
        <v>45504</v>
      </c>
      <c r="M181" s="343">
        <v>44404</v>
      </c>
      <c r="O181" s="342" t="s">
        <v>4643</v>
      </c>
      <c r="P181" s="342" t="s">
        <v>6074</v>
      </c>
      <c r="Q181" s="342">
        <v>6114014724</v>
      </c>
      <c r="R181" s="342">
        <v>9110</v>
      </c>
      <c r="V181" s="342" t="s">
        <v>2099</v>
      </c>
      <c r="W181" s="342">
        <v>203409</v>
      </c>
      <c r="X181" s="342" t="s">
        <v>4997</v>
      </c>
      <c r="Y181" s="343">
        <v>39419</v>
      </c>
      <c r="Z181" s="342" t="s">
        <v>4063</v>
      </c>
      <c r="AA181" s="343">
        <v>44404</v>
      </c>
      <c r="AB181" s="342" t="s">
        <v>4064</v>
      </c>
      <c r="AC181" s="342" t="s">
        <v>4064</v>
      </c>
      <c r="AD181" s="342" t="s">
        <v>4065</v>
      </c>
      <c r="AH181" s="342" t="s">
        <v>4069</v>
      </c>
      <c r="AI181" s="342" t="s">
        <v>4067</v>
      </c>
      <c r="AJ181" s="342" t="s">
        <v>5845</v>
      </c>
      <c r="AK181" s="342">
        <v>17929</v>
      </c>
      <c r="AL181" s="342">
        <v>6405</v>
      </c>
      <c r="AM181" s="342" t="s">
        <v>6114</v>
      </c>
      <c r="AR181" s="342" t="s">
        <v>4148</v>
      </c>
    </row>
    <row r="182" spans="1:44">
      <c r="A182" s="342">
        <v>201000</v>
      </c>
      <c r="B182" s="342" t="s">
        <v>354</v>
      </c>
      <c r="C182" s="342" t="s">
        <v>355</v>
      </c>
      <c r="D182" s="342">
        <v>90039</v>
      </c>
      <c r="E182" s="342" t="s">
        <v>356</v>
      </c>
      <c r="F182" s="342" t="s">
        <v>51</v>
      </c>
      <c r="G182" s="342">
        <v>99643</v>
      </c>
      <c r="H182" s="342" t="s">
        <v>591</v>
      </c>
      <c r="I182" s="342" t="s">
        <v>40</v>
      </c>
      <c r="J182" s="342" t="s">
        <v>5279</v>
      </c>
      <c r="K182" s="342" t="s">
        <v>1402</v>
      </c>
      <c r="L182" s="343">
        <v>45291</v>
      </c>
      <c r="M182" s="343">
        <v>44547</v>
      </c>
      <c r="O182" s="342" t="s">
        <v>6040</v>
      </c>
      <c r="P182" s="342" t="s">
        <v>5771</v>
      </c>
      <c r="Q182" s="342">
        <v>6113847206</v>
      </c>
      <c r="R182" s="342">
        <v>9110</v>
      </c>
      <c r="V182" s="342" t="s">
        <v>2099</v>
      </c>
      <c r="W182" s="342">
        <v>302968</v>
      </c>
      <c r="X182" s="342" t="s">
        <v>5386</v>
      </c>
      <c r="Y182" s="343">
        <v>41621</v>
      </c>
      <c r="Z182" s="342" t="s">
        <v>4063</v>
      </c>
      <c r="AA182" s="343">
        <v>44547</v>
      </c>
      <c r="AB182" s="342" t="s">
        <v>4064</v>
      </c>
      <c r="AC182" s="342" t="s">
        <v>4064</v>
      </c>
      <c r="AD182" s="342" t="s">
        <v>4065</v>
      </c>
      <c r="AI182" s="342" t="s">
        <v>4067</v>
      </c>
      <c r="AJ182" s="342" t="s">
        <v>5858</v>
      </c>
    </row>
    <row r="183" spans="1:44">
      <c r="A183" s="342">
        <v>201798</v>
      </c>
      <c r="B183" s="342" t="s">
        <v>357</v>
      </c>
      <c r="C183" s="342" t="s">
        <v>358</v>
      </c>
      <c r="D183" s="342" t="s">
        <v>359</v>
      </c>
      <c r="E183" s="342" t="s">
        <v>360</v>
      </c>
      <c r="F183" s="342" t="s">
        <v>246</v>
      </c>
      <c r="G183" s="342" t="s">
        <v>898</v>
      </c>
      <c r="H183" s="342" t="s">
        <v>591</v>
      </c>
      <c r="I183" s="342" t="s">
        <v>40</v>
      </c>
      <c r="J183" s="342" t="s">
        <v>1277</v>
      </c>
      <c r="K183" s="342" t="s">
        <v>1162</v>
      </c>
      <c r="L183" s="343">
        <v>45138</v>
      </c>
      <c r="M183" s="343">
        <v>44012</v>
      </c>
      <c r="O183" s="342" t="s">
        <v>5677</v>
      </c>
      <c r="P183" s="342" t="s">
        <v>4359</v>
      </c>
      <c r="Q183" s="342">
        <v>6115109667</v>
      </c>
      <c r="R183" s="342">
        <v>9110</v>
      </c>
      <c r="V183" s="342" t="s">
        <v>2099</v>
      </c>
      <c r="W183" s="342">
        <v>30022</v>
      </c>
      <c r="X183" s="342" t="s">
        <v>4125</v>
      </c>
      <c r="Y183" s="343">
        <v>41878</v>
      </c>
      <c r="Z183" s="342" t="s">
        <v>4063</v>
      </c>
      <c r="AA183" s="343">
        <v>44012</v>
      </c>
      <c r="AB183" s="342" t="s">
        <v>4064</v>
      </c>
      <c r="AC183" s="342" t="s">
        <v>4064</v>
      </c>
      <c r="AD183" s="342" t="s">
        <v>4065</v>
      </c>
      <c r="AH183" s="342" t="s">
        <v>4069</v>
      </c>
      <c r="AI183" s="342" t="s">
        <v>4067</v>
      </c>
      <c r="AJ183" s="342" t="s">
        <v>6115</v>
      </c>
      <c r="AK183" s="342">
        <v>18241</v>
      </c>
      <c r="AM183" s="342" t="s">
        <v>5530</v>
      </c>
    </row>
    <row r="184" spans="1:44">
      <c r="A184" s="342">
        <v>202699</v>
      </c>
      <c r="B184" s="342" t="s">
        <v>362</v>
      </c>
      <c r="C184" s="342" t="s">
        <v>899</v>
      </c>
      <c r="D184" s="342">
        <v>94563</v>
      </c>
      <c r="E184" s="342" t="s">
        <v>900</v>
      </c>
      <c r="F184" s="342" t="s">
        <v>47</v>
      </c>
      <c r="G184" s="342" t="s">
        <v>901</v>
      </c>
      <c r="H184" s="342" t="s">
        <v>591</v>
      </c>
      <c r="I184" s="342" t="s">
        <v>737</v>
      </c>
      <c r="J184" s="342" t="s">
        <v>1336</v>
      </c>
      <c r="K184" s="342" t="s">
        <v>1233</v>
      </c>
      <c r="L184" s="343">
        <v>45716</v>
      </c>
      <c r="M184" s="343">
        <v>44616</v>
      </c>
      <c r="O184" s="342" t="s">
        <v>4846</v>
      </c>
      <c r="P184" s="342" t="s">
        <v>4923</v>
      </c>
      <c r="Q184" s="342">
        <v>6111067169</v>
      </c>
      <c r="R184" s="342" t="s">
        <v>1580</v>
      </c>
      <c r="V184" s="342" t="s">
        <v>4062</v>
      </c>
      <c r="W184" s="342">
        <v>70213</v>
      </c>
      <c r="X184" s="342" t="s">
        <v>4112</v>
      </c>
      <c r="Y184" s="343">
        <v>42509</v>
      </c>
      <c r="Z184" s="342" t="s">
        <v>4063</v>
      </c>
      <c r="AA184" s="343">
        <v>44616</v>
      </c>
      <c r="AB184" s="342" t="s">
        <v>4064</v>
      </c>
      <c r="AC184" s="342" t="s">
        <v>4064</v>
      </c>
      <c r="AD184" s="342" t="s">
        <v>4065</v>
      </c>
      <c r="AH184" s="342" t="s">
        <v>4069</v>
      </c>
      <c r="AI184" s="342" t="s">
        <v>4067</v>
      </c>
      <c r="AJ184" s="342" t="s">
        <v>6116</v>
      </c>
      <c r="AK184" s="342">
        <v>18350</v>
      </c>
    </row>
    <row r="185" spans="1:44">
      <c r="A185" s="342">
        <v>202981</v>
      </c>
      <c r="B185" s="342" t="s">
        <v>902</v>
      </c>
      <c r="C185" s="342" t="s">
        <v>363</v>
      </c>
      <c r="D185" s="342">
        <v>31700</v>
      </c>
      <c r="E185" s="342" t="s">
        <v>151</v>
      </c>
      <c r="F185" s="342" t="s">
        <v>47</v>
      </c>
      <c r="G185" s="342" t="s">
        <v>903</v>
      </c>
      <c r="H185" s="342" t="s">
        <v>591</v>
      </c>
      <c r="I185" s="342" t="s">
        <v>40</v>
      </c>
      <c r="J185" s="342" t="s">
        <v>5280</v>
      </c>
      <c r="K185" s="342" t="s">
        <v>1402</v>
      </c>
      <c r="L185" s="343">
        <v>45016</v>
      </c>
      <c r="M185" s="343">
        <v>44280</v>
      </c>
      <c r="O185" s="342" t="s">
        <v>5560</v>
      </c>
      <c r="P185" s="342" t="s">
        <v>5772</v>
      </c>
      <c r="Q185" s="342">
        <v>6113905009</v>
      </c>
      <c r="R185" s="342">
        <v>9110</v>
      </c>
      <c r="V185" s="342" t="s">
        <v>2099</v>
      </c>
      <c r="W185" s="342">
        <v>100376</v>
      </c>
      <c r="X185" s="342" t="s">
        <v>4089</v>
      </c>
      <c r="Y185" s="343">
        <v>39419</v>
      </c>
      <c r="Z185" s="342" t="s">
        <v>4063</v>
      </c>
      <c r="AA185" s="343">
        <v>44280</v>
      </c>
      <c r="AB185" s="342" t="s">
        <v>4064</v>
      </c>
      <c r="AC185" s="342" t="s">
        <v>4064</v>
      </c>
      <c r="AD185" s="342" t="s">
        <v>4065</v>
      </c>
      <c r="AH185" s="342" t="s">
        <v>4069</v>
      </c>
      <c r="AI185" s="342" t="s">
        <v>4067</v>
      </c>
      <c r="AJ185" s="342" t="s">
        <v>5867</v>
      </c>
      <c r="AK185" s="342">
        <v>18381</v>
      </c>
    </row>
    <row r="186" spans="1:44">
      <c r="A186" s="342">
        <v>203035</v>
      </c>
      <c r="B186" s="342" t="s">
        <v>744</v>
      </c>
      <c r="C186" s="342" t="s">
        <v>364</v>
      </c>
      <c r="D186" s="342">
        <v>4041</v>
      </c>
      <c r="E186" s="342" t="s">
        <v>365</v>
      </c>
      <c r="F186" s="342" t="s">
        <v>118</v>
      </c>
      <c r="G186" s="342" t="s">
        <v>904</v>
      </c>
      <c r="H186" s="342" t="s">
        <v>591</v>
      </c>
      <c r="I186" s="342" t="s">
        <v>40</v>
      </c>
      <c r="J186" s="342" t="s">
        <v>5280</v>
      </c>
      <c r="K186" s="342" t="s">
        <v>1233</v>
      </c>
      <c r="L186" s="343">
        <v>45412</v>
      </c>
      <c r="M186" s="343">
        <v>44316</v>
      </c>
      <c r="O186" s="342" t="s">
        <v>4391</v>
      </c>
      <c r="P186" s="342" t="s">
        <v>5773</v>
      </c>
      <c r="Q186" s="342">
        <v>6111624188</v>
      </c>
      <c r="R186" s="342">
        <v>9110</v>
      </c>
      <c r="V186" s="342" t="s">
        <v>2099</v>
      </c>
      <c r="W186" s="342">
        <v>100378</v>
      </c>
      <c r="X186" s="342" t="s">
        <v>4572</v>
      </c>
      <c r="Y186" s="343">
        <v>39822</v>
      </c>
      <c r="Z186" s="342" t="s">
        <v>4063</v>
      </c>
      <c r="AA186" s="343">
        <v>44316</v>
      </c>
      <c r="AB186" s="342" t="s">
        <v>4064</v>
      </c>
      <c r="AC186" s="342" t="s">
        <v>4064</v>
      </c>
      <c r="AD186" s="342" t="s">
        <v>4065</v>
      </c>
      <c r="AH186" s="342" t="s">
        <v>4069</v>
      </c>
      <c r="AI186" s="342" t="s">
        <v>4067</v>
      </c>
      <c r="AJ186" s="342" t="s">
        <v>5853</v>
      </c>
      <c r="AK186" s="342">
        <v>28808</v>
      </c>
    </row>
    <row r="187" spans="1:44">
      <c r="A187" s="342">
        <v>203249</v>
      </c>
      <c r="B187" s="342" t="s">
        <v>366</v>
      </c>
      <c r="C187" s="342" t="s">
        <v>367</v>
      </c>
      <c r="D187" s="342" t="s">
        <v>368</v>
      </c>
      <c r="E187" s="342" t="s">
        <v>369</v>
      </c>
      <c r="F187" s="342" t="s">
        <v>45</v>
      </c>
      <c r="G187" s="342" t="s">
        <v>905</v>
      </c>
      <c r="H187" s="342" t="s">
        <v>591</v>
      </c>
      <c r="I187" s="342" t="s">
        <v>40</v>
      </c>
      <c r="J187" s="342" t="s">
        <v>5281</v>
      </c>
      <c r="K187" s="342" t="s">
        <v>5218</v>
      </c>
      <c r="L187" s="343">
        <v>45443</v>
      </c>
      <c r="M187" s="343">
        <v>44694</v>
      </c>
      <c r="O187" s="342" t="s">
        <v>5418</v>
      </c>
      <c r="P187" s="342" t="s">
        <v>5774</v>
      </c>
      <c r="Q187" s="342">
        <v>6114503280</v>
      </c>
      <c r="R187" s="342">
        <v>9110</v>
      </c>
      <c r="V187" s="342" t="s">
        <v>2099</v>
      </c>
      <c r="W187" s="342">
        <v>70218</v>
      </c>
      <c r="X187" s="342" t="s">
        <v>5358</v>
      </c>
      <c r="Y187" s="343">
        <v>41673</v>
      </c>
      <c r="Z187" s="342" t="s">
        <v>4063</v>
      </c>
      <c r="AA187" s="343">
        <v>44694</v>
      </c>
      <c r="AB187" s="342" t="s">
        <v>4064</v>
      </c>
      <c r="AC187" s="342" t="s">
        <v>4064</v>
      </c>
      <c r="AD187" s="342" t="s">
        <v>4065</v>
      </c>
      <c r="AH187" s="342" t="s">
        <v>4149</v>
      </c>
      <c r="AI187" s="342" t="s">
        <v>4067</v>
      </c>
      <c r="AJ187" s="342" t="s">
        <v>6117</v>
      </c>
      <c r="AK187" s="342">
        <v>22358</v>
      </c>
    </row>
    <row r="188" spans="1:44">
      <c r="A188" s="342">
        <v>203252</v>
      </c>
      <c r="B188" s="342" t="s">
        <v>906</v>
      </c>
      <c r="C188" s="342" t="s">
        <v>370</v>
      </c>
      <c r="D188" s="342" t="s">
        <v>371</v>
      </c>
      <c r="E188" s="342" t="s">
        <v>372</v>
      </c>
      <c r="F188" s="342" t="s">
        <v>51</v>
      </c>
      <c r="G188" s="342">
        <v>98571</v>
      </c>
      <c r="H188" s="342" t="s">
        <v>591</v>
      </c>
      <c r="I188" s="342" t="s">
        <v>40</v>
      </c>
      <c r="J188" s="342" t="s">
        <v>5281</v>
      </c>
      <c r="K188" s="342" t="s">
        <v>5218</v>
      </c>
      <c r="L188" s="343">
        <v>45443</v>
      </c>
      <c r="M188" s="343">
        <v>44694</v>
      </c>
      <c r="O188" s="342" t="s">
        <v>6041</v>
      </c>
      <c r="P188" s="342" t="s">
        <v>5775</v>
      </c>
      <c r="Q188" s="342">
        <v>6115287783</v>
      </c>
      <c r="R188" s="342">
        <v>9110</v>
      </c>
      <c r="V188" s="342" t="s">
        <v>2099</v>
      </c>
      <c r="W188" s="342">
        <v>70217</v>
      </c>
      <c r="X188" s="342" t="s">
        <v>5358</v>
      </c>
      <c r="Y188" s="343">
        <v>39766</v>
      </c>
      <c r="Z188" s="342" t="s">
        <v>4063</v>
      </c>
      <c r="AA188" s="343">
        <v>44694</v>
      </c>
      <c r="AB188" s="342" t="s">
        <v>4064</v>
      </c>
      <c r="AC188" s="342" t="s">
        <v>4064</v>
      </c>
      <c r="AD188" s="342" t="s">
        <v>4065</v>
      </c>
      <c r="AH188" s="342" t="s">
        <v>4069</v>
      </c>
      <c r="AI188" s="342" t="s">
        <v>4067</v>
      </c>
      <c r="AJ188" s="342" t="s">
        <v>6118</v>
      </c>
      <c r="AK188" s="342">
        <v>18428</v>
      </c>
    </row>
    <row r="189" spans="1:44">
      <c r="A189" s="342">
        <v>203617</v>
      </c>
      <c r="B189" s="342" t="s">
        <v>666</v>
      </c>
      <c r="C189" s="342" t="s">
        <v>667</v>
      </c>
      <c r="D189" s="342">
        <v>60110</v>
      </c>
      <c r="E189" s="342" t="s">
        <v>668</v>
      </c>
      <c r="F189" s="342" t="s">
        <v>47</v>
      </c>
      <c r="H189" s="342" t="s">
        <v>591</v>
      </c>
      <c r="I189" s="342" t="s">
        <v>40</v>
      </c>
      <c r="J189" s="342" t="s">
        <v>5283</v>
      </c>
      <c r="K189" s="342" t="s">
        <v>1233</v>
      </c>
      <c r="L189" s="343">
        <v>45230</v>
      </c>
      <c r="M189" s="343">
        <v>44470</v>
      </c>
      <c r="O189" s="342" t="s">
        <v>4601</v>
      </c>
      <c r="P189" s="342" t="s">
        <v>5776</v>
      </c>
      <c r="Q189" s="342">
        <v>6111400467</v>
      </c>
      <c r="R189" s="342">
        <v>9110</v>
      </c>
      <c r="V189" s="342" t="s">
        <v>2099</v>
      </c>
      <c r="W189" s="342">
        <v>300521</v>
      </c>
      <c r="X189" s="342" t="s">
        <v>5178</v>
      </c>
      <c r="Y189" s="343">
        <v>42270</v>
      </c>
      <c r="Z189" s="342" t="s">
        <v>4063</v>
      </c>
      <c r="AA189" s="343">
        <v>44470</v>
      </c>
      <c r="AB189" s="342" t="s">
        <v>4064</v>
      </c>
      <c r="AC189" s="342" t="s">
        <v>4064</v>
      </c>
      <c r="AD189" s="342" t="s">
        <v>4065</v>
      </c>
      <c r="AI189" s="342" t="s">
        <v>4067</v>
      </c>
      <c r="AJ189" s="342" t="s">
        <v>5890</v>
      </c>
    </row>
    <row r="190" spans="1:44">
      <c r="A190" s="342">
        <v>203630</v>
      </c>
      <c r="B190" s="342" t="s">
        <v>1178</v>
      </c>
      <c r="C190" s="342" t="s">
        <v>373</v>
      </c>
      <c r="D190" s="342">
        <v>86101</v>
      </c>
      <c r="E190" s="342" t="s">
        <v>374</v>
      </c>
      <c r="F190" s="342" t="s">
        <v>47</v>
      </c>
      <c r="G190" s="342" t="s">
        <v>375</v>
      </c>
      <c r="H190" s="342" t="s">
        <v>591</v>
      </c>
      <c r="I190" s="342" t="s">
        <v>40</v>
      </c>
      <c r="J190" s="342" t="s">
        <v>5283</v>
      </c>
      <c r="K190" s="342" t="s">
        <v>1233</v>
      </c>
      <c r="L190" s="343">
        <v>45230</v>
      </c>
      <c r="M190" s="343">
        <v>44470</v>
      </c>
      <c r="O190" s="342" t="s">
        <v>5561</v>
      </c>
      <c r="P190" s="342" t="s">
        <v>5777</v>
      </c>
      <c r="Q190" s="342">
        <v>6111481703</v>
      </c>
      <c r="R190" s="342">
        <v>9110</v>
      </c>
      <c r="V190" s="342" t="s">
        <v>2099</v>
      </c>
      <c r="W190" s="342">
        <v>227610</v>
      </c>
      <c r="X190" s="342" t="s">
        <v>4881</v>
      </c>
      <c r="Y190" s="343">
        <v>39419</v>
      </c>
      <c r="Z190" s="342" t="s">
        <v>4063</v>
      </c>
      <c r="AA190" s="343">
        <v>44470</v>
      </c>
      <c r="AB190" s="342" t="s">
        <v>4064</v>
      </c>
      <c r="AC190" s="342" t="s">
        <v>4064</v>
      </c>
      <c r="AD190" s="342" t="s">
        <v>4065</v>
      </c>
      <c r="AH190" s="342" t="s">
        <v>4075</v>
      </c>
      <c r="AI190" s="342" t="s">
        <v>4067</v>
      </c>
      <c r="AJ190" s="342" t="s">
        <v>5884</v>
      </c>
      <c r="AK190" s="342">
        <v>17658</v>
      </c>
    </row>
    <row r="191" spans="1:44">
      <c r="A191" s="342">
        <v>206126</v>
      </c>
      <c r="B191" s="342" t="s">
        <v>1067</v>
      </c>
      <c r="C191" s="342" t="s">
        <v>5536</v>
      </c>
      <c r="D191" s="342" t="s">
        <v>5537</v>
      </c>
      <c r="E191" s="342" t="s">
        <v>348</v>
      </c>
      <c r="F191" s="342" t="s">
        <v>45</v>
      </c>
      <c r="G191" s="342" t="s">
        <v>5538</v>
      </c>
      <c r="H191" s="342" t="s">
        <v>591</v>
      </c>
      <c r="I191" s="342" t="s">
        <v>40</v>
      </c>
      <c r="J191" s="342" t="s">
        <v>1277</v>
      </c>
      <c r="K191" s="342" t="s">
        <v>1402</v>
      </c>
      <c r="L191" s="343">
        <v>45838</v>
      </c>
      <c r="M191" s="343">
        <v>44725</v>
      </c>
      <c r="O191" s="342" t="s">
        <v>5562</v>
      </c>
      <c r="P191" s="342" t="s">
        <v>5778</v>
      </c>
      <c r="Q191" s="342">
        <v>6122236280</v>
      </c>
      <c r="R191" s="342">
        <v>9110</v>
      </c>
      <c r="V191" s="342" t="s">
        <v>2099</v>
      </c>
      <c r="W191" s="342">
        <v>300835</v>
      </c>
      <c r="X191" s="342" t="s">
        <v>4074</v>
      </c>
      <c r="Y191" s="343">
        <v>44725</v>
      </c>
      <c r="Z191" s="342" t="s">
        <v>4063</v>
      </c>
      <c r="AA191" s="343">
        <v>44725</v>
      </c>
      <c r="AB191" s="342" t="s">
        <v>4064</v>
      </c>
      <c r="AC191" s="342" t="s">
        <v>4064</v>
      </c>
      <c r="AD191" s="342" t="s">
        <v>4065</v>
      </c>
      <c r="AH191" s="342" t="s">
        <v>4069</v>
      </c>
      <c r="AI191" s="342" t="s">
        <v>4067</v>
      </c>
      <c r="AJ191" s="342" t="s">
        <v>5882</v>
      </c>
    </row>
    <row r="192" spans="1:44">
      <c r="A192" s="342">
        <v>206359</v>
      </c>
      <c r="B192" s="342" t="s">
        <v>376</v>
      </c>
      <c r="C192" s="342" t="s">
        <v>377</v>
      </c>
      <c r="D192" s="342" t="s">
        <v>378</v>
      </c>
      <c r="E192" s="342" t="s">
        <v>379</v>
      </c>
      <c r="F192" s="342" t="s">
        <v>51</v>
      </c>
      <c r="G192" s="342">
        <v>59501</v>
      </c>
      <c r="H192" s="342" t="s">
        <v>591</v>
      </c>
      <c r="I192" s="342" t="s">
        <v>40</v>
      </c>
      <c r="J192" s="342" t="s">
        <v>1277</v>
      </c>
      <c r="K192" s="342" t="s">
        <v>1233</v>
      </c>
      <c r="L192" s="343">
        <v>45322</v>
      </c>
      <c r="M192" s="343">
        <v>44693</v>
      </c>
      <c r="O192" s="342" t="s">
        <v>6042</v>
      </c>
      <c r="P192" s="342" t="s">
        <v>4573</v>
      </c>
      <c r="Q192" s="342">
        <v>6110770208</v>
      </c>
      <c r="R192" s="342">
        <v>9110</v>
      </c>
      <c r="U192" s="342" t="s">
        <v>4311</v>
      </c>
      <c r="V192" s="342" t="s">
        <v>2099</v>
      </c>
      <c r="W192" s="342">
        <v>303231</v>
      </c>
      <c r="X192" s="342" t="s">
        <v>4990</v>
      </c>
      <c r="Y192" s="343">
        <v>41673</v>
      </c>
      <c r="Z192" s="342" t="s">
        <v>4063</v>
      </c>
      <c r="AA192" s="343">
        <v>44693</v>
      </c>
      <c r="AB192" s="342" t="s">
        <v>4064</v>
      </c>
      <c r="AC192" s="342" t="s">
        <v>4064</v>
      </c>
      <c r="AD192" s="342" t="s">
        <v>4065</v>
      </c>
      <c r="AI192" s="342" t="s">
        <v>4067</v>
      </c>
      <c r="AJ192" s="342" t="s">
        <v>5846</v>
      </c>
    </row>
    <row r="193" spans="1:44">
      <c r="A193" s="342">
        <v>207509</v>
      </c>
      <c r="B193" s="342" t="s">
        <v>382</v>
      </c>
      <c r="C193" s="342" t="s">
        <v>383</v>
      </c>
      <c r="D193" s="342">
        <v>1752</v>
      </c>
      <c r="E193" s="342" t="s">
        <v>4457</v>
      </c>
      <c r="F193" s="342" t="s">
        <v>66</v>
      </c>
      <c r="G193" s="342" t="s">
        <v>907</v>
      </c>
      <c r="H193" s="342" t="s">
        <v>591</v>
      </c>
      <c r="I193" s="342" t="s">
        <v>40</v>
      </c>
      <c r="J193" s="342" t="s">
        <v>5283</v>
      </c>
      <c r="K193" s="342" t="s">
        <v>1233</v>
      </c>
      <c r="L193" s="343">
        <v>45230</v>
      </c>
      <c r="M193" s="343">
        <v>44316</v>
      </c>
      <c r="O193" s="342" t="s">
        <v>5563</v>
      </c>
      <c r="P193" s="342" t="s">
        <v>5779</v>
      </c>
      <c r="Q193" s="342">
        <v>6111860722</v>
      </c>
      <c r="R193" s="342">
        <v>9110</v>
      </c>
      <c r="V193" s="342" t="s">
        <v>2099</v>
      </c>
      <c r="W193" s="342">
        <v>70229</v>
      </c>
      <c r="X193" s="342" t="s">
        <v>5875</v>
      </c>
      <c r="Y193" s="343">
        <v>40788</v>
      </c>
      <c r="Z193" s="342" t="s">
        <v>4063</v>
      </c>
      <c r="AA193" s="343">
        <v>44316</v>
      </c>
      <c r="AB193" s="342" t="s">
        <v>4064</v>
      </c>
      <c r="AC193" s="342" t="s">
        <v>4064</v>
      </c>
      <c r="AD193" s="342" t="s">
        <v>4065</v>
      </c>
      <c r="AH193" s="342" t="s">
        <v>4069</v>
      </c>
      <c r="AI193" s="342" t="s">
        <v>4067</v>
      </c>
      <c r="AJ193" s="342" t="s">
        <v>5862</v>
      </c>
      <c r="AK193" s="342">
        <v>18954</v>
      </c>
    </row>
    <row r="194" spans="1:44">
      <c r="A194" s="342">
        <v>209435</v>
      </c>
      <c r="B194" s="342" t="s">
        <v>384</v>
      </c>
      <c r="C194" s="342" t="s">
        <v>385</v>
      </c>
      <c r="D194" s="342">
        <v>91605</v>
      </c>
      <c r="E194" s="342" t="s">
        <v>386</v>
      </c>
      <c r="F194" s="342" t="s">
        <v>51</v>
      </c>
      <c r="G194" s="342">
        <v>79318</v>
      </c>
      <c r="H194" s="342" t="s">
        <v>591</v>
      </c>
      <c r="I194" s="342" t="s">
        <v>40</v>
      </c>
      <c r="J194" s="342" t="s">
        <v>5283</v>
      </c>
      <c r="K194" s="342" t="s">
        <v>1233</v>
      </c>
      <c r="L194" s="343">
        <v>45230</v>
      </c>
      <c r="M194" s="343">
        <v>44316</v>
      </c>
      <c r="O194" s="342" t="s">
        <v>6043</v>
      </c>
      <c r="P194" s="342" t="s">
        <v>5780</v>
      </c>
      <c r="Q194" s="342">
        <v>6111454808</v>
      </c>
      <c r="R194" s="342">
        <v>9110</v>
      </c>
      <c r="V194" s="342" t="s">
        <v>2099</v>
      </c>
      <c r="W194" s="342">
        <v>304952</v>
      </c>
      <c r="X194" s="342" t="s">
        <v>5388</v>
      </c>
      <c r="Y194" s="343">
        <v>41604</v>
      </c>
      <c r="Z194" s="342" t="s">
        <v>4063</v>
      </c>
      <c r="AA194" s="343">
        <v>44316</v>
      </c>
      <c r="AB194" s="342" t="s">
        <v>4064</v>
      </c>
      <c r="AC194" s="342" t="s">
        <v>4064</v>
      </c>
      <c r="AD194" s="342" t="s">
        <v>4065</v>
      </c>
      <c r="AI194" s="342" t="s">
        <v>4067</v>
      </c>
      <c r="AJ194" s="342" t="s">
        <v>5884</v>
      </c>
    </row>
    <row r="195" spans="1:44">
      <c r="A195" s="342">
        <v>217495</v>
      </c>
      <c r="B195" s="342" t="s">
        <v>600</v>
      </c>
      <c r="C195" s="342" t="s">
        <v>387</v>
      </c>
      <c r="D195" s="342" t="s">
        <v>388</v>
      </c>
      <c r="E195" s="342" t="s">
        <v>601</v>
      </c>
      <c r="F195" s="342" t="s">
        <v>45</v>
      </c>
      <c r="G195" s="342" t="s">
        <v>908</v>
      </c>
      <c r="H195" s="342" t="s">
        <v>591</v>
      </c>
      <c r="I195" s="342" t="s">
        <v>40</v>
      </c>
      <c r="J195" s="342" t="s">
        <v>5279</v>
      </c>
      <c r="K195" s="342" t="s">
        <v>1402</v>
      </c>
      <c r="L195" s="343">
        <v>45291</v>
      </c>
      <c r="M195" s="343">
        <v>44547</v>
      </c>
      <c r="O195" s="342" t="s">
        <v>6044</v>
      </c>
      <c r="P195" s="342" t="s">
        <v>5781</v>
      </c>
      <c r="Q195" s="342">
        <v>6113507148</v>
      </c>
      <c r="R195" s="342">
        <v>9110</v>
      </c>
      <c r="V195" s="342" t="s">
        <v>2099</v>
      </c>
      <c r="W195" s="342">
        <v>211962</v>
      </c>
      <c r="X195" s="342" t="s">
        <v>5971</v>
      </c>
      <c r="Y195" s="343">
        <v>39419</v>
      </c>
      <c r="Z195" s="342" t="s">
        <v>4063</v>
      </c>
      <c r="AA195" s="343">
        <v>44547</v>
      </c>
      <c r="AB195" s="342" t="s">
        <v>4064</v>
      </c>
      <c r="AC195" s="342" t="s">
        <v>4064</v>
      </c>
      <c r="AD195" s="342" t="s">
        <v>4065</v>
      </c>
      <c r="AH195" s="342" t="s">
        <v>4069</v>
      </c>
      <c r="AI195" s="342" t="s">
        <v>4067</v>
      </c>
      <c r="AJ195" s="342" t="s">
        <v>5858</v>
      </c>
      <c r="AK195" s="342">
        <v>18966</v>
      </c>
    </row>
    <row r="196" spans="1:44">
      <c r="A196" s="342">
        <v>217647</v>
      </c>
      <c r="B196" s="342" t="s">
        <v>909</v>
      </c>
      <c r="C196" s="342" t="s">
        <v>1258</v>
      </c>
      <c r="D196" s="342">
        <v>31700</v>
      </c>
      <c r="E196" s="342" t="s">
        <v>68</v>
      </c>
      <c r="F196" s="342" t="s">
        <v>47</v>
      </c>
      <c r="G196" s="342" t="s">
        <v>910</v>
      </c>
      <c r="H196" s="342" t="s">
        <v>591</v>
      </c>
      <c r="I196" s="342" t="s">
        <v>43</v>
      </c>
      <c r="J196" s="342" t="s">
        <v>1336</v>
      </c>
      <c r="K196" s="342" t="s">
        <v>1402</v>
      </c>
      <c r="L196" s="343">
        <v>44957</v>
      </c>
      <c r="M196" s="343">
        <v>44225</v>
      </c>
      <c r="O196" s="342" t="s">
        <v>4855</v>
      </c>
      <c r="P196" s="342" t="s">
        <v>4581</v>
      </c>
      <c r="Q196" s="342">
        <v>6127717966</v>
      </c>
      <c r="R196" s="342">
        <v>9110</v>
      </c>
      <c r="V196" s="342" t="s">
        <v>4130</v>
      </c>
      <c r="W196" s="342">
        <v>228121</v>
      </c>
      <c r="X196" s="342" t="s">
        <v>5410</v>
      </c>
      <c r="Y196" s="343">
        <v>43496</v>
      </c>
      <c r="Z196" s="342" t="s">
        <v>4063</v>
      </c>
      <c r="AA196" s="343">
        <v>44225</v>
      </c>
      <c r="AB196" s="342" t="s">
        <v>4064</v>
      </c>
      <c r="AC196" s="342" t="s">
        <v>4064</v>
      </c>
      <c r="AD196" s="342" t="s">
        <v>4065</v>
      </c>
      <c r="AH196" s="342" t="s">
        <v>4071</v>
      </c>
      <c r="AI196" s="342" t="s">
        <v>4067</v>
      </c>
      <c r="AJ196" s="342" t="s">
        <v>5843</v>
      </c>
    </row>
    <row r="197" spans="1:44">
      <c r="A197" s="342">
        <v>217647</v>
      </c>
      <c r="B197" s="342" t="s">
        <v>909</v>
      </c>
      <c r="C197" s="342" t="s">
        <v>1258</v>
      </c>
      <c r="D197" s="342">
        <v>31700</v>
      </c>
      <c r="E197" s="342" t="s">
        <v>68</v>
      </c>
      <c r="F197" s="342" t="s">
        <v>47</v>
      </c>
      <c r="G197" s="342" t="s">
        <v>910</v>
      </c>
      <c r="H197" s="342" t="s">
        <v>591</v>
      </c>
      <c r="I197" s="342" t="s">
        <v>1100</v>
      </c>
      <c r="J197" s="342" t="s">
        <v>1336</v>
      </c>
      <c r="K197" s="342" t="s">
        <v>1402</v>
      </c>
      <c r="L197" s="343">
        <v>44957</v>
      </c>
      <c r="M197" s="343">
        <v>44225</v>
      </c>
      <c r="O197" s="342" t="s">
        <v>4855</v>
      </c>
      <c r="P197" s="342" t="s">
        <v>4581</v>
      </c>
      <c r="Q197" s="342">
        <v>6127717966</v>
      </c>
      <c r="R197" s="342">
        <v>9100</v>
      </c>
      <c r="V197" s="342" t="s">
        <v>2109</v>
      </c>
      <c r="W197" s="342">
        <v>228121</v>
      </c>
      <c r="X197" s="342" t="s">
        <v>5410</v>
      </c>
      <c r="Y197" s="343">
        <v>39419</v>
      </c>
      <c r="Z197" s="342" t="s">
        <v>4063</v>
      </c>
      <c r="AA197" s="343">
        <v>44225</v>
      </c>
      <c r="AB197" s="342" t="s">
        <v>4064</v>
      </c>
      <c r="AC197" s="342" t="s">
        <v>4064</v>
      </c>
      <c r="AD197" s="342" t="s">
        <v>4065</v>
      </c>
      <c r="AH197" s="342" t="s">
        <v>4071</v>
      </c>
      <c r="AI197" s="342" t="s">
        <v>4067</v>
      </c>
      <c r="AJ197" s="342" t="s">
        <v>5843</v>
      </c>
    </row>
    <row r="198" spans="1:44">
      <c r="A198" s="342">
        <v>217647</v>
      </c>
      <c r="B198" s="342" t="s">
        <v>909</v>
      </c>
      <c r="C198" s="342" t="s">
        <v>1258</v>
      </c>
      <c r="D198" s="342">
        <v>31700</v>
      </c>
      <c r="E198" s="342" t="s">
        <v>68</v>
      </c>
      <c r="F198" s="342" t="s">
        <v>47</v>
      </c>
      <c r="G198" s="342" t="s">
        <v>910</v>
      </c>
      <c r="H198" s="342" t="s">
        <v>591</v>
      </c>
      <c r="I198" s="342" t="s">
        <v>685</v>
      </c>
      <c r="J198" s="342" t="s">
        <v>1336</v>
      </c>
      <c r="K198" s="342" t="s">
        <v>1402</v>
      </c>
      <c r="L198" s="343">
        <v>44957</v>
      </c>
      <c r="M198" s="343">
        <v>44225</v>
      </c>
      <c r="O198" s="342" t="s">
        <v>4855</v>
      </c>
      <c r="P198" s="342" t="s">
        <v>4581</v>
      </c>
      <c r="Q198" s="342">
        <v>6127717966</v>
      </c>
      <c r="R198" s="342">
        <v>9100</v>
      </c>
      <c r="V198" s="342" t="s">
        <v>2152</v>
      </c>
      <c r="W198" s="342">
        <v>228121</v>
      </c>
      <c r="X198" s="342" t="s">
        <v>5410</v>
      </c>
      <c r="Y198" s="343">
        <v>40164</v>
      </c>
      <c r="Z198" s="342" t="s">
        <v>4063</v>
      </c>
      <c r="AA198" s="343">
        <v>44225</v>
      </c>
      <c r="AB198" s="342" t="s">
        <v>4064</v>
      </c>
      <c r="AC198" s="342" t="s">
        <v>4064</v>
      </c>
      <c r="AD198" s="342" t="s">
        <v>4065</v>
      </c>
      <c r="AH198" s="342" t="s">
        <v>4071</v>
      </c>
      <c r="AI198" s="342" t="s">
        <v>4067</v>
      </c>
      <c r="AJ198" s="342" t="s">
        <v>5843</v>
      </c>
    </row>
    <row r="199" spans="1:44">
      <c r="A199" s="342">
        <v>217725</v>
      </c>
      <c r="B199" s="342" t="s">
        <v>389</v>
      </c>
      <c r="C199" s="342" t="s">
        <v>390</v>
      </c>
      <c r="D199" s="342" t="s">
        <v>391</v>
      </c>
      <c r="E199" s="342" t="s">
        <v>226</v>
      </c>
      <c r="F199" s="342" t="s">
        <v>45</v>
      </c>
      <c r="G199" s="342" t="s">
        <v>911</v>
      </c>
      <c r="H199" s="342" t="s">
        <v>591</v>
      </c>
      <c r="I199" s="342" t="s">
        <v>40</v>
      </c>
      <c r="J199" s="342" t="s">
        <v>5282</v>
      </c>
      <c r="K199" s="342" t="s">
        <v>1233</v>
      </c>
      <c r="L199" s="343">
        <v>45412</v>
      </c>
      <c r="M199" s="343">
        <v>44672</v>
      </c>
      <c r="O199" s="342" t="s">
        <v>5564</v>
      </c>
      <c r="P199" s="342" t="s">
        <v>5782</v>
      </c>
      <c r="Q199" s="342">
        <v>6115191060</v>
      </c>
      <c r="R199" s="342">
        <v>9110</v>
      </c>
      <c r="V199" s="342" t="s">
        <v>2099</v>
      </c>
      <c r="W199" s="342">
        <v>70227</v>
      </c>
      <c r="X199" s="342" t="s">
        <v>4128</v>
      </c>
      <c r="Y199" s="343">
        <v>39419</v>
      </c>
      <c r="Z199" s="342" t="s">
        <v>4063</v>
      </c>
      <c r="AA199" s="343">
        <v>44672</v>
      </c>
      <c r="AB199" s="342" t="s">
        <v>4064</v>
      </c>
      <c r="AC199" s="342" t="s">
        <v>4064</v>
      </c>
      <c r="AD199" s="342" t="s">
        <v>4065</v>
      </c>
      <c r="AH199" s="342" t="s">
        <v>4069</v>
      </c>
      <c r="AI199" s="342" t="s">
        <v>4067</v>
      </c>
      <c r="AJ199" s="342" t="s">
        <v>5853</v>
      </c>
      <c r="AK199" s="342">
        <v>15375</v>
      </c>
      <c r="AL199" s="342">
        <v>5918</v>
      </c>
      <c r="AM199" s="342" t="s">
        <v>6119</v>
      </c>
    </row>
    <row r="200" spans="1:44">
      <c r="A200" s="342">
        <v>217762</v>
      </c>
      <c r="B200" s="342" t="s">
        <v>738</v>
      </c>
      <c r="C200" s="342" t="s">
        <v>739</v>
      </c>
      <c r="D200" s="342">
        <v>98034</v>
      </c>
      <c r="E200" s="342" t="s">
        <v>740</v>
      </c>
      <c r="F200" s="342" t="s">
        <v>51</v>
      </c>
      <c r="G200" s="342" t="s">
        <v>912</v>
      </c>
      <c r="H200" s="342" t="s">
        <v>591</v>
      </c>
      <c r="I200" s="342" t="s">
        <v>40</v>
      </c>
      <c r="J200" s="342" t="s">
        <v>4608</v>
      </c>
      <c r="K200" s="342" t="s">
        <v>5218</v>
      </c>
      <c r="L200" s="343">
        <v>45777</v>
      </c>
      <c r="M200" s="343">
        <v>44699</v>
      </c>
      <c r="O200" s="342" t="s">
        <v>6045</v>
      </c>
      <c r="P200" s="342" t="s">
        <v>5783</v>
      </c>
      <c r="Q200" s="342">
        <v>6111147982</v>
      </c>
      <c r="R200" s="342">
        <v>9110</v>
      </c>
      <c r="V200" s="342" t="s">
        <v>2099</v>
      </c>
      <c r="W200" s="342">
        <v>70102</v>
      </c>
      <c r="X200" s="342" t="s">
        <v>5359</v>
      </c>
      <c r="Y200" s="343">
        <v>42501</v>
      </c>
      <c r="Z200" s="342" t="s">
        <v>4063</v>
      </c>
      <c r="AA200" s="343">
        <v>44699</v>
      </c>
      <c r="AB200" s="342" t="s">
        <v>4064</v>
      </c>
      <c r="AC200" s="342" t="s">
        <v>4064</v>
      </c>
      <c r="AD200" s="342" t="s">
        <v>4065</v>
      </c>
      <c r="AH200" s="342" t="s">
        <v>4071</v>
      </c>
      <c r="AI200" s="342" t="s">
        <v>4111</v>
      </c>
      <c r="AJ200" s="342" t="s">
        <v>6103</v>
      </c>
      <c r="AK200" s="342">
        <v>22469</v>
      </c>
    </row>
    <row r="201" spans="1:44">
      <c r="A201" s="342">
        <v>217815</v>
      </c>
      <c r="B201" s="342" t="s">
        <v>670</v>
      </c>
      <c r="C201" s="342" t="s">
        <v>671</v>
      </c>
      <c r="D201" s="342">
        <v>82205</v>
      </c>
      <c r="E201" s="342" t="s">
        <v>88</v>
      </c>
      <c r="F201" s="342" t="s">
        <v>55</v>
      </c>
      <c r="G201" s="342" t="s">
        <v>913</v>
      </c>
      <c r="H201" s="342" t="s">
        <v>591</v>
      </c>
      <c r="I201" s="342" t="s">
        <v>40</v>
      </c>
      <c r="J201" s="342" t="s">
        <v>1510</v>
      </c>
      <c r="K201" s="342" t="s">
        <v>1402</v>
      </c>
      <c r="L201" s="343">
        <v>45260</v>
      </c>
      <c r="M201" s="343">
        <v>44158</v>
      </c>
      <c r="O201" s="342" t="s">
        <v>1428</v>
      </c>
      <c r="P201" s="342" t="s">
        <v>4764</v>
      </c>
      <c r="Q201" s="342">
        <v>6110317386</v>
      </c>
      <c r="R201" s="342">
        <v>9110</v>
      </c>
      <c r="V201" s="342" t="s">
        <v>2099</v>
      </c>
      <c r="W201" s="342">
        <v>200899</v>
      </c>
      <c r="X201" s="342" t="s">
        <v>5883</v>
      </c>
      <c r="Y201" s="343">
        <v>39419</v>
      </c>
      <c r="Z201" s="342" t="s">
        <v>4063</v>
      </c>
      <c r="AA201" s="343">
        <v>44158</v>
      </c>
      <c r="AB201" s="342" t="s">
        <v>4064</v>
      </c>
      <c r="AC201" s="342" t="s">
        <v>4064</v>
      </c>
      <c r="AD201" s="342" t="s">
        <v>4065</v>
      </c>
      <c r="AH201" s="342" t="s">
        <v>4079</v>
      </c>
      <c r="AI201" s="342" t="s">
        <v>4067</v>
      </c>
      <c r="AJ201" s="342" t="s">
        <v>5843</v>
      </c>
      <c r="AK201" s="342">
        <v>34585</v>
      </c>
      <c r="AL201" s="342">
        <v>9014</v>
      </c>
      <c r="AM201" s="342" t="s">
        <v>4863</v>
      </c>
      <c r="AR201" s="342" t="s">
        <v>4151</v>
      </c>
    </row>
    <row r="202" spans="1:44">
      <c r="A202" s="342">
        <v>219523</v>
      </c>
      <c r="B202" s="342" t="s">
        <v>1067</v>
      </c>
      <c r="C202" s="342" t="s">
        <v>392</v>
      </c>
      <c r="D202" s="342" t="s">
        <v>393</v>
      </c>
      <c r="E202" s="342" t="s">
        <v>394</v>
      </c>
      <c r="F202" s="342" t="s">
        <v>45</v>
      </c>
      <c r="G202" s="342" t="s">
        <v>914</v>
      </c>
      <c r="H202" s="342" t="s">
        <v>591</v>
      </c>
      <c r="I202" s="342" t="s">
        <v>40</v>
      </c>
      <c r="J202" s="342" t="s">
        <v>1277</v>
      </c>
      <c r="L202" s="343">
        <v>45107</v>
      </c>
      <c r="M202" s="343">
        <v>44014</v>
      </c>
      <c r="O202" s="342" t="s">
        <v>5346</v>
      </c>
      <c r="P202" s="342" t="s">
        <v>5341</v>
      </c>
      <c r="Q202" s="342">
        <v>6115241046</v>
      </c>
      <c r="R202" s="342">
        <v>9110</v>
      </c>
      <c r="V202" s="342" t="s">
        <v>2099</v>
      </c>
      <c r="W202" s="342">
        <v>60003</v>
      </c>
      <c r="X202" s="342" t="s">
        <v>4125</v>
      </c>
      <c r="Y202" s="343">
        <v>39766</v>
      </c>
      <c r="Z202" s="342" t="s">
        <v>4063</v>
      </c>
      <c r="AA202" s="343">
        <v>44014</v>
      </c>
      <c r="AB202" s="342" t="s">
        <v>4064</v>
      </c>
      <c r="AC202" s="342" t="s">
        <v>4064</v>
      </c>
      <c r="AD202" s="342" t="s">
        <v>4065</v>
      </c>
      <c r="AH202" s="342" t="s">
        <v>4069</v>
      </c>
      <c r="AI202" s="342" t="s">
        <v>4067</v>
      </c>
      <c r="AJ202" s="342" t="s">
        <v>6120</v>
      </c>
      <c r="AK202" s="342">
        <v>18841</v>
      </c>
    </row>
    <row r="203" spans="1:44">
      <c r="A203" s="342">
        <v>219552</v>
      </c>
      <c r="B203" s="342" t="s">
        <v>395</v>
      </c>
      <c r="C203" s="342" t="s">
        <v>396</v>
      </c>
      <c r="D203" s="342">
        <v>90451</v>
      </c>
      <c r="E203" s="342" t="s">
        <v>397</v>
      </c>
      <c r="F203" s="342" t="s">
        <v>55</v>
      </c>
      <c r="G203" s="342" t="s">
        <v>915</v>
      </c>
      <c r="H203" s="342" t="s">
        <v>591</v>
      </c>
      <c r="I203" s="342" t="s">
        <v>40</v>
      </c>
      <c r="J203" s="342" t="s">
        <v>5278</v>
      </c>
      <c r="K203" s="342" t="s">
        <v>1233</v>
      </c>
      <c r="L203" s="343">
        <v>44985</v>
      </c>
      <c r="M203" s="343">
        <v>44250</v>
      </c>
      <c r="O203" s="342" t="s">
        <v>5193</v>
      </c>
      <c r="P203" s="342" t="s">
        <v>5784</v>
      </c>
      <c r="Q203" s="342">
        <v>6111814561</v>
      </c>
      <c r="R203" s="342">
        <v>9110</v>
      </c>
      <c r="V203" s="342" t="s">
        <v>2099</v>
      </c>
      <c r="W203" s="342">
        <v>70288</v>
      </c>
      <c r="X203" s="342" t="s">
        <v>5019</v>
      </c>
      <c r="Y203" s="343">
        <v>39419</v>
      </c>
      <c r="Z203" s="342" t="s">
        <v>4063</v>
      </c>
      <c r="AA203" s="343">
        <v>44250</v>
      </c>
      <c r="AB203" s="342" t="s">
        <v>4064</v>
      </c>
      <c r="AC203" s="342" t="s">
        <v>4064</v>
      </c>
      <c r="AD203" s="342" t="s">
        <v>4065</v>
      </c>
      <c r="AH203" s="342" t="s">
        <v>4069</v>
      </c>
      <c r="AI203" s="342" t="s">
        <v>4067</v>
      </c>
      <c r="AJ203" s="342" t="s">
        <v>5844</v>
      </c>
      <c r="AK203" s="342">
        <v>12668</v>
      </c>
    </row>
    <row r="204" spans="1:44">
      <c r="A204" s="342">
        <v>220816</v>
      </c>
      <c r="B204" s="342" t="s">
        <v>398</v>
      </c>
      <c r="C204" s="342" t="s">
        <v>399</v>
      </c>
      <c r="D204" s="342">
        <v>88161</v>
      </c>
      <c r="E204" s="342" t="s">
        <v>400</v>
      </c>
      <c r="F204" s="342" t="s">
        <v>55</v>
      </c>
      <c r="G204" s="342" t="s">
        <v>401</v>
      </c>
      <c r="H204" s="342" t="s">
        <v>591</v>
      </c>
      <c r="I204" s="342" t="s">
        <v>40</v>
      </c>
      <c r="J204" s="342" t="s">
        <v>5279</v>
      </c>
      <c r="K204" s="342" t="s">
        <v>1233</v>
      </c>
      <c r="L204" s="343">
        <v>45229</v>
      </c>
      <c r="M204" s="343">
        <v>44679</v>
      </c>
      <c r="O204" s="342" t="s">
        <v>5565</v>
      </c>
      <c r="P204" s="342" t="s">
        <v>5785</v>
      </c>
      <c r="Q204" s="342">
        <v>6109648969</v>
      </c>
      <c r="R204" s="342">
        <v>9110</v>
      </c>
      <c r="V204" s="342" t="s">
        <v>2099</v>
      </c>
      <c r="W204" s="342">
        <v>200870</v>
      </c>
      <c r="X204" s="342" t="s">
        <v>4152</v>
      </c>
      <c r="Y204" s="343">
        <v>39419</v>
      </c>
      <c r="Z204" s="342" t="s">
        <v>4063</v>
      </c>
      <c r="AA204" s="343">
        <v>44679</v>
      </c>
      <c r="AB204" s="342" t="s">
        <v>4064</v>
      </c>
      <c r="AC204" s="342" t="s">
        <v>4064</v>
      </c>
      <c r="AD204" s="342" t="s">
        <v>4065</v>
      </c>
      <c r="AH204" s="342" t="s">
        <v>4069</v>
      </c>
      <c r="AI204" s="342" t="s">
        <v>4067</v>
      </c>
      <c r="AJ204" s="342" t="s">
        <v>5879</v>
      </c>
      <c r="AK204" s="342">
        <v>15242</v>
      </c>
      <c r="AM204" s="342" t="s">
        <v>5339</v>
      </c>
      <c r="AR204" s="342" t="s">
        <v>4153</v>
      </c>
    </row>
    <row r="205" spans="1:44">
      <c r="A205" s="342">
        <v>222739</v>
      </c>
      <c r="B205" s="342" t="s">
        <v>916</v>
      </c>
      <c r="C205" s="342" t="s">
        <v>917</v>
      </c>
      <c r="D205" s="342">
        <v>38118</v>
      </c>
      <c r="E205" s="342" t="s">
        <v>918</v>
      </c>
      <c r="F205" s="342" t="s">
        <v>51</v>
      </c>
      <c r="G205" s="342" t="s">
        <v>919</v>
      </c>
      <c r="H205" s="342" t="s">
        <v>591</v>
      </c>
      <c r="I205" s="342" t="s">
        <v>1114</v>
      </c>
      <c r="J205" s="342" t="s">
        <v>4608</v>
      </c>
      <c r="K205" s="342" t="s">
        <v>1402</v>
      </c>
      <c r="L205" s="343">
        <v>44864</v>
      </c>
      <c r="M205" s="343">
        <v>44386</v>
      </c>
      <c r="P205" s="342" t="s">
        <v>2026</v>
      </c>
      <c r="Q205" s="342">
        <v>6115992324</v>
      </c>
      <c r="R205" s="342">
        <v>9120</v>
      </c>
      <c r="V205" s="342" t="s">
        <v>2131</v>
      </c>
      <c r="W205" s="342">
        <v>228941</v>
      </c>
      <c r="X205" s="342" t="s">
        <v>4993</v>
      </c>
      <c r="Y205" s="343">
        <v>43054</v>
      </c>
      <c r="Z205" s="342" t="s">
        <v>4063</v>
      </c>
      <c r="AA205" s="343">
        <v>44386</v>
      </c>
      <c r="AB205" s="342" t="s">
        <v>4064</v>
      </c>
      <c r="AC205" s="342" t="s">
        <v>4064</v>
      </c>
      <c r="AD205" s="342" t="s">
        <v>4065</v>
      </c>
      <c r="AI205" s="342" t="s">
        <v>4067</v>
      </c>
      <c r="AJ205" s="342" t="s">
        <v>5867</v>
      </c>
    </row>
    <row r="206" spans="1:44">
      <c r="A206" s="342">
        <v>224029</v>
      </c>
      <c r="B206" s="342" t="s">
        <v>920</v>
      </c>
      <c r="C206" s="342" t="s">
        <v>921</v>
      </c>
      <c r="D206" s="342">
        <v>33487</v>
      </c>
      <c r="E206" s="342" t="s">
        <v>922</v>
      </c>
      <c r="F206" s="342" t="s">
        <v>51</v>
      </c>
      <c r="G206" s="342" t="s">
        <v>923</v>
      </c>
      <c r="H206" s="342" t="s">
        <v>591</v>
      </c>
      <c r="I206" s="342" t="s">
        <v>1114</v>
      </c>
      <c r="J206" s="342" t="s">
        <v>1288</v>
      </c>
      <c r="K206" s="342" t="s">
        <v>1402</v>
      </c>
      <c r="L206" s="343">
        <v>45077</v>
      </c>
      <c r="M206" s="343">
        <v>44350</v>
      </c>
      <c r="P206" s="342" t="s">
        <v>1545</v>
      </c>
      <c r="Q206" s="342">
        <v>6116481423</v>
      </c>
      <c r="R206" s="342">
        <v>9120</v>
      </c>
      <c r="V206" s="342" t="s">
        <v>2131</v>
      </c>
      <c r="W206" s="342">
        <v>227956</v>
      </c>
      <c r="X206" s="342" t="s">
        <v>4992</v>
      </c>
      <c r="Y206" s="343">
        <v>43054</v>
      </c>
      <c r="Z206" s="342" t="s">
        <v>4063</v>
      </c>
      <c r="AA206" s="343">
        <v>44350</v>
      </c>
      <c r="AB206" s="342" t="s">
        <v>4064</v>
      </c>
      <c r="AC206" s="342" t="s">
        <v>4064</v>
      </c>
      <c r="AD206" s="342" t="s">
        <v>4065</v>
      </c>
      <c r="AI206" s="342" t="s">
        <v>4067</v>
      </c>
      <c r="AJ206" s="342" t="s">
        <v>5871</v>
      </c>
      <c r="AK206" s="342">
        <v>10374</v>
      </c>
    </row>
    <row r="207" spans="1:44">
      <c r="A207" s="342">
        <v>225159</v>
      </c>
      <c r="B207" s="342" t="s">
        <v>404</v>
      </c>
      <c r="C207" s="342" t="s">
        <v>405</v>
      </c>
      <c r="D207" s="342">
        <v>23560</v>
      </c>
      <c r="E207" s="342" t="s">
        <v>406</v>
      </c>
      <c r="F207" s="342" t="s">
        <v>55</v>
      </c>
      <c r="G207" s="342" t="s">
        <v>924</v>
      </c>
      <c r="H207" s="342" t="s">
        <v>591</v>
      </c>
      <c r="I207" s="342" t="s">
        <v>40</v>
      </c>
      <c r="J207" s="342" t="s">
        <v>5282</v>
      </c>
      <c r="K207" s="342" t="s">
        <v>1402</v>
      </c>
      <c r="L207" s="343">
        <v>45382</v>
      </c>
      <c r="M207" s="343">
        <v>44651</v>
      </c>
      <c r="O207" s="342" t="s">
        <v>4757</v>
      </c>
      <c r="P207" s="342" t="s">
        <v>5786</v>
      </c>
      <c r="Q207" s="342">
        <v>6115515345</v>
      </c>
      <c r="R207" s="342">
        <v>9110</v>
      </c>
      <c r="V207" s="342" t="s">
        <v>2099</v>
      </c>
      <c r="W207" s="342">
        <v>206680</v>
      </c>
      <c r="X207" s="342" t="s">
        <v>5066</v>
      </c>
      <c r="Y207" s="343">
        <v>39766</v>
      </c>
      <c r="Z207" s="342" t="s">
        <v>4063</v>
      </c>
      <c r="AA207" s="343">
        <v>44651</v>
      </c>
      <c r="AB207" s="342" t="s">
        <v>4064</v>
      </c>
      <c r="AC207" s="342" t="s">
        <v>4064</v>
      </c>
      <c r="AD207" s="342" t="s">
        <v>4065</v>
      </c>
      <c r="AH207" s="342" t="s">
        <v>4069</v>
      </c>
      <c r="AI207" s="342" t="s">
        <v>4067</v>
      </c>
      <c r="AJ207" s="342" t="s">
        <v>5868</v>
      </c>
      <c r="AK207" s="342">
        <v>12764</v>
      </c>
    </row>
    <row r="208" spans="1:44">
      <c r="A208" s="342">
        <v>225190</v>
      </c>
      <c r="B208" s="342" t="s">
        <v>1253</v>
      </c>
      <c r="C208" s="342" t="s">
        <v>1254</v>
      </c>
      <c r="D208" s="342">
        <v>31024</v>
      </c>
      <c r="E208" s="342" t="s">
        <v>93</v>
      </c>
      <c r="F208" s="342" t="s">
        <v>47</v>
      </c>
      <c r="G208" s="342" t="s">
        <v>925</v>
      </c>
      <c r="H208" s="342" t="s">
        <v>591</v>
      </c>
      <c r="I208" s="342" t="s">
        <v>40</v>
      </c>
      <c r="J208" s="342" t="s">
        <v>5281</v>
      </c>
      <c r="K208" s="342" t="s">
        <v>1233</v>
      </c>
      <c r="L208" s="343">
        <v>45077</v>
      </c>
      <c r="M208" s="343">
        <v>44705</v>
      </c>
      <c r="O208" s="342" t="s">
        <v>4941</v>
      </c>
      <c r="P208" s="342" t="s">
        <v>5730</v>
      </c>
      <c r="Q208" s="342">
        <v>6124471467</v>
      </c>
      <c r="R208" s="342">
        <v>9110</v>
      </c>
      <c r="V208" s="342" t="s">
        <v>2099</v>
      </c>
      <c r="W208" s="342">
        <v>227699</v>
      </c>
      <c r="X208" s="342" t="s">
        <v>5343</v>
      </c>
      <c r="Y208" s="343">
        <v>39419</v>
      </c>
      <c r="Z208" s="342" t="s">
        <v>4063</v>
      </c>
      <c r="AA208" s="343">
        <v>44705</v>
      </c>
      <c r="AB208" s="342" t="s">
        <v>4064</v>
      </c>
      <c r="AC208" s="342" t="s">
        <v>4064</v>
      </c>
      <c r="AD208" s="342" t="s">
        <v>4065</v>
      </c>
      <c r="AH208" s="342" t="s">
        <v>4126</v>
      </c>
      <c r="AI208" s="342" t="s">
        <v>4067</v>
      </c>
      <c r="AJ208" s="342" t="s">
        <v>5856</v>
      </c>
      <c r="AK208" s="342">
        <v>36677</v>
      </c>
    </row>
    <row r="209" spans="1:38">
      <c r="A209" s="342">
        <v>225218</v>
      </c>
      <c r="B209" s="342" t="s">
        <v>1132</v>
      </c>
      <c r="C209" s="342" t="s">
        <v>1195</v>
      </c>
      <c r="D209" s="342" t="s">
        <v>1196</v>
      </c>
      <c r="E209" s="342" t="s">
        <v>422</v>
      </c>
      <c r="F209" s="342" t="s">
        <v>51</v>
      </c>
      <c r="G209" s="342">
        <v>25583</v>
      </c>
      <c r="H209" s="342" t="s">
        <v>591</v>
      </c>
      <c r="I209" s="342" t="s">
        <v>40</v>
      </c>
      <c r="J209" s="342" t="s">
        <v>5283</v>
      </c>
      <c r="K209" s="342" t="s">
        <v>1233</v>
      </c>
      <c r="L209" s="343">
        <v>45688</v>
      </c>
      <c r="M209" s="343">
        <v>44748</v>
      </c>
      <c r="O209" s="342" t="s">
        <v>6046</v>
      </c>
      <c r="P209" s="342" t="s">
        <v>4270</v>
      </c>
      <c r="Q209" s="342">
        <v>6116151164</v>
      </c>
      <c r="R209" s="342">
        <v>9110</v>
      </c>
      <c r="V209" s="342" t="s">
        <v>2099</v>
      </c>
      <c r="W209" s="342">
        <v>307484</v>
      </c>
      <c r="X209" s="342" t="s">
        <v>4073</v>
      </c>
      <c r="Y209" s="343">
        <v>43285</v>
      </c>
      <c r="Z209" s="342" t="s">
        <v>4063</v>
      </c>
      <c r="AA209" s="343">
        <v>44748</v>
      </c>
      <c r="AB209" s="342" t="s">
        <v>4064</v>
      </c>
      <c r="AC209" s="342" t="s">
        <v>4064</v>
      </c>
      <c r="AD209" s="342" t="s">
        <v>4065</v>
      </c>
      <c r="AI209" s="342" t="s">
        <v>4067</v>
      </c>
      <c r="AJ209" s="342" t="s">
        <v>5844</v>
      </c>
    </row>
    <row r="210" spans="1:38">
      <c r="A210" s="342">
        <v>226247</v>
      </c>
      <c r="B210" s="342" t="s">
        <v>926</v>
      </c>
      <c r="C210" s="342" t="s">
        <v>408</v>
      </c>
      <c r="D210" s="342" t="s">
        <v>409</v>
      </c>
      <c r="E210" s="342" t="s">
        <v>410</v>
      </c>
      <c r="F210" s="342" t="s">
        <v>45</v>
      </c>
      <c r="G210" s="342" t="s">
        <v>927</v>
      </c>
      <c r="H210" s="342" t="s">
        <v>591</v>
      </c>
      <c r="I210" s="342" t="s">
        <v>40</v>
      </c>
      <c r="J210" s="342" t="s">
        <v>5280</v>
      </c>
      <c r="K210" s="342" t="s">
        <v>5218</v>
      </c>
      <c r="L210" s="343">
        <v>45382</v>
      </c>
      <c r="M210" s="343">
        <v>44649</v>
      </c>
      <c r="O210" s="342" t="s">
        <v>5366</v>
      </c>
      <c r="P210" s="342" t="s">
        <v>6075</v>
      </c>
      <c r="Q210" s="342">
        <v>6115409707</v>
      </c>
      <c r="R210" s="342">
        <v>9110</v>
      </c>
      <c r="V210" s="342" t="s">
        <v>2099</v>
      </c>
      <c r="W210" s="342">
        <v>100497</v>
      </c>
      <c r="X210" s="342" t="s">
        <v>4082</v>
      </c>
      <c r="Y210" s="343">
        <v>39419</v>
      </c>
      <c r="Z210" s="342" t="s">
        <v>4063</v>
      </c>
      <c r="AA210" s="343">
        <v>44649</v>
      </c>
      <c r="AB210" s="342" t="s">
        <v>4064</v>
      </c>
      <c r="AC210" s="342" t="s">
        <v>4064</v>
      </c>
      <c r="AD210" s="342" t="s">
        <v>4065</v>
      </c>
      <c r="AH210" s="342" t="s">
        <v>4069</v>
      </c>
      <c r="AI210" s="342" t="s">
        <v>4067</v>
      </c>
      <c r="AJ210" s="342" t="s">
        <v>6121</v>
      </c>
      <c r="AK210" s="342">
        <v>36098</v>
      </c>
    </row>
    <row r="211" spans="1:38">
      <c r="A211" s="342">
        <v>226516</v>
      </c>
      <c r="B211" s="342" t="s">
        <v>745</v>
      </c>
      <c r="C211" s="342" t="s">
        <v>783</v>
      </c>
      <c r="D211" s="342">
        <v>78140</v>
      </c>
      <c r="E211" s="342" t="s">
        <v>272</v>
      </c>
      <c r="F211" s="342" t="s">
        <v>47</v>
      </c>
      <c r="G211" s="342" t="s">
        <v>411</v>
      </c>
      <c r="H211" s="342" t="s">
        <v>591</v>
      </c>
      <c r="I211" s="342" t="s">
        <v>40</v>
      </c>
      <c r="J211" s="342" t="s">
        <v>5280</v>
      </c>
      <c r="K211" s="342" t="s">
        <v>1233</v>
      </c>
      <c r="L211" s="343">
        <v>45230</v>
      </c>
      <c r="M211" s="343">
        <v>44319</v>
      </c>
      <c r="O211" s="342" t="s">
        <v>5003</v>
      </c>
      <c r="P211" s="342" t="s">
        <v>5787</v>
      </c>
      <c r="Q211" s="342">
        <v>6135733107</v>
      </c>
      <c r="R211" s="342">
        <v>9110</v>
      </c>
      <c r="T211" s="342" t="s">
        <v>2034</v>
      </c>
      <c r="V211" s="342" t="s">
        <v>2099</v>
      </c>
      <c r="W211" s="342">
        <v>229372</v>
      </c>
      <c r="X211" s="342" t="s">
        <v>5338</v>
      </c>
      <c r="Y211" s="343">
        <v>39419</v>
      </c>
      <c r="Z211" s="342" t="s">
        <v>4063</v>
      </c>
      <c r="AA211" s="343">
        <v>44319</v>
      </c>
      <c r="AB211" s="342" t="s">
        <v>4064</v>
      </c>
      <c r="AC211" s="342" t="s">
        <v>4064</v>
      </c>
      <c r="AD211" s="342" t="s">
        <v>4065</v>
      </c>
      <c r="AH211" s="342" t="s">
        <v>4066</v>
      </c>
      <c r="AI211" s="342" t="s">
        <v>4067</v>
      </c>
      <c r="AJ211" s="342" t="s">
        <v>5851</v>
      </c>
    </row>
    <row r="212" spans="1:38">
      <c r="A212" s="342">
        <v>226917</v>
      </c>
      <c r="B212" s="342" t="s">
        <v>412</v>
      </c>
      <c r="C212" s="342" t="s">
        <v>413</v>
      </c>
      <c r="D212" s="342">
        <v>98052</v>
      </c>
      <c r="E212" s="342" t="s">
        <v>414</v>
      </c>
      <c r="F212" s="342" t="s">
        <v>51</v>
      </c>
      <c r="G212" s="342">
        <v>5617</v>
      </c>
      <c r="H212" s="342" t="s">
        <v>591</v>
      </c>
      <c r="I212" s="342" t="s">
        <v>40</v>
      </c>
      <c r="J212" s="342" t="s">
        <v>5450</v>
      </c>
      <c r="K212" s="342" t="s">
        <v>1233</v>
      </c>
      <c r="L212" s="343">
        <v>45077</v>
      </c>
      <c r="M212" s="343">
        <v>44705</v>
      </c>
      <c r="O212" s="342" t="s">
        <v>6047</v>
      </c>
      <c r="P212" s="342" t="s">
        <v>4776</v>
      </c>
      <c r="Q212" s="342">
        <v>6111630664</v>
      </c>
      <c r="R212" s="342">
        <v>9110</v>
      </c>
      <c r="U212" s="342" t="s">
        <v>2040</v>
      </c>
      <c r="V212" s="342" t="s">
        <v>2099</v>
      </c>
      <c r="W212" s="342">
        <v>305628</v>
      </c>
      <c r="X212" s="342" t="s">
        <v>5524</v>
      </c>
      <c r="Y212" s="343">
        <v>41968</v>
      </c>
      <c r="Z212" s="342" t="s">
        <v>4063</v>
      </c>
      <c r="AA212" s="343">
        <v>44705</v>
      </c>
      <c r="AB212" s="342" t="s">
        <v>4064</v>
      </c>
      <c r="AC212" s="342" t="s">
        <v>4064</v>
      </c>
      <c r="AD212" s="342" t="s">
        <v>4065</v>
      </c>
      <c r="AI212" s="342" t="s">
        <v>4111</v>
      </c>
      <c r="AJ212" s="342" t="s">
        <v>5881</v>
      </c>
    </row>
    <row r="213" spans="1:38">
      <c r="A213" s="342">
        <v>226961</v>
      </c>
      <c r="B213" s="342" t="s">
        <v>4807</v>
      </c>
      <c r="C213" s="342" t="s">
        <v>4756</v>
      </c>
      <c r="D213" s="342">
        <v>44475</v>
      </c>
      <c r="E213" s="342" t="s">
        <v>4808</v>
      </c>
      <c r="F213" s="342" t="s">
        <v>47</v>
      </c>
      <c r="G213" s="342" t="s">
        <v>4809</v>
      </c>
      <c r="H213" s="342" t="s">
        <v>591</v>
      </c>
      <c r="I213" s="342" t="s">
        <v>42</v>
      </c>
      <c r="J213" s="342" t="s">
        <v>1510</v>
      </c>
      <c r="K213" s="342" t="s">
        <v>5218</v>
      </c>
      <c r="L213" s="343">
        <v>45412</v>
      </c>
      <c r="M213" s="343">
        <v>44504</v>
      </c>
      <c r="O213" s="342" t="s">
        <v>4812</v>
      </c>
      <c r="P213" s="342" t="s">
        <v>4817</v>
      </c>
      <c r="Q213" s="342">
        <v>6126484889</v>
      </c>
      <c r="R213" s="342" t="s">
        <v>1581</v>
      </c>
      <c r="V213" s="342" t="s">
        <v>4769</v>
      </c>
      <c r="W213" s="342">
        <v>228197</v>
      </c>
      <c r="X213" s="342" t="s">
        <v>4988</v>
      </c>
      <c r="Y213" s="343">
        <v>44504</v>
      </c>
      <c r="Z213" s="342" t="s">
        <v>4063</v>
      </c>
      <c r="AA213" s="343">
        <v>44504</v>
      </c>
      <c r="AB213" s="342" t="s">
        <v>4064</v>
      </c>
      <c r="AC213" s="342" t="s">
        <v>4064</v>
      </c>
      <c r="AD213" s="342" t="s">
        <v>4065</v>
      </c>
      <c r="AI213" s="342" t="s">
        <v>4067</v>
      </c>
      <c r="AJ213" s="342" t="s">
        <v>6122</v>
      </c>
    </row>
    <row r="214" spans="1:38">
      <c r="A214" s="342">
        <v>227939</v>
      </c>
      <c r="B214" s="342" t="s">
        <v>415</v>
      </c>
      <c r="C214" s="342" t="s">
        <v>5451</v>
      </c>
      <c r="D214" s="342" t="s">
        <v>416</v>
      </c>
      <c r="E214" s="342" t="s">
        <v>195</v>
      </c>
      <c r="F214" s="342" t="s">
        <v>51</v>
      </c>
      <c r="G214" s="342" t="s">
        <v>928</v>
      </c>
      <c r="H214" s="342" t="s">
        <v>591</v>
      </c>
      <c r="I214" s="342" t="s">
        <v>40</v>
      </c>
      <c r="J214" s="342" t="s">
        <v>5283</v>
      </c>
      <c r="K214" s="342" t="s">
        <v>1233</v>
      </c>
      <c r="L214" s="343">
        <v>45412</v>
      </c>
      <c r="M214" s="343">
        <v>44315</v>
      </c>
      <c r="O214" s="342" t="s">
        <v>5294</v>
      </c>
      <c r="P214" s="342" t="s">
        <v>5922</v>
      </c>
      <c r="Q214" s="342">
        <v>6113395402</v>
      </c>
      <c r="R214" s="342">
        <v>9110</v>
      </c>
      <c r="V214" s="342" t="s">
        <v>2099</v>
      </c>
      <c r="W214" s="342">
        <v>70003</v>
      </c>
      <c r="X214" s="342" t="s">
        <v>4154</v>
      </c>
      <c r="Y214" s="343">
        <v>39419</v>
      </c>
      <c r="Z214" s="342" t="s">
        <v>4063</v>
      </c>
      <c r="AA214" s="343">
        <v>44315</v>
      </c>
      <c r="AB214" s="342" t="s">
        <v>4064</v>
      </c>
      <c r="AC214" s="342" t="s">
        <v>4064</v>
      </c>
      <c r="AD214" s="342" t="s">
        <v>4065</v>
      </c>
      <c r="AH214" s="342" t="s">
        <v>4069</v>
      </c>
      <c r="AI214" s="342" t="s">
        <v>4067</v>
      </c>
      <c r="AJ214" s="342" t="s">
        <v>5865</v>
      </c>
      <c r="AK214" s="342">
        <v>34300</v>
      </c>
    </row>
    <row r="215" spans="1:38">
      <c r="A215" s="342">
        <v>228180</v>
      </c>
      <c r="B215" s="342" t="s">
        <v>622</v>
      </c>
      <c r="C215" s="342" t="s">
        <v>623</v>
      </c>
      <c r="D215" s="342">
        <v>31700</v>
      </c>
      <c r="E215" s="342" t="s">
        <v>311</v>
      </c>
      <c r="F215" s="342" t="s">
        <v>47</v>
      </c>
      <c r="G215" s="342" t="s">
        <v>929</v>
      </c>
      <c r="H215" s="342" t="s">
        <v>591</v>
      </c>
      <c r="I215" s="342" t="s">
        <v>40</v>
      </c>
      <c r="J215" s="342" t="s">
        <v>1277</v>
      </c>
      <c r="K215" s="342" t="s">
        <v>5218</v>
      </c>
      <c r="L215" s="343">
        <v>45412</v>
      </c>
      <c r="M215" s="343">
        <v>44665</v>
      </c>
      <c r="O215" s="342" t="s">
        <v>5566</v>
      </c>
      <c r="P215" s="342" t="s">
        <v>5788</v>
      </c>
      <c r="Q215" s="342">
        <v>6126694103</v>
      </c>
      <c r="R215" s="342">
        <v>9110</v>
      </c>
      <c r="V215" s="342" t="s">
        <v>2099</v>
      </c>
      <c r="W215" s="342">
        <v>227901</v>
      </c>
      <c r="X215" s="342" t="s">
        <v>5360</v>
      </c>
      <c r="Y215" s="343">
        <v>39419</v>
      </c>
      <c r="Z215" s="342" t="s">
        <v>4063</v>
      </c>
      <c r="AA215" s="343">
        <v>44665</v>
      </c>
      <c r="AB215" s="342" t="s">
        <v>4064</v>
      </c>
      <c r="AC215" s="342" t="s">
        <v>4064</v>
      </c>
      <c r="AD215" s="342" t="s">
        <v>4065</v>
      </c>
      <c r="AH215" s="342" t="s">
        <v>4120</v>
      </c>
      <c r="AI215" s="342" t="s">
        <v>4067</v>
      </c>
      <c r="AJ215" s="342" t="s">
        <v>6123</v>
      </c>
    </row>
    <row r="216" spans="1:38">
      <c r="A216" s="342">
        <v>228866</v>
      </c>
      <c r="B216" s="342" t="s">
        <v>1262</v>
      </c>
      <c r="C216" s="342" t="s">
        <v>1263</v>
      </c>
      <c r="D216" s="342">
        <v>45373</v>
      </c>
      <c r="E216" s="342" t="s">
        <v>417</v>
      </c>
      <c r="F216" s="342" t="s">
        <v>51</v>
      </c>
      <c r="G216" s="342" t="s">
        <v>1264</v>
      </c>
      <c r="H216" s="342" t="s">
        <v>591</v>
      </c>
      <c r="I216" s="342" t="s">
        <v>737</v>
      </c>
      <c r="J216" s="342" t="s">
        <v>5282</v>
      </c>
      <c r="K216" s="342" t="s">
        <v>1233</v>
      </c>
      <c r="L216" s="343">
        <v>45412</v>
      </c>
      <c r="M216" s="343">
        <v>44672</v>
      </c>
      <c r="P216" s="342" t="s">
        <v>5789</v>
      </c>
      <c r="Q216" s="342">
        <v>6113865563</v>
      </c>
      <c r="R216" s="342" t="s">
        <v>1581</v>
      </c>
      <c r="V216" s="342" t="s">
        <v>4062</v>
      </c>
      <c r="W216" s="342">
        <v>229167</v>
      </c>
      <c r="X216" s="342" t="s">
        <v>4641</v>
      </c>
      <c r="Y216" s="343">
        <v>44069</v>
      </c>
      <c r="Z216" s="342" t="s">
        <v>4063</v>
      </c>
      <c r="AA216" s="343">
        <v>44672</v>
      </c>
      <c r="AB216" s="342" t="s">
        <v>4064</v>
      </c>
      <c r="AC216" s="342" t="s">
        <v>4064</v>
      </c>
      <c r="AD216" s="342" t="s">
        <v>4065</v>
      </c>
      <c r="AH216" s="342" t="s">
        <v>4069</v>
      </c>
      <c r="AI216" s="342" t="s">
        <v>4067</v>
      </c>
      <c r="AJ216" s="342" t="s">
        <v>6124</v>
      </c>
    </row>
    <row r="217" spans="1:38">
      <c r="A217" s="342">
        <v>232717</v>
      </c>
      <c r="B217" s="342" t="s">
        <v>5106</v>
      </c>
      <c r="C217" s="342" t="s">
        <v>5107</v>
      </c>
      <c r="D217" s="342">
        <v>33431</v>
      </c>
      <c r="E217" s="342" t="s">
        <v>922</v>
      </c>
      <c r="F217" s="342" t="s">
        <v>51</v>
      </c>
      <c r="G217" s="342" t="s">
        <v>5108</v>
      </c>
      <c r="H217" s="342" t="s">
        <v>591</v>
      </c>
      <c r="I217" s="342" t="s">
        <v>737</v>
      </c>
      <c r="J217" s="342" t="s">
        <v>786</v>
      </c>
      <c r="K217" s="342" t="s">
        <v>1402</v>
      </c>
      <c r="L217" s="343">
        <v>45716</v>
      </c>
      <c r="M217" s="343">
        <v>44603</v>
      </c>
      <c r="O217" s="342" t="s">
        <v>1070</v>
      </c>
      <c r="P217" s="342" t="s">
        <v>5494</v>
      </c>
      <c r="Q217" s="342">
        <v>6115357367</v>
      </c>
      <c r="R217" s="342">
        <v>9100</v>
      </c>
      <c r="V217" s="342" t="s">
        <v>4062</v>
      </c>
      <c r="W217" s="342">
        <v>226873</v>
      </c>
      <c r="X217" s="342" t="s">
        <v>5119</v>
      </c>
      <c r="Y217" s="343">
        <v>44582</v>
      </c>
      <c r="Z217" s="342" t="s">
        <v>4063</v>
      </c>
      <c r="AA217" s="343">
        <v>44603</v>
      </c>
      <c r="AB217" s="342" t="s">
        <v>4064</v>
      </c>
      <c r="AC217" s="342" t="s">
        <v>4064</v>
      </c>
      <c r="AD217" s="342" t="s">
        <v>4065</v>
      </c>
      <c r="AH217" s="342" t="s">
        <v>4069</v>
      </c>
      <c r="AI217" s="342" t="s">
        <v>4067</v>
      </c>
      <c r="AJ217" s="342" t="s">
        <v>5861</v>
      </c>
      <c r="AK217" s="342">
        <v>37029</v>
      </c>
    </row>
    <row r="218" spans="1:38">
      <c r="A218" s="342">
        <v>235918</v>
      </c>
      <c r="B218" s="342" t="s">
        <v>346</v>
      </c>
      <c r="C218" s="342" t="s">
        <v>420</v>
      </c>
      <c r="D218" s="342" t="s">
        <v>421</v>
      </c>
      <c r="E218" s="342" t="s">
        <v>422</v>
      </c>
      <c r="F218" s="342" t="s">
        <v>51</v>
      </c>
      <c r="G218" s="342">
        <v>35351</v>
      </c>
      <c r="H218" s="342" t="s">
        <v>591</v>
      </c>
      <c r="I218" s="342" t="s">
        <v>40</v>
      </c>
      <c r="J218" s="342" t="s">
        <v>5280</v>
      </c>
      <c r="K218" s="342" t="s">
        <v>1233</v>
      </c>
      <c r="L218" s="343">
        <v>45838</v>
      </c>
      <c r="M218" s="343">
        <v>44742</v>
      </c>
      <c r="O218" s="342" t="s">
        <v>5419</v>
      </c>
      <c r="P218" s="342" t="s">
        <v>5790</v>
      </c>
      <c r="Q218" s="342">
        <v>6113718649</v>
      </c>
      <c r="R218" s="342">
        <v>9110</v>
      </c>
      <c r="V218" s="342" t="s">
        <v>2099</v>
      </c>
      <c r="W218" s="342">
        <v>203550</v>
      </c>
      <c r="X218" s="342" t="s">
        <v>4122</v>
      </c>
      <c r="Y218" s="343">
        <v>41912</v>
      </c>
      <c r="Z218" s="342" t="s">
        <v>4063</v>
      </c>
      <c r="AA218" s="343">
        <v>44742</v>
      </c>
      <c r="AB218" s="342" t="s">
        <v>4064</v>
      </c>
      <c r="AC218" s="342" t="s">
        <v>4064</v>
      </c>
      <c r="AD218" s="342" t="s">
        <v>4065</v>
      </c>
      <c r="AH218" s="342" t="s">
        <v>4069</v>
      </c>
      <c r="AI218" s="342" t="s">
        <v>4067</v>
      </c>
      <c r="AJ218" s="342" t="s">
        <v>6003</v>
      </c>
      <c r="AK218" s="342">
        <v>32283</v>
      </c>
    </row>
    <row r="219" spans="1:38">
      <c r="A219" s="342">
        <v>235978</v>
      </c>
      <c r="B219" s="342" t="s">
        <v>2529</v>
      </c>
      <c r="C219" s="342" t="s">
        <v>423</v>
      </c>
      <c r="D219" s="342" t="s">
        <v>424</v>
      </c>
      <c r="E219" s="342" t="s">
        <v>425</v>
      </c>
      <c r="F219" s="342" t="s">
        <v>51</v>
      </c>
      <c r="G219" s="342">
        <v>29780</v>
      </c>
      <c r="H219" s="342" t="s">
        <v>591</v>
      </c>
      <c r="I219" s="342" t="s">
        <v>40</v>
      </c>
      <c r="J219" s="342" t="s">
        <v>5449</v>
      </c>
      <c r="K219" s="342" t="s">
        <v>1402</v>
      </c>
      <c r="L219" s="343">
        <v>45350</v>
      </c>
      <c r="M219" s="343">
        <v>44434</v>
      </c>
      <c r="O219" s="342" t="s">
        <v>5152</v>
      </c>
      <c r="P219" s="342" t="s">
        <v>5791</v>
      </c>
      <c r="Q219" s="342">
        <v>6111002085</v>
      </c>
      <c r="R219" s="342">
        <v>9110</v>
      </c>
      <c r="S219" s="342" t="s">
        <v>1575</v>
      </c>
      <c r="V219" s="342" t="s">
        <v>2099</v>
      </c>
      <c r="W219" s="342">
        <v>202470</v>
      </c>
      <c r="X219" s="342" t="s">
        <v>4105</v>
      </c>
      <c r="Y219" s="343">
        <v>39419</v>
      </c>
      <c r="Z219" s="342" t="s">
        <v>4063</v>
      </c>
      <c r="AA219" s="343">
        <v>44434</v>
      </c>
      <c r="AB219" s="342" t="s">
        <v>4064</v>
      </c>
      <c r="AC219" s="342" t="s">
        <v>4064</v>
      </c>
      <c r="AD219" s="342" t="s">
        <v>4065</v>
      </c>
      <c r="AH219" s="342" t="s">
        <v>4069</v>
      </c>
      <c r="AI219" s="342" t="s">
        <v>4067</v>
      </c>
      <c r="AJ219" s="342" t="s">
        <v>5854</v>
      </c>
      <c r="AK219" s="342">
        <v>36557</v>
      </c>
    </row>
    <row r="220" spans="1:38">
      <c r="A220" s="342">
        <v>236359</v>
      </c>
      <c r="B220" s="342" t="s">
        <v>426</v>
      </c>
      <c r="C220" s="342" t="s">
        <v>427</v>
      </c>
      <c r="D220" s="342" t="s">
        <v>428</v>
      </c>
      <c r="E220" s="342" t="s">
        <v>429</v>
      </c>
      <c r="F220" s="342" t="s">
        <v>51</v>
      </c>
      <c r="G220" s="342">
        <v>6481</v>
      </c>
      <c r="H220" s="342" t="s">
        <v>591</v>
      </c>
      <c r="I220" s="342" t="s">
        <v>40</v>
      </c>
      <c r="J220" s="342" t="s">
        <v>5278</v>
      </c>
      <c r="K220" s="342" t="s">
        <v>1233</v>
      </c>
      <c r="L220" s="343">
        <v>45076</v>
      </c>
      <c r="M220" s="343">
        <v>44014</v>
      </c>
      <c r="O220" s="342" t="s">
        <v>6048</v>
      </c>
      <c r="P220" s="342" t="s">
        <v>5220</v>
      </c>
      <c r="Q220" s="342">
        <v>6113380080</v>
      </c>
      <c r="R220" s="342">
        <v>9110</v>
      </c>
      <c r="V220" s="342" t="s">
        <v>2099</v>
      </c>
      <c r="W220" s="342">
        <v>100448</v>
      </c>
      <c r="X220" s="342" t="s">
        <v>5387</v>
      </c>
      <c r="Y220" s="343">
        <v>39752</v>
      </c>
      <c r="Z220" s="342" t="s">
        <v>4063</v>
      </c>
      <c r="AA220" s="343">
        <v>44014</v>
      </c>
      <c r="AB220" s="342" t="s">
        <v>4064</v>
      </c>
      <c r="AC220" s="342" t="s">
        <v>4064</v>
      </c>
      <c r="AD220" s="342" t="s">
        <v>4065</v>
      </c>
      <c r="AH220" s="342" t="s">
        <v>4069</v>
      </c>
      <c r="AI220" s="342" t="s">
        <v>4067</v>
      </c>
      <c r="AJ220" s="342" t="s">
        <v>5880</v>
      </c>
      <c r="AK220" s="342">
        <v>15282</v>
      </c>
    </row>
    <row r="221" spans="1:38">
      <c r="A221" s="342">
        <v>239712</v>
      </c>
      <c r="B221" s="342" t="s">
        <v>4335</v>
      </c>
      <c r="C221" s="342" t="s">
        <v>4336</v>
      </c>
      <c r="D221" s="342" t="s">
        <v>4337</v>
      </c>
      <c r="E221" s="342" t="s">
        <v>4338</v>
      </c>
      <c r="F221" s="342" t="s">
        <v>45</v>
      </c>
      <c r="G221" s="342" t="s">
        <v>4339</v>
      </c>
      <c r="H221" s="342" t="s">
        <v>591</v>
      </c>
      <c r="I221" s="342" t="s">
        <v>40</v>
      </c>
      <c r="J221" s="342" t="s">
        <v>5449</v>
      </c>
      <c r="K221" s="342" t="s">
        <v>1402</v>
      </c>
      <c r="L221" s="343">
        <v>45350</v>
      </c>
      <c r="M221" s="343">
        <v>44434</v>
      </c>
      <c r="O221" s="342" t="s">
        <v>4910</v>
      </c>
      <c r="P221" s="342" t="s">
        <v>5792</v>
      </c>
      <c r="Q221" s="342">
        <v>6113700660</v>
      </c>
      <c r="R221" s="342">
        <v>9100</v>
      </c>
      <c r="V221" s="342" t="s">
        <v>2099</v>
      </c>
      <c r="W221" s="342">
        <v>204452</v>
      </c>
      <c r="X221" s="342" t="s">
        <v>5424</v>
      </c>
      <c r="Y221" s="343">
        <v>44239</v>
      </c>
      <c r="Z221" s="342" t="s">
        <v>4063</v>
      </c>
      <c r="AA221" s="343">
        <v>44434</v>
      </c>
      <c r="AB221" s="342" t="s">
        <v>4064</v>
      </c>
      <c r="AC221" s="342" t="s">
        <v>4064</v>
      </c>
      <c r="AD221" s="342" t="s">
        <v>4065</v>
      </c>
      <c r="AH221" s="342" t="s">
        <v>4079</v>
      </c>
      <c r="AI221" s="342" t="s">
        <v>4067</v>
      </c>
      <c r="AJ221" s="342" t="s">
        <v>5854</v>
      </c>
      <c r="AK221" s="342">
        <v>33729</v>
      </c>
    </row>
    <row r="222" spans="1:38">
      <c r="A222" s="342">
        <v>248068</v>
      </c>
      <c r="B222" s="342" t="s">
        <v>4458</v>
      </c>
      <c r="C222" s="342" t="s">
        <v>4459</v>
      </c>
      <c r="D222" s="342" t="s">
        <v>4460</v>
      </c>
      <c r="E222" s="342" t="s">
        <v>418</v>
      </c>
      <c r="F222" s="342" t="s">
        <v>45</v>
      </c>
      <c r="G222" s="342" t="s">
        <v>4461</v>
      </c>
      <c r="H222" s="342" t="s">
        <v>591</v>
      </c>
      <c r="I222" s="342" t="s">
        <v>40</v>
      </c>
      <c r="J222" s="342" t="s">
        <v>5282</v>
      </c>
      <c r="K222" s="342" t="s">
        <v>1402</v>
      </c>
      <c r="L222" s="343">
        <v>45412</v>
      </c>
      <c r="M222" s="343">
        <v>44673</v>
      </c>
      <c r="O222" s="342" t="s">
        <v>5567</v>
      </c>
      <c r="P222" s="342" t="s">
        <v>5793</v>
      </c>
      <c r="Q222" s="342">
        <v>6119548842</v>
      </c>
      <c r="R222" s="342">
        <v>9110</v>
      </c>
      <c r="V222" s="342" t="s">
        <v>2099</v>
      </c>
      <c r="W222" s="342">
        <v>301587</v>
      </c>
      <c r="X222" s="342" t="s">
        <v>5531</v>
      </c>
      <c r="Y222" s="343">
        <v>44308</v>
      </c>
      <c r="Z222" s="342" t="s">
        <v>4063</v>
      </c>
      <c r="AA222" s="343">
        <v>44673</v>
      </c>
      <c r="AB222" s="342" t="s">
        <v>4064</v>
      </c>
      <c r="AC222" s="342" t="s">
        <v>4064</v>
      </c>
      <c r="AD222" s="342" t="s">
        <v>4065</v>
      </c>
      <c r="AI222" s="342" t="s">
        <v>4067</v>
      </c>
      <c r="AJ222" s="342" t="s">
        <v>5854</v>
      </c>
    </row>
    <row r="223" spans="1:38">
      <c r="A223" s="342">
        <v>248123</v>
      </c>
      <c r="B223" s="342" t="s">
        <v>430</v>
      </c>
      <c r="C223" s="342" t="s">
        <v>5978</v>
      </c>
      <c r="D223" s="342" t="s">
        <v>4390</v>
      </c>
      <c r="E223" s="342" t="s">
        <v>140</v>
      </c>
      <c r="F223" s="342" t="s">
        <v>45</v>
      </c>
      <c r="G223" s="342" t="s">
        <v>930</v>
      </c>
      <c r="H223" s="342" t="s">
        <v>591</v>
      </c>
      <c r="I223" s="342" t="s">
        <v>40</v>
      </c>
      <c r="J223" s="342" t="s">
        <v>5283</v>
      </c>
      <c r="K223" s="342" t="s">
        <v>1233</v>
      </c>
      <c r="L223" s="343">
        <v>45230</v>
      </c>
      <c r="M223" s="343">
        <v>44762</v>
      </c>
      <c r="O223" s="342" t="s">
        <v>5260</v>
      </c>
      <c r="P223" s="342" t="s">
        <v>5794</v>
      </c>
      <c r="Q223" s="342">
        <v>6113417380</v>
      </c>
      <c r="R223" s="342">
        <v>9110</v>
      </c>
      <c r="V223" s="342" t="s">
        <v>2099</v>
      </c>
      <c r="W223" s="342">
        <v>30104</v>
      </c>
      <c r="X223" s="342" t="s">
        <v>4997</v>
      </c>
      <c r="Y223" s="343">
        <v>40421</v>
      </c>
      <c r="Z223" s="342" t="s">
        <v>4063</v>
      </c>
      <c r="AA223" s="343">
        <v>44762</v>
      </c>
      <c r="AB223" s="342" t="s">
        <v>4064</v>
      </c>
      <c r="AC223" s="342" t="s">
        <v>4064</v>
      </c>
      <c r="AD223" s="342" t="s">
        <v>4065</v>
      </c>
      <c r="AH223" s="342" t="s">
        <v>4069</v>
      </c>
      <c r="AI223" s="342" t="s">
        <v>4067</v>
      </c>
      <c r="AJ223" s="342" t="s">
        <v>5848</v>
      </c>
      <c r="AK223" s="342">
        <v>12811</v>
      </c>
      <c r="AL223" s="342">
        <v>11043</v>
      </c>
    </row>
    <row r="224" spans="1:38">
      <c r="A224" s="342">
        <v>249210</v>
      </c>
      <c r="B224" s="342" t="s">
        <v>764</v>
      </c>
      <c r="C224" s="342" t="s">
        <v>765</v>
      </c>
      <c r="E224" s="342" t="s">
        <v>766</v>
      </c>
      <c r="F224" s="342" t="s">
        <v>526</v>
      </c>
      <c r="H224" s="342" t="s">
        <v>591</v>
      </c>
      <c r="I224" s="342" t="s">
        <v>40</v>
      </c>
      <c r="J224" s="342" t="s">
        <v>1510</v>
      </c>
      <c r="K224" s="342" t="s">
        <v>1402</v>
      </c>
      <c r="L224" s="343">
        <v>45350</v>
      </c>
      <c r="M224" s="343">
        <v>44424</v>
      </c>
      <c r="O224" s="342" t="s">
        <v>4800</v>
      </c>
      <c r="P224" s="342" t="s">
        <v>5082</v>
      </c>
      <c r="Q224" s="342">
        <v>6145617080</v>
      </c>
      <c r="R224" s="342">
        <v>9110</v>
      </c>
      <c r="V224" s="342" t="s">
        <v>2099</v>
      </c>
      <c r="W224" s="342">
        <v>306625</v>
      </c>
      <c r="X224" s="342" t="s">
        <v>4988</v>
      </c>
      <c r="Y224" s="343">
        <v>42552</v>
      </c>
      <c r="Z224" s="342" t="s">
        <v>4063</v>
      </c>
      <c r="AA224" s="343">
        <v>44424</v>
      </c>
      <c r="AB224" s="342" t="s">
        <v>4064</v>
      </c>
      <c r="AC224" s="342" t="s">
        <v>4064</v>
      </c>
      <c r="AD224" s="342" t="s">
        <v>4065</v>
      </c>
      <c r="AI224" s="342" t="s">
        <v>4067</v>
      </c>
      <c r="AJ224" s="342" t="s">
        <v>6004</v>
      </c>
    </row>
    <row r="225" spans="1:44">
      <c r="A225" s="342">
        <v>249853</v>
      </c>
      <c r="B225" s="342" t="s">
        <v>931</v>
      </c>
      <c r="C225" s="342" t="s">
        <v>1110</v>
      </c>
      <c r="D225" s="342">
        <v>361006</v>
      </c>
      <c r="E225" s="342" t="s">
        <v>488</v>
      </c>
      <c r="F225" s="342" t="s">
        <v>175</v>
      </c>
      <c r="G225" s="342" t="s">
        <v>1111</v>
      </c>
      <c r="H225" s="342" t="s">
        <v>591</v>
      </c>
      <c r="I225" s="342" t="s">
        <v>41</v>
      </c>
      <c r="J225" s="342" t="s">
        <v>1510</v>
      </c>
      <c r="K225" s="342" t="s">
        <v>1402</v>
      </c>
      <c r="L225" s="343">
        <v>45046</v>
      </c>
      <c r="M225" s="343">
        <v>44214</v>
      </c>
      <c r="O225" s="342" t="s">
        <v>5903</v>
      </c>
      <c r="P225" s="342" t="s">
        <v>5952</v>
      </c>
      <c r="Q225" s="342">
        <v>6111621563</v>
      </c>
      <c r="R225" s="342">
        <v>9110</v>
      </c>
      <c r="V225" s="342" t="s">
        <v>2217</v>
      </c>
      <c r="W225" s="342">
        <v>303519</v>
      </c>
      <c r="X225" s="342" t="s">
        <v>4994</v>
      </c>
      <c r="Y225" s="343">
        <v>43074</v>
      </c>
      <c r="Z225" s="342" t="s">
        <v>4063</v>
      </c>
      <c r="AA225" s="343">
        <v>44214</v>
      </c>
      <c r="AB225" s="342" t="s">
        <v>4064</v>
      </c>
      <c r="AC225" s="342" t="s">
        <v>4064</v>
      </c>
      <c r="AD225" s="342" t="s">
        <v>4065</v>
      </c>
      <c r="AI225" s="342" t="s">
        <v>4067</v>
      </c>
      <c r="AJ225" s="342" t="s">
        <v>5871</v>
      </c>
    </row>
    <row r="226" spans="1:44">
      <c r="A226" s="342">
        <v>249853</v>
      </c>
      <c r="B226" s="342" t="s">
        <v>931</v>
      </c>
      <c r="C226" s="342" t="s">
        <v>1110</v>
      </c>
      <c r="D226" s="342">
        <v>361006</v>
      </c>
      <c r="E226" s="342" t="s">
        <v>488</v>
      </c>
      <c r="F226" s="342" t="s">
        <v>175</v>
      </c>
      <c r="G226" s="342" t="s">
        <v>1111</v>
      </c>
      <c r="H226" s="342" t="s">
        <v>591</v>
      </c>
      <c r="I226" s="342" t="s">
        <v>784</v>
      </c>
      <c r="J226" s="342" t="s">
        <v>1336</v>
      </c>
      <c r="K226" s="342" t="s">
        <v>1402</v>
      </c>
      <c r="L226" s="343">
        <v>45046</v>
      </c>
      <c r="M226" s="343">
        <v>44211</v>
      </c>
      <c r="O226" s="342" t="s">
        <v>5903</v>
      </c>
      <c r="P226" s="342" t="s">
        <v>5952</v>
      </c>
      <c r="Q226" s="342">
        <v>6111621563</v>
      </c>
      <c r="R226" s="342">
        <v>9100</v>
      </c>
      <c r="V226" s="342" t="s">
        <v>2233</v>
      </c>
      <c r="W226" s="342">
        <v>303519</v>
      </c>
      <c r="X226" s="342" t="s">
        <v>4994</v>
      </c>
      <c r="Y226" s="343">
        <v>42872</v>
      </c>
      <c r="Z226" s="342" t="s">
        <v>4063</v>
      </c>
      <c r="AA226" s="343">
        <v>44211</v>
      </c>
      <c r="AB226" s="342" t="s">
        <v>4064</v>
      </c>
      <c r="AC226" s="342" t="s">
        <v>4064</v>
      </c>
      <c r="AD226" s="342" t="s">
        <v>4065</v>
      </c>
      <c r="AI226" s="342" t="s">
        <v>4067</v>
      </c>
      <c r="AJ226" s="342" t="s">
        <v>5867</v>
      </c>
    </row>
    <row r="227" spans="1:44">
      <c r="A227" s="342">
        <v>249853</v>
      </c>
      <c r="B227" s="342" t="s">
        <v>931</v>
      </c>
      <c r="C227" s="342" t="s">
        <v>1110</v>
      </c>
      <c r="D227" s="342">
        <v>361006</v>
      </c>
      <c r="E227" s="342" t="s">
        <v>488</v>
      </c>
      <c r="F227" s="342" t="s">
        <v>175</v>
      </c>
      <c r="G227" s="342" t="s">
        <v>1111</v>
      </c>
      <c r="H227" s="342" t="s">
        <v>591</v>
      </c>
      <c r="I227" s="342" t="s">
        <v>787</v>
      </c>
      <c r="J227" s="342" t="s">
        <v>1336</v>
      </c>
      <c r="K227" s="342" t="s">
        <v>1402</v>
      </c>
      <c r="L227" s="343">
        <v>45046</v>
      </c>
      <c r="M227" s="343">
        <v>44214</v>
      </c>
      <c r="O227" s="342" t="s">
        <v>5903</v>
      </c>
      <c r="P227" s="342" t="s">
        <v>5952</v>
      </c>
      <c r="Q227" s="342">
        <v>6111621563</v>
      </c>
      <c r="R227" s="342">
        <v>9110</v>
      </c>
      <c r="V227" s="342" t="s">
        <v>2217</v>
      </c>
      <c r="W227" s="342">
        <v>303519</v>
      </c>
      <c r="X227" s="342" t="s">
        <v>4994</v>
      </c>
      <c r="Y227" s="343">
        <v>43263</v>
      </c>
      <c r="Z227" s="342" t="s">
        <v>4063</v>
      </c>
      <c r="AA227" s="343">
        <v>44214</v>
      </c>
      <c r="AB227" s="342" t="s">
        <v>4064</v>
      </c>
      <c r="AC227" s="342" t="s">
        <v>4064</v>
      </c>
      <c r="AD227" s="342" t="s">
        <v>4065</v>
      </c>
      <c r="AI227" s="342" t="s">
        <v>4067</v>
      </c>
      <c r="AJ227" s="342" t="s">
        <v>5854</v>
      </c>
    </row>
    <row r="228" spans="1:44">
      <c r="A228" s="342">
        <v>250404</v>
      </c>
      <c r="B228" s="342" t="s">
        <v>1115</v>
      </c>
      <c r="C228" s="342" t="s">
        <v>1116</v>
      </c>
      <c r="D228" s="342">
        <v>1510</v>
      </c>
      <c r="E228" s="342" t="s">
        <v>431</v>
      </c>
      <c r="F228" s="342" t="s">
        <v>126</v>
      </c>
      <c r="G228" s="342" t="s">
        <v>932</v>
      </c>
      <c r="H228" s="342" t="s">
        <v>591</v>
      </c>
      <c r="I228" s="342" t="s">
        <v>40</v>
      </c>
      <c r="J228" s="342" t="s">
        <v>1510</v>
      </c>
      <c r="K228" s="342" t="s">
        <v>1402</v>
      </c>
      <c r="L228" s="343">
        <v>45260</v>
      </c>
      <c r="M228" s="343">
        <v>44153</v>
      </c>
      <c r="O228" s="342" t="s">
        <v>4233</v>
      </c>
      <c r="P228" s="342" t="s">
        <v>5795</v>
      </c>
      <c r="Q228" s="342">
        <v>6121381262</v>
      </c>
      <c r="R228" s="342">
        <v>9110</v>
      </c>
      <c r="V228" s="342" t="s">
        <v>2099</v>
      </c>
      <c r="W228" s="342">
        <v>228065</v>
      </c>
      <c r="X228" s="342" t="s">
        <v>5322</v>
      </c>
      <c r="Y228" s="343">
        <v>41729</v>
      </c>
      <c r="Z228" s="342" t="s">
        <v>4063</v>
      </c>
      <c r="AA228" s="343">
        <v>44153</v>
      </c>
      <c r="AB228" s="342" t="s">
        <v>4064</v>
      </c>
      <c r="AC228" s="342" t="s">
        <v>4064</v>
      </c>
      <c r="AD228" s="342" t="s">
        <v>4065</v>
      </c>
      <c r="AH228" s="342" t="s">
        <v>4155</v>
      </c>
      <c r="AI228" s="342" t="s">
        <v>4067</v>
      </c>
      <c r="AJ228" s="342" t="s">
        <v>5842</v>
      </c>
      <c r="AK228" s="342">
        <v>38402</v>
      </c>
      <c r="AR228" s="342" t="s">
        <v>4156</v>
      </c>
    </row>
    <row r="229" spans="1:44">
      <c r="A229" s="342">
        <v>250555</v>
      </c>
      <c r="B229" s="342" t="s">
        <v>933</v>
      </c>
      <c r="C229" s="342" t="s">
        <v>432</v>
      </c>
      <c r="D229" s="342" t="s">
        <v>433</v>
      </c>
      <c r="E229" s="342" t="s">
        <v>419</v>
      </c>
      <c r="F229" s="342" t="s">
        <v>45</v>
      </c>
      <c r="G229" s="342" t="s">
        <v>934</v>
      </c>
      <c r="H229" s="342" t="s">
        <v>591</v>
      </c>
      <c r="I229" s="342" t="s">
        <v>40</v>
      </c>
      <c r="J229" s="342" t="s">
        <v>5281</v>
      </c>
      <c r="K229" s="342" t="s">
        <v>1233</v>
      </c>
      <c r="L229" s="343">
        <v>45077</v>
      </c>
      <c r="M229" s="343">
        <v>44705</v>
      </c>
      <c r="O229" s="342" t="s">
        <v>4888</v>
      </c>
      <c r="P229" s="342" t="s">
        <v>5732</v>
      </c>
      <c r="Q229" s="342">
        <v>6111353129</v>
      </c>
      <c r="R229" s="342">
        <v>9110</v>
      </c>
      <c r="V229" s="342" t="s">
        <v>2099</v>
      </c>
      <c r="W229" s="342">
        <v>229093</v>
      </c>
      <c r="X229" s="342" t="s">
        <v>5343</v>
      </c>
      <c r="Y229" s="343">
        <v>39419</v>
      </c>
      <c r="Z229" s="342" t="s">
        <v>4063</v>
      </c>
      <c r="AA229" s="343">
        <v>44705</v>
      </c>
      <c r="AB229" s="342" t="s">
        <v>4064</v>
      </c>
      <c r="AC229" s="342" t="s">
        <v>4064</v>
      </c>
      <c r="AD229" s="342" t="s">
        <v>4065</v>
      </c>
      <c r="AH229" s="342" t="s">
        <v>4071</v>
      </c>
      <c r="AI229" s="342" t="s">
        <v>4067</v>
      </c>
      <c r="AJ229" s="342" t="s">
        <v>5879</v>
      </c>
    </row>
    <row r="230" spans="1:44">
      <c r="A230" s="342">
        <v>251277</v>
      </c>
      <c r="B230" s="342" t="s">
        <v>435</v>
      </c>
      <c r="C230" s="342" t="s">
        <v>436</v>
      </c>
      <c r="D230" s="342">
        <v>83714</v>
      </c>
      <c r="E230" s="342" t="s">
        <v>437</v>
      </c>
      <c r="F230" s="342" t="s">
        <v>55</v>
      </c>
      <c r="G230" s="342" t="s">
        <v>935</v>
      </c>
      <c r="H230" s="342" t="s">
        <v>591</v>
      </c>
      <c r="I230" s="342" t="s">
        <v>40</v>
      </c>
      <c r="J230" s="342" t="s">
        <v>4638</v>
      </c>
      <c r="K230" s="342" t="s">
        <v>1233</v>
      </c>
      <c r="L230" s="343">
        <v>45199</v>
      </c>
      <c r="M230" s="343">
        <v>44256</v>
      </c>
      <c r="O230" s="342" t="s">
        <v>5153</v>
      </c>
      <c r="P230" s="342" t="s">
        <v>5796</v>
      </c>
      <c r="Q230" s="342">
        <v>6111484069</v>
      </c>
      <c r="R230" s="342">
        <v>9110</v>
      </c>
      <c r="S230" s="342" t="s">
        <v>1575</v>
      </c>
      <c r="V230" s="342" t="s">
        <v>2099</v>
      </c>
      <c r="W230" s="342">
        <v>204151</v>
      </c>
      <c r="X230" s="342" t="s">
        <v>5885</v>
      </c>
      <c r="Y230" s="343">
        <v>39419</v>
      </c>
      <c r="Z230" s="342" t="s">
        <v>4063</v>
      </c>
      <c r="AA230" s="343">
        <v>44256</v>
      </c>
      <c r="AB230" s="342" t="s">
        <v>4064</v>
      </c>
      <c r="AC230" s="342" t="s">
        <v>4064</v>
      </c>
      <c r="AD230" s="342" t="s">
        <v>4065</v>
      </c>
      <c r="AH230" s="342" t="s">
        <v>4069</v>
      </c>
      <c r="AI230" s="342" t="s">
        <v>4067</v>
      </c>
      <c r="AJ230" s="342" t="s">
        <v>5886</v>
      </c>
      <c r="AK230" s="342">
        <v>33807</v>
      </c>
    </row>
    <row r="231" spans="1:44">
      <c r="A231" s="342">
        <v>251321</v>
      </c>
      <c r="B231" s="342" t="s">
        <v>1255</v>
      </c>
      <c r="C231" s="342" t="s">
        <v>741</v>
      </c>
      <c r="D231" s="342">
        <v>92841</v>
      </c>
      <c r="E231" s="342" t="s">
        <v>742</v>
      </c>
      <c r="F231" s="342" t="s">
        <v>51</v>
      </c>
      <c r="G231" s="342" t="s">
        <v>936</v>
      </c>
      <c r="H231" s="342" t="s">
        <v>591</v>
      </c>
      <c r="I231" s="342" t="s">
        <v>40</v>
      </c>
      <c r="J231" s="342" t="s">
        <v>5449</v>
      </c>
      <c r="K231" s="342" t="s">
        <v>1402</v>
      </c>
      <c r="L231" s="343">
        <v>45350</v>
      </c>
      <c r="M231" s="343">
        <v>44434</v>
      </c>
      <c r="O231" s="342" t="s">
        <v>1503</v>
      </c>
      <c r="P231" s="342" t="s">
        <v>5797</v>
      </c>
      <c r="Q231" s="342">
        <v>6116446442</v>
      </c>
      <c r="R231" s="342">
        <v>9110</v>
      </c>
      <c r="V231" s="342" t="s">
        <v>2099</v>
      </c>
      <c r="W231" s="342">
        <v>228593</v>
      </c>
      <c r="X231" s="342" t="s">
        <v>5523</v>
      </c>
      <c r="Y231" s="343">
        <v>40022</v>
      </c>
      <c r="Z231" s="342" t="s">
        <v>4063</v>
      </c>
      <c r="AA231" s="343">
        <v>44434</v>
      </c>
      <c r="AB231" s="342" t="s">
        <v>4064</v>
      </c>
      <c r="AC231" s="342" t="s">
        <v>4064</v>
      </c>
      <c r="AD231" s="342" t="s">
        <v>4065</v>
      </c>
      <c r="AH231" s="342" t="s">
        <v>4079</v>
      </c>
      <c r="AI231" s="342" t="s">
        <v>4067</v>
      </c>
      <c r="AJ231" s="342" t="s">
        <v>5867</v>
      </c>
    </row>
    <row r="232" spans="1:44">
      <c r="A232" s="342">
        <v>251706</v>
      </c>
      <c r="B232" s="342" t="s">
        <v>1083</v>
      </c>
      <c r="C232" s="342" t="s">
        <v>438</v>
      </c>
      <c r="D232" s="342">
        <v>85755</v>
      </c>
      <c r="E232" s="342" t="s">
        <v>439</v>
      </c>
      <c r="F232" s="342" t="s">
        <v>51</v>
      </c>
      <c r="G232" s="342" t="s">
        <v>937</v>
      </c>
      <c r="H232" s="342" t="s">
        <v>591</v>
      </c>
      <c r="I232" s="342" t="s">
        <v>40</v>
      </c>
      <c r="J232" s="342" t="s">
        <v>5283</v>
      </c>
      <c r="K232" s="342" t="s">
        <v>1233</v>
      </c>
      <c r="L232" s="343">
        <v>45230</v>
      </c>
      <c r="M232" s="343">
        <v>44316</v>
      </c>
      <c r="O232" s="342" t="s">
        <v>4313</v>
      </c>
      <c r="P232" s="342" t="s">
        <v>5798</v>
      </c>
      <c r="Q232" s="342">
        <v>6114161680</v>
      </c>
      <c r="R232" s="342">
        <v>9110</v>
      </c>
      <c r="V232" s="342" t="s">
        <v>2099</v>
      </c>
      <c r="W232" s="342">
        <v>222796</v>
      </c>
      <c r="X232" s="342" t="s">
        <v>4523</v>
      </c>
      <c r="Y232" s="343">
        <v>40402</v>
      </c>
      <c r="Z232" s="342" t="s">
        <v>4063</v>
      </c>
      <c r="AA232" s="343">
        <v>44316</v>
      </c>
      <c r="AB232" s="342" t="s">
        <v>4064</v>
      </c>
      <c r="AC232" s="342" t="s">
        <v>4064</v>
      </c>
      <c r="AD232" s="342" t="s">
        <v>4065</v>
      </c>
      <c r="AH232" s="342" t="s">
        <v>4071</v>
      </c>
      <c r="AI232" s="342" t="s">
        <v>4067</v>
      </c>
      <c r="AJ232" s="342" t="s">
        <v>5884</v>
      </c>
      <c r="AK232" s="342">
        <v>34573</v>
      </c>
    </row>
    <row r="233" spans="1:44">
      <c r="A233" s="342">
        <v>251933</v>
      </c>
      <c r="B233" s="342" t="s">
        <v>296</v>
      </c>
      <c r="C233" s="342" t="s">
        <v>440</v>
      </c>
      <c r="D233" s="342" t="s">
        <v>441</v>
      </c>
      <c r="E233" s="342" t="s">
        <v>295</v>
      </c>
      <c r="F233" s="342" t="s">
        <v>51</v>
      </c>
      <c r="G233" s="342" t="s">
        <v>938</v>
      </c>
      <c r="H233" s="342" t="s">
        <v>591</v>
      </c>
      <c r="I233" s="342" t="s">
        <v>40</v>
      </c>
      <c r="J233" s="342" t="s">
        <v>5278</v>
      </c>
      <c r="K233" s="342" t="s">
        <v>1402</v>
      </c>
      <c r="L233" s="343">
        <v>45199</v>
      </c>
      <c r="M233" s="343">
        <v>44648</v>
      </c>
      <c r="O233" s="342" t="s">
        <v>4889</v>
      </c>
      <c r="P233" s="342" t="s">
        <v>5799</v>
      </c>
      <c r="Q233" s="342">
        <v>6122690321</v>
      </c>
      <c r="R233" s="342">
        <v>9110</v>
      </c>
      <c r="V233" s="342" t="s">
        <v>2099</v>
      </c>
      <c r="W233" s="342">
        <v>227908</v>
      </c>
      <c r="X233" s="342" t="s">
        <v>4076</v>
      </c>
      <c r="Y233" s="343">
        <v>41673</v>
      </c>
      <c r="Z233" s="342" t="s">
        <v>4063</v>
      </c>
      <c r="AA233" s="343">
        <v>44648</v>
      </c>
      <c r="AB233" s="342" t="s">
        <v>4064</v>
      </c>
      <c r="AC233" s="342" t="s">
        <v>4064</v>
      </c>
      <c r="AD233" s="342" t="s">
        <v>4065</v>
      </c>
      <c r="AH233" s="342" t="s">
        <v>4084</v>
      </c>
      <c r="AI233" s="342" t="s">
        <v>4067</v>
      </c>
      <c r="AJ233" s="342" t="s">
        <v>5843</v>
      </c>
      <c r="AK233" s="342">
        <v>16454</v>
      </c>
    </row>
    <row r="234" spans="1:44">
      <c r="A234" s="342">
        <v>255340</v>
      </c>
      <c r="B234" s="342" t="s">
        <v>442</v>
      </c>
      <c r="C234" s="342" t="s">
        <v>443</v>
      </c>
      <c r="D234" s="342">
        <v>97999</v>
      </c>
      <c r="E234" s="342" t="s">
        <v>444</v>
      </c>
      <c r="F234" s="342" t="s">
        <v>55</v>
      </c>
      <c r="G234" s="342" t="s">
        <v>445</v>
      </c>
      <c r="H234" s="342" t="s">
        <v>591</v>
      </c>
      <c r="I234" s="342" t="s">
        <v>40</v>
      </c>
      <c r="J234" s="342" t="s">
        <v>5280</v>
      </c>
      <c r="K234" s="342" t="s">
        <v>1402</v>
      </c>
      <c r="L234" s="343">
        <v>45838</v>
      </c>
      <c r="M234" s="343">
        <v>44726</v>
      </c>
      <c r="O234" s="342" t="s">
        <v>5459</v>
      </c>
      <c r="P234" s="342" t="s">
        <v>4818</v>
      </c>
      <c r="Q234" s="342">
        <v>6121016126</v>
      </c>
      <c r="R234" s="342">
        <v>9110</v>
      </c>
      <c r="S234" s="342" t="s">
        <v>1575</v>
      </c>
      <c r="V234" s="342" t="s">
        <v>2099</v>
      </c>
      <c r="W234" s="342">
        <v>228383</v>
      </c>
      <c r="X234" s="342" t="s">
        <v>5338</v>
      </c>
      <c r="Y234" s="343">
        <v>40687</v>
      </c>
      <c r="Z234" s="342" t="s">
        <v>4063</v>
      </c>
      <c r="AA234" s="343">
        <v>44726</v>
      </c>
      <c r="AB234" s="342" t="s">
        <v>4064</v>
      </c>
      <c r="AC234" s="342" t="s">
        <v>4064</v>
      </c>
      <c r="AD234" s="342" t="s">
        <v>4065</v>
      </c>
      <c r="AH234" s="342" t="s">
        <v>4075</v>
      </c>
      <c r="AI234" s="342" t="s">
        <v>4067</v>
      </c>
      <c r="AJ234" s="342" t="s">
        <v>5858</v>
      </c>
    </row>
    <row r="235" spans="1:44">
      <c r="A235" s="342">
        <v>256985</v>
      </c>
      <c r="B235" s="342" t="s">
        <v>446</v>
      </c>
      <c r="C235" s="342" t="s">
        <v>447</v>
      </c>
      <c r="D235" s="342" t="s">
        <v>448</v>
      </c>
      <c r="E235" s="342" t="s">
        <v>449</v>
      </c>
      <c r="F235" s="342" t="s">
        <v>51</v>
      </c>
      <c r="G235" s="342" t="s">
        <v>939</v>
      </c>
      <c r="H235" s="342" t="s">
        <v>591</v>
      </c>
      <c r="I235" s="342" t="s">
        <v>40</v>
      </c>
      <c r="J235" s="342" t="s">
        <v>5282</v>
      </c>
      <c r="K235" s="342" t="s">
        <v>1233</v>
      </c>
      <c r="L235" s="343">
        <v>45412</v>
      </c>
      <c r="M235" s="343">
        <v>44672</v>
      </c>
      <c r="O235" s="342" t="s">
        <v>5295</v>
      </c>
      <c r="P235" s="342" t="s">
        <v>5800</v>
      </c>
      <c r="Q235" s="342">
        <v>6131557662</v>
      </c>
      <c r="R235" s="342">
        <v>9110</v>
      </c>
      <c r="V235" s="342" t="s">
        <v>2099</v>
      </c>
      <c r="W235" s="342">
        <v>228629</v>
      </c>
      <c r="X235" s="342" t="s">
        <v>5340</v>
      </c>
      <c r="Y235" s="343">
        <v>39419</v>
      </c>
      <c r="Z235" s="342" t="s">
        <v>4063</v>
      </c>
      <c r="AA235" s="343">
        <v>44672</v>
      </c>
      <c r="AB235" s="342" t="s">
        <v>4064</v>
      </c>
      <c r="AC235" s="342" t="s">
        <v>4064</v>
      </c>
      <c r="AD235" s="342" t="s">
        <v>4065</v>
      </c>
      <c r="AI235" s="342" t="s">
        <v>4067</v>
      </c>
      <c r="AJ235" s="342" t="s">
        <v>5851</v>
      </c>
    </row>
    <row r="236" spans="1:44">
      <c r="A236" s="342">
        <v>258509</v>
      </c>
      <c r="B236" s="342" t="s">
        <v>1240</v>
      </c>
      <c r="C236" s="342" t="s">
        <v>314</v>
      </c>
      <c r="D236" s="342">
        <v>76490</v>
      </c>
      <c r="E236" s="342" t="s">
        <v>315</v>
      </c>
      <c r="F236" s="342" t="s">
        <v>47</v>
      </c>
      <c r="G236" s="342" t="s">
        <v>940</v>
      </c>
      <c r="H236" s="342" t="s">
        <v>591</v>
      </c>
      <c r="I236" s="342" t="s">
        <v>40</v>
      </c>
      <c r="J236" s="342" t="s">
        <v>5281</v>
      </c>
      <c r="K236" s="342" t="s">
        <v>1233</v>
      </c>
      <c r="L236" s="343">
        <v>45077</v>
      </c>
      <c r="M236" s="343">
        <v>44754</v>
      </c>
      <c r="O236" s="342" t="s">
        <v>5568</v>
      </c>
      <c r="R236" s="342" t="s">
        <v>1580</v>
      </c>
      <c r="U236" s="342" t="s">
        <v>2041</v>
      </c>
      <c r="V236" s="342" t="s">
        <v>2099</v>
      </c>
      <c r="W236" s="342">
        <v>301279</v>
      </c>
      <c r="X236" s="342" t="s">
        <v>5343</v>
      </c>
      <c r="Y236" s="343">
        <v>40133</v>
      </c>
      <c r="Z236" s="342" t="s">
        <v>4063</v>
      </c>
      <c r="AA236" s="343">
        <v>44754</v>
      </c>
      <c r="AB236" s="342" t="s">
        <v>4064</v>
      </c>
      <c r="AC236" s="342" t="s">
        <v>4064</v>
      </c>
      <c r="AD236" s="342" t="s">
        <v>4065</v>
      </c>
      <c r="AI236" s="342" t="s">
        <v>4067</v>
      </c>
      <c r="AJ236" s="342" t="s">
        <v>5855</v>
      </c>
    </row>
    <row r="237" spans="1:44">
      <c r="A237" s="342">
        <v>260328</v>
      </c>
      <c r="B237" s="342" t="s">
        <v>450</v>
      </c>
      <c r="C237" s="342" t="s">
        <v>451</v>
      </c>
      <c r="D237" s="342">
        <v>31060</v>
      </c>
      <c r="E237" s="342" t="s">
        <v>1112</v>
      </c>
      <c r="F237" s="342" t="s">
        <v>47</v>
      </c>
      <c r="G237" s="342" t="s">
        <v>941</v>
      </c>
      <c r="H237" s="342" t="s">
        <v>591</v>
      </c>
      <c r="I237" s="342" t="s">
        <v>40</v>
      </c>
      <c r="J237" s="342" t="s">
        <v>5278</v>
      </c>
      <c r="K237" s="342" t="s">
        <v>1233</v>
      </c>
      <c r="L237" s="343">
        <v>45596</v>
      </c>
      <c r="M237" s="343">
        <v>44629</v>
      </c>
      <c r="O237" s="342" t="s">
        <v>5569</v>
      </c>
      <c r="P237" s="342" t="s">
        <v>5801</v>
      </c>
      <c r="Q237" s="342">
        <v>6114493727</v>
      </c>
      <c r="R237" s="342">
        <v>9110</v>
      </c>
      <c r="V237" s="342" t="s">
        <v>2099</v>
      </c>
      <c r="W237" s="342">
        <v>229357</v>
      </c>
      <c r="X237" s="342" t="s">
        <v>5425</v>
      </c>
      <c r="Y237" s="343">
        <v>39419</v>
      </c>
      <c r="Z237" s="342" t="s">
        <v>4063</v>
      </c>
      <c r="AA237" s="343">
        <v>44629</v>
      </c>
      <c r="AB237" s="342" t="s">
        <v>4064</v>
      </c>
      <c r="AC237" s="342" t="s">
        <v>4064</v>
      </c>
      <c r="AD237" s="342" t="s">
        <v>4065</v>
      </c>
      <c r="AH237" s="342" t="s">
        <v>4083</v>
      </c>
      <c r="AI237" s="342" t="s">
        <v>4067</v>
      </c>
      <c r="AJ237" s="342" t="s">
        <v>5844</v>
      </c>
      <c r="AR237" s="342" t="s">
        <v>4157</v>
      </c>
    </row>
    <row r="238" spans="1:44">
      <c r="A238" s="342">
        <v>260431</v>
      </c>
      <c r="B238" s="342" t="s">
        <v>676</v>
      </c>
      <c r="C238" s="342" t="s">
        <v>677</v>
      </c>
      <c r="D238" s="342">
        <v>22547</v>
      </c>
      <c r="E238" s="342" t="s">
        <v>74</v>
      </c>
      <c r="F238" s="342" t="s">
        <v>55</v>
      </c>
      <c r="G238" s="342" t="s">
        <v>942</v>
      </c>
      <c r="H238" s="342" t="s">
        <v>591</v>
      </c>
      <c r="I238" s="342" t="s">
        <v>40</v>
      </c>
      <c r="J238" s="342" t="s">
        <v>5449</v>
      </c>
      <c r="K238" s="342" t="s">
        <v>1402</v>
      </c>
      <c r="L238" s="343">
        <v>45350</v>
      </c>
      <c r="M238" s="343">
        <v>44434</v>
      </c>
      <c r="O238" s="342" t="s">
        <v>4510</v>
      </c>
      <c r="P238" s="342" t="s">
        <v>5802</v>
      </c>
      <c r="Q238" s="342">
        <v>6115225347</v>
      </c>
      <c r="R238" s="342">
        <v>9110</v>
      </c>
      <c r="S238" s="342" t="s">
        <v>1575</v>
      </c>
      <c r="V238" s="342" t="s">
        <v>2099</v>
      </c>
      <c r="W238" s="342">
        <v>228586</v>
      </c>
      <c r="X238" s="342" t="s">
        <v>4105</v>
      </c>
      <c r="Y238" s="343">
        <v>42300</v>
      </c>
      <c r="Z238" s="342" t="s">
        <v>4063</v>
      </c>
      <c r="AA238" s="343">
        <v>44434</v>
      </c>
      <c r="AB238" s="342" t="s">
        <v>4064</v>
      </c>
      <c r="AC238" s="342" t="s">
        <v>4064</v>
      </c>
      <c r="AD238" s="342" t="s">
        <v>4065</v>
      </c>
      <c r="AH238" s="342" t="s">
        <v>4075</v>
      </c>
      <c r="AI238" s="342" t="s">
        <v>4067</v>
      </c>
      <c r="AJ238" s="342" t="s">
        <v>5854</v>
      </c>
    </row>
    <row r="239" spans="1:44">
      <c r="A239" s="342">
        <v>261526</v>
      </c>
      <c r="B239" s="342" t="s">
        <v>1344</v>
      </c>
      <c r="C239" s="342" t="s">
        <v>1345</v>
      </c>
      <c r="D239" s="342">
        <v>88131</v>
      </c>
      <c r="E239" s="342" t="s">
        <v>1346</v>
      </c>
      <c r="F239" s="342" t="s">
        <v>55</v>
      </c>
      <c r="G239" s="342" t="s">
        <v>1347</v>
      </c>
      <c r="H239" s="342" t="s">
        <v>591</v>
      </c>
      <c r="I239" s="342" t="s">
        <v>40</v>
      </c>
      <c r="J239" s="342" t="s">
        <v>5279</v>
      </c>
      <c r="K239" s="342" t="s">
        <v>1233</v>
      </c>
      <c r="L239" s="343">
        <v>45229</v>
      </c>
      <c r="M239" s="343">
        <v>44679</v>
      </c>
      <c r="O239" s="342" t="s">
        <v>5678</v>
      </c>
      <c r="P239" s="342" t="s">
        <v>5083</v>
      </c>
      <c r="Q239" s="342">
        <v>6110707501</v>
      </c>
      <c r="R239" s="342">
        <v>9110</v>
      </c>
      <c r="V239" s="342" t="s">
        <v>2099</v>
      </c>
      <c r="W239" s="342">
        <v>228724</v>
      </c>
      <c r="X239" s="342" t="s">
        <v>5386</v>
      </c>
      <c r="Y239" s="343">
        <v>41869</v>
      </c>
      <c r="Z239" s="342" t="s">
        <v>4063</v>
      </c>
      <c r="AA239" s="343">
        <v>44679</v>
      </c>
      <c r="AB239" s="342" t="s">
        <v>4064</v>
      </c>
      <c r="AC239" s="342" t="s">
        <v>4064</v>
      </c>
      <c r="AD239" s="342" t="s">
        <v>4065</v>
      </c>
      <c r="AH239" s="342" t="s">
        <v>4158</v>
      </c>
      <c r="AI239" s="342" t="s">
        <v>4067</v>
      </c>
      <c r="AJ239" s="342" t="s">
        <v>5859</v>
      </c>
      <c r="AK239" s="342">
        <v>36696</v>
      </c>
    </row>
    <row r="240" spans="1:44">
      <c r="A240" s="342">
        <v>261563</v>
      </c>
      <c r="B240" s="342" t="s">
        <v>691</v>
      </c>
      <c r="C240" s="342" t="s">
        <v>943</v>
      </c>
      <c r="D240" s="342">
        <v>74160</v>
      </c>
      <c r="E240" s="342" t="s">
        <v>692</v>
      </c>
      <c r="F240" s="342" t="s">
        <v>47</v>
      </c>
      <c r="G240" s="342" t="s">
        <v>944</v>
      </c>
      <c r="H240" s="342" t="s">
        <v>591</v>
      </c>
      <c r="I240" s="342" t="s">
        <v>40</v>
      </c>
      <c r="J240" s="342" t="s">
        <v>5283</v>
      </c>
      <c r="K240" s="342" t="s">
        <v>1233</v>
      </c>
      <c r="L240" s="343">
        <v>45230</v>
      </c>
      <c r="M240" s="343">
        <v>44316</v>
      </c>
      <c r="O240" s="342" t="s">
        <v>1410</v>
      </c>
      <c r="P240" s="342" t="s">
        <v>5803</v>
      </c>
      <c r="Q240" s="342">
        <v>6120253809</v>
      </c>
      <c r="R240" s="342">
        <v>9110</v>
      </c>
      <c r="V240" s="342" t="s">
        <v>2099</v>
      </c>
      <c r="W240" s="342">
        <v>228508</v>
      </c>
      <c r="X240" s="342" t="s">
        <v>5361</v>
      </c>
      <c r="Y240" s="343">
        <v>42349</v>
      </c>
      <c r="Z240" s="342" t="s">
        <v>4063</v>
      </c>
      <c r="AA240" s="343">
        <v>44316</v>
      </c>
      <c r="AB240" s="342" t="s">
        <v>4064</v>
      </c>
      <c r="AC240" s="342" t="s">
        <v>4064</v>
      </c>
      <c r="AD240" s="342" t="s">
        <v>4065</v>
      </c>
      <c r="AH240" s="342" t="s">
        <v>4069</v>
      </c>
      <c r="AI240" s="342" t="s">
        <v>4067</v>
      </c>
      <c r="AJ240" s="342" t="s">
        <v>5881</v>
      </c>
    </row>
    <row r="241" spans="1:39">
      <c r="A241" s="342">
        <v>262821</v>
      </c>
      <c r="B241" s="342" t="s">
        <v>1497</v>
      </c>
      <c r="C241" s="342" t="s">
        <v>758</v>
      </c>
      <c r="D241" s="342">
        <v>53051</v>
      </c>
      <c r="E241" s="342" t="s">
        <v>759</v>
      </c>
      <c r="F241" s="342" t="s">
        <v>51</v>
      </c>
      <c r="G241" s="342" t="s">
        <v>945</v>
      </c>
      <c r="H241" s="342" t="s">
        <v>591</v>
      </c>
      <c r="I241" s="342" t="s">
        <v>40</v>
      </c>
      <c r="J241" s="342" t="s">
        <v>5449</v>
      </c>
      <c r="K241" s="342" t="s">
        <v>1402</v>
      </c>
      <c r="L241" s="343">
        <v>45350</v>
      </c>
      <c r="M241" s="343">
        <v>44434</v>
      </c>
      <c r="O241" s="342" t="s">
        <v>5068</v>
      </c>
      <c r="P241" s="342" t="s">
        <v>1546</v>
      </c>
      <c r="Q241" s="342">
        <v>6132049946</v>
      </c>
      <c r="R241" s="342">
        <v>9110</v>
      </c>
      <c r="V241" s="342" t="s">
        <v>2099</v>
      </c>
      <c r="W241" s="342">
        <v>306612</v>
      </c>
      <c r="X241" s="342" t="s">
        <v>5523</v>
      </c>
      <c r="Y241" s="343">
        <v>42541</v>
      </c>
      <c r="Z241" s="342" t="s">
        <v>4063</v>
      </c>
      <c r="AA241" s="343">
        <v>44434</v>
      </c>
      <c r="AB241" s="342" t="s">
        <v>4064</v>
      </c>
      <c r="AC241" s="342" t="s">
        <v>4064</v>
      </c>
      <c r="AD241" s="342" t="s">
        <v>4065</v>
      </c>
      <c r="AI241" s="342" t="s">
        <v>4067</v>
      </c>
      <c r="AJ241" s="342" t="s">
        <v>5871</v>
      </c>
    </row>
    <row r="242" spans="1:39">
      <c r="A242" s="342">
        <v>265355</v>
      </c>
      <c r="B242" s="342" t="s">
        <v>946</v>
      </c>
      <c r="C242" s="342" t="s">
        <v>453</v>
      </c>
      <c r="D242" s="342">
        <v>508985</v>
      </c>
      <c r="E242" s="342" t="s">
        <v>336</v>
      </c>
      <c r="F242" s="342" t="s">
        <v>337</v>
      </c>
      <c r="G242" s="342" t="s">
        <v>947</v>
      </c>
      <c r="H242" s="342" t="s">
        <v>591</v>
      </c>
      <c r="I242" s="342" t="s">
        <v>40</v>
      </c>
      <c r="J242" s="342" t="s">
        <v>5280</v>
      </c>
      <c r="K242" s="342" t="s">
        <v>1233</v>
      </c>
      <c r="L242" s="343">
        <v>45230</v>
      </c>
      <c r="M242" s="343">
        <v>44319</v>
      </c>
      <c r="O242" s="342" t="s">
        <v>5679</v>
      </c>
      <c r="P242" s="342" t="s">
        <v>5746</v>
      </c>
      <c r="Q242" s="342">
        <v>6135733107</v>
      </c>
      <c r="R242" s="342">
        <v>9110</v>
      </c>
      <c r="V242" s="342" t="s">
        <v>2099</v>
      </c>
      <c r="W242" s="342">
        <v>229337</v>
      </c>
      <c r="X242" s="342" t="s">
        <v>5338</v>
      </c>
      <c r="Y242" s="343">
        <v>39419</v>
      </c>
      <c r="Z242" s="342" t="s">
        <v>4063</v>
      </c>
      <c r="AA242" s="343">
        <v>44319</v>
      </c>
      <c r="AB242" s="342" t="s">
        <v>4064</v>
      </c>
      <c r="AC242" s="342" t="s">
        <v>4064</v>
      </c>
      <c r="AD242" s="342" t="s">
        <v>4065</v>
      </c>
      <c r="AH242" s="342" t="s">
        <v>4159</v>
      </c>
      <c r="AI242" s="342" t="s">
        <v>4067</v>
      </c>
      <c r="AJ242" s="342" t="s">
        <v>5846</v>
      </c>
    </row>
    <row r="243" spans="1:39">
      <c r="A243" s="342">
        <v>266317</v>
      </c>
      <c r="B243" s="342" t="s">
        <v>1179</v>
      </c>
      <c r="C243" s="342" t="s">
        <v>1156</v>
      </c>
      <c r="D243" s="342">
        <v>78216</v>
      </c>
      <c r="E243" s="342" t="s">
        <v>1157</v>
      </c>
      <c r="F243" s="342" t="s">
        <v>51</v>
      </c>
      <c r="G243" s="342" t="s">
        <v>1158</v>
      </c>
      <c r="H243" s="342" t="s">
        <v>591</v>
      </c>
      <c r="I243" s="342" t="s">
        <v>41</v>
      </c>
      <c r="J243" s="342" t="s">
        <v>786</v>
      </c>
      <c r="K243" s="342" t="s">
        <v>1233</v>
      </c>
      <c r="L243" s="343">
        <v>45199</v>
      </c>
      <c r="M243" s="343">
        <v>44441</v>
      </c>
      <c r="O243" s="342" t="s">
        <v>1504</v>
      </c>
      <c r="P243" s="342" t="s">
        <v>2535</v>
      </c>
      <c r="Q243" s="342">
        <v>6134304582</v>
      </c>
      <c r="R243" s="342">
        <v>9110</v>
      </c>
      <c r="V243" s="342" t="s">
        <v>2217</v>
      </c>
      <c r="W243" s="342">
        <v>228884</v>
      </c>
      <c r="X243" s="342" t="s">
        <v>4995</v>
      </c>
      <c r="Y243" s="343">
        <v>39419</v>
      </c>
      <c r="Z243" s="342" t="s">
        <v>4063</v>
      </c>
      <c r="AA243" s="343">
        <v>44441</v>
      </c>
      <c r="AB243" s="342" t="s">
        <v>4064</v>
      </c>
      <c r="AC243" s="343">
        <v>40908</v>
      </c>
      <c r="AD243" s="342" t="s">
        <v>4065</v>
      </c>
      <c r="AI243" s="342" t="s">
        <v>4067</v>
      </c>
      <c r="AJ243" s="342" t="s">
        <v>5853</v>
      </c>
    </row>
    <row r="244" spans="1:39">
      <c r="A244" s="342">
        <v>266318</v>
      </c>
      <c r="B244" s="342" t="s">
        <v>1384</v>
      </c>
      <c r="C244" s="342" t="s">
        <v>948</v>
      </c>
      <c r="D244" s="342">
        <v>499611</v>
      </c>
      <c r="E244" s="342" t="s">
        <v>336</v>
      </c>
      <c r="F244" s="342" t="s">
        <v>337</v>
      </c>
      <c r="G244" s="342" t="s">
        <v>949</v>
      </c>
      <c r="H244" s="342" t="s">
        <v>591</v>
      </c>
      <c r="I244" s="342" t="s">
        <v>41</v>
      </c>
      <c r="J244" s="342" t="s">
        <v>786</v>
      </c>
      <c r="K244" s="342" t="s">
        <v>1162</v>
      </c>
      <c r="L244" s="343">
        <v>44895</v>
      </c>
      <c r="M244" s="343">
        <v>44181</v>
      </c>
      <c r="O244" s="342" t="s">
        <v>5021</v>
      </c>
      <c r="P244" s="342" t="s">
        <v>5144</v>
      </c>
      <c r="Q244" s="342">
        <v>6129560027</v>
      </c>
      <c r="R244" s="342">
        <v>9110</v>
      </c>
      <c r="V244" s="342" t="s">
        <v>2217</v>
      </c>
      <c r="W244" s="342">
        <v>228882</v>
      </c>
      <c r="X244" s="342" t="s">
        <v>4995</v>
      </c>
      <c r="Y244" s="343">
        <v>41745</v>
      </c>
      <c r="Z244" s="342" t="s">
        <v>4063</v>
      </c>
      <c r="AA244" s="343">
        <v>44181</v>
      </c>
      <c r="AB244" s="342" t="s">
        <v>4064</v>
      </c>
      <c r="AC244" s="342" t="s">
        <v>4064</v>
      </c>
      <c r="AD244" s="342" t="s">
        <v>4065</v>
      </c>
      <c r="AI244" s="342" t="s">
        <v>4067</v>
      </c>
      <c r="AJ244" s="342" t="s">
        <v>6125</v>
      </c>
    </row>
    <row r="245" spans="1:39">
      <c r="A245" s="342">
        <v>266728</v>
      </c>
      <c r="B245" s="342" t="s">
        <v>4738</v>
      </c>
      <c r="C245" s="342" t="s">
        <v>4739</v>
      </c>
      <c r="D245" s="342">
        <v>518128</v>
      </c>
      <c r="E245" s="342" t="s">
        <v>4740</v>
      </c>
      <c r="F245" s="342" t="s">
        <v>175</v>
      </c>
      <c r="G245" s="342" t="s">
        <v>4741</v>
      </c>
      <c r="H245" s="342" t="s">
        <v>591</v>
      </c>
      <c r="I245" s="342" t="s">
        <v>40</v>
      </c>
      <c r="J245" s="342" t="s">
        <v>5450</v>
      </c>
      <c r="K245" s="342" t="s">
        <v>1402</v>
      </c>
      <c r="L245" s="343">
        <v>45077</v>
      </c>
      <c r="M245" s="343">
        <v>44712</v>
      </c>
      <c r="O245" s="342" t="s">
        <v>6049</v>
      </c>
      <c r="P245" s="342" t="s">
        <v>4980</v>
      </c>
      <c r="Q245" s="342">
        <v>6130839789</v>
      </c>
      <c r="R245" s="342">
        <v>9110</v>
      </c>
      <c r="U245" s="342" t="s">
        <v>4751</v>
      </c>
      <c r="V245" s="342" t="s">
        <v>2099</v>
      </c>
      <c r="W245" s="342">
        <v>229117</v>
      </c>
      <c r="X245" s="342" t="s">
        <v>5524</v>
      </c>
      <c r="Y245" s="343">
        <v>39419</v>
      </c>
      <c r="Z245" s="342" t="s">
        <v>4063</v>
      </c>
      <c r="AA245" s="343">
        <v>44712</v>
      </c>
      <c r="AB245" s="342" t="s">
        <v>4064</v>
      </c>
      <c r="AC245" s="342" t="s">
        <v>4064</v>
      </c>
      <c r="AD245" s="342" t="s">
        <v>4065</v>
      </c>
      <c r="AI245" s="342" t="s">
        <v>4067</v>
      </c>
      <c r="AJ245" s="342" t="s">
        <v>5868</v>
      </c>
    </row>
    <row r="246" spans="1:39">
      <c r="A246" s="342">
        <v>267008</v>
      </c>
      <c r="B246" s="342" t="s">
        <v>1068</v>
      </c>
      <c r="C246" s="342" t="s">
        <v>454</v>
      </c>
      <c r="D246" s="342">
        <v>27500</v>
      </c>
      <c r="E246" s="342" t="s">
        <v>455</v>
      </c>
      <c r="F246" s="342" t="s">
        <v>47</v>
      </c>
      <c r="G246" s="342" t="s">
        <v>950</v>
      </c>
      <c r="H246" s="342" t="s">
        <v>591</v>
      </c>
      <c r="I246" s="342" t="s">
        <v>40</v>
      </c>
      <c r="J246" s="342" t="s">
        <v>5280</v>
      </c>
      <c r="K246" s="342" t="s">
        <v>1233</v>
      </c>
      <c r="L246" s="343">
        <v>45229</v>
      </c>
      <c r="M246" s="343">
        <v>44375</v>
      </c>
      <c r="O246" s="342" t="s">
        <v>5570</v>
      </c>
      <c r="P246" s="342" t="s">
        <v>5804</v>
      </c>
      <c r="Q246" s="342">
        <v>6120064726</v>
      </c>
      <c r="R246" s="342">
        <v>9110</v>
      </c>
      <c r="V246" s="342" t="s">
        <v>2099</v>
      </c>
      <c r="W246" s="342">
        <v>228858</v>
      </c>
      <c r="X246" s="342" t="s">
        <v>5338</v>
      </c>
      <c r="Y246" s="343">
        <v>40750</v>
      </c>
      <c r="Z246" s="342" t="s">
        <v>4063</v>
      </c>
      <c r="AA246" s="343">
        <v>44375</v>
      </c>
      <c r="AB246" s="342" t="s">
        <v>4064</v>
      </c>
      <c r="AC246" s="342" t="s">
        <v>4064</v>
      </c>
      <c r="AD246" s="342" t="s">
        <v>4065</v>
      </c>
      <c r="AI246" s="342" t="s">
        <v>4067</v>
      </c>
      <c r="AJ246" s="342" t="s">
        <v>5873</v>
      </c>
    </row>
    <row r="247" spans="1:39">
      <c r="A247" s="342">
        <v>267698</v>
      </c>
      <c r="B247" s="342" t="s">
        <v>4245</v>
      </c>
      <c r="C247" s="342" t="s">
        <v>1203</v>
      </c>
      <c r="D247" s="342">
        <v>66280</v>
      </c>
      <c r="E247" s="342" t="s">
        <v>456</v>
      </c>
      <c r="F247" s="342" t="s">
        <v>55</v>
      </c>
      <c r="G247" s="342" t="s">
        <v>1332</v>
      </c>
      <c r="H247" s="342" t="s">
        <v>591</v>
      </c>
      <c r="I247" s="342" t="s">
        <v>737</v>
      </c>
      <c r="J247" s="342" t="s">
        <v>1277</v>
      </c>
      <c r="K247" s="342" t="s">
        <v>5218</v>
      </c>
      <c r="L247" s="343">
        <v>45443</v>
      </c>
      <c r="M247" s="343">
        <v>44700</v>
      </c>
      <c r="O247" s="342" t="s">
        <v>4758</v>
      </c>
      <c r="P247" s="342" t="s">
        <v>4605</v>
      </c>
      <c r="R247" s="342" t="s">
        <v>1580</v>
      </c>
      <c r="V247" s="342" t="s">
        <v>4062</v>
      </c>
      <c r="W247" s="342">
        <v>300160</v>
      </c>
      <c r="X247" s="342" t="s">
        <v>5362</v>
      </c>
      <c r="Y247" s="343">
        <v>43594</v>
      </c>
      <c r="Z247" s="342" t="s">
        <v>4063</v>
      </c>
      <c r="AA247" s="343">
        <v>44700</v>
      </c>
      <c r="AB247" s="342" t="s">
        <v>4064</v>
      </c>
      <c r="AC247" s="342" t="s">
        <v>4064</v>
      </c>
      <c r="AD247" s="342" t="s">
        <v>4065</v>
      </c>
      <c r="AI247" s="342" t="s">
        <v>4067</v>
      </c>
      <c r="AJ247" s="342" t="s">
        <v>6126</v>
      </c>
    </row>
    <row r="248" spans="1:39">
      <c r="A248" s="342">
        <v>268930</v>
      </c>
      <c r="B248" s="342" t="s">
        <v>457</v>
      </c>
      <c r="C248" s="342" t="s">
        <v>4972</v>
      </c>
      <c r="D248" s="342">
        <v>498788</v>
      </c>
      <c r="E248" s="342" t="s">
        <v>336</v>
      </c>
      <c r="F248" s="342" t="s">
        <v>337</v>
      </c>
      <c r="G248" s="342" t="s">
        <v>951</v>
      </c>
      <c r="H248" s="342" t="s">
        <v>591</v>
      </c>
      <c r="I248" s="342" t="s">
        <v>40</v>
      </c>
      <c r="J248" s="342" t="s">
        <v>5283</v>
      </c>
      <c r="K248" s="342" t="s">
        <v>1233</v>
      </c>
      <c r="L248" s="343">
        <v>45230</v>
      </c>
      <c r="M248" s="343">
        <v>44470</v>
      </c>
      <c r="O248" s="342" t="s">
        <v>5004</v>
      </c>
      <c r="P248" s="342" t="s">
        <v>5805</v>
      </c>
      <c r="Q248" s="342">
        <v>6138007322</v>
      </c>
      <c r="R248" s="342">
        <v>9110</v>
      </c>
      <c r="V248" s="342" t="s">
        <v>2099</v>
      </c>
      <c r="W248" s="342">
        <v>228435</v>
      </c>
      <c r="X248" s="342" t="s">
        <v>5388</v>
      </c>
      <c r="Y248" s="343">
        <v>39419</v>
      </c>
      <c r="Z248" s="342" t="s">
        <v>4063</v>
      </c>
      <c r="AA248" s="343">
        <v>44470</v>
      </c>
      <c r="AB248" s="342" t="s">
        <v>4064</v>
      </c>
      <c r="AC248" s="342" t="s">
        <v>4064</v>
      </c>
      <c r="AD248" s="342" t="s">
        <v>4065</v>
      </c>
      <c r="AH248" s="342" t="s">
        <v>4071</v>
      </c>
      <c r="AI248" s="342" t="s">
        <v>4067</v>
      </c>
      <c r="AJ248" s="342" t="s">
        <v>5845</v>
      </c>
    </row>
    <row r="249" spans="1:39">
      <c r="A249" s="342">
        <v>269036</v>
      </c>
      <c r="B249" s="342" t="s">
        <v>296</v>
      </c>
      <c r="C249" s="342" t="s">
        <v>458</v>
      </c>
      <c r="D249" s="342" t="s">
        <v>459</v>
      </c>
      <c r="E249" s="342" t="s">
        <v>255</v>
      </c>
      <c r="F249" s="342" t="s">
        <v>51</v>
      </c>
      <c r="G249" s="342">
        <v>26433</v>
      </c>
      <c r="H249" s="342" t="s">
        <v>591</v>
      </c>
      <c r="I249" s="342" t="s">
        <v>40</v>
      </c>
      <c r="J249" s="342" t="s">
        <v>5278</v>
      </c>
      <c r="K249" s="342" t="s">
        <v>1402</v>
      </c>
      <c r="L249" s="343">
        <v>45199</v>
      </c>
      <c r="M249" s="343">
        <v>44648</v>
      </c>
      <c r="O249" s="342" t="s">
        <v>4182</v>
      </c>
      <c r="P249" s="342" t="s">
        <v>5806</v>
      </c>
      <c r="Q249" s="342">
        <v>6113296941</v>
      </c>
      <c r="R249" s="342">
        <v>9110</v>
      </c>
      <c r="V249" s="342" t="s">
        <v>2099</v>
      </c>
      <c r="W249" s="342">
        <v>301083</v>
      </c>
      <c r="X249" s="342" t="s">
        <v>4076</v>
      </c>
      <c r="Y249" s="343">
        <v>41673</v>
      </c>
      <c r="Z249" s="342" t="s">
        <v>4063</v>
      </c>
      <c r="AA249" s="343">
        <v>44648</v>
      </c>
      <c r="AB249" s="342" t="s">
        <v>4064</v>
      </c>
      <c r="AC249" s="342" t="s">
        <v>4064</v>
      </c>
      <c r="AD249" s="342" t="s">
        <v>4065</v>
      </c>
      <c r="AH249" s="342" t="s">
        <v>4160</v>
      </c>
      <c r="AI249" s="342" t="s">
        <v>4067</v>
      </c>
      <c r="AJ249" s="342" t="s">
        <v>5843</v>
      </c>
    </row>
    <row r="250" spans="1:39">
      <c r="A250" s="342">
        <v>270438</v>
      </c>
      <c r="B250" s="342" t="s">
        <v>5430</v>
      </c>
      <c r="C250" s="342" t="s">
        <v>460</v>
      </c>
      <c r="D250" s="342">
        <v>629619</v>
      </c>
      <c r="E250" s="342" t="s">
        <v>336</v>
      </c>
      <c r="F250" s="342" t="s">
        <v>337</v>
      </c>
      <c r="G250" s="342" t="s">
        <v>952</v>
      </c>
      <c r="H250" s="342" t="s">
        <v>591</v>
      </c>
      <c r="I250" s="342" t="s">
        <v>40</v>
      </c>
      <c r="J250" s="342" t="s">
        <v>5281</v>
      </c>
      <c r="K250" s="342" t="s">
        <v>1233</v>
      </c>
      <c r="L250" s="343">
        <v>45077</v>
      </c>
      <c r="M250" s="343">
        <v>44705</v>
      </c>
      <c r="O250" s="342" t="s">
        <v>5571</v>
      </c>
      <c r="P250" s="342" t="s">
        <v>5732</v>
      </c>
      <c r="Q250" s="342">
        <v>6111353226</v>
      </c>
      <c r="R250" s="342">
        <v>9110</v>
      </c>
      <c r="V250" s="342" t="s">
        <v>2099</v>
      </c>
      <c r="W250" s="342">
        <v>300764</v>
      </c>
      <c r="X250" s="342" t="s">
        <v>5343</v>
      </c>
      <c r="Y250" s="343">
        <v>40548</v>
      </c>
      <c r="Z250" s="342" t="s">
        <v>4063</v>
      </c>
      <c r="AA250" s="343">
        <v>44705</v>
      </c>
      <c r="AB250" s="342" t="s">
        <v>4064</v>
      </c>
      <c r="AC250" s="342" t="s">
        <v>4064</v>
      </c>
      <c r="AD250" s="342" t="s">
        <v>4065</v>
      </c>
      <c r="AH250" s="342" t="s">
        <v>4081</v>
      </c>
      <c r="AI250" s="342" t="s">
        <v>4067</v>
      </c>
      <c r="AJ250" s="342" t="s">
        <v>5878</v>
      </c>
    </row>
    <row r="251" spans="1:39">
      <c r="A251" s="342">
        <v>271203</v>
      </c>
      <c r="B251" s="342" t="s">
        <v>461</v>
      </c>
      <c r="C251" s="342" t="s">
        <v>4340</v>
      </c>
      <c r="D251" s="342">
        <v>34070</v>
      </c>
      <c r="E251" s="342" t="s">
        <v>4341</v>
      </c>
      <c r="F251" s="342" t="s">
        <v>47</v>
      </c>
      <c r="G251" s="342" t="s">
        <v>953</v>
      </c>
      <c r="H251" s="342" t="s">
        <v>591</v>
      </c>
      <c r="I251" s="342" t="s">
        <v>40</v>
      </c>
      <c r="J251" s="342" t="s">
        <v>4638</v>
      </c>
      <c r="K251" s="342" t="s">
        <v>5218</v>
      </c>
      <c r="L251" s="343">
        <v>45260</v>
      </c>
      <c r="M251" s="343">
        <v>44712</v>
      </c>
      <c r="O251" s="342" t="s">
        <v>4551</v>
      </c>
      <c r="P251" s="342" t="s">
        <v>5084</v>
      </c>
      <c r="Q251" s="342">
        <v>6139221741</v>
      </c>
      <c r="R251" s="342">
        <v>9110</v>
      </c>
      <c r="V251" s="342" t="s">
        <v>2099</v>
      </c>
      <c r="W251" s="342">
        <v>228798</v>
      </c>
      <c r="X251" s="342" t="s">
        <v>4989</v>
      </c>
      <c r="Y251" s="343">
        <v>39419</v>
      </c>
      <c r="Z251" s="342" t="s">
        <v>4063</v>
      </c>
      <c r="AA251" s="343">
        <v>44712</v>
      </c>
      <c r="AB251" s="342" t="s">
        <v>4064</v>
      </c>
      <c r="AC251" s="342" t="s">
        <v>4064</v>
      </c>
      <c r="AD251" s="342" t="s">
        <v>4065</v>
      </c>
      <c r="AI251" s="342" t="s">
        <v>4067</v>
      </c>
      <c r="AJ251" s="342" t="s">
        <v>6127</v>
      </c>
    </row>
    <row r="252" spans="1:39">
      <c r="A252" s="342">
        <v>271309</v>
      </c>
      <c r="B252" s="342" t="s">
        <v>462</v>
      </c>
      <c r="C252" s="342" t="s">
        <v>463</v>
      </c>
      <c r="D252" s="342">
        <v>2600</v>
      </c>
      <c r="E252" s="342" t="s">
        <v>464</v>
      </c>
      <c r="F252" s="342" t="s">
        <v>465</v>
      </c>
      <c r="G252" s="342" t="s">
        <v>954</v>
      </c>
      <c r="H252" s="342" t="s">
        <v>591</v>
      </c>
      <c r="I252" s="342" t="s">
        <v>40</v>
      </c>
      <c r="J252" s="342" t="s">
        <v>5279</v>
      </c>
      <c r="K252" s="342" t="s">
        <v>1402</v>
      </c>
      <c r="L252" s="343">
        <v>45473</v>
      </c>
      <c r="M252" s="343">
        <v>44364</v>
      </c>
      <c r="O252" s="342" t="s">
        <v>5347</v>
      </c>
      <c r="P252" s="342" t="s">
        <v>5807</v>
      </c>
      <c r="Q252" s="342">
        <v>6119923661</v>
      </c>
      <c r="R252" s="342">
        <v>9110</v>
      </c>
      <c r="T252" s="342" t="s">
        <v>2030</v>
      </c>
      <c r="V252" s="342" t="s">
        <v>2099</v>
      </c>
      <c r="W252" s="342">
        <v>228642</v>
      </c>
      <c r="X252" s="342" t="s">
        <v>4161</v>
      </c>
      <c r="Y252" s="343">
        <v>40130</v>
      </c>
      <c r="Z252" s="342" t="s">
        <v>4063</v>
      </c>
      <c r="AA252" s="343">
        <v>44364</v>
      </c>
      <c r="AB252" s="342" t="s">
        <v>4064</v>
      </c>
      <c r="AC252" s="342" t="s">
        <v>4064</v>
      </c>
      <c r="AD252" s="342" t="s">
        <v>4065</v>
      </c>
      <c r="AH252" s="342" t="s">
        <v>4115</v>
      </c>
      <c r="AI252" s="342" t="s">
        <v>4067</v>
      </c>
      <c r="AJ252" s="342" t="s">
        <v>5867</v>
      </c>
      <c r="AM252" s="342" t="s">
        <v>4162</v>
      </c>
    </row>
    <row r="253" spans="1:39">
      <c r="A253" s="342">
        <v>273158</v>
      </c>
      <c r="B253" s="342" t="s">
        <v>466</v>
      </c>
      <c r="C253" s="342" t="s">
        <v>467</v>
      </c>
      <c r="D253" s="342">
        <v>32901</v>
      </c>
      <c r="E253" s="342" t="s">
        <v>468</v>
      </c>
      <c r="F253" s="342" t="s">
        <v>51</v>
      </c>
      <c r="G253" s="342" t="s">
        <v>955</v>
      </c>
      <c r="H253" s="342" t="s">
        <v>591</v>
      </c>
      <c r="I253" s="342" t="s">
        <v>40</v>
      </c>
      <c r="J253" s="342" t="s">
        <v>5282</v>
      </c>
      <c r="K253" s="342" t="s">
        <v>1233</v>
      </c>
      <c r="L253" s="343">
        <v>45077</v>
      </c>
      <c r="M253" s="343">
        <v>44347</v>
      </c>
      <c r="O253" s="342" t="s">
        <v>5239</v>
      </c>
      <c r="P253" s="342" t="s">
        <v>4541</v>
      </c>
      <c r="Q253" s="342">
        <v>6120706961</v>
      </c>
      <c r="R253" s="342">
        <v>9110</v>
      </c>
      <c r="V253" s="342" t="s">
        <v>2099</v>
      </c>
      <c r="W253" s="342">
        <v>228802</v>
      </c>
      <c r="X253" s="342" t="s">
        <v>5357</v>
      </c>
      <c r="Y253" s="343">
        <v>41876</v>
      </c>
      <c r="Z253" s="342" t="s">
        <v>4063</v>
      </c>
      <c r="AA253" s="343">
        <v>44347</v>
      </c>
      <c r="AB253" s="342" t="s">
        <v>4064</v>
      </c>
      <c r="AC253" s="342" t="s">
        <v>4064</v>
      </c>
      <c r="AD253" s="342" t="s">
        <v>4065</v>
      </c>
      <c r="AH253" s="342" t="s">
        <v>4163</v>
      </c>
      <c r="AI253" s="342" t="s">
        <v>4067</v>
      </c>
      <c r="AJ253" s="342" t="s">
        <v>5859</v>
      </c>
    </row>
    <row r="254" spans="1:39">
      <c r="A254" s="342">
        <v>273520</v>
      </c>
      <c r="B254" s="342" t="s">
        <v>746</v>
      </c>
      <c r="C254" s="342" t="s">
        <v>2509</v>
      </c>
      <c r="D254" s="342">
        <v>71711</v>
      </c>
      <c r="E254" s="342" t="s">
        <v>2510</v>
      </c>
      <c r="F254" s="342" t="s">
        <v>55</v>
      </c>
      <c r="G254" s="342" t="s">
        <v>2511</v>
      </c>
      <c r="H254" s="342" t="s">
        <v>591</v>
      </c>
      <c r="I254" s="342" t="s">
        <v>40</v>
      </c>
      <c r="J254" s="342" t="s">
        <v>5283</v>
      </c>
      <c r="K254" s="342" t="s">
        <v>1233</v>
      </c>
      <c r="L254" s="343">
        <v>45230</v>
      </c>
      <c r="M254" s="343">
        <v>44490</v>
      </c>
      <c r="O254" s="342" t="s">
        <v>4942</v>
      </c>
      <c r="P254" s="342" t="s">
        <v>2518</v>
      </c>
      <c r="Q254" s="342">
        <v>6138227500</v>
      </c>
      <c r="R254" s="342">
        <v>9110</v>
      </c>
      <c r="U254" s="342" t="s">
        <v>2521</v>
      </c>
      <c r="V254" s="342" t="s">
        <v>2099</v>
      </c>
      <c r="W254" s="342">
        <v>229110</v>
      </c>
      <c r="X254" s="342" t="s">
        <v>5388</v>
      </c>
      <c r="Y254" s="343">
        <v>41885</v>
      </c>
      <c r="Z254" s="342" t="s">
        <v>4063</v>
      </c>
      <c r="AA254" s="343">
        <v>44490</v>
      </c>
      <c r="AB254" s="342" t="s">
        <v>4064</v>
      </c>
      <c r="AC254" s="342" t="s">
        <v>4064</v>
      </c>
      <c r="AD254" s="342" t="s">
        <v>4065</v>
      </c>
      <c r="AI254" s="342" t="s">
        <v>4067</v>
      </c>
      <c r="AJ254" s="342" t="s">
        <v>5853</v>
      </c>
    </row>
    <row r="255" spans="1:39">
      <c r="A255" s="342">
        <v>273521</v>
      </c>
      <c r="B255" s="342" t="s">
        <v>1235</v>
      </c>
      <c r="C255" s="342" t="s">
        <v>469</v>
      </c>
      <c r="D255" s="342">
        <v>19311</v>
      </c>
      <c r="E255" s="342" t="s">
        <v>470</v>
      </c>
      <c r="F255" s="342" t="s">
        <v>47</v>
      </c>
      <c r="G255" s="342" t="s">
        <v>1244</v>
      </c>
      <c r="H255" s="342" t="s">
        <v>591</v>
      </c>
      <c r="I255" s="342" t="s">
        <v>40</v>
      </c>
      <c r="J255" s="342" t="s">
        <v>5283</v>
      </c>
      <c r="K255" s="342" t="s">
        <v>1233</v>
      </c>
      <c r="L255" s="343">
        <v>45230</v>
      </c>
      <c r="M255" s="343">
        <v>44470</v>
      </c>
      <c r="O255" s="342" t="s">
        <v>5037</v>
      </c>
      <c r="P255" s="342" t="s">
        <v>5808</v>
      </c>
      <c r="Q255" s="342">
        <v>6116357544</v>
      </c>
      <c r="R255" s="342">
        <v>9110</v>
      </c>
      <c r="V255" s="342" t="s">
        <v>2099</v>
      </c>
      <c r="W255" s="342">
        <v>229347</v>
      </c>
      <c r="X255" s="342" t="s">
        <v>4150</v>
      </c>
      <c r="Y255" s="343">
        <v>39419</v>
      </c>
      <c r="Z255" s="342" t="s">
        <v>4063</v>
      </c>
      <c r="AA255" s="343">
        <v>44470</v>
      </c>
      <c r="AB255" s="342" t="s">
        <v>4064</v>
      </c>
      <c r="AC255" s="342" t="s">
        <v>4064</v>
      </c>
      <c r="AD255" s="342" t="s">
        <v>4065</v>
      </c>
      <c r="AH255" s="342" t="s">
        <v>4071</v>
      </c>
      <c r="AI255" s="342" t="s">
        <v>4067</v>
      </c>
      <c r="AJ255" s="342" t="s">
        <v>5863</v>
      </c>
    </row>
    <row r="256" spans="1:39">
      <c r="A256" s="342">
        <v>273986</v>
      </c>
      <c r="B256" s="342" t="s">
        <v>4649</v>
      </c>
      <c r="C256" s="342" t="s">
        <v>4650</v>
      </c>
      <c r="D256" s="342">
        <v>54341</v>
      </c>
      <c r="E256" s="342" t="s">
        <v>380</v>
      </c>
      <c r="F256" s="342" t="s">
        <v>381</v>
      </c>
      <c r="H256" s="342" t="s">
        <v>591</v>
      </c>
      <c r="I256" s="342" t="s">
        <v>40</v>
      </c>
      <c r="J256" s="342" t="s">
        <v>1421</v>
      </c>
      <c r="K256" s="342" t="s">
        <v>1402</v>
      </c>
      <c r="L256" s="343">
        <v>45533</v>
      </c>
      <c r="M256" s="343">
        <v>44439</v>
      </c>
      <c r="O256" s="342" t="s">
        <v>5194</v>
      </c>
      <c r="P256" s="342" t="s">
        <v>4663</v>
      </c>
      <c r="Q256" s="342">
        <v>6154448185</v>
      </c>
      <c r="R256" s="342" t="s">
        <v>1580</v>
      </c>
      <c r="V256" s="342" t="s">
        <v>2099</v>
      </c>
      <c r="W256" s="342">
        <v>309398</v>
      </c>
      <c r="X256" s="342" t="s">
        <v>4991</v>
      </c>
      <c r="Y256" s="343">
        <v>44439</v>
      </c>
      <c r="Z256" s="342" t="s">
        <v>4063</v>
      </c>
      <c r="AA256" s="343">
        <v>44439</v>
      </c>
      <c r="AB256" s="342" t="s">
        <v>4064</v>
      </c>
      <c r="AC256" s="342" t="s">
        <v>4064</v>
      </c>
      <c r="AD256" s="342" t="s">
        <v>4065</v>
      </c>
      <c r="AI256" s="342" t="s">
        <v>4067</v>
      </c>
      <c r="AJ256" s="342" t="s">
        <v>5861</v>
      </c>
    </row>
    <row r="257" spans="1:44">
      <c r="A257" s="342">
        <v>274446</v>
      </c>
      <c r="B257" s="342" t="s">
        <v>471</v>
      </c>
      <c r="C257" s="342" t="s">
        <v>472</v>
      </c>
      <c r="D257" s="342">
        <v>33693</v>
      </c>
      <c r="E257" s="342" t="s">
        <v>473</v>
      </c>
      <c r="F257" s="342" t="s">
        <v>47</v>
      </c>
      <c r="G257" s="342" t="s">
        <v>956</v>
      </c>
      <c r="H257" s="342" t="s">
        <v>591</v>
      </c>
      <c r="I257" s="342" t="s">
        <v>41</v>
      </c>
      <c r="J257" s="342" t="s">
        <v>1336</v>
      </c>
      <c r="K257" s="342" t="s">
        <v>1233</v>
      </c>
      <c r="L257" s="343">
        <v>45260</v>
      </c>
      <c r="M257" s="343">
        <v>44397</v>
      </c>
      <c r="O257" s="342" t="s">
        <v>5572</v>
      </c>
      <c r="P257" s="342" t="s">
        <v>5495</v>
      </c>
      <c r="Q257" s="342">
        <v>6114014685</v>
      </c>
      <c r="R257" s="342">
        <v>9110</v>
      </c>
      <c r="V257" s="342" t="s">
        <v>2217</v>
      </c>
      <c r="W257" s="342">
        <v>229186</v>
      </c>
      <c r="X257" s="342" t="s">
        <v>4994</v>
      </c>
      <c r="Y257" s="343">
        <v>39419</v>
      </c>
      <c r="Z257" s="342" t="s">
        <v>4063</v>
      </c>
      <c r="AA257" s="343">
        <v>44397</v>
      </c>
      <c r="AB257" s="342" t="s">
        <v>4064</v>
      </c>
      <c r="AC257" s="342" t="s">
        <v>4064</v>
      </c>
      <c r="AD257" s="342" t="s">
        <v>4065</v>
      </c>
      <c r="AH257" s="342" t="s">
        <v>4071</v>
      </c>
      <c r="AI257" s="342" t="s">
        <v>4067</v>
      </c>
      <c r="AJ257" s="342" t="s">
        <v>5881</v>
      </c>
      <c r="AR257" s="342" t="s">
        <v>4164</v>
      </c>
    </row>
    <row r="258" spans="1:44">
      <c r="A258" s="342">
        <v>274446</v>
      </c>
      <c r="B258" s="342" t="s">
        <v>471</v>
      </c>
      <c r="C258" s="342" t="s">
        <v>472</v>
      </c>
      <c r="D258" s="342">
        <v>33693</v>
      </c>
      <c r="E258" s="342" t="s">
        <v>473</v>
      </c>
      <c r="F258" s="342" t="s">
        <v>47</v>
      </c>
      <c r="G258" s="342" t="s">
        <v>956</v>
      </c>
      <c r="H258" s="342" t="s">
        <v>591</v>
      </c>
      <c r="I258" s="342" t="s">
        <v>40</v>
      </c>
      <c r="J258" s="342" t="s">
        <v>1336</v>
      </c>
      <c r="K258" s="342" t="s">
        <v>1402</v>
      </c>
      <c r="L258" s="343">
        <v>45351</v>
      </c>
      <c r="M258" s="343">
        <v>44620</v>
      </c>
      <c r="O258" s="342" t="s">
        <v>5572</v>
      </c>
      <c r="P258" s="342" t="s">
        <v>5495</v>
      </c>
      <c r="Q258" s="342">
        <v>6114014685</v>
      </c>
      <c r="R258" s="342">
        <v>9110</v>
      </c>
      <c r="V258" s="342" t="s">
        <v>2099</v>
      </c>
      <c r="W258" s="342">
        <v>229186</v>
      </c>
      <c r="X258" s="342" t="s">
        <v>4994</v>
      </c>
      <c r="Y258" s="343">
        <v>39419</v>
      </c>
      <c r="Z258" s="342" t="s">
        <v>4063</v>
      </c>
      <c r="AA258" s="343">
        <v>44620</v>
      </c>
      <c r="AB258" s="342" t="s">
        <v>4064</v>
      </c>
      <c r="AC258" s="342" t="s">
        <v>4064</v>
      </c>
      <c r="AD258" s="342" t="s">
        <v>4065</v>
      </c>
      <c r="AH258" s="342" t="s">
        <v>4071</v>
      </c>
      <c r="AI258" s="342" t="s">
        <v>4067</v>
      </c>
      <c r="AJ258" s="342" t="s">
        <v>5967</v>
      </c>
      <c r="AR258" s="342" t="s">
        <v>4164</v>
      </c>
    </row>
    <row r="259" spans="1:44">
      <c r="A259" s="342">
        <v>274446</v>
      </c>
      <c r="B259" s="342" t="s">
        <v>471</v>
      </c>
      <c r="C259" s="342" t="s">
        <v>472</v>
      </c>
      <c r="D259" s="342">
        <v>33693</v>
      </c>
      <c r="E259" s="342" t="s">
        <v>473</v>
      </c>
      <c r="F259" s="342" t="s">
        <v>47</v>
      </c>
      <c r="G259" s="342" t="s">
        <v>956</v>
      </c>
      <c r="H259" s="342" t="s">
        <v>591</v>
      </c>
      <c r="I259" s="342" t="s">
        <v>1100</v>
      </c>
      <c r="J259" s="342" t="s">
        <v>1336</v>
      </c>
      <c r="K259" s="342" t="s">
        <v>1233</v>
      </c>
      <c r="L259" s="343">
        <v>45260</v>
      </c>
      <c r="M259" s="343">
        <v>44746</v>
      </c>
      <c r="O259" s="342" t="s">
        <v>5572</v>
      </c>
      <c r="P259" s="342" t="s">
        <v>5495</v>
      </c>
      <c r="Q259" s="342">
        <v>6114014685</v>
      </c>
      <c r="R259" s="342">
        <v>9100</v>
      </c>
      <c r="V259" s="342" t="s">
        <v>2109</v>
      </c>
      <c r="W259" s="342">
        <v>229186</v>
      </c>
      <c r="X259" s="342" t="s">
        <v>4994</v>
      </c>
      <c r="Y259" s="343">
        <v>41303</v>
      </c>
      <c r="Z259" s="342" t="s">
        <v>4063</v>
      </c>
      <c r="AA259" s="343">
        <v>44746</v>
      </c>
      <c r="AB259" s="342" t="s">
        <v>4064</v>
      </c>
      <c r="AC259" s="343">
        <v>44648</v>
      </c>
      <c r="AD259" s="342" t="s">
        <v>4065</v>
      </c>
      <c r="AH259" s="342" t="s">
        <v>4071</v>
      </c>
      <c r="AI259" s="342" t="s">
        <v>4067</v>
      </c>
      <c r="AJ259" s="342" t="s">
        <v>5887</v>
      </c>
      <c r="AR259" s="342" t="s">
        <v>4164</v>
      </c>
    </row>
    <row r="260" spans="1:44">
      <c r="A260" s="342">
        <v>274446</v>
      </c>
      <c r="B260" s="342" t="s">
        <v>471</v>
      </c>
      <c r="C260" s="342" t="s">
        <v>472</v>
      </c>
      <c r="D260" s="342">
        <v>33693</v>
      </c>
      <c r="E260" s="342" t="s">
        <v>473</v>
      </c>
      <c r="F260" s="342" t="s">
        <v>47</v>
      </c>
      <c r="G260" s="342" t="s">
        <v>956</v>
      </c>
      <c r="H260" s="342" t="s">
        <v>591</v>
      </c>
      <c r="I260" s="342" t="s">
        <v>685</v>
      </c>
      <c r="J260" s="342" t="s">
        <v>1336</v>
      </c>
      <c r="K260" s="342" t="s">
        <v>1233</v>
      </c>
      <c r="L260" s="343">
        <v>45260</v>
      </c>
      <c r="M260" s="343">
        <v>44746</v>
      </c>
      <c r="O260" s="342" t="s">
        <v>5572</v>
      </c>
      <c r="P260" s="342" t="s">
        <v>5495</v>
      </c>
      <c r="Q260" s="342">
        <v>6114014685</v>
      </c>
      <c r="R260" s="342">
        <v>9100</v>
      </c>
      <c r="V260" s="342" t="s">
        <v>2152</v>
      </c>
      <c r="W260" s="342">
        <v>229186</v>
      </c>
      <c r="X260" s="342" t="s">
        <v>4994</v>
      </c>
      <c r="Y260" s="343">
        <v>44547</v>
      </c>
      <c r="Z260" s="342" t="s">
        <v>4063</v>
      </c>
      <c r="AA260" s="343">
        <v>44746</v>
      </c>
      <c r="AB260" s="342" t="s">
        <v>4064</v>
      </c>
      <c r="AC260" s="342" t="s">
        <v>4064</v>
      </c>
      <c r="AD260" s="342" t="s">
        <v>4065</v>
      </c>
      <c r="AH260" s="342" t="s">
        <v>4071</v>
      </c>
      <c r="AI260" s="342" t="s">
        <v>4067</v>
      </c>
      <c r="AJ260" s="342" t="s">
        <v>5887</v>
      </c>
      <c r="AR260" s="342" t="s">
        <v>4164</v>
      </c>
    </row>
    <row r="261" spans="1:44">
      <c r="A261" s="342">
        <v>274888</v>
      </c>
      <c r="B261" s="342" t="s">
        <v>1250</v>
      </c>
      <c r="C261" s="342" t="s">
        <v>474</v>
      </c>
      <c r="D261" s="342">
        <v>36100</v>
      </c>
      <c r="E261" s="342" t="s">
        <v>475</v>
      </c>
      <c r="F261" s="342" t="s">
        <v>47</v>
      </c>
      <c r="G261" s="342" t="s">
        <v>957</v>
      </c>
      <c r="H261" s="342" t="s">
        <v>591</v>
      </c>
      <c r="I261" s="342" t="s">
        <v>40</v>
      </c>
      <c r="J261" s="342" t="s">
        <v>5449</v>
      </c>
      <c r="K261" s="342" t="s">
        <v>1402</v>
      </c>
      <c r="L261" s="343">
        <v>45350</v>
      </c>
      <c r="M261" s="343">
        <v>44434</v>
      </c>
      <c r="O261" s="342" t="s">
        <v>4602</v>
      </c>
      <c r="P261" s="342" t="s">
        <v>5809</v>
      </c>
      <c r="Q261" s="342">
        <v>6153120909</v>
      </c>
      <c r="R261" s="342">
        <v>9110</v>
      </c>
      <c r="V261" s="342" t="s">
        <v>2099</v>
      </c>
      <c r="W261" s="342">
        <v>228925</v>
      </c>
      <c r="X261" s="342" t="s">
        <v>4165</v>
      </c>
      <c r="Y261" s="343">
        <v>41033</v>
      </c>
      <c r="Z261" s="342" t="s">
        <v>4063</v>
      </c>
      <c r="AA261" s="343">
        <v>44434</v>
      </c>
      <c r="AB261" s="342" t="s">
        <v>4064</v>
      </c>
      <c r="AC261" s="342" t="s">
        <v>4064</v>
      </c>
      <c r="AD261" s="342" t="s">
        <v>4065</v>
      </c>
      <c r="AH261" s="342" t="s">
        <v>4069</v>
      </c>
      <c r="AI261" s="342" t="s">
        <v>4067</v>
      </c>
      <c r="AJ261" s="342" t="s">
        <v>5871</v>
      </c>
    </row>
    <row r="262" spans="1:44">
      <c r="A262" s="342">
        <v>275410</v>
      </c>
      <c r="B262" s="342" t="s">
        <v>1133</v>
      </c>
      <c r="C262" s="342" t="s">
        <v>958</v>
      </c>
      <c r="D262" s="342">
        <v>195</v>
      </c>
      <c r="E262" s="342" t="s">
        <v>959</v>
      </c>
      <c r="F262" s="342" t="s">
        <v>98</v>
      </c>
      <c r="G262" s="342" t="s">
        <v>4385</v>
      </c>
      <c r="H262" s="342" t="s">
        <v>591</v>
      </c>
      <c r="I262" s="342" t="s">
        <v>737</v>
      </c>
      <c r="J262" s="342" t="s">
        <v>5449</v>
      </c>
      <c r="K262" s="342" t="s">
        <v>1402</v>
      </c>
      <c r="L262" s="343">
        <v>44985</v>
      </c>
      <c r="M262" s="343">
        <v>43868</v>
      </c>
      <c r="P262" s="342" t="s">
        <v>5810</v>
      </c>
      <c r="R262" s="342" t="s">
        <v>1580</v>
      </c>
      <c r="V262" s="342" t="s">
        <v>4062</v>
      </c>
      <c r="W262" s="342">
        <v>306995</v>
      </c>
      <c r="X262" s="342" t="s">
        <v>5523</v>
      </c>
      <c r="Y262" s="343">
        <v>42780</v>
      </c>
      <c r="Z262" s="342" t="s">
        <v>4063</v>
      </c>
      <c r="AA262" s="343">
        <v>43868</v>
      </c>
      <c r="AB262" s="342" t="s">
        <v>4064</v>
      </c>
      <c r="AC262" s="342" t="s">
        <v>4064</v>
      </c>
      <c r="AD262" s="342" t="s">
        <v>4065</v>
      </c>
      <c r="AI262" s="342" t="s">
        <v>4067</v>
      </c>
      <c r="AJ262" s="342" t="s">
        <v>6128</v>
      </c>
    </row>
    <row r="263" spans="1:44">
      <c r="A263" s="342">
        <v>275809</v>
      </c>
      <c r="B263" s="342" t="s">
        <v>5894</v>
      </c>
      <c r="C263" s="342" t="s">
        <v>5895</v>
      </c>
      <c r="D263" s="342">
        <v>17462</v>
      </c>
      <c r="E263" s="342" t="s">
        <v>380</v>
      </c>
      <c r="F263" s="342" t="s">
        <v>381</v>
      </c>
      <c r="G263" s="342" t="s">
        <v>5896</v>
      </c>
      <c r="H263" s="342" t="s">
        <v>591</v>
      </c>
      <c r="I263" s="342" t="s">
        <v>40</v>
      </c>
      <c r="J263" s="342" t="s">
        <v>1277</v>
      </c>
      <c r="K263" s="342" t="s">
        <v>1402</v>
      </c>
      <c r="L263" s="343">
        <v>45716</v>
      </c>
      <c r="M263" s="343">
        <v>44603</v>
      </c>
      <c r="O263" s="342" t="s">
        <v>5038</v>
      </c>
      <c r="P263" s="342" t="s">
        <v>5085</v>
      </c>
      <c r="Q263" s="342">
        <v>6133918584</v>
      </c>
      <c r="R263" s="342">
        <v>9110</v>
      </c>
      <c r="U263" s="342" t="s">
        <v>2042</v>
      </c>
      <c r="V263" s="342" t="s">
        <v>2099</v>
      </c>
      <c r="W263" s="342">
        <v>303008</v>
      </c>
      <c r="X263" s="342" t="s">
        <v>4990</v>
      </c>
      <c r="Y263" s="343">
        <v>40948</v>
      </c>
      <c r="Z263" s="342" t="s">
        <v>4063</v>
      </c>
      <c r="AA263" s="343">
        <v>44603</v>
      </c>
      <c r="AB263" s="342" t="s">
        <v>4064</v>
      </c>
      <c r="AC263" s="342" t="s">
        <v>4064</v>
      </c>
      <c r="AD263" s="342" t="s">
        <v>4065</v>
      </c>
      <c r="AI263" s="342" t="s">
        <v>4067</v>
      </c>
      <c r="AJ263" s="342" t="s">
        <v>5867</v>
      </c>
    </row>
    <row r="264" spans="1:44">
      <c r="A264" s="342">
        <v>277046</v>
      </c>
      <c r="B264" s="342" t="s">
        <v>476</v>
      </c>
      <c r="C264" s="342" t="s">
        <v>477</v>
      </c>
      <c r="D264" s="342">
        <v>35801</v>
      </c>
      <c r="E264" s="342" t="s">
        <v>478</v>
      </c>
      <c r="F264" s="342" t="s">
        <v>47</v>
      </c>
      <c r="G264" s="342" t="s">
        <v>960</v>
      </c>
      <c r="H264" s="342" t="s">
        <v>591</v>
      </c>
      <c r="I264" s="342" t="s">
        <v>40</v>
      </c>
      <c r="J264" s="342" t="s">
        <v>1336</v>
      </c>
      <c r="K264" s="342" t="s">
        <v>1402</v>
      </c>
      <c r="L264" s="343">
        <v>45351</v>
      </c>
      <c r="M264" s="343">
        <v>44616</v>
      </c>
      <c r="O264" s="342" t="s">
        <v>5420</v>
      </c>
      <c r="P264" s="342" t="s">
        <v>5086</v>
      </c>
      <c r="Q264" s="342">
        <v>6120211126</v>
      </c>
      <c r="R264" s="342">
        <v>9110</v>
      </c>
      <c r="V264" s="342" t="s">
        <v>2099</v>
      </c>
      <c r="W264" s="342">
        <v>300300</v>
      </c>
      <c r="X264" s="342" t="s">
        <v>4994</v>
      </c>
      <c r="Y264" s="343">
        <v>39729</v>
      </c>
      <c r="Z264" s="342" t="s">
        <v>4063</v>
      </c>
      <c r="AA264" s="343">
        <v>44616</v>
      </c>
      <c r="AB264" s="342" t="s">
        <v>4064</v>
      </c>
      <c r="AC264" s="342" t="s">
        <v>4064</v>
      </c>
      <c r="AD264" s="342" t="s">
        <v>4065</v>
      </c>
      <c r="AH264" s="342" t="s">
        <v>4071</v>
      </c>
      <c r="AI264" s="342" t="s">
        <v>4067</v>
      </c>
      <c r="AJ264" s="342" t="s">
        <v>6129</v>
      </c>
    </row>
    <row r="265" spans="1:44">
      <c r="A265" s="342">
        <v>278127</v>
      </c>
      <c r="B265" s="342" t="s">
        <v>1424</v>
      </c>
      <c r="C265" s="342" t="s">
        <v>1425</v>
      </c>
      <c r="D265" s="342">
        <v>201203</v>
      </c>
      <c r="E265" s="342" t="s">
        <v>1426</v>
      </c>
      <c r="F265" s="342" t="s">
        <v>175</v>
      </c>
      <c r="G265" s="342" t="s">
        <v>1427</v>
      </c>
      <c r="H265" s="342" t="s">
        <v>591</v>
      </c>
      <c r="I265" s="342" t="s">
        <v>737</v>
      </c>
      <c r="J265" s="342" t="s">
        <v>5281</v>
      </c>
      <c r="K265" s="342" t="s">
        <v>1233</v>
      </c>
      <c r="L265" s="343">
        <v>45077</v>
      </c>
      <c r="M265" s="343">
        <v>44705</v>
      </c>
      <c r="P265" s="342" t="s">
        <v>4717</v>
      </c>
      <c r="Q265" s="342">
        <v>6125595025</v>
      </c>
      <c r="R265" s="342" t="s">
        <v>1580</v>
      </c>
      <c r="V265" s="342" t="s">
        <v>4062</v>
      </c>
      <c r="W265" s="342">
        <v>229214</v>
      </c>
      <c r="X265" s="342" t="s">
        <v>5343</v>
      </c>
      <c r="Y265" s="343">
        <v>43874</v>
      </c>
      <c r="Z265" s="342" t="s">
        <v>4063</v>
      </c>
      <c r="AA265" s="343">
        <v>44705</v>
      </c>
      <c r="AB265" s="342" t="s">
        <v>4064</v>
      </c>
      <c r="AC265" s="342" t="s">
        <v>4064</v>
      </c>
      <c r="AD265" s="342" t="s">
        <v>4065</v>
      </c>
      <c r="AI265" s="342" t="s">
        <v>4067</v>
      </c>
      <c r="AJ265" s="342" t="s">
        <v>6130</v>
      </c>
    </row>
    <row r="266" spans="1:44">
      <c r="A266" s="342">
        <v>284291</v>
      </c>
      <c r="B266" s="342" t="s">
        <v>479</v>
      </c>
      <c r="C266" s="342" t="s">
        <v>480</v>
      </c>
      <c r="D266" s="342" t="s">
        <v>481</v>
      </c>
      <c r="E266" s="342" t="s">
        <v>380</v>
      </c>
      <c r="F266" s="342" t="s">
        <v>381</v>
      </c>
      <c r="G266" s="342" t="s">
        <v>961</v>
      </c>
      <c r="H266" s="342" t="s">
        <v>591</v>
      </c>
      <c r="I266" s="342" t="s">
        <v>40</v>
      </c>
      <c r="J266" s="342" t="s">
        <v>5282</v>
      </c>
      <c r="K266" s="342" t="s">
        <v>1233</v>
      </c>
      <c r="L266" s="343">
        <v>45412</v>
      </c>
      <c r="M266" s="343">
        <v>44672</v>
      </c>
      <c r="O266" s="342" t="s">
        <v>4700</v>
      </c>
      <c r="P266" s="342" t="s">
        <v>4628</v>
      </c>
      <c r="Q266" s="342">
        <v>6135928022</v>
      </c>
      <c r="R266" s="342">
        <v>9110</v>
      </c>
      <c r="V266" s="342" t="s">
        <v>2099</v>
      </c>
      <c r="W266" s="342">
        <v>305448</v>
      </c>
      <c r="X266" s="342" t="s">
        <v>5340</v>
      </c>
      <c r="Y266" s="343">
        <v>41870</v>
      </c>
      <c r="Z266" s="342" t="s">
        <v>4063</v>
      </c>
      <c r="AA266" s="343">
        <v>44672</v>
      </c>
      <c r="AB266" s="342" t="s">
        <v>4064</v>
      </c>
      <c r="AC266" s="342" t="s">
        <v>4064</v>
      </c>
      <c r="AD266" s="342" t="s">
        <v>4065</v>
      </c>
      <c r="AI266" s="342" t="s">
        <v>4067</v>
      </c>
      <c r="AJ266" s="342" t="s">
        <v>5846</v>
      </c>
    </row>
    <row r="267" spans="1:44">
      <c r="A267" s="342">
        <v>284316</v>
      </c>
      <c r="B267" s="342" t="s">
        <v>634</v>
      </c>
      <c r="C267" s="342" t="s">
        <v>635</v>
      </c>
      <c r="D267" s="342">
        <v>49441</v>
      </c>
      <c r="E267" s="342" t="s">
        <v>636</v>
      </c>
      <c r="F267" s="342" t="s">
        <v>51</v>
      </c>
      <c r="G267" s="342" t="s">
        <v>637</v>
      </c>
      <c r="H267" s="342" t="s">
        <v>591</v>
      </c>
      <c r="I267" s="342" t="s">
        <v>737</v>
      </c>
      <c r="J267" s="342" t="s">
        <v>5281</v>
      </c>
      <c r="K267" s="342" t="s">
        <v>1233</v>
      </c>
      <c r="L267" s="343">
        <v>45657</v>
      </c>
      <c r="M267" s="343">
        <v>44754</v>
      </c>
      <c r="P267" s="342" t="s">
        <v>1547</v>
      </c>
      <c r="Q267" s="342">
        <v>6115522147</v>
      </c>
      <c r="R267" s="342" t="s">
        <v>1581</v>
      </c>
      <c r="V267" s="342" t="s">
        <v>4062</v>
      </c>
      <c r="W267" s="342">
        <v>306023</v>
      </c>
      <c r="X267" s="342" t="s">
        <v>5343</v>
      </c>
      <c r="Y267" s="343">
        <v>42509</v>
      </c>
      <c r="Z267" s="342" t="s">
        <v>4063</v>
      </c>
      <c r="AA267" s="343">
        <v>44754</v>
      </c>
      <c r="AB267" s="342" t="s">
        <v>4064</v>
      </c>
      <c r="AC267" s="342" t="s">
        <v>4064</v>
      </c>
      <c r="AD267" s="342" t="s">
        <v>4065</v>
      </c>
      <c r="AH267" s="342" t="s">
        <v>4066</v>
      </c>
      <c r="AI267" s="342" t="s">
        <v>4067</v>
      </c>
      <c r="AJ267" s="342" t="s">
        <v>6131</v>
      </c>
    </row>
    <row r="268" spans="1:44">
      <c r="A268" s="342">
        <v>284407</v>
      </c>
      <c r="B268" s="342" t="s">
        <v>1380</v>
      </c>
      <c r="C268" s="342" t="s">
        <v>1381</v>
      </c>
      <c r="D268" s="342" t="s">
        <v>1382</v>
      </c>
      <c r="E268" s="342" t="s">
        <v>1383</v>
      </c>
      <c r="F268" s="342" t="s">
        <v>45</v>
      </c>
      <c r="H268" s="342" t="s">
        <v>591</v>
      </c>
      <c r="I268" s="342" t="s">
        <v>1114</v>
      </c>
      <c r="J268" s="342" t="s">
        <v>1510</v>
      </c>
      <c r="K268" s="342" t="s">
        <v>1233</v>
      </c>
      <c r="L268" s="343">
        <v>44895</v>
      </c>
      <c r="M268" s="343">
        <v>44160</v>
      </c>
      <c r="P268" s="342" t="s">
        <v>4833</v>
      </c>
      <c r="Q268" s="342">
        <v>6121360063</v>
      </c>
      <c r="R268" s="342">
        <v>9120</v>
      </c>
      <c r="V268" s="342" t="s">
        <v>2131</v>
      </c>
      <c r="W268" s="342">
        <v>300467</v>
      </c>
      <c r="X268" s="342" t="s">
        <v>4988</v>
      </c>
      <c r="Y268" s="343">
        <v>43788</v>
      </c>
      <c r="Z268" s="342" t="s">
        <v>4063</v>
      </c>
      <c r="AA268" s="343">
        <v>44160</v>
      </c>
      <c r="AB268" s="342" t="s">
        <v>4064</v>
      </c>
      <c r="AC268" s="342" t="s">
        <v>4064</v>
      </c>
      <c r="AD268" s="342" t="s">
        <v>4065</v>
      </c>
      <c r="AH268" s="342" t="s">
        <v>4166</v>
      </c>
      <c r="AI268" s="342" t="s">
        <v>4067</v>
      </c>
      <c r="AJ268" s="342" t="s">
        <v>5852</v>
      </c>
    </row>
    <row r="269" spans="1:44">
      <c r="A269" s="342">
        <v>284672</v>
      </c>
      <c r="B269" s="342" t="s">
        <v>1348</v>
      </c>
      <c r="C269" s="342" t="s">
        <v>1349</v>
      </c>
      <c r="D269" s="342">
        <v>80524</v>
      </c>
      <c r="E269" s="342" t="s">
        <v>1350</v>
      </c>
      <c r="F269" s="342" t="s">
        <v>51</v>
      </c>
      <c r="G269" s="342">
        <v>60029</v>
      </c>
      <c r="H269" s="342" t="s">
        <v>591</v>
      </c>
      <c r="I269" s="342" t="s">
        <v>40</v>
      </c>
      <c r="J269" s="342" t="s">
        <v>5280</v>
      </c>
      <c r="K269" s="342" t="s">
        <v>1233</v>
      </c>
      <c r="L269" s="343">
        <v>45229</v>
      </c>
      <c r="M269" s="343">
        <v>44375</v>
      </c>
      <c r="O269" s="342" t="s">
        <v>5460</v>
      </c>
      <c r="P269" s="342" t="s">
        <v>5243</v>
      </c>
      <c r="Q269" s="342">
        <v>6149552248</v>
      </c>
      <c r="R269" s="342">
        <v>9110</v>
      </c>
      <c r="U269" s="342" t="s">
        <v>2043</v>
      </c>
      <c r="V269" s="342" t="s">
        <v>2099</v>
      </c>
      <c r="W269" s="342">
        <v>307486</v>
      </c>
      <c r="X269" s="342" t="s">
        <v>5338</v>
      </c>
      <c r="Y269" s="343">
        <v>43721</v>
      </c>
      <c r="Z269" s="342" t="s">
        <v>4063</v>
      </c>
      <c r="AA269" s="343">
        <v>44375</v>
      </c>
      <c r="AB269" s="342" t="s">
        <v>4064</v>
      </c>
      <c r="AC269" s="342" t="s">
        <v>4064</v>
      </c>
      <c r="AD269" s="342" t="s">
        <v>4065</v>
      </c>
      <c r="AI269" s="342" t="s">
        <v>4111</v>
      </c>
      <c r="AJ269" s="342" t="s">
        <v>5846</v>
      </c>
      <c r="AR269" s="342" t="s">
        <v>4167</v>
      </c>
    </row>
    <row r="270" spans="1:44">
      <c r="A270" s="342">
        <v>284673</v>
      </c>
      <c r="B270" s="342" t="s">
        <v>1318</v>
      </c>
      <c r="C270" s="342" t="s">
        <v>1319</v>
      </c>
      <c r="D270" s="342">
        <v>61132</v>
      </c>
      <c r="E270" s="342" t="s">
        <v>565</v>
      </c>
      <c r="F270" s="342" t="s">
        <v>51</v>
      </c>
      <c r="G270" s="342">
        <v>5624</v>
      </c>
      <c r="H270" s="342" t="s">
        <v>591</v>
      </c>
      <c r="I270" s="342" t="s">
        <v>40</v>
      </c>
      <c r="J270" s="342" t="s">
        <v>5280</v>
      </c>
      <c r="K270" s="342" t="s">
        <v>1233</v>
      </c>
      <c r="L270" s="343">
        <v>45229</v>
      </c>
      <c r="M270" s="343">
        <v>44375</v>
      </c>
      <c r="O270" s="342" t="s">
        <v>6050</v>
      </c>
      <c r="P270" s="342" t="s">
        <v>4347</v>
      </c>
      <c r="Q270" s="342">
        <v>6113202281</v>
      </c>
      <c r="R270" s="342">
        <v>9110</v>
      </c>
      <c r="U270" s="342" t="s">
        <v>5352</v>
      </c>
      <c r="V270" s="342" t="s">
        <v>2099</v>
      </c>
      <c r="W270" s="342">
        <v>308187</v>
      </c>
      <c r="X270" s="342" t="s">
        <v>5338</v>
      </c>
      <c r="Y270" s="343">
        <v>43641</v>
      </c>
      <c r="Z270" s="342" t="s">
        <v>4063</v>
      </c>
      <c r="AA270" s="343">
        <v>44375</v>
      </c>
      <c r="AB270" s="342" t="s">
        <v>4064</v>
      </c>
      <c r="AC270" s="342" t="s">
        <v>4064</v>
      </c>
      <c r="AD270" s="342" t="s">
        <v>4065</v>
      </c>
      <c r="AI270" s="342" t="s">
        <v>4111</v>
      </c>
      <c r="AJ270" s="342" t="s">
        <v>5886</v>
      </c>
    </row>
    <row r="271" spans="1:44">
      <c r="A271" s="342">
        <v>284674</v>
      </c>
      <c r="B271" s="342" t="s">
        <v>482</v>
      </c>
      <c r="C271" s="342" t="s">
        <v>483</v>
      </c>
      <c r="D271" s="342" t="s">
        <v>484</v>
      </c>
      <c r="E271" s="342" t="s">
        <v>485</v>
      </c>
      <c r="F271" s="342" t="s">
        <v>51</v>
      </c>
      <c r="G271" s="342">
        <v>81039</v>
      </c>
      <c r="H271" s="342" t="s">
        <v>591</v>
      </c>
      <c r="I271" s="342" t="s">
        <v>40</v>
      </c>
      <c r="J271" s="342" t="s">
        <v>786</v>
      </c>
      <c r="K271" s="342" t="s">
        <v>1233</v>
      </c>
      <c r="L271" s="343">
        <v>45688</v>
      </c>
      <c r="M271" s="343">
        <v>44587</v>
      </c>
      <c r="O271" s="342" t="s">
        <v>4772</v>
      </c>
      <c r="P271" s="342" t="s">
        <v>5405</v>
      </c>
      <c r="Q271" s="342">
        <v>6111680300</v>
      </c>
      <c r="R271" s="342">
        <v>9110</v>
      </c>
      <c r="U271" s="342" t="s">
        <v>5140</v>
      </c>
      <c r="V271" s="342" t="s">
        <v>2099</v>
      </c>
      <c r="W271" s="342">
        <v>302994</v>
      </c>
      <c r="X271" s="342" t="s">
        <v>4995</v>
      </c>
      <c r="Y271" s="343">
        <v>41673</v>
      </c>
      <c r="Z271" s="342" t="s">
        <v>4063</v>
      </c>
      <c r="AA271" s="343">
        <v>44587</v>
      </c>
      <c r="AB271" s="342" t="s">
        <v>4064</v>
      </c>
      <c r="AC271" s="342" t="s">
        <v>4064</v>
      </c>
      <c r="AD271" s="342" t="s">
        <v>4065</v>
      </c>
      <c r="AI271" s="342" t="s">
        <v>4067</v>
      </c>
      <c r="AJ271" s="342" t="s">
        <v>5844</v>
      </c>
    </row>
    <row r="272" spans="1:44">
      <c r="A272" s="342">
        <v>285021</v>
      </c>
      <c r="B272" s="342" t="s">
        <v>486</v>
      </c>
      <c r="C272" s="342" t="s">
        <v>487</v>
      </c>
      <c r="D272" s="342">
        <v>361006</v>
      </c>
      <c r="E272" s="342" t="s">
        <v>488</v>
      </c>
      <c r="F272" s="342" t="s">
        <v>175</v>
      </c>
      <c r="G272" s="342" t="s">
        <v>962</v>
      </c>
      <c r="H272" s="342" t="s">
        <v>591</v>
      </c>
      <c r="I272" s="342" t="s">
        <v>40</v>
      </c>
      <c r="J272" s="342" t="s">
        <v>5282</v>
      </c>
      <c r="K272" s="342" t="s">
        <v>1402</v>
      </c>
      <c r="L272" s="343">
        <v>45412</v>
      </c>
      <c r="M272" s="343">
        <v>44673</v>
      </c>
      <c r="O272" s="342" t="s">
        <v>4911</v>
      </c>
      <c r="P272" s="342" t="s">
        <v>5811</v>
      </c>
      <c r="Q272" s="342">
        <v>6131938809</v>
      </c>
      <c r="R272" s="342">
        <v>9110</v>
      </c>
      <c r="V272" s="342" t="s">
        <v>2099</v>
      </c>
      <c r="W272" s="342">
        <v>300256</v>
      </c>
      <c r="X272" s="342" t="s">
        <v>5340</v>
      </c>
      <c r="Y272" s="343">
        <v>39682</v>
      </c>
      <c r="Z272" s="342" t="s">
        <v>4063</v>
      </c>
      <c r="AA272" s="343">
        <v>44673</v>
      </c>
      <c r="AB272" s="342" t="s">
        <v>4064</v>
      </c>
      <c r="AC272" s="342" t="s">
        <v>4064</v>
      </c>
      <c r="AD272" s="342" t="s">
        <v>4065</v>
      </c>
      <c r="AH272" s="342" t="s">
        <v>4168</v>
      </c>
      <c r="AI272" s="342" t="s">
        <v>4067</v>
      </c>
      <c r="AJ272" s="342" t="s">
        <v>5867</v>
      </c>
    </row>
    <row r="273" spans="1:44">
      <c r="A273" s="342">
        <v>285038</v>
      </c>
      <c r="B273" s="342" t="s">
        <v>963</v>
      </c>
      <c r="C273" s="342" t="s">
        <v>489</v>
      </c>
      <c r="D273" s="342">
        <v>67129</v>
      </c>
      <c r="E273" s="342" t="s">
        <v>270</v>
      </c>
      <c r="F273" s="342" t="s">
        <v>47</v>
      </c>
      <c r="H273" s="342" t="s">
        <v>591</v>
      </c>
      <c r="I273" s="342" t="s">
        <v>40</v>
      </c>
      <c r="J273" s="342" t="s">
        <v>5280</v>
      </c>
      <c r="K273" s="342" t="s">
        <v>1233</v>
      </c>
      <c r="L273" s="343">
        <v>45230</v>
      </c>
      <c r="M273" s="343">
        <v>44319</v>
      </c>
      <c r="O273" s="342" t="s">
        <v>5005</v>
      </c>
      <c r="P273" s="342" t="s">
        <v>5746</v>
      </c>
      <c r="Q273" s="342">
        <v>6135733107</v>
      </c>
      <c r="R273" s="342">
        <v>9110</v>
      </c>
      <c r="V273" s="342" t="s">
        <v>2099</v>
      </c>
      <c r="W273" s="342">
        <v>229368</v>
      </c>
      <c r="X273" s="342" t="s">
        <v>5338</v>
      </c>
      <c r="Y273" s="343">
        <v>39419</v>
      </c>
      <c r="Z273" s="342" t="s">
        <v>4063</v>
      </c>
      <c r="AA273" s="343">
        <v>44319</v>
      </c>
      <c r="AB273" s="342" t="s">
        <v>4064</v>
      </c>
      <c r="AC273" s="342" t="s">
        <v>4064</v>
      </c>
      <c r="AD273" s="342" t="s">
        <v>4065</v>
      </c>
      <c r="AH273" s="342" t="s">
        <v>4159</v>
      </c>
      <c r="AI273" s="342" t="s">
        <v>4067</v>
      </c>
      <c r="AJ273" s="342" t="s">
        <v>5852</v>
      </c>
    </row>
    <row r="274" spans="1:44">
      <c r="A274" s="342">
        <v>285200</v>
      </c>
      <c r="B274" s="342" t="s">
        <v>4187</v>
      </c>
      <c r="C274" s="342" t="s">
        <v>4188</v>
      </c>
      <c r="D274" s="342">
        <v>84404</v>
      </c>
      <c r="E274" s="342" t="s">
        <v>4189</v>
      </c>
      <c r="F274" s="342" t="s">
        <v>51</v>
      </c>
      <c r="H274" s="342" t="s">
        <v>591</v>
      </c>
      <c r="I274" s="342" t="s">
        <v>40</v>
      </c>
      <c r="J274" s="342" t="s">
        <v>1336</v>
      </c>
      <c r="K274" s="342" t="s">
        <v>1402</v>
      </c>
      <c r="L274" s="343">
        <v>45199</v>
      </c>
      <c r="M274" s="343">
        <v>44648</v>
      </c>
      <c r="O274" s="342" t="s">
        <v>4890</v>
      </c>
      <c r="P274" s="342" t="s">
        <v>4408</v>
      </c>
      <c r="Q274" s="342">
        <v>6109914509</v>
      </c>
      <c r="R274" s="342">
        <v>9110</v>
      </c>
      <c r="U274" s="342" t="s">
        <v>4196</v>
      </c>
      <c r="V274" s="342" t="s">
        <v>2099</v>
      </c>
      <c r="W274" s="342">
        <v>308719</v>
      </c>
      <c r="X274" s="342" t="s">
        <v>4994</v>
      </c>
      <c r="Y274" s="343">
        <v>44179</v>
      </c>
      <c r="Z274" s="342" t="s">
        <v>4063</v>
      </c>
      <c r="AA274" s="343">
        <v>44648</v>
      </c>
      <c r="AB274" s="342" t="s">
        <v>4064</v>
      </c>
      <c r="AC274" s="342" t="s">
        <v>4064</v>
      </c>
      <c r="AD274" s="342" t="s">
        <v>4065</v>
      </c>
      <c r="AI274" s="342" t="s">
        <v>4067</v>
      </c>
      <c r="AJ274" s="342" t="s">
        <v>5842</v>
      </c>
    </row>
    <row r="275" spans="1:44">
      <c r="A275" s="342">
        <v>285440</v>
      </c>
      <c r="B275" s="342" t="s">
        <v>490</v>
      </c>
      <c r="C275" s="342" t="s">
        <v>491</v>
      </c>
      <c r="D275" s="342">
        <v>101312</v>
      </c>
      <c r="E275" s="342" t="s">
        <v>492</v>
      </c>
      <c r="F275" s="342" t="s">
        <v>175</v>
      </c>
      <c r="G275" s="342" t="s">
        <v>964</v>
      </c>
      <c r="H275" s="342" t="s">
        <v>591</v>
      </c>
      <c r="I275" s="342" t="s">
        <v>40</v>
      </c>
      <c r="J275" s="342" t="s">
        <v>1510</v>
      </c>
      <c r="K275" s="342" t="s">
        <v>1402</v>
      </c>
      <c r="L275" s="343">
        <v>44985</v>
      </c>
      <c r="M275" s="343">
        <v>44255</v>
      </c>
      <c r="O275" s="342" t="s">
        <v>4786</v>
      </c>
      <c r="P275" s="342" t="s">
        <v>1548</v>
      </c>
      <c r="Q275" s="342">
        <v>6125567189</v>
      </c>
      <c r="R275" s="342">
        <v>9110</v>
      </c>
      <c r="V275" s="342" t="s">
        <v>2099</v>
      </c>
      <c r="W275" s="342">
        <v>301985</v>
      </c>
      <c r="X275" s="342" t="s">
        <v>4988</v>
      </c>
      <c r="Y275" s="343">
        <v>40497</v>
      </c>
      <c r="Z275" s="342" t="s">
        <v>4063</v>
      </c>
      <c r="AA275" s="343">
        <v>44255</v>
      </c>
      <c r="AB275" s="342" t="s">
        <v>4064</v>
      </c>
      <c r="AC275" s="342" t="s">
        <v>4064</v>
      </c>
      <c r="AD275" s="342" t="s">
        <v>4065</v>
      </c>
      <c r="AI275" s="342" t="s">
        <v>4067</v>
      </c>
      <c r="AJ275" s="342" t="s">
        <v>5864</v>
      </c>
    </row>
    <row r="276" spans="1:44">
      <c r="A276" s="342">
        <v>286796</v>
      </c>
      <c r="B276" s="342" t="s">
        <v>494</v>
      </c>
      <c r="C276" s="342" t="s">
        <v>495</v>
      </c>
      <c r="D276" s="342">
        <v>45600</v>
      </c>
      <c r="E276" s="342" t="s">
        <v>330</v>
      </c>
      <c r="F276" s="342" t="s">
        <v>47</v>
      </c>
      <c r="G276" s="342" t="s">
        <v>496</v>
      </c>
      <c r="H276" s="342" t="s">
        <v>591</v>
      </c>
      <c r="I276" s="342" t="s">
        <v>40</v>
      </c>
      <c r="J276" s="342" t="s">
        <v>5279</v>
      </c>
      <c r="K276" s="342" t="s">
        <v>1233</v>
      </c>
      <c r="L276" s="343">
        <v>45229</v>
      </c>
      <c r="M276" s="343">
        <v>44679</v>
      </c>
      <c r="O276" s="342" t="s">
        <v>4654</v>
      </c>
      <c r="P276" s="342" t="s">
        <v>1549</v>
      </c>
      <c r="Q276" s="342">
        <v>6137616109</v>
      </c>
      <c r="R276" s="342">
        <v>9110</v>
      </c>
      <c r="U276" s="342" t="s">
        <v>2044</v>
      </c>
      <c r="V276" s="342" t="s">
        <v>2099</v>
      </c>
      <c r="W276" s="342">
        <v>303352</v>
      </c>
      <c r="X276" s="342" t="s">
        <v>5386</v>
      </c>
      <c r="Y276" s="343">
        <v>42101</v>
      </c>
      <c r="Z276" s="342" t="s">
        <v>4063</v>
      </c>
      <c r="AA276" s="343">
        <v>44679</v>
      </c>
      <c r="AB276" s="342" t="s">
        <v>4064</v>
      </c>
      <c r="AC276" s="342" t="s">
        <v>4064</v>
      </c>
      <c r="AD276" s="342" t="s">
        <v>4065</v>
      </c>
      <c r="AI276" s="342" t="s">
        <v>4067</v>
      </c>
      <c r="AJ276" s="342" t="s">
        <v>5935</v>
      </c>
    </row>
    <row r="277" spans="1:44">
      <c r="A277" s="342">
        <v>287067</v>
      </c>
      <c r="B277" s="342" t="s">
        <v>965</v>
      </c>
      <c r="C277" s="342" t="s">
        <v>966</v>
      </c>
      <c r="D277" s="342">
        <v>65380</v>
      </c>
      <c r="E277" s="342" t="s">
        <v>967</v>
      </c>
      <c r="F277" s="342" t="s">
        <v>47</v>
      </c>
      <c r="G277" s="342" t="s">
        <v>968</v>
      </c>
      <c r="H277" s="342" t="s">
        <v>591</v>
      </c>
      <c r="I277" s="342" t="s">
        <v>41</v>
      </c>
      <c r="J277" s="342" t="s">
        <v>786</v>
      </c>
      <c r="K277" s="342" t="s">
        <v>1402</v>
      </c>
      <c r="L277" s="343">
        <v>44957</v>
      </c>
      <c r="M277" s="343">
        <v>44579</v>
      </c>
      <c r="O277" s="342" t="s">
        <v>5296</v>
      </c>
      <c r="P277" s="342" t="s">
        <v>5054</v>
      </c>
      <c r="Q277" s="342">
        <v>6141908780</v>
      </c>
      <c r="R277" s="342">
        <v>9110</v>
      </c>
      <c r="V277" s="342" t="s">
        <v>2217</v>
      </c>
      <c r="W277" s="342">
        <v>301018</v>
      </c>
      <c r="X277" s="342" t="s">
        <v>4995</v>
      </c>
      <c r="Y277" s="343">
        <v>40358</v>
      </c>
      <c r="Z277" s="342" t="s">
        <v>4063</v>
      </c>
      <c r="AA277" s="343">
        <v>44579</v>
      </c>
      <c r="AB277" s="342" t="s">
        <v>4064</v>
      </c>
      <c r="AC277" s="342" t="s">
        <v>4064</v>
      </c>
      <c r="AD277" s="342" t="s">
        <v>4065</v>
      </c>
      <c r="AI277" s="342" t="s">
        <v>4067</v>
      </c>
      <c r="AJ277" s="342" t="s">
        <v>5850</v>
      </c>
    </row>
    <row r="278" spans="1:44">
      <c r="A278" s="342">
        <v>287463</v>
      </c>
      <c r="B278" s="342" t="s">
        <v>1166</v>
      </c>
      <c r="C278" s="342" t="s">
        <v>498</v>
      </c>
      <c r="D278" s="342">
        <v>88471</v>
      </c>
      <c r="E278" s="342" t="s">
        <v>499</v>
      </c>
      <c r="F278" s="342" t="s">
        <v>55</v>
      </c>
      <c r="G278" s="342" t="s">
        <v>969</v>
      </c>
      <c r="H278" s="342" t="s">
        <v>591</v>
      </c>
      <c r="I278" s="342" t="s">
        <v>40</v>
      </c>
      <c r="J278" s="342" t="s">
        <v>4608</v>
      </c>
      <c r="K278" s="342" t="s">
        <v>1233</v>
      </c>
      <c r="L278" s="343">
        <v>44985</v>
      </c>
      <c r="M278" s="343">
        <v>44250</v>
      </c>
      <c r="O278" s="342" t="s">
        <v>5195</v>
      </c>
      <c r="P278" s="342" t="s">
        <v>5812</v>
      </c>
      <c r="Q278" s="342">
        <v>6125558402</v>
      </c>
      <c r="R278" s="342">
        <v>9110</v>
      </c>
      <c r="V278" s="342" t="s">
        <v>2099</v>
      </c>
      <c r="W278" s="342">
        <v>300297</v>
      </c>
      <c r="X278" s="342" t="s">
        <v>4169</v>
      </c>
      <c r="Y278" s="343">
        <v>40015</v>
      </c>
      <c r="Z278" s="342" t="s">
        <v>4063</v>
      </c>
      <c r="AA278" s="343">
        <v>44250</v>
      </c>
      <c r="AB278" s="342" t="s">
        <v>4064</v>
      </c>
      <c r="AC278" s="342" t="s">
        <v>4064</v>
      </c>
      <c r="AD278" s="342" t="s">
        <v>4065</v>
      </c>
      <c r="AH278" s="342" t="s">
        <v>4079</v>
      </c>
      <c r="AI278" s="342" t="s">
        <v>4067</v>
      </c>
      <c r="AJ278" s="342" t="s">
        <v>5863</v>
      </c>
      <c r="AR278" s="342" t="s">
        <v>4170</v>
      </c>
    </row>
    <row r="279" spans="1:44">
      <c r="A279" s="342">
        <v>287466</v>
      </c>
      <c r="B279" s="342" t="s">
        <v>500</v>
      </c>
      <c r="C279" s="342" t="s">
        <v>501</v>
      </c>
      <c r="D279" s="342">
        <v>508918</v>
      </c>
      <c r="E279" s="342" t="s">
        <v>336</v>
      </c>
      <c r="F279" s="342" t="s">
        <v>337</v>
      </c>
      <c r="G279" s="342" t="s">
        <v>970</v>
      </c>
      <c r="H279" s="342" t="s">
        <v>591</v>
      </c>
      <c r="I279" s="342" t="s">
        <v>40</v>
      </c>
      <c r="J279" s="342" t="s">
        <v>5282</v>
      </c>
      <c r="K279" s="342" t="s">
        <v>1233</v>
      </c>
      <c r="L279" s="343">
        <v>45077</v>
      </c>
      <c r="M279" s="343">
        <v>44347</v>
      </c>
      <c r="O279" s="342" t="s">
        <v>5680</v>
      </c>
      <c r="P279" s="342" t="s">
        <v>5813</v>
      </c>
      <c r="Q279" s="342">
        <v>6115180068</v>
      </c>
      <c r="R279" s="342">
        <v>9110</v>
      </c>
      <c r="V279" s="342" t="s">
        <v>2099</v>
      </c>
      <c r="W279" s="342">
        <v>300535</v>
      </c>
      <c r="X279" s="342" t="s">
        <v>5340</v>
      </c>
      <c r="Y279" s="343">
        <v>40532</v>
      </c>
      <c r="Z279" s="342" t="s">
        <v>4063</v>
      </c>
      <c r="AA279" s="343">
        <v>44347</v>
      </c>
      <c r="AB279" s="342" t="s">
        <v>4064</v>
      </c>
      <c r="AC279" s="342" t="s">
        <v>4064</v>
      </c>
      <c r="AD279" s="342" t="s">
        <v>4065</v>
      </c>
      <c r="AH279" s="342" t="s">
        <v>4077</v>
      </c>
      <c r="AI279" s="342" t="s">
        <v>4067</v>
      </c>
      <c r="AJ279" s="342" t="s">
        <v>5845</v>
      </c>
    </row>
    <row r="280" spans="1:44">
      <c r="A280" s="342">
        <v>287479</v>
      </c>
      <c r="B280" s="342" t="s">
        <v>502</v>
      </c>
      <c r="C280" s="342" t="s">
        <v>1189</v>
      </c>
      <c r="D280" s="342">
        <v>93290</v>
      </c>
      <c r="E280" s="342" t="s">
        <v>1190</v>
      </c>
      <c r="F280" s="342" t="s">
        <v>47</v>
      </c>
      <c r="G280" s="342" t="s">
        <v>503</v>
      </c>
      <c r="H280" s="342" t="s">
        <v>591</v>
      </c>
      <c r="I280" s="342" t="s">
        <v>737</v>
      </c>
      <c r="J280" s="342" t="s">
        <v>1421</v>
      </c>
      <c r="K280" s="342" t="s">
        <v>1233</v>
      </c>
      <c r="L280" s="343">
        <v>45230</v>
      </c>
      <c r="M280" s="343">
        <v>44490</v>
      </c>
      <c r="O280" s="342" t="s">
        <v>1070</v>
      </c>
      <c r="P280" s="342" t="s">
        <v>1550</v>
      </c>
      <c r="Q280" s="342">
        <v>6132975104</v>
      </c>
      <c r="R280" s="342" t="s">
        <v>1581</v>
      </c>
      <c r="V280" s="342" t="s">
        <v>4062</v>
      </c>
      <c r="W280" s="342">
        <v>301141</v>
      </c>
      <c r="X280" s="342" t="s">
        <v>4991</v>
      </c>
      <c r="Y280" s="343">
        <v>42650</v>
      </c>
      <c r="Z280" s="342" t="s">
        <v>4063</v>
      </c>
      <c r="AA280" s="343">
        <v>44490</v>
      </c>
      <c r="AB280" s="342" t="s">
        <v>4064</v>
      </c>
      <c r="AC280" s="342" t="s">
        <v>4064</v>
      </c>
      <c r="AD280" s="342" t="s">
        <v>4065</v>
      </c>
      <c r="AH280" s="342" t="s">
        <v>4071</v>
      </c>
      <c r="AI280" s="342" t="s">
        <v>4067</v>
      </c>
      <c r="AJ280" s="342" t="s">
        <v>6132</v>
      </c>
    </row>
    <row r="281" spans="1:44">
      <c r="A281" s="342">
        <v>287490</v>
      </c>
      <c r="B281" s="342" t="s">
        <v>504</v>
      </c>
      <c r="C281" s="342" t="s">
        <v>505</v>
      </c>
      <c r="D281" s="342">
        <v>32600</v>
      </c>
      <c r="E281" s="342" t="s">
        <v>46</v>
      </c>
      <c r="F281" s="342" t="s">
        <v>47</v>
      </c>
      <c r="G281" s="342" t="s">
        <v>971</v>
      </c>
      <c r="H281" s="342" t="s">
        <v>591</v>
      </c>
      <c r="I281" s="342" t="s">
        <v>40</v>
      </c>
      <c r="J281" s="342" t="s">
        <v>1336</v>
      </c>
      <c r="K281" s="342" t="s">
        <v>1402</v>
      </c>
      <c r="L281" s="343">
        <v>45169</v>
      </c>
      <c r="M281" s="343">
        <v>44053</v>
      </c>
      <c r="O281" s="342" t="s">
        <v>5609</v>
      </c>
      <c r="P281" s="342" t="s">
        <v>5087</v>
      </c>
      <c r="Q281" s="342">
        <v>6148425868</v>
      </c>
      <c r="R281" s="342">
        <v>9110</v>
      </c>
      <c r="V281" s="342" t="s">
        <v>2099</v>
      </c>
      <c r="W281" s="342">
        <v>305473</v>
      </c>
      <c r="X281" s="342" t="s">
        <v>4994</v>
      </c>
      <c r="Y281" s="343">
        <v>41879</v>
      </c>
      <c r="Z281" s="342" t="s">
        <v>4063</v>
      </c>
      <c r="AA281" s="343">
        <v>44053</v>
      </c>
      <c r="AB281" s="342" t="s">
        <v>4064</v>
      </c>
      <c r="AC281" s="342" t="s">
        <v>4064</v>
      </c>
      <c r="AD281" s="342" t="s">
        <v>4065</v>
      </c>
      <c r="AI281" s="342" t="s">
        <v>4067</v>
      </c>
      <c r="AJ281" s="342" t="s">
        <v>5974</v>
      </c>
    </row>
    <row r="282" spans="1:44">
      <c r="A282" s="342">
        <v>287523</v>
      </c>
      <c r="B282" s="342" t="s">
        <v>506</v>
      </c>
      <c r="C282" s="342" t="s">
        <v>507</v>
      </c>
      <c r="D282" s="342">
        <v>797553</v>
      </c>
      <c r="E282" s="342" t="s">
        <v>336</v>
      </c>
      <c r="F282" s="342" t="s">
        <v>337</v>
      </c>
      <c r="G282" s="342" t="s">
        <v>508</v>
      </c>
      <c r="H282" s="342" t="s">
        <v>591</v>
      </c>
      <c r="I282" s="342" t="s">
        <v>40</v>
      </c>
      <c r="J282" s="342" t="s">
        <v>4608</v>
      </c>
      <c r="K282" s="342" t="s">
        <v>1233</v>
      </c>
      <c r="L282" s="343">
        <v>45777</v>
      </c>
      <c r="M282" s="343">
        <v>44656</v>
      </c>
      <c r="O282" s="342" t="s">
        <v>5610</v>
      </c>
      <c r="P282" s="342" t="s">
        <v>5088</v>
      </c>
      <c r="Q282" s="342">
        <v>6127016748</v>
      </c>
      <c r="R282" s="342">
        <v>9110</v>
      </c>
      <c r="V282" s="342" t="s">
        <v>2099</v>
      </c>
      <c r="W282" s="342">
        <v>300692</v>
      </c>
      <c r="X282" s="342" t="s">
        <v>4993</v>
      </c>
      <c r="Y282" s="343">
        <v>40533</v>
      </c>
      <c r="Z282" s="342" t="s">
        <v>4063</v>
      </c>
      <c r="AA282" s="343">
        <v>44656</v>
      </c>
      <c r="AB282" s="342" t="s">
        <v>4064</v>
      </c>
      <c r="AC282" s="342" t="s">
        <v>4064</v>
      </c>
      <c r="AD282" s="342" t="s">
        <v>4065</v>
      </c>
      <c r="AH282" s="342" t="s">
        <v>4171</v>
      </c>
      <c r="AI282" s="342" t="s">
        <v>4067</v>
      </c>
      <c r="AJ282" s="342" t="s">
        <v>5886</v>
      </c>
    </row>
    <row r="283" spans="1:44">
      <c r="A283" s="342">
        <v>287718</v>
      </c>
      <c r="B283" s="342" t="s">
        <v>407</v>
      </c>
      <c r="C283" s="342" t="s">
        <v>972</v>
      </c>
      <c r="D283" s="342">
        <v>1180</v>
      </c>
      <c r="E283" s="342" t="s">
        <v>973</v>
      </c>
      <c r="F283" s="342" t="s">
        <v>66</v>
      </c>
      <c r="G283" s="342" t="s">
        <v>974</v>
      </c>
      <c r="H283" s="342" t="s">
        <v>591</v>
      </c>
      <c r="I283" s="342" t="s">
        <v>737</v>
      </c>
      <c r="J283" s="342" t="s">
        <v>5281</v>
      </c>
      <c r="K283" s="342" t="s">
        <v>1233</v>
      </c>
      <c r="L283" s="343">
        <v>45077</v>
      </c>
      <c r="M283" s="343">
        <v>44705</v>
      </c>
      <c r="P283" s="342" t="s">
        <v>5814</v>
      </c>
      <c r="R283" s="342" t="s">
        <v>1580</v>
      </c>
      <c r="V283" s="342" t="s">
        <v>4062</v>
      </c>
      <c r="W283" s="342">
        <v>301220</v>
      </c>
      <c r="X283" s="342" t="s">
        <v>5343</v>
      </c>
      <c r="Y283" s="343">
        <v>42509</v>
      </c>
      <c r="Z283" s="342" t="s">
        <v>4063</v>
      </c>
      <c r="AA283" s="343">
        <v>44705</v>
      </c>
      <c r="AB283" s="342" t="s">
        <v>4064</v>
      </c>
      <c r="AC283" s="342" t="s">
        <v>4064</v>
      </c>
      <c r="AD283" s="342" t="s">
        <v>4065</v>
      </c>
      <c r="AH283" s="342" t="s">
        <v>4066</v>
      </c>
      <c r="AI283" s="342" t="s">
        <v>4067</v>
      </c>
      <c r="AJ283" s="342" t="s">
        <v>6133</v>
      </c>
    </row>
    <row r="284" spans="1:44">
      <c r="A284" s="342">
        <v>287722</v>
      </c>
      <c r="B284" s="342" t="s">
        <v>743</v>
      </c>
      <c r="C284" s="342" t="s">
        <v>1418</v>
      </c>
      <c r="D284" s="342">
        <v>76220</v>
      </c>
      <c r="E284" s="342" t="s">
        <v>1419</v>
      </c>
      <c r="F284" s="342" t="s">
        <v>1088</v>
      </c>
      <c r="G284" s="342" t="s">
        <v>1420</v>
      </c>
      <c r="H284" s="342" t="s">
        <v>591</v>
      </c>
      <c r="I284" s="342" t="s">
        <v>737</v>
      </c>
      <c r="J284" s="342" t="s">
        <v>5280</v>
      </c>
      <c r="K284" s="342" t="s">
        <v>1233</v>
      </c>
      <c r="L284" s="343">
        <v>45230</v>
      </c>
      <c r="M284" s="343">
        <v>44319</v>
      </c>
      <c r="O284" s="342" t="s">
        <v>4912</v>
      </c>
      <c r="P284" s="342" t="s">
        <v>4675</v>
      </c>
      <c r="Q284" s="342">
        <v>6135336449</v>
      </c>
      <c r="R284" s="342" t="s">
        <v>1580</v>
      </c>
      <c r="V284" s="342" t="s">
        <v>4062</v>
      </c>
      <c r="W284" s="342">
        <v>308454</v>
      </c>
      <c r="X284" s="342" t="s">
        <v>5338</v>
      </c>
      <c r="Y284" s="343">
        <v>43802</v>
      </c>
      <c r="Z284" s="342" t="s">
        <v>4063</v>
      </c>
      <c r="AA284" s="343">
        <v>44319</v>
      </c>
      <c r="AB284" s="342" t="s">
        <v>4064</v>
      </c>
      <c r="AC284" s="342" t="s">
        <v>4064</v>
      </c>
      <c r="AD284" s="342" t="s">
        <v>4065</v>
      </c>
      <c r="AI284" s="342" t="s">
        <v>4067</v>
      </c>
      <c r="AJ284" s="342" t="s">
        <v>6134</v>
      </c>
    </row>
    <row r="285" spans="1:44">
      <c r="A285" s="342">
        <v>287746</v>
      </c>
      <c r="B285" s="342" t="s">
        <v>1101</v>
      </c>
      <c r="C285" s="342" t="s">
        <v>1102</v>
      </c>
      <c r="D285" s="342">
        <v>26316</v>
      </c>
      <c r="E285" s="342" t="s">
        <v>1103</v>
      </c>
      <c r="F285" s="342" t="s">
        <v>55</v>
      </c>
      <c r="G285" s="342" t="s">
        <v>1104</v>
      </c>
      <c r="H285" s="342" t="s">
        <v>591</v>
      </c>
      <c r="I285" s="342" t="s">
        <v>40</v>
      </c>
      <c r="J285" s="342" t="s">
        <v>1336</v>
      </c>
      <c r="K285" s="342" t="s">
        <v>1233</v>
      </c>
      <c r="L285" s="343">
        <v>45747</v>
      </c>
      <c r="M285" s="343">
        <v>44651</v>
      </c>
      <c r="O285" s="342" t="s">
        <v>1082</v>
      </c>
      <c r="P285" s="342" t="s">
        <v>1551</v>
      </c>
      <c r="Q285" s="342">
        <v>6126148905</v>
      </c>
      <c r="R285" s="342">
        <v>9110</v>
      </c>
      <c r="V285" s="342" t="s">
        <v>2099</v>
      </c>
      <c r="W285" s="342">
        <v>300637</v>
      </c>
      <c r="X285" s="342" t="s">
        <v>5532</v>
      </c>
      <c r="Y285" s="343">
        <v>40052</v>
      </c>
      <c r="Z285" s="342" t="s">
        <v>4063</v>
      </c>
      <c r="AA285" s="343">
        <v>44651</v>
      </c>
      <c r="AB285" s="342" t="s">
        <v>4064</v>
      </c>
      <c r="AC285" s="342" t="s">
        <v>4064</v>
      </c>
      <c r="AD285" s="342" t="s">
        <v>4065</v>
      </c>
      <c r="AH285" s="342" t="s">
        <v>4069</v>
      </c>
      <c r="AI285" s="342" t="s">
        <v>4067</v>
      </c>
      <c r="AJ285" s="342" t="s">
        <v>5849</v>
      </c>
      <c r="AL285" s="342">
        <v>10732</v>
      </c>
      <c r="AM285" s="342" t="s">
        <v>5533</v>
      </c>
      <c r="AN285" s="342" t="s">
        <v>4172</v>
      </c>
      <c r="AR285" s="342" t="s">
        <v>4173</v>
      </c>
    </row>
    <row r="286" spans="1:44">
      <c r="A286" s="342">
        <v>287747</v>
      </c>
      <c r="B286" s="342" t="s">
        <v>509</v>
      </c>
      <c r="C286" s="342" t="s">
        <v>510</v>
      </c>
      <c r="D286" s="342">
        <v>86179</v>
      </c>
      <c r="E286" s="342" t="s">
        <v>511</v>
      </c>
      <c r="F286" s="342" t="s">
        <v>55</v>
      </c>
      <c r="G286" s="342" t="s">
        <v>975</v>
      </c>
      <c r="H286" s="342" t="s">
        <v>591</v>
      </c>
      <c r="I286" s="342" t="s">
        <v>737</v>
      </c>
      <c r="J286" s="342" t="s">
        <v>1336</v>
      </c>
      <c r="K286" s="342" t="s">
        <v>1233</v>
      </c>
      <c r="L286" s="343">
        <v>45747</v>
      </c>
      <c r="M286" s="343">
        <v>44651</v>
      </c>
      <c r="O286" s="342" t="s">
        <v>2541</v>
      </c>
      <c r="P286" s="342" t="s">
        <v>1551</v>
      </c>
      <c r="Q286" s="342">
        <v>6126143324</v>
      </c>
      <c r="R286" s="342" t="s">
        <v>1581</v>
      </c>
      <c r="V286" s="342" t="s">
        <v>4062</v>
      </c>
      <c r="W286" s="342">
        <v>300638</v>
      </c>
      <c r="X286" s="342" t="s">
        <v>5532</v>
      </c>
      <c r="Y286" s="343">
        <v>42941</v>
      </c>
      <c r="Z286" s="342" t="s">
        <v>4063</v>
      </c>
      <c r="AA286" s="343">
        <v>44651</v>
      </c>
      <c r="AB286" s="342" t="s">
        <v>4064</v>
      </c>
      <c r="AC286" s="342" t="s">
        <v>4064</v>
      </c>
      <c r="AD286" s="342" t="s">
        <v>4065</v>
      </c>
      <c r="AH286" s="342" t="s">
        <v>4069</v>
      </c>
      <c r="AI286" s="342" t="s">
        <v>4067</v>
      </c>
      <c r="AJ286" s="342" t="s">
        <v>6135</v>
      </c>
      <c r="AL286" s="342">
        <v>8425</v>
      </c>
      <c r="AM286" s="342" t="s">
        <v>5404</v>
      </c>
      <c r="AN286" s="342" t="s">
        <v>4172</v>
      </c>
      <c r="AR286" s="342" t="s">
        <v>4174</v>
      </c>
    </row>
    <row r="287" spans="1:44">
      <c r="A287" s="342">
        <v>287941</v>
      </c>
      <c r="B287" s="342" t="s">
        <v>5363</v>
      </c>
      <c r="C287" s="342" t="s">
        <v>4936</v>
      </c>
      <c r="D287" s="342">
        <v>87700</v>
      </c>
      <c r="E287" s="342" t="s">
        <v>4937</v>
      </c>
      <c r="F287" s="342" t="s">
        <v>55</v>
      </c>
      <c r="G287" s="342" t="s">
        <v>4938</v>
      </c>
      <c r="H287" s="342" t="s">
        <v>591</v>
      </c>
      <c r="I287" s="342" t="s">
        <v>40</v>
      </c>
      <c r="J287" s="342" t="s">
        <v>1277</v>
      </c>
      <c r="K287" s="342" t="s">
        <v>5218</v>
      </c>
      <c r="L287" s="343">
        <v>45656</v>
      </c>
      <c r="M287" s="343">
        <v>44544</v>
      </c>
      <c r="O287" s="342" t="s">
        <v>4943</v>
      </c>
      <c r="P287" s="342" t="s">
        <v>5055</v>
      </c>
      <c r="R287" s="342">
        <v>9110</v>
      </c>
      <c r="S287" s="342" t="s">
        <v>1571</v>
      </c>
      <c r="V287" s="342" t="s">
        <v>2099</v>
      </c>
      <c r="W287" s="342">
        <v>309530</v>
      </c>
      <c r="X287" s="342" t="s">
        <v>4990</v>
      </c>
      <c r="Y287" s="343">
        <v>44544</v>
      </c>
      <c r="Z287" s="342" t="s">
        <v>4063</v>
      </c>
      <c r="AA287" s="343">
        <v>44544</v>
      </c>
      <c r="AB287" s="342" t="s">
        <v>4064</v>
      </c>
      <c r="AC287" s="342" t="s">
        <v>4064</v>
      </c>
      <c r="AD287" s="342" t="s">
        <v>4065</v>
      </c>
      <c r="AI287" s="342" t="s">
        <v>4067</v>
      </c>
      <c r="AJ287" s="342" t="s">
        <v>6089</v>
      </c>
    </row>
    <row r="288" spans="1:44">
      <c r="A288" s="342">
        <v>287980</v>
      </c>
      <c r="B288" s="342" t="s">
        <v>767</v>
      </c>
      <c r="C288" s="342" t="s">
        <v>768</v>
      </c>
      <c r="E288" s="342" t="s">
        <v>769</v>
      </c>
      <c r="F288" s="342" t="s">
        <v>526</v>
      </c>
      <c r="G288" s="342" t="s">
        <v>4180</v>
      </c>
      <c r="H288" s="342" t="s">
        <v>591</v>
      </c>
      <c r="I288" s="342" t="s">
        <v>40</v>
      </c>
      <c r="J288" s="342" t="s">
        <v>1510</v>
      </c>
      <c r="K288" s="342" t="s">
        <v>1402</v>
      </c>
      <c r="L288" s="343">
        <v>45350</v>
      </c>
      <c r="M288" s="343">
        <v>44424</v>
      </c>
      <c r="O288" s="342" t="s">
        <v>4800</v>
      </c>
      <c r="P288" s="342" t="s">
        <v>5082</v>
      </c>
      <c r="Q288" s="342">
        <v>6146081589</v>
      </c>
      <c r="R288" s="342">
        <v>9110</v>
      </c>
      <c r="V288" s="342" t="s">
        <v>2099</v>
      </c>
      <c r="W288" s="342">
        <v>306626</v>
      </c>
      <c r="X288" s="342" t="s">
        <v>4988</v>
      </c>
      <c r="Y288" s="343">
        <v>42552</v>
      </c>
      <c r="Z288" s="342" t="s">
        <v>4063</v>
      </c>
      <c r="AA288" s="343">
        <v>44424</v>
      </c>
      <c r="AB288" s="342" t="s">
        <v>4064</v>
      </c>
      <c r="AC288" s="342" t="s">
        <v>4064</v>
      </c>
      <c r="AD288" s="342" t="s">
        <v>4065</v>
      </c>
      <c r="AI288" s="342" t="s">
        <v>4067</v>
      </c>
      <c r="AJ288" s="342" t="s">
        <v>5934</v>
      </c>
    </row>
    <row r="289" spans="1:37">
      <c r="A289" s="342">
        <v>288222</v>
      </c>
      <c r="B289" s="342" t="s">
        <v>512</v>
      </c>
      <c r="C289" s="342" t="s">
        <v>513</v>
      </c>
      <c r="D289" s="342">
        <v>499642</v>
      </c>
      <c r="E289" s="342" t="s">
        <v>336</v>
      </c>
      <c r="F289" s="342" t="s">
        <v>337</v>
      </c>
      <c r="G289" s="342" t="s">
        <v>976</v>
      </c>
      <c r="H289" s="342" t="s">
        <v>591</v>
      </c>
      <c r="I289" s="342" t="s">
        <v>40</v>
      </c>
      <c r="J289" s="342" t="s">
        <v>5282</v>
      </c>
      <c r="K289" s="342" t="s">
        <v>1233</v>
      </c>
      <c r="L289" s="343">
        <v>45412</v>
      </c>
      <c r="M289" s="343">
        <v>44673</v>
      </c>
      <c r="O289" s="342" t="s">
        <v>5662</v>
      </c>
      <c r="P289" s="342" t="s">
        <v>5815</v>
      </c>
      <c r="Q289" s="342">
        <v>6131886223</v>
      </c>
      <c r="R289" s="342">
        <v>9110</v>
      </c>
      <c r="V289" s="342" t="s">
        <v>2099</v>
      </c>
      <c r="W289" s="342">
        <v>300580</v>
      </c>
      <c r="X289" s="342" t="s">
        <v>5340</v>
      </c>
      <c r="Y289" s="343">
        <v>41673</v>
      </c>
      <c r="Z289" s="342" t="s">
        <v>4063</v>
      </c>
      <c r="AA289" s="343">
        <v>44673</v>
      </c>
      <c r="AB289" s="342" t="s">
        <v>4064</v>
      </c>
      <c r="AC289" s="342" t="s">
        <v>4064</v>
      </c>
      <c r="AD289" s="342" t="s">
        <v>4065</v>
      </c>
      <c r="AH289" s="342" t="s">
        <v>4077</v>
      </c>
      <c r="AI289" s="342" t="s">
        <v>4067</v>
      </c>
      <c r="AJ289" s="342" t="s">
        <v>5851</v>
      </c>
    </row>
    <row r="290" spans="1:37">
      <c r="A290" s="342">
        <v>288401</v>
      </c>
      <c r="B290" s="342" t="s">
        <v>514</v>
      </c>
      <c r="C290" s="342" t="s">
        <v>515</v>
      </c>
      <c r="D290" s="342">
        <v>11803</v>
      </c>
      <c r="E290" s="342" t="s">
        <v>516</v>
      </c>
      <c r="F290" s="342" t="s">
        <v>51</v>
      </c>
      <c r="G290" s="342">
        <v>98085</v>
      </c>
      <c r="H290" s="342" t="s">
        <v>591</v>
      </c>
      <c r="I290" s="342" t="s">
        <v>40</v>
      </c>
      <c r="J290" s="342" t="s">
        <v>1336</v>
      </c>
      <c r="K290" s="342" t="s">
        <v>1402</v>
      </c>
      <c r="L290" s="343">
        <v>45412</v>
      </c>
      <c r="M290" s="343">
        <v>44295</v>
      </c>
      <c r="O290" s="342" t="s">
        <v>4300</v>
      </c>
      <c r="P290" s="342" t="s">
        <v>5923</v>
      </c>
      <c r="Q290" s="342">
        <v>6122272804</v>
      </c>
      <c r="R290" s="342">
        <v>9110</v>
      </c>
      <c r="S290" s="342" t="s">
        <v>1575</v>
      </c>
      <c r="T290" s="342" t="s">
        <v>2034</v>
      </c>
      <c r="V290" s="342" t="s">
        <v>2099</v>
      </c>
      <c r="W290" s="342">
        <v>300681</v>
      </c>
      <c r="X290" s="342" t="s">
        <v>5235</v>
      </c>
      <c r="Y290" s="343">
        <v>41673</v>
      </c>
      <c r="Z290" s="342" t="s">
        <v>4063</v>
      </c>
      <c r="AA290" s="343">
        <v>44295</v>
      </c>
      <c r="AB290" s="342" t="s">
        <v>4064</v>
      </c>
      <c r="AC290" s="342" t="s">
        <v>4064</v>
      </c>
      <c r="AD290" s="342" t="s">
        <v>4065</v>
      </c>
      <c r="AH290" s="342" t="s">
        <v>4069</v>
      </c>
      <c r="AI290" s="342" t="s">
        <v>4067</v>
      </c>
      <c r="AJ290" s="342" t="s">
        <v>6000</v>
      </c>
      <c r="AK290" s="342">
        <v>12363</v>
      </c>
    </row>
    <row r="291" spans="1:37">
      <c r="A291" s="342">
        <v>288403</v>
      </c>
      <c r="B291" s="342" t="s">
        <v>4386</v>
      </c>
      <c r="C291" s="342" t="s">
        <v>517</v>
      </c>
      <c r="D291" s="342">
        <v>609384</v>
      </c>
      <c r="E291" s="342" t="s">
        <v>336</v>
      </c>
      <c r="F291" s="342" t="s">
        <v>337</v>
      </c>
      <c r="G291" s="342" t="s">
        <v>977</v>
      </c>
      <c r="H291" s="342" t="s">
        <v>591</v>
      </c>
      <c r="I291" s="342" t="s">
        <v>40</v>
      </c>
      <c r="J291" s="342" t="s">
        <v>5279</v>
      </c>
      <c r="K291" s="342" t="s">
        <v>1233</v>
      </c>
      <c r="L291" s="343">
        <v>45229</v>
      </c>
      <c r="M291" s="343">
        <v>44679</v>
      </c>
      <c r="O291" s="342" t="s">
        <v>5461</v>
      </c>
      <c r="P291" s="342" t="s">
        <v>4558</v>
      </c>
      <c r="Q291" s="342">
        <v>6135108169</v>
      </c>
      <c r="R291" s="342">
        <v>9110</v>
      </c>
      <c r="V291" s="342" t="s">
        <v>2099</v>
      </c>
      <c r="W291" s="342">
        <v>301392</v>
      </c>
      <c r="X291" s="342" t="s">
        <v>5386</v>
      </c>
      <c r="Y291" s="343">
        <v>40751</v>
      </c>
      <c r="Z291" s="342" t="s">
        <v>4063</v>
      </c>
      <c r="AA291" s="343">
        <v>44679</v>
      </c>
      <c r="AB291" s="342" t="s">
        <v>4064</v>
      </c>
      <c r="AC291" s="342" t="s">
        <v>4064</v>
      </c>
      <c r="AD291" s="342" t="s">
        <v>4065</v>
      </c>
      <c r="AH291" s="342" t="s">
        <v>4081</v>
      </c>
      <c r="AI291" s="342" t="s">
        <v>4067</v>
      </c>
      <c r="AJ291" s="342" t="s">
        <v>5859</v>
      </c>
    </row>
    <row r="292" spans="1:37">
      <c r="A292" s="342">
        <v>288404</v>
      </c>
      <c r="B292" s="342" t="s">
        <v>1497</v>
      </c>
      <c r="C292" s="342" t="s">
        <v>518</v>
      </c>
      <c r="D292" s="342">
        <v>91406</v>
      </c>
      <c r="E292" s="342" t="s">
        <v>493</v>
      </c>
      <c r="F292" s="342" t="s">
        <v>51</v>
      </c>
      <c r="H292" s="342" t="s">
        <v>591</v>
      </c>
      <c r="I292" s="342" t="s">
        <v>40</v>
      </c>
      <c r="J292" s="342" t="s">
        <v>5449</v>
      </c>
      <c r="K292" s="342" t="s">
        <v>1402</v>
      </c>
      <c r="L292" s="343">
        <v>45350</v>
      </c>
      <c r="M292" s="343">
        <v>44434</v>
      </c>
      <c r="O292" s="342" t="s">
        <v>1492</v>
      </c>
      <c r="P292" s="342" t="s">
        <v>1546</v>
      </c>
      <c r="Q292" s="342">
        <v>6132049988</v>
      </c>
      <c r="R292" s="342">
        <v>9110</v>
      </c>
      <c r="V292" s="342" t="s">
        <v>2099</v>
      </c>
      <c r="W292" s="342">
        <v>300756</v>
      </c>
      <c r="X292" s="342" t="s">
        <v>5523</v>
      </c>
      <c r="Y292" s="343">
        <v>41673</v>
      </c>
      <c r="Z292" s="342" t="s">
        <v>4063</v>
      </c>
      <c r="AA292" s="343">
        <v>44434</v>
      </c>
      <c r="AB292" s="342" t="s">
        <v>4064</v>
      </c>
      <c r="AC292" s="342" t="s">
        <v>4064</v>
      </c>
      <c r="AD292" s="342" t="s">
        <v>4065</v>
      </c>
      <c r="AH292" s="342" t="s">
        <v>4081</v>
      </c>
      <c r="AI292" s="342" t="s">
        <v>4067</v>
      </c>
      <c r="AJ292" s="342" t="s">
        <v>5850</v>
      </c>
    </row>
    <row r="293" spans="1:37">
      <c r="A293" s="342">
        <v>288412</v>
      </c>
      <c r="B293" s="342" t="s">
        <v>519</v>
      </c>
      <c r="C293" s="342" t="s">
        <v>520</v>
      </c>
      <c r="D293" s="342">
        <v>33027</v>
      </c>
      <c r="E293" s="342" t="s">
        <v>236</v>
      </c>
      <c r="F293" s="342" t="s">
        <v>51</v>
      </c>
      <c r="G293" s="342" t="s">
        <v>978</v>
      </c>
      <c r="H293" s="342" t="s">
        <v>591</v>
      </c>
      <c r="I293" s="342" t="s">
        <v>40</v>
      </c>
      <c r="J293" s="342" t="s">
        <v>5282</v>
      </c>
      <c r="K293" s="342" t="s">
        <v>1402</v>
      </c>
      <c r="L293" s="343">
        <v>45412</v>
      </c>
      <c r="M293" s="343">
        <v>44673</v>
      </c>
      <c r="O293" s="342" t="s">
        <v>5611</v>
      </c>
      <c r="P293" s="342" t="s">
        <v>5816</v>
      </c>
      <c r="Q293" s="342">
        <v>6124909706</v>
      </c>
      <c r="R293" s="342">
        <v>9110</v>
      </c>
      <c r="V293" s="342" t="s">
        <v>2099</v>
      </c>
      <c r="W293" s="342">
        <v>300671</v>
      </c>
      <c r="X293" s="342" t="s">
        <v>5340</v>
      </c>
      <c r="Y293" s="343">
        <v>41673</v>
      </c>
      <c r="Z293" s="342" t="s">
        <v>4063</v>
      </c>
      <c r="AA293" s="343">
        <v>44673</v>
      </c>
      <c r="AB293" s="342" t="s">
        <v>4064</v>
      </c>
      <c r="AC293" s="342" t="s">
        <v>4064</v>
      </c>
      <c r="AD293" s="342" t="s">
        <v>4065</v>
      </c>
      <c r="AH293" s="342" t="s">
        <v>4081</v>
      </c>
      <c r="AI293" s="342" t="s">
        <v>4067</v>
      </c>
      <c r="AJ293" s="342" t="s">
        <v>5847</v>
      </c>
    </row>
    <row r="294" spans="1:37">
      <c r="A294" s="342">
        <v>288414</v>
      </c>
      <c r="B294" s="342" t="s">
        <v>522</v>
      </c>
      <c r="C294" s="342" t="s">
        <v>780</v>
      </c>
      <c r="D294" s="342" t="s">
        <v>781</v>
      </c>
      <c r="E294" s="342" t="s">
        <v>782</v>
      </c>
      <c r="F294" s="342" t="s">
        <v>51</v>
      </c>
      <c r="G294" s="342" t="s">
        <v>979</v>
      </c>
      <c r="H294" s="342" t="s">
        <v>591</v>
      </c>
      <c r="I294" s="342" t="s">
        <v>40</v>
      </c>
      <c r="J294" s="342" t="s">
        <v>5282</v>
      </c>
      <c r="K294" s="342" t="s">
        <v>1233</v>
      </c>
      <c r="L294" s="343">
        <v>45077</v>
      </c>
      <c r="M294" s="343">
        <v>44347</v>
      </c>
      <c r="O294" s="342" t="s">
        <v>6051</v>
      </c>
      <c r="P294" s="342" t="s">
        <v>5817</v>
      </c>
      <c r="Q294" s="342">
        <v>6124122127</v>
      </c>
      <c r="R294" s="342">
        <v>9110</v>
      </c>
      <c r="V294" s="342" t="s">
        <v>2099</v>
      </c>
      <c r="W294" s="342">
        <v>300669</v>
      </c>
      <c r="X294" s="342" t="s">
        <v>5340</v>
      </c>
      <c r="Y294" s="343">
        <v>41673</v>
      </c>
      <c r="Z294" s="342" t="s">
        <v>4063</v>
      </c>
      <c r="AA294" s="343">
        <v>44347</v>
      </c>
      <c r="AB294" s="342" t="s">
        <v>4064</v>
      </c>
      <c r="AC294" s="342" t="s">
        <v>4064</v>
      </c>
      <c r="AD294" s="342" t="s">
        <v>4065</v>
      </c>
      <c r="AH294" s="342" t="s">
        <v>4081</v>
      </c>
      <c r="AI294" s="342" t="s">
        <v>4067</v>
      </c>
      <c r="AJ294" s="342" t="s">
        <v>5880</v>
      </c>
    </row>
    <row r="295" spans="1:37">
      <c r="A295" s="342">
        <v>288415</v>
      </c>
      <c r="B295" s="342" t="s">
        <v>4387</v>
      </c>
      <c r="C295" s="342" t="s">
        <v>4388</v>
      </c>
      <c r="D295" s="342">
        <v>508949</v>
      </c>
      <c r="E295" s="342" t="s">
        <v>336</v>
      </c>
      <c r="F295" s="342" t="s">
        <v>337</v>
      </c>
      <c r="G295" s="342" t="s">
        <v>521</v>
      </c>
      <c r="H295" s="342" t="s">
        <v>591</v>
      </c>
      <c r="I295" s="342" t="s">
        <v>40</v>
      </c>
      <c r="J295" s="342" t="s">
        <v>5449</v>
      </c>
      <c r="K295" s="342" t="s">
        <v>1402</v>
      </c>
      <c r="L295" s="343">
        <v>45350</v>
      </c>
      <c r="M295" s="343">
        <v>44434</v>
      </c>
      <c r="O295" s="342" t="s">
        <v>5462</v>
      </c>
      <c r="P295" s="342" t="s">
        <v>5953</v>
      </c>
      <c r="Q295" s="342">
        <v>6130657505</v>
      </c>
      <c r="R295" s="342">
        <v>9110</v>
      </c>
      <c r="V295" s="342" t="s">
        <v>2099</v>
      </c>
      <c r="W295" s="342">
        <v>301393</v>
      </c>
      <c r="X295" s="342" t="s">
        <v>5523</v>
      </c>
      <c r="Y295" s="343">
        <v>40599</v>
      </c>
      <c r="Z295" s="342" t="s">
        <v>4063</v>
      </c>
      <c r="AA295" s="343">
        <v>44434</v>
      </c>
      <c r="AB295" s="342" t="s">
        <v>4064</v>
      </c>
      <c r="AC295" s="342" t="s">
        <v>4064</v>
      </c>
      <c r="AD295" s="342" t="s">
        <v>4065</v>
      </c>
      <c r="AH295" s="342" t="s">
        <v>4081</v>
      </c>
      <c r="AI295" s="342" t="s">
        <v>4067</v>
      </c>
      <c r="AJ295" s="342" t="s">
        <v>5847</v>
      </c>
    </row>
    <row r="296" spans="1:37">
      <c r="A296" s="342">
        <v>288416</v>
      </c>
      <c r="B296" s="342" t="s">
        <v>522</v>
      </c>
      <c r="C296" s="342" t="s">
        <v>523</v>
      </c>
      <c r="D296" s="342" t="s">
        <v>524</v>
      </c>
      <c r="E296" s="342" t="s">
        <v>331</v>
      </c>
      <c r="F296" s="342" t="s">
        <v>51</v>
      </c>
      <c r="G296" s="342" t="s">
        <v>980</v>
      </c>
      <c r="H296" s="342" t="s">
        <v>591</v>
      </c>
      <c r="I296" s="342" t="s">
        <v>40</v>
      </c>
      <c r="J296" s="342" t="s">
        <v>5282</v>
      </c>
      <c r="K296" s="342" t="s">
        <v>1233</v>
      </c>
      <c r="L296" s="343">
        <v>45077</v>
      </c>
      <c r="M296" s="343">
        <v>44347</v>
      </c>
      <c r="O296" s="342" t="s">
        <v>6052</v>
      </c>
      <c r="P296" s="342" t="s">
        <v>5817</v>
      </c>
      <c r="Q296" s="342">
        <v>6124122004</v>
      </c>
      <c r="R296" s="342">
        <v>9110</v>
      </c>
      <c r="V296" s="342" t="s">
        <v>2099</v>
      </c>
      <c r="W296" s="342">
        <v>300665</v>
      </c>
      <c r="X296" s="342" t="s">
        <v>5340</v>
      </c>
      <c r="Y296" s="343">
        <v>40757</v>
      </c>
      <c r="Z296" s="342" t="s">
        <v>4063</v>
      </c>
      <c r="AA296" s="343">
        <v>44347</v>
      </c>
      <c r="AB296" s="342" t="s">
        <v>4064</v>
      </c>
      <c r="AC296" s="342" t="s">
        <v>4064</v>
      </c>
      <c r="AD296" s="342" t="s">
        <v>4065</v>
      </c>
      <c r="AH296" s="342" t="s">
        <v>4081</v>
      </c>
      <c r="AI296" s="342" t="s">
        <v>4067</v>
      </c>
      <c r="AJ296" s="342" t="s">
        <v>5865</v>
      </c>
    </row>
    <row r="297" spans="1:37">
      <c r="A297" s="342">
        <v>288429</v>
      </c>
      <c r="B297" s="342" t="s">
        <v>525</v>
      </c>
      <c r="C297" s="342" t="s">
        <v>981</v>
      </c>
      <c r="E297" s="342" t="s">
        <v>566</v>
      </c>
      <c r="F297" s="342" t="s">
        <v>526</v>
      </c>
      <c r="G297" s="342" t="s">
        <v>982</v>
      </c>
      <c r="H297" s="342" t="s">
        <v>591</v>
      </c>
      <c r="I297" s="342" t="s">
        <v>40</v>
      </c>
      <c r="J297" s="342" t="s">
        <v>5282</v>
      </c>
      <c r="K297" s="342" t="s">
        <v>1233</v>
      </c>
      <c r="L297" s="343">
        <v>45412</v>
      </c>
      <c r="M297" s="343">
        <v>44672</v>
      </c>
      <c r="O297" s="342" t="s">
        <v>4839</v>
      </c>
      <c r="P297" s="342" t="s">
        <v>5089</v>
      </c>
      <c r="Q297" s="342">
        <v>6149129367</v>
      </c>
      <c r="R297" s="342">
        <v>9110</v>
      </c>
      <c r="V297" s="342" t="s">
        <v>2099</v>
      </c>
      <c r="W297" s="342">
        <v>300672</v>
      </c>
      <c r="X297" s="342" t="s">
        <v>5340</v>
      </c>
      <c r="Y297" s="343">
        <v>40476</v>
      </c>
      <c r="Z297" s="342" t="s">
        <v>4063</v>
      </c>
      <c r="AA297" s="343">
        <v>44672</v>
      </c>
      <c r="AB297" s="342" t="s">
        <v>4064</v>
      </c>
      <c r="AC297" s="342" t="s">
        <v>4064</v>
      </c>
      <c r="AD297" s="342" t="s">
        <v>4065</v>
      </c>
      <c r="AH297" s="342" t="s">
        <v>4081</v>
      </c>
      <c r="AI297" s="342" t="s">
        <v>4111</v>
      </c>
      <c r="AJ297" s="342" t="s">
        <v>5852</v>
      </c>
    </row>
    <row r="298" spans="1:37">
      <c r="A298" s="342">
        <v>288457</v>
      </c>
      <c r="B298" s="342" t="s">
        <v>527</v>
      </c>
      <c r="C298" s="342" t="s">
        <v>983</v>
      </c>
      <c r="D298" s="342" t="s">
        <v>984</v>
      </c>
      <c r="E298" s="342" t="s">
        <v>660</v>
      </c>
      <c r="F298" s="342" t="s">
        <v>45</v>
      </c>
      <c r="G298" s="342" t="s">
        <v>985</v>
      </c>
      <c r="H298" s="342" t="s">
        <v>591</v>
      </c>
      <c r="I298" s="342" t="s">
        <v>40</v>
      </c>
      <c r="J298" s="342" t="s">
        <v>5282</v>
      </c>
      <c r="K298" s="342" t="s">
        <v>1233</v>
      </c>
      <c r="L298" s="343">
        <v>45412</v>
      </c>
      <c r="M298" s="343">
        <v>44672</v>
      </c>
      <c r="O298" s="342" t="s">
        <v>6053</v>
      </c>
      <c r="P298" s="342" t="s">
        <v>1552</v>
      </c>
      <c r="Q298" s="342">
        <v>6139583667</v>
      </c>
      <c r="R298" s="342">
        <v>9110</v>
      </c>
      <c r="V298" s="342" t="s">
        <v>2099</v>
      </c>
      <c r="W298" s="342">
        <v>300766</v>
      </c>
      <c r="X298" s="342" t="s">
        <v>5340</v>
      </c>
      <c r="Y298" s="343">
        <v>41673</v>
      </c>
      <c r="Z298" s="342" t="s">
        <v>4063</v>
      </c>
      <c r="AA298" s="343">
        <v>44672</v>
      </c>
      <c r="AB298" s="342" t="s">
        <v>4064</v>
      </c>
      <c r="AC298" s="342" t="s">
        <v>4064</v>
      </c>
      <c r="AD298" s="342" t="s">
        <v>4065</v>
      </c>
      <c r="AH298" s="342" t="s">
        <v>4081</v>
      </c>
      <c r="AI298" s="342" t="s">
        <v>4067</v>
      </c>
      <c r="AJ298" s="342" t="s">
        <v>5873</v>
      </c>
    </row>
    <row r="299" spans="1:37">
      <c r="A299" s="342">
        <v>288653</v>
      </c>
      <c r="B299" s="342" t="s">
        <v>750</v>
      </c>
      <c r="C299" s="342" t="s">
        <v>751</v>
      </c>
      <c r="D299" s="342" t="s">
        <v>752</v>
      </c>
      <c r="E299" s="342" t="s">
        <v>753</v>
      </c>
      <c r="F299" s="342" t="s">
        <v>51</v>
      </c>
      <c r="G299" s="342">
        <v>31196</v>
      </c>
      <c r="H299" s="342" t="s">
        <v>591</v>
      </c>
      <c r="I299" s="342" t="s">
        <v>40</v>
      </c>
      <c r="J299" s="342" t="s">
        <v>4441</v>
      </c>
      <c r="K299" s="342" t="s">
        <v>1233</v>
      </c>
      <c r="L299" s="343">
        <v>45077</v>
      </c>
      <c r="M299" s="343">
        <v>44347</v>
      </c>
      <c r="O299" s="342" t="s">
        <v>1516</v>
      </c>
      <c r="P299" s="342" t="s">
        <v>5954</v>
      </c>
      <c r="Q299" s="342">
        <v>6122358948</v>
      </c>
      <c r="R299" s="342">
        <v>9110</v>
      </c>
      <c r="U299" s="342" t="s">
        <v>2045</v>
      </c>
      <c r="V299" s="342" t="s">
        <v>2099</v>
      </c>
      <c r="W299" s="342">
        <v>300780</v>
      </c>
      <c r="X299" s="342" t="s">
        <v>4996</v>
      </c>
      <c r="Y299" s="343">
        <v>42530</v>
      </c>
      <c r="Z299" s="342" t="s">
        <v>4063</v>
      </c>
      <c r="AA299" s="343">
        <v>44347</v>
      </c>
      <c r="AB299" s="342" t="s">
        <v>4064</v>
      </c>
      <c r="AC299" s="342" t="s">
        <v>4064</v>
      </c>
      <c r="AD299" s="342" t="s">
        <v>4065</v>
      </c>
      <c r="AI299" s="342" t="s">
        <v>4111</v>
      </c>
      <c r="AJ299" s="342" t="s">
        <v>5884</v>
      </c>
    </row>
    <row r="300" spans="1:37">
      <c r="A300" s="342">
        <v>289048</v>
      </c>
      <c r="B300" s="342" t="s">
        <v>1385</v>
      </c>
      <c r="C300" s="342" t="s">
        <v>1386</v>
      </c>
      <c r="D300" s="342">
        <v>33309</v>
      </c>
      <c r="E300" s="342" t="s">
        <v>1387</v>
      </c>
      <c r="F300" s="342" t="s">
        <v>51</v>
      </c>
      <c r="G300" s="342" t="s">
        <v>1388</v>
      </c>
      <c r="H300" s="342" t="s">
        <v>591</v>
      </c>
      <c r="I300" s="342" t="s">
        <v>1114</v>
      </c>
      <c r="J300" s="342" t="s">
        <v>4608</v>
      </c>
      <c r="K300" s="342" t="s">
        <v>1233</v>
      </c>
      <c r="L300" s="343">
        <v>44895</v>
      </c>
      <c r="M300" s="343">
        <v>44160</v>
      </c>
      <c r="P300" s="342" t="s">
        <v>4924</v>
      </c>
      <c r="Q300" s="342">
        <v>6121045087</v>
      </c>
      <c r="R300" s="342">
        <v>9120</v>
      </c>
      <c r="V300" s="342" t="s">
        <v>2131</v>
      </c>
      <c r="W300" s="342">
        <v>300907</v>
      </c>
      <c r="X300" s="342" t="s">
        <v>4993</v>
      </c>
      <c r="Y300" s="343">
        <v>43795</v>
      </c>
      <c r="Z300" s="342" t="s">
        <v>4063</v>
      </c>
      <c r="AA300" s="343">
        <v>44160</v>
      </c>
      <c r="AB300" s="342" t="s">
        <v>4064</v>
      </c>
      <c r="AC300" s="342" t="s">
        <v>4064</v>
      </c>
      <c r="AD300" s="342" t="s">
        <v>4065</v>
      </c>
      <c r="AH300" s="342" t="s">
        <v>4066</v>
      </c>
      <c r="AI300" s="342" t="s">
        <v>4067</v>
      </c>
      <c r="AJ300" s="342" t="s">
        <v>5852</v>
      </c>
    </row>
    <row r="301" spans="1:37">
      <c r="A301" s="342">
        <v>289064</v>
      </c>
      <c r="B301" s="342" t="s">
        <v>760</v>
      </c>
      <c r="C301" s="342" t="s">
        <v>761</v>
      </c>
      <c r="D301" s="342" t="s">
        <v>762</v>
      </c>
      <c r="E301" s="342" t="s">
        <v>763</v>
      </c>
      <c r="F301" s="342" t="s">
        <v>107</v>
      </c>
      <c r="G301" s="342">
        <v>38473</v>
      </c>
      <c r="H301" s="342" t="s">
        <v>591</v>
      </c>
      <c r="I301" s="342" t="s">
        <v>40</v>
      </c>
      <c r="J301" s="342" t="s">
        <v>4441</v>
      </c>
      <c r="K301" s="342" t="s">
        <v>1233</v>
      </c>
      <c r="L301" s="343">
        <v>45077</v>
      </c>
      <c r="M301" s="343">
        <v>44705</v>
      </c>
      <c r="O301" s="342" t="s">
        <v>5612</v>
      </c>
      <c r="P301" s="342" t="s">
        <v>4717</v>
      </c>
      <c r="Q301" s="342">
        <v>6116251983</v>
      </c>
      <c r="R301" s="342">
        <v>9110</v>
      </c>
      <c r="U301" s="342" t="s">
        <v>2046</v>
      </c>
      <c r="V301" s="342" t="s">
        <v>2099</v>
      </c>
      <c r="W301" s="342">
        <v>300918</v>
      </c>
      <c r="X301" s="342" t="s">
        <v>4996</v>
      </c>
      <c r="Y301" s="343">
        <v>42550</v>
      </c>
      <c r="Z301" s="342" t="s">
        <v>4063</v>
      </c>
      <c r="AA301" s="343">
        <v>44705</v>
      </c>
      <c r="AB301" s="342" t="s">
        <v>4064</v>
      </c>
      <c r="AC301" s="342" t="s">
        <v>4064</v>
      </c>
      <c r="AD301" s="342" t="s">
        <v>4065</v>
      </c>
      <c r="AI301" s="342" t="s">
        <v>4111</v>
      </c>
      <c r="AJ301" s="342" t="s">
        <v>5876</v>
      </c>
    </row>
    <row r="302" spans="1:37">
      <c r="A302" s="342">
        <v>289087</v>
      </c>
      <c r="B302" s="342" t="s">
        <v>5284</v>
      </c>
      <c r="C302" s="342" t="s">
        <v>5285</v>
      </c>
      <c r="D302" s="342">
        <v>21395</v>
      </c>
      <c r="E302" s="342" t="s">
        <v>5286</v>
      </c>
      <c r="F302" s="342" t="s">
        <v>1088</v>
      </c>
      <c r="G302" s="342" t="s">
        <v>5287</v>
      </c>
      <c r="H302" s="342" t="s">
        <v>591</v>
      </c>
      <c r="I302" s="342" t="s">
        <v>40</v>
      </c>
      <c r="J302" s="342" t="s">
        <v>5281</v>
      </c>
      <c r="K302" s="342" t="s">
        <v>1233</v>
      </c>
      <c r="L302" s="343">
        <v>45077</v>
      </c>
      <c r="M302" s="343">
        <v>44711</v>
      </c>
      <c r="O302" s="342" t="s">
        <v>5297</v>
      </c>
      <c r="P302" s="342" t="s">
        <v>5311</v>
      </c>
      <c r="Q302" s="342">
        <v>6111353666</v>
      </c>
      <c r="R302" s="342">
        <v>9110</v>
      </c>
      <c r="V302" s="342" t="s">
        <v>2099</v>
      </c>
      <c r="W302" s="342">
        <v>300928</v>
      </c>
      <c r="X302" s="342" t="s">
        <v>5147</v>
      </c>
      <c r="Y302" s="343">
        <v>44642</v>
      </c>
      <c r="Z302" s="342" t="s">
        <v>4063</v>
      </c>
      <c r="AA302" s="343">
        <v>44711</v>
      </c>
      <c r="AB302" s="342" t="s">
        <v>4064</v>
      </c>
      <c r="AC302" s="342" t="s">
        <v>4064</v>
      </c>
      <c r="AD302" s="342" t="s">
        <v>4065</v>
      </c>
      <c r="AH302" s="342" t="s">
        <v>5323</v>
      </c>
      <c r="AI302" s="342" t="s">
        <v>4067</v>
      </c>
      <c r="AJ302" s="342" t="s">
        <v>6136</v>
      </c>
    </row>
    <row r="303" spans="1:37">
      <c r="A303" s="342">
        <v>289129</v>
      </c>
      <c r="B303" s="342" t="s">
        <v>528</v>
      </c>
      <c r="C303" s="342" t="s">
        <v>529</v>
      </c>
      <c r="D303" s="342">
        <v>31300</v>
      </c>
      <c r="E303" s="342" t="s">
        <v>93</v>
      </c>
      <c r="F303" s="342" t="s">
        <v>47</v>
      </c>
      <c r="G303" s="342" t="s">
        <v>986</v>
      </c>
      <c r="H303" s="342" t="s">
        <v>591</v>
      </c>
      <c r="I303" s="342" t="s">
        <v>40</v>
      </c>
      <c r="J303" s="342" t="s">
        <v>5278</v>
      </c>
      <c r="K303" s="342" t="s">
        <v>1233</v>
      </c>
      <c r="L303" s="343">
        <v>44985</v>
      </c>
      <c r="M303" s="343">
        <v>44250</v>
      </c>
      <c r="O303" s="342" t="s">
        <v>5681</v>
      </c>
      <c r="P303" s="342" t="s">
        <v>5818</v>
      </c>
      <c r="Q303" s="342">
        <v>6111822508</v>
      </c>
      <c r="R303" s="342">
        <v>9110</v>
      </c>
      <c r="V303" s="342" t="s">
        <v>2099</v>
      </c>
      <c r="W303" s="342">
        <v>301007</v>
      </c>
      <c r="X303" s="342" t="s">
        <v>5387</v>
      </c>
      <c r="Y303" s="343">
        <v>39973</v>
      </c>
      <c r="Z303" s="342" t="s">
        <v>4063</v>
      </c>
      <c r="AA303" s="343">
        <v>44250</v>
      </c>
      <c r="AB303" s="342" t="s">
        <v>4064</v>
      </c>
      <c r="AC303" s="342" t="s">
        <v>4064</v>
      </c>
      <c r="AD303" s="342" t="s">
        <v>4065</v>
      </c>
      <c r="AH303" s="342" t="s">
        <v>4072</v>
      </c>
      <c r="AI303" s="342" t="s">
        <v>4067</v>
      </c>
      <c r="AJ303" s="342" t="s">
        <v>5855</v>
      </c>
    </row>
    <row r="304" spans="1:37">
      <c r="A304" s="342">
        <v>290257</v>
      </c>
      <c r="B304" s="342" t="s">
        <v>530</v>
      </c>
      <c r="C304" s="342" t="s">
        <v>531</v>
      </c>
      <c r="D304" s="342" t="s">
        <v>532</v>
      </c>
      <c r="E304" s="342" t="s">
        <v>119</v>
      </c>
      <c r="F304" s="342" t="s">
        <v>51</v>
      </c>
      <c r="G304" s="342">
        <v>63389</v>
      </c>
      <c r="H304" s="342" t="s">
        <v>591</v>
      </c>
      <c r="I304" s="342" t="s">
        <v>40</v>
      </c>
      <c r="J304" s="342" t="s">
        <v>5450</v>
      </c>
      <c r="K304" s="342" t="s">
        <v>1233</v>
      </c>
      <c r="L304" s="343">
        <v>45077</v>
      </c>
      <c r="M304" s="343">
        <v>44705</v>
      </c>
      <c r="O304" s="342" t="s">
        <v>4891</v>
      </c>
      <c r="P304" s="342" t="s">
        <v>5732</v>
      </c>
      <c r="Q304" s="342">
        <v>6111357426</v>
      </c>
      <c r="R304" s="342">
        <v>9110</v>
      </c>
      <c r="V304" s="342" t="s">
        <v>2099</v>
      </c>
      <c r="W304" s="342">
        <v>302372</v>
      </c>
      <c r="X304" s="342" t="s">
        <v>5524</v>
      </c>
      <c r="Y304" s="343">
        <v>40633</v>
      </c>
      <c r="Z304" s="342" t="s">
        <v>4063</v>
      </c>
      <c r="AA304" s="343">
        <v>44705</v>
      </c>
      <c r="AB304" s="342" t="s">
        <v>4064</v>
      </c>
      <c r="AC304" s="342" t="s">
        <v>4064</v>
      </c>
      <c r="AD304" s="342" t="s">
        <v>4065</v>
      </c>
      <c r="AI304" s="342" t="s">
        <v>4067</v>
      </c>
      <c r="AJ304" s="342" t="s">
        <v>5935</v>
      </c>
    </row>
    <row r="305" spans="1:44">
      <c r="A305" s="342">
        <v>291012</v>
      </c>
      <c r="B305" s="342" t="s">
        <v>533</v>
      </c>
      <c r="C305" s="342" t="s">
        <v>534</v>
      </c>
      <c r="D305" s="342" t="s">
        <v>535</v>
      </c>
      <c r="E305" s="342" t="s">
        <v>536</v>
      </c>
      <c r="F305" s="342" t="s">
        <v>51</v>
      </c>
      <c r="G305" s="342">
        <v>81873</v>
      </c>
      <c r="H305" s="342" t="s">
        <v>591</v>
      </c>
      <c r="I305" s="342" t="s">
        <v>40</v>
      </c>
      <c r="J305" s="342" t="s">
        <v>5449</v>
      </c>
      <c r="L305" s="343">
        <v>45199</v>
      </c>
      <c r="M305" s="343">
        <v>44074</v>
      </c>
      <c r="O305" s="342" t="s">
        <v>1499</v>
      </c>
      <c r="P305" s="342" t="s">
        <v>1553</v>
      </c>
      <c r="Q305" s="342">
        <v>6111152744</v>
      </c>
      <c r="R305" s="342">
        <v>9110</v>
      </c>
      <c r="U305" s="342" t="s">
        <v>5317</v>
      </c>
      <c r="V305" s="342" t="s">
        <v>2099</v>
      </c>
      <c r="W305" s="342">
        <v>305667</v>
      </c>
      <c r="X305" s="342" t="s">
        <v>5523</v>
      </c>
      <c r="Y305" s="343">
        <v>41982</v>
      </c>
      <c r="Z305" s="342" t="s">
        <v>4063</v>
      </c>
      <c r="AA305" s="343">
        <v>44074</v>
      </c>
      <c r="AB305" s="342" t="s">
        <v>4064</v>
      </c>
      <c r="AC305" s="342" t="s">
        <v>4064</v>
      </c>
      <c r="AD305" s="342" t="s">
        <v>4065</v>
      </c>
      <c r="AI305" s="342" t="s">
        <v>4067</v>
      </c>
      <c r="AJ305" s="342" t="s">
        <v>6137</v>
      </c>
    </row>
    <row r="306" spans="1:44">
      <c r="A306" s="342">
        <v>291146</v>
      </c>
      <c r="B306" s="342" t="s">
        <v>1134</v>
      </c>
      <c r="C306" s="342" t="s">
        <v>1135</v>
      </c>
      <c r="D306" s="342">
        <v>98204</v>
      </c>
      <c r="E306" s="342" t="s">
        <v>1136</v>
      </c>
      <c r="F306" s="342" t="s">
        <v>51</v>
      </c>
      <c r="G306" s="342">
        <v>81590</v>
      </c>
      <c r="H306" s="342" t="s">
        <v>591</v>
      </c>
      <c r="I306" s="342" t="s">
        <v>40</v>
      </c>
      <c r="J306" s="342" t="s">
        <v>5450</v>
      </c>
      <c r="K306" s="342" t="s">
        <v>1233</v>
      </c>
      <c r="L306" s="343">
        <v>45077</v>
      </c>
      <c r="M306" s="343">
        <v>44705</v>
      </c>
      <c r="O306" s="342" t="s">
        <v>6054</v>
      </c>
      <c r="P306" s="342" t="s">
        <v>5819</v>
      </c>
      <c r="Q306" s="342">
        <v>6113381283</v>
      </c>
      <c r="R306" s="342">
        <v>9110</v>
      </c>
      <c r="U306" s="342" t="s">
        <v>4216</v>
      </c>
      <c r="V306" s="342" t="s">
        <v>2099</v>
      </c>
      <c r="W306" s="342">
        <v>301242</v>
      </c>
      <c r="X306" s="342" t="s">
        <v>5534</v>
      </c>
      <c r="Y306" s="343">
        <v>43133</v>
      </c>
      <c r="Z306" s="342" t="s">
        <v>5891</v>
      </c>
      <c r="AA306" s="343">
        <v>44762</v>
      </c>
      <c r="AB306" s="342" t="s">
        <v>4064</v>
      </c>
      <c r="AC306" s="342" t="s">
        <v>4064</v>
      </c>
      <c r="AD306" s="342" t="s">
        <v>4065</v>
      </c>
      <c r="AH306" s="342" t="s">
        <v>4071</v>
      </c>
      <c r="AI306" s="342" t="s">
        <v>4111</v>
      </c>
      <c r="AJ306" s="342" t="s">
        <v>5856</v>
      </c>
    </row>
    <row r="307" spans="1:44">
      <c r="A307" s="342">
        <v>292561</v>
      </c>
      <c r="B307" s="342" t="s">
        <v>537</v>
      </c>
      <c r="C307" s="342" t="s">
        <v>538</v>
      </c>
      <c r="D307" s="342">
        <v>10126</v>
      </c>
      <c r="E307" s="342" t="s">
        <v>539</v>
      </c>
      <c r="F307" s="342" t="s">
        <v>98</v>
      </c>
      <c r="H307" s="342" t="s">
        <v>591</v>
      </c>
      <c r="I307" s="342" t="s">
        <v>40</v>
      </c>
      <c r="J307" s="342" t="s">
        <v>5282</v>
      </c>
      <c r="K307" s="342" t="s">
        <v>1233</v>
      </c>
      <c r="L307" s="343">
        <v>45412</v>
      </c>
      <c r="M307" s="343">
        <v>44672</v>
      </c>
      <c r="O307" s="342" t="s">
        <v>4866</v>
      </c>
      <c r="P307" s="342" t="s">
        <v>5820</v>
      </c>
      <c r="Q307" s="342">
        <v>6113351543</v>
      </c>
      <c r="R307" s="342">
        <v>9110</v>
      </c>
      <c r="U307" s="342" t="s">
        <v>2047</v>
      </c>
      <c r="V307" s="342" t="s">
        <v>2099</v>
      </c>
      <c r="W307" s="342">
        <v>302948</v>
      </c>
      <c r="X307" s="342" t="s">
        <v>5340</v>
      </c>
      <c r="Y307" s="343">
        <v>41673</v>
      </c>
      <c r="Z307" s="342" t="s">
        <v>4063</v>
      </c>
      <c r="AA307" s="343">
        <v>44672</v>
      </c>
      <c r="AB307" s="342" t="s">
        <v>4064</v>
      </c>
      <c r="AC307" s="342" t="s">
        <v>4064</v>
      </c>
      <c r="AD307" s="342" t="s">
        <v>4065</v>
      </c>
      <c r="AI307" s="342" t="s">
        <v>4067</v>
      </c>
      <c r="AJ307" s="342" t="s">
        <v>5886</v>
      </c>
    </row>
    <row r="308" spans="1:44">
      <c r="A308" s="342">
        <v>292565</v>
      </c>
      <c r="B308" s="342" t="s">
        <v>1389</v>
      </c>
      <c r="C308" s="342" t="s">
        <v>1390</v>
      </c>
      <c r="D308" s="342" t="s">
        <v>1391</v>
      </c>
      <c r="E308" s="342" t="s">
        <v>1392</v>
      </c>
      <c r="F308" s="342" t="s">
        <v>246</v>
      </c>
      <c r="H308" s="342" t="s">
        <v>591</v>
      </c>
      <c r="I308" s="342" t="s">
        <v>40</v>
      </c>
      <c r="J308" s="342" t="s">
        <v>1277</v>
      </c>
      <c r="K308" s="342" t="s">
        <v>1233</v>
      </c>
      <c r="L308" s="343">
        <v>45626</v>
      </c>
      <c r="M308" s="343">
        <v>44536</v>
      </c>
      <c r="O308" s="342" t="s">
        <v>5613</v>
      </c>
      <c r="P308" s="342" t="s">
        <v>4249</v>
      </c>
      <c r="Q308" s="342">
        <v>6121274081</v>
      </c>
      <c r="R308" s="342">
        <v>9110</v>
      </c>
      <c r="U308" s="342" t="s">
        <v>2048</v>
      </c>
      <c r="V308" s="342" t="s">
        <v>2099</v>
      </c>
      <c r="W308" s="342">
        <v>303722</v>
      </c>
      <c r="X308" s="342" t="s">
        <v>4990</v>
      </c>
      <c r="Y308" s="343">
        <v>41673</v>
      </c>
      <c r="Z308" s="342" t="s">
        <v>4063</v>
      </c>
      <c r="AA308" s="343">
        <v>44536</v>
      </c>
      <c r="AB308" s="342" t="s">
        <v>4064</v>
      </c>
      <c r="AC308" s="342" t="s">
        <v>4064</v>
      </c>
      <c r="AD308" s="342" t="s">
        <v>4065</v>
      </c>
      <c r="AI308" s="342" t="s">
        <v>4067</v>
      </c>
      <c r="AJ308" s="342" t="s">
        <v>5848</v>
      </c>
    </row>
    <row r="309" spans="1:44">
      <c r="A309" s="342">
        <v>292673</v>
      </c>
      <c r="B309" s="342" t="s">
        <v>1137</v>
      </c>
      <c r="C309" s="342" t="s">
        <v>1138</v>
      </c>
      <c r="D309" s="342">
        <v>4051</v>
      </c>
      <c r="E309" s="342" t="s">
        <v>987</v>
      </c>
      <c r="F309" s="342" t="s">
        <v>66</v>
      </c>
      <c r="G309" s="342" t="s">
        <v>1139</v>
      </c>
      <c r="H309" s="342" t="s">
        <v>591</v>
      </c>
      <c r="I309" s="342" t="s">
        <v>784</v>
      </c>
      <c r="J309" s="342" t="s">
        <v>4638</v>
      </c>
      <c r="K309" s="342" t="s">
        <v>1402</v>
      </c>
      <c r="L309" s="343">
        <v>45443</v>
      </c>
      <c r="M309" s="343">
        <v>44690</v>
      </c>
      <c r="O309" s="342" t="s">
        <v>1316</v>
      </c>
      <c r="P309" s="342" t="s">
        <v>4952</v>
      </c>
      <c r="R309" s="342" t="s">
        <v>1581</v>
      </c>
      <c r="V309" s="342" t="s">
        <v>2233</v>
      </c>
      <c r="W309" s="342">
        <v>301520</v>
      </c>
      <c r="X309" s="342" t="s">
        <v>4989</v>
      </c>
      <c r="Y309" s="343">
        <v>42872</v>
      </c>
      <c r="Z309" s="342" t="s">
        <v>4063</v>
      </c>
      <c r="AA309" s="343">
        <v>44690</v>
      </c>
      <c r="AB309" s="342" t="s">
        <v>4064</v>
      </c>
      <c r="AC309" s="342" t="s">
        <v>4064</v>
      </c>
      <c r="AD309" s="342" t="s">
        <v>4065</v>
      </c>
      <c r="AI309" s="342" t="s">
        <v>4067</v>
      </c>
      <c r="AJ309" s="342" t="s">
        <v>6138</v>
      </c>
    </row>
    <row r="310" spans="1:44">
      <c r="A310" s="342">
        <v>293442</v>
      </c>
      <c r="B310" s="342" t="s">
        <v>1140</v>
      </c>
      <c r="C310" s="342" t="s">
        <v>1141</v>
      </c>
      <c r="D310" s="342">
        <v>60714</v>
      </c>
      <c r="E310" s="342" t="s">
        <v>1142</v>
      </c>
      <c r="F310" s="342" t="s">
        <v>51</v>
      </c>
      <c r="G310" s="342">
        <v>78388</v>
      </c>
      <c r="H310" s="342" t="s">
        <v>591</v>
      </c>
      <c r="I310" s="342" t="s">
        <v>40</v>
      </c>
      <c r="J310" s="342" t="s">
        <v>5449</v>
      </c>
      <c r="K310" s="342" t="s">
        <v>1233</v>
      </c>
      <c r="L310" s="343">
        <v>45199</v>
      </c>
      <c r="M310" s="343">
        <v>44250</v>
      </c>
      <c r="O310" s="342" t="s">
        <v>4314</v>
      </c>
      <c r="P310" s="342" t="s">
        <v>5924</v>
      </c>
      <c r="Q310" s="342">
        <v>6141241641</v>
      </c>
      <c r="R310" s="342">
        <v>9110</v>
      </c>
      <c r="U310" s="342" t="s">
        <v>5318</v>
      </c>
      <c r="V310" s="342" t="s">
        <v>2099</v>
      </c>
      <c r="W310" s="342">
        <v>307502</v>
      </c>
      <c r="X310" s="342" t="s">
        <v>5523</v>
      </c>
      <c r="Y310" s="343">
        <v>43129</v>
      </c>
      <c r="Z310" s="342" t="s">
        <v>4063</v>
      </c>
      <c r="AA310" s="343">
        <v>44250</v>
      </c>
      <c r="AB310" s="342" t="s">
        <v>4064</v>
      </c>
      <c r="AC310" s="342" t="s">
        <v>4064</v>
      </c>
      <c r="AD310" s="342" t="s">
        <v>4065</v>
      </c>
      <c r="AI310" s="342" t="s">
        <v>4067</v>
      </c>
      <c r="AJ310" s="342" t="s">
        <v>5852</v>
      </c>
    </row>
    <row r="311" spans="1:44">
      <c r="A311" s="342">
        <v>294094</v>
      </c>
      <c r="B311" s="342" t="s">
        <v>684</v>
      </c>
      <c r="C311" s="342" t="s">
        <v>613</v>
      </c>
      <c r="D311" s="342">
        <v>41050</v>
      </c>
      <c r="E311" s="342" t="s">
        <v>614</v>
      </c>
      <c r="F311" s="342" t="s">
        <v>558</v>
      </c>
      <c r="G311" s="342" t="s">
        <v>988</v>
      </c>
      <c r="H311" s="342" t="s">
        <v>591</v>
      </c>
      <c r="I311" s="342" t="s">
        <v>40</v>
      </c>
      <c r="J311" s="342" t="s">
        <v>5282</v>
      </c>
      <c r="K311" s="342" t="s">
        <v>1402</v>
      </c>
      <c r="L311" s="343">
        <v>45412</v>
      </c>
      <c r="M311" s="343">
        <v>44673</v>
      </c>
      <c r="O311" s="342" t="s">
        <v>5663</v>
      </c>
      <c r="P311" s="342" t="s">
        <v>5821</v>
      </c>
      <c r="Q311" s="342">
        <v>6145525648</v>
      </c>
      <c r="R311" s="342">
        <v>9110</v>
      </c>
      <c r="V311" s="342" t="s">
        <v>2099</v>
      </c>
      <c r="W311" s="342">
        <v>301808</v>
      </c>
      <c r="X311" s="342" t="s">
        <v>5340</v>
      </c>
      <c r="Y311" s="343">
        <v>40403</v>
      </c>
      <c r="Z311" s="342" t="s">
        <v>4063</v>
      </c>
      <c r="AA311" s="343">
        <v>44673</v>
      </c>
      <c r="AB311" s="342" t="s">
        <v>4064</v>
      </c>
      <c r="AC311" s="342" t="s">
        <v>4064</v>
      </c>
      <c r="AD311" s="342" t="s">
        <v>4065</v>
      </c>
      <c r="AI311" s="342" t="s">
        <v>4067</v>
      </c>
      <c r="AJ311" s="342" t="s">
        <v>5871</v>
      </c>
    </row>
    <row r="312" spans="1:44">
      <c r="A312" s="342">
        <v>294096</v>
      </c>
      <c r="B312" s="342" t="s">
        <v>989</v>
      </c>
      <c r="C312" s="342" t="s">
        <v>990</v>
      </c>
      <c r="E312" s="342" t="s">
        <v>991</v>
      </c>
      <c r="F312" s="342" t="s">
        <v>381</v>
      </c>
      <c r="G312" s="342" t="s">
        <v>992</v>
      </c>
      <c r="H312" s="342" t="s">
        <v>591</v>
      </c>
      <c r="I312" s="342" t="s">
        <v>41</v>
      </c>
      <c r="J312" s="342" t="s">
        <v>786</v>
      </c>
      <c r="K312" s="342" t="s">
        <v>1233</v>
      </c>
      <c r="L312" s="343">
        <v>45199</v>
      </c>
      <c r="M312" s="343">
        <v>44441</v>
      </c>
      <c r="O312" s="342" t="s">
        <v>4787</v>
      </c>
      <c r="P312" s="342" t="s">
        <v>1554</v>
      </c>
      <c r="Q312" s="342">
        <v>6142660166</v>
      </c>
      <c r="R312" s="342">
        <v>9110</v>
      </c>
      <c r="V312" s="342" t="s">
        <v>2217</v>
      </c>
      <c r="W312" s="342">
        <v>301881</v>
      </c>
      <c r="X312" s="342" t="s">
        <v>4995</v>
      </c>
      <c r="Y312" s="343">
        <v>41355</v>
      </c>
      <c r="Z312" s="342" t="s">
        <v>4063</v>
      </c>
      <c r="AA312" s="343">
        <v>44441</v>
      </c>
      <c r="AB312" s="342" t="s">
        <v>4064</v>
      </c>
      <c r="AC312" s="342" t="s">
        <v>4064</v>
      </c>
      <c r="AD312" s="342" t="s">
        <v>4065</v>
      </c>
      <c r="AI312" s="342" t="s">
        <v>4067</v>
      </c>
      <c r="AJ312" s="342" t="s">
        <v>5886</v>
      </c>
    </row>
    <row r="313" spans="1:44">
      <c r="A313" s="342">
        <v>295409</v>
      </c>
      <c r="B313" s="342" t="s">
        <v>540</v>
      </c>
      <c r="C313" s="342" t="s">
        <v>541</v>
      </c>
      <c r="D313" s="342">
        <v>47588</v>
      </c>
      <c r="E313" s="342" t="s">
        <v>417</v>
      </c>
      <c r="F313" s="342" t="s">
        <v>51</v>
      </c>
      <c r="G313" s="342">
        <v>78385</v>
      </c>
      <c r="H313" s="342" t="s">
        <v>591</v>
      </c>
      <c r="I313" s="342" t="s">
        <v>40</v>
      </c>
      <c r="J313" s="342" t="s">
        <v>5281</v>
      </c>
      <c r="K313" s="342" t="s">
        <v>1233</v>
      </c>
      <c r="L313" s="343">
        <v>45657</v>
      </c>
      <c r="M313" s="343">
        <v>44754</v>
      </c>
      <c r="O313" s="342" t="s">
        <v>5298</v>
      </c>
      <c r="P313" s="342" t="s">
        <v>5090</v>
      </c>
      <c r="Q313" s="342">
        <v>6111685981</v>
      </c>
      <c r="R313" s="342">
        <v>9110</v>
      </c>
      <c r="U313" s="342" t="s">
        <v>2049</v>
      </c>
      <c r="V313" s="342" t="s">
        <v>2099</v>
      </c>
      <c r="W313" s="342">
        <v>303645</v>
      </c>
      <c r="X313" s="342" t="s">
        <v>5343</v>
      </c>
      <c r="Y313" s="343">
        <v>41673</v>
      </c>
      <c r="Z313" s="342" t="s">
        <v>4063</v>
      </c>
      <c r="AA313" s="343">
        <v>44754</v>
      </c>
      <c r="AB313" s="342" t="s">
        <v>4064</v>
      </c>
      <c r="AC313" s="342" t="s">
        <v>4064</v>
      </c>
      <c r="AD313" s="342" t="s">
        <v>4065</v>
      </c>
      <c r="AI313" s="342" t="s">
        <v>4067</v>
      </c>
      <c r="AJ313" s="342" t="s">
        <v>5844</v>
      </c>
    </row>
    <row r="314" spans="1:44">
      <c r="A314" s="342">
        <v>295568</v>
      </c>
      <c r="B314" s="342" t="s">
        <v>5026</v>
      </c>
      <c r="C314" s="342" t="s">
        <v>5027</v>
      </c>
      <c r="D314" s="342" t="s">
        <v>5028</v>
      </c>
      <c r="E314" s="342" t="s">
        <v>1136</v>
      </c>
      <c r="F314" s="342" t="s">
        <v>51</v>
      </c>
      <c r="G314" s="342" t="s">
        <v>5029</v>
      </c>
      <c r="H314" s="342" t="s">
        <v>591</v>
      </c>
      <c r="I314" s="342" t="s">
        <v>40</v>
      </c>
      <c r="J314" s="342" t="s">
        <v>1336</v>
      </c>
      <c r="K314" s="342" t="s">
        <v>1402</v>
      </c>
      <c r="L314" s="343">
        <v>45199</v>
      </c>
      <c r="M314" s="343">
        <v>44648</v>
      </c>
      <c r="O314" s="342" t="s">
        <v>5069</v>
      </c>
      <c r="P314" s="342" t="s">
        <v>5091</v>
      </c>
      <c r="Q314" s="342">
        <v>6114668426</v>
      </c>
      <c r="R314" s="342">
        <v>9100</v>
      </c>
      <c r="T314" s="342" t="s">
        <v>2032</v>
      </c>
      <c r="U314" s="342" t="s">
        <v>5063</v>
      </c>
      <c r="V314" s="342" t="s">
        <v>2099</v>
      </c>
      <c r="W314" s="342">
        <v>306694</v>
      </c>
      <c r="X314" s="342" t="s">
        <v>4994</v>
      </c>
      <c r="Y314" s="343">
        <v>42600</v>
      </c>
      <c r="Z314" s="342" t="s">
        <v>4063</v>
      </c>
      <c r="AA314" s="343">
        <v>44648</v>
      </c>
      <c r="AB314" s="342" t="s">
        <v>4064</v>
      </c>
      <c r="AC314" s="342" t="s">
        <v>4064</v>
      </c>
      <c r="AD314" s="342" t="s">
        <v>4065</v>
      </c>
      <c r="AI314" s="342" t="s">
        <v>4067</v>
      </c>
      <c r="AJ314" s="342" t="s">
        <v>5861</v>
      </c>
    </row>
    <row r="315" spans="1:44">
      <c r="A315" s="342">
        <v>295609</v>
      </c>
      <c r="B315" s="342" t="s">
        <v>1312</v>
      </c>
      <c r="C315" s="342" t="s">
        <v>542</v>
      </c>
      <c r="D315" s="342">
        <v>31770</v>
      </c>
      <c r="E315" s="342" t="s">
        <v>349</v>
      </c>
      <c r="F315" s="342" t="s">
        <v>47</v>
      </c>
      <c r="G315" s="342" t="s">
        <v>993</v>
      </c>
      <c r="H315" s="342" t="s">
        <v>591</v>
      </c>
      <c r="I315" s="342" t="s">
        <v>40</v>
      </c>
      <c r="J315" s="342" t="s">
        <v>5449</v>
      </c>
      <c r="K315" s="342" t="s">
        <v>1402</v>
      </c>
      <c r="L315" s="343">
        <v>45350</v>
      </c>
      <c r="M315" s="343">
        <v>44434</v>
      </c>
      <c r="O315" s="342" t="s">
        <v>1338</v>
      </c>
      <c r="P315" s="342" t="s">
        <v>5822</v>
      </c>
      <c r="Q315" s="342">
        <v>6129518464</v>
      </c>
      <c r="R315" s="342">
        <v>9110</v>
      </c>
      <c r="V315" s="342" t="s">
        <v>2099</v>
      </c>
      <c r="W315" s="342">
        <v>302889</v>
      </c>
      <c r="X315" s="342" t="s">
        <v>4175</v>
      </c>
      <c r="Y315" s="343">
        <v>41114</v>
      </c>
      <c r="Z315" s="342" t="s">
        <v>4063</v>
      </c>
      <c r="AA315" s="343">
        <v>44434</v>
      </c>
      <c r="AB315" s="342" t="s">
        <v>4064</v>
      </c>
      <c r="AC315" s="342" t="s">
        <v>4064</v>
      </c>
      <c r="AD315" s="342" t="s">
        <v>4065</v>
      </c>
      <c r="AH315" s="342" t="s">
        <v>4176</v>
      </c>
      <c r="AI315" s="342" t="s">
        <v>4067</v>
      </c>
      <c r="AJ315" s="342" t="s">
        <v>5854</v>
      </c>
      <c r="AR315" s="342" t="s">
        <v>4177</v>
      </c>
    </row>
    <row r="316" spans="1:44">
      <c r="A316" s="342">
        <v>296146</v>
      </c>
      <c r="B316" s="342" t="s">
        <v>543</v>
      </c>
      <c r="C316" s="342" t="s">
        <v>544</v>
      </c>
      <c r="D316" s="342">
        <v>92618</v>
      </c>
      <c r="E316" s="342" t="s">
        <v>295</v>
      </c>
      <c r="F316" s="342" t="s">
        <v>51</v>
      </c>
      <c r="G316" s="342">
        <v>86090</v>
      </c>
      <c r="H316" s="342" t="s">
        <v>591</v>
      </c>
      <c r="I316" s="342" t="s">
        <v>40</v>
      </c>
      <c r="J316" s="342" t="s">
        <v>5279</v>
      </c>
      <c r="K316" s="342" t="s">
        <v>1402</v>
      </c>
      <c r="L316" s="343">
        <v>45291</v>
      </c>
      <c r="M316" s="343">
        <v>44547</v>
      </c>
      <c r="O316" s="342" t="s">
        <v>6055</v>
      </c>
      <c r="P316" s="342" t="s">
        <v>4360</v>
      </c>
      <c r="Q316" s="342">
        <v>6127608981</v>
      </c>
      <c r="R316" s="342">
        <v>9110</v>
      </c>
      <c r="V316" s="342" t="s">
        <v>2099</v>
      </c>
      <c r="W316" s="342">
        <v>303186</v>
      </c>
      <c r="X316" s="342" t="s">
        <v>5386</v>
      </c>
      <c r="Y316" s="343">
        <v>41222</v>
      </c>
      <c r="Z316" s="342" t="s">
        <v>4063</v>
      </c>
      <c r="AA316" s="343">
        <v>44547</v>
      </c>
      <c r="AB316" s="342" t="s">
        <v>4064</v>
      </c>
      <c r="AC316" s="342" t="s">
        <v>4064</v>
      </c>
      <c r="AD316" s="342" t="s">
        <v>4065</v>
      </c>
      <c r="AI316" s="342" t="s">
        <v>4067</v>
      </c>
      <c r="AJ316" s="342" t="s">
        <v>5858</v>
      </c>
    </row>
    <row r="317" spans="1:44">
      <c r="A317" s="342">
        <v>296322</v>
      </c>
      <c r="B317" s="342" t="s">
        <v>994</v>
      </c>
      <c r="C317" s="342" t="s">
        <v>545</v>
      </c>
      <c r="D317" s="342">
        <v>498756</v>
      </c>
      <c r="E317" s="342" t="s">
        <v>336</v>
      </c>
      <c r="F317" s="342" t="s">
        <v>337</v>
      </c>
      <c r="G317" s="342" t="s">
        <v>995</v>
      </c>
      <c r="H317" s="342" t="s">
        <v>591</v>
      </c>
      <c r="I317" s="342" t="s">
        <v>40</v>
      </c>
      <c r="J317" s="342" t="s">
        <v>4608</v>
      </c>
      <c r="K317" s="342" t="s">
        <v>1233</v>
      </c>
      <c r="L317" s="343">
        <v>45382</v>
      </c>
      <c r="M317" s="343">
        <v>44467</v>
      </c>
      <c r="O317" s="342" t="s">
        <v>5614</v>
      </c>
      <c r="P317" s="342" t="s">
        <v>5823</v>
      </c>
      <c r="Q317" s="342">
        <v>6138272128</v>
      </c>
      <c r="R317" s="342">
        <v>9110</v>
      </c>
      <c r="V317" s="342" t="s">
        <v>2099</v>
      </c>
      <c r="W317" s="342">
        <v>302339</v>
      </c>
      <c r="X317" s="342" t="s">
        <v>4993</v>
      </c>
      <c r="Y317" s="343">
        <v>40623</v>
      </c>
      <c r="Z317" s="342" t="s">
        <v>4063</v>
      </c>
      <c r="AA317" s="343">
        <v>44467</v>
      </c>
      <c r="AB317" s="342" t="s">
        <v>4064</v>
      </c>
      <c r="AC317" s="342" t="s">
        <v>4064</v>
      </c>
      <c r="AD317" s="342" t="s">
        <v>4065</v>
      </c>
      <c r="AI317" s="342" t="s">
        <v>4067</v>
      </c>
      <c r="AJ317" s="342" t="s">
        <v>5855</v>
      </c>
    </row>
    <row r="318" spans="1:44">
      <c r="A318" s="342">
        <v>296804</v>
      </c>
      <c r="B318" s="342" t="s">
        <v>546</v>
      </c>
      <c r="C318" s="342" t="s">
        <v>547</v>
      </c>
      <c r="D318" s="342">
        <v>33320</v>
      </c>
      <c r="E318" s="342" t="s">
        <v>548</v>
      </c>
      <c r="F318" s="342" t="s">
        <v>47</v>
      </c>
      <c r="G318" s="342" t="s">
        <v>996</v>
      </c>
      <c r="H318" s="342" t="s">
        <v>591</v>
      </c>
      <c r="I318" s="342" t="s">
        <v>40</v>
      </c>
      <c r="J318" s="342" t="s">
        <v>1277</v>
      </c>
      <c r="K318" s="342" t="s">
        <v>1402</v>
      </c>
      <c r="L318" s="343">
        <v>45565</v>
      </c>
      <c r="M318" s="343">
        <v>44455</v>
      </c>
      <c r="O318" s="342" t="s">
        <v>2021</v>
      </c>
      <c r="P318" s="342" t="s">
        <v>5987</v>
      </c>
      <c r="Q318" s="342">
        <v>6137951301</v>
      </c>
      <c r="R318" s="342">
        <v>9110</v>
      </c>
      <c r="V318" s="342" t="s">
        <v>2099</v>
      </c>
      <c r="W318" s="342">
        <v>302389</v>
      </c>
      <c r="X318" s="342" t="s">
        <v>4991</v>
      </c>
      <c r="Y318" s="343">
        <v>40646</v>
      </c>
      <c r="Z318" s="342" t="s">
        <v>4063</v>
      </c>
      <c r="AA318" s="343">
        <v>44455</v>
      </c>
      <c r="AB318" s="342" t="s">
        <v>4064</v>
      </c>
      <c r="AC318" s="342" t="s">
        <v>4064</v>
      </c>
      <c r="AD318" s="342" t="s">
        <v>4065</v>
      </c>
      <c r="AI318" s="342" t="s">
        <v>4067</v>
      </c>
      <c r="AJ318" s="342" t="s">
        <v>5867</v>
      </c>
    </row>
    <row r="319" spans="1:44">
      <c r="A319" s="342">
        <v>296804</v>
      </c>
      <c r="B319" s="342" t="s">
        <v>546</v>
      </c>
      <c r="C319" s="342" t="s">
        <v>547</v>
      </c>
      <c r="D319" s="342">
        <v>33320</v>
      </c>
      <c r="E319" s="342" t="s">
        <v>548</v>
      </c>
      <c r="F319" s="342" t="s">
        <v>47</v>
      </c>
      <c r="G319" s="342" t="s">
        <v>996</v>
      </c>
      <c r="H319" s="342" t="s">
        <v>591</v>
      </c>
      <c r="I319" s="342" t="s">
        <v>1114</v>
      </c>
      <c r="J319" s="342" t="s">
        <v>1421</v>
      </c>
      <c r="K319" s="342" t="s">
        <v>1162</v>
      </c>
      <c r="L319" s="343">
        <v>44834</v>
      </c>
      <c r="M319" s="343">
        <v>44102</v>
      </c>
      <c r="O319" s="342" t="s">
        <v>2021</v>
      </c>
      <c r="P319" s="342" t="s">
        <v>5987</v>
      </c>
      <c r="Q319" s="342">
        <v>6137951301</v>
      </c>
      <c r="R319" s="342">
        <v>9120</v>
      </c>
      <c r="V319" s="342" t="s">
        <v>2131</v>
      </c>
      <c r="W319" s="342">
        <v>302389</v>
      </c>
      <c r="X319" s="342" t="s">
        <v>4991</v>
      </c>
      <c r="Y319" s="343">
        <v>43054</v>
      </c>
      <c r="Z319" s="342" t="s">
        <v>4063</v>
      </c>
      <c r="AA319" s="343">
        <v>44102</v>
      </c>
      <c r="AB319" s="342" t="s">
        <v>4064</v>
      </c>
      <c r="AC319" s="342" t="s">
        <v>4064</v>
      </c>
      <c r="AD319" s="342" t="s">
        <v>4065</v>
      </c>
      <c r="AI319" s="342" t="s">
        <v>4067</v>
      </c>
      <c r="AJ319" s="342" t="s">
        <v>6139</v>
      </c>
    </row>
    <row r="320" spans="1:44">
      <c r="A320" s="342">
        <v>297471</v>
      </c>
      <c r="B320" s="342" t="s">
        <v>776</v>
      </c>
      <c r="C320" s="342" t="s">
        <v>997</v>
      </c>
      <c r="D320" s="342" t="s">
        <v>778</v>
      </c>
      <c r="E320" s="342" t="s">
        <v>777</v>
      </c>
      <c r="F320" s="342" t="s">
        <v>779</v>
      </c>
      <c r="G320" s="342" t="s">
        <v>998</v>
      </c>
      <c r="H320" s="342" t="s">
        <v>591</v>
      </c>
      <c r="I320" s="342" t="s">
        <v>40</v>
      </c>
      <c r="J320" s="342" t="s">
        <v>5281</v>
      </c>
      <c r="K320" s="342" t="s">
        <v>1233</v>
      </c>
      <c r="L320" s="343">
        <v>45657</v>
      </c>
      <c r="M320" s="343">
        <v>44754</v>
      </c>
      <c r="O320" s="342" t="s">
        <v>5904</v>
      </c>
      <c r="P320" s="342" t="s">
        <v>4271</v>
      </c>
      <c r="Q320" s="342">
        <v>6134099648</v>
      </c>
      <c r="R320" s="342">
        <v>9110</v>
      </c>
      <c r="U320" s="342" t="s">
        <v>5515</v>
      </c>
      <c r="V320" s="342" t="s">
        <v>2099</v>
      </c>
      <c r="W320" s="342">
        <v>303431</v>
      </c>
      <c r="X320" s="342" t="s">
        <v>4134</v>
      </c>
      <c r="Y320" s="343">
        <v>42591</v>
      </c>
      <c r="Z320" s="342" t="s">
        <v>4063</v>
      </c>
      <c r="AA320" s="343">
        <v>44754</v>
      </c>
      <c r="AB320" s="342" t="s">
        <v>4064</v>
      </c>
      <c r="AC320" s="342" t="s">
        <v>4064</v>
      </c>
      <c r="AD320" s="342" t="s">
        <v>4065</v>
      </c>
      <c r="AH320" s="342" t="s">
        <v>4081</v>
      </c>
      <c r="AI320" s="342" t="s">
        <v>4067</v>
      </c>
      <c r="AJ320" s="342" t="s">
        <v>5855</v>
      </c>
    </row>
    <row r="321" spans="1:38">
      <c r="A321" s="342">
        <v>297951</v>
      </c>
      <c r="B321" s="342" t="s">
        <v>999</v>
      </c>
      <c r="C321" s="342" t="s">
        <v>1000</v>
      </c>
      <c r="D321" s="342">
        <v>499638</v>
      </c>
      <c r="E321" s="342" t="s">
        <v>336</v>
      </c>
      <c r="F321" s="342" t="s">
        <v>337</v>
      </c>
      <c r="G321" s="342" t="s">
        <v>1001</v>
      </c>
      <c r="H321" s="342" t="s">
        <v>591</v>
      </c>
      <c r="I321" s="342" t="s">
        <v>40</v>
      </c>
      <c r="J321" s="342" t="s">
        <v>5282</v>
      </c>
      <c r="K321" s="342" t="s">
        <v>1402</v>
      </c>
      <c r="L321" s="343">
        <v>45473</v>
      </c>
      <c r="M321" s="343">
        <v>44735</v>
      </c>
      <c r="O321" s="342" t="s">
        <v>5393</v>
      </c>
      <c r="P321" s="342" t="s">
        <v>5824</v>
      </c>
      <c r="Q321" s="342">
        <v>6122408306</v>
      </c>
      <c r="R321" s="342">
        <v>9110</v>
      </c>
      <c r="V321" s="342" t="s">
        <v>2099</v>
      </c>
      <c r="W321" s="342">
        <v>302721</v>
      </c>
      <c r="X321" s="342" t="s">
        <v>5340</v>
      </c>
      <c r="Y321" s="343">
        <v>40800</v>
      </c>
      <c r="Z321" s="342" t="s">
        <v>4063</v>
      </c>
      <c r="AA321" s="343">
        <v>44735</v>
      </c>
      <c r="AB321" s="342" t="s">
        <v>4064</v>
      </c>
      <c r="AC321" s="342" t="s">
        <v>4064</v>
      </c>
      <c r="AD321" s="342" t="s">
        <v>4065</v>
      </c>
      <c r="AI321" s="342" t="s">
        <v>4067</v>
      </c>
      <c r="AJ321" s="342" t="s">
        <v>5868</v>
      </c>
    </row>
    <row r="322" spans="1:38">
      <c r="A322" s="342">
        <v>298128</v>
      </c>
      <c r="B322" s="342" t="s">
        <v>1002</v>
      </c>
      <c r="C322" s="342" t="s">
        <v>1003</v>
      </c>
      <c r="D322" s="342">
        <v>91761</v>
      </c>
      <c r="E322" s="342" t="s">
        <v>550</v>
      </c>
      <c r="F322" s="342" t="s">
        <v>51</v>
      </c>
      <c r="G322" s="342" t="s">
        <v>1004</v>
      </c>
      <c r="H322" s="342" t="s">
        <v>591</v>
      </c>
      <c r="I322" s="342" t="s">
        <v>41</v>
      </c>
      <c r="J322" s="342" t="s">
        <v>786</v>
      </c>
      <c r="K322" s="342" t="s">
        <v>1402</v>
      </c>
      <c r="L322" s="343">
        <v>45199</v>
      </c>
      <c r="M322" s="343">
        <v>44448</v>
      </c>
      <c r="O322" s="342" t="s">
        <v>5070</v>
      </c>
      <c r="P322" s="342" t="s">
        <v>1555</v>
      </c>
      <c r="Q322" s="342">
        <v>6145381662</v>
      </c>
      <c r="R322" s="342">
        <v>9110</v>
      </c>
      <c r="V322" s="342" t="s">
        <v>2217</v>
      </c>
      <c r="W322" s="342">
        <v>302637</v>
      </c>
      <c r="X322" s="342" t="s">
        <v>4995</v>
      </c>
      <c r="Y322" s="343">
        <v>40757</v>
      </c>
      <c r="Z322" s="342" t="s">
        <v>4063</v>
      </c>
      <c r="AA322" s="343">
        <v>44448</v>
      </c>
      <c r="AB322" s="342" t="s">
        <v>4064</v>
      </c>
      <c r="AC322" s="342" t="s">
        <v>4064</v>
      </c>
      <c r="AD322" s="342" t="s">
        <v>4065</v>
      </c>
      <c r="AI322" s="342" t="s">
        <v>4067</v>
      </c>
      <c r="AJ322" s="342" t="s">
        <v>6140</v>
      </c>
    </row>
    <row r="323" spans="1:38">
      <c r="A323" s="342">
        <v>298364</v>
      </c>
      <c r="B323" s="342" t="s">
        <v>551</v>
      </c>
      <c r="C323" s="342" t="s">
        <v>552</v>
      </c>
      <c r="D323" s="342" t="s">
        <v>553</v>
      </c>
      <c r="E323" s="342" t="s">
        <v>348</v>
      </c>
      <c r="F323" s="342" t="s">
        <v>45</v>
      </c>
      <c r="G323" s="342" t="s">
        <v>1005</v>
      </c>
      <c r="H323" s="342" t="s">
        <v>591</v>
      </c>
      <c r="I323" s="342" t="s">
        <v>40</v>
      </c>
      <c r="J323" s="342" t="s">
        <v>786</v>
      </c>
      <c r="K323" s="342" t="s">
        <v>1402</v>
      </c>
      <c r="L323" s="343">
        <v>45565</v>
      </c>
      <c r="M323" s="343">
        <v>44467</v>
      </c>
      <c r="O323" s="342" t="s">
        <v>4944</v>
      </c>
      <c r="P323" s="342" t="s">
        <v>4765</v>
      </c>
      <c r="Q323" s="342">
        <v>6134838964</v>
      </c>
      <c r="R323" s="342">
        <v>9110</v>
      </c>
      <c r="V323" s="342" t="s">
        <v>2099</v>
      </c>
      <c r="W323" s="342">
        <v>303041</v>
      </c>
      <c r="X323" s="342" t="s">
        <v>4117</v>
      </c>
      <c r="Y323" s="343">
        <v>41074</v>
      </c>
      <c r="Z323" s="342" t="s">
        <v>4063</v>
      </c>
      <c r="AA323" s="343">
        <v>44467</v>
      </c>
      <c r="AB323" s="342" t="s">
        <v>4064</v>
      </c>
      <c r="AC323" s="342" t="s">
        <v>4064</v>
      </c>
      <c r="AD323" s="342" t="s">
        <v>4065</v>
      </c>
      <c r="AH323" s="342" t="s">
        <v>4083</v>
      </c>
      <c r="AI323" s="342" t="s">
        <v>4067</v>
      </c>
      <c r="AJ323" s="342" t="s">
        <v>5871</v>
      </c>
    </row>
    <row r="324" spans="1:38">
      <c r="A324" s="342">
        <v>298473</v>
      </c>
      <c r="B324" s="342" t="s">
        <v>5288</v>
      </c>
      <c r="C324" s="342" t="s">
        <v>5289</v>
      </c>
      <c r="D324" s="342" t="s">
        <v>5290</v>
      </c>
      <c r="E324" s="342" t="s">
        <v>5291</v>
      </c>
      <c r="F324" s="342" t="s">
        <v>45</v>
      </c>
      <c r="H324" s="342" t="s">
        <v>591</v>
      </c>
      <c r="I324" s="342" t="s">
        <v>41</v>
      </c>
      <c r="J324" s="342" t="s">
        <v>1421</v>
      </c>
      <c r="K324" s="342" t="s">
        <v>1233</v>
      </c>
      <c r="L324" s="343">
        <v>44834</v>
      </c>
      <c r="M324" s="343">
        <v>44643</v>
      </c>
      <c r="O324" s="342" t="s">
        <v>5299</v>
      </c>
      <c r="R324" s="342">
        <v>9110</v>
      </c>
      <c r="S324" s="342">
        <v>9110</v>
      </c>
      <c r="T324" s="342" t="s">
        <v>5331</v>
      </c>
      <c r="U324" s="342" t="s">
        <v>5319</v>
      </c>
      <c r="V324" s="342" t="s">
        <v>2217</v>
      </c>
      <c r="W324" s="342">
        <v>302707</v>
      </c>
      <c r="X324" s="342" t="s">
        <v>4991</v>
      </c>
      <c r="Y324" s="343">
        <v>40791</v>
      </c>
      <c r="Z324" s="342" t="s">
        <v>4063</v>
      </c>
      <c r="AA324" s="343">
        <v>44643</v>
      </c>
      <c r="AB324" s="342" t="s">
        <v>4064</v>
      </c>
      <c r="AC324" s="342" t="s">
        <v>4064</v>
      </c>
      <c r="AD324" s="342" t="s">
        <v>4065</v>
      </c>
      <c r="AI324" s="342" t="s">
        <v>4067</v>
      </c>
      <c r="AJ324" s="342" t="s">
        <v>5887</v>
      </c>
    </row>
    <row r="325" spans="1:38">
      <c r="A325" s="342">
        <v>298528</v>
      </c>
      <c r="B325" s="342" t="s">
        <v>1461</v>
      </c>
      <c r="C325" s="342" t="s">
        <v>1462</v>
      </c>
      <c r="D325" s="342">
        <v>13600</v>
      </c>
      <c r="E325" s="342" t="s">
        <v>1463</v>
      </c>
      <c r="F325" s="342" t="s">
        <v>558</v>
      </c>
      <c r="G325" s="342" t="s">
        <v>1464</v>
      </c>
      <c r="H325" s="342" t="s">
        <v>591</v>
      </c>
      <c r="I325" s="342" t="s">
        <v>40</v>
      </c>
      <c r="J325" s="342" t="s">
        <v>5281</v>
      </c>
      <c r="K325" s="342" t="s">
        <v>1233</v>
      </c>
      <c r="L325" s="343">
        <v>45077</v>
      </c>
      <c r="M325" s="343">
        <v>44705</v>
      </c>
      <c r="O325" s="342" t="s">
        <v>5905</v>
      </c>
      <c r="P325" s="342" t="s">
        <v>5052</v>
      </c>
      <c r="Q325" s="342">
        <v>6129192440</v>
      </c>
      <c r="R325" s="342">
        <v>9110</v>
      </c>
      <c r="U325" s="342" t="s">
        <v>5332</v>
      </c>
      <c r="V325" s="342" t="s">
        <v>2099</v>
      </c>
      <c r="W325" s="342">
        <v>302996</v>
      </c>
      <c r="X325" s="342" t="s">
        <v>5389</v>
      </c>
      <c r="Y325" s="343">
        <v>41673</v>
      </c>
      <c r="Z325" s="342" t="s">
        <v>4063</v>
      </c>
      <c r="AA325" s="343">
        <v>44705</v>
      </c>
      <c r="AB325" s="342" t="s">
        <v>4064</v>
      </c>
      <c r="AC325" s="342" t="s">
        <v>4064</v>
      </c>
      <c r="AD325" s="342" t="s">
        <v>4065</v>
      </c>
      <c r="AH325" s="342" t="s">
        <v>4081</v>
      </c>
      <c r="AI325" s="342" t="s">
        <v>4067</v>
      </c>
      <c r="AJ325" s="342" t="s">
        <v>6003</v>
      </c>
    </row>
    <row r="326" spans="1:38">
      <c r="A326" s="342">
        <v>298721</v>
      </c>
      <c r="B326" s="342" t="s">
        <v>362</v>
      </c>
      <c r="C326" s="342" t="s">
        <v>554</v>
      </c>
      <c r="D326" s="342">
        <v>10000</v>
      </c>
      <c r="E326" s="342" t="s">
        <v>555</v>
      </c>
      <c r="F326" s="342" t="s">
        <v>47</v>
      </c>
      <c r="H326" s="342" t="s">
        <v>591</v>
      </c>
      <c r="I326" s="342" t="s">
        <v>40</v>
      </c>
      <c r="J326" s="342" t="s">
        <v>1336</v>
      </c>
      <c r="K326" s="342" t="s">
        <v>1233</v>
      </c>
      <c r="L326" s="343">
        <v>45716</v>
      </c>
      <c r="M326" s="343">
        <v>44616</v>
      </c>
      <c r="O326" s="342" t="s">
        <v>5615</v>
      </c>
      <c r="P326" s="342" t="s">
        <v>4925</v>
      </c>
      <c r="Q326" s="342">
        <v>6111067169</v>
      </c>
      <c r="R326" s="342">
        <v>9110</v>
      </c>
      <c r="V326" s="342" t="s">
        <v>2099</v>
      </c>
      <c r="W326" s="342">
        <v>302759</v>
      </c>
      <c r="X326" s="342" t="s">
        <v>4112</v>
      </c>
      <c r="Y326" s="343">
        <v>41673</v>
      </c>
      <c r="Z326" s="342" t="s">
        <v>4063</v>
      </c>
      <c r="AA326" s="343">
        <v>44616</v>
      </c>
      <c r="AB326" s="342" t="s">
        <v>4064</v>
      </c>
      <c r="AC326" s="342" t="s">
        <v>4064</v>
      </c>
      <c r="AD326" s="342" t="s">
        <v>4065</v>
      </c>
      <c r="AH326" s="342" t="s">
        <v>4081</v>
      </c>
      <c r="AI326" s="342" t="s">
        <v>4067</v>
      </c>
      <c r="AJ326" s="342" t="s">
        <v>5935</v>
      </c>
      <c r="AK326" s="342">
        <v>18350</v>
      </c>
      <c r="AL326" s="342">
        <v>6114003120</v>
      </c>
    </row>
    <row r="327" spans="1:38">
      <c r="A327" s="342">
        <v>298788</v>
      </c>
      <c r="B327" s="342" t="s">
        <v>556</v>
      </c>
      <c r="C327" s="342" t="s">
        <v>557</v>
      </c>
      <c r="D327" s="342">
        <v>64000</v>
      </c>
      <c r="E327" s="342" t="s">
        <v>693</v>
      </c>
      <c r="F327" s="342" t="s">
        <v>558</v>
      </c>
      <c r="G327" s="342" t="s">
        <v>1006</v>
      </c>
      <c r="H327" s="342" t="s">
        <v>591</v>
      </c>
      <c r="I327" s="342" t="s">
        <v>41</v>
      </c>
      <c r="J327" s="342" t="s">
        <v>1421</v>
      </c>
      <c r="K327" s="342" t="s">
        <v>1402</v>
      </c>
      <c r="L327" s="343">
        <v>45077</v>
      </c>
      <c r="M327" s="343">
        <v>44687</v>
      </c>
      <c r="O327" s="342" t="s">
        <v>5616</v>
      </c>
      <c r="P327" s="342" t="s">
        <v>5312</v>
      </c>
      <c r="Q327" s="342">
        <v>6135037243</v>
      </c>
      <c r="R327" s="342">
        <v>9110</v>
      </c>
      <c r="U327" s="342" t="s">
        <v>2051</v>
      </c>
      <c r="V327" s="342" t="s">
        <v>2217</v>
      </c>
      <c r="W327" s="342">
        <v>303406</v>
      </c>
      <c r="X327" s="342" t="s">
        <v>4991</v>
      </c>
      <c r="Y327" s="343">
        <v>41176</v>
      </c>
      <c r="Z327" s="342" t="s">
        <v>4063</v>
      </c>
      <c r="AA327" s="343">
        <v>44687</v>
      </c>
      <c r="AB327" s="342" t="s">
        <v>4064</v>
      </c>
      <c r="AC327" s="342" t="s">
        <v>4064</v>
      </c>
      <c r="AD327" s="342" t="s">
        <v>4065</v>
      </c>
      <c r="AI327" s="342" t="s">
        <v>4067</v>
      </c>
      <c r="AJ327" s="342" t="s">
        <v>6140</v>
      </c>
    </row>
    <row r="328" spans="1:38">
      <c r="A328" s="342">
        <v>298788</v>
      </c>
      <c r="B328" s="342" t="s">
        <v>556</v>
      </c>
      <c r="C328" s="342" t="s">
        <v>557</v>
      </c>
      <c r="D328" s="342">
        <v>64000</v>
      </c>
      <c r="E328" s="342" t="s">
        <v>693</v>
      </c>
      <c r="F328" s="342" t="s">
        <v>558</v>
      </c>
      <c r="G328" s="342" t="s">
        <v>1006</v>
      </c>
      <c r="H328" s="342" t="s">
        <v>591</v>
      </c>
      <c r="I328" s="342" t="s">
        <v>40</v>
      </c>
      <c r="J328" s="342" t="s">
        <v>1421</v>
      </c>
      <c r="K328" s="342" t="s">
        <v>1233</v>
      </c>
      <c r="L328" s="343">
        <v>45443</v>
      </c>
      <c r="M328" s="343">
        <v>44384</v>
      </c>
      <c r="O328" s="342" t="s">
        <v>5616</v>
      </c>
      <c r="P328" s="342" t="s">
        <v>5312</v>
      </c>
      <c r="Q328" s="342">
        <v>6135037243</v>
      </c>
      <c r="R328" s="342">
        <v>9110</v>
      </c>
      <c r="V328" s="342" t="s">
        <v>2099</v>
      </c>
      <c r="W328" s="342">
        <v>303406</v>
      </c>
      <c r="X328" s="342" t="s">
        <v>4991</v>
      </c>
      <c r="Y328" s="343">
        <v>42493</v>
      </c>
      <c r="Z328" s="342" t="s">
        <v>4063</v>
      </c>
      <c r="AA328" s="343">
        <v>44384</v>
      </c>
      <c r="AB328" s="342" t="s">
        <v>4064</v>
      </c>
      <c r="AC328" s="342" t="s">
        <v>4064</v>
      </c>
      <c r="AD328" s="342" t="s">
        <v>4065</v>
      </c>
      <c r="AI328" s="342" t="s">
        <v>4067</v>
      </c>
      <c r="AJ328" s="342" t="s">
        <v>5846</v>
      </c>
    </row>
    <row r="329" spans="1:38">
      <c r="A329" s="342">
        <v>298953</v>
      </c>
      <c r="B329" s="342" t="s">
        <v>649</v>
      </c>
      <c r="C329" s="342" t="s">
        <v>633</v>
      </c>
      <c r="D329" s="342">
        <v>13905</v>
      </c>
      <c r="E329" s="342" t="s">
        <v>650</v>
      </c>
      <c r="F329" s="342" t="s">
        <v>51</v>
      </c>
      <c r="G329" s="342" t="s">
        <v>1007</v>
      </c>
      <c r="H329" s="342" t="s">
        <v>591</v>
      </c>
      <c r="I329" s="342" t="s">
        <v>40</v>
      </c>
      <c r="J329" s="342" t="s">
        <v>5450</v>
      </c>
      <c r="K329" s="342" t="s">
        <v>1233</v>
      </c>
      <c r="L329" s="343">
        <v>45077</v>
      </c>
      <c r="M329" s="343">
        <v>44705</v>
      </c>
      <c r="O329" s="342" t="s">
        <v>4315</v>
      </c>
      <c r="P329" s="342" t="s">
        <v>4559</v>
      </c>
      <c r="Q329" s="342">
        <v>6119310180</v>
      </c>
      <c r="R329" s="342">
        <v>9110</v>
      </c>
      <c r="U329" s="342" t="s">
        <v>2052</v>
      </c>
      <c r="V329" s="342" t="s">
        <v>2099</v>
      </c>
      <c r="W329" s="342">
        <v>306059</v>
      </c>
      <c r="X329" s="342" t="s">
        <v>5524</v>
      </c>
      <c r="Y329" s="343">
        <v>42200</v>
      </c>
      <c r="Z329" s="342" t="s">
        <v>4063</v>
      </c>
      <c r="AA329" s="343">
        <v>44705</v>
      </c>
      <c r="AB329" s="342" t="s">
        <v>4064</v>
      </c>
      <c r="AC329" s="342" t="s">
        <v>4064</v>
      </c>
      <c r="AD329" s="342" t="s">
        <v>4065</v>
      </c>
      <c r="AI329" s="342" t="s">
        <v>4111</v>
      </c>
      <c r="AJ329" s="342" t="s">
        <v>5856</v>
      </c>
    </row>
    <row r="330" spans="1:38">
      <c r="A330" s="342">
        <v>299072</v>
      </c>
      <c r="B330" s="342" t="s">
        <v>1008</v>
      </c>
      <c r="C330" s="342" t="s">
        <v>1009</v>
      </c>
      <c r="D330" s="342">
        <v>46241</v>
      </c>
      <c r="E330" s="342" t="s">
        <v>1010</v>
      </c>
      <c r="F330" s="342" t="s">
        <v>51</v>
      </c>
      <c r="H330" s="342" t="s">
        <v>591</v>
      </c>
      <c r="I330" s="342" t="s">
        <v>784</v>
      </c>
      <c r="J330" s="342" t="s">
        <v>1336</v>
      </c>
      <c r="K330" s="342" t="s">
        <v>1233</v>
      </c>
      <c r="L330" s="343">
        <v>45260</v>
      </c>
      <c r="M330" s="343">
        <v>44748</v>
      </c>
      <c r="O330" s="342" t="s">
        <v>4316</v>
      </c>
      <c r="P330" s="342" t="s">
        <v>5313</v>
      </c>
      <c r="Q330" s="342">
        <v>6136501309</v>
      </c>
      <c r="R330" s="342">
        <v>9100</v>
      </c>
      <c r="V330" s="342" t="s">
        <v>2233</v>
      </c>
      <c r="W330" s="342">
        <v>303540</v>
      </c>
      <c r="X330" s="342" t="s">
        <v>4994</v>
      </c>
      <c r="Y330" s="343">
        <v>42872</v>
      </c>
      <c r="Z330" s="342" t="s">
        <v>4063</v>
      </c>
      <c r="AA330" s="343">
        <v>44748</v>
      </c>
      <c r="AB330" s="342" t="s">
        <v>4064</v>
      </c>
      <c r="AC330" s="342" t="s">
        <v>4064</v>
      </c>
      <c r="AD330" s="342" t="s">
        <v>4065</v>
      </c>
      <c r="AI330" s="342" t="s">
        <v>4067</v>
      </c>
      <c r="AJ330" s="342" t="s">
        <v>5887</v>
      </c>
    </row>
    <row r="331" spans="1:38">
      <c r="A331" s="342">
        <v>299072</v>
      </c>
      <c r="B331" s="342" t="s">
        <v>1008</v>
      </c>
      <c r="C331" s="342" t="s">
        <v>1009</v>
      </c>
      <c r="D331" s="342">
        <v>46241</v>
      </c>
      <c r="E331" s="342" t="s">
        <v>1010</v>
      </c>
      <c r="F331" s="342" t="s">
        <v>51</v>
      </c>
      <c r="H331" s="342" t="s">
        <v>591</v>
      </c>
      <c r="I331" s="342" t="s">
        <v>787</v>
      </c>
      <c r="J331" s="342" t="s">
        <v>1336</v>
      </c>
      <c r="K331" s="342" t="s">
        <v>1233</v>
      </c>
      <c r="L331" s="343">
        <v>45260</v>
      </c>
      <c r="M331" s="343">
        <v>44748</v>
      </c>
      <c r="O331" s="342" t="s">
        <v>4316</v>
      </c>
      <c r="P331" s="342" t="s">
        <v>5313</v>
      </c>
      <c r="Q331" s="342">
        <v>6136501309</v>
      </c>
      <c r="R331" s="342">
        <v>9110</v>
      </c>
      <c r="V331" s="342" t="s">
        <v>2217</v>
      </c>
      <c r="W331" s="342">
        <v>303540</v>
      </c>
      <c r="X331" s="342" t="s">
        <v>4994</v>
      </c>
      <c r="Y331" s="343">
        <v>42872</v>
      </c>
      <c r="Z331" s="342" t="s">
        <v>4063</v>
      </c>
      <c r="AA331" s="343">
        <v>44748</v>
      </c>
      <c r="AB331" s="342" t="s">
        <v>4064</v>
      </c>
      <c r="AC331" s="342" t="s">
        <v>4064</v>
      </c>
      <c r="AD331" s="342" t="s">
        <v>4065</v>
      </c>
      <c r="AI331" s="342" t="s">
        <v>4067</v>
      </c>
      <c r="AJ331" s="342" t="s">
        <v>6141</v>
      </c>
    </row>
    <row r="332" spans="1:38">
      <c r="A332" s="342">
        <v>299640</v>
      </c>
      <c r="B332" s="342" t="s">
        <v>4475</v>
      </c>
      <c r="C332" s="342" t="s">
        <v>4476</v>
      </c>
      <c r="D332" s="342">
        <v>510663</v>
      </c>
      <c r="E332" s="342" t="s">
        <v>174</v>
      </c>
      <c r="F332" s="342" t="s">
        <v>175</v>
      </c>
      <c r="G332" s="342" t="s">
        <v>4477</v>
      </c>
      <c r="H332" s="342" t="s">
        <v>591</v>
      </c>
      <c r="I332" s="342" t="s">
        <v>40</v>
      </c>
      <c r="J332" s="342" t="s">
        <v>1510</v>
      </c>
      <c r="K332" s="342" t="s">
        <v>1402</v>
      </c>
      <c r="L332" s="343">
        <v>44926</v>
      </c>
      <c r="M332" s="343">
        <v>44571</v>
      </c>
      <c r="O332" s="342" t="s">
        <v>4482</v>
      </c>
      <c r="P332" s="342" t="s">
        <v>4893</v>
      </c>
      <c r="Q332" s="342">
        <v>6153981986</v>
      </c>
      <c r="R332" s="342">
        <v>9110</v>
      </c>
      <c r="U332" s="342" t="s">
        <v>5181</v>
      </c>
      <c r="V332" s="342" t="s">
        <v>2099</v>
      </c>
      <c r="W332" s="342">
        <v>303559</v>
      </c>
      <c r="X332" s="342" t="s">
        <v>4988</v>
      </c>
      <c r="Y332" s="343">
        <v>41673</v>
      </c>
      <c r="Z332" s="342" t="s">
        <v>4063</v>
      </c>
      <c r="AA332" s="343">
        <v>44571</v>
      </c>
      <c r="AB332" s="342" t="s">
        <v>4064</v>
      </c>
      <c r="AC332" s="342" t="s">
        <v>4064</v>
      </c>
      <c r="AD332" s="342" t="s">
        <v>4065</v>
      </c>
      <c r="AI332" s="342" t="s">
        <v>4067</v>
      </c>
      <c r="AJ332" s="342" t="s">
        <v>6006</v>
      </c>
    </row>
    <row r="333" spans="1:38">
      <c r="A333" s="342">
        <v>300205</v>
      </c>
      <c r="B333" s="342" t="s">
        <v>1011</v>
      </c>
      <c r="C333" s="342" t="s">
        <v>1505</v>
      </c>
      <c r="D333" s="342">
        <v>82000</v>
      </c>
      <c r="E333" s="342" t="s">
        <v>1193</v>
      </c>
      <c r="F333" s="342" t="s">
        <v>47</v>
      </c>
      <c r="H333" s="342" t="s">
        <v>591</v>
      </c>
      <c r="I333" s="342" t="s">
        <v>1100</v>
      </c>
      <c r="J333" s="342" t="s">
        <v>4638</v>
      </c>
      <c r="K333" s="342" t="s">
        <v>1402</v>
      </c>
      <c r="L333" s="343">
        <v>44926</v>
      </c>
      <c r="M333" s="343">
        <v>44533</v>
      </c>
      <c r="O333" s="342" t="s">
        <v>1317</v>
      </c>
      <c r="P333" s="342" t="s">
        <v>1556</v>
      </c>
      <c r="Q333" s="342">
        <v>6148764642</v>
      </c>
      <c r="R333" s="342">
        <v>9100</v>
      </c>
      <c r="V333" s="342" t="s">
        <v>2109</v>
      </c>
      <c r="W333" s="342">
        <v>303181</v>
      </c>
      <c r="X333" s="342" t="s">
        <v>5410</v>
      </c>
      <c r="Y333" s="343">
        <v>41277</v>
      </c>
      <c r="Z333" s="342" t="s">
        <v>4063</v>
      </c>
      <c r="AA333" s="343">
        <v>44533</v>
      </c>
      <c r="AB333" s="342" t="s">
        <v>4064</v>
      </c>
      <c r="AC333" s="342" t="s">
        <v>4064</v>
      </c>
      <c r="AD333" s="342" t="s">
        <v>4065</v>
      </c>
      <c r="AI333" s="342" t="s">
        <v>4067</v>
      </c>
      <c r="AJ333" s="342" t="s">
        <v>6094</v>
      </c>
    </row>
    <row r="334" spans="1:38">
      <c r="A334" s="342">
        <v>300583</v>
      </c>
      <c r="B334" s="342" t="s">
        <v>1077</v>
      </c>
      <c r="C334" s="342" t="s">
        <v>273</v>
      </c>
      <c r="D334" s="342" t="s">
        <v>1078</v>
      </c>
      <c r="E334" s="342" t="s">
        <v>275</v>
      </c>
      <c r="F334" s="342" t="s">
        <v>45</v>
      </c>
      <c r="G334" s="342" t="s">
        <v>1079</v>
      </c>
      <c r="H334" s="342" t="s">
        <v>591</v>
      </c>
      <c r="I334" s="342" t="s">
        <v>40</v>
      </c>
      <c r="J334" s="342" t="s">
        <v>786</v>
      </c>
      <c r="K334" s="342" t="s">
        <v>1402</v>
      </c>
      <c r="L334" s="343">
        <v>45412</v>
      </c>
      <c r="M334" s="343">
        <v>44316</v>
      </c>
      <c r="O334" s="342" t="s">
        <v>5348</v>
      </c>
      <c r="P334" s="342" t="s">
        <v>1557</v>
      </c>
      <c r="Q334" s="342">
        <v>6139641169</v>
      </c>
      <c r="R334" s="342">
        <v>9110</v>
      </c>
      <c r="V334" s="342" t="s">
        <v>2099</v>
      </c>
      <c r="W334" s="342">
        <v>303098</v>
      </c>
      <c r="X334" s="342" t="s">
        <v>4125</v>
      </c>
      <c r="Y334" s="343">
        <v>42943</v>
      </c>
      <c r="Z334" s="342" t="s">
        <v>4063</v>
      </c>
      <c r="AA334" s="343">
        <v>44316</v>
      </c>
      <c r="AB334" s="342" t="s">
        <v>4064</v>
      </c>
      <c r="AC334" s="342" t="s">
        <v>4064</v>
      </c>
      <c r="AD334" s="342" t="s">
        <v>4065</v>
      </c>
      <c r="AH334" s="342" t="s">
        <v>4178</v>
      </c>
      <c r="AI334" s="342" t="s">
        <v>4067</v>
      </c>
      <c r="AJ334" s="342" t="s">
        <v>5871</v>
      </c>
    </row>
    <row r="335" spans="1:38">
      <c r="A335" s="342">
        <v>300812</v>
      </c>
      <c r="B335" s="342" t="s">
        <v>1441</v>
      </c>
      <c r="C335" s="342" t="s">
        <v>1442</v>
      </c>
      <c r="D335" s="342">
        <v>31771</v>
      </c>
      <c r="E335" s="342" t="s">
        <v>1443</v>
      </c>
      <c r="F335" s="342" t="s">
        <v>47</v>
      </c>
      <c r="G335" s="342" t="s">
        <v>1444</v>
      </c>
      <c r="H335" s="342" t="s">
        <v>591</v>
      </c>
      <c r="I335" s="342" t="s">
        <v>40</v>
      </c>
      <c r="J335" s="342" t="s">
        <v>1277</v>
      </c>
      <c r="K335" s="342" t="s">
        <v>1402</v>
      </c>
      <c r="L335" s="343">
        <v>45350</v>
      </c>
      <c r="M335" s="343">
        <v>44255</v>
      </c>
      <c r="O335" s="342" t="s">
        <v>4759</v>
      </c>
      <c r="P335" s="342" t="s">
        <v>5825</v>
      </c>
      <c r="Q335" s="342">
        <v>6116496065</v>
      </c>
      <c r="R335" s="342">
        <v>9100</v>
      </c>
      <c r="U335" s="342" t="s">
        <v>4196</v>
      </c>
      <c r="V335" s="342" t="s">
        <v>2099</v>
      </c>
      <c r="W335" s="342">
        <v>303139</v>
      </c>
      <c r="X335" s="342" t="s">
        <v>4118</v>
      </c>
      <c r="Y335" s="343">
        <v>44179</v>
      </c>
      <c r="Z335" s="342" t="s">
        <v>4063</v>
      </c>
      <c r="AA335" s="343">
        <v>44255</v>
      </c>
      <c r="AB335" s="342" t="s">
        <v>4064</v>
      </c>
      <c r="AC335" s="342" t="s">
        <v>4064</v>
      </c>
      <c r="AD335" s="342" t="s">
        <v>4065</v>
      </c>
      <c r="AH335" s="342" t="s">
        <v>4115</v>
      </c>
      <c r="AI335" s="342" t="s">
        <v>4067</v>
      </c>
      <c r="AJ335" s="342" t="s">
        <v>5843</v>
      </c>
    </row>
    <row r="336" spans="1:38">
      <c r="A336" s="342">
        <v>301127</v>
      </c>
      <c r="B336" s="342" t="s">
        <v>1411</v>
      </c>
      <c r="C336" s="342" t="s">
        <v>1469</v>
      </c>
      <c r="D336" s="342">
        <v>30337</v>
      </c>
      <c r="E336" s="342" t="s">
        <v>1080</v>
      </c>
      <c r="F336" s="342" t="s">
        <v>51</v>
      </c>
      <c r="G336" s="342" t="s">
        <v>1081</v>
      </c>
      <c r="H336" s="342" t="s">
        <v>591</v>
      </c>
      <c r="I336" s="342" t="s">
        <v>40</v>
      </c>
      <c r="J336" s="342" t="s">
        <v>5449</v>
      </c>
      <c r="K336" s="342" t="s">
        <v>1402</v>
      </c>
      <c r="L336" s="343">
        <v>45350</v>
      </c>
      <c r="M336" s="343">
        <v>44434</v>
      </c>
      <c r="O336" s="342" t="s">
        <v>4892</v>
      </c>
      <c r="P336" s="342" t="s">
        <v>5826</v>
      </c>
      <c r="Q336" s="342">
        <v>6132049506</v>
      </c>
      <c r="R336" s="342">
        <v>9110</v>
      </c>
      <c r="V336" s="342" t="s">
        <v>2099</v>
      </c>
      <c r="W336" s="342">
        <v>305895</v>
      </c>
      <c r="X336" s="342" t="s">
        <v>5146</v>
      </c>
      <c r="Y336" s="343">
        <v>42950</v>
      </c>
      <c r="Z336" s="342" t="s">
        <v>4063</v>
      </c>
      <c r="AA336" s="343">
        <v>44434</v>
      </c>
      <c r="AB336" s="342" t="s">
        <v>4064</v>
      </c>
      <c r="AC336" s="342" t="s">
        <v>4064</v>
      </c>
      <c r="AD336" s="342" t="s">
        <v>4065</v>
      </c>
      <c r="AI336" s="342" t="s">
        <v>4067</v>
      </c>
      <c r="AJ336" s="342" t="s">
        <v>5854</v>
      </c>
    </row>
    <row r="337" spans="1:44">
      <c r="A337" s="342">
        <v>301185</v>
      </c>
      <c r="B337" s="342" t="s">
        <v>1151</v>
      </c>
      <c r="C337" s="342" t="s">
        <v>1320</v>
      </c>
      <c r="D337" s="342">
        <v>66540</v>
      </c>
      <c r="E337" s="342" t="s">
        <v>1321</v>
      </c>
      <c r="F337" s="342" t="s">
        <v>55</v>
      </c>
      <c r="H337" s="342" t="s">
        <v>591</v>
      </c>
      <c r="I337" s="342" t="s">
        <v>40</v>
      </c>
      <c r="J337" s="342" t="s">
        <v>1277</v>
      </c>
      <c r="K337" s="342" t="s">
        <v>5218</v>
      </c>
      <c r="L337" s="343">
        <v>45443</v>
      </c>
      <c r="M337" s="343">
        <v>44700</v>
      </c>
      <c r="O337" s="342" t="s">
        <v>1327</v>
      </c>
      <c r="P337" s="342" t="s">
        <v>4606</v>
      </c>
      <c r="R337" s="342" t="s">
        <v>1581</v>
      </c>
      <c r="U337" s="342" t="s">
        <v>2053</v>
      </c>
      <c r="V337" s="342" t="s">
        <v>2099</v>
      </c>
      <c r="W337" s="342">
        <v>308148</v>
      </c>
      <c r="X337" s="342" t="s">
        <v>4990</v>
      </c>
      <c r="Y337" s="343">
        <v>43594</v>
      </c>
      <c r="Z337" s="342" t="s">
        <v>4063</v>
      </c>
      <c r="AA337" s="343">
        <v>44700</v>
      </c>
      <c r="AB337" s="342" t="s">
        <v>4064</v>
      </c>
      <c r="AC337" s="342" t="s">
        <v>4064</v>
      </c>
      <c r="AD337" s="342" t="s">
        <v>4065</v>
      </c>
      <c r="AI337" s="342" t="s">
        <v>4067</v>
      </c>
      <c r="AJ337" s="342" t="s">
        <v>6142</v>
      </c>
    </row>
    <row r="338" spans="1:44">
      <c r="A338" s="342">
        <v>301672</v>
      </c>
      <c r="B338" s="342" t="s">
        <v>624</v>
      </c>
      <c r="C338" s="342" t="s">
        <v>2015</v>
      </c>
      <c r="D338" s="342">
        <v>28199</v>
      </c>
      <c r="E338" s="342" t="s">
        <v>559</v>
      </c>
      <c r="F338" s="342" t="s">
        <v>55</v>
      </c>
      <c r="G338" s="342" t="s">
        <v>1012</v>
      </c>
      <c r="H338" s="342" t="s">
        <v>591</v>
      </c>
      <c r="I338" s="342" t="s">
        <v>40</v>
      </c>
      <c r="J338" s="342" t="s">
        <v>1421</v>
      </c>
      <c r="K338" s="342" t="s">
        <v>1402</v>
      </c>
      <c r="L338" s="343">
        <v>45596</v>
      </c>
      <c r="M338" s="343">
        <v>44491</v>
      </c>
      <c r="O338" s="342" t="s">
        <v>4788</v>
      </c>
      <c r="P338" s="342" t="s">
        <v>1558</v>
      </c>
      <c r="Q338" s="342">
        <v>6137226120</v>
      </c>
      <c r="R338" s="342">
        <v>9110</v>
      </c>
      <c r="V338" s="342" t="s">
        <v>2099</v>
      </c>
      <c r="W338" s="342">
        <v>303656</v>
      </c>
      <c r="X338" s="342" t="s">
        <v>4085</v>
      </c>
      <c r="Y338" s="343">
        <v>41550</v>
      </c>
      <c r="Z338" s="342" t="s">
        <v>4063</v>
      </c>
      <c r="AA338" s="343">
        <v>44491</v>
      </c>
      <c r="AB338" s="342" t="s">
        <v>4064</v>
      </c>
      <c r="AC338" s="342" t="s">
        <v>4064</v>
      </c>
      <c r="AD338" s="342" t="s">
        <v>4065</v>
      </c>
      <c r="AH338" s="342" t="s">
        <v>4176</v>
      </c>
      <c r="AI338" s="342" t="s">
        <v>4067</v>
      </c>
      <c r="AJ338" s="342" t="s">
        <v>5850</v>
      </c>
    </row>
    <row r="339" spans="1:44">
      <c r="A339" s="342">
        <v>301799</v>
      </c>
      <c r="B339" s="342" t="s">
        <v>1013</v>
      </c>
      <c r="C339" s="342" t="s">
        <v>1014</v>
      </c>
      <c r="D339" s="342">
        <v>2893</v>
      </c>
      <c r="E339" s="342" t="s">
        <v>1015</v>
      </c>
      <c r="F339" s="342" t="s">
        <v>51</v>
      </c>
      <c r="G339" s="342">
        <v>54318</v>
      </c>
      <c r="H339" s="342" t="s">
        <v>591</v>
      </c>
      <c r="I339" s="342" t="s">
        <v>40</v>
      </c>
      <c r="J339" s="342" t="s">
        <v>1277</v>
      </c>
      <c r="K339" s="342" t="s">
        <v>1233</v>
      </c>
      <c r="L339" s="343">
        <v>45412</v>
      </c>
      <c r="M339" s="343">
        <v>44705</v>
      </c>
      <c r="O339" s="342" t="s">
        <v>5463</v>
      </c>
      <c r="P339" s="342" t="s">
        <v>4645</v>
      </c>
      <c r="Q339" s="342">
        <v>6127819482</v>
      </c>
      <c r="R339" s="342">
        <v>9110</v>
      </c>
      <c r="V339" s="342" t="s">
        <v>2099</v>
      </c>
      <c r="W339" s="342">
        <v>305663</v>
      </c>
      <c r="X339" s="342" t="s">
        <v>4997</v>
      </c>
      <c r="Y339" s="343">
        <v>42888</v>
      </c>
      <c r="Z339" s="342" t="s">
        <v>4063</v>
      </c>
      <c r="AA339" s="343">
        <v>44705</v>
      </c>
      <c r="AB339" s="342" t="s">
        <v>4064</v>
      </c>
      <c r="AC339" s="342" t="s">
        <v>4064</v>
      </c>
      <c r="AD339" s="342" t="s">
        <v>4065</v>
      </c>
      <c r="AI339" s="342" t="s">
        <v>4111</v>
      </c>
      <c r="AJ339" s="342" t="s">
        <v>5935</v>
      </c>
    </row>
    <row r="340" spans="1:44">
      <c r="A340" s="342">
        <v>301805</v>
      </c>
      <c r="B340" s="342" t="s">
        <v>560</v>
      </c>
      <c r="C340" s="342" t="s">
        <v>561</v>
      </c>
      <c r="E340" s="342" t="s">
        <v>562</v>
      </c>
      <c r="F340" s="342" t="s">
        <v>549</v>
      </c>
      <c r="G340" s="342" t="s">
        <v>1016</v>
      </c>
      <c r="H340" s="342" t="s">
        <v>591</v>
      </c>
      <c r="I340" s="342" t="s">
        <v>40</v>
      </c>
      <c r="J340" s="342" t="s">
        <v>5282</v>
      </c>
      <c r="K340" s="342" t="s">
        <v>1233</v>
      </c>
      <c r="L340" s="343">
        <v>45412</v>
      </c>
      <c r="M340" s="343">
        <v>44672</v>
      </c>
      <c r="O340" s="342" t="s">
        <v>4301</v>
      </c>
      <c r="P340" s="342" t="s">
        <v>5092</v>
      </c>
      <c r="Q340" s="342">
        <v>6134084129</v>
      </c>
      <c r="R340" s="342">
        <v>9110</v>
      </c>
      <c r="V340" s="342" t="s">
        <v>2099</v>
      </c>
      <c r="W340" s="342">
        <v>303289</v>
      </c>
      <c r="X340" s="342" t="s">
        <v>5340</v>
      </c>
      <c r="Y340" s="343">
        <v>41674</v>
      </c>
      <c r="Z340" s="342" t="s">
        <v>4063</v>
      </c>
      <c r="AA340" s="343">
        <v>44672</v>
      </c>
      <c r="AB340" s="342" t="s">
        <v>4064</v>
      </c>
      <c r="AC340" s="342" t="s">
        <v>4064</v>
      </c>
      <c r="AD340" s="342" t="s">
        <v>4065</v>
      </c>
      <c r="AI340" s="342" t="s">
        <v>4067</v>
      </c>
      <c r="AJ340" s="342" t="s">
        <v>5846</v>
      </c>
    </row>
    <row r="341" spans="1:44">
      <c r="A341" s="342">
        <v>302146</v>
      </c>
      <c r="B341" s="342" t="s">
        <v>563</v>
      </c>
      <c r="C341" s="342" t="s">
        <v>564</v>
      </c>
      <c r="D341" s="342">
        <v>61111</v>
      </c>
      <c r="E341" s="342" t="s">
        <v>565</v>
      </c>
      <c r="F341" s="342" t="s">
        <v>51</v>
      </c>
      <c r="G341" s="342">
        <v>66503</v>
      </c>
      <c r="H341" s="342" t="s">
        <v>591</v>
      </c>
      <c r="I341" s="342" t="s">
        <v>40</v>
      </c>
      <c r="J341" s="342" t="s">
        <v>5449</v>
      </c>
      <c r="L341" s="343">
        <v>45199</v>
      </c>
      <c r="M341" s="343">
        <v>44074</v>
      </c>
      <c r="O341" s="342" t="s">
        <v>6056</v>
      </c>
      <c r="P341" s="342" t="s">
        <v>5093</v>
      </c>
      <c r="Q341" s="342">
        <v>6145452601</v>
      </c>
      <c r="R341" s="342">
        <v>9110</v>
      </c>
      <c r="U341" s="342" t="s">
        <v>5320</v>
      </c>
      <c r="V341" s="342" t="s">
        <v>2099</v>
      </c>
      <c r="W341" s="342">
        <v>303389</v>
      </c>
      <c r="X341" s="342" t="s">
        <v>5523</v>
      </c>
      <c r="Y341" s="343">
        <v>41674</v>
      </c>
      <c r="Z341" s="342" t="s">
        <v>4063</v>
      </c>
      <c r="AA341" s="343">
        <v>44074</v>
      </c>
      <c r="AB341" s="342" t="s">
        <v>4064</v>
      </c>
      <c r="AC341" s="342" t="s">
        <v>4064</v>
      </c>
      <c r="AD341" s="342" t="s">
        <v>4065</v>
      </c>
      <c r="AI341" s="342" t="s">
        <v>4067</v>
      </c>
      <c r="AJ341" s="342" t="s">
        <v>6143</v>
      </c>
    </row>
    <row r="342" spans="1:44">
      <c r="A342" s="342">
        <v>302236</v>
      </c>
      <c r="B342" s="342" t="s">
        <v>733</v>
      </c>
      <c r="C342" s="342" t="s">
        <v>734</v>
      </c>
      <c r="D342" s="342">
        <v>11530</v>
      </c>
      <c r="E342" s="342" t="s">
        <v>735</v>
      </c>
      <c r="F342" s="342" t="s">
        <v>51</v>
      </c>
      <c r="G342" s="342">
        <v>12536</v>
      </c>
      <c r="H342" s="342" t="s">
        <v>591</v>
      </c>
      <c r="I342" s="342" t="s">
        <v>40</v>
      </c>
      <c r="J342" s="342" t="s">
        <v>5450</v>
      </c>
      <c r="L342" s="343">
        <v>44926</v>
      </c>
      <c r="M342" s="343">
        <v>44186</v>
      </c>
      <c r="O342" s="342" t="s">
        <v>4511</v>
      </c>
      <c r="P342" s="342" t="s">
        <v>4560</v>
      </c>
      <c r="Q342" s="342">
        <v>6116290106</v>
      </c>
      <c r="R342" s="342">
        <v>9110</v>
      </c>
      <c r="V342" s="342" t="s">
        <v>2099</v>
      </c>
      <c r="W342" s="342">
        <v>306523</v>
      </c>
      <c r="X342" s="342" t="s">
        <v>5524</v>
      </c>
      <c r="Y342" s="343">
        <v>42464</v>
      </c>
      <c r="Z342" s="342" t="s">
        <v>4063</v>
      </c>
      <c r="AA342" s="343">
        <v>44186</v>
      </c>
      <c r="AB342" s="342" t="s">
        <v>4064</v>
      </c>
      <c r="AC342" s="342" t="s">
        <v>4064</v>
      </c>
      <c r="AD342" s="342" t="s">
        <v>4065</v>
      </c>
      <c r="AI342" s="342" t="s">
        <v>4067</v>
      </c>
      <c r="AJ342" s="342" t="s">
        <v>6144</v>
      </c>
    </row>
    <row r="343" spans="1:44">
      <c r="A343" s="342">
        <v>302643</v>
      </c>
      <c r="B343" s="342" t="s">
        <v>1017</v>
      </c>
      <c r="C343" s="342" t="s">
        <v>4854</v>
      </c>
      <c r="D343" s="342">
        <v>60546</v>
      </c>
      <c r="E343" s="342" t="s">
        <v>137</v>
      </c>
      <c r="F343" s="342" t="s">
        <v>55</v>
      </c>
      <c r="H343" s="342" t="s">
        <v>591</v>
      </c>
      <c r="I343" s="342" t="s">
        <v>41</v>
      </c>
      <c r="J343" s="342" t="s">
        <v>4638</v>
      </c>
      <c r="K343" s="342" t="s">
        <v>1402</v>
      </c>
      <c r="L343" s="343">
        <v>44895</v>
      </c>
      <c r="M343" s="343">
        <v>44676</v>
      </c>
      <c r="O343" s="342" t="s">
        <v>5617</v>
      </c>
      <c r="P343" s="342" t="s">
        <v>4980</v>
      </c>
      <c r="Q343" s="342">
        <v>6121397447</v>
      </c>
      <c r="R343" s="342">
        <v>9110</v>
      </c>
      <c r="V343" s="342" t="s">
        <v>2217</v>
      </c>
      <c r="W343" s="342">
        <v>303543</v>
      </c>
      <c r="X343" s="342" t="s">
        <v>4989</v>
      </c>
      <c r="Y343" s="343">
        <v>41221</v>
      </c>
      <c r="Z343" s="342" t="s">
        <v>4063</v>
      </c>
      <c r="AA343" s="343">
        <v>44676</v>
      </c>
      <c r="AB343" s="342" t="s">
        <v>4064</v>
      </c>
      <c r="AC343" s="342" t="s">
        <v>4064</v>
      </c>
      <c r="AD343" s="342" t="s">
        <v>4065</v>
      </c>
      <c r="AI343" s="342" t="s">
        <v>4067</v>
      </c>
      <c r="AJ343" s="342" t="s">
        <v>5999</v>
      </c>
    </row>
    <row r="344" spans="1:44">
      <c r="A344" s="342">
        <v>302784</v>
      </c>
      <c r="B344" s="342" t="s">
        <v>1376</v>
      </c>
      <c r="C344" s="342" t="s">
        <v>1377</v>
      </c>
      <c r="D344" s="342">
        <v>1540</v>
      </c>
      <c r="E344" s="342" t="s">
        <v>1378</v>
      </c>
      <c r="F344" s="342" t="s">
        <v>1379</v>
      </c>
      <c r="H344" s="342" t="s">
        <v>591</v>
      </c>
      <c r="I344" s="342" t="s">
        <v>41</v>
      </c>
      <c r="J344" s="342" t="s">
        <v>4638</v>
      </c>
      <c r="K344" s="342" t="s">
        <v>1402</v>
      </c>
      <c r="L344" s="343">
        <v>44895</v>
      </c>
      <c r="M344" s="343">
        <v>44676</v>
      </c>
      <c r="O344" s="342" t="s">
        <v>4701</v>
      </c>
      <c r="P344" s="342" t="s">
        <v>4980</v>
      </c>
      <c r="Q344" s="342">
        <v>6144217300</v>
      </c>
      <c r="R344" s="342">
        <v>9110</v>
      </c>
      <c r="V344" s="342" t="s">
        <v>2217</v>
      </c>
      <c r="W344" s="342">
        <v>308393</v>
      </c>
      <c r="X344" s="342" t="s">
        <v>4989</v>
      </c>
      <c r="Y344" s="343">
        <v>43782</v>
      </c>
      <c r="Z344" s="342" t="s">
        <v>4063</v>
      </c>
      <c r="AA344" s="343">
        <v>44676</v>
      </c>
      <c r="AB344" s="342" t="s">
        <v>4064</v>
      </c>
      <c r="AC344" s="342" t="s">
        <v>4064</v>
      </c>
      <c r="AD344" s="342" t="s">
        <v>4065</v>
      </c>
      <c r="AI344" s="342" t="s">
        <v>4067</v>
      </c>
      <c r="AJ344" s="342" t="s">
        <v>6096</v>
      </c>
    </row>
    <row r="345" spans="1:44">
      <c r="A345" s="342">
        <v>302792</v>
      </c>
      <c r="B345" s="342" t="s">
        <v>1018</v>
      </c>
      <c r="C345" s="342" t="s">
        <v>1019</v>
      </c>
      <c r="D345" s="342">
        <v>1309</v>
      </c>
      <c r="E345" s="342" t="s">
        <v>1020</v>
      </c>
      <c r="F345" s="342" t="s">
        <v>465</v>
      </c>
      <c r="H345" s="342" t="s">
        <v>591</v>
      </c>
      <c r="I345" s="342" t="s">
        <v>41</v>
      </c>
      <c r="J345" s="342" t="s">
        <v>4638</v>
      </c>
      <c r="K345" s="342" t="s">
        <v>1402</v>
      </c>
      <c r="L345" s="343">
        <v>44895</v>
      </c>
      <c r="M345" s="343">
        <v>44676</v>
      </c>
      <c r="O345" s="342" t="s">
        <v>1509</v>
      </c>
      <c r="P345" s="342" t="s">
        <v>5226</v>
      </c>
      <c r="Q345" s="342">
        <v>6142954322</v>
      </c>
      <c r="R345" s="342">
        <v>9110</v>
      </c>
      <c r="V345" s="342" t="s">
        <v>2217</v>
      </c>
      <c r="W345" s="342">
        <v>303581</v>
      </c>
      <c r="X345" s="342" t="s">
        <v>4989</v>
      </c>
      <c r="Y345" s="343">
        <v>41240</v>
      </c>
      <c r="Z345" s="342" t="s">
        <v>4063</v>
      </c>
      <c r="AA345" s="343">
        <v>44676</v>
      </c>
      <c r="AB345" s="342" t="s">
        <v>4064</v>
      </c>
      <c r="AC345" s="342" t="s">
        <v>4064</v>
      </c>
      <c r="AD345" s="342" t="s">
        <v>4065</v>
      </c>
      <c r="AI345" s="342" t="s">
        <v>4067</v>
      </c>
      <c r="AJ345" s="342" t="s">
        <v>5998</v>
      </c>
    </row>
    <row r="346" spans="1:44">
      <c r="A346" s="342">
        <v>302825</v>
      </c>
      <c r="B346" s="342" t="s">
        <v>730</v>
      </c>
      <c r="C346" s="342" t="s">
        <v>361</v>
      </c>
      <c r="D346" s="342">
        <v>21604</v>
      </c>
      <c r="E346" s="342" t="s">
        <v>731</v>
      </c>
      <c r="F346" s="342" t="s">
        <v>47</v>
      </c>
      <c r="H346" s="342" t="s">
        <v>591</v>
      </c>
      <c r="I346" s="342" t="s">
        <v>40</v>
      </c>
      <c r="J346" s="342" t="s">
        <v>5282</v>
      </c>
      <c r="K346" s="342" t="s">
        <v>1402</v>
      </c>
      <c r="L346" s="343">
        <v>45412</v>
      </c>
      <c r="M346" s="343">
        <v>44673</v>
      </c>
      <c r="O346" s="342" t="s">
        <v>4204</v>
      </c>
      <c r="P346" s="342" t="s">
        <v>4532</v>
      </c>
      <c r="Q346" s="342">
        <v>6115399820</v>
      </c>
      <c r="R346" s="342">
        <v>9110</v>
      </c>
      <c r="V346" s="342" t="s">
        <v>2099</v>
      </c>
      <c r="W346" s="342">
        <v>306510</v>
      </c>
      <c r="X346" s="342" t="s">
        <v>5340</v>
      </c>
      <c r="Y346" s="343">
        <v>42459</v>
      </c>
      <c r="Z346" s="342" t="s">
        <v>4063</v>
      </c>
      <c r="AA346" s="343">
        <v>44673</v>
      </c>
      <c r="AB346" s="342" t="s">
        <v>4064</v>
      </c>
      <c r="AC346" s="342" t="s">
        <v>4064</v>
      </c>
      <c r="AD346" s="342" t="s">
        <v>4065</v>
      </c>
      <c r="AI346" s="342" t="s">
        <v>4067</v>
      </c>
      <c r="AJ346" s="342" t="s">
        <v>5847</v>
      </c>
    </row>
    <row r="347" spans="1:44">
      <c r="A347" s="342">
        <v>302990</v>
      </c>
      <c r="B347" s="342" t="s">
        <v>1269</v>
      </c>
      <c r="C347" s="342" t="s">
        <v>1270</v>
      </c>
      <c r="D347" s="342">
        <v>1480</v>
      </c>
      <c r="E347" s="342" t="s">
        <v>1271</v>
      </c>
      <c r="F347" s="342" t="s">
        <v>47</v>
      </c>
      <c r="H347" s="342" t="s">
        <v>591</v>
      </c>
      <c r="I347" s="342" t="s">
        <v>685</v>
      </c>
      <c r="J347" s="342" t="s">
        <v>1421</v>
      </c>
      <c r="K347" s="342" t="s">
        <v>1233</v>
      </c>
      <c r="L347" s="343">
        <v>45291</v>
      </c>
      <c r="M347" s="343">
        <v>44551</v>
      </c>
      <c r="O347" s="342" t="s">
        <v>1272</v>
      </c>
      <c r="P347" s="342" t="s">
        <v>1559</v>
      </c>
      <c r="Q347" s="342">
        <v>6145097367</v>
      </c>
      <c r="R347" s="342">
        <v>9100</v>
      </c>
      <c r="V347" s="342" t="s">
        <v>2152</v>
      </c>
      <c r="W347" s="342">
        <v>307950</v>
      </c>
      <c r="X347" s="342" t="s">
        <v>4991</v>
      </c>
      <c r="Y347" s="343">
        <v>43490</v>
      </c>
      <c r="Z347" s="342" t="s">
        <v>4063</v>
      </c>
      <c r="AA347" s="343">
        <v>44551</v>
      </c>
      <c r="AB347" s="342" t="s">
        <v>4064</v>
      </c>
      <c r="AC347" s="342" t="s">
        <v>4064</v>
      </c>
      <c r="AD347" s="342" t="s">
        <v>4065</v>
      </c>
      <c r="AI347" s="342" t="s">
        <v>4067</v>
      </c>
      <c r="AJ347" s="342" t="s">
        <v>5863</v>
      </c>
    </row>
    <row r="348" spans="1:44">
      <c r="A348" s="342">
        <v>303127</v>
      </c>
      <c r="B348" s="342" t="s">
        <v>1130</v>
      </c>
      <c r="C348" s="342" t="s">
        <v>1093</v>
      </c>
      <c r="D348" s="342" t="s">
        <v>1092</v>
      </c>
      <c r="E348" s="342" t="s">
        <v>1131</v>
      </c>
      <c r="F348" s="342" t="s">
        <v>45</v>
      </c>
      <c r="H348" s="342" t="s">
        <v>591</v>
      </c>
      <c r="I348" s="342" t="s">
        <v>43</v>
      </c>
      <c r="J348" s="342" t="s">
        <v>1421</v>
      </c>
      <c r="K348" s="342" t="s">
        <v>1233</v>
      </c>
      <c r="L348" s="343">
        <v>44834</v>
      </c>
      <c r="M348" s="343">
        <v>44650</v>
      </c>
      <c r="O348" s="342" t="s">
        <v>4913</v>
      </c>
      <c r="Q348" s="342">
        <v>6150330828</v>
      </c>
      <c r="R348" s="342">
        <v>9110</v>
      </c>
      <c r="V348" s="342" t="s">
        <v>4130</v>
      </c>
      <c r="W348" s="342">
        <v>303672</v>
      </c>
      <c r="X348" s="342" t="s">
        <v>4991</v>
      </c>
      <c r="Y348" s="343">
        <v>42986</v>
      </c>
      <c r="Z348" s="342" t="s">
        <v>4063</v>
      </c>
      <c r="AA348" s="343">
        <v>44650</v>
      </c>
      <c r="AB348" s="342" t="s">
        <v>4064</v>
      </c>
      <c r="AC348" s="342" t="s">
        <v>4064</v>
      </c>
      <c r="AD348" s="342" t="s">
        <v>4065</v>
      </c>
      <c r="AI348" s="342" t="s">
        <v>4067</v>
      </c>
      <c r="AJ348" s="342" t="s">
        <v>5855</v>
      </c>
    </row>
    <row r="349" spans="1:44">
      <c r="A349" s="342">
        <v>303386</v>
      </c>
      <c r="B349" s="342" t="s">
        <v>567</v>
      </c>
      <c r="C349" s="342" t="s">
        <v>568</v>
      </c>
      <c r="D349" s="342">
        <v>91311</v>
      </c>
      <c r="E349" s="342" t="s">
        <v>569</v>
      </c>
      <c r="F349" s="342" t="s">
        <v>51</v>
      </c>
      <c r="G349" s="342">
        <v>45934</v>
      </c>
      <c r="H349" s="342" t="s">
        <v>591</v>
      </c>
      <c r="I349" s="342" t="s">
        <v>40</v>
      </c>
      <c r="J349" s="342" t="s">
        <v>786</v>
      </c>
      <c r="K349" s="342" t="s">
        <v>1402</v>
      </c>
      <c r="L349" s="343">
        <v>45565</v>
      </c>
      <c r="M349" s="343">
        <v>44467</v>
      </c>
      <c r="O349" s="342" t="s">
        <v>5618</v>
      </c>
      <c r="P349" s="342" t="s">
        <v>5094</v>
      </c>
      <c r="Q349" s="342">
        <v>6116673448</v>
      </c>
      <c r="R349" s="342">
        <v>9110</v>
      </c>
      <c r="V349" s="342" t="s">
        <v>2099</v>
      </c>
      <c r="W349" s="342">
        <v>305547</v>
      </c>
      <c r="X349" s="342" t="s">
        <v>4995</v>
      </c>
      <c r="Y349" s="343">
        <v>41912</v>
      </c>
      <c r="Z349" s="342" t="s">
        <v>4063</v>
      </c>
      <c r="AA349" s="343">
        <v>44467</v>
      </c>
      <c r="AB349" s="342" t="s">
        <v>4064</v>
      </c>
      <c r="AC349" s="342" t="s">
        <v>4064</v>
      </c>
      <c r="AD349" s="342" t="s">
        <v>4065</v>
      </c>
      <c r="AI349" s="342" t="s">
        <v>4067</v>
      </c>
      <c r="AJ349" s="342" t="s">
        <v>5864</v>
      </c>
    </row>
    <row r="350" spans="1:44">
      <c r="A350" s="342">
        <v>303561</v>
      </c>
      <c r="B350" s="342" t="s">
        <v>1212</v>
      </c>
      <c r="C350" s="342" t="s">
        <v>1213</v>
      </c>
      <c r="D350" s="342">
        <v>26600</v>
      </c>
      <c r="E350" s="342" t="s">
        <v>1214</v>
      </c>
      <c r="F350" s="342" t="s">
        <v>47</v>
      </c>
      <c r="G350" s="342" t="s">
        <v>1021</v>
      </c>
      <c r="H350" s="342" t="s">
        <v>591</v>
      </c>
      <c r="I350" s="342" t="s">
        <v>40</v>
      </c>
      <c r="J350" s="342" t="s">
        <v>5281</v>
      </c>
      <c r="K350" s="342" t="s">
        <v>1402</v>
      </c>
      <c r="L350" s="343">
        <v>45443</v>
      </c>
      <c r="M350" s="343">
        <v>44697</v>
      </c>
      <c r="O350" s="342" t="s">
        <v>4317</v>
      </c>
      <c r="P350" s="342" t="s">
        <v>5827</v>
      </c>
      <c r="Q350" s="342">
        <v>6121802505</v>
      </c>
      <c r="R350" s="342">
        <v>9110</v>
      </c>
      <c r="V350" s="342" t="s">
        <v>2099</v>
      </c>
      <c r="W350" s="342">
        <v>304132</v>
      </c>
      <c r="X350" s="342" t="s">
        <v>4572</v>
      </c>
      <c r="Y350" s="343">
        <v>41674</v>
      </c>
      <c r="Z350" s="342" t="s">
        <v>4063</v>
      </c>
      <c r="AA350" s="343">
        <v>44697</v>
      </c>
      <c r="AB350" s="342" t="s">
        <v>4064</v>
      </c>
      <c r="AC350" s="342" t="s">
        <v>4064</v>
      </c>
      <c r="AD350" s="342" t="s">
        <v>4065</v>
      </c>
      <c r="AI350" s="342" t="s">
        <v>4067</v>
      </c>
      <c r="AJ350" s="342" t="s">
        <v>5858</v>
      </c>
      <c r="AN350" s="342" t="s">
        <v>4877</v>
      </c>
      <c r="AR350" s="342" t="s">
        <v>4179</v>
      </c>
    </row>
    <row r="351" spans="1:44">
      <c r="A351" s="342">
        <v>304445</v>
      </c>
      <c r="B351" s="342" t="s">
        <v>1297</v>
      </c>
      <c r="C351" s="342" t="s">
        <v>1298</v>
      </c>
      <c r="D351" s="342" t="s">
        <v>1299</v>
      </c>
      <c r="E351" s="342" t="s">
        <v>1300</v>
      </c>
      <c r="F351" s="342" t="s">
        <v>779</v>
      </c>
      <c r="G351" s="342" t="s">
        <v>1301</v>
      </c>
      <c r="H351" s="342" t="s">
        <v>591</v>
      </c>
      <c r="I351" s="342" t="s">
        <v>40</v>
      </c>
      <c r="J351" s="342" t="s">
        <v>5282</v>
      </c>
      <c r="K351" s="342" t="s">
        <v>1402</v>
      </c>
      <c r="L351" s="343">
        <v>45382</v>
      </c>
      <c r="M351" s="343">
        <v>44735</v>
      </c>
      <c r="O351" s="342" t="s">
        <v>5464</v>
      </c>
      <c r="P351" s="342" t="s">
        <v>5828</v>
      </c>
      <c r="Q351" s="342">
        <v>6130385068</v>
      </c>
      <c r="R351" s="342">
        <v>9110</v>
      </c>
      <c r="V351" s="342" t="s">
        <v>2099</v>
      </c>
      <c r="W351" s="342">
        <v>304597</v>
      </c>
      <c r="X351" s="342" t="s">
        <v>4106</v>
      </c>
      <c r="Y351" s="343">
        <v>43535</v>
      </c>
      <c r="Z351" s="342" t="s">
        <v>4063</v>
      </c>
      <c r="AA351" s="343">
        <v>44735</v>
      </c>
      <c r="AB351" s="342" t="s">
        <v>4064</v>
      </c>
      <c r="AC351" s="342" t="s">
        <v>4064</v>
      </c>
      <c r="AD351" s="342" t="s">
        <v>4065</v>
      </c>
      <c r="AH351" s="342" t="s">
        <v>4115</v>
      </c>
      <c r="AI351" s="342" t="s">
        <v>4067</v>
      </c>
      <c r="AJ351" s="342" t="s">
        <v>5868</v>
      </c>
    </row>
    <row r="352" spans="1:44">
      <c r="A352" s="342">
        <v>304473</v>
      </c>
      <c r="B352" s="342" t="s">
        <v>1364</v>
      </c>
      <c r="C352" s="342" t="s">
        <v>1365</v>
      </c>
      <c r="D352" s="342" t="s">
        <v>1366</v>
      </c>
      <c r="E352" s="342" t="s">
        <v>1367</v>
      </c>
      <c r="F352" s="342" t="s">
        <v>51</v>
      </c>
      <c r="G352" s="342" t="s">
        <v>1368</v>
      </c>
      <c r="H352" s="342" t="s">
        <v>591</v>
      </c>
      <c r="I352" s="342" t="s">
        <v>40</v>
      </c>
      <c r="J352" s="342" t="s">
        <v>5279</v>
      </c>
      <c r="K352" s="342" t="s">
        <v>1233</v>
      </c>
      <c r="L352" s="343">
        <v>45229</v>
      </c>
      <c r="M352" s="343">
        <v>44679</v>
      </c>
      <c r="O352" s="342" t="s">
        <v>6057</v>
      </c>
      <c r="P352" s="342" t="s">
        <v>1560</v>
      </c>
      <c r="Q352" s="342">
        <v>6114228905</v>
      </c>
      <c r="R352" s="342">
        <v>9110</v>
      </c>
      <c r="U352" s="342" t="s">
        <v>2054</v>
      </c>
      <c r="V352" s="342" t="s">
        <v>2099</v>
      </c>
      <c r="W352" s="342">
        <v>305938</v>
      </c>
      <c r="X352" s="342" t="s">
        <v>5386</v>
      </c>
      <c r="Y352" s="343">
        <v>43761</v>
      </c>
      <c r="Z352" s="342" t="s">
        <v>4063</v>
      </c>
      <c r="AA352" s="343">
        <v>44679</v>
      </c>
      <c r="AB352" s="342" t="s">
        <v>4064</v>
      </c>
      <c r="AC352" s="342" t="s">
        <v>4064</v>
      </c>
      <c r="AD352" s="342" t="s">
        <v>4065</v>
      </c>
      <c r="AI352" s="342" t="s">
        <v>4111</v>
      </c>
      <c r="AJ352" s="342" t="s">
        <v>5860</v>
      </c>
    </row>
    <row r="353" spans="1:36">
      <c r="A353" s="342">
        <v>305007</v>
      </c>
      <c r="B353" s="342" t="s">
        <v>570</v>
      </c>
      <c r="C353" s="342" t="s">
        <v>571</v>
      </c>
      <c r="D353" s="342" t="s">
        <v>572</v>
      </c>
      <c r="E353" s="342" t="s">
        <v>265</v>
      </c>
      <c r="F353" s="342" t="s">
        <v>107</v>
      </c>
      <c r="G353" s="342">
        <v>38101</v>
      </c>
      <c r="H353" s="342" t="s">
        <v>591</v>
      </c>
      <c r="I353" s="342" t="s">
        <v>40</v>
      </c>
      <c r="J353" s="342" t="s">
        <v>1277</v>
      </c>
      <c r="K353" s="342" t="s">
        <v>1233</v>
      </c>
      <c r="L353" s="343">
        <v>45504</v>
      </c>
      <c r="M353" s="343">
        <v>44404</v>
      </c>
      <c r="O353" s="342" t="s">
        <v>4595</v>
      </c>
      <c r="P353" s="342" t="s">
        <v>4717</v>
      </c>
      <c r="Q353" s="342">
        <v>6122144343</v>
      </c>
      <c r="R353" s="342">
        <v>9110</v>
      </c>
      <c r="U353" s="342" t="s">
        <v>2055</v>
      </c>
      <c r="V353" s="342" t="s">
        <v>2099</v>
      </c>
      <c r="W353" s="342">
        <v>305406</v>
      </c>
      <c r="X353" s="342" t="s">
        <v>4990</v>
      </c>
      <c r="Y353" s="343">
        <v>41844</v>
      </c>
      <c r="Z353" s="342" t="s">
        <v>4063</v>
      </c>
      <c r="AA353" s="343">
        <v>44404</v>
      </c>
      <c r="AB353" s="342" t="s">
        <v>4064</v>
      </c>
      <c r="AC353" s="342" t="s">
        <v>4064</v>
      </c>
      <c r="AD353" s="342" t="s">
        <v>4065</v>
      </c>
      <c r="AI353" s="342" t="s">
        <v>4067</v>
      </c>
      <c r="AJ353" s="342" t="s">
        <v>5855</v>
      </c>
    </row>
    <row r="354" spans="1:36">
      <c r="A354" s="342">
        <v>305015</v>
      </c>
      <c r="B354" s="342" t="s">
        <v>4553</v>
      </c>
      <c r="C354" s="342" t="s">
        <v>4554</v>
      </c>
      <c r="D354" s="342">
        <v>92231</v>
      </c>
      <c r="E354" s="342" t="s">
        <v>4538</v>
      </c>
      <c r="F354" s="342" t="s">
        <v>51</v>
      </c>
      <c r="H354" s="342" t="s">
        <v>591</v>
      </c>
      <c r="I354" s="342" t="s">
        <v>737</v>
      </c>
      <c r="J354" s="342" t="s">
        <v>5280</v>
      </c>
      <c r="K354" s="342" t="s">
        <v>1233</v>
      </c>
      <c r="L354" s="343">
        <v>45382</v>
      </c>
      <c r="M354" s="343">
        <v>44467</v>
      </c>
      <c r="P354" s="342" t="s">
        <v>4719</v>
      </c>
      <c r="Q354" s="342">
        <v>6151125061</v>
      </c>
      <c r="R354" s="342">
        <v>9100</v>
      </c>
      <c r="V354" s="342" t="s">
        <v>4062</v>
      </c>
      <c r="W354" s="342">
        <v>304857</v>
      </c>
      <c r="X354" s="342" t="s">
        <v>5338</v>
      </c>
      <c r="Y354" s="343">
        <v>44341</v>
      </c>
      <c r="Z354" s="342" t="s">
        <v>4063</v>
      </c>
      <c r="AA354" s="343">
        <v>44467</v>
      </c>
      <c r="AB354" s="342" t="s">
        <v>4064</v>
      </c>
      <c r="AC354" s="342" t="s">
        <v>4064</v>
      </c>
      <c r="AD354" s="342" t="s">
        <v>4065</v>
      </c>
      <c r="AI354" s="342" t="s">
        <v>4067</v>
      </c>
      <c r="AJ354" s="342" t="s">
        <v>6108</v>
      </c>
    </row>
    <row r="355" spans="1:36">
      <c r="A355" s="342">
        <v>305252</v>
      </c>
      <c r="B355" s="342" t="s">
        <v>1460</v>
      </c>
      <c r="C355" s="342" t="s">
        <v>573</v>
      </c>
      <c r="D355" s="342">
        <v>797552</v>
      </c>
      <c r="E355" s="342" t="s">
        <v>336</v>
      </c>
      <c r="F355" s="342" t="s">
        <v>337</v>
      </c>
      <c r="G355" s="342" t="s">
        <v>1417</v>
      </c>
      <c r="H355" s="342" t="s">
        <v>591</v>
      </c>
      <c r="I355" s="342" t="s">
        <v>40</v>
      </c>
      <c r="J355" s="342" t="s">
        <v>5283</v>
      </c>
      <c r="K355" s="342" t="s">
        <v>1233</v>
      </c>
      <c r="L355" s="343">
        <v>45230</v>
      </c>
      <c r="M355" s="343">
        <v>44316</v>
      </c>
      <c r="O355" s="342" t="s">
        <v>5619</v>
      </c>
      <c r="P355" s="342" t="s">
        <v>5829</v>
      </c>
      <c r="Q355" s="342">
        <v>6121667180</v>
      </c>
      <c r="R355" s="342">
        <v>9110</v>
      </c>
      <c r="V355" s="342" t="s">
        <v>2099</v>
      </c>
      <c r="W355" s="342">
        <v>304927</v>
      </c>
      <c r="X355" s="342" t="s">
        <v>5388</v>
      </c>
      <c r="Y355" s="343">
        <v>41593</v>
      </c>
      <c r="Z355" s="342" t="s">
        <v>4063</v>
      </c>
      <c r="AA355" s="343">
        <v>44316</v>
      </c>
      <c r="AB355" s="342" t="s">
        <v>4064</v>
      </c>
      <c r="AC355" s="342" t="s">
        <v>4064</v>
      </c>
      <c r="AD355" s="342" t="s">
        <v>4065</v>
      </c>
      <c r="AI355" s="342" t="s">
        <v>4067</v>
      </c>
      <c r="AJ355" s="342" t="s">
        <v>5935</v>
      </c>
    </row>
    <row r="356" spans="1:36">
      <c r="A356" s="342">
        <v>306044</v>
      </c>
      <c r="B356" s="342" t="s">
        <v>574</v>
      </c>
      <c r="C356" s="342" t="s">
        <v>575</v>
      </c>
      <c r="D356" s="342">
        <v>499622</v>
      </c>
      <c r="E356" s="342" t="s">
        <v>336</v>
      </c>
      <c r="F356" s="342" t="s">
        <v>337</v>
      </c>
      <c r="G356" s="342" t="s">
        <v>1023</v>
      </c>
      <c r="H356" s="342" t="s">
        <v>591</v>
      </c>
      <c r="I356" s="342" t="s">
        <v>40</v>
      </c>
      <c r="J356" s="342" t="s">
        <v>5278</v>
      </c>
      <c r="K356" s="342" t="s">
        <v>1402</v>
      </c>
      <c r="L356" s="343">
        <v>45199</v>
      </c>
      <c r="M356" s="343">
        <v>44648</v>
      </c>
      <c r="O356" s="342" t="s">
        <v>5071</v>
      </c>
      <c r="P356" s="342" t="s">
        <v>1561</v>
      </c>
      <c r="Q356" s="342">
        <v>6140544828</v>
      </c>
      <c r="R356" s="342">
        <v>9110</v>
      </c>
      <c r="U356" s="342" t="s">
        <v>2056</v>
      </c>
      <c r="V356" s="342" t="s">
        <v>2099</v>
      </c>
      <c r="W356" s="342">
        <v>305226</v>
      </c>
      <c r="X356" s="342" t="s">
        <v>5387</v>
      </c>
      <c r="Y356" s="343">
        <v>41752</v>
      </c>
      <c r="Z356" s="342" t="s">
        <v>4063</v>
      </c>
      <c r="AA356" s="343">
        <v>44648</v>
      </c>
      <c r="AB356" s="342" t="s">
        <v>4064</v>
      </c>
      <c r="AC356" s="342" t="s">
        <v>4064</v>
      </c>
      <c r="AD356" s="342" t="s">
        <v>4065</v>
      </c>
      <c r="AI356" s="342" t="s">
        <v>4067</v>
      </c>
      <c r="AJ356" s="342" t="s">
        <v>5842</v>
      </c>
    </row>
    <row r="357" spans="1:36">
      <c r="A357" s="342">
        <v>306131</v>
      </c>
      <c r="B357" s="342" t="s">
        <v>576</v>
      </c>
      <c r="C357" s="342" t="s">
        <v>577</v>
      </c>
      <c r="D357" s="342">
        <v>20160</v>
      </c>
      <c r="E357" s="342" t="s">
        <v>578</v>
      </c>
      <c r="F357" s="342" t="s">
        <v>452</v>
      </c>
      <c r="G357" s="342" t="s">
        <v>1024</v>
      </c>
      <c r="H357" s="342" t="s">
        <v>591</v>
      </c>
      <c r="I357" s="342" t="s">
        <v>40</v>
      </c>
      <c r="J357" s="342" t="s">
        <v>1288</v>
      </c>
      <c r="K357" s="342" t="s">
        <v>1402</v>
      </c>
      <c r="L357" s="343">
        <v>45230</v>
      </c>
      <c r="M357" s="343">
        <v>44490</v>
      </c>
      <c r="O357" s="342" t="s">
        <v>5620</v>
      </c>
      <c r="P357" s="342" t="s">
        <v>5830</v>
      </c>
      <c r="Q357" s="342">
        <v>6125727107</v>
      </c>
      <c r="R357" s="342">
        <v>9110</v>
      </c>
      <c r="V357" s="342" t="s">
        <v>2099</v>
      </c>
      <c r="W357" s="342">
        <v>305348</v>
      </c>
      <c r="X357" s="342" t="s">
        <v>4992</v>
      </c>
      <c r="Y357" s="343">
        <v>41822</v>
      </c>
      <c r="Z357" s="342" t="s">
        <v>4063</v>
      </c>
      <c r="AA357" s="343">
        <v>44490</v>
      </c>
      <c r="AB357" s="342" t="s">
        <v>4064</v>
      </c>
      <c r="AC357" s="342" t="s">
        <v>4064</v>
      </c>
      <c r="AD357" s="342" t="s">
        <v>4065</v>
      </c>
      <c r="AI357" s="342" t="s">
        <v>4067</v>
      </c>
      <c r="AJ357" s="342" t="s">
        <v>5864</v>
      </c>
    </row>
    <row r="358" spans="1:36">
      <c r="A358" s="342">
        <v>306148</v>
      </c>
      <c r="B358" s="342" t="s">
        <v>1326</v>
      </c>
      <c r="C358" s="342" t="s">
        <v>579</v>
      </c>
      <c r="D358" s="342">
        <v>16730</v>
      </c>
      <c r="E358" s="342" t="s">
        <v>580</v>
      </c>
      <c r="F358" s="342" t="s">
        <v>47</v>
      </c>
      <c r="G358" s="342" t="s">
        <v>1025</v>
      </c>
      <c r="H358" s="342" t="s">
        <v>591</v>
      </c>
      <c r="I358" s="342" t="s">
        <v>40</v>
      </c>
      <c r="J358" s="342" t="s">
        <v>5280</v>
      </c>
      <c r="K358" s="342" t="s">
        <v>1233</v>
      </c>
      <c r="L358" s="343">
        <v>45382</v>
      </c>
      <c r="M358" s="343">
        <v>44467</v>
      </c>
      <c r="O358" s="342" t="s">
        <v>5465</v>
      </c>
      <c r="P358" s="342" t="s">
        <v>4574</v>
      </c>
      <c r="Q358" s="342">
        <v>6119905689</v>
      </c>
      <c r="R358" s="342">
        <v>9110</v>
      </c>
      <c r="U358" s="342" t="s">
        <v>4752</v>
      </c>
      <c r="V358" s="342" t="s">
        <v>2099</v>
      </c>
      <c r="W358" s="342">
        <v>305263</v>
      </c>
      <c r="X358" s="342" t="s">
        <v>5338</v>
      </c>
      <c r="Y358" s="343">
        <v>41785</v>
      </c>
      <c r="Z358" s="342" t="s">
        <v>4063</v>
      </c>
      <c r="AA358" s="343">
        <v>44467</v>
      </c>
      <c r="AB358" s="342" t="s">
        <v>4064</v>
      </c>
      <c r="AC358" s="342" t="s">
        <v>4064</v>
      </c>
      <c r="AD358" s="342" t="s">
        <v>4065</v>
      </c>
      <c r="AI358" s="342" t="s">
        <v>4067</v>
      </c>
      <c r="AJ358" s="342" t="s">
        <v>5844</v>
      </c>
    </row>
    <row r="359" spans="1:36">
      <c r="A359" s="342">
        <v>306307</v>
      </c>
      <c r="B359" s="342" t="s">
        <v>1184</v>
      </c>
      <c r="C359" s="342" t="s">
        <v>1185</v>
      </c>
      <c r="D359" s="342">
        <v>91355</v>
      </c>
      <c r="E359" s="342" t="s">
        <v>1186</v>
      </c>
      <c r="F359" s="342" t="s">
        <v>51</v>
      </c>
      <c r="G359" s="342">
        <v>99240</v>
      </c>
      <c r="H359" s="342" t="s">
        <v>591</v>
      </c>
      <c r="I359" s="342" t="s">
        <v>40</v>
      </c>
      <c r="J359" s="342" t="s">
        <v>1277</v>
      </c>
      <c r="K359" s="342" t="s">
        <v>1233</v>
      </c>
      <c r="L359" s="343">
        <v>45473</v>
      </c>
      <c r="M359" s="343">
        <v>44363</v>
      </c>
      <c r="O359" s="342" t="s">
        <v>5466</v>
      </c>
      <c r="P359" s="342" t="s">
        <v>4368</v>
      </c>
      <c r="Q359" s="342">
        <v>6115285387</v>
      </c>
      <c r="R359" s="342">
        <v>9110</v>
      </c>
      <c r="T359" s="342" t="s">
        <v>2034</v>
      </c>
      <c r="V359" s="342" t="s">
        <v>2099</v>
      </c>
      <c r="W359" s="342">
        <v>305426</v>
      </c>
      <c r="X359" s="342" t="s">
        <v>5148</v>
      </c>
      <c r="Y359" s="343">
        <v>43264</v>
      </c>
      <c r="Z359" s="342" t="s">
        <v>4063</v>
      </c>
      <c r="AA359" s="343">
        <v>44363</v>
      </c>
      <c r="AB359" s="342" t="s">
        <v>4064</v>
      </c>
      <c r="AC359" s="342" t="s">
        <v>4064</v>
      </c>
      <c r="AD359" s="342" t="s">
        <v>4065</v>
      </c>
      <c r="AI359" s="342" t="s">
        <v>4067</v>
      </c>
      <c r="AJ359" s="342" t="s">
        <v>5876</v>
      </c>
    </row>
    <row r="360" spans="1:36">
      <c r="A360" s="342">
        <v>306387</v>
      </c>
      <c r="B360" s="342" t="s">
        <v>581</v>
      </c>
      <c r="C360" s="342" t="s">
        <v>507</v>
      </c>
      <c r="D360" s="342">
        <v>797553</v>
      </c>
      <c r="E360" s="342" t="s">
        <v>336</v>
      </c>
      <c r="F360" s="342" t="s">
        <v>337</v>
      </c>
      <c r="G360" s="342" t="s">
        <v>1026</v>
      </c>
      <c r="H360" s="342" t="s">
        <v>591</v>
      </c>
      <c r="I360" s="342" t="s">
        <v>40</v>
      </c>
      <c r="J360" s="342" t="s">
        <v>4638</v>
      </c>
      <c r="K360" s="342" t="s">
        <v>1233</v>
      </c>
      <c r="L360" s="343">
        <v>45199</v>
      </c>
      <c r="M360" s="343">
        <v>44256</v>
      </c>
      <c r="O360" s="342" t="s">
        <v>5621</v>
      </c>
      <c r="P360" s="342" t="s">
        <v>4777</v>
      </c>
      <c r="Q360" s="342">
        <v>6136370365</v>
      </c>
      <c r="R360" s="342">
        <v>9110</v>
      </c>
      <c r="V360" s="342" t="s">
        <v>2099</v>
      </c>
      <c r="W360" s="342">
        <v>305278</v>
      </c>
      <c r="X360" s="342" t="s">
        <v>4989</v>
      </c>
      <c r="Y360" s="343">
        <v>41794</v>
      </c>
      <c r="Z360" s="342" t="s">
        <v>4063</v>
      </c>
      <c r="AA360" s="343">
        <v>44256</v>
      </c>
      <c r="AB360" s="342" t="s">
        <v>4064</v>
      </c>
      <c r="AC360" s="342" t="s">
        <v>4064</v>
      </c>
      <c r="AD360" s="342" t="s">
        <v>4065</v>
      </c>
      <c r="AI360" s="342" t="s">
        <v>4067</v>
      </c>
      <c r="AJ360" s="342" t="s">
        <v>5853</v>
      </c>
    </row>
    <row r="361" spans="1:36">
      <c r="A361" s="342">
        <v>306393</v>
      </c>
      <c r="B361" s="342" t="s">
        <v>1027</v>
      </c>
      <c r="C361" s="342" t="s">
        <v>1028</v>
      </c>
      <c r="D361" s="342" t="s">
        <v>1029</v>
      </c>
      <c r="E361" s="342" t="s">
        <v>1030</v>
      </c>
      <c r="F361" s="342" t="s">
        <v>45</v>
      </c>
      <c r="G361" s="342" t="s">
        <v>1031</v>
      </c>
      <c r="H361" s="342" t="s">
        <v>591</v>
      </c>
      <c r="I361" s="342" t="s">
        <v>1114</v>
      </c>
      <c r="J361" s="342" t="s">
        <v>1288</v>
      </c>
      <c r="K361" s="342" t="s">
        <v>1402</v>
      </c>
      <c r="L361" s="343">
        <v>45199</v>
      </c>
      <c r="M361" s="343">
        <v>44469</v>
      </c>
      <c r="P361" s="342" t="s">
        <v>5095</v>
      </c>
      <c r="Q361" s="342">
        <v>6149227366</v>
      </c>
      <c r="R361" s="342">
        <v>9120</v>
      </c>
      <c r="V361" s="342" t="s">
        <v>2131</v>
      </c>
      <c r="W361" s="342">
        <v>306738</v>
      </c>
      <c r="X361" s="342" t="s">
        <v>4992</v>
      </c>
      <c r="Y361" s="343">
        <v>43054</v>
      </c>
      <c r="Z361" s="342" t="s">
        <v>4063</v>
      </c>
      <c r="AA361" s="343">
        <v>44469</v>
      </c>
      <c r="AB361" s="342" t="s">
        <v>4064</v>
      </c>
      <c r="AC361" s="342" t="s">
        <v>4064</v>
      </c>
      <c r="AD361" s="342" t="s">
        <v>4065</v>
      </c>
      <c r="AI361" s="342" t="s">
        <v>4067</v>
      </c>
      <c r="AJ361" s="342" t="s">
        <v>5850</v>
      </c>
    </row>
    <row r="362" spans="1:36">
      <c r="A362" s="342">
        <v>306704</v>
      </c>
      <c r="B362" s="342" t="s">
        <v>4670</v>
      </c>
      <c r="C362" s="342" t="s">
        <v>4671</v>
      </c>
      <c r="D362" s="342">
        <v>34070</v>
      </c>
      <c r="E362" s="342" t="s">
        <v>4341</v>
      </c>
      <c r="F362" s="342" t="s">
        <v>47</v>
      </c>
      <c r="G362" s="342" t="s">
        <v>4672</v>
      </c>
      <c r="H362" s="342" t="s">
        <v>591</v>
      </c>
      <c r="I362" s="342" t="s">
        <v>737</v>
      </c>
      <c r="J362" s="342" t="s">
        <v>4638</v>
      </c>
      <c r="K362" s="342" t="s">
        <v>5218</v>
      </c>
      <c r="L362" s="343">
        <v>45260</v>
      </c>
      <c r="M362" s="343">
        <v>44712</v>
      </c>
      <c r="P362" s="342" t="s">
        <v>4778</v>
      </c>
      <c r="Q362" s="342">
        <v>6139221741</v>
      </c>
      <c r="R362" s="342">
        <v>9110</v>
      </c>
      <c r="U362" s="342" t="s">
        <v>4680</v>
      </c>
      <c r="V362" s="342" t="s">
        <v>4062</v>
      </c>
      <c r="W362" s="342">
        <v>309402</v>
      </c>
      <c r="X362" s="342" t="s">
        <v>4989</v>
      </c>
      <c r="Y362" s="343">
        <v>44448</v>
      </c>
      <c r="Z362" s="342" t="s">
        <v>4063</v>
      </c>
      <c r="AA362" s="343">
        <v>44712</v>
      </c>
      <c r="AB362" s="342" t="s">
        <v>4064</v>
      </c>
      <c r="AC362" s="342" t="s">
        <v>4064</v>
      </c>
      <c r="AD362" s="342" t="s">
        <v>4065</v>
      </c>
      <c r="AI362" s="342" t="s">
        <v>4067</v>
      </c>
      <c r="AJ362" s="342" t="s">
        <v>6142</v>
      </c>
    </row>
    <row r="363" spans="1:36">
      <c r="A363" s="342">
        <v>306731</v>
      </c>
      <c r="B363" s="342" t="s">
        <v>582</v>
      </c>
      <c r="C363" s="342" t="s">
        <v>583</v>
      </c>
      <c r="D363" s="342">
        <v>91761</v>
      </c>
      <c r="E363" s="342" t="s">
        <v>550</v>
      </c>
      <c r="F363" s="342" t="s">
        <v>51</v>
      </c>
      <c r="G363" s="342" t="s">
        <v>1032</v>
      </c>
      <c r="H363" s="342" t="s">
        <v>591</v>
      </c>
      <c r="I363" s="342" t="s">
        <v>40</v>
      </c>
      <c r="J363" s="342" t="s">
        <v>5450</v>
      </c>
      <c r="K363" s="342" t="s">
        <v>1233</v>
      </c>
      <c r="L363" s="343">
        <v>45077</v>
      </c>
      <c r="M363" s="343">
        <v>44705</v>
      </c>
      <c r="O363" s="342" t="s">
        <v>6058</v>
      </c>
      <c r="P363" s="342" t="s">
        <v>5096</v>
      </c>
      <c r="Q363" s="342">
        <v>6115332942</v>
      </c>
      <c r="R363" s="342">
        <v>9110</v>
      </c>
      <c r="U363" s="342" t="s">
        <v>2057</v>
      </c>
      <c r="V363" s="342" t="s">
        <v>2099</v>
      </c>
      <c r="W363" s="342">
        <v>305405</v>
      </c>
      <c r="X363" s="342" t="s">
        <v>5524</v>
      </c>
      <c r="Y363" s="343">
        <v>41844</v>
      </c>
      <c r="Z363" s="342" t="s">
        <v>4063</v>
      </c>
      <c r="AA363" s="343">
        <v>44705</v>
      </c>
      <c r="AB363" s="342" t="s">
        <v>4064</v>
      </c>
      <c r="AC363" s="342" t="s">
        <v>4064</v>
      </c>
      <c r="AD363" s="342" t="s">
        <v>4065</v>
      </c>
      <c r="AI363" s="342" t="s">
        <v>4111</v>
      </c>
      <c r="AJ363" s="342" t="s">
        <v>5849</v>
      </c>
    </row>
    <row r="364" spans="1:36">
      <c r="A364" s="342">
        <v>306925</v>
      </c>
      <c r="B364" s="342" t="s">
        <v>746</v>
      </c>
      <c r="C364" s="342" t="s">
        <v>5897</v>
      </c>
      <c r="D364" s="342">
        <v>95700</v>
      </c>
      <c r="E364" s="342" t="s">
        <v>5898</v>
      </c>
      <c r="F364" s="342" t="s">
        <v>47</v>
      </c>
      <c r="H364" s="342" t="s">
        <v>591</v>
      </c>
      <c r="I364" s="342" t="s">
        <v>40</v>
      </c>
      <c r="J364" s="342" t="s">
        <v>5280</v>
      </c>
      <c r="K364" s="342" t="s">
        <v>1402</v>
      </c>
      <c r="L364" s="343">
        <v>45381</v>
      </c>
      <c r="M364" s="343">
        <v>44747</v>
      </c>
      <c r="O364" s="342" t="s">
        <v>5906</v>
      </c>
      <c r="P364" s="342" t="s">
        <v>5925</v>
      </c>
      <c r="Q364" s="342">
        <v>6130655824</v>
      </c>
      <c r="R364" s="342">
        <v>9110</v>
      </c>
      <c r="S364" s="342" t="s">
        <v>1571</v>
      </c>
      <c r="V364" s="342" t="s">
        <v>2099</v>
      </c>
      <c r="W364" s="342">
        <v>305503</v>
      </c>
      <c r="X364" s="342" t="s">
        <v>5338</v>
      </c>
      <c r="Y364" s="343">
        <v>41887</v>
      </c>
      <c r="Z364" s="342" t="s">
        <v>4063</v>
      </c>
      <c r="AA364" s="343">
        <v>44747</v>
      </c>
      <c r="AB364" s="342" t="s">
        <v>4064</v>
      </c>
      <c r="AC364" s="342" t="s">
        <v>4064</v>
      </c>
      <c r="AD364" s="342" t="s">
        <v>4065</v>
      </c>
      <c r="AI364" s="342" t="s">
        <v>4067</v>
      </c>
      <c r="AJ364" s="342" t="s">
        <v>5847</v>
      </c>
    </row>
    <row r="365" spans="1:36">
      <c r="A365" s="342">
        <v>307050</v>
      </c>
      <c r="B365" s="342" t="s">
        <v>655</v>
      </c>
      <c r="C365" s="342" t="s">
        <v>584</v>
      </c>
      <c r="D365" s="342" t="s">
        <v>585</v>
      </c>
      <c r="E365" s="342" t="s">
        <v>586</v>
      </c>
      <c r="F365" s="342" t="s">
        <v>107</v>
      </c>
      <c r="G365" s="342" t="s">
        <v>1033</v>
      </c>
      <c r="H365" s="342" t="s">
        <v>591</v>
      </c>
      <c r="I365" s="342" t="s">
        <v>40</v>
      </c>
      <c r="J365" s="342" t="s">
        <v>5450</v>
      </c>
      <c r="K365" s="342" t="s">
        <v>1233</v>
      </c>
      <c r="L365" s="343">
        <v>45077</v>
      </c>
      <c r="M365" s="343">
        <v>44705</v>
      </c>
      <c r="O365" s="342" t="s">
        <v>5006</v>
      </c>
      <c r="P365" s="342" t="s">
        <v>4686</v>
      </c>
      <c r="Q365" s="342">
        <v>6111351260</v>
      </c>
      <c r="R365" s="342">
        <v>9110</v>
      </c>
      <c r="V365" s="342" t="s">
        <v>2099</v>
      </c>
      <c r="W365" s="342">
        <v>305551</v>
      </c>
      <c r="X365" s="342" t="s">
        <v>5524</v>
      </c>
      <c r="Y365" s="343">
        <v>41918</v>
      </c>
      <c r="Z365" s="342" t="s">
        <v>4063</v>
      </c>
      <c r="AA365" s="343">
        <v>44705</v>
      </c>
      <c r="AB365" s="342" t="s">
        <v>4064</v>
      </c>
      <c r="AC365" s="342" t="s">
        <v>4064</v>
      </c>
      <c r="AD365" s="342" t="s">
        <v>4065</v>
      </c>
      <c r="AI365" s="342" t="s">
        <v>4067</v>
      </c>
      <c r="AJ365" s="342" t="s">
        <v>5870</v>
      </c>
    </row>
    <row r="366" spans="1:36">
      <c r="A366" s="342">
        <v>307055</v>
      </c>
      <c r="B366" s="342" t="s">
        <v>5941</v>
      </c>
      <c r="C366" s="342" t="s">
        <v>5942</v>
      </c>
      <c r="D366" s="342" t="s">
        <v>5943</v>
      </c>
      <c r="E366" s="342" t="s">
        <v>5944</v>
      </c>
      <c r="F366" s="342" t="s">
        <v>45</v>
      </c>
      <c r="G366" s="342" t="s">
        <v>5945</v>
      </c>
      <c r="H366" s="342" t="s">
        <v>1194</v>
      </c>
      <c r="I366" s="342" t="s">
        <v>40</v>
      </c>
      <c r="J366" s="342" t="s">
        <v>1336</v>
      </c>
      <c r="L366" s="343">
        <v>44816</v>
      </c>
      <c r="M366" s="342" t="s">
        <v>5946</v>
      </c>
      <c r="N366" s="343">
        <v>44816</v>
      </c>
      <c r="R366" s="342">
        <v>9110</v>
      </c>
      <c r="W366" s="342">
        <v>351680</v>
      </c>
      <c r="X366" s="342" t="s">
        <v>5976</v>
      </c>
      <c r="AD366" s="342" t="s">
        <v>4065</v>
      </c>
      <c r="AI366" s="342" t="s">
        <v>4067</v>
      </c>
      <c r="AJ366" s="342" t="s">
        <v>5977</v>
      </c>
    </row>
    <row r="367" spans="1:36">
      <c r="A367" s="342">
        <v>307127</v>
      </c>
      <c r="B367" s="342" t="s">
        <v>587</v>
      </c>
      <c r="C367" s="342" t="s">
        <v>588</v>
      </c>
      <c r="D367" s="342" t="s">
        <v>589</v>
      </c>
      <c r="E367" s="342" t="s">
        <v>590</v>
      </c>
      <c r="F367" s="342" t="s">
        <v>107</v>
      </c>
      <c r="G367" s="342" t="s">
        <v>1034</v>
      </c>
      <c r="H367" s="342" t="s">
        <v>591</v>
      </c>
      <c r="I367" s="342" t="s">
        <v>40</v>
      </c>
      <c r="J367" s="342" t="s">
        <v>5281</v>
      </c>
      <c r="K367" s="342" t="s">
        <v>1233</v>
      </c>
      <c r="L367" s="343">
        <v>45657</v>
      </c>
      <c r="M367" s="343">
        <v>44754</v>
      </c>
      <c r="O367" s="342" t="s">
        <v>5622</v>
      </c>
      <c r="P367" s="342" t="s">
        <v>4561</v>
      </c>
      <c r="Q367" s="342">
        <v>6111867369</v>
      </c>
      <c r="R367" s="342">
        <v>9110</v>
      </c>
      <c r="V367" s="342" t="s">
        <v>2099</v>
      </c>
      <c r="W367" s="342">
        <v>305556</v>
      </c>
      <c r="X367" s="342" t="s">
        <v>5343</v>
      </c>
      <c r="Y367" s="343">
        <v>41920</v>
      </c>
      <c r="Z367" s="342" t="s">
        <v>4063</v>
      </c>
      <c r="AA367" s="343">
        <v>44754</v>
      </c>
      <c r="AB367" s="342" t="s">
        <v>4064</v>
      </c>
      <c r="AC367" s="342" t="s">
        <v>4064</v>
      </c>
      <c r="AD367" s="342" t="s">
        <v>4065</v>
      </c>
      <c r="AI367" s="342" t="s">
        <v>4067</v>
      </c>
      <c r="AJ367" s="342" t="s">
        <v>5855</v>
      </c>
    </row>
    <row r="368" spans="1:36">
      <c r="A368" s="342">
        <v>307680</v>
      </c>
      <c r="B368" s="342" t="s">
        <v>592</v>
      </c>
      <c r="C368" s="342" t="s">
        <v>593</v>
      </c>
      <c r="D368" s="342">
        <v>13815</v>
      </c>
      <c r="E368" s="342" t="s">
        <v>594</v>
      </c>
      <c r="F368" s="342" t="s">
        <v>51</v>
      </c>
      <c r="G368" s="342">
        <v>83311</v>
      </c>
      <c r="H368" s="342" t="s">
        <v>591</v>
      </c>
      <c r="I368" s="342" t="s">
        <v>40</v>
      </c>
      <c r="J368" s="342" t="s">
        <v>1277</v>
      </c>
      <c r="K368" s="342" t="s">
        <v>1233</v>
      </c>
      <c r="L368" s="343">
        <v>45322</v>
      </c>
      <c r="M368" s="343">
        <v>44224</v>
      </c>
      <c r="O368" s="342" t="s">
        <v>6059</v>
      </c>
      <c r="P368" s="342" t="s">
        <v>4573</v>
      </c>
      <c r="Q368" s="342">
        <v>6110770208</v>
      </c>
      <c r="R368" s="342">
        <v>9110</v>
      </c>
      <c r="U368" s="342" t="s">
        <v>2058</v>
      </c>
      <c r="V368" s="342" t="s">
        <v>2099</v>
      </c>
      <c r="W368" s="342">
        <v>305743</v>
      </c>
      <c r="X368" s="342" t="s">
        <v>5526</v>
      </c>
      <c r="Y368" s="343">
        <v>42033</v>
      </c>
      <c r="Z368" s="342" t="s">
        <v>4063</v>
      </c>
      <c r="AA368" s="343">
        <v>44224</v>
      </c>
      <c r="AB368" s="342" t="s">
        <v>4064</v>
      </c>
      <c r="AC368" s="342" t="s">
        <v>4064</v>
      </c>
      <c r="AD368" s="342" t="s">
        <v>4065</v>
      </c>
      <c r="AI368" s="342" t="s">
        <v>4067</v>
      </c>
      <c r="AJ368" s="342" t="s">
        <v>5873</v>
      </c>
    </row>
    <row r="369" spans="1:36">
      <c r="A369" s="342">
        <v>307687</v>
      </c>
      <c r="B369" s="342" t="s">
        <v>1404</v>
      </c>
      <c r="C369" s="342" t="s">
        <v>1405</v>
      </c>
      <c r="D369" s="342">
        <v>44396</v>
      </c>
      <c r="E369" s="342" t="s">
        <v>1406</v>
      </c>
      <c r="F369" s="342" t="s">
        <v>126</v>
      </c>
      <c r="H369" s="342" t="s">
        <v>591</v>
      </c>
      <c r="I369" s="342" t="s">
        <v>41</v>
      </c>
      <c r="J369" s="342" t="s">
        <v>786</v>
      </c>
      <c r="K369" s="342" t="s">
        <v>1402</v>
      </c>
      <c r="L369" s="343">
        <v>44957</v>
      </c>
      <c r="M369" s="343">
        <v>44579</v>
      </c>
      <c r="O369" s="342" t="s">
        <v>5300</v>
      </c>
      <c r="P369" s="342" t="s">
        <v>4894</v>
      </c>
      <c r="Q369" s="342">
        <v>6148493641</v>
      </c>
      <c r="R369" s="342">
        <v>9110</v>
      </c>
      <c r="V369" s="342" t="s">
        <v>2217</v>
      </c>
      <c r="W369" s="342">
        <v>305719</v>
      </c>
      <c r="X369" s="342" t="s">
        <v>4995</v>
      </c>
      <c r="Y369" s="343">
        <v>42013</v>
      </c>
      <c r="Z369" s="342" t="s">
        <v>4063</v>
      </c>
      <c r="AA369" s="343">
        <v>44579</v>
      </c>
      <c r="AB369" s="342" t="s">
        <v>4064</v>
      </c>
      <c r="AC369" s="342" t="s">
        <v>4064</v>
      </c>
      <c r="AD369" s="342" t="s">
        <v>4065</v>
      </c>
      <c r="AI369" s="342" t="s">
        <v>4067</v>
      </c>
      <c r="AJ369" s="342" t="s">
        <v>5847</v>
      </c>
    </row>
    <row r="370" spans="1:36">
      <c r="A370" s="342">
        <v>307766</v>
      </c>
      <c r="B370" s="342" t="s">
        <v>595</v>
      </c>
      <c r="C370" s="342" t="s">
        <v>596</v>
      </c>
      <c r="D370" s="342" t="s">
        <v>597</v>
      </c>
      <c r="E370" s="342" t="s">
        <v>598</v>
      </c>
      <c r="F370" s="342" t="s">
        <v>51</v>
      </c>
      <c r="G370" s="342" t="s">
        <v>599</v>
      </c>
      <c r="H370" s="342" t="s">
        <v>591</v>
      </c>
      <c r="I370" s="342" t="s">
        <v>40</v>
      </c>
      <c r="J370" s="342" t="s">
        <v>5283</v>
      </c>
      <c r="K370" s="342" t="s">
        <v>1233</v>
      </c>
      <c r="L370" s="343">
        <v>45230</v>
      </c>
      <c r="M370" s="343">
        <v>44470</v>
      </c>
      <c r="O370" s="342" t="s">
        <v>5007</v>
      </c>
      <c r="P370" s="342" t="s">
        <v>5831</v>
      </c>
      <c r="Q370" s="342">
        <v>6110094162</v>
      </c>
      <c r="R370" s="342">
        <v>9110</v>
      </c>
      <c r="V370" s="342" t="s">
        <v>2099</v>
      </c>
      <c r="W370" s="342">
        <v>305736</v>
      </c>
      <c r="X370" s="342" t="s">
        <v>5388</v>
      </c>
      <c r="Y370" s="343">
        <v>42030</v>
      </c>
      <c r="Z370" s="342" t="s">
        <v>4063</v>
      </c>
      <c r="AA370" s="343">
        <v>44470</v>
      </c>
      <c r="AB370" s="342" t="s">
        <v>4064</v>
      </c>
      <c r="AC370" s="342" t="s">
        <v>4064</v>
      </c>
      <c r="AD370" s="342" t="s">
        <v>4065</v>
      </c>
      <c r="AI370" s="342" t="s">
        <v>4067</v>
      </c>
      <c r="AJ370" s="342" t="s">
        <v>5849</v>
      </c>
    </row>
    <row r="371" spans="1:36">
      <c r="A371" s="342">
        <v>307918</v>
      </c>
      <c r="B371" s="342" t="s">
        <v>615</v>
      </c>
      <c r="C371" s="342" t="s">
        <v>616</v>
      </c>
      <c r="D371" s="342">
        <v>85282</v>
      </c>
      <c r="E371" s="342" t="s">
        <v>213</v>
      </c>
      <c r="F371" s="342" t="s">
        <v>51</v>
      </c>
      <c r="G371" s="342" t="s">
        <v>1035</v>
      </c>
      <c r="H371" s="342" t="s">
        <v>591</v>
      </c>
      <c r="I371" s="342" t="s">
        <v>40</v>
      </c>
      <c r="J371" s="342" t="s">
        <v>5281</v>
      </c>
      <c r="K371" s="342" t="s">
        <v>1233</v>
      </c>
      <c r="L371" s="343">
        <v>45657</v>
      </c>
      <c r="M371" s="343">
        <v>44754</v>
      </c>
      <c r="O371" s="342" t="s">
        <v>5907</v>
      </c>
      <c r="P371" s="342" t="s">
        <v>5376</v>
      </c>
      <c r="Q371" s="342">
        <v>6115016145</v>
      </c>
      <c r="R371" s="342">
        <v>9110</v>
      </c>
      <c r="U371" s="342" t="s">
        <v>2059</v>
      </c>
      <c r="V371" s="342" t="s">
        <v>2099</v>
      </c>
      <c r="W371" s="342">
        <v>305869</v>
      </c>
      <c r="X371" s="342" t="s">
        <v>5343</v>
      </c>
      <c r="Y371" s="343">
        <v>42090</v>
      </c>
      <c r="Z371" s="342" t="s">
        <v>4063</v>
      </c>
      <c r="AA371" s="343">
        <v>44754</v>
      </c>
      <c r="AB371" s="342" t="s">
        <v>4064</v>
      </c>
      <c r="AC371" s="342" t="s">
        <v>4064</v>
      </c>
      <c r="AD371" s="342" t="s">
        <v>4065</v>
      </c>
      <c r="AI371" s="342" t="s">
        <v>4067</v>
      </c>
      <c r="AJ371" s="342" t="s">
        <v>5873</v>
      </c>
    </row>
    <row r="372" spans="1:36">
      <c r="A372" s="342">
        <v>308105</v>
      </c>
      <c r="B372" s="342" t="s">
        <v>617</v>
      </c>
      <c r="C372" s="342" t="s">
        <v>618</v>
      </c>
      <c r="D372" s="342" t="s">
        <v>619</v>
      </c>
      <c r="E372" s="342" t="s">
        <v>620</v>
      </c>
      <c r="F372" s="342" t="s">
        <v>107</v>
      </c>
      <c r="G372" s="342">
        <v>33463</v>
      </c>
      <c r="H372" s="342" t="s">
        <v>591</v>
      </c>
      <c r="I372" s="342" t="s">
        <v>40</v>
      </c>
      <c r="J372" s="342" t="s">
        <v>5282</v>
      </c>
      <c r="K372" s="342" t="s">
        <v>1233</v>
      </c>
      <c r="L372" s="343">
        <v>45412</v>
      </c>
      <c r="M372" s="343">
        <v>44672</v>
      </c>
      <c r="O372" s="342" t="s">
        <v>4264</v>
      </c>
      <c r="P372" s="342" t="s">
        <v>5097</v>
      </c>
      <c r="Q372" s="342">
        <v>6110090506</v>
      </c>
      <c r="R372" s="342">
        <v>9110</v>
      </c>
      <c r="U372" s="342" t="s">
        <v>5248</v>
      </c>
      <c r="V372" s="342" t="s">
        <v>2099</v>
      </c>
      <c r="W372" s="342">
        <v>305875</v>
      </c>
      <c r="X372" s="342" t="s">
        <v>5340</v>
      </c>
      <c r="Y372" s="343">
        <v>42096</v>
      </c>
      <c r="Z372" s="342" t="s">
        <v>4063</v>
      </c>
      <c r="AA372" s="343">
        <v>44672</v>
      </c>
      <c r="AB372" s="342" t="s">
        <v>4064</v>
      </c>
      <c r="AC372" s="342" t="s">
        <v>4064</v>
      </c>
      <c r="AD372" s="342" t="s">
        <v>4065</v>
      </c>
      <c r="AI372" s="342" t="s">
        <v>4067</v>
      </c>
      <c r="AJ372" s="342" t="s">
        <v>5876</v>
      </c>
    </row>
    <row r="373" spans="1:36">
      <c r="A373" s="342">
        <v>308229</v>
      </c>
      <c r="B373" s="342" t="s">
        <v>1328</v>
      </c>
      <c r="C373" s="342" t="s">
        <v>1329</v>
      </c>
      <c r="D373" s="342">
        <v>31300</v>
      </c>
      <c r="E373" s="342" t="s">
        <v>93</v>
      </c>
      <c r="F373" s="342" t="s">
        <v>47</v>
      </c>
      <c r="G373" s="342" t="s">
        <v>1337</v>
      </c>
      <c r="H373" s="342" t="s">
        <v>591</v>
      </c>
      <c r="I373" s="342" t="s">
        <v>40</v>
      </c>
      <c r="J373" s="342" t="s">
        <v>1421</v>
      </c>
      <c r="L373" s="343">
        <v>45291</v>
      </c>
      <c r="M373" s="343">
        <v>43856</v>
      </c>
      <c r="O373" s="342" t="s">
        <v>1483</v>
      </c>
      <c r="P373" s="342" t="s">
        <v>1562</v>
      </c>
      <c r="Q373" s="342">
        <v>6145582940</v>
      </c>
      <c r="R373" s="342">
        <v>9110</v>
      </c>
      <c r="V373" s="342" t="s">
        <v>2099</v>
      </c>
      <c r="W373" s="342">
        <v>305970</v>
      </c>
      <c r="X373" s="342" t="s">
        <v>4991</v>
      </c>
      <c r="Y373" s="343">
        <v>42346</v>
      </c>
      <c r="Z373" s="342" t="s">
        <v>4063</v>
      </c>
      <c r="AA373" s="343">
        <v>43856</v>
      </c>
      <c r="AB373" s="342" t="s">
        <v>4064</v>
      </c>
      <c r="AC373" s="342" t="s">
        <v>4064</v>
      </c>
      <c r="AD373" s="342" t="s">
        <v>4065</v>
      </c>
      <c r="AI373" s="342" t="s">
        <v>4067</v>
      </c>
      <c r="AJ373" s="342" t="s">
        <v>6145</v>
      </c>
    </row>
    <row r="374" spans="1:36">
      <c r="A374" s="342">
        <v>308383</v>
      </c>
      <c r="B374" s="342" t="s">
        <v>1478</v>
      </c>
      <c r="C374" s="342" t="s">
        <v>625</v>
      </c>
      <c r="D374" s="342">
        <v>539934</v>
      </c>
      <c r="E374" s="342" t="s">
        <v>336</v>
      </c>
      <c r="F374" s="342" t="s">
        <v>337</v>
      </c>
      <c r="G374" s="342" t="s">
        <v>1036</v>
      </c>
      <c r="H374" s="342" t="s">
        <v>591</v>
      </c>
      <c r="I374" s="342" t="s">
        <v>40</v>
      </c>
      <c r="J374" s="342" t="s">
        <v>1288</v>
      </c>
      <c r="K374" s="342" t="s">
        <v>1402</v>
      </c>
      <c r="L374" s="343">
        <v>45077</v>
      </c>
      <c r="M374" s="343">
        <v>44337</v>
      </c>
      <c r="O374" s="342" t="s">
        <v>5981</v>
      </c>
      <c r="P374" s="342" t="s">
        <v>4803</v>
      </c>
      <c r="Q374" s="342">
        <v>6111090482</v>
      </c>
      <c r="R374" s="342">
        <v>9110</v>
      </c>
      <c r="V374" s="342" t="s">
        <v>2099</v>
      </c>
      <c r="W374" s="342">
        <v>305916</v>
      </c>
      <c r="X374" s="342" t="s">
        <v>4992</v>
      </c>
      <c r="Y374" s="343">
        <v>42142</v>
      </c>
      <c r="Z374" s="342" t="s">
        <v>4063</v>
      </c>
      <c r="AA374" s="343">
        <v>44337</v>
      </c>
      <c r="AB374" s="342" t="s">
        <v>4064</v>
      </c>
      <c r="AC374" s="342" t="s">
        <v>4064</v>
      </c>
      <c r="AD374" s="342" t="s">
        <v>4065</v>
      </c>
      <c r="AI374" s="342" t="s">
        <v>4067</v>
      </c>
      <c r="AJ374" s="342" t="s">
        <v>5847</v>
      </c>
    </row>
    <row r="375" spans="1:36">
      <c r="A375" s="342">
        <v>308413</v>
      </c>
      <c r="B375" s="342" t="s">
        <v>626</v>
      </c>
      <c r="C375" s="342" t="s">
        <v>627</v>
      </c>
      <c r="D375" s="342">
        <v>33056</v>
      </c>
      <c r="E375" s="342" t="s">
        <v>628</v>
      </c>
      <c r="F375" s="342" t="s">
        <v>51</v>
      </c>
      <c r="G375" s="342" t="s">
        <v>1037</v>
      </c>
      <c r="H375" s="342" t="s">
        <v>591</v>
      </c>
      <c r="I375" s="342" t="s">
        <v>40</v>
      </c>
      <c r="J375" s="342" t="s">
        <v>5282</v>
      </c>
      <c r="K375" s="342" t="s">
        <v>1233</v>
      </c>
      <c r="L375" s="343">
        <v>45412</v>
      </c>
      <c r="M375" s="343">
        <v>44672</v>
      </c>
      <c r="O375" s="342" t="s">
        <v>6060</v>
      </c>
      <c r="P375" s="342" t="s">
        <v>5832</v>
      </c>
      <c r="Q375" s="342">
        <v>6119828766</v>
      </c>
      <c r="R375" s="342">
        <v>9110</v>
      </c>
      <c r="V375" s="342" t="s">
        <v>2099</v>
      </c>
      <c r="W375" s="342">
        <v>305934</v>
      </c>
      <c r="X375" s="342" t="s">
        <v>5340</v>
      </c>
      <c r="Y375" s="343">
        <v>42146</v>
      </c>
      <c r="Z375" s="342" t="s">
        <v>4063</v>
      </c>
      <c r="AA375" s="343">
        <v>44672</v>
      </c>
      <c r="AB375" s="342" t="s">
        <v>4064</v>
      </c>
      <c r="AC375" s="342" t="s">
        <v>4064</v>
      </c>
      <c r="AD375" s="342" t="s">
        <v>4065</v>
      </c>
      <c r="AI375" s="342" t="s">
        <v>4067</v>
      </c>
      <c r="AJ375" s="342" t="s">
        <v>5853</v>
      </c>
    </row>
    <row r="376" spans="1:36">
      <c r="A376" s="342">
        <v>308573</v>
      </c>
      <c r="B376" s="342" t="s">
        <v>1245</v>
      </c>
      <c r="C376" s="342" t="s">
        <v>638</v>
      </c>
      <c r="D376" s="342">
        <v>6405</v>
      </c>
      <c r="E376" s="342" t="s">
        <v>639</v>
      </c>
      <c r="F376" s="342" t="s">
        <v>51</v>
      </c>
      <c r="G376" s="342">
        <v>60</v>
      </c>
      <c r="H376" s="342" t="s">
        <v>591</v>
      </c>
      <c r="I376" s="342" t="s">
        <v>40</v>
      </c>
      <c r="J376" s="342" t="s">
        <v>1277</v>
      </c>
      <c r="K376" s="342" t="s">
        <v>1233</v>
      </c>
      <c r="L376" s="343">
        <v>45473</v>
      </c>
      <c r="M376" s="343">
        <v>44375</v>
      </c>
      <c r="O376" s="342" t="s">
        <v>1493</v>
      </c>
      <c r="P376" s="342" t="s">
        <v>4451</v>
      </c>
      <c r="Q376" s="342">
        <v>6114103088</v>
      </c>
      <c r="R376" s="342">
        <v>9110</v>
      </c>
      <c r="U376" s="342" t="s">
        <v>2060</v>
      </c>
      <c r="V376" s="342" t="s">
        <v>2099</v>
      </c>
      <c r="W376" s="342">
        <v>306026</v>
      </c>
      <c r="X376" s="342" t="s">
        <v>4990</v>
      </c>
      <c r="Y376" s="343">
        <v>42185</v>
      </c>
      <c r="Z376" s="342" t="s">
        <v>4063</v>
      </c>
      <c r="AA376" s="343">
        <v>44375</v>
      </c>
      <c r="AB376" s="342" t="s">
        <v>4064</v>
      </c>
      <c r="AC376" s="342" t="s">
        <v>4064</v>
      </c>
      <c r="AD376" s="342" t="s">
        <v>4065</v>
      </c>
      <c r="AI376" s="342" t="s">
        <v>4067</v>
      </c>
      <c r="AJ376" s="342" t="s">
        <v>5873</v>
      </c>
    </row>
    <row r="377" spans="1:36">
      <c r="A377" s="342">
        <v>308735</v>
      </c>
      <c r="B377" s="342" t="s">
        <v>662</v>
      </c>
      <c r="C377" s="342" t="s">
        <v>663</v>
      </c>
      <c r="D377" s="342" t="s">
        <v>664</v>
      </c>
      <c r="E377" s="342" t="s">
        <v>665</v>
      </c>
      <c r="F377" s="342" t="s">
        <v>107</v>
      </c>
      <c r="G377" s="342" t="s">
        <v>1038</v>
      </c>
      <c r="H377" s="342" t="s">
        <v>591</v>
      </c>
      <c r="I377" s="342" t="s">
        <v>40</v>
      </c>
      <c r="J377" s="342" t="s">
        <v>5282</v>
      </c>
      <c r="K377" s="342" t="s">
        <v>1233</v>
      </c>
      <c r="L377" s="343">
        <v>45412</v>
      </c>
      <c r="M377" s="343">
        <v>44672</v>
      </c>
      <c r="O377" s="342" t="s">
        <v>1331</v>
      </c>
      <c r="P377" s="342" t="s">
        <v>5056</v>
      </c>
      <c r="Q377" s="342">
        <v>6121212247</v>
      </c>
      <c r="R377" s="342">
        <v>9110</v>
      </c>
      <c r="U377" s="342" t="s">
        <v>2061</v>
      </c>
      <c r="V377" s="342" t="s">
        <v>2099</v>
      </c>
      <c r="W377" s="342">
        <v>306149</v>
      </c>
      <c r="X377" s="342" t="s">
        <v>5340</v>
      </c>
      <c r="Y377" s="343">
        <v>42249</v>
      </c>
      <c r="Z377" s="342" t="s">
        <v>4063</v>
      </c>
      <c r="AA377" s="343">
        <v>44672</v>
      </c>
      <c r="AB377" s="342" t="s">
        <v>4064</v>
      </c>
      <c r="AC377" s="342" t="s">
        <v>4064</v>
      </c>
      <c r="AD377" s="342" t="s">
        <v>4065</v>
      </c>
      <c r="AI377" s="342" t="s">
        <v>4067</v>
      </c>
      <c r="AJ377" s="342" t="s">
        <v>5886</v>
      </c>
    </row>
    <row r="378" spans="1:36">
      <c r="A378" s="342">
        <v>308773</v>
      </c>
      <c r="B378" s="342" t="s">
        <v>657</v>
      </c>
      <c r="C378" s="342" t="s">
        <v>658</v>
      </c>
      <c r="D378" s="342">
        <v>27804</v>
      </c>
      <c r="E378" s="342" t="s">
        <v>659</v>
      </c>
      <c r="F378" s="342" t="s">
        <v>51</v>
      </c>
      <c r="G378" s="342" t="s">
        <v>1039</v>
      </c>
      <c r="H378" s="342" t="s">
        <v>591</v>
      </c>
      <c r="I378" s="342" t="s">
        <v>40</v>
      </c>
      <c r="J378" s="342" t="s">
        <v>5281</v>
      </c>
      <c r="K378" s="342" t="s">
        <v>1233</v>
      </c>
      <c r="L378" s="343">
        <v>45077</v>
      </c>
      <c r="M378" s="343">
        <v>44705</v>
      </c>
      <c r="O378" s="342" t="s">
        <v>6061</v>
      </c>
      <c r="P378" s="342" t="s">
        <v>4686</v>
      </c>
      <c r="Q378" s="342">
        <v>6115181067</v>
      </c>
      <c r="R378" s="342">
        <v>9110</v>
      </c>
      <c r="V378" s="342" t="s">
        <v>2099</v>
      </c>
      <c r="W378" s="342">
        <v>306091</v>
      </c>
      <c r="X378" s="342" t="s">
        <v>5343</v>
      </c>
      <c r="Y378" s="343">
        <v>42216</v>
      </c>
      <c r="Z378" s="342" t="s">
        <v>4063</v>
      </c>
      <c r="AA378" s="343">
        <v>44705</v>
      </c>
      <c r="AB378" s="342" t="s">
        <v>4064</v>
      </c>
      <c r="AC378" s="342" t="s">
        <v>4064</v>
      </c>
      <c r="AD378" s="342" t="s">
        <v>4065</v>
      </c>
      <c r="AI378" s="342" t="s">
        <v>4067</v>
      </c>
      <c r="AJ378" s="342" t="s">
        <v>5848</v>
      </c>
    </row>
    <row r="379" spans="1:36">
      <c r="A379" s="342">
        <v>309281</v>
      </c>
      <c r="B379" s="342" t="s">
        <v>2016</v>
      </c>
      <c r="C379" s="342" t="s">
        <v>2017</v>
      </c>
      <c r="D379" s="342" t="s">
        <v>2018</v>
      </c>
      <c r="E379" s="342" t="s">
        <v>1395</v>
      </c>
      <c r="F379" s="342" t="s">
        <v>51</v>
      </c>
      <c r="G379" s="342" t="s">
        <v>1396</v>
      </c>
      <c r="H379" s="342" t="s">
        <v>591</v>
      </c>
      <c r="I379" s="342" t="s">
        <v>40</v>
      </c>
      <c r="J379" s="342" t="s">
        <v>1277</v>
      </c>
      <c r="K379" s="342" t="s">
        <v>1233</v>
      </c>
      <c r="L379" s="343">
        <v>44864</v>
      </c>
      <c r="M379" s="343">
        <v>44117</v>
      </c>
      <c r="O379" s="342" t="s">
        <v>6062</v>
      </c>
      <c r="P379" s="342" t="s">
        <v>2027</v>
      </c>
      <c r="Q379" s="342">
        <v>6119503706</v>
      </c>
      <c r="R379" s="342">
        <v>9100</v>
      </c>
      <c r="V379" s="342" t="s">
        <v>2099</v>
      </c>
      <c r="W379" s="342">
        <v>308869</v>
      </c>
      <c r="X379" s="342" t="s">
        <v>4990</v>
      </c>
      <c r="Y379" s="343">
        <v>44117</v>
      </c>
      <c r="Z379" s="342" t="s">
        <v>4063</v>
      </c>
      <c r="AA379" s="343">
        <v>44117</v>
      </c>
      <c r="AB379" s="342" t="s">
        <v>4064</v>
      </c>
      <c r="AC379" s="342" t="s">
        <v>4064</v>
      </c>
      <c r="AD379" s="342" t="s">
        <v>4065</v>
      </c>
      <c r="AI379" s="342" t="s">
        <v>4067</v>
      </c>
      <c r="AJ379" s="342" t="s">
        <v>5851</v>
      </c>
    </row>
    <row r="380" spans="1:36">
      <c r="A380" s="342">
        <v>309537</v>
      </c>
      <c r="B380" s="342" t="s">
        <v>5120</v>
      </c>
      <c r="C380" s="342" t="s">
        <v>5121</v>
      </c>
      <c r="D380" s="342">
        <v>2035</v>
      </c>
      <c r="E380" s="342" t="s">
        <v>5122</v>
      </c>
      <c r="F380" s="342" t="s">
        <v>5123</v>
      </c>
      <c r="G380" s="342" t="s">
        <v>5124</v>
      </c>
      <c r="H380" s="342" t="s">
        <v>1194</v>
      </c>
      <c r="I380" s="342" t="s">
        <v>41</v>
      </c>
      <c r="J380" s="342" t="s">
        <v>1421</v>
      </c>
      <c r="L380" s="343">
        <v>44773</v>
      </c>
      <c r="N380" s="343">
        <v>44773</v>
      </c>
      <c r="O380" s="342" t="s">
        <v>5127</v>
      </c>
      <c r="R380" s="342">
        <v>9110</v>
      </c>
      <c r="W380" s="342">
        <v>351060</v>
      </c>
      <c r="X380" s="342" t="s">
        <v>4537</v>
      </c>
      <c r="AD380" s="342" t="s">
        <v>4065</v>
      </c>
      <c r="AI380" s="342" t="s">
        <v>4067</v>
      </c>
      <c r="AJ380" s="342" t="s">
        <v>5889</v>
      </c>
    </row>
    <row r="381" spans="1:36">
      <c r="A381" s="342">
        <v>309838</v>
      </c>
      <c r="B381" s="342" t="s">
        <v>1246</v>
      </c>
      <c r="C381" s="342" t="s">
        <v>1247</v>
      </c>
      <c r="D381" s="342">
        <v>87477</v>
      </c>
      <c r="E381" s="342" t="s">
        <v>1248</v>
      </c>
      <c r="F381" s="342" t="s">
        <v>55</v>
      </c>
      <c r="G381" s="342" t="s">
        <v>1249</v>
      </c>
      <c r="H381" s="342" t="s">
        <v>591</v>
      </c>
      <c r="I381" s="342" t="s">
        <v>40</v>
      </c>
      <c r="J381" s="342" t="s">
        <v>1277</v>
      </c>
      <c r="K381" s="342" t="s">
        <v>1233</v>
      </c>
      <c r="L381" s="343">
        <v>45657</v>
      </c>
      <c r="M381" s="343">
        <v>44536</v>
      </c>
      <c r="O381" s="342" t="s">
        <v>1339</v>
      </c>
      <c r="P381" s="342" t="s">
        <v>5833</v>
      </c>
      <c r="Q381" s="342">
        <v>6145615341</v>
      </c>
      <c r="R381" s="342">
        <v>9110</v>
      </c>
      <c r="V381" s="342" t="s">
        <v>2099</v>
      </c>
      <c r="W381" s="342">
        <v>307106</v>
      </c>
      <c r="X381" s="342" t="s">
        <v>5411</v>
      </c>
      <c r="Y381" s="343">
        <v>43444</v>
      </c>
      <c r="Z381" s="342" t="s">
        <v>4063</v>
      </c>
      <c r="AA381" s="343">
        <v>44536</v>
      </c>
      <c r="AB381" s="342" t="s">
        <v>4064</v>
      </c>
      <c r="AC381" s="342" t="s">
        <v>4064</v>
      </c>
      <c r="AD381" s="342" t="s">
        <v>4065</v>
      </c>
      <c r="AI381" s="342" t="s">
        <v>4067</v>
      </c>
      <c r="AJ381" s="342" t="s">
        <v>5855</v>
      </c>
    </row>
    <row r="382" spans="1:36">
      <c r="A382" s="342">
        <v>310055</v>
      </c>
      <c r="B382" s="342" t="s">
        <v>706</v>
      </c>
      <c r="C382" s="342" t="s">
        <v>707</v>
      </c>
      <c r="D382" s="342">
        <v>75050</v>
      </c>
      <c r="E382" s="342" t="s">
        <v>86</v>
      </c>
      <c r="F382" s="342" t="s">
        <v>51</v>
      </c>
      <c r="G382" s="342" t="s">
        <v>1040</v>
      </c>
      <c r="H382" s="342" t="s">
        <v>591</v>
      </c>
      <c r="I382" s="342" t="s">
        <v>40</v>
      </c>
      <c r="J382" s="342" t="s">
        <v>1288</v>
      </c>
      <c r="K382" s="342" t="s">
        <v>1402</v>
      </c>
      <c r="L382" s="343">
        <v>45230</v>
      </c>
      <c r="M382" s="343">
        <v>44490</v>
      </c>
      <c r="O382" s="342" t="s">
        <v>6063</v>
      </c>
      <c r="P382" s="342" t="s">
        <v>5834</v>
      </c>
      <c r="Q382" s="342">
        <v>6132963527</v>
      </c>
      <c r="R382" s="342">
        <v>9110</v>
      </c>
      <c r="V382" s="342" t="s">
        <v>2099</v>
      </c>
      <c r="W382" s="342">
        <v>306474</v>
      </c>
      <c r="X382" s="342" t="s">
        <v>4992</v>
      </c>
      <c r="Y382" s="343">
        <v>42437</v>
      </c>
      <c r="Z382" s="342" t="s">
        <v>4063</v>
      </c>
      <c r="AA382" s="343">
        <v>44490</v>
      </c>
      <c r="AB382" s="342" t="s">
        <v>4064</v>
      </c>
      <c r="AC382" s="342" t="s">
        <v>4064</v>
      </c>
      <c r="AD382" s="342" t="s">
        <v>4065</v>
      </c>
      <c r="AI382" s="342" t="s">
        <v>4067</v>
      </c>
      <c r="AJ382" s="342" t="s">
        <v>5854</v>
      </c>
    </row>
    <row r="383" spans="1:36">
      <c r="A383" s="342">
        <v>310151</v>
      </c>
      <c r="B383" s="342" t="s">
        <v>1123</v>
      </c>
      <c r="C383" s="342" t="s">
        <v>1124</v>
      </c>
      <c r="D383" s="342">
        <v>36615</v>
      </c>
      <c r="E383" s="342" t="s">
        <v>1125</v>
      </c>
      <c r="F383" s="342" t="s">
        <v>51</v>
      </c>
      <c r="H383" s="342" t="s">
        <v>591</v>
      </c>
      <c r="I383" s="342" t="s">
        <v>41</v>
      </c>
      <c r="J383" s="342" t="s">
        <v>786</v>
      </c>
      <c r="K383" s="342" t="s">
        <v>1233</v>
      </c>
      <c r="L383" s="343">
        <v>45657</v>
      </c>
      <c r="M383" s="343">
        <v>44536</v>
      </c>
      <c r="O383" s="342" t="s">
        <v>4367</v>
      </c>
      <c r="P383" s="342" t="s">
        <v>5159</v>
      </c>
      <c r="Q383" s="342">
        <v>6111225529</v>
      </c>
      <c r="R383" s="342">
        <v>9110</v>
      </c>
      <c r="V383" s="342" t="s">
        <v>2217</v>
      </c>
      <c r="W383" s="342">
        <v>307443</v>
      </c>
      <c r="X383" s="342" t="s">
        <v>4995</v>
      </c>
      <c r="Y383" s="343">
        <v>43082</v>
      </c>
      <c r="Z383" s="342" t="s">
        <v>4063</v>
      </c>
      <c r="AA383" s="343">
        <v>44536</v>
      </c>
      <c r="AB383" s="342" t="s">
        <v>4064</v>
      </c>
      <c r="AC383" s="342" t="s">
        <v>4064</v>
      </c>
      <c r="AD383" s="342" t="s">
        <v>4065</v>
      </c>
      <c r="AI383" s="342" t="s">
        <v>4067</v>
      </c>
      <c r="AJ383" s="342" t="s">
        <v>5853</v>
      </c>
    </row>
    <row r="384" spans="1:36">
      <c r="A384" s="342">
        <v>310514</v>
      </c>
      <c r="B384" s="342" t="s">
        <v>920</v>
      </c>
      <c r="C384" s="342" t="s">
        <v>1041</v>
      </c>
      <c r="D384" s="342" t="s">
        <v>1042</v>
      </c>
      <c r="E384" s="342" t="s">
        <v>1043</v>
      </c>
      <c r="F384" s="342" t="s">
        <v>45</v>
      </c>
      <c r="G384" s="342" t="s">
        <v>1044</v>
      </c>
      <c r="H384" s="342" t="s">
        <v>591</v>
      </c>
      <c r="I384" s="342" t="s">
        <v>1114</v>
      </c>
      <c r="J384" s="342" t="s">
        <v>1288</v>
      </c>
      <c r="K384" s="342" t="s">
        <v>1402</v>
      </c>
      <c r="L384" s="343">
        <v>45077</v>
      </c>
      <c r="M384" s="343">
        <v>44350</v>
      </c>
      <c r="P384" s="342" t="s">
        <v>1545</v>
      </c>
      <c r="Q384" s="342">
        <v>6139030563</v>
      </c>
      <c r="R384" s="342">
        <v>9120</v>
      </c>
      <c r="V384" s="342" t="s">
        <v>2131</v>
      </c>
      <c r="W384" s="342">
        <v>306567</v>
      </c>
      <c r="X384" s="342" t="s">
        <v>4992</v>
      </c>
      <c r="Y384" s="343">
        <v>43054</v>
      </c>
      <c r="Z384" s="342" t="s">
        <v>4063</v>
      </c>
      <c r="AA384" s="343">
        <v>44350</v>
      </c>
      <c r="AB384" s="342" t="s">
        <v>4064</v>
      </c>
      <c r="AC384" s="342" t="s">
        <v>4064</v>
      </c>
      <c r="AD384" s="342" t="s">
        <v>4065</v>
      </c>
      <c r="AI384" s="342" t="s">
        <v>4067</v>
      </c>
      <c r="AJ384" s="342" t="s">
        <v>5864</v>
      </c>
    </row>
    <row r="385" spans="1:36">
      <c r="A385" s="342">
        <v>310756</v>
      </c>
      <c r="B385" s="342" t="s">
        <v>743</v>
      </c>
      <c r="C385" s="342" t="s">
        <v>756</v>
      </c>
      <c r="D385" s="342">
        <v>71950</v>
      </c>
      <c r="E385" s="342" t="s">
        <v>757</v>
      </c>
      <c r="F385" s="342" t="s">
        <v>558</v>
      </c>
      <c r="H385" s="342" t="s">
        <v>591</v>
      </c>
      <c r="I385" s="342" t="s">
        <v>40</v>
      </c>
      <c r="J385" s="342" t="s">
        <v>5280</v>
      </c>
      <c r="K385" s="342" t="s">
        <v>1233</v>
      </c>
      <c r="L385" s="343">
        <v>45230</v>
      </c>
      <c r="M385" s="343">
        <v>44319</v>
      </c>
      <c r="O385" s="342" t="s">
        <v>1074</v>
      </c>
      <c r="P385" s="342" t="s">
        <v>4675</v>
      </c>
      <c r="Q385" s="342">
        <v>6135733107</v>
      </c>
      <c r="R385" s="342">
        <v>9110</v>
      </c>
      <c r="V385" s="342" t="s">
        <v>2099</v>
      </c>
      <c r="W385" s="342">
        <v>306611</v>
      </c>
      <c r="X385" s="342" t="s">
        <v>5338</v>
      </c>
      <c r="Y385" s="343">
        <v>42541</v>
      </c>
      <c r="Z385" s="342" t="s">
        <v>4063</v>
      </c>
      <c r="AA385" s="343">
        <v>44319</v>
      </c>
      <c r="AB385" s="342" t="s">
        <v>4064</v>
      </c>
      <c r="AC385" s="342" t="s">
        <v>4064</v>
      </c>
      <c r="AD385" s="342" t="s">
        <v>4065</v>
      </c>
      <c r="AI385" s="342" t="s">
        <v>4067</v>
      </c>
      <c r="AJ385" s="342" t="s">
        <v>5852</v>
      </c>
    </row>
    <row r="386" spans="1:36">
      <c r="A386" s="342">
        <v>310956</v>
      </c>
      <c r="B386" s="342" t="s">
        <v>771</v>
      </c>
      <c r="C386" s="342" t="s">
        <v>1045</v>
      </c>
      <c r="D386" s="342">
        <v>361006</v>
      </c>
      <c r="E386" s="342" t="s">
        <v>488</v>
      </c>
      <c r="F386" s="342" t="s">
        <v>175</v>
      </c>
      <c r="H386" s="342" t="s">
        <v>591</v>
      </c>
      <c r="I386" s="342" t="s">
        <v>40</v>
      </c>
      <c r="J386" s="342" t="s">
        <v>1510</v>
      </c>
      <c r="K386" s="342" t="s">
        <v>1402</v>
      </c>
      <c r="L386" s="343">
        <v>45350</v>
      </c>
      <c r="M386" s="343">
        <v>44424</v>
      </c>
      <c r="O386" s="342" t="s">
        <v>4789</v>
      </c>
      <c r="P386" s="342" t="s">
        <v>1563</v>
      </c>
      <c r="Q386" s="342">
        <v>6152462804</v>
      </c>
      <c r="R386" s="342">
        <v>9110</v>
      </c>
      <c r="V386" s="342" t="s">
        <v>2099</v>
      </c>
      <c r="W386" s="342">
        <v>306655</v>
      </c>
      <c r="X386" s="342" t="s">
        <v>4988</v>
      </c>
      <c r="Y386" s="343">
        <v>42570</v>
      </c>
      <c r="Z386" s="342" t="s">
        <v>4063</v>
      </c>
      <c r="AA386" s="343">
        <v>44424</v>
      </c>
      <c r="AB386" s="342" t="s">
        <v>4064</v>
      </c>
      <c r="AC386" s="342" t="s">
        <v>4064</v>
      </c>
      <c r="AD386" s="342" t="s">
        <v>4065</v>
      </c>
      <c r="AI386" s="342" t="s">
        <v>4067</v>
      </c>
      <c r="AJ386" s="342" t="s">
        <v>6143</v>
      </c>
    </row>
    <row r="387" spans="1:36">
      <c r="A387" s="342">
        <v>311186</v>
      </c>
      <c r="B387" s="342" t="s">
        <v>1126</v>
      </c>
      <c r="C387" s="342" t="s">
        <v>1127</v>
      </c>
      <c r="D387" s="342">
        <v>93065</v>
      </c>
      <c r="E387" s="342" t="s">
        <v>159</v>
      </c>
      <c r="F387" s="342" t="s">
        <v>51</v>
      </c>
      <c r="G387" s="342" t="s">
        <v>1128</v>
      </c>
      <c r="H387" s="342" t="s">
        <v>591</v>
      </c>
      <c r="I387" s="342" t="s">
        <v>40</v>
      </c>
      <c r="J387" s="342" t="s">
        <v>4441</v>
      </c>
      <c r="K387" s="342" t="s">
        <v>1233</v>
      </c>
      <c r="L387" s="343">
        <v>45077</v>
      </c>
      <c r="M387" s="343">
        <v>44347</v>
      </c>
      <c r="O387" s="342" t="s">
        <v>4603</v>
      </c>
      <c r="P387" s="342" t="s">
        <v>4322</v>
      </c>
      <c r="Q387" s="342">
        <v>6116441609</v>
      </c>
      <c r="R387" s="342">
        <v>9110</v>
      </c>
      <c r="U387" s="342" t="s">
        <v>2062</v>
      </c>
      <c r="V387" s="342" t="s">
        <v>2099</v>
      </c>
      <c r="W387" s="342">
        <v>307516</v>
      </c>
      <c r="X387" s="342" t="s">
        <v>4996</v>
      </c>
      <c r="Y387" s="343">
        <v>43133</v>
      </c>
      <c r="Z387" s="342" t="s">
        <v>4063</v>
      </c>
      <c r="AA387" s="343">
        <v>44347</v>
      </c>
      <c r="AB387" s="342" t="s">
        <v>4064</v>
      </c>
      <c r="AC387" s="342" t="s">
        <v>4064</v>
      </c>
      <c r="AD387" s="342" t="s">
        <v>4065</v>
      </c>
      <c r="AI387" s="342" t="s">
        <v>4111</v>
      </c>
      <c r="AJ387" s="342" t="s">
        <v>5856</v>
      </c>
    </row>
    <row r="388" spans="1:36">
      <c r="A388" s="342">
        <v>311530</v>
      </c>
      <c r="B388" s="342" t="s">
        <v>1046</v>
      </c>
      <c r="C388" s="342" t="s">
        <v>1047</v>
      </c>
      <c r="D388" s="342" t="s">
        <v>1069</v>
      </c>
      <c r="E388" s="342" t="s">
        <v>1048</v>
      </c>
      <c r="F388" s="342" t="s">
        <v>1022</v>
      </c>
      <c r="H388" s="342" t="s">
        <v>591</v>
      </c>
      <c r="I388" s="342" t="s">
        <v>40</v>
      </c>
      <c r="J388" s="342" t="s">
        <v>5282</v>
      </c>
      <c r="K388" s="342" t="s">
        <v>1233</v>
      </c>
      <c r="L388" s="343">
        <v>45077</v>
      </c>
      <c r="M388" s="343">
        <v>44347</v>
      </c>
      <c r="O388" s="342" t="s">
        <v>4702</v>
      </c>
      <c r="P388" s="342" t="s">
        <v>4587</v>
      </c>
      <c r="Q388" s="342">
        <v>6135904981</v>
      </c>
      <c r="R388" s="342">
        <v>9110</v>
      </c>
      <c r="V388" s="342" t="s">
        <v>2099</v>
      </c>
      <c r="W388" s="342">
        <v>306776</v>
      </c>
      <c r="X388" s="342" t="s">
        <v>5340</v>
      </c>
      <c r="Y388" s="343">
        <v>42667</v>
      </c>
      <c r="Z388" s="342" t="s">
        <v>4063</v>
      </c>
      <c r="AA388" s="343">
        <v>44347</v>
      </c>
      <c r="AB388" s="342" t="s">
        <v>4064</v>
      </c>
      <c r="AC388" s="342" t="s">
        <v>4064</v>
      </c>
      <c r="AD388" s="342" t="s">
        <v>4065</v>
      </c>
      <c r="AI388" s="342" t="s">
        <v>4067</v>
      </c>
      <c r="AJ388" s="342" t="s">
        <v>5866</v>
      </c>
    </row>
    <row r="389" spans="1:36">
      <c r="A389" s="342">
        <v>311711</v>
      </c>
      <c r="B389" s="342" t="s">
        <v>1265</v>
      </c>
      <c r="C389" s="342" t="s">
        <v>1266</v>
      </c>
      <c r="D389" s="342">
        <v>35306</v>
      </c>
      <c r="E389" s="342" t="s">
        <v>1267</v>
      </c>
      <c r="F389" s="342" t="s">
        <v>47</v>
      </c>
      <c r="G389" s="342" t="s">
        <v>2020</v>
      </c>
      <c r="H389" s="342" t="s">
        <v>591</v>
      </c>
      <c r="I389" s="342" t="s">
        <v>40</v>
      </c>
      <c r="J389" s="342" t="s">
        <v>5280</v>
      </c>
      <c r="K389" s="342" t="s">
        <v>1233</v>
      </c>
      <c r="L389" s="343">
        <v>45382</v>
      </c>
      <c r="M389" s="343">
        <v>44467</v>
      </c>
      <c r="O389" s="342" t="s">
        <v>5623</v>
      </c>
      <c r="P389" s="342" t="s">
        <v>5438</v>
      </c>
      <c r="Q389" s="342">
        <v>6123305123</v>
      </c>
      <c r="R389" s="342">
        <v>9110</v>
      </c>
      <c r="V389" s="342" t="s">
        <v>2099</v>
      </c>
      <c r="W389" s="342">
        <v>306851</v>
      </c>
      <c r="X389" s="342" t="s">
        <v>4080</v>
      </c>
      <c r="Y389" s="343">
        <v>43489</v>
      </c>
      <c r="Z389" s="342" t="s">
        <v>4063</v>
      </c>
      <c r="AA389" s="343">
        <v>44467</v>
      </c>
      <c r="AB389" s="342" t="s">
        <v>4064</v>
      </c>
      <c r="AC389" s="342" t="s">
        <v>4064</v>
      </c>
      <c r="AD389" s="342" t="s">
        <v>4065</v>
      </c>
      <c r="AH389" s="342" t="s">
        <v>4168</v>
      </c>
      <c r="AI389" s="342" t="s">
        <v>4067</v>
      </c>
      <c r="AJ389" s="342" t="s">
        <v>5855</v>
      </c>
    </row>
    <row r="390" spans="1:36">
      <c r="A390" s="342">
        <v>311796</v>
      </c>
      <c r="B390" s="342" t="s">
        <v>1411</v>
      </c>
      <c r="C390" s="342" t="s">
        <v>1204</v>
      </c>
      <c r="D390" s="342">
        <v>30269</v>
      </c>
      <c r="E390" s="342" t="s">
        <v>1205</v>
      </c>
      <c r="F390" s="342" t="s">
        <v>51</v>
      </c>
      <c r="H390" s="342" t="s">
        <v>591</v>
      </c>
      <c r="I390" s="342" t="s">
        <v>737</v>
      </c>
      <c r="J390" s="342" t="s">
        <v>5449</v>
      </c>
      <c r="K390" s="342" t="s">
        <v>1402</v>
      </c>
      <c r="L390" s="343">
        <v>45350</v>
      </c>
      <c r="M390" s="343">
        <v>44434</v>
      </c>
      <c r="P390" s="342" t="s">
        <v>5835</v>
      </c>
      <c r="R390" s="342" t="s">
        <v>1581</v>
      </c>
      <c r="V390" s="342" t="s">
        <v>4062</v>
      </c>
      <c r="W390" s="342">
        <v>307771</v>
      </c>
      <c r="X390" s="342" t="s">
        <v>5523</v>
      </c>
      <c r="Y390" s="343">
        <v>43312</v>
      </c>
      <c r="Z390" s="342" t="s">
        <v>4063</v>
      </c>
      <c r="AA390" s="343">
        <v>44434</v>
      </c>
      <c r="AB390" s="342" t="s">
        <v>4064</v>
      </c>
      <c r="AC390" s="342" t="s">
        <v>4064</v>
      </c>
      <c r="AD390" s="342" t="s">
        <v>4065</v>
      </c>
      <c r="AI390" s="342" t="s">
        <v>4067</v>
      </c>
      <c r="AJ390" s="342" t="s">
        <v>6146</v>
      </c>
    </row>
    <row r="391" spans="1:36">
      <c r="A391" s="342">
        <v>311876</v>
      </c>
      <c r="B391" s="342" t="s">
        <v>1049</v>
      </c>
      <c r="C391" s="342" t="s">
        <v>1050</v>
      </c>
      <c r="D391" s="342">
        <v>67301</v>
      </c>
      <c r="E391" s="342" t="s">
        <v>1051</v>
      </c>
      <c r="F391" s="342" t="s">
        <v>51</v>
      </c>
      <c r="G391" s="342" t="s">
        <v>1052</v>
      </c>
      <c r="H391" s="342" t="s">
        <v>591</v>
      </c>
      <c r="I391" s="342" t="s">
        <v>40</v>
      </c>
      <c r="J391" s="342" t="s">
        <v>5450</v>
      </c>
      <c r="K391" s="342" t="s">
        <v>1233</v>
      </c>
      <c r="L391" s="343">
        <v>45077</v>
      </c>
      <c r="M391" s="343">
        <v>44705</v>
      </c>
      <c r="O391" s="342" t="s">
        <v>6064</v>
      </c>
      <c r="P391" s="342" t="s">
        <v>5098</v>
      </c>
      <c r="Q391" s="342">
        <v>6126050925</v>
      </c>
      <c r="R391" s="342">
        <v>9110</v>
      </c>
      <c r="U391" s="342" t="s">
        <v>2063</v>
      </c>
      <c r="V391" s="342" t="s">
        <v>2099</v>
      </c>
      <c r="W391" s="342">
        <v>306868</v>
      </c>
      <c r="X391" s="342" t="s">
        <v>5524</v>
      </c>
      <c r="Y391" s="343">
        <v>42713</v>
      </c>
      <c r="Z391" s="342" t="s">
        <v>4063</v>
      </c>
      <c r="AA391" s="343">
        <v>44705</v>
      </c>
      <c r="AB391" s="342" t="s">
        <v>4064</v>
      </c>
      <c r="AC391" s="342" t="s">
        <v>4064</v>
      </c>
      <c r="AD391" s="342" t="s">
        <v>4065</v>
      </c>
      <c r="AI391" s="342" t="s">
        <v>4111</v>
      </c>
      <c r="AJ391" s="342" t="s">
        <v>5884</v>
      </c>
    </row>
    <row r="392" spans="1:36">
      <c r="A392" s="342">
        <v>311909</v>
      </c>
      <c r="B392" s="342" t="s">
        <v>1053</v>
      </c>
      <c r="C392" s="342" t="s">
        <v>1054</v>
      </c>
      <c r="D392" s="342" t="s">
        <v>1055</v>
      </c>
      <c r="E392" s="342" t="s">
        <v>1056</v>
      </c>
      <c r="F392" s="342" t="s">
        <v>45</v>
      </c>
      <c r="H392" s="342" t="s">
        <v>591</v>
      </c>
      <c r="I392" s="342" t="s">
        <v>685</v>
      </c>
      <c r="J392" s="342" t="s">
        <v>4638</v>
      </c>
      <c r="L392" s="343">
        <v>45107</v>
      </c>
      <c r="M392" s="343">
        <v>44175</v>
      </c>
      <c r="O392" s="342" t="s">
        <v>4624</v>
      </c>
      <c r="P392" s="342" t="s">
        <v>1564</v>
      </c>
      <c r="Q392" s="342">
        <v>6114153083</v>
      </c>
      <c r="R392" s="342">
        <v>9100</v>
      </c>
      <c r="V392" s="342" t="s">
        <v>2152</v>
      </c>
      <c r="W392" s="342">
        <v>306893</v>
      </c>
      <c r="X392" s="342" t="s">
        <v>4989</v>
      </c>
      <c r="Y392" s="343">
        <v>42720</v>
      </c>
      <c r="Z392" s="342" t="s">
        <v>4063</v>
      </c>
      <c r="AA392" s="343">
        <v>44175</v>
      </c>
      <c r="AB392" s="342" t="s">
        <v>4064</v>
      </c>
      <c r="AC392" s="342" t="s">
        <v>4064</v>
      </c>
      <c r="AD392" s="342" t="s">
        <v>4065</v>
      </c>
      <c r="AI392" s="342" t="s">
        <v>4067</v>
      </c>
      <c r="AJ392" s="342" t="s">
        <v>5842</v>
      </c>
    </row>
    <row r="393" spans="1:36">
      <c r="A393" s="342">
        <v>312248</v>
      </c>
      <c r="B393" s="342" t="s">
        <v>1422</v>
      </c>
      <c r="C393" s="342" t="s">
        <v>1259</v>
      </c>
      <c r="D393" s="342">
        <v>8500</v>
      </c>
      <c r="E393" s="342" t="s">
        <v>1260</v>
      </c>
      <c r="F393" s="342" t="s">
        <v>118</v>
      </c>
      <c r="H393" s="342" t="s">
        <v>591</v>
      </c>
      <c r="I393" s="342" t="s">
        <v>40</v>
      </c>
      <c r="J393" s="342" t="s">
        <v>5278</v>
      </c>
      <c r="K393" s="342" t="s">
        <v>1233</v>
      </c>
      <c r="L393" s="343">
        <v>45596</v>
      </c>
      <c r="M393" s="343">
        <v>44629</v>
      </c>
      <c r="O393" s="342" t="s">
        <v>5039</v>
      </c>
      <c r="P393" s="342" t="s">
        <v>5227</v>
      </c>
      <c r="Q393" s="342">
        <v>6121612423</v>
      </c>
      <c r="R393" s="342">
        <v>9110</v>
      </c>
      <c r="U393" s="342" t="s">
        <v>2064</v>
      </c>
      <c r="V393" s="342" t="s">
        <v>2099</v>
      </c>
      <c r="W393" s="342">
        <v>307933</v>
      </c>
      <c r="X393" s="342" t="s">
        <v>5387</v>
      </c>
      <c r="Y393" s="343">
        <v>43474</v>
      </c>
      <c r="Z393" s="342" t="s">
        <v>4063</v>
      </c>
      <c r="AA393" s="343">
        <v>44629</v>
      </c>
      <c r="AB393" s="342" t="s">
        <v>4064</v>
      </c>
      <c r="AC393" s="342" t="s">
        <v>4064</v>
      </c>
      <c r="AD393" s="342" t="s">
        <v>4065</v>
      </c>
      <c r="AI393" s="342" t="s">
        <v>4111</v>
      </c>
      <c r="AJ393" s="342" t="s">
        <v>5855</v>
      </c>
    </row>
    <row r="394" spans="1:36">
      <c r="A394" s="342">
        <v>312649</v>
      </c>
      <c r="B394" s="342" t="s">
        <v>5200</v>
      </c>
      <c r="C394" s="342" t="s">
        <v>5201</v>
      </c>
      <c r="D394" s="342">
        <v>11111</v>
      </c>
      <c r="E394" s="342" t="s">
        <v>562</v>
      </c>
      <c r="F394" s="342" t="s">
        <v>549</v>
      </c>
      <c r="G394" s="342" t="s">
        <v>5202</v>
      </c>
      <c r="H394" s="342" t="s">
        <v>591</v>
      </c>
      <c r="I394" s="342" t="s">
        <v>749</v>
      </c>
      <c r="J394" s="342" t="s">
        <v>1510</v>
      </c>
      <c r="K394" s="342" t="s">
        <v>1233</v>
      </c>
      <c r="L394" s="343">
        <v>45339</v>
      </c>
      <c r="M394" s="343">
        <v>44609</v>
      </c>
      <c r="O394" s="342" t="s">
        <v>5211</v>
      </c>
      <c r="P394" s="342" t="s">
        <v>5214</v>
      </c>
      <c r="R394" s="342">
        <v>9110</v>
      </c>
      <c r="S394" s="342" t="s">
        <v>1571</v>
      </c>
      <c r="V394" s="342" t="s">
        <v>4062</v>
      </c>
      <c r="W394" s="342">
        <v>307019</v>
      </c>
      <c r="X394" s="342" t="s">
        <v>4988</v>
      </c>
      <c r="Y394" s="343">
        <v>44609</v>
      </c>
      <c r="Z394" s="342" t="s">
        <v>4063</v>
      </c>
      <c r="AA394" s="343">
        <v>44609</v>
      </c>
      <c r="AB394" s="342" t="s">
        <v>4064</v>
      </c>
      <c r="AC394" s="342" t="s">
        <v>4064</v>
      </c>
      <c r="AD394" s="342" t="s">
        <v>4065</v>
      </c>
      <c r="AI394" s="342" t="s">
        <v>4067</v>
      </c>
      <c r="AJ394" s="342" t="s">
        <v>6147</v>
      </c>
    </row>
    <row r="395" spans="1:36">
      <c r="A395" s="342">
        <v>313589</v>
      </c>
      <c r="B395" s="342" t="s">
        <v>1393</v>
      </c>
      <c r="C395" s="342" t="s">
        <v>1394</v>
      </c>
      <c r="D395" s="342">
        <v>644324</v>
      </c>
      <c r="E395" s="342" t="s">
        <v>380</v>
      </c>
      <c r="F395" s="342" t="s">
        <v>381</v>
      </c>
      <c r="G395" s="342" t="s">
        <v>2019</v>
      </c>
      <c r="H395" s="342" t="s">
        <v>591</v>
      </c>
      <c r="I395" s="342" t="s">
        <v>40</v>
      </c>
      <c r="J395" s="342" t="s">
        <v>5449</v>
      </c>
      <c r="K395" s="342" t="s">
        <v>1402</v>
      </c>
      <c r="L395" s="343">
        <v>45350</v>
      </c>
      <c r="M395" s="343">
        <v>44434</v>
      </c>
      <c r="O395" s="342" t="s">
        <v>4703</v>
      </c>
      <c r="P395" s="342" t="s">
        <v>4676</v>
      </c>
      <c r="Q395" s="342">
        <v>6137745562</v>
      </c>
      <c r="R395" s="342">
        <v>9110</v>
      </c>
      <c r="V395" s="342" t="s">
        <v>2099</v>
      </c>
      <c r="W395" s="342">
        <v>307214</v>
      </c>
      <c r="X395" s="342" t="s">
        <v>5523</v>
      </c>
      <c r="Y395" s="343">
        <v>42902</v>
      </c>
      <c r="Z395" s="342" t="s">
        <v>4063</v>
      </c>
      <c r="AA395" s="343">
        <v>44434</v>
      </c>
      <c r="AB395" s="342" t="s">
        <v>4064</v>
      </c>
      <c r="AC395" s="342" t="s">
        <v>4064</v>
      </c>
      <c r="AD395" s="342" t="s">
        <v>4065</v>
      </c>
      <c r="AI395" s="342" t="s">
        <v>4067</v>
      </c>
      <c r="AJ395" s="342" t="s">
        <v>5854</v>
      </c>
    </row>
    <row r="396" spans="1:36">
      <c r="A396" s="342">
        <v>313831</v>
      </c>
      <c r="B396" s="342" t="s">
        <v>1163</v>
      </c>
      <c r="C396" s="342" t="s">
        <v>1164</v>
      </c>
      <c r="D396" s="342">
        <v>486164</v>
      </c>
      <c r="E396" s="342" t="s">
        <v>336</v>
      </c>
      <c r="F396" s="342" t="s">
        <v>337</v>
      </c>
      <c r="G396" s="342" t="s">
        <v>1165</v>
      </c>
      <c r="H396" s="342" t="s">
        <v>591</v>
      </c>
      <c r="I396" s="342" t="s">
        <v>40</v>
      </c>
      <c r="J396" s="342" t="s">
        <v>1288</v>
      </c>
      <c r="K396" s="342" t="s">
        <v>1233</v>
      </c>
      <c r="L396" s="343">
        <v>45229</v>
      </c>
      <c r="M396" s="343">
        <v>44509</v>
      </c>
      <c r="O396" s="342" t="s">
        <v>5467</v>
      </c>
      <c r="P396" s="342" t="s">
        <v>1565</v>
      </c>
      <c r="Q396" s="342">
        <v>6153005066</v>
      </c>
      <c r="R396" s="342">
        <v>9110</v>
      </c>
      <c r="V396" s="342" t="s">
        <v>2099</v>
      </c>
      <c r="W396" s="342">
        <v>307631</v>
      </c>
      <c r="X396" s="342" t="s">
        <v>4992</v>
      </c>
      <c r="Y396" s="343">
        <v>43200</v>
      </c>
      <c r="Z396" s="342" t="s">
        <v>4063</v>
      </c>
      <c r="AA396" s="343">
        <v>44509</v>
      </c>
      <c r="AB396" s="342" t="s">
        <v>4064</v>
      </c>
      <c r="AC396" s="342" t="s">
        <v>4064</v>
      </c>
      <c r="AD396" s="342" t="s">
        <v>4065</v>
      </c>
      <c r="AI396" s="342" t="s">
        <v>4067</v>
      </c>
      <c r="AJ396" s="342" t="s">
        <v>5866</v>
      </c>
    </row>
    <row r="397" spans="1:36">
      <c r="A397" s="342">
        <v>313897</v>
      </c>
      <c r="B397" s="342" t="s">
        <v>1057</v>
      </c>
      <c r="C397" s="342" t="s">
        <v>1058</v>
      </c>
      <c r="D397" s="342" t="s">
        <v>1059</v>
      </c>
      <c r="E397" s="342" t="s">
        <v>788</v>
      </c>
      <c r="F397" s="342" t="s">
        <v>45</v>
      </c>
      <c r="G397" s="342" t="s">
        <v>1060</v>
      </c>
      <c r="H397" s="342" t="s">
        <v>591</v>
      </c>
      <c r="I397" s="342" t="s">
        <v>40</v>
      </c>
      <c r="J397" s="342" t="s">
        <v>5449</v>
      </c>
      <c r="L397" s="343">
        <v>45199</v>
      </c>
      <c r="M397" s="343">
        <v>44074</v>
      </c>
      <c r="O397" s="342" t="s">
        <v>5072</v>
      </c>
      <c r="P397" s="342" t="s">
        <v>5099</v>
      </c>
      <c r="Q397" s="342">
        <v>6115717088</v>
      </c>
      <c r="R397" s="342">
        <v>9110</v>
      </c>
      <c r="U397" s="342" t="s">
        <v>5333</v>
      </c>
      <c r="V397" s="342" t="s">
        <v>2099</v>
      </c>
      <c r="W397" s="342">
        <v>307219</v>
      </c>
      <c r="X397" s="342" t="s">
        <v>5523</v>
      </c>
      <c r="Y397" s="343">
        <v>42907</v>
      </c>
      <c r="Z397" s="342" t="s">
        <v>4063</v>
      </c>
      <c r="AA397" s="343">
        <v>44074</v>
      </c>
      <c r="AB397" s="342" t="s">
        <v>4064</v>
      </c>
      <c r="AC397" s="342" t="s">
        <v>4064</v>
      </c>
      <c r="AD397" s="342" t="s">
        <v>4065</v>
      </c>
      <c r="AI397" s="342" t="s">
        <v>4067</v>
      </c>
      <c r="AJ397" s="342" t="s">
        <v>5847</v>
      </c>
    </row>
    <row r="398" spans="1:36">
      <c r="A398" s="342">
        <v>313936</v>
      </c>
      <c r="B398" s="342" t="s">
        <v>1061</v>
      </c>
      <c r="C398" s="342" t="s">
        <v>1062</v>
      </c>
      <c r="D398" s="342" t="s">
        <v>1063</v>
      </c>
      <c r="E398" s="342" t="s">
        <v>1064</v>
      </c>
      <c r="F398" s="342" t="s">
        <v>45</v>
      </c>
      <c r="G398" s="342" t="s">
        <v>1065</v>
      </c>
      <c r="H398" s="342" t="s">
        <v>591</v>
      </c>
      <c r="I398" s="342" t="s">
        <v>40</v>
      </c>
      <c r="J398" s="342" t="s">
        <v>5450</v>
      </c>
      <c r="K398" s="342" t="s">
        <v>1233</v>
      </c>
      <c r="L398" s="343">
        <v>45077</v>
      </c>
      <c r="M398" s="343">
        <v>44705</v>
      </c>
      <c r="O398" s="342" t="s">
        <v>4945</v>
      </c>
      <c r="P398" s="342" t="s">
        <v>5023</v>
      </c>
      <c r="R398" s="342" t="s">
        <v>1581</v>
      </c>
      <c r="U398" s="342" t="s">
        <v>2065</v>
      </c>
      <c r="V398" s="342" t="s">
        <v>2099</v>
      </c>
      <c r="W398" s="342">
        <v>307202</v>
      </c>
      <c r="X398" s="342" t="s">
        <v>5524</v>
      </c>
      <c r="Y398" s="343">
        <v>42888</v>
      </c>
      <c r="Z398" s="342" t="s">
        <v>4063</v>
      </c>
      <c r="AA398" s="343">
        <v>44705</v>
      </c>
      <c r="AB398" s="342" t="s">
        <v>4064</v>
      </c>
      <c r="AC398" s="342" t="s">
        <v>4064</v>
      </c>
      <c r="AD398" s="342" t="s">
        <v>4065</v>
      </c>
      <c r="AI398" s="342" t="s">
        <v>4111</v>
      </c>
      <c r="AJ398" s="342" t="s">
        <v>5890</v>
      </c>
    </row>
    <row r="399" spans="1:36">
      <c r="A399" s="342">
        <v>314059</v>
      </c>
      <c r="B399" s="342" t="s">
        <v>1094</v>
      </c>
      <c r="C399" s="342" t="s">
        <v>1095</v>
      </c>
      <c r="D399" s="342" t="s">
        <v>1096</v>
      </c>
      <c r="E399" s="342" t="s">
        <v>1097</v>
      </c>
      <c r="F399" s="342" t="s">
        <v>45</v>
      </c>
      <c r="G399" s="342" t="s">
        <v>1098</v>
      </c>
      <c r="H399" s="342" t="s">
        <v>591</v>
      </c>
      <c r="I399" s="342" t="s">
        <v>43</v>
      </c>
      <c r="J399" s="342" t="s">
        <v>1421</v>
      </c>
      <c r="K399" s="342" t="s">
        <v>1233</v>
      </c>
      <c r="L399" s="343">
        <v>44834</v>
      </c>
      <c r="M399" s="343">
        <v>44650</v>
      </c>
      <c r="O399" s="342" t="s">
        <v>6065</v>
      </c>
      <c r="R399" s="342">
        <v>9110</v>
      </c>
      <c r="S399" s="342" t="s">
        <v>1571</v>
      </c>
      <c r="V399" s="342" t="s">
        <v>4130</v>
      </c>
      <c r="W399" s="342">
        <v>307331</v>
      </c>
      <c r="X399" s="342" t="s">
        <v>4991</v>
      </c>
      <c r="Y399" s="343">
        <v>42996</v>
      </c>
      <c r="Z399" s="342" t="s">
        <v>4063</v>
      </c>
      <c r="AA399" s="343">
        <v>44650</v>
      </c>
      <c r="AB399" s="342" t="s">
        <v>4064</v>
      </c>
      <c r="AC399" s="342" t="s">
        <v>4064</v>
      </c>
      <c r="AD399" s="342" t="s">
        <v>4065</v>
      </c>
      <c r="AI399" s="342" t="s">
        <v>4067</v>
      </c>
      <c r="AJ399" s="342" t="s">
        <v>5844</v>
      </c>
    </row>
    <row r="400" spans="1:36">
      <c r="A400" s="342">
        <v>314094</v>
      </c>
      <c r="B400" s="342" t="s">
        <v>1089</v>
      </c>
      <c r="C400" s="342" t="s">
        <v>1090</v>
      </c>
      <c r="D400" s="342">
        <v>1022</v>
      </c>
      <c r="E400" s="342" t="s">
        <v>1091</v>
      </c>
      <c r="F400" s="342" t="s">
        <v>51</v>
      </c>
      <c r="H400" s="342" t="s">
        <v>591</v>
      </c>
      <c r="I400" s="342" t="s">
        <v>43</v>
      </c>
      <c r="J400" s="342" t="s">
        <v>1421</v>
      </c>
      <c r="K400" s="342" t="s">
        <v>1402</v>
      </c>
      <c r="L400" s="343">
        <v>44895</v>
      </c>
      <c r="M400" s="343">
        <v>44687</v>
      </c>
      <c r="O400" s="342" t="s">
        <v>1500</v>
      </c>
      <c r="R400" s="342" t="s">
        <v>1580</v>
      </c>
      <c r="V400" s="342" t="s">
        <v>4130</v>
      </c>
      <c r="W400" s="342">
        <v>307318</v>
      </c>
      <c r="X400" s="342" t="s">
        <v>4991</v>
      </c>
      <c r="Y400" s="343">
        <v>42985</v>
      </c>
      <c r="Z400" s="342" t="s">
        <v>4063</v>
      </c>
      <c r="AA400" s="343">
        <v>44687</v>
      </c>
      <c r="AB400" s="342" t="s">
        <v>4064</v>
      </c>
      <c r="AC400" s="342" t="s">
        <v>4064</v>
      </c>
      <c r="AD400" s="342" t="s">
        <v>4065</v>
      </c>
      <c r="AI400" s="342" t="s">
        <v>4067</v>
      </c>
      <c r="AJ400" s="342" t="s">
        <v>5858</v>
      </c>
    </row>
    <row r="401" spans="1:36">
      <c r="A401" s="342">
        <v>314403</v>
      </c>
      <c r="B401" s="342" t="s">
        <v>1085</v>
      </c>
      <c r="C401" s="342" t="s">
        <v>1086</v>
      </c>
      <c r="E401" s="342" t="s">
        <v>1087</v>
      </c>
      <c r="F401" s="342" t="s">
        <v>1088</v>
      </c>
      <c r="H401" s="342" t="s">
        <v>591</v>
      </c>
      <c r="I401" s="342" t="s">
        <v>40</v>
      </c>
      <c r="J401" s="342" t="s">
        <v>5450</v>
      </c>
      <c r="L401" s="343">
        <v>44926</v>
      </c>
      <c r="M401" s="343">
        <v>44186</v>
      </c>
      <c r="O401" s="342" t="s">
        <v>5468</v>
      </c>
      <c r="P401" s="342" t="s">
        <v>5100</v>
      </c>
      <c r="Q401" s="342">
        <v>6120135066</v>
      </c>
      <c r="R401" s="342">
        <v>9110</v>
      </c>
      <c r="V401" s="342" t="s">
        <v>2099</v>
      </c>
      <c r="W401" s="342">
        <v>307309</v>
      </c>
      <c r="X401" s="342" t="s">
        <v>5524</v>
      </c>
      <c r="Y401" s="343">
        <v>42977</v>
      </c>
      <c r="Z401" s="342" t="s">
        <v>5891</v>
      </c>
      <c r="AA401" s="343">
        <v>44743</v>
      </c>
      <c r="AB401" s="342" t="s">
        <v>4064</v>
      </c>
      <c r="AC401" s="342" t="s">
        <v>4064</v>
      </c>
      <c r="AD401" s="342" t="s">
        <v>4065</v>
      </c>
      <c r="AI401" s="342" t="s">
        <v>4067</v>
      </c>
      <c r="AJ401" s="342" t="s">
        <v>6148</v>
      </c>
    </row>
    <row r="402" spans="1:36">
      <c r="A402" s="342">
        <v>316391</v>
      </c>
      <c r="B402" s="342" t="s">
        <v>1159</v>
      </c>
      <c r="C402" s="342" t="s">
        <v>1160</v>
      </c>
      <c r="D402" s="342">
        <v>67152</v>
      </c>
      <c r="E402" s="342" t="s">
        <v>1161</v>
      </c>
      <c r="F402" s="342" t="s">
        <v>51</v>
      </c>
      <c r="G402" s="342">
        <v>26101</v>
      </c>
      <c r="H402" s="342" t="s">
        <v>591</v>
      </c>
      <c r="I402" s="342" t="s">
        <v>40</v>
      </c>
      <c r="J402" s="342" t="s">
        <v>1288</v>
      </c>
      <c r="K402" s="342" t="s">
        <v>1402</v>
      </c>
      <c r="L402" s="343">
        <v>45230</v>
      </c>
      <c r="M402" s="343">
        <v>44490</v>
      </c>
      <c r="O402" s="342" t="s">
        <v>5624</v>
      </c>
      <c r="P402" s="342" t="s">
        <v>5836</v>
      </c>
      <c r="Q402" s="342">
        <v>6116595306</v>
      </c>
      <c r="R402" s="342">
        <v>9110</v>
      </c>
      <c r="V402" s="342" t="s">
        <v>2099</v>
      </c>
      <c r="W402" s="342">
        <v>307620</v>
      </c>
      <c r="X402" s="342" t="s">
        <v>4992</v>
      </c>
      <c r="Y402" s="343">
        <v>43186</v>
      </c>
      <c r="Z402" s="342" t="s">
        <v>4063</v>
      </c>
      <c r="AA402" s="343">
        <v>44490</v>
      </c>
      <c r="AB402" s="342" t="s">
        <v>4064</v>
      </c>
      <c r="AC402" s="342" t="s">
        <v>4064</v>
      </c>
      <c r="AD402" s="342" t="s">
        <v>4065</v>
      </c>
      <c r="AI402" s="342" t="s">
        <v>4067</v>
      </c>
      <c r="AJ402" s="342" t="s">
        <v>5867</v>
      </c>
    </row>
    <row r="403" spans="1:36">
      <c r="A403" s="342">
        <v>316791</v>
      </c>
      <c r="B403" s="342" t="s">
        <v>1398</v>
      </c>
      <c r="C403" s="342" t="s">
        <v>1399</v>
      </c>
      <c r="D403" s="342">
        <v>13760</v>
      </c>
      <c r="E403" s="342" t="s">
        <v>1400</v>
      </c>
      <c r="F403" s="342" t="s">
        <v>51</v>
      </c>
      <c r="G403" s="342" t="s">
        <v>1401</v>
      </c>
      <c r="H403" s="342" t="s">
        <v>591</v>
      </c>
      <c r="I403" s="342" t="s">
        <v>737</v>
      </c>
      <c r="J403" s="342" t="s">
        <v>1277</v>
      </c>
      <c r="K403" s="342" t="s">
        <v>1233</v>
      </c>
      <c r="L403" s="343">
        <v>44864</v>
      </c>
      <c r="M403" s="343">
        <v>44510</v>
      </c>
      <c r="R403" s="342" t="s">
        <v>1581</v>
      </c>
      <c r="V403" s="342" t="s">
        <v>4062</v>
      </c>
      <c r="W403" s="342">
        <v>307904</v>
      </c>
      <c r="X403" s="342" t="s">
        <v>4990</v>
      </c>
      <c r="Y403" s="343">
        <v>43802</v>
      </c>
      <c r="Z403" s="342" t="s">
        <v>4063</v>
      </c>
      <c r="AA403" s="343">
        <v>44510</v>
      </c>
      <c r="AB403" s="342" t="s">
        <v>4064</v>
      </c>
      <c r="AC403" s="342" t="s">
        <v>4064</v>
      </c>
      <c r="AD403" s="342" t="s">
        <v>4065</v>
      </c>
      <c r="AI403" s="342" t="s">
        <v>4067</v>
      </c>
      <c r="AJ403" s="342" t="s">
        <v>6149</v>
      </c>
    </row>
    <row r="404" spans="1:36">
      <c r="A404" s="342">
        <v>316849</v>
      </c>
      <c r="B404" s="342" t="s">
        <v>1143</v>
      </c>
      <c r="C404" s="342" t="s">
        <v>1144</v>
      </c>
      <c r="D404" s="342" t="s">
        <v>1145</v>
      </c>
      <c r="E404" s="342" t="s">
        <v>1146</v>
      </c>
      <c r="F404" s="342" t="s">
        <v>107</v>
      </c>
      <c r="G404" s="342" t="s">
        <v>1147</v>
      </c>
      <c r="H404" s="342" t="s">
        <v>591</v>
      </c>
      <c r="I404" s="342" t="s">
        <v>40</v>
      </c>
      <c r="J404" s="342" t="s">
        <v>4441</v>
      </c>
      <c r="K404" s="342" t="s">
        <v>1233</v>
      </c>
      <c r="L404" s="343">
        <v>45077</v>
      </c>
      <c r="M404" s="343">
        <v>44347</v>
      </c>
      <c r="O404" s="342" t="s">
        <v>1502</v>
      </c>
      <c r="P404" s="342" t="s">
        <v>4575</v>
      </c>
      <c r="Q404" s="342">
        <v>6110655705</v>
      </c>
      <c r="R404" s="342">
        <v>9110</v>
      </c>
      <c r="U404" s="342" t="s">
        <v>2066</v>
      </c>
      <c r="V404" s="342" t="s">
        <v>2099</v>
      </c>
      <c r="W404" s="342">
        <v>307514</v>
      </c>
      <c r="X404" s="342" t="s">
        <v>4996</v>
      </c>
      <c r="Y404" s="343">
        <v>43133</v>
      </c>
      <c r="Z404" s="342" t="s">
        <v>4063</v>
      </c>
      <c r="AA404" s="343">
        <v>44347</v>
      </c>
      <c r="AB404" s="342" t="s">
        <v>4064</v>
      </c>
      <c r="AC404" s="342" t="s">
        <v>4064</v>
      </c>
      <c r="AD404" s="342" t="s">
        <v>4065</v>
      </c>
      <c r="AI404" s="342" t="s">
        <v>4111</v>
      </c>
      <c r="AJ404" s="342" t="s">
        <v>5935</v>
      </c>
    </row>
    <row r="405" spans="1:36">
      <c r="A405" s="342">
        <v>316979</v>
      </c>
      <c r="B405" s="342" t="s">
        <v>965</v>
      </c>
      <c r="C405" s="342" t="s">
        <v>1407</v>
      </c>
      <c r="D405" s="342">
        <v>31270</v>
      </c>
      <c r="E405" s="342" t="s">
        <v>1408</v>
      </c>
      <c r="F405" s="342" t="s">
        <v>47</v>
      </c>
      <c r="G405" s="342" t="s">
        <v>1409</v>
      </c>
      <c r="H405" s="342" t="s">
        <v>591</v>
      </c>
      <c r="I405" s="342" t="s">
        <v>41</v>
      </c>
      <c r="J405" s="342" t="s">
        <v>786</v>
      </c>
      <c r="K405" s="342" t="s">
        <v>1402</v>
      </c>
      <c r="L405" s="343">
        <v>44957</v>
      </c>
      <c r="M405" s="343">
        <v>44579</v>
      </c>
      <c r="O405" s="342" t="s">
        <v>5296</v>
      </c>
      <c r="P405" s="342" t="s">
        <v>4894</v>
      </c>
      <c r="Q405" s="342">
        <v>6148493667</v>
      </c>
      <c r="R405" s="342">
        <v>9110</v>
      </c>
      <c r="V405" s="342" t="s">
        <v>2217</v>
      </c>
      <c r="W405" s="342">
        <v>307501</v>
      </c>
      <c r="X405" s="342" t="s">
        <v>5250</v>
      </c>
      <c r="Y405" s="343">
        <v>43812</v>
      </c>
      <c r="Z405" s="342" t="s">
        <v>4063</v>
      </c>
      <c r="AA405" s="343">
        <v>44579</v>
      </c>
      <c r="AB405" s="342" t="s">
        <v>4064</v>
      </c>
      <c r="AC405" s="342" t="s">
        <v>4064</v>
      </c>
      <c r="AD405" s="342" t="s">
        <v>4065</v>
      </c>
      <c r="AI405" s="342" t="s">
        <v>4067</v>
      </c>
      <c r="AJ405" s="342" t="s">
        <v>5867</v>
      </c>
    </row>
    <row r="406" spans="1:36">
      <c r="A406" s="342">
        <v>317041</v>
      </c>
      <c r="B406" s="342" t="s">
        <v>1148</v>
      </c>
      <c r="C406" s="342" t="s">
        <v>1149</v>
      </c>
      <c r="D406" s="342">
        <v>93011</v>
      </c>
      <c r="E406" s="342" t="s">
        <v>1150</v>
      </c>
      <c r="F406" s="342" t="s">
        <v>51</v>
      </c>
      <c r="G406" s="342">
        <v>95270</v>
      </c>
      <c r="H406" s="342" t="s">
        <v>591</v>
      </c>
      <c r="I406" s="342" t="s">
        <v>40</v>
      </c>
      <c r="J406" s="342" t="s">
        <v>5449</v>
      </c>
      <c r="K406" s="342" t="s">
        <v>1402</v>
      </c>
      <c r="L406" s="343">
        <v>45350</v>
      </c>
      <c r="M406" s="343">
        <v>44434</v>
      </c>
      <c r="O406" s="342" t="s">
        <v>5301</v>
      </c>
      <c r="P406" s="342" t="s">
        <v>4542</v>
      </c>
      <c r="Q406" s="342">
        <v>6120673722</v>
      </c>
      <c r="R406" s="342">
        <v>9110</v>
      </c>
      <c r="U406" s="342" t="s">
        <v>2067</v>
      </c>
      <c r="V406" s="342" t="s">
        <v>2099</v>
      </c>
      <c r="W406" s="342">
        <v>307518</v>
      </c>
      <c r="X406" s="342" t="s">
        <v>5523</v>
      </c>
      <c r="Y406" s="343">
        <v>43133</v>
      </c>
      <c r="Z406" s="342" t="s">
        <v>4063</v>
      </c>
      <c r="AA406" s="343">
        <v>44434</v>
      </c>
      <c r="AB406" s="342" t="s">
        <v>4064</v>
      </c>
      <c r="AC406" s="342" t="s">
        <v>4064</v>
      </c>
      <c r="AD406" s="342" t="s">
        <v>4065</v>
      </c>
      <c r="AI406" s="342" t="s">
        <v>4067</v>
      </c>
      <c r="AJ406" s="342" t="s">
        <v>5867</v>
      </c>
    </row>
    <row r="407" spans="1:36">
      <c r="A407" s="342">
        <v>317124</v>
      </c>
      <c r="B407" s="342" t="s">
        <v>5254</v>
      </c>
      <c r="C407" s="342" t="s">
        <v>5255</v>
      </c>
      <c r="D407" s="342">
        <v>34912</v>
      </c>
      <c r="E407" s="342" t="s">
        <v>5256</v>
      </c>
      <c r="F407" s="342" t="s">
        <v>5257</v>
      </c>
      <c r="G407" s="342" t="s">
        <v>5258</v>
      </c>
      <c r="H407" s="342" t="s">
        <v>591</v>
      </c>
      <c r="I407" s="342" t="s">
        <v>40</v>
      </c>
      <c r="J407" s="342" t="s">
        <v>1288</v>
      </c>
      <c r="K407" s="342" t="s">
        <v>1233</v>
      </c>
      <c r="L407" s="343">
        <v>45199</v>
      </c>
      <c r="M407" s="343">
        <v>44642</v>
      </c>
      <c r="O407" s="342" t="s">
        <v>5302</v>
      </c>
      <c r="P407" s="342" t="s">
        <v>5266</v>
      </c>
      <c r="Q407" s="342">
        <v>6147635167</v>
      </c>
      <c r="R407" s="342">
        <v>9110</v>
      </c>
      <c r="V407" s="342" t="s">
        <v>2099</v>
      </c>
      <c r="W407" s="342">
        <v>309653</v>
      </c>
      <c r="X407" s="342" t="s">
        <v>4992</v>
      </c>
      <c r="Y407" s="343">
        <v>44638</v>
      </c>
      <c r="Z407" s="342" t="s">
        <v>4063</v>
      </c>
      <c r="AA407" s="343">
        <v>44642</v>
      </c>
      <c r="AB407" s="342" t="s">
        <v>4064</v>
      </c>
      <c r="AC407" s="342" t="s">
        <v>4064</v>
      </c>
      <c r="AD407" s="342" t="s">
        <v>4065</v>
      </c>
      <c r="AI407" s="342" t="s">
        <v>4067</v>
      </c>
      <c r="AJ407" s="342" t="s">
        <v>5887</v>
      </c>
    </row>
    <row r="408" spans="1:36">
      <c r="A408" s="342">
        <v>317378</v>
      </c>
      <c r="B408" s="342" t="s">
        <v>1215</v>
      </c>
      <c r="C408" s="342" t="s">
        <v>1216</v>
      </c>
      <c r="D408" s="342" t="s">
        <v>1217</v>
      </c>
      <c r="E408" s="342" t="s">
        <v>1218</v>
      </c>
      <c r="F408" s="342" t="s">
        <v>45</v>
      </c>
      <c r="G408" s="342" t="s">
        <v>1219</v>
      </c>
      <c r="H408" s="342" t="s">
        <v>591</v>
      </c>
      <c r="I408" s="342" t="s">
        <v>40</v>
      </c>
      <c r="J408" s="342" t="s">
        <v>5278</v>
      </c>
      <c r="K408" s="342" t="s">
        <v>1402</v>
      </c>
      <c r="L408" s="343">
        <v>45443</v>
      </c>
      <c r="M408" s="343">
        <v>44337</v>
      </c>
      <c r="O408" s="342" t="s">
        <v>5349</v>
      </c>
      <c r="P408" s="342" t="s">
        <v>4878</v>
      </c>
      <c r="Q408" s="342">
        <v>6142679487</v>
      </c>
      <c r="R408" s="342">
        <v>9110</v>
      </c>
      <c r="U408" s="342" t="s">
        <v>5383</v>
      </c>
      <c r="V408" s="342" t="s">
        <v>2099</v>
      </c>
      <c r="W408" s="342">
        <v>307701</v>
      </c>
      <c r="X408" s="342" t="s">
        <v>5387</v>
      </c>
      <c r="Y408" s="343">
        <v>43361</v>
      </c>
      <c r="Z408" s="342" t="s">
        <v>4063</v>
      </c>
      <c r="AA408" s="343">
        <v>44337</v>
      </c>
      <c r="AB408" s="342" t="s">
        <v>4064</v>
      </c>
      <c r="AC408" s="342" t="s">
        <v>4064</v>
      </c>
      <c r="AD408" s="342" t="s">
        <v>4065</v>
      </c>
      <c r="AH408" s="342" t="s">
        <v>4171</v>
      </c>
      <c r="AI408" s="342" t="s">
        <v>4067</v>
      </c>
      <c r="AJ408" s="342" t="s">
        <v>5858</v>
      </c>
    </row>
    <row r="409" spans="1:36">
      <c r="A409" s="342">
        <v>317423</v>
      </c>
      <c r="B409" s="342" t="s">
        <v>4422</v>
      </c>
      <c r="C409" s="342" t="s">
        <v>1153</v>
      </c>
      <c r="D409" s="342" t="s">
        <v>1154</v>
      </c>
      <c r="E409" s="342" t="s">
        <v>1155</v>
      </c>
      <c r="F409" s="342" t="s">
        <v>45</v>
      </c>
      <c r="H409" s="342" t="s">
        <v>591</v>
      </c>
      <c r="I409" s="342" t="s">
        <v>40</v>
      </c>
      <c r="J409" s="342" t="s">
        <v>5449</v>
      </c>
      <c r="K409" s="342" t="s">
        <v>1402</v>
      </c>
      <c r="L409" s="343">
        <v>45350</v>
      </c>
      <c r="M409" s="343">
        <v>44434</v>
      </c>
      <c r="O409" s="342" t="s">
        <v>5240</v>
      </c>
      <c r="P409" s="342" t="s">
        <v>4676</v>
      </c>
      <c r="Q409" s="342">
        <v>6140989483</v>
      </c>
      <c r="R409" s="342">
        <v>9110</v>
      </c>
      <c r="V409" s="342" t="s">
        <v>2099</v>
      </c>
      <c r="W409" s="342">
        <v>307617</v>
      </c>
      <c r="X409" s="342" t="s">
        <v>5523</v>
      </c>
      <c r="Y409" s="343">
        <v>43179</v>
      </c>
      <c r="Z409" s="342" t="s">
        <v>4063</v>
      </c>
      <c r="AA409" s="343">
        <v>44434</v>
      </c>
      <c r="AB409" s="342" t="s">
        <v>4064</v>
      </c>
      <c r="AC409" s="342" t="s">
        <v>4064</v>
      </c>
      <c r="AD409" s="342" t="s">
        <v>4065</v>
      </c>
      <c r="AI409" s="342" t="s">
        <v>4067</v>
      </c>
      <c r="AJ409" s="342" t="s">
        <v>5871</v>
      </c>
    </row>
    <row r="410" spans="1:36">
      <c r="A410" s="342">
        <v>317750</v>
      </c>
      <c r="B410" s="342" t="s">
        <v>1180</v>
      </c>
      <c r="C410" s="342" t="s">
        <v>1181</v>
      </c>
      <c r="D410" s="342">
        <v>33166</v>
      </c>
      <c r="E410" s="342" t="s">
        <v>1182</v>
      </c>
      <c r="F410" s="342" t="s">
        <v>51</v>
      </c>
      <c r="G410" s="342" t="s">
        <v>1183</v>
      </c>
      <c r="H410" s="342" t="s">
        <v>591</v>
      </c>
      <c r="I410" s="342" t="s">
        <v>41</v>
      </c>
      <c r="J410" s="342" t="s">
        <v>1510</v>
      </c>
      <c r="K410" s="342" t="s">
        <v>1233</v>
      </c>
      <c r="L410" s="343">
        <v>45657</v>
      </c>
      <c r="M410" s="343">
        <v>44742</v>
      </c>
      <c r="O410" s="342" t="s">
        <v>4631</v>
      </c>
      <c r="P410" s="342" t="s">
        <v>4634</v>
      </c>
      <c r="Q410" s="342">
        <v>6153318902</v>
      </c>
      <c r="R410" s="342">
        <v>9110</v>
      </c>
      <c r="V410" s="342" t="s">
        <v>2217</v>
      </c>
      <c r="W410" s="342">
        <v>307705</v>
      </c>
      <c r="X410" s="342" t="s">
        <v>4988</v>
      </c>
      <c r="Y410" s="343">
        <v>43256</v>
      </c>
      <c r="Z410" s="342" t="s">
        <v>4063</v>
      </c>
      <c r="AA410" s="343">
        <v>44742</v>
      </c>
      <c r="AB410" s="342" t="s">
        <v>4064</v>
      </c>
      <c r="AC410" s="342" t="s">
        <v>4064</v>
      </c>
      <c r="AD410" s="342" t="s">
        <v>4065</v>
      </c>
      <c r="AI410" s="342" t="s">
        <v>4067</v>
      </c>
      <c r="AJ410" s="342" t="s">
        <v>5855</v>
      </c>
    </row>
    <row r="411" spans="1:36">
      <c r="A411" s="342">
        <v>317753</v>
      </c>
      <c r="B411" s="342" t="s">
        <v>1506</v>
      </c>
      <c r="C411" s="342" t="s">
        <v>1507</v>
      </c>
      <c r="D411" s="342" t="s">
        <v>1508</v>
      </c>
      <c r="E411" s="342" t="s">
        <v>1167</v>
      </c>
      <c r="F411" s="342" t="s">
        <v>45</v>
      </c>
      <c r="H411" s="342" t="s">
        <v>591</v>
      </c>
      <c r="I411" s="342" t="s">
        <v>41</v>
      </c>
      <c r="J411" s="342" t="s">
        <v>1288</v>
      </c>
      <c r="K411" s="342" t="s">
        <v>1402</v>
      </c>
      <c r="L411" s="343">
        <v>44926</v>
      </c>
      <c r="M411" s="343">
        <v>44547</v>
      </c>
      <c r="O411" s="342" t="s">
        <v>5154</v>
      </c>
      <c r="P411" s="342" t="s">
        <v>2519</v>
      </c>
      <c r="Q411" s="342">
        <v>6152621182</v>
      </c>
      <c r="R411" s="342">
        <v>9110</v>
      </c>
      <c r="V411" s="342" t="s">
        <v>2217</v>
      </c>
      <c r="W411" s="342">
        <v>307637</v>
      </c>
      <c r="X411" s="342" t="s">
        <v>4992</v>
      </c>
      <c r="Y411" s="343">
        <v>43292</v>
      </c>
      <c r="Z411" s="342" t="s">
        <v>4063</v>
      </c>
      <c r="AA411" s="343">
        <v>44547</v>
      </c>
      <c r="AB411" s="342" t="s">
        <v>4064</v>
      </c>
      <c r="AC411" s="342" t="s">
        <v>4064</v>
      </c>
      <c r="AD411" s="342" t="s">
        <v>4065</v>
      </c>
      <c r="AI411" s="342" t="s">
        <v>4067</v>
      </c>
      <c r="AJ411" s="342" t="s">
        <v>5864</v>
      </c>
    </row>
    <row r="412" spans="1:36">
      <c r="A412" s="342">
        <v>318065</v>
      </c>
      <c r="B412" s="342" t="s">
        <v>1302</v>
      </c>
      <c r="C412" s="342" t="s">
        <v>1303</v>
      </c>
      <c r="D412" s="342">
        <v>67209</v>
      </c>
      <c r="E412" s="342" t="s">
        <v>218</v>
      </c>
      <c r="F412" s="342" t="s">
        <v>51</v>
      </c>
      <c r="G412" s="342" t="s">
        <v>1304</v>
      </c>
      <c r="H412" s="342" t="s">
        <v>591</v>
      </c>
      <c r="I412" s="342" t="s">
        <v>40</v>
      </c>
      <c r="J412" s="342" t="s">
        <v>5282</v>
      </c>
      <c r="K412" s="342" t="s">
        <v>1233</v>
      </c>
      <c r="L412" s="343">
        <v>45077</v>
      </c>
      <c r="M412" s="343">
        <v>44526</v>
      </c>
      <c r="O412" s="342" t="s">
        <v>6066</v>
      </c>
      <c r="P412" s="342" t="s">
        <v>5817</v>
      </c>
      <c r="Q412" s="342">
        <v>6124122062</v>
      </c>
      <c r="R412" s="342">
        <v>9110</v>
      </c>
      <c r="V412" s="342" t="s">
        <v>2099</v>
      </c>
      <c r="W412" s="342">
        <v>307681</v>
      </c>
      <c r="X412" s="342" t="s">
        <v>5340</v>
      </c>
      <c r="Y412" s="343">
        <v>43531</v>
      </c>
      <c r="Z412" s="342" t="s">
        <v>4063</v>
      </c>
      <c r="AA412" s="343">
        <v>44526</v>
      </c>
      <c r="AB412" s="342" t="s">
        <v>4064</v>
      </c>
      <c r="AC412" s="342" t="s">
        <v>4064</v>
      </c>
      <c r="AD412" s="342" t="s">
        <v>4065</v>
      </c>
      <c r="AI412" s="342" t="s">
        <v>4111</v>
      </c>
      <c r="AJ412" s="342" t="s">
        <v>5844</v>
      </c>
    </row>
    <row r="413" spans="1:36">
      <c r="A413" s="342">
        <v>319140</v>
      </c>
      <c r="B413" s="342" t="s">
        <v>4651</v>
      </c>
      <c r="C413" s="342" t="s">
        <v>4652</v>
      </c>
      <c r="D413" s="342">
        <v>32822</v>
      </c>
      <c r="E413" s="342" t="s">
        <v>4653</v>
      </c>
      <c r="F413" s="342" t="s">
        <v>51</v>
      </c>
      <c r="H413" s="342" t="s">
        <v>591</v>
      </c>
      <c r="I413" s="342" t="s">
        <v>40</v>
      </c>
      <c r="J413" s="342" t="s">
        <v>5283</v>
      </c>
      <c r="K413" s="342" t="s">
        <v>1233</v>
      </c>
      <c r="L413" s="343">
        <v>45229</v>
      </c>
      <c r="M413" s="343">
        <v>44470</v>
      </c>
      <c r="O413" s="342" t="s">
        <v>5223</v>
      </c>
      <c r="P413" s="342" t="s">
        <v>4664</v>
      </c>
      <c r="Q413" s="342">
        <v>6147290366</v>
      </c>
      <c r="R413" s="342">
        <v>9110</v>
      </c>
      <c r="U413" s="342" t="s">
        <v>4668</v>
      </c>
      <c r="V413" s="342" t="s">
        <v>2099</v>
      </c>
      <c r="W413" s="342">
        <v>309394</v>
      </c>
      <c r="X413" s="342" t="s">
        <v>5388</v>
      </c>
      <c r="Y413" s="343">
        <v>44438</v>
      </c>
      <c r="Z413" s="342" t="s">
        <v>4063</v>
      </c>
      <c r="AA413" s="343">
        <v>44470</v>
      </c>
      <c r="AB413" s="342" t="s">
        <v>4064</v>
      </c>
      <c r="AC413" s="342" t="s">
        <v>4064</v>
      </c>
      <c r="AD413" s="342" t="s">
        <v>4065</v>
      </c>
      <c r="AI413" s="342" t="s">
        <v>4067</v>
      </c>
      <c r="AJ413" s="342" t="s">
        <v>5887</v>
      </c>
    </row>
    <row r="414" spans="1:36">
      <c r="A414" s="342">
        <v>319735</v>
      </c>
      <c r="B414" s="342" t="s">
        <v>5030</v>
      </c>
      <c r="C414" s="342" t="s">
        <v>5031</v>
      </c>
      <c r="D414" s="342">
        <v>27105</v>
      </c>
      <c r="E414" s="342" t="s">
        <v>5032</v>
      </c>
      <c r="F414" s="342" t="s">
        <v>51</v>
      </c>
      <c r="G414" s="342" t="s">
        <v>5033</v>
      </c>
      <c r="H414" s="342" t="s">
        <v>591</v>
      </c>
      <c r="I414" s="342" t="s">
        <v>40</v>
      </c>
      <c r="J414" s="342" t="s">
        <v>5282</v>
      </c>
      <c r="K414" s="342" t="s">
        <v>1402</v>
      </c>
      <c r="L414" s="343">
        <v>45382</v>
      </c>
      <c r="M414" s="343">
        <v>44651</v>
      </c>
      <c r="O414" s="342" t="s">
        <v>5040</v>
      </c>
      <c r="P414" s="342" t="s">
        <v>5496</v>
      </c>
      <c r="Q414" s="342">
        <v>6121201960</v>
      </c>
      <c r="R414" s="342">
        <v>9100</v>
      </c>
      <c r="V414" s="342" t="s">
        <v>2099</v>
      </c>
      <c r="W414" s="342">
        <v>307882</v>
      </c>
      <c r="X414" s="342" t="s">
        <v>4104</v>
      </c>
      <c r="Y414" s="343">
        <v>44571</v>
      </c>
      <c r="Z414" s="342" t="s">
        <v>4063</v>
      </c>
      <c r="AA414" s="343">
        <v>44651</v>
      </c>
      <c r="AB414" s="342" t="s">
        <v>4064</v>
      </c>
      <c r="AC414" s="342" t="s">
        <v>4064</v>
      </c>
      <c r="AD414" s="342" t="s">
        <v>4065</v>
      </c>
      <c r="AH414" s="342" t="s">
        <v>4115</v>
      </c>
      <c r="AI414" s="342" t="s">
        <v>4067</v>
      </c>
      <c r="AJ414" s="342" t="s">
        <v>5861</v>
      </c>
    </row>
    <row r="415" spans="1:36">
      <c r="A415" s="342">
        <v>321538</v>
      </c>
      <c r="B415" s="342" t="s">
        <v>1273</v>
      </c>
      <c r="C415" s="342" t="s">
        <v>1274</v>
      </c>
      <c r="D415" s="342">
        <v>4210</v>
      </c>
      <c r="E415" s="342" t="s">
        <v>1511</v>
      </c>
      <c r="F415" s="342" t="s">
        <v>1275</v>
      </c>
      <c r="H415" s="342" t="s">
        <v>591</v>
      </c>
      <c r="I415" s="342" t="s">
        <v>41</v>
      </c>
      <c r="J415" s="342" t="s">
        <v>1510</v>
      </c>
      <c r="L415" s="343">
        <v>44957</v>
      </c>
      <c r="M415" s="343">
        <v>44218</v>
      </c>
      <c r="O415" s="342" t="s">
        <v>1276</v>
      </c>
      <c r="R415" s="342">
        <v>9110</v>
      </c>
      <c r="S415" s="342" t="s">
        <v>1571</v>
      </c>
      <c r="V415" s="342" t="s">
        <v>2217</v>
      </c>
      <c r="W415" s="342">
        <v>307959</v>
      </c>
      <c r="X415" s="342" t="s">
        <v>4988</v>
      </c>
      <c r="Y415" s="343">
        <v>43494</v>
      </c>
      <c r="Z415" s="342" t="s">
        <v>4063</v>
      </c>
      <c r="AA415" s="343">
        <v>44218</v>
      </c>
      <c r="AB415" s="342" t="s">
        <v>4064</v>
      </c>
      <c r="AC415" s="342" t="s">
        <v>4064</v>
      </c>
      <c r="AD415" s="342" t="s">
        <v>4065</v>
      </c>
      <c r="AI415" s="342" t="s">
        <v>4067</v>
      </c>
      <c r="AJ415" s="342" t="s">
        <v>5973</v>
      </c>
    </row>
    <row r="416" spans="1:36">
      <c r="A416" s="342">
        <v>323306</v>
      </c>
      <c r="B416" s="342" t="s">
        <v>1471</v>
      </c>
      <c r="C416" s="342" t="s">
        <v>1472</v>
      </c>
      <c r="D416" s="342" t="s">
        <v>1473</v>
      </c>
      <c r="E416" s="342" t="s">
        <v>1474</v>
      </c>
      <c r="F416" s="342" t="s">
        <v>45</v>
      </c>
      <c r="G416" s="342" t="s">
        <v>1429</v>
      </c>
      <c r="H416" s="342" t="s">
        <v>591</v>
      </c>
      <c r="I416" s="342" t="s">
        <v>1114</v>
      </c>
      <c r="J416" s="342" t="s">
        <v>1288</v>
      </c>
      <c r="L416" s="343">
        <v>44957</v>
      </c>
      <c r="M416" s="343">
        <v>44221</v>
      </c>
      <c r="P416" s="342" t="s">
        <v>5101</v>
      </c>
      <c r="Q416" s="342">
        <v>6122258242</v>
      </c>
      <c r="R416" s="342">
        <v>9120</v>
      </c>
      <c r="V416" s="342" t="s">
        <v>2131</v>
      </c>
      <c r="W416" s="342">
        <v>308585</v>
      </c>
      <c r="X416" s="342" t="s">
        <v>4992</v>
      </c>
      <c r="Y416" s="343">
        <v>43838</v>
      </c>
      <c r="Z416" s="342" t="s">
        <v>4063</v>
      </c>
      <c r="AA416" s="343">
        <v>44221</v>
      </c>
      <c r="AB416" s="342" t="s">
        <v>4064</v>
      </c>
      <c r="AC416" s="342" t="s">
        <v>4064</v>
      </c>
      <c r="AD416" s="342" t="s">
        <v>4065</v>
      </c>
      <c r="AI416" s="342" t="s">
        <v>4067</v>
      </c>
      <c r="AJ416" s="342" t="s">
        <v>5846</v>
      </c>
    </row>
    <row r="417" spans="1:36">
      <c r="A417" s="342">
        <v>323416</v>
      </c>
      <c r="B417" s="342" t="s">
        <v>1333</v>
      </c>
      <c r="C417" s="342" t="s">
        <v>1334</v>
      </c>
      <c r="D417" s="342">
        <v>33025</v>
      </c>
      <c r="E417" s="342" t="s">
        <v>236</v>
      </c>
      <c r="F417" s="342" t="s">
        <v>51</v>
      </c>
      <c r="G417" s="342" t="s">
        <v>1335</v>
      </c>
      <c r="H417" s="342" t="s">
        <v>591</v>
      </c>
      <c r="I417" s="342" t="s">
        <v>40</v>
      </c>
      <c r="J417" s="342" t="s">
        <v>5282</v>
      </c>
      <c r="K417" s="342" t="s">
        <v>1402</v>
      </c>
      <c r="L417" s="343">
        <v>45412</v>
      </c>
      <c r="M417" s="343">
        <v>44673</v>
      </c>
      <c r="O417" s="342" t="s">
        <v>5625</v>
      </c>
      <c r="P417" s="342" t="s">
        <v>1566</v>
      </c>
      <c r="Q417" s="342">
        <v>6114841502</v>
      </c>
      <c r="R417" s="342">
        <v>9110</v>
      </c>
      <c r="U417" s="342" t="s">
        <v>2068</v>
      </c>
      <c r="V417" s="342" t="s">
        <v>2099</v>
      </c>
      <c r="W417" s="342">
        <v>308224</v>
      </c>
      <c r="X417" s="342" t="s">
        <v>5340</v>
      </c>
      <c r="Y417" s="343">
        <v>43663</v>
      </c>
      <c r="Z417" s="342" t="s">
        <v>4063</v>
      </c>
      <c r="AA417" s="343">
        <v>44673</v>
      </c>
      <c r="AB417" s="342" t="s">
        <v>4064</v>
      </c>
      <c r="AC417" s="342" t="s">
        <v>4064</v>
      </c>
      <c r="AD417" s="342" t="s">
        <v>4065</v>
      </c>
      <c r="AI417" s="342" t="s">
        <v>4111</v>
      </c>
      <c r="AJ417" s="342" t="s">
        <v>5854</v>
      </c>
    </row>
    <row r="418" spans="1:36">
      <c r="A418" s="342">
        <v>323974</v>
      </c>
      <c r="B418" s="342" t="s">
        <v>1356</v>
      </c>
      <c r="C418" s="342" t="s">
        <v>1357</v>
      </c>
      <c r="D418" s="342">
        <v>40200</v>
      </c>
      <c r="E418" s="342" t="s">
        <v>1358</v>
      </c>
      <c r="F418" s="342" t="s">
        <v>558</v>
      </c>
      <c r="G418" s="342" t="s">
        <v>1359</v>
      </c>
      <c r="H418" s="342" t="s">
        <v>591</v>
      </c>
      <c r="I418" s="342" t="s">
        <v>40</v>
      </c>
      <c r="J418" s="342" t="s">
        <v>1510</v>
      </c>
      <c r="K418" s="342" t="s">
        <v>1233</v>
      </c>
      <c r="L418" s="343">
        <v>45229</v>
      </c>
      <c r="M418" s="343">
        <v>44585</v>
      </c>
      <c r="O418" s="342" t="s">
        <v>5626</v>
      </c>
      <c r="P418" s="342" t="s">
        <v>2520</v>
      </c>
      <c r="Q418" s="342">
        <v>6146438624</v>
      </c>
      <c r="R418" s="342">
        <v>9110</v>
      </c>
      <c r="U418" s="342" t="s">
        <v>5182</v>
      </c>
      <c r="V418" s="342" t="s">
        <v>2099</v>
      </c>
      <c r="W418" s="342">
        <v>308340</v>
      </c>
      <c r="X418" s="342" t="s">
        <v>4988</v>
      </c>
      <c r="Y418" s="343">
        <v>43740</v>
      </c>
      <c r="Z418" s="342" t="s">
        <v>4063</v>
      </c>
      <c r="AA418" s="343">
        <v>44585</v>
      </c>
      <c r="AB418" s="342" t="s">
        <v>4064</v>
      </c>
      <c r="AC418" s="342" t="s">
        <v>4064</v>
      </c>
      <c r="AD418" s="342" t="s">
        <v>4065</v>
      </c>
      <c r="AI418" s="342" t="s">
        <v>4067</v>
      </c>
      <c r="AJ418" s="342" t="s">
        <v>5888</v>
      </c>
    </row>
    <row r="419" spans="1:36">
      <c r="A419" s="342">
        <v>324051</v>
      </c>
      <c r="B419" s="342" t="s">
        <v>1369</v>
      </c>
      <c r="C419" s="342" t="s">
        <v>1360</v>
      </c>
      <c r="D419" s="342">
        <v>3079</v>
      </c>
      <c r="E419" s="342" t="s">
        <v>1361</v>
      </c>
      <c r="F419" s="342" t="s">
        <v>1362</v>
      </c>
      <c r="H419" s="342" t="s">
        <v>591</v>
      </c>
      <c r="I419" s="342" t="s">
        <v>41</v>
      </c>
      <c r="J419" s="342" t="s">
        <v>4638</v>
      </c>
      <c r="K419" s="342" t="s">
        <v>1402</v>
      </c>
      <c r="L419" s="343">
        <v>44895</v>
      </c>
      <c r="M419" s="343">
        <v>44676</v>
      </c>
      <c r="O419" s="342" t="s">
        <v>4704</v>
      </c>
      <c r="P419" s="342" t="s">
        <v>4980</v>
      </c>
      <c r="Q419" s="342">
        <v>6144217685</v>
      </c>
      <c r="R419" s="342">
        <v>9110</v>
      </c>
      <c r="V419" s="342" t="s">
        <v>2217</v>
      </c>
      <c r="W419" s="342">
        <v>308363</v>
      </c>
      <c r="X419" s="342" t="s">
        <v>4989</v>
      </c>
      <c r="Y419" s="343">
        <v>43759</v>
      </c>
      <c r="Z419" s="342" t="s">
        <v>4063</v>
      </c>
      <c r="AA419" s="343">
        <v>44676</v>
      </c>
      <c r="AB419" s="342" t="s">
        <v>4064</v>
      </c>
      <c r="AC419" s="342" t="s">
        <v>4064</v>
      </c>
      <c r="AD419" s="342" t="s">
        <v>4065</v>
      </c>
      <c r="AI419" s="342" t="s">
        <v>4067</v>
      </c>
      <c r="AJ419" s="342" t="s">
        <v>5975</v>
      </c>
    </row>
    <row r="420" spans="1:36">
      <c r="A420" s="342">
        <v>324140</v>
      </c>
      <c r="B420" s="342" t="s">
        <v>1370</v>
      </c>
      <c r="C420" s="342" t="s">
        <v>1371</v>
      </c>
      <c r="D420" s="342">
        <v>1185</v>
      </c>
      <c r="E420" s="342" t="s">
        <v>1372</v>
      </c>
      <c r="F420" s="342" t="s">
        <v>1373</v>
      </c>
      <c r="H420" s="342" t="s">
        <v>591</v>
      </c>
      <c r="I420" s="342" t="s">
        <v>41</v>
      </c>
      <c r="J420" s="342" t="s">
        <v>4638</v>
      </c>
      <c r="K420" s="342" t="s">
        <v>1402</v>
      </c>
      <c r="L420" s="343">
        <v>44895</v>
      </c>
      <c r="M420" s="343">
        <v>44676</v>
      </c>
      <c r="O420" s="342" t="s">
        <v>2022</v>
      </c>
      <c r="P420" s="342" t="s">
        <v>4980</v>
      </c>
      <c r="Q420" s="342">
        <v>6144217423</v>
      </c>
      <c r="R420" s="342">
        <v>9110</v>
      </c>
      <c r="V420" s="342" t="s">
        <v>2217</v>
      </c>
      <c r="W420" s="342">
        <v>308374</v>
      </c>
      <c r="X420" s="342" t="s">
        <v>4989</v>
      </c>
      <c r="Y420" s="343">
        <v>43767</v>
      </c>
      <c r="Z420" s="342" t="s">
        <v>4063</v>
      </c>
      <c r="AA420" s="343">
        <v>44676</v>
      </c>
      <c r="AB420" s="342" t="s">
        <v>4064</v>
      </c>
      <c r="AC420" s="342" t="s">
        <v>4064</v>
      </c>
      <c r="AD420" s="342" t="s">
        <v>4065</v>
      </c>
      <c r="AI420" s="342" t="s">
        <v>4067</v>
      </c>
      <c r="AJ420" s="342" t="s">
        <v>6150</v>
      </c>
    </row>
    <row r="421" spans="1:36">
      <c r="A421" s="342">
        <v>325267</v>
      </c>
      <c r="B421" s="342" t="s">
        <v>1412</v>
      </c>
      <c r="C421" s="342" t="s">
        <v>1467</v>
      </c>
      <c r="D421" s="342">
        <v>11415</v>
      </c>
      <c r="E421" s="342" t="s">
        <v>1416</v>
      </c>
      <c r="F421" s="342" t="s">
        <v>1413</v>
      </c>
      <c r="G421" s="342" t="s">
        <v>1414</v>
      </c>
      <c r="H421" s="342" t="s">
        <v>591</v>
      </c>
      <c r="I421" s="342" t="s">
        <v>41</v>
      </c>
      <c r="J421" s="342" t="s">
        <v>4608</v>
      </c>
      <c r="K421" s="342" t="s">
        <v>1233</v>
      </c>
      <c r="L421" s="343">
        <v>45473</v>
      </c>
      <c r="M421" s="343">
        <v>44725</v>
      </c>
      <c r="O421" s="342" t="s">
        <v>5627</v>
      </c>
      <c r="P421" s="342" t="s">
        <v>5837</v>
      </c>
      <c r="Q421" s="342">
        <v>6152246347</v>
      </c>
      <c r="R421" s="342">
        <v>9110</v>
      </c>
      <c r="V421" s="342" t="s">
        <v>2217</v>
      </c>
      <c r="W421" s="342">
        <v>308596</v>
      </c>
      <c r="X421" s="342" t="s">
        <v>4993</v>
      </c>
      <c r="Y421" s="343">
        <v>43844</v>
      </c>
      <c r="Z421" s="342" t="s">
        <v>4063</v>
      </c>
      <c r="AA421" s="343">
        <v>44725</v>
      </c>
      <c r="AB421" s="342" t="s">
        <v>4064</v>
      </c>
      <c r="AC421" s="342" t="s">
        <v>4064</v>
      </c>
      <c r="AD421" s="342" t="s">
        <v>4065</v>
      </c>
      <c r="AI421" s="342" t="s">
        <v>4067</v>
      </c>
      <c r="AJ421" s="342" t="s">
        <v>5844</v>
      </c>
    </row>
    <row r="422" spans="1:36">
      <c r="A422" s="342">
        <v>325331</v>
      </c>
      <c r="B422" s="342" t="s">
        <v>1445</v>
      </c>
      <c r="C422" s="342" t="s">
        <v>1446</v>
      </c>
      <c r="D422" s="342">
        <v>2189</v>
      </c>
      <c r="E422" s="342" t="s">
        <v>1447</v>
      </c>
      <c r="F422" s="342" t="s">
        <v>1448</v>
      </c>
      <c r="G422" s="342" t="s">
        <v>1449</v>
      </c>
      <c r="H422" s="342" t="s">
        <v>591</v>
      </c>
      <c r="I422" s="342" t="s">
        <v>685</v>
      </c>
      <c r="J422" s="342" t="s">
        <v>1421</v>
      </c>
      <c r="K422" s="342" t="s">
        <v>1233</v>
      </c>
      <c r="L422" s="343">
        <v>45169</v>
      </c>
      <c r="M422" s="343">
        <v>44414</v>
      </c>
      <c r="O422" s="342" t="s">
        <v>1450</v>
      </c>
      <c r="P422" s="342" t="s">
        <v>4646</v>
      </c>
      <c r="Q422" s="342">
        <v>6154323721</v>
      </c>
      <c r="R422" s="342">
        <v>9100</v>
      </c>
      <c r="V422" s="342" t="s">
        <v>2152</v>
      </c>
      <c r="W422" s="342">
        <v>308675</v>
      </c>
      <c r="X422" s="342" t="s">
        <v>4991</v>
      </c>
      <c r="Y422" s="343">
        <v>43895</v>
      </c>
      <c r="Z422" s="342" t="s">
        <v>4063</v>
      </c>
      <c r="AA422" s="343">
        <v>44414</v>
      </c>
      <c r="AB422" s="342" t="s">
        <v>4064</v>
      </c>
      <c r="AC422" s="342" t="s">
        <v>4064</v>
      </c>
      <c r="AD422" s="342" t="s">
        <v>4065</v>
      </c>
      <c r="AI422" s="342" t="s">
        <v>4067</v>
      </c>
      <c r="AJ422" s="342" t="s">
        <v>6151</v>
      </c>
    </row>
    <row r="423" spans="1:36">
      <c r="A423" s="342">
        <v>325804</v>
      </c>
      <c r="B423" s="342" t="s">
        <v>705</v>
      </c>
      <c r="C423" s="342" t="s">
        <v>4342</v>
      </c>
      <c r="D423" s="342">
        <v>33773</v>
      </c>
      <c r="E423" s="342" t="s">
        <v>4343</v>
      </c>
      <c r="F423" s="342" t="s">
        <v>51</v>
      </c>
      <c r="G423" s="342" t="s">
        <v>4344</v>
      </c>
      <c r="H423" s="342" t="s">
        <v>591</v>
      </c>
      <c r="I423" s="342" t="s">
        <v>40</v>
      </c>
      <c r="J423" s="342" t="s">
        <v>5281</v>
      </c>
      <c r="K423" s="342" t="s">
        <v>1233</v>
      </c>
      <c r="L423" s="343">
        <v>45077</v>
      </c>
      <c r="M423" s="343">
        <v>44754</v>
      </c>
      <c r="O423" s="342" t="s">
        <v>6067</v>
      </c>
      <c r="P423" s="342" t="s">
        <v>5053</v>
      </c>
      <c r="Q423" s="342">
        <v>6153568163</v>
      </c>
      <c r="R423" s="342">
        <v>9100</v>
      </c>
      <c r="V423" s="342" t="s">
        <v>2099</v>
      </c>
      <c r="W423" s="342">
        <v>308601</v>
      </c>
      <c r="X423" s="342" t="s">
        <v>5389</v>
      </c>
      <c r="Y423" s="343">
        <v>44239</v>
      </c>
      <c r="Z423" s="342" t="s">
        <v>4063</v>
      </c>
      <c r="AA423" s="343">
        <v>44754</v>
      </c>
      <c r="AB423" s="342" t="s">
        <v>4064</v>
      </c>
      <c r="AC423" s="342" t="s">
        <v>4064</v>
      </c>
      <c r="AD423" s="342" t="s">
        <v>4065</v>
      </c>
      <c r="AI423" s="342" t="s">
        <v>4067</v>
      </c>
      <c r="AJ423" s="342" t="s">
        <v>5873</v>
      </c>
    </row>
    <row r="424" spans="1:36">
      <c r="A424" s="342">
        <v>325878</v>
      </c>
      <c r="B424" s="342" t="s">
        <v>1453</v>
      </c>
      <c r="C424" s="342" t="s">
        <v>1454</v>
      </c>
      <c r="D424" s="342">
        <v>727522</v>
      </c>
      <c r="E424" s="342" t="s">
        <v>336</v>
      </c>
      <c r="F424" s="342" t="s">
        <v>337</v>
      </c>
      <c r="H424" s="342" t="s">
        <v>591</v>
      </c>
      <c r="I424" s="342" t="s">
        <v>40</v>
      </c>
      <c r="J424" s="342" t="s">
        <v>5279</v>
      </c>
      <c r="K424" s="342" t="s">
        <v>1402</v>
      </c>
      <c r="L424" s="343">
        <v>45473</v>
      </c>
      <c r="M424" s="343">
        <v>44364</v>
      </c>
      <c r="O424" s="342" t="s">
        <v>5469</v>
      </c>
      <c r="P424" s="342" t="s">
        <v>4409</v>
      </c>
      <c r="Q424" s="342">
        <v>6154226886</v>
      </c>
      <c r="R424" s="342">
        <v>9110</v>
      </c>
      <c r="V424" s="342" t="s">
        <v>2099</v>
      </c>
      <c r="W424" s="342">
        <v>308679</v>
      </c>
      <c r="X424" s="342" t="s">
        <v>5386</v>
      </c>
      <c r="Y424" s="343">
        <v>43900</v>
      </c>
      <c r="Z424" s="342" t="s">
        <v>4063</v>
      </c>
      <c r="AA424" s="343">
        <v>44364</v>
      </c>
      <c r="AB424" s="342" t="s">
        <v>4064</v>
      </c>
      <c r="AC424" s="342" t="s">
        <v>4064</v>
      </c>
      <c r="AD424" s="342" t="s">
        <v>4065</v>
      </c>
      <c r="AI424" s="342" t="s">
        <v>4067</v>
      </c>
      <c r="AJ424" s="342" t="s">
        <v>5850</v>
      </c>
    </row>
    <row r="425" spans="1:36">
      <c r="A425" s="342">
        <v>325909</v>
      </c>
      <c r="B425" s="342" t="s">
        <v>746</v>
      </c>
      <c r="C425" s="342" t="s">
        <v>1484</v>
      </c>
      <c r="D425" s="342">
        <v>75015</v>
      </c>
      <c r="E425" s="342" t="s">
        <v>1485</v>
      </c>
      <c r="F425" s="342" t="s">
        <v>47</v>
      </c>
      <c r="G425" s="342" t="s">
        <v>2020</v>
      </c>
      <c r="H425" s="342" t="s">
        <v>591</v>
      </c>
      <c r="I425" s="342" t="s">
        <v>737</v>
      </c>
      <c r="J425" s="342" t="s">
        <v>5280</v>
      </c>
      <c r="K425" s="342" t="s">
        <v>1233</v>
      </c>
      <c r="L425" s="343">
        <v>45382</v>
      </c>
      <c r="M425" s="343">
        <v>44467</v>
      </c>
      <c r="O425" s="342" t="s">
        <v>1070</v>
      </c>
      <c r="P425" s="342" t="s">
        <v>5838</v>
      </c>
      <c r="Q425" s="342">
        <v>6123305123</v>
      </c>
      <c r="R425" s="342" t="s">
        <v>1580</v>
      </c>
      <c r="V425" s="342" t="s">
        <v>4062</v>
      </c>
      <c r="W425" s="342">
        <v>308783</v>
      </c>
      <c r="X425" s="342" t="s">
        <v>4080</v>
      </c>
      <c r="Y425" s="343">
        <v>44013</v>
      </c>
      <c r="Z425" s="342" t="s">
        <v>4063</v>
      </c>
      <c r="AA425" s="343">
        <v>44467</v>
      </c>
      <c r="AB425" s="342" t="s">
        <v>4064</v>
      </c>
      <c r="AC425" s="342" t="s">
        <v>4064</v>
      </c>
      <c r="AD425" s="342" t="s">
        <v>4065</v>
      </c>
      <c r="AI425" s="342" t="s">
        <v>4067</v>
      </c>
      <c r="AJ425" s="342" t="s">
        <v>6108</v>
      </c>
    </row>
    <row r="426" spans="1:36">
      <c r="A426" s="342">
        <v>326373</v>
      </c>
      <c r="B426" s="342" t="s">
        <v>1455</v>
      </c>
      <c r="C426" s="342" t="s">
        <v>1456</v>
      </c>
      <c r="D426" s="342">
        <v>797440</v>
      </c>
      <c r="E426" s="342" t="s">
        <v>336</v>
      </c>
      <c r="F426" s="342" t="s">
        <v>337</v>
      </c>
      <c r="G426" s="342" t="s">
        <v>1457</v>
      </c>
      <c r="H426" s="342" t="s">
        <v>591</v>
      </c>
      <c r="I426" s="342" t="s">
        <v>40</v>
      </c>
      <c r="J426" s="342" t="s">
        <v>1288</v>
      </c>
      <c r="K426" s="342" t="s">
        <v>1402</v>
      </c>
      <c r="L426" s="343">
        <v>45716</v>
      </c>
      <c r="M426" s="343">
        <v>44620</v>
      </c>
      <c r="O426" s="342" t="s">
        <v>5204</v>
      </c>
      <c r="P426" s="342" t="s">
        <v>4410</v>
      </c>
      <c r="Q426" s="342">
        <v>6154227063</v>
      </c>
      <c r="R426" s="342">
        <v>9110</v>
      </c>
      <c r="V426" s="342" t="s">
        <v>2099</v>
      </c>
      <c r="W426" s="342">
        <v>308687</v>
      </c>
      <c r="X426" s="342" t="s">
        <v>4992</v>
      </c>
      <c r="Y426" s="343">
        <v>43900</v>
      </c>
      <c r="Z426" s="342" t="s">
        <v>4063</v>
      </c>
      <c r="AA426" s="343">
        <v>44620</v>
      </c>
      <c r="AB426" s="342" t="s">
        <v>4064</v>
      </c>
      <c r="AC426" s="342" t="s">
        <v>4064</v>
      </c>
      <c r="AD426" s="342" t="s">
        <v>4065</v>
      </c>
      <c r="AI426" s="342" t="s">
        <v>4067</v>
      </c>
      <c r="AJ426" s="342" t="s">
        <v>5847</v>
      </c>
    </row>
    <row r="427" spans="1:36">
      <c r="A427" s="342">
        <v>326668</v>
      </c>
      <c r="B427" s="342" t="s">
        <v>1479</v>
      </c>
      <c r="C427" s="342" t="s">
        <v>1480</v>
      </c>
      <c r="D427" s="342" t="s">
        <v>2512</v>
      </c>
      <c r="E427" s="342" t="s">
        <v>1481</v>
      </c>
      <c r="F427" s="342" t="s">
        <v>51</v>
      </c>
      <c r="G427" s="342" t="s">
        <v>1482</v>
      </c>
      <c r="H427" s="342" t="s">
        <v>591</v>
      </c>
      <c r="I427" s="342" t="s">
        <v>40</v>
      </c>
      <c r="J427" s="342" t="s">
        <v>4441</v>
      </c>
      <c r="K427" s="342" t="s">
        <v>1233</v>
      </c>
      <c r="L427" s="343">
        <v>45077</v>
      </c>
      <c r="M427" s="343">
        <v>44347</v>
      </c>
      <c r="O427" s="342" t="s">
        <v>1486</v>
      </c>
      <c r="P427" s="342" t="s">
        <v>4426</v>
      </c>
      <c r="Q427" s="342">
        <v>6110651822</v>
      </c>
      <c r="R427" s="342">
        <v>9110</v>
      </c>
      <c r="U427" s="342" t="s">
        <v>2069</v>
      </c>
      <c r="V427" s="342" t="s">
        <v>2099</v>
      </c>
      <c r="W427" s="342">
        <v>308768</v>
      </c>
      <c r="X427" s="342" t="s">
        <v>4996</v>
      </c>
      <c r="Y427" s="343">
        <v>43997</v>
      </c>
      <c r="Z427" s="342" t="s">
        <v>4063</v>
      </c>
      <c r="AA427" s="343">
        <v>44347</v>
      </c>
      <c r="AB427" s="342" t="s">
        <v>4064</v>
      </c>
      <c r="AC427" s="342" t="s">
        <v>4064</v>
      </c>
      <c r="AD427" s="342" t="s">
        <v>4065</v>
      </c>
      <c r="AI427" s="342" t="s">
        <v>4067</v>
      </c>
      <c r="AJ427" s="342" t="s">
        <v>5935</v>
      </c>
    </row>
    <row r="428" spans="1:36">
      <c r="A428" s="342">
        <v>327040</v>
      </c>
      <c r="B428" s="342" t="s">
        <v>1465</v>
      </c>
      <c r="C428" s="342" t="s">
        <v>1466</v>
      </c>
      <c r="D428" s="342">
        <v>38125</v>
      </c>
      <c r="E428" s="342" t="s">
        <v>918</v>
      </c>
      <c r="F428" s="342" t="s">
        <v>51</v>
      </c>
      <c r="H428" s="342" t="s">
        <v>591</v>
      </c>
      <c r="I428" s="342" t="s">
        <v>40</v>
      </c>
      <c r="J428" s="342" t="s">
        <v>5279</v>
      </c>
      <c r="K428" s="342" t="s">
        <v>1233</v>
      </c>
      <c r="L428" s="343">
        <v>45229</v>
      </c>
      <c r="M428" s="343">
        <v>44679</v>
      </c>
      <c r="O428" s="342" t="s">
        <v>1494</v>
      </c>
      <c r="P428" s="342" t="s">
        <v>5400</v>
      </c>
      <c r="R428" s="342" t="s">
        <v>1580</v>
      </c>
      <c r="U428" s="342" t="s">
        <v>2070</v>
      </c>
      <c r="V428" s="342" t="s">
        <v>2099</v>
      </c>
      <c r="W428" s="342">
        <v>308713</v>
      </c>
      <c r="X428" s="342" t="s">
        <v>5386</v>
      </c>
      <c r="Y428" s="343">
        <v>43923</v>
      </c>
      <c r="Z428" s="342" t="s">
        <v>4063</v>
      </c>
      <c r="AA428" s="343">
        <v>44679</v>
      </c>
      <c r="AB428" s="342" t="s">
        <v>4064</v>
      </c>
      <c r="AC428" s="342" t="s">
        <v>4064</v>
      </c>
      <c r="AD428" s="342" t="s">
        <v>4065</v>
      </c>
      <c r="AI428" s="342" t="s">
        <v>4111</v>
      </c>
      <c r="AJ428" s="342" t="s">
        <v>5890</v>
      </c>
    </row>
    <row r="429" spans="1:36">
      <c r="A429" s="342">
        <v>328334</v>
      </c>
      <c r="B429" s="342" t="s">
        <v>1512</v>
      </c>
      <c r="C429" s="342" t="s">
        <v>1513</v>
      </c>
      <c r="D429" s="342">
        <v>757</v>
      </c>
      <c r="E429" s="342" t="s">
        <v>1514</v>
      </c>
      <c r="F429" s="342" t="s">
        <v>1515</v>
      </c>
      <c r="H429" s="342" t="s">
        <v>591</v>
      </c>
      <c r="I429" s="342" t="s">
        <v>40</v>
      </c>
      <c r="J429" s="342" t="s">
        <v>5282</v>
      </c>
      <c r="K429" s="342" t="s">
        <v>1402</v>
      </c>
      <c r="L429" s="343">
        <v>45412</v>
      </c>
      <c r="M429" s="343">
        <v>44673</v>
      </c>
      <c r="O429" s="342" t="s">
        <v>5022</v>
      </c>
      <c r="P429" s="342" t="s">
        <v>5057</v>
      </c>
      <c r="Q429" s="342">
        <v>6111629808</v>
      </c>
      <c r="R429" s="342">
        <v>9110</v>
      </c>
      <c r="V429" s="342" t="s">
        <v>2099</v>
      </c>
      <c r="W429" s="342">
        <v>308842</v>
      </c>
      <c r="X429" s="342" t="s">
        <v>5340</v>
      </c>
      <c r="Y429" s="343">
        <v>44102</v>
      </c>
      <c r="Z429" s="342" t="s">
        <v>4063</v>
      </c>
      <c r="AA429" s="343">
        <v>44673</v>
      </c>
      <c r="AB429" s="342" t="s">
        <v>4064</v>
      </c>
      <c r="AC429" s="342" t="s">
        <v>4064</v>
      </c>
      <c r="AD429" s="342" t="s">
        <v>4065</v>
      </c>
      <c r="AI429" s="342" t="s">
        <v>4067</v>
      </c>
      <c r="AJ429" s="342" t="s">
        <v>5871</v>
      </c>
    </row>
    <row r="430" spans="1:36">
      <c r="A430" s="342">
        <v>328371</v>
      </c>
      <c r="B430" s="342" t="s">
        <v>4834</v>
      </c>
      <c r="C430" s="342" t="s">
        <v>4835</v>
      </c>
      <c r="D430" s="342" t="s">
        <v>4836</v>
      </c>
      <c r="E430" s="342" t="s">
        <v>4837</v>
      </c>
      <c r="F430" s="342" t="s">
        <v>4838</v>
      </c>
      <c r="H430" s="342" t="s">
        <v>591</v>
      </c>
      <c r="I430" s="342" t="s">
        <v>41</v>
      </c>
      <c r="J430" s="342" t="s">
        <v>786</v>
      </c>
      <c r="K430" s="342" t="s">
        <v>5218</v>
      </c>
      <c r="L430" s="343">
        <v>45229</v>
      </c>
      <c r="M430" s="343">
        <v>44509</v>
      </c>
      <c r="O430" s="342" t="s">
        <v>4871</v>
      </c>
      <c r="P430" s="342" t="s">
        <v>4849</v>
      </c>
      <c r="Q430" s="342">
        <v>6150619840</v>
      </c>
      <c r="R430" s="342">
        <v>9110</v>
      </c>
      <c r="V430" s="342" t="s">
        <v>2217</v>
      </c>
      <c r="W430" s="342">
        <v>309477</v>
      </c>
      <c r="X430" s="342" t="s">
        <v>4995</v>
      </c>
      <c r="Y430" s="343">
        <v>44509</v>
      </c>
      <c r="Z430" s="342" t="s">
        <v>4063</v>
      </c>
      <c r="AA430" s="343">
        <v>44509</v>
      </c>
      <c r="AB430" s="342" t="s">
        <v>4064</v>
      </c>
      <c r="AC430" s="342" t="s">
        <v>4064</v>
      </c>
      <c r="AD430" s="342" t="s">
        <v>4065</v>
      </c>
      <c r="AI430" s="342" t="s">
        <v>4067</v>
      </c>
      <c r="AJ430" s="342" t="s">
        <v>6106</v>
      </c>
    </row>
    <row r="431" spans="1:36">
      <c r="A431" s="342">
        <v>329009</v>
      </c>
      <c r="B431" s="342" t="s">
        <v>4227</v>
      </c>
      <c r="C431" s="342" t="s">
        <v>4228</v>
      </c>
      <c r="D431" s="342">
        <v>90806</v>
      </c>
      <c r="E431" s="342" t="s">
        <v>4229</v>
      </c>
      <c r="F431" s="342" t="s">
        <v>51</v>
      </c>
      <c r="G431" s="342" t="s">
        <v>4230</v>
      </c>
      <c r="H431" s="342" t="s">
        <v>591</v>
      </c>
      <c r="I431" s="342" t="s">
        <v>40</v>
      </c>
      <c r="J431" s="342" t="s">
        <v>1510</v>
      </c>
      <c r="K431" s="342" t="s">
        <v>1233</v>
      </c>
      <c r="L431" s="343">
        <v>45107</v>
      </c>
      <c r="M431" s="343">
        <v>44203</v>
      </c>
      <c r="O431" s="342" t="s">
        <v>4246</v>
      </c>
      <c r="P431" s="342" t="s">
        <v>4250</v>
      </c>
      <c r="Q431" s="342">
        <v>6153039401</v>
      </c>
      <c r="R431" s="342">
        <v>9110</v>
      </c>
      <c r="V431" s="342" t="s">
        <v>2099</v>
      </c>
      <c r="W431" s="342">
        <v>309148</v>
      </c>
      <c r="X431" s="342" t="s">
        <v>4988</v>
      </c>
      <c r="Y431" s="343">
        <v>44203</v>
      </c>
      <c r="Z431" s="342" t="s">
        <v>4063</v>
      </c>
      <c r="AA431" s="343">
        <v>44203</v>
      </c>
      <c r="AB431" s="342" t="s">
        <v>4064</v>
      </c>
      <c r="AC431" s="342" t="s">
        <v>4064</v>
      </c>
      <c r="AD431" s="342" t="s">
        <v>4065</v>
      </c>
      <c r="AI431" s="342" t="s">
        <v>4067</v>
      </c>
      <c r="AJ431" s="342" t="s">
        <v>5846</v>
      </c>
    </row>
    <row r="432" spans="1:36">
      <c r="A432" s="342">
        <v>329026</v>
      </c>
      <c r="B432" s="342" t="s">
        <v>4199</v>
      </c>
      <c r="C432" s="342" t="s">
        <v>4883</v>
      </c>
      <c r="D432" s="342">
        <v>28906</v>
      </c>
      <c r="E432" s="342" t="s">
        <v>4200</v>
      </c>
      <c r="F432" s="342" t="s">
        <v>126</v>
      </c>
      <c r="G432" s="342" t="s">
        <v>4201</v>
      </c>
      <c r="H432" s="342" t="s">
        <v>591</v>
      </c>
      <c r="I432" s="342" t="s">
        <v>40</v>
      </c>
      <c r="J432" s="342" t="s">
        <v>5282</v>
      </c>
      <c r="K432" s="342" t="s">
        <v>1402</v>
      </c>
      <c r="L432" s="343">
        <v>45382</v>
      </c>
      <c r="M432" s="343">
        <v>44651</v>
      </c>
      <c r="O432" s="342" t="s">
        <v>4318</v>
      </c>
      <c r="P432" s="342" t="s">
        <v>4206</v>
      </c>
      <c r="Q432" s="342">
        <v>6115515345</v>
      </c>
      <c r="R432" s="342">
        <v>9100</v>
      </c>
      <c r="V432" s="342" t="s">
        <v>2099</v>
      </c>
      <c r="W432" s="342">
        <v>309138</v>
      </c>
      <c r="X432" s="342" t="s">
        <v>5340</v>
      </c>
      <c r="Y432" s="343">
        <v>44180</v>
      </c>
      <c r="Z432" s="342" t="s">
        <v>4063</v>
      </c>
      <c r="AA432" s="343">
        <v>44651</v>
      </c>
      <c r="AB432" s="342" t="s">
        <v>4064</v>
      </c>
      <c r="AC432" s="342" t="s">
        <v>4064</v>
      </c>
      <c r="AD432" s="342" t="s">
        <v>4065</v>
      </c>
      <c r="AI432" s="342" t="s">
        <v>4067</v>
      </c>
      <c r="AJ432" s="342" t="s">
        <v>5858</v>
      </c>
    </row>
    <row r="433" spans="1:36">
      <c r="A433" s="342">
        <v>329157</v>
      </c>
      <c r="B433" s="342" t="s">
        <v>4258</v>
      </c>
      <c r="C433" s="342" t="s">
        <v>4366</v>
      </c>
      <c r="D433" s="342">
        <v>87124</v>
      </c>
      <c r="E433" s="342" t="s">
        <v>4259</v>
      </c>
      <c r="F433" s="342" t="s">
        <v>51</v>
      </c>
      <c r="G433" s="342">
        <v>15992</v>
      </c>
      <c r="H433" s="342" t="s">
        <v>591</v>
      </c>
      <c r="I433" s="342" t="s">
        <v>40</v>
      </c>
      <c r="J433" s="342" t="s">
        <v>1288</v>
      </c>
      <c r="K433" s="342" t="s">
        <v>1402</v>
      </c>
      <c r="L433" s="343">
        <v>44957</v>
      </c>
      <c r="M433" s="343">
        <v>44208</v>
      </c>
      <c r="O433" s="342" t="s">
        <v>5682</v>
      </c>
      <c r="P433" s="342" t="s">
        <v>4290</v>
      </c>
      <c r="Q433" s="342">
        <v>6124926925</v>
      </c>
      <c r="R433" s="342">
        <v>9100</v>
      </c>
      <c r="V433" s="342" t="s">
        <v>2099</v>
      </c>
      <c r="W433" s="342">
        <v>309151</v>
      </c>
      <c r="X433" s="342" t="s">
        <v>4992</v>
      </c>
      <c r="Y433" s="343">
        <v>44208</v>
      </c>
      <c r="Z433" s="342" t="s">
        <v>4063</v>
      </c>
      <c r="AA433" s="343">
        <v>44208</v>
      </c>
      <c r="AB433" s="342" t="s">
        <v>4064</v>
      </c>
      <c r="AC433" s="342" t="s">
        <v>4064</v>
      </c>
      <c r="AD433" s="342" t="s">
        <v>4065</v>
      </c>
      <c r="AI433" s="342" t="s">
        <v>4067</v>
      </c>
      <c r="AJ433" s="342" t="s">
        <v>5842</v>
      </c>
    </row>
    <row r="434" spans="1:36">
      <c r="A434" s="342">
        <v>329161</v>
      </c>
      <c r="B434" s="342" t="s">
        <v>4260</v>
      </c>
      <c r="C434" s="342" t="s">
        <v>4261</v>
      </c>
      <c r="D434" s="342">
        <v>21029</v>
      </c>
      <c r="E434" s="342" t="s">
        <v>4262</v>
      </c>
      <c r="F434" s="342" t="s">
        <v>98</v>
      </c>
      <c r="H434" s="342" t="s">
        <v>591</v>
      </c>
      <c r="I434" s="342" t="s">
        <v>40</v>
      </c>
      <c r="J434" s="342" t="s">
        <v>5283</v>
      </c>
      <c r="K434" s="342" t="s">
        <v>1233</v>
      </c>
      <c r="L434" s="343">
        <v>45230</v>
      </c>
      <c r="M434" s="343">
        <v>44490</v>
      </c>
      <c r="O434" s="342" t="s">
        <v>5241</v>
      </c>
      <c r="P434" s="342" t="s">
        <v>4613</v>
      </c>
      <c r="Q434" s="342">
        <v>6135383502</v>
      </c>
      <c r="R434" s="342">
        <v>9110</v>
      </c>
      <c r="V434" s="342" t="s">
        <v>2099</v>
      </c>
      <c r="W434" s="342">
        <v>309152</v>
      </c>
      <c r="X434" s="342" t="s">
        <v>5388</v>
      </c>
      <c r="Y434" s="343">
        <v>44209</v>
      </c>
      <c r="Z434" s="342" t="s">
        <v>4063</v>
      </c>
      <c r="AA434" s="343">
        <v>44490</v>
      </c>
      <c r="AB434" s="342" t="s">
        <v>4064</v>
      </c>
      <c r="AC434" s="342" t="s">
        <v>4064</v>
      </c>
      <c r="AD434" s="342" t="s">
        <v>4065</v>
      </c>
      <c r="AI434" s="342" t="s">
        <v>4277</v>
      </c>
      <c r="AJ434" s="342" t="s">
        <v>5844</v>
      </c>
    </row>
    <row r="435" spans="1:36">
      <c r="A435" s="342">
        <v>329207</v>
      </c>
      <c r="B435" s="342" t="s">
        <v>5109</v>
      </c>
      <c r="C435" s="342" t="s">
        <v>498</v>
      </c>
      <c r="D435" s="342">
        <v>63329</v>
      </c>
      <c r="E435" s="342" t="s">
        <v>5110</v>
      </c>
      <c r="F435" s="342" t="s">
        <v>55</v>
      </c>
      <c r="G435" s="342" t="s">
        <v>5111</v>
      </c>
      <c r="H435" s="342" t="s">
        <v>591</v>
      </c>
      <c r="I435" s="342" t="s">
        <v>40</v>
      </c>
      <c r="J435" s="342" t="s">
        <v>1277</v>
      </c>
      <c r="K435" s="342" t="s">
        <v>1402</v>
      </c>
      <c r="L435" s="343">
        <v>45716</v>
      </c>
      <c r="M435" s="343">
        <v>44603</v>
      </c>
      <c r="O435" s="342" t="s">
        <v>5128</v>
      </c>
      <c r="P435" s="342" t="s">
        <v>5133</v>
      </c>
      <c r="Q435" s="342">
        <v>6110707569</v>
      </c>
      <c r="R435" s="342">
        <v>9110</v>
      </c>
      <c r="U435" s="342" t="s">
        <v>5183</v>
      </c>
      <c r="V435" s="342" t="s">
        <v>2099</v>
      </c>
      <c r="W435" s="342">
        <v>309188</v>
      </c>
      <c r="X435" s="342" t="s">
        <v>5535</v>
      </c>
      <c r="Y435" s="343">
        <v>44582</v>
      </c>
      <c r="Z435" s="342" t="s">
        <v>4063</v>
      </c>
      <c r="AA435" s="343">
        <v>44603</v>
      </c>
      <c r="AB435" s="342" t="s">
        <v>4064</v>
      </c>
      <c r="AC435" s="342" t="s">
        <v>4064</v>
      </c>
      <c r="AD435" s="342" t="s">
        <v>4065</v>
      </c>
      <c r="AI435" s="342" t="s">
        <v>4111</v>
      </c>
      <c r="AJ435" s="342" t="s">
        <v>5861</v>
      </c>
    </row>
    <row r="436" spans="1:36">
      <c r="A436" s="342">
        <v>329276</v>
      </c>
      <c r="B436" s="342" t="s">
        <v>4298</v>
      </c>
      <c r="C436" s="342" t="s">
        <v>5539</v>
      </c>
      <c r="D436" s="342">
        <v>430040</v>
      </c>
      <c r="E436" s="342" t="s">
        <v>4299</v>
      </c>
      <c r="F436" s="342" t="s">
        <v>175</v>
      </c>
      <c r="H436" s="342" t="s">
        <v>591</v>
      </c>
      <c r="I436" s="342" t="s">
        <v>40</v>
      </c>
      <c r="J436" s="342" t="s">
        <v>1288</v>
      </c>
      <c r="K436" s="342" t="s">
        <v>1233</v>
      </c>
      <c r="L436" s="343">
        <v>44957</v>
      </c>
      <c r="M436" s="343">
        <v>44589</v>
      </c>
      <c r="O436" s="342" t="s">
        <v>4801</v>
      </c>
      <c r="P436" s="342" t="s">
        <v>5244</v>
      </c>
      <c r="Q436" s="342">
        <v>6129647623</v>
      </c>
      <c r="R436" s="342">
        <v>9110</v>
      </c>
      <c r="U436" s="342" t="s">
        <v>5141</v>
      </c>
      <c r="V436" s="342" t="s">
        <v>2099</v>
      </c>
      <c r="W436" s="342">
        <v>309166</v>
      </c>
      <c r="X436" s="342" t="s">
        <v>4992</v>
      </c>
      <c r="Y436" s="343">
        <v>44221</v>
      </c>
      <c r="Z436" s="342" t="s">
        <v>4063</v>
      </c>
      <c r="AA436" s="343">
        <v>44589</v>
      </c>
      <c r="AB436" s="342" t="s">
        <v>4064</v>
      </c>
      <c r="AC436" s="342" t="s">
        <v>4064</v>
      </c>
      <c r="AD436" s="342" t="s">
        <v>4065</v>
      </c>
      <c r="AI436" s="342" t="s">
        <v>4067</v>
      </c>
      <c r="AJ436" s="342" t="s">
        <v>5853</v>
      </c>
    </row>
    <row r="437" spans="1:36">
      <c r="A437" s="342">
        <v>329752</v>
      </c>
      <c r="B437" s="342" t="s">
        <v>2141</v>
      </c>
      <c r="C437" s="342" t="s">
        <v>4389</v>
      </c>
      <c r="D437" s="342" t="s">
        <v>4390</v>
      </c>
      <c r="E437" s="342" t="s">
        <v>140</v>
      </c>
      <c r="F437" s="342" t="s">
        <v>45</v>
      </c>
      <c r="H437" s="342" t="s">
        <v>591</v>
      </c>
      <c r="I437" s="342" t="s">
        <v>40</v>
      </c>
      <c r="J437" s="342" t="s">
        <v>5283</v>
      </c>
      <c r="K437" s="342" t="s">
        <v>1233</v>
      </c>
      <c r="L437" s="343">
        <v>45230</v>
      </c>
      <c r="M437" s="343">
        <v>44551</v>
      </c>
      <c r="O437" s="342" t="s">
        <v>5173</v>
      </c>
      <c r="P437" s="342" t="s">
        <v>5205</v>
      </c>
      <c r="Q437" s="342">
        <v>6153467141</v>
      </c>
      <c r="R437" s="342">
        <v>9110</v>
      </c>
      <c r="V437" s="342" t="s">
        <v>2099</v>
      </c>
      <c r="W437" s="342">
        <v>309244</v>
      </c>
      <c r="X437" s="342" t="s">
        <v>5388</v>
      </c>
      <c r="Y437" s="343">
        <v>44551</v>
      </c>
      <c r="Z437" s="342" t="s">
        <v>4063</v>
      </c>
      <c r="AA437" s="343">
        <v>44551</v>
      </c>
      <c r="AB437" s="342" t="s">
        <v>4064</v>
      </c>
      <c r="AC437" s="342" t="s">
        <v>4064</v>
      </c>
      <c r="AD437" s="342" t="s">
        <v>4065</v>
      </c>
      <c r="AI437" s="342" t="s">
        <v>4067</v>
      </c>
      <c r="AJ437" s="342" t="s">
        <v>5887</v>
      </c>
    </row>
    <row r="438" spans="1:36">
      <c r="A438" s="342">
        <v>330147</v>
      </c>
      <c r="B438" s="342" t="s">
        <v>4478</v>
      </c>
      <c r="C438" s="342" t="s">
        <v>4479</v>
      </c>
      <c r="D438" s="342">
        <v>201323</v>
      </c>
      <c r="E438" s="342" t="s">
        <v>1426</v>
      </c>
      <c r="F438" s="342" t="s">
        <v>175</v>
      </c>
      <c r="H438" s="342" t="s">
        <v>591</v>
      </c>
      <c r="I438" s="342" t="s">
        <v>40</v>
      </c>
      <c r="J438" s="342" t="s">
        <v>1510</v>
      </c>
      <c r="K438" s="342" t="s">
        <v>1402</v>
      </c>
      <c r="L438" s="343">
        <v>44926</v>
      </c>
      <c r="M438" s="343">
        <v>44571</v>
      </c>
      <c r="O438" s="342" t="s">
        <v>4790</v>
      </c>
      <c r="P438" s="342" t="s">
        <v>4895</v>
      </c>
      <c r="Q438" s="342">
        <v>6148585106</v>
      </c>
      <c r="R438" s="342">
        <v>9110</v>
      </c>
      <c r="U438" s="342" t="s">
        <v>5181</v>
      </c>
      <c r="V438" s="342" t="s">
        <v>2099</v>
      </c>
      <c r="W438" s="342">
        <v>309280</v>
      </c>
      <c r="X438" s="342" t="s">
        <v>4988</v>
      </c>
      <c r="Y438" s="343">
        <v>44314</v>
      </c>
      <c r="Z438" s="342" t="s">
        <v>4063</v>
      </c>
      <c r="AA438" s="343">
        <v>44571</v>
      </c>
      <c r="AB438" s="342" t="s">
        <v>4064</v>
      </c>
      <c r="AC438" s="342" t="s">
        <v>4064</v>
      </c>
      <c r="AD438" s="342" t="s">
        <v>4065</v>
      </c>
      <c r="AI438" s="342" t="s">
        <v>4067</v>
      </c>
      <c r="AJ438" s="342" t="s">
        <v>5842</v>
      </c>
    </row>
    <row r="439" spans="1:36">
      <c r="A439" s="342">
        <v>330169</v>
      </c>
      <c r="B439" s="342" t="s">
        <v>4508</v>
      </c>
      <c r="C439" s="342" t="s">
        <v>4509</v>
      </c>
      <c r="D439" s="342">
        <v>20160</v>
      </c>
      <c r="E439" s="342" t="s">
        <v>578</v>
      </c>
      <c r="F439" s="342" t="s">
        <v>452</v>
      </c>
      <c r="H439" s="342" t="s">
        <v>591</v>
      </c>
      <c r="I439" s="342" t="s">
        <v>40</v>
      </c>
      <c r="J439" s="342" t="s">
        <v>1510</v>
      </c>
      <c r="L439" s="343">
        <v>45077</v>
      </c>
      <c r="M439" s="343">
        <v>44321</v>
      </c>
      <c r="O439" s="342" t="s">
        <v>5628</v>
      </c>
      <c r="P439" s="342" t="s">
        <v>4543</v>
      </c>
      <c r="Q439" s="342">
        <v>6149764049</v>
      </c>
      <c r="R439" s="342">
        <v>9110</v>
      </c>
      <c r="V439" s="342" t="s">
        <v>2099</v>
      </c>
      <c r="W439" s="342">
        <v>309292</v>
      </c>
      <c r="X439" s="342" t="s">
        <v>4988</v>
      </c>
      <c r="Y439" s="343">
        <v>44321</v>
      </c>
      <c r="Z439" s="342" t="s">
        <v>4063</v>
      </c>
      <c r="AA439" s="343">
        <v>44321</v>
      </c>
      <c r="AB439" s="342" t="s">
        <v>4064</v>
      </c>
      <c r="AC439" s="342" t="s">
        <v>4064</v>
      </c>
      <c r="AD439" s="342" t="s">
        <v>4065</v>
      </c>
      <c r="AI439" s="342" t="s">
        <v>4067</v>
      </c>
      <c r="AJ439" s="342" t="s">
        <v>5937</v>
      </c>
    </row>
    <row r="440" spans="1:36">
      <c r="A440" s="342">
        <v>330194</v>
      </c>
      <c r="B440" s="342" t="s">
        <v>4524</v>
      </c>
      <c r="C440" s="342" t="s">
        <v>4525</v>
      </c>
      <c r="D440" s="342" t="s">
        <v>4526</v>
      </c>
      <c r="E440" s="342" t="s">
        <v>4527</v>
      </c>
      <c r="F440" s="342" t="s">
        <v>107</v>
      </c>
      <c r="G440" s="342" t="s">
        <v>4528</v>
      </c>
      <c r="H440" s="342" t="s">
        <v>591</v>
      </c>
      <c r="I440" s="342" t="s">
        <v>40</v>
      </c>
      <c r="J440" s="342" t="s">
        <v>5280</v>
      </c>
      <c r="K440" s="342" t="s">
        <v>1233</v>
      </c>
      <c r="L440" s="343">
        <v>45382</v>
      </c>
      <c r="M440" s="343">
        <v>44467</v>
      </c>
      <c r="O440" s="342" t="s">
        <v>5367</v>
      </c>
      <c r="P440" s="342" t="s">
        <v>4953</v>
      </c>
      <c r="Q440" s="342">
        <v>6127608923</v>
      </c>
      <c r="R440" s="342">
        <v>9110</v>
      </c>
      <c r="V440" s="342" t="s">
        <v>2099</v>
      </c>
      <c r="W440" s="342">
        <v>309297</v>
      </c>
      <c r="X440" s="342" t="s">
        <v>5338</v>
      </c>
      <c r="Y440" s="343">
        <v>44327</v>
      </c>
      <c r="Z440" s="342" t="s">
        <v>4063</v>
      </c>
      <c r="AA440" s="343">
        <v>44467</v>
      </c>
      <c r="AB440" s="342" t="s">
        <v>4064</v>
      </c>
      <c r="AC440" s="342" t="s">
        <v>4064</v>
      </c>
      <c r="AD440" s="342" t="s">
        <v>4065</v>
      </c>
      <c r="AI440" s="342" t="s">
        <v>4067</v>
      </c>
      <c r="AJ440" s="342" t="s">
        <v>5844</v>
      </c>
    </row>
    <row r="441" spans="1:36">
      <c r="A441" s="342">
        <v>330529</v>
      </c>
      <c r="B441" s="342" t="s">
        <v>5324</v>
      </c>
      <c r="C441" s="342" t="s">
        <v>5325</v>
      </c>
      <c r="E441" s="342" t="s">
        <v>302</v>
      </c>
      <c r="F441" s="342" t="s">
        <v>549</v>
      </c>
      <c r="H441" s="342" t="s">
        <v>591</v>
      </c>
      <c r="I441" s="342" t="s">
        <v>1114</v>
      </c>
      <c r="J441" s="342" t="s">
        <v>4608</v>
      </c>
      <c r="K441" s="342" t="s">
        <v>1402</v>
      </c>
      <c r="L441" s="343">
        <v>44895</v>
      </c>
      <c r="M441" s="343">
        <v>44649</v>
      </c>
      <c r="P441" s="342" t="s">
        <v>5326</v>
      </c>
      <c r="Q441" s="342">
        <v>6152134268</v>
      </c>
      <c r="R441" s="342">
        <v>9120</v>
      </c>
      <c r="V441" s="342" t="s">
        <v>2131</v>
      </c>
      <c r="W441" s="342">
        <v>309666</v>
      </c>
      <c r="X441" s="342" t="s">
        <v>4993</v>
      </c>
      <c r="Y441" s="343">
        <v>44649</v>
      </c>
      <c r="Z441" s="342" t="s">
        <v>4063</v>
      </c>
      <c r="AA441" s="343">
        <v>44649</v>
      </c>
      <c r="AB441" s="342" t="s">
        <v>4064</v>
      </c>
      <c r="AC441" s="342" t="s">
        <v>4064</v>
      </c>
      <c r="AD441" s="342" t="s">
        <v>4065</v>
      </c>
      <c r="AI441" s="342" t="s">
        <v>4067</v>
      </c>
      <c r="AJ441" s="342" t="s">
        <v>5868</v>
      </c>
    </row>
    <row r="442" spans="1:36">
      <c r="A442" s="342">
        <v>330761</v>
      </c>
      <c r="B442" s="342" t="s">
        <v>5899</v>
      </c>
      <c r="C442" s="342" t="s">
        <v>5900</v>
      </c>
      <c r="D442" s="342">
        <v>508756</v>
      </c>
      <c r="E442" s="342" t="s">
        <v>336</v>
      </c>
      <c r="F442" s="342" t="s">
        <v>337</v>
      </c>
      <c r="G442" s="342" t="s">
        <v>5901</v>
      </c>
      <c r="H442" s="342" t="s">
        <v>591</v>
      </c>
      <c r="I442" s="342" t="s">
        <v>40</v>
      </c>
      <c r="J442" s="342" t="s">
        <v>5283</v>
      </c>
      <c r="K442" s="342" t="s">
        <v>1402</v>
      </c>
      <c r="L442" s="343">
        <v>45229</v>
      </c>
      <c r="M442" s="343">
        <v>44750</v>
      </c>
      <c r="O442" s="342" t="s">
        <v>5908</v>
      </c>
      <c r="P442" s="342" t="s">
        <v>5926</v>
      </c>
      <c r="R442" s="342">
        <v>9110</v>
      </c>
      <c r="U442" s="342" t="s">
        <v>5929</v>
      </c>
      <c r="V442" s="342" t="s">
        <v>2099</v>
      </c>
      <c r="W442" s="342">
        <v>309833</v>
      </c>
      <c r="X442" s="342" t="s">
        <v>5388</v>
      </c>
      <c r="Y442" s="343">
        <v>44750</v>
      </c>
      <c r="Z442" s="342" t="s">
        <v>4063</v>
      </c>
      <c r="AA442" s="343">
        <v>44750</v>
      </c>
      <c r="AB442" s="342" t="s">
        <v>4064</v>
      </c>
      <c r="AC442" s="342" t="s">
        <v>4064</v>
      </c>
      <c r="AD442" s="342" t="s">
        <v>5528</v>
      </c>
      <c r="AI442" s="342" t="s">
        <v>4111</v>
      </c>
      <c r="AJ442" s="342" t="s">
        <v>5882</v>
      </c>
    </row>
    <row r="443" spans="1:36">
      <c r="A443" s="342">
        <v>330802</v>
      </c>
      <c r="B443" s="342" t="s">
        <v>5170</v>
      </c>
      <c r="C443" s="342" t="s">
        <v>5171</v>
      </c>
      <c r="D443" s="342">
        <v>31700</v>
      </c>
      <c r="E443" s="342" t="s">
        <v>68</v>
      </c>
      <c r="F443" s="342" t="s">
        <v>47</v>
      </c>
      <c r="G443" s="342" t="s">
        <v>5172</v>
      </c>
      <c r="H443" s="342" t="s">
        <v>591</v>
      </c>
      <c r="I443" s="342" t="s">
        <v>40</v>
      </c>
      <c r="J443" s="342" t="s">
        <v>1510</v>
      </c>
      <c r="K443" s="342" t="s">
        <v>5218</v>
      </c>
      <c r="L443" s="343">
        <v>45625</v>
      </c>
      <c r="M443" s="343">
        <v>44602</v>
      </c>
      <c r="O443" s="342" t="s">
        <v>5573</v>
      </c>
      <c r="P443" s="342" t="s">
        <v>2517</v>
      </c>
      <c r="Q443" s="342">
        <v>6147220349</v>
      </c>
      <c r="R443" s="342">
        <v>9110</v>
      </c>
      <c r="V443" s="342" t="s">
        <v>2099</v>
      </c>
      <c r="W443" s="342">
        <v>309618</v>
      </c>
      <c r="X443" s="342" t="s">
        <v>4988</v>
      </c>
      <c r="Y443" s="343">
        <v>44602</v>
      </c>
      <c r="Z443" s="342" t="s">
        <v>4063</v>
      </c>
      <c r="AA443" s="343">
        <v>44602</v>
      </c>
      <c r="AB443" s="342" t="s">
        <v>4064</v>
      </c>
      <c r="AC443" s="342" t="s">
        <v>4064</v>
      </c>
      <c r="AD443" s="342" t="s">
        <v>4065</v>
      </c>
      <c r="AI443" s="342" t="s">
        <v>4067</v>
      </c>
      <c r="AJ443" s="342" t="s">
        <v>6106</v>
      </c>
    </row>
    <row r="444" spans="1:36">
      <c r="A444" s="342">
        <v>331014</v>
      </c>
      <c r="B444" s="342" t="s">
        <v>4609</v>
      </c>
      <c r="C444" s="342" t="s">
        <v>4610</v>
      </c>
      <c r="D444" s="342">
        <v>91405</v>
      </c>
      <c r="E444" s="342" t="s">
        <v>493</v>
      </c>
      <c r="F444" s="342" t="s">
        <v>51</v>
      </c>
      <c r="H444" s="342" t="s">
        <v>591</v>
      </c>
      <c r="I444" s="342" t="s">
        <v>1100</v>
      </c>
      <c r="J444" s="342" t="s">
        <v>1421</v>
      </c>
      <c r="K444" s="342" t="s">
        <v>1402</v>
      </c>
      <c r="L444" s="343">
        <v>45107</v>
      </c>
      <c r="M444" s="343">
        <v>44733</v>
      </c>
      <c r="P444" s="342" t="s">
        <v>5638</v>
      </c>
      <c r="Q444" s="342">
        <v>6129486907</v>
      </c>
      <c r="R444" s="342">
        <v>9100</v>
      </c>
      <c r="U444" s="342" t="s">
        <v>5653</v>
      </c>
      <c r="V444" s="342" t="s">
        <v>2109</v>
      </c>
      <c r="W444" s="342">
        <v>309814</v>
      </c>
      <c r="X444" s="342" t="s">
        <v>4991</v>
      </c>
      <c r="Y444" s="343">
        <v>44404</v>
      </c>
      <c r="Z444" s="342" t="s">
        <v>4063</v>
      </c>
      <c r="AA444" s="343">
        <v>44733</v>
      </c>
      <c r="AB444" s="342" t="s">
        <v>4064</v>
      </c>
      <c r="AC444" s="342" t="s">
        <v>4064</v>
      </c>
      <c r="AD444" s="342" t="s">
        <v>4065</v>
      </c>
      <c r="AI444" s="342" t="s">
        <v>4067</v>
      </c>
      <c r="AJ444" s="342" t="s">
        <v>5882</v>
      </c>
    </row>
    <row r="445" spans="1:36">
      <c r="A445" s="342">
        <v>331544</v>
      </c>
      <c r="B445" s="342" t="s">
        <v>5364</v>
      </c>
      <c r="C445" s="342" t="s">
        <v>5365</v>
      </c>
      <c r="D445" s="342">
        <v>509010</v>
      </c>
      <c r="E445" s="342" t="s">
        <v>336</v>
      </c>
      <c r="F445" s="342" t="s">
        <v>337</v>
      </c>
      <c r="H445" s="342" t="s">
        <v>591</v>
      </c>
      <c r="I445" s="342" t="s">
        <v>40</v>
      </c>
      <c r="J445" s="342" t="s">
        <v>5281</v>
      </c>
      <c r="K445" s="342" t="s">
        <v>1233</v>
      </c>
      <c r="L445" s="343">
        <v>45657</v>
      </c>
      <c r="M445" s="343">
        <v>44754</v>
      </c>
      <c r="O445" s="342" t="s">
        <v>5368</v>
      </c>
      <c r="P445" s="342" t="s">
        <v>5377</v>
      </c>
      <c r="Q445" s="342">
        <v>6136345484</v>
      </c>
      <c r="R445" s="342">
        <v>9110</v>
      </c>
      <c r="V445" s="342" t="s">
        <v>2099</v>
      </c>
      <c r="W445" s="342">
        <v>309679</v>
      </c>
      <c r="X445" s="342" t="s">
        <v>5343</v>
      </c>
      <c r="Y445" s="343">
        <v>44657</v>
      </c>
      <c r="Z445" s="342" t="s">
        <v>4063</v>
      </c>
      <c r="AA445" s="343">
        <v>44754</v>
      </c>
      <c r="AB445" s="342" t="s">
        <v>4064</v>
      </c>
      <c r="AC445" s="342" t="s">
        <v>4064</v>
      </c>
      <c r="AD445" s="342" t="s">
        <v>4065</v>
      </c>
      <c r="AI445" s="342" t="s">
        <v>4067</v>
      </c>
      <c r="AJ445" s="342" t="s">
        <v>5844</v>
      </c>
    </row>
    <row r="446" spans="1:36">
      <c r="A446" s="342">
        <v>332214</v>
      </c>
      <c r="B446" s="342" t="s">
        <v>4973</v>
      </c>
      <c r="C446" s="342" t="s">
        <v>4974</v>
      </c>
      <c r="D446" s="342">
        <v>400056</v>
      </c>
      <c r="E446" s="342" t="s">
        <v>4975</v>
      </c>
      <c r="F446" s="342" t="s">
        <v>4976</v>
      </c>
      <c r="H446" s="342" t="s">
        <v>591</v>
      </c>
      <c r="I446" s="342" t="s">
        <v>40</v>
      </c>
      <c r="J446" s="342" t="s">
        <v>1421</v>
      </c>
      <c r="K446" s="342" t="s">
        <v>1233</v>
      </c>
      <c r="L446" s="343">
        <v>44865</v>
      </c>
      <c r="R446" s="342">
        <v>9110</v>
      </c>
      <c r="U446" s="342" t="s">
        <v>5654</v>
      </c>
      <c r="V446" s="342" t="s">
        <v>2099</v>
      </c>
      <c r="W446" s="342">
        <v>309802</v>
      </c>
      <c r="X446" s="342" t="s">
        <v>4991</v>
      </c>
      <c r="Y446" s="343">
        <v>44551</v>
      </c>
      <c r="Z446" s="342" t="s">
        <v>5659</v>
      </c>
      <c r="AA446" s="343">
        <v>44372</v>
      </c>
      <c r="AB446" s="342" t="s">
        <v>4064</v>
      </c>
      <c r="AC446" s="343">
        <v>44865</v>
      </c>
      <c r="AD446" s="342" t="s">
        <v>4065</v>
      </c>
      <c r="AI446" s="342" t="s">
        <v>4111</v>
      </c>
      <c r="AJ446" s="342" t="s">
        <v>5892</v>
      </c>
    </row>
    <row r="447" spans="1:36">
      <c r="A447" s="342">
        <v>332224</v>
      </c>
      <c r="B447" s="342" t="s">
        <v>5431</v>
      </c>
      <c r="C447" s="342" t="s">
        <v>5432</v>
      </c>
      <c r="D447" s="342" t="s">
        <v>5433</v>
      </c>
      <c r="E447" s="342" t="s">
        <v>918</v>
      </c>
      <c r="F447" s="342" t="s">
        <v>51</v>
      </c>
      <c r="G447" s="342" t="s">
        <v>5434</v>
      </c>
      <c r="H447" s="342" t="s">
        <v>591</v>
      </c>
      <c r="I447" s="342" t="s">
        <v>1114</v>
      </c>
      <c r="J447" s="342" t="s">
        <v>4608</v>
      </c>
      <c r="K447" s="342" t="s">
        <v>1402</v>
      </c>
      <c r="L447" s="343">
        <v>44895</v>
      </c>
      <c r="M447" s="343">
        <v>44691</v>
      </c>
      <c r="R447" s="342">
        <v>9120</v>
      </c>
      <c r="S447" s="342" t="s">
        <v>1576</v>
      </c>
      <c r="V447" s="342" t="s">
        <v>2131</v>
      </c>
      <c r="W447" s="342">
        <v>309720</v>
      </c>
      <c r="X447" s="342" t="s">
        <v>4993</v>
      </c>
      <c r="Y447" s="343">
        <v>44691</v>
      </c>
      <c r="Z447" s="342" t="s">
        <v>4063</v>
      </c>
      <c r="AA447" s="343">
        <v>44691</v>
      </c>
      <c r="AB447" s="342" t="s">
        <v>4064</v>
      </c>
      <c r="AC447" s="342" t="s">
        <v>4064</v>
      </c>
      <c r="AD447" s="342" t="s">
        <v>4065</v>
      </c>
      <c r="AI447" s="342" t="s">
        <v>4067</v>
      </c>
      <c r="AJ447" s="342" t="s">
        <v>5858</v>
      </c>
    </row>
    <row r="448" spans="1:36">
      <c r="A448" s="342">
        <v>332230</v>
      </c>
      <c r="B448" s="342" t="s">
        <v>5590</v>
      </c>
      <c r="C448" s="342" t="s">
        <v>5591</v>
      </c>
      <c r="D448" s="342" t="s">
        <v>5592</v>
      </c>
      <c r="E448" s="342" t="s">
        <v>5593</v>
      </c>
      <c r="F448" s="342" t="s">
        <v>97</v>
      </c>
      <c r="G448" s="342" t="s">
        <v>5594</v>
      </c>
      <c r="H448" s="342" t="s">
        <v>591</v>
      </c>
      <c r="I448" s="342" t="s">
        <v>1114</v>
      </c>
      <c r="J448" s="342" t="s">
        <v>1288</v>
      </c>
      <c r="K448" s="342" t="s">
        <v>1402</v>
      </c>
      <c r="L448" s="343">
        <v>44985</v>
      </c>
      <c r="P448" s="342" t="s">
        <v>5639</v>
      </c>
      <c r="R448" s="342" t="s">
        <v>1581</v>
      </c>
      <c r="S448" s="342" t="s">
        <v>1576</v>
      </c>
      <c r="V448" s="342" t="s">
        <v>2131</v>
      </c>
      <c r="W448" s="342">
        <v>309805</v>
      </c>
      <c r="X448" s="342" t="s">
        <v>4992</v>
      </c>
      <c r="Y448" s="343">
        <v>44732</v>
      </c>
      <c r="Z448" s="342" t="s">
        <v>4063</v>
      </c>
      <c r="AA448" s="343">
        <v>44732</v>
      </c>
      <c r="AB448" s="342" t="s">
        <v>4064</v>
      </c>
      <c r="AC448" s="342" t="s">
        <v>4064</v>
      </c>
      <c r="AD448" s="342" t="s">
        <v>4065</v>
      </c>
      <c r="AI448" s="342" t="s">
        <v>4067</v>
      </c>
      <c r="AJ448" s="342" t="s">
        <v>5882</v>
      </c>
    </row>
    <row r="449" spans="1:36">
      <c r="A449" s="342">
        <v>332422</v>
      </c>
      <c r="B449" s="342" t="s">
        <v>5595</v>
      </c>
      <c r="C449" s="342" t="s">
        <v>5596</v>
      </c>
      <c r="D449" s="342">
        <v>85226</v>
      </c>
      <c r="E449" s="342" t="s">
        <v>5597</v>
      </c>
      <c r="F449" s="342" t="s">
        <v>51</v>
      </c>
      <c r="G449" s="342" t="s">
        <v>5598</v>
      </c>
      <c r="H449" s="342" t="s">
        <v>591</v>
      </c>
      <c r="I449" s="342" t="s">
        <v>1114</v>
      </c>
      <c r="J449" s="342" t="s">
        <v>1288</v>
      </c>
      <c r="K449" s="342" t="s">
        <v>1402</v>
      </c>
      <c r="L449" s="343">
        <v>44985</v>
      </c>
      <c r="P449" s="342" t="s">
        <v>5640</v>
      </c>
      <c r="Q449" s="342">
        <v>6141190187</v>
      </c>
      <c r="R449" s="342">
        <v>9120</v>
      </c>
      <c r="V449" s="342" t="s">
        <v>2131</v>
      </c>
      <c r="W449" s="342">
        <v>309806</v>
      </c>
      <c r="X449" s="342" t="s">
        <v>4992</v>
      </c>
      <c r="Y449" s="343">
        <v>44732</v>
      </c>
      <c r="Z449" s="342" t="s">
        <v>4063</v>
      </c>
      <c r="AA449" s="343">
        <v>44732</v>
      </c>
      <c r="AB449" s="342" t="s">
        <v>4064</v>
      </c>
      <c r="AC449" s="342" t="s">
        <v>4064</v>
      </c>
      <c r="AD449" s="342" t="s">
        <v>4065</v>
      </c>
      <c r="AI449" s="342" t="s">
        <v>4067</v>
      </c>
      <c r="AJ449" s="342" t="s">
        <v>5882</v>
      </c>
    </row>
    <row r="450" spans="1:36">
      <c r="A450" s="342">
        <v>332469</v>
      </c>
      <c r="B450" s="342" t="s">
        <v>5452</v>
      </c>
      <c r="C450" s="342" t="s">
        <v>5453</v>
      </c>
      <c r="D450" s="342" t="s">
        <v>5454</v>
      </c>
      <c r="E450" s="342" t="s">
        <v>1589</v>
      </c>
      <c r="F450" s="342" t="s">
        <v>45</v>
      </c>
      <c r="H450" s="342" t="s">
        <v>591</v>
      </c>
      <c r="I450" s="342" t="s">
        <v>41</v>
      </c>
      <c r="J450" s="342" t="s">
        <v>1510</v>
      </c>
      <c r="K450" s="342" t="s">
        <v>1233</v>
      </c>
      <c r="L450" s="343">
        <v>45446</v>
      </c>
      <c r="M450" s="343">
        <v>44715</v>
      </c>
      <c r="O450" s="342" t="s">
        <v>5470</v>
      </c>
      <c r="R450" s="342">
        <v>9110</v>
      </c>
      <c r="S450" s="342" t="s">
        <v>1571</v>
      </c>
      <c r="V450" s="342" t="s">
        <v>2217</v>
      </c>
      <c r="W450" s="342">
        <v>309747</v>
      </c>
      <c r="X450" s="342" t="s">
        <v>4988</v>
      </c>
      <c r="Y450" s="343">
        <v>44715</v>
      </c>
      <c r="Z450" s="342" t="s">
        <v>4063</v>
      </c>
      <c r="AA450" s="343">
        <v>44715</v>
      </c>
      <c r="AB450" s="342" t="s">
        <v>4064</v>
      </c>
      <c r="AC450" s="342" t="s">
        <v>4064</v>
      </c>
      <c r="AD450" s="342" t="s">
        <v>4065</v>
      </c>
      <c r="AI450" s="342" t="s">
        <v>4067</v>
      </c>
      <c r="AJ450" s="342" t="s">
        <v>5887</v>
      </c>
    </row>
    <row r="451" spans="1:36">
      <c r="A451" s="342">
        <v>332667</v>
      </c>
      <c r="B451" s="342" t="s">
        <v>5390</v>
      </c>
      <c r="C451" s="342" t="s">
        <v>5391</v>
      </c>
      <c r="D451" s="342">
        <v>81300</v>
      </c>
      <c r="E451" s="342" t="s">
        <v>5392</v>
      </c>
      <c r="F451" s="342" t="s">
        <v>47</v>
      </c>
      <c r="G451" s="342" t="s">
        <v>5413</v>
      </c>
      <c r="H451" s="342" t="s">
        <v>591</v>
      </c>
      <c r="I451" s="342" t="s">
        <v>1100</v>
      </c>
      <c r="J451" s="342" t="s">
        <v>4638</v>
      </c>
      <c r="K451" s="342" t="s">
        <v>1402</v>
      </c>
      <c r="L451" s="343">
        <v>45229</v>
      </c>
      <c r="M451" s="343">
        <v>44673</v>
      </c>
      <c r="O451" s="342" t="s">
        <v>5394</v>
      </c>
      <c r="R451" s="342">
        <v>9100</v>
      </c>
      <c r="S451" s="342" t="s">
        <v>1568</v>
      </c>
      <c r="V451" s="342" t="s">
        <v>2109</v>
      </c>
      <c r="W451" s="342">
        <v>309701</v>
      </c>
      <c r="X451" s="342" t="s">
        <v>4989</v>
      </c>
      <c r="Y451" s="343">
        <v>44673</v>
      </c>
      <c r="Z451" s="342" t="s">
        <v>4063</v>
      </c>
      <c r="AA451" s="343">
        <v>44673</v>
      </c>
      <c r="AB451" s="342" t="s">
        <v>4064</v>
      </c>
      <c r="AC451" s="342" t="s">
        <v>4064</v>
      </c>
      <c r="AD451" s="342" t="s">
        <v>4065</v>
      </c>
      <c r="AI451" s="342" t="s">
        <v>4067</v>
      </c>
      <c r="AJ451" s="342" t="s">
        <v>5861</v>
      </c>
    </row>
    <row r="452" spans="1:36">
      <c r="A452" s="342">
        <v>333368</v>
      </c>
      <c r="B452" s="342" t="s">
        <v>5540</v>
      </c>
      <c r="C452" s="342" t="s">
        <v>5541</v>
      </c>
      <c r="D452" s="342">
        <v>86101</v>
      </c>
      <c r="E452" s="342" t="s">
        <v>5542</v>
      </c>
      <c r="F452" s="342" t="s">
        <v>47</v>
      </c>
      <c r="H452" s="342" t="s">
        <v>591</v>
      </c>
      <c r="I452" s="342" t="s">
        <v>737</v>
      </c>
      <c r="J452" s="342" t="s">
        <v>5280</v>
      </c>
      <c r="K452" s="342" t="s">
        <v>1402</v>
      </c>
      <c r="L452" s="343">
        <v>45473</v>
      </c>
      <c r="M452" s="343">
        <v>44728</v>
      </c>
      <c r="O452" s="342" t="s">
        <v>5629</v>
      </c>
      <c r="P452" s="342" t="s">
        <v>5580</v>
      </c>
      <c r="Q452" s="342">
        <v>6113779264</v>
      </c>
      <c r="R452" s="342" t="s">
        <v>1581</v>
      </c>
      <c r="U452" s="342" t="s">
        <v>5584</v>
      </c>
      <c r="V452" s="342" t="s">
        <v>4062</v>
      </c>
      <c r="W452" s="342">
        <v>309776</v>
      </c>
      <c r="X452" s="342" t="s">
        <v>5338</v>
      </c>
      <c r="Y452" s="343">
        <v>44726</v>
      </c>
      <c r="Z452" s="342" t="s">
        <v>4063</v>
      </c>
      <c r="AA452" s="343">
        <v>44728</v>
      </c>
      <c r="AB452" s="342" t="s">
        <v>4064</v>
      </c>
      <c r="AC452" s="342" t="s">
        <v>4064</v>
      </c>
      <c r="AD452" s="342" t="s">
        <v>4065</v>
      </c>
      <c r="AI452" s="342" t="s">
        <v>4067</v>
      </c>
      <c r="AJ452" s="342" t="s">
        <v>5861</v>
      </c>
    </row>
    <row r="453" spans="1:36">
      <c r="A453" s="342">
        <v>333461</v>
      </c>
      <c r="B453" s="342" t="s">
        <v>5599</v>
      </c>
      <c r="C453" s="342" t="s">
        <v>5600</v>
      </c>
      <c r="D453" s="342">
        <v>29334</v>
      </c>
      <c r="E453" s="342" t="s">
        <v>5601</v>
      </c>
      <c r="F453" s="342" t="s">
        <v>51</v>
      </c>
      <c r="H453" s="342" t="s">
        <v>591</v>
      </c>
      <c r="I453" s="342" t="s">
        <v>40</v>
      </c>
      <c r="J453" s="342" t="s">
        <v>5281</v>
      </c>
      <c r="K453" s="342" t="s">
        <v>1233</v>
      </c>
      <c r="L453" s="343">
        <v>45657</v>
      </c>
      <c r="M453" s="343">
        <v>44754</v>
      </c>
      <c r="O453" s="342" t="s">
        <v>5630</v>
      </c>
      <c r="P453" s="342" t="s">
        <v>5641</v>
      </c>
      <c r="Q453" s="342">
        <v>6124628184</v>
      </c>
      <c r="R453" s="342">
        <v>9110</v>
      </c>
      <c r="U453" s="342" t="s">
        <v>5655</v>
      </c>
      <c r="V453" s="342" t="s">
        <v>2099</v>
      </c>
      <c r="W453" s="342">
        <v>309815</v>
      </c>
      <c r="X453" s="342" t="s">
        <v>5343</v>
      </c>
      <c r="Y453" s="343">
        <v>44733</v>
      </c>
      <c r="Z453" s="342" t="s">
        <v>4063</v>
      </c>
      <c r="AA453" s="343">
        <v>44754</v>
      </c>
      <c r="AB453" s="342" t="s">
        <v>4064</v>
      </c>
      <c r="AC453" s="342" t="s">
        <v>4064</v>
      </c>
      <c r="AD453" s="342" t="s">
        <v>4065</v>
      </c>
      <c r="AI453" s="342" t="s">
        <v>4111</v>
      </c>
      <c r="AJ453" s="342" t="s">
        <v>5844</v>
      </c>
    </row>
    <row r="454" spans="1:36">
      <c r="A454" s="342">
        <v>333465</v>
      </c>
      <c r="B454" s="342" t="s">
        <v>5602</v>
      </c>
      <c r="C454" s="342" t="s">
        <v>5603</v>
      </c>
      <c r="D454" s="342">
        <v>85027</v>
      </c>
      <c r="E454" s="342" t="s">
        <v>195</v>
      </c>
      <c r="F454" s="342" t="s">
        <v>51</v>
      </c>
      <c r="G454" s="342">
        <v>26452</v>
      </c>
      <c r="H454" s="342" t="s">
        <v>591</v>
      </c>
      <c r="I454" s="342" t="s">
        <v>40</v>
      </c>
      <c r="J454" s="342" t="s">
        <v>5281</v>
      </c>
      <c r="K454" s="342" t="s">
        <v>1233</v>
      </c>
      <c r="L454" s="343">
        <v>45077</v>
      </c>
      <c r="M454" s="343">
        <v>44754</v>
      </c>
      <c r="O454" s="342" t="s">
        <v>5683</v>
      </c>
      <c r="P454" s="342" t="s">
        <v>5642</v>
      </c>
      <c r="Q454" s="342">
        <v>6115360422</v>
      </c>
      <c r="R454" s="342">
        <v>9110</v>
      </c>
      <c r="U454" s="342" t="s">
        <v>5656</v>
      </c>
      <c r="V454" s="342" t="s">
        <v>2099</v>
      </c>
      <c r="W454" s="342">
        <v>309817</v>
      </c>
      <c r="X454" s="342" t="s">
        <v>5343</v>
      </c>
      <c r="Y454" s="343">
        <v>44733</v>
      </c>
      <c r="Z454" s="342" t="s">
        <v>4063</v>
      </c>
      <c r="AA454" s="343">
        <v>44754</v>
      </c>
      <c r="AB454" s="342" t="s">
        <v>4064</v>
      </c>
      <c r="AC454" s="342" t="s">
        <v>4064</v>
      </c>
      <c r="AD454" s="342" t="s">
        <v>4065</v>
      </c>
      <c r="AI454" s="342" t="s">
        <v>4111</v>
      </c>
      <c r="AJ454" s="342" t="s">
        <v>5855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8"/>
  <sheetViews>
    <sheetView zoomScale="91" zoomScaleNormal="50" workbookViewId="0">
      <selection activeCell="A3" sqref="A3:XFD3"/>
    </sheetView>
  </sheetViews>
  <sheetFormatPr baseColWidth="10" defaultColWidth="8.7265625" defaultRowHeight="12.5"/>
  <cols>
    <col min="1" max="1" width="16.90625" customWidth="1"/>
    <col min="2" max="2" width="40.81640625" customWidth="1"/>
    <col min="3" max="3" width="19.81640625" customWidth="1"/>
    <col min="4" max="4" width="15.453125" customWidth="1"/>
    <col min="5" max="5" width="22.90625" customWidth="1"/>
    <col min="6" max="7" width="12.90625" customWidth="1"/>
    <col min="8" max="8" width="13.6328125" customWidth="1"/>
    <col min="9" max="9" width="34.6328125" customWidth="1"/>
    <col min="10" max="10" width="33.1796875" customWidth="1"/>
    <col min="11" max="11" width="27.36328125" customWidth="1"/>
    <col min="12" max="12" width="30.81640625" customWidth="1"/>
    <col min="13" max="13" width="18.81640625" customWidth="1"/>
    <col min="14" max="14" width="15.1796875" customWidth="1"/>
    <col min="15" max="15" width="25.81640625" customWidth="1"/>
    <col min="16" max="16" width="31.6328125" customWidth="1"/>
  </cols>
  <sheetData>
    <row r="1" spans="1:16" s="254" customFormat="1" ht="51.75" customHeight="1">
      <c r="A1" s="256" t="s">
        <v>38</v>
      </c>
      <c r="B1" s="256" t="s">
        <v>15</v>
      </c>
      <c r="C1" s="256" t="s">
        <v>24</v>
      </c>
      <c r="D1" s="256" t="s">
        <v>25</v>
      </c>
      <c r="E1" s="256" t="s">
        <v>16</v>
      </c>
      <c r="F1" s="256" t="s">
        <v>17</v>
      </c>
      <c r="G1" s="256" t="s">
        <v>34</v>
      </c>
      <c r="H1" s="257" t="s">
        <v>37</v>
      </c>
      <c r="I1" s="257" t="s">
        <v>18</v>
      </c>
      <c r="J1" s="258" t="s">
        <v>19</v>
      </c>
      <c r="K1" s="255" t="s">
        <v>20</v>
      </c>
      <c r="L1" s="255" t="s">
        <v>4041</v>
      </c>
      <c r="M1" s="259" t="s">
        <v>4326</v>
      </c>
      <c r="N1" s="260" t="s">
        <v>4048</v>
      </c>
      <c r="O1" s="260" t="s">
        <v>4049</v>
      </c>
      <c r="P1" s="260" t="s">
        <v>4050</v>
      </c>
    </row>
    <row r="2" spans="1:16" s="254" customFormat="1" ht="59.15" customHeight="1">
      <c r="A2" s="267">
        <v>138812</v>
      </c>
      <c r="B2" s="325" t="s">
        <v>5938</v>
      </c>
      <c r="C2" s="325" t="s">
        <v>5939</v>
      </c>
      <c r="D2" s="325">
        <v>20539</v>
      </c>
      <c r="E2" s="325" t="s">
        <v>74</v>
      </c>
      <c r="F2" s="325" t="s">
        <v>55</v>
      </c>
      <c r="G2" s="325" t="s">
        <v>5940</v>
      </c>
      <c r="H2" s="326" t="s">
        <v>591</v>
      </c>
      <c r="I2" s="325" t="s">
        <v>737</v>
      </c>
      <c r="J2" s="325" t="s">
        <v>1277</v>
      </c>
      <c r="K2" s="327" t="s">
        <v>1402</v>
      </c>
      <c r="L2" s="327" t="s">
        <v>4990</v>
      </c>
      <c r="M2" s="325"/>
      <c r="N2" s="268" t="s">
        <v>4065</v>
      </c>
      <c r="O2" s="328"/>
      <c r="P2" s="328" t="s">
        <v>5970</v>
      </c>
    </row>
    <row r="3" spans="1:16" s="254" customFormat="1" ht="59.15" customHeight="1">
      <c r="A3" s="266">
        <v>330761</v>
      </c>
      <c r="B3" s="325" t="s">
        <v>5899</v>
      </c>
      <c r="C3" s="325" t="s">
        <v>5900</v>
      </c>
      <c r="D3" s="325">
        <v>508756</v>
      </c>
      <c r="E3" s="325" t="s">
        <v>336</v>
      </c>
      <c r="F3" s="325" t="s">
        <v>337</v>
      </c>
      <c r="G3" s="325" t="s">
        <v>5901</v>
      </c>
      <c r="H3" s="326" t="s">
        <v>591</v>
      </c>
      <c r="I3" s="325" t="s">
        <v>40</v>
      </c>
      <c r="J3" s="325" t="s">
        <v>5283</v>
      </c>
      <c r="K3" s="327" t="s">
        <v>1402</v>
      </c>
      <c r="L3" s="327" t="s">
        <v>5388</v>
      </c>
      <c r="M3" s="269" t="s">
        <v>4065</v>
      </c>
      <c r="N3" s="325"/>
      <c r="O3" s="328"/>
      <c r="P3" s="328"/>
    </row>
    <row r="4" spans="1:16" s="254" customFormat="1" ht="59.15" customHeight="1">
      <c r="A4" s="266"/>
      <c r="B4" s="325"/>
      <c r="C4" s="325"/>
      <c r="D4" s="325"/>
      <c r="E4" s="325"/>
      <c r="F4" s="325"/>
      <c r="G4" s="325"/>
      <c r="H4" s="326"/>
      <c r="I4" s="325"/>
      <c r="J4" s="325"/>
      <c r="K4" s="327"/>
      <c r="L4" s="327"/>
      <c r="M4" s="269"/>
      <c r="N4" s="325"/>
      <c r="O4" s="328"/>
      <c r="P4" s="328"/>
    </row>
    <row r="5" spans="1:16" s="254" customFormat="1" ht="59.15" customHeight="1">
      <c r="A5" s="267"/>
      <c r="B5" s="325"/>
      <c r="C5" s="325"/>
      <c r="D5" s="325"/>
      <c r="E5" s="325"/>
      <c r="F5" s="325"/>
      <c r="G5" s="325"/>
      <c r="H5" s="326"/>
      <c r="I5" s="325"/>
      <c r="J5" s="325"/>
      <c r="K5" s="327"/>
      <c r="L5" s="327"/>
      <c r="M5" s="325"/>
      <c r="N5" s="268"/>
      <c r="O5" s="328"/>
      <c r="P5" s="328"/>
    </row>
    <row r="6" spans="1:16" s="254" customFormat="1" ht="59.15" customHeight="1">
      <c r="A6" s="267"/>
      <c r="B6" s="325"/>
      <c r="C6" s="325"/>
      <c r="D6" s="325"/>
      <c r="E6" s="325"/>
      <c r="F6" s="325"/>
      <c r="G6" s="325"/>
      <c r="H6" s="326"/>
      <c r="I6" s="325"/>
      <c r="J6" s="325"/>
      <c r="K6" s="327"/>
      <c r="L6" s="327"/>
      <c r="M6" s="325"/>
      <c r="N6" s="268"/>
      <c r="O6" s="328"/>
      <c r="P6" s="328"/>
    </row>
    <row r="7" spans="1:16" s="254" customFormat="1" ht="59.15" customHeight="1">
      <c r="A7" s="267"/>
      <c r="B7" s="325"/>
      <c r="C7" s="325"/>
      <c r="D7" s="325"/>
      <c r="E7" s="325"/>
      <c r="F7" s="325"/>
      <c r="G7" s="325"/>
      <c r="H7" s="326"/>
      <c r="I7" s="325"/>
      <c r="J7" s="325"/>
      <c r="K7" s="327"/>
      <c r="L7" s="327"/>
      <c r="M7" s="325"/>
      <c r="N7" s="268"/>
      <c r="O7" s="328"/>
      <c r="P7" s="328"/>
    </row>
    <row r="8" spans="1:16" s="254" customFormat="1" ht="59.15" customHeight="1">
      <c r="A8" s="266"/>
      <c r="B8" s="325"/>
      <c r="C8" s="325"/>
      <c r="D8" s="325"/>
      <c r="E8" s="325"/>
      <c r="F8" s="325"/>
      <c r="G8" s="325"/>
      <c r="H8" s="326"/>
      <c r="I8" s="325"/>
      <c r="J8" s="325"/>
      <c r="K8" s="327"/>
      <c r="L8" s="327"/>
      <c r="M8" s="269"/>
      <c r="N8" s="325"/>
      <c r="O8" s="328"/>
      <c r="P8" s="32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66FF33"/>
    <pageSetUpPr fitToPage="1"/>
  </sheetPr>
  <dimension ref="A1:I3394"/>
  <sheetViews>
    <sheetView topLeftCell="A6" zoomScaleNormal="100" zoomScaleSheetLayoutView="100" workbookViewId="0">
      <selection activeCell="B27" sqref="B27"/>
    </sheetView>
  </sheetViews>
  <sheetFormatPr baseColWidth="10" defaultColWidth="11.453125" defaultRowHeight="10"/>
  <cols>
    <col min="1" max="1" width="3.81640625" style="6" customWidth="1"/>
    <col min="2" max="2" width="68.26953125" style="6" customWidth="1"/>
    <col min="3" max="3" width="8.453125" style="6" customWidth="1"/>
    <col min="4" max="4" width="6.54296875" style="6" customWidth="1"/>
    <col min="5" max="5" width="4.1796875" style="6" customWidth="1"/>
    <col min="6" max="6" width="12.453125" style="6" customWidth="1"/>
    <col min="7" max="7" width="3.1796875" style="7" customWidth="1"/>
    <col min="8" max="8" width="15.26953125" style="7" customWidth="1"/>
    <col min="9" max="16384" width="11.453125" style="6"/>
  </cols>
  <sheetData>
    <row r="1" spans="1:9" ht="10.5" thickBot="1">
      <c r="A1" s="19"/>
      <c r="B1" s="19"/>
      <c r="C1" s="19"/>
      <c r="D1" s="19"/>
      <c r="E1" s="19"/>
      <c r="F1" s="19"/>
      <c r="G1" s="19"/>
      <c r="H1" s="19"/>
    </row>
    <row r="2" spans="1:9" ht="12" thickBot="1">
      <c r="A2" s="19"/>
      <c r="B2" s="98">
        <f>COUNTA(Severity)</f>
        <v>16</v>
      </c>
      <c r="C2" s="383" t="s">
        <v>14</v>
      </c>
      <c r="D2" s="384"/>
      <c r="E2" s="384">
        <v>0</v>
      </c>
      <c r="F2" s="385"/>
      <c r="G2" s="20"/>
      <c r="H2" s="20"/>
    </row>
    <row r="3" spans="1:9" ht="11.5">
      <c r="A3" s="19"/>
      <c r="B3" s="23" t="s">
        <v>10</v>
      </c>
      <c r="C3" s="371"/>
      <c r="D3" s="372"/>
      <c r="E3" s="372"/>
      <c r="F3" s="373"/>
      <c r="G3" s="20"/>
      <c r="H3" s="20"/>
    </row>
    <row r="4" spans="1:9" ht="12.5">
      <c r="A4" s="19"/>
      <c r="B4" s="24" t="s">
        <v>41</v>
      </c>
      <c r="C4" s="386"/>
      <c r="D4" s="386"/>
      <c r="E4" s="386"/>
      <c r="F4" s="387"/>
      <c r="G4" s="20"/>
      <c r="H4" s="20"/>
      <c r="I4"/>
    </row>
    <row r="5" spans="1:9" ht="12.5">
      <c r="A5" s="19"/>
      <c r="B5" s="25" t="s">
        <v>43</v>
      </c>
      <c r="C5" s="379"/>
      <c r="D5" s="379"/>
      <c r="E5" s="379"/>
      <c r="F5" s="380"/>
      <c r="G5" s="20"/>
      <c r="H5" s="20"/>
      <c r="I5"/>
    </row>
    <row r="6" spans="1:9" ht="12.5">
      <c r="A6" s="19"/>
      <c r="B6" s="25" t="s">
        <v>749</v>
      </c>
      <c r="C6" s="379"/>
      <c r="D6" s="379"/>
      <c r="E6" s="379"/>
      <c r="F6" s="380"/>
      <c r="G6" s="20"/>
      <c r="H6" s="20"/>
      <c r="I6"/>
    </row>
    <row r="7" spans="1:9" ht="12.5">
      <c r="A7" s="19"/>
      <c r="B7" s="24" t="s">
        <v>40</v>
      </c>
      <c r="C7" s="379"/>
      <c r="D7" s="379"/>
      <c r="E7" s="379"/>
      <c r="F7" s="380"/>
      <c r="G7" s="20"/>
      <c r="H7" s="20"/>
      <c r="I7"/>
    </row>
    <row r="8" spans="1:9" ht="12.5">
      <c r="A8" s="19"/>
      <c r="B8" s="24" t="s">
        <v>737</v>
      </c>
      <c r="C8" s="388"/>
      <c r="D8" s="389"/>
      <c r="E8" s="389"/>
      <c r="F8" s="390"/>
      <c r="G8" s="20"/>
      <c r="H8" s="20"/>
      <c r="I8"/>
    </row>
    <row r="9" spans="1:9" ht="12.5">
      <c r="A9" s="19"/>
      <c r="B9" s="234" t="s">
        <v>1435</v>
      </c>
      <c r="C9" s="235"/>
      <c r="D9" s="236"/>
      <c r="E9" s="236"/>
      <c r="F9" s="237"/>
      <c r="G9" s="20"/>
      <c r="H9" s="20"/>
      <c r="I9"/>
    </row>
    <row r="10" spans="1:9" ht="12.5">
      <c r="A10" s="19"/>
      <c r="B10" s="24" t="s">
        <v>42</v>
      </c>
      <c r="C10" s="386"/>
      <c r="D10" s="386"/>
      <c r="E10" s="386"/>
      <c r="F10" s="387"/>
      <c r="G10" s="20"/>
      <c r="H10" s="20"/>
      <c r="I10"/>
    </row>
    <row r="11" spans="1:9" ht="12.5">
      <c r="A11" s="19"/>
      <c r="B11" s="24" t="s">
        <v>44</v>
      </c>
      <c r="C11" s="379"/>
      <c r="D11" s="379"/>
      <c r="E11" s="379"/>
      <c r="F11" s="380"/>
      <c r="G11" s="20"/>
      <c r="H11" s="20"/>
      <c r="I11"/>
    </row>
    <row r="12" spans="1:9" ht="12.5">
      <c r="A12" s="19"/>
      <c r="B12" s="25" t="s">
        <v>1114</v>
      </c>
      <c r="C12" s="379"/>
      <c r="D12" s="379"/>
      <c r="E12" s="379"/>
      <c r="F12" s="380"/>
      <c r="G12" s="20"/>
      <c r="H12" s="20"/>
      <c r="I12"/>
    </row>
    <row r="13" spans="1:9" ht="12.5">
      <c r="A13" s="19"/>
      <c r="B13" s="25" t="s">
        <v>1191</v>
      </c>
      <c r="C13" s="379"/>
      <c r="D13" s="379"/>
      <c r="E13" s="379"/>
      <c r="F13" s="380"/>
      <c r="G13" s="20"/>
      <c r="H13" s="20"/>
      <c r="I13"/>
    </row>
    <row r="14" spans="1:9" ht="12.5">
      <c r="A14" s="19"/>
      <c r="B14" s="24" t="s">
        <v>1100</v>
      </c>
      <c r="C14" s="379"/>
      <c r="D14" s="379"/>
      <c r="E14" s="379"/>
      <c r="F14" s="380"/>
      <c r="G14" s="20"/>
      <c r="H14" s="20"/>
      <c r="I14"/>
    </row>
    <row r="15" spans="1:9" ht="12.5">
      <c r="A15" s="19"/>
      <c r="B15" s="24" t="s">
        <v>685</v>
      </c>
      <c r="C15" s="379"/>
      <c r="D15" s="379"/>
      <c r="E15" s="379"/>
      <c r="F15" s="380"/>
      <c r="G15" s="20"/>
      <c r="H15" s="20"/>
      <c r="I15"/>
    </row>
    <row r="16" spans="1:9" ht="12.5">
      <c r="A16" s="19"/>
      <c r="B16" s="24" t="s">
        <v>784</v>
      </c>
      <c r="C16" s="379"/>
      <c r="D16" s="379"/>
      <c r="E16" s="379"/>
      <c r="F16" s="380"/>
      <c r="G16" s="20"/>
      <c r="H16" s="20"/>
      <c r="I16"/>
    </row>
    <row r="17" spans="1:9" ht="12.5">
      <c r="A17" s="19"/>
      <c r="B17" s="25" t="s">
        <v>787</v>
      </c>
      <c r="C17" s="379"/>
      <c r="D17" s="379"/>
      <c r="E17" s="379"/>
      <c r="F17" s="380"/>
      <c r="G17" s="20"/>
      <c r="H17" s="20"/>
      <c r="I17"/>
    </row>
    <row r="18" spans="1:9" ht="12.5">
      <c r="A18" s="19"/>
      <c r="B18" s="24" t="s">
        <v>5447</v>
      </c>
      <c r="C18" s="379"/>
      <c r="D18" s="379"/>
      <c r="E18" s="379"/>
      <c r="F18" s="380"/>
      <c r="G18" s="20"/>
      <c r="H18" s="20"/>
      <c r="I18"/>
    </row>
    <row r="19" spans="1:9" ht="12.5">
      <c r="A19" s="19"/>
      <c r="B19" s="24" t="s">
        <v>5448</v>
      </c>
      <c r="C19" s="374"/>
      <c r="D19" s="375"/>
      <c r="E19" s="375"/>
      <c r="F19" s="376"/>
      <c r="G19" s="20"/>
      <c r="H19" s="20"/>
      <c r="I19"/>
    </row>
    <row r="20" spans="1:9" ht="12" customHeight="1" thickBot="1">
      <c r="A20" s="19"/>
      <c r="B20" s="26"/>
      <c r="C20" s="377"/>
      <c r="D20" s="377"/>
      <c r="E20" s="377"/>
      <c r="F20" s="378"/>
      <c r="G20" s="19"/>
      <c r="H20" s="19"/>
    </row>
    <row r="21" spans="1:9" ht="11.5">
      <c r="A21" s="19"/>
      <c r="B21" s="22"/>
      <c r="C21" s="28"/>
      <c r="D21" s="28"/>
      <c r="E21" s="28"/>
      <c r="F21" s="28"/>
      <c r="G21" s="19"/>
      <c r="H21" s="19"/>
    </row>
    <row r="22" spans="1:9" ht="12" thickBot="1">
      <c r="A22" s="19"/>
      <c r="B22" s="29"/>
      <c r="C22" s="30"/>
      <c r="D22" s="30"/>
      <c r="E22" s="30"/>
      <c r="F22" s="30"/>
      <c r="G22" s="19"/>
      <c r="H22" s="19"/>
    </row>
    <row r="23" spans="1:9" ht="14.15" customHeight="1">
      <c r="A23" s="19"/>
      <c r="B23" s="23" t="s">
        <v>29</v>
      </c>
      <c r="C23" s="371"/>
      <c r="D23" s="372"/>
      <c r="E23" s="372"/>
      <c r="F23" s="373"/>
      <c r="G23" s="19"/>
      <c r="H23" s="19"/>
    </row>
    <row r="24" spans="1:9" ht="12" thickBot="1">
      <c r="A24" s="19"/>
      <c r="B24" s="27">
        <v>60</v>
      </c>
      <c r="C24" s="381"/>
      <c r="D24" s="381"/>
      <c r="E24" s="381"/>
      <c r="F24" s="382"/>
      <c r="G24" s="19"/>
      <c r="H24" s="19"/>
    </row>
    <row r="25" spans="1:9" ht="10.5" thickBot="1">
      <c r="A25" s="19"/>
      <c r="B25" s="19"/>
      <c r="C25" s="19"/>
      <c r="D25" s="19"/>
      <c r="E25" s="19"/>
      <c r="F25" s="19"/>
      <c r="G25" s="19"/>
      <c r="H25" s="19"/>
    </row>
    <row r="26" spans="1:9" ht="14.15" customHeight="1">
      <c r="A26" s="19"/>
      <c r="B26" s="23" t="s">
        <v>30</v>
      </c>
      <c r="C26" s="371"/>
      <c r="D26" s="372"/>
      <c r="E26" s="372"/>
      <c r="F26" s="373"/>
      <c r="G26" s="19"/>
      <c r="H26" s="19"/>
    </row>
    <row r="27" spans="1:9" ht="12" thickBot="1">
      <c r="A27" s="21"/>
      <c r="B27" s="27">
        <v>60</v>
      </c>
      <c r="C27" s="368"/>
      <c r="D27" s="369"/>
      <c r="E27" s="369"/>
      <c r="F27" s="370"/>
      <c r="G27" s="21"/>
      <c r="H27" s="21"/>
    </row>
    <row r="28" spans="1:9">
      <c r="A28" s="21"/>
      <c r="B28" s="21"/>
      <c r="C28" s="21"/>
      <c r="D28" s="21"/>
      <c r="E28" s="21"/>
      <c r="F28" s="21"/>
      <c r="G28" s="21"/>
      <c r="H28" s="21"/>
    </row>
    <row r="29" spans="1:9">
      <c r="A29" s="21"/>
      <c r="B29" s="21"/>
      <c r="C29" s="21"/>
      <c r="D29" s="21"/>
      <c r="E29" s="21"/>
      <c r="F29" s="21"/>
      <c r="G29" s="21"/>
      <c r="H29" s="21"/>
    </row>
    <row r="30" spans="1:9">
      <c r="E30" s="7"/>
    </row>
    <row r="31" spans="1:9">
      <c r="E31" s="7"/>
    </row>
    <row r="32" spans="1:9">
      <c r="E32" s="7"/>
    </row>
    <row r="33" spans="5:5">
      <c r="E33" s="7"/>
    </row>
    <row r="34" spans="5:5">
      <c r="E34" s="7"/>
    </row>
    <row r="35" spans="5:5">
      <c r="E35" s="7"/>
    </row>
    <row r="36" spans="5:5">
      <c r="E36" s="7"/>
    </row>
    <row r="37" spans="5:5">
      <c r="E37" s="7"/>
    </row>
    <row r="38" spans="5:5">
      <c r="E38" s="7"/>
    </row>
    <row r="39" spans="5:5">
      <c r="E39" s="7"/>
    </row>
    <row r="40" spans="5:5">
      <c r="E40" s="7"/>
    </row>
    <row r="41" spans="5:5">
      <c r="E41" s="7"/>
    </row>
    <row r="42" spans="5:5">
      <c r="E42" s="7"/>
    </row>
    <row r="43" spans="5:5">
      <c r="E43" s="7"/>
    </row>
    <row r="44" spans="5:5">
      <c r="E44" s="7"/>
    </row>
    <row r="45" spans="5:5">
      <c r="E45" s="7"/>
    </row>
    <row r="46" spans="5:5">
      <c r="E46" s="7"/>
    </row>
    <row r="47" spans="5:5">
      <c r="E47" s="7"/>
    </row>
    <row r="48" spans="5:5">
      <c r="E48" s="7"/>
    </row>
    <row r="49" spans="5:5">
      <c r="E49" s="7"/>
    </row>
    <row r="50" spans="5:5">
      <c r="E50" s="7"/>
    </row>
    <row r="51" spans="5:5">
      <c r="E51" s="7"/>
    </row>
    <row r="52" spans="5:5">
      <c r="E52" s="7"/>
    </row>
    <row r="53" spans="5:5">
      <c r="E53" s="7"/>
    </row>
    <row r="54" spans="5:5">
      <c r="E54" s="7"/>
    </row>
    <row r="55" spans="5:5">
      <c r="E55" s="7"/>
    </row>
    <row r="56" spans="5:5">
      <c r="E56" s="7"/>
    </row>
    <row r="57" spans="5:5">
      <c r="E57" s="7"/>
    </row>
    <row r="58" spans="5:5">
      <c r="E58" s="7"/>
    </row>
    <row r="59" spans="5:5">
      <c r="E59" s="7"/>
    </row>
    <row r="60" spans="5:5">
      <c r="E60" s="7"/>
    </row>
    <row r="61" spans="5:5">
      <c r="E61" s="7"/>
    </row>
    <row r="62" spans="5:5">
      <c r="E62" s="7"/>
    </row>
    <row r="63" spans="5:5">
      <c r="E63" s="7"/>
    </row>
    <row r="64" spans="5:5">
      <c r="E64" s="7"/>
    </row>
    <row r="65" spans="5:5">
      <c r="E65" s="7"/>
    </row>
    <row r="66" spans="5:5">
      <c r="E66" s="7"/>
    </row>
    <row r="67" spans="5:5">
      <c r="E67" s="7"/>
    </row>
    <row r="68" spans="5:5">
      <c r="E68" s="7"/>
    </row>
    <row r="69" spans="5:5">
      <c r="E69" s="7"/>
    </row>
    <row r="70" spans="5:5">
      <c r="E70" s="7"/>
    </row>
    <row r="71" spans="5:5">
      <c r="E71" s="7"/>
    </row>
    <row r="72" spans="5:5">
      <c r="E72" s="7"/>
    </row>
    <row r="73" spans="5:5">
      <c r="E73" s="7"/>
    </row>
    <row r="74" spans="5:5">
      <c r="E74" s="7"/>
    </row>
    <row r="75" spans="5:5">
      <c r="E75" s="7"/>
    </row>
    <row r="76" spans="5:5">
      <c r="E76" s="7"/>
    </row>
    <row r="77" spans="5:5">
      <c r="E77" s="7"/>
    </row>
    <row r="78" spans="5:5">
      <c r="E78" s="7"/>
    </row>
    <row r="79" spans="5:5">
      <c r="E79" s="7"/>
    </row>
    <row r="80" spans="5:5">
      <c r="E80" s="7"/>
    </row>
    <row r="81" spans="5:5">
      <c r="E81" s="7"/>
    </row>
    <row r="82" spans="5:5">
      <c r="E82" s="7"/>
    </row>
    <row r="83" spans="5:5">
      <c r="E83" s="7"/>
    </row>
    <row r="84" spans="5:5">
      <c r="E84" s="7"/>
    </row>
    <row r="85" spans="5:5">
      <c r="E85" s="7"/>
    </row>
    <row r="86" spans="5:5">
      <c r="E86" s="7"/>
    </row>
    <row r="87" spans="5:5">
      <c r="E87" s="7"/>
    </row>
    <row r="88" spans="5:5">
      <c r="E88" s="7"/>
    </row>
    <row r="89" spans="5:5">
      <c r="E89" s="7"/>
    </row>
    <row r="90" spans="5:5">
      <c r="E90" s="7"/>
    </row>
    <row r="91" spans="5:5">
      <c r="E91" s="7"/>
    </row>
    <row r="92" spans="5:5">
      <c r="E92" s="7"/>
    </row>
    <row r="93" spans="5:5">
      <c r="E93" s="7"/>
    </row>
    <row r="94" spans="5:5">
      <c r="E94" s="7"/>
    </row>
    <row r="95" spans="5:5">
      <c r="E95" s="7"/>
    </row>
    <row r="96" spans="5:5">
      <c r="E96" s="7"/>
    </row>
    <row r="97" spans="5:5">
      <c r="E97" s="7"/>
    </row>
    <row r="98" spans="5:5">
      <c r="E98" s="7"/>
    </row>
    <row r="99" spans="5:5">
      <c r="E99" s="7"/>
    </row>
    <row r="100" spans="5:5">
      <c r="E100" s="7"/>
    </row>
    <row r="101" spans="5:5">
      <c r="E101" s="7"/>
    </row>
    <row r="102" spans="5:5">
      <c r="E102" s="7"/>
    </row>
    <row r="103" spans="5:5">
      <c r="E103" s="7"/>
    </row>
    <row r="104" spans="5:5">
      <c r="E104" s="7"/>
    </row>
    <row r="105" spans="5:5">
      <c r="E105" s="7"/>
    </row>
    <row r="106" spans="5:5">
      <c r="E106" s="7"/>
    </row>
    <row r="107" spans="5:5">
      <c r="E107" s="7"/>
    </row>
    <row r="108" spans="5:5">
      <c r="E108" s="7"/>
    </row>
    <row r="109" spans="5:5">
      <c r="E109" s="7"/>
    </row>
    <row r="110" spans="5:5">
      <c r="E110" s="7"/>
    </row>
    <row r="111" spans="5:5">
      <c r="E111" s="7"/>
    </row>
    <row r="112" spans="5:5">
      <c r="E112" s="7"/>
    </row>
    <row r="113" spans="5:5">
      <c r="E113" s="7"/>
    </row>
    <row r="114" spans="5:5">
      <c r="E114" s="7"/>
    </row>
    <row r="115" spans="5:5">
      <c r="E115" s="7"/>
    </row>
    <row r="116" spans="5:5">
      <c r="E116" s="7"/>
    </row>
    <row r="117" spans="5:5">
      <c r="E117" s="7"/>
    </row>
    <row r="118" spans="5:5">
      <c r="E118" s="7"/>
    </row>
    <row r="119" spans="5:5">
      <c r="E119" s="7"/>
    </row>
    <row r="120" spans="5:5">
      <c r="E120" s="7"/>
    </row>
    <row r="121" spans="5:5">
      <c r="E121" s="7"/>
    </row>
    <row r="122" spans="5:5">
      <c r="E122" s="7"/>
    </row>
    <row r="123" spans="5:5">
      <c r="E123" s="7"/>
    </row>
    <row r="124" spans="5:5">
      <c r="E124" s="7"/>
    </row>
    <row r="125" spans="5:5">
      <c r="E125" s="7"/>
    </row>
    <row r="126" spans="5:5">
      <c r="E126" s="7"/>
    </row>
    <row r="127" spans="5:5">
      <c r="E127" s="7"/>
    </row>
    <row r="128" spans="5:5">
      <c r="E128" s="7"/>
    </row>
    <row r="129" spans="5:5">
      <c r="E129" s="7"/>
    </row>
    <row r="130" spans="5:5">
      <c r="E130" s="7"/>
    </row>
    <row r="131" spans="5:5">
      <c r="E131" s="7"/>
    </row>
    <row r="132" spans="5:5">
      <c r="E132" s="7"/>
    </row>
    <row r="133" spans="5:5">
      <c r="E133" s="7"/>
    </row>
    <row r="134" spans="5:5">
      <c r="E134" s="7"/>
    </row>
    <row r="135" spans="5:5">
      <c r="E135" s="7"/>
    </row>
    <row r="136" spans="5:5">
      <c r="E136" s="7"/>
    </row>
    <row r="137" spans="5:5">
      <c r="E137" s="7"/>
    </row>
    <row r="138" spans="5:5">
      <c r="E138" s="7"/>
    </row>
    <row r="139" spans="5:5">
      <c r="E139" s="7"/>
    </row>
    <row r="140" spans="5:5">
      <c r="E140" s="7"/>
    </row>
    <row r="141" spans="5:5">
      <c r="E141" s="7"/>
    </row>
    <row r="142" spans="5:5">
      <c r="E142" s="7"/>
    </row>
    <row r="143" spans="5:5">
      <c r="E143" s="7"/>
    </row>
    <row r="144" spans="5:5">
      <c r="E144" s="7"/>
    </row>
    <row r="145" spans="5:5">
      <c r="E145" s="7"/>
    </row>
    <row r="146" spans="5:5">
      <c r="E146" s="7"/>
    </row>
    <row r="147" spans="5:5">
      <c r="E147" s="7"/>
    </row>
    <row r="148" spans="5:5">
      <c r="E148" s="7"/>
    </row>
    <row r="149" spans="5:5">
      <c r="E149" s="7"/>
    </row>
    <row r="150" spans="5:5">
      <c r="E150" s="7"/>
    </row>
    <row r="151" spans="5:5">
      <c r="E151" s="7"/>
    </row>
    <row r="152" spans="5:5">
      <c r="E152" s="7"/>
    </row>
    <row r="153" spans="5:5">
      <c r="E153" s="7"/>
    </row>
    <row r="154" spans="5:5">
      <c r="E154" s="7"/>
    </row>
    <row r="155" spans="5:5">
      <c r="E155" s="7"/>
    </row>
    <row r="156" spans="5:5">
      <c r="E156" s="7"/>
    </row>
    <row r="157" spans="5:5">
      <c r="E157" s="7"/>
    </row>
    <row r="158" spans="5:5">
      <c r="E158" s="7"/>
    </row>
    <row r="159" spans="5:5">
      <c r="E159" s="7"/>
    </row>
    <row r="160" spans="5:5">
      <c r="E160" s="7"/>
    </row>
    <row r="161" spans="5:5">
      <c r="E161" s="7"/>
    </row>
    <row r="162" spans="5:5">
      <c r="E162" s="7"/>
    </row>
    <row r="163" spans="5:5">
      <c r="E163" s="7"/>
    </row>
    <row r="164" spans="5:5">
      <c r="E164" s="7"/>
    </row>
    <row r="165" spans="5:5">
      <c r="E165" s="7"/>
    </row>
    <row r="166" spans="5:5">
      <c r="E166" s="7"/>
    </row>
    <row r="167" spans="5:5">
      <c r="E167" s="7"/>
    </row>
    <row r="168" spans="5:5">
      <c r="E168" s="7"/>
    </row>
    <row r="169" spans="5:5">
      <c r="E169" s="7"/>
    </row>
    <row r="170" spans="5:5">
      <c r="E170" s="7"/>
    </row>
    <row r="171" spans="5:5">
      <c r="E171" s="7"/>
    </row>
    <row r="172" spans="5:5">
      <c r="E172" s="7"/>
    </row>
    <row r="173" spans="5:5">
      <c r="E173" s="7"/>
    </row>
    <row r="174" spans="5:5">
      <c r="E174" s="7"/>
    </row>
    <row r="175" spans="5:5">
      <c r="E175" s="7"/>
    </row>
    <row r="176" spans="5:5">
      <c r="E176" s="7"/>
    </row>
    <row r="177" spans="5:5">
      <c r="E177" s="7"/>
    </row>
    <row r="178" spans="5:5">
      <c r="E178" s="7"/>
    </row>
    <row r="179" spans="5:5">
      <c r="E179" s="7"/>
    </row>
    <row r="180" spans="5:5">
      <c r="E180" s="7"/>
    </row>
    <row r="181" spans="5:5">
      <c r="E181" s="7"/>
    </row>
    <row r="182" spans="5:5">
      <c r="E182" s="7"/>
    </row>
    <row r="183" spans="5:5">
      <c r="E183" s="7"/>
    </row>
    <row r="184" spans="5:5">
      <c r="E184" s="7"/>
    </row>
    <row r="185" spans="5:5">
      <c r="E185" s="7"/>
    </row>
    <row r="186" spans="5:5">
      <c r="E186" s="7"/>
    </row>
    <row r="187" spans="5:5">
      <c r="E187" s="7"/>
    </row>
    <row r="188" spans="5:5">
      <c r="E188" s="7"/>
    </row>
    <row r="189" spans="5:5">
      <c r="E189" s="7"/>
    </row>
    <row r="190" spans="5:5">
      <c r="E190" s="7"/>
    </row>
    <row r="191" spans="5:5">
      <c r="E191" s="7"/>
    </row>
    <row r="192" spans="5:5">
      <c r="E192" s="7"/>
    </row>
    <row r="193" spans="5:5">
      <c r="E193" s="7"/>
    </row>
    <row r="194" spans="5:5">
      <c r="E194" s="7"/>
    </row>
    <row r="195" spans="5:5">
      <c r="E195" s="7"/>
    </row>
    <row r="196" spans="5:5">
      <c r="E196" s="7"/>
    </row>
    <row r="197" spans="5:5">
      <c r="E197" s="7"/>
    </row>
    <row r="198" spans="5:5">
      <c r="E198" s="7"/>
    </row>
    <row r="199" spans="5:5">
      <c r="E199" s="7"/>
    </row>
    <row r="200" spans="5:5">
      <c r="E200" s="7"/>
    </row>
    <row r="201" spans="5:5">
      <c r="E201" s="7"/>
    </row>
    <row r="202" spans="5:5">
      <c r="E202" s="7"/>
    </row>
    <row r="203" spans="5:5">
      <c r="E203" s="7"/>
    </row>
    <row r="204" spans="5:5">
      <c r="E204" s="7"/>
    </row>
    <row r="205" spans="5:5">
      <c r="E205" s="7"/>
    </row>
    <row r="206" spans="5:5">
      <c r="E206" s="7"/>
    </row>
    <row r="207" spans="5:5">
      <c r="E207" s="7"/>
    </row>
    <row r="208" spans="5:5">
      <c r="E208" s="7"/>
    </row>
    <row r="209" spans="5:5">
      <c r="E209" s="7"/>
    </row>
    <row r="210" spans="5:5">
      <c r="E210" s="7"/>
    </row>
    <row r="211" spans="5:5">
      <c r="E211" s="7"/>
    </row>
    <row r="212" spans="5:5">
      <c r="E212" s="7"/>
    </row>
    <row r="213" spans="5:5">
      <c r="E213" s="7"/>
    </row>
    <row r="214" spans="5:5">
      <c r="E214" s="7"/>
    </row>
    <row r="215" spans="5:5">
      <c r="E215" s="7"/>
    </row>
    <row r="216" spans="5:5">
      <c r="E216" s="7"/>
    </row>
    <row r="217" spans="5:5">
      <c r="E217" s="7"/>
    </row>
    <row r="218" spans="5:5">
      <c r="E218" s="7"/>
    </row>
    <row r="219" spans="5:5">
      <c r="E219" s="7"/>
    </row>
    <row r="220" spans="5:5">
      <c r="E220" s="7"/>
    </row>
    <row r="221" spans="5:5">
      <c r="E221" s="7"/>
    </row>
    <row r="222" spans="5:5">
      <c r="E222" s="7"/>
    </row>
    <row r="223" spans="5:5">
      <c r="E223" s="7"/>
    </row>
    <row r="224" spans="5:5">
      <c r="E224" s="7"/>
    </row>
    <row r="225" spans="5:5">
      <c r="E225" s="7"/>
    </row>
    <row r="226" spans="5:5">
      <c r="E226" s="7"/>
    </row>
    <row r="227" spans="5:5">
      <c r="E227" s="7"/>
    </row>
    <row r="228" spans="5:5">
      <c r="E228" s="7"/>
    </row>
    <row r="229" spans="5:5">
      <c r="E229" s="7"/>
    </row>
    <row r="230" spans="5:5">
      <c r="E230" s="7"/>
    </row>
    <row r="231" spans="5:5">
      <c r="E231" s="7"/>
    </row>
    <row r="232" spans="5:5">
      <c r="E232" s="7"/>
    </row>
    <row r="233" spans="5:5">
      <c r="E233" s="7"/>
    </row>
    <row r="234" spans="5:5">
      <c r="E234" s="7"/>
    </row>
    <row r="235" spans="5:5">
      <c r="E235" s="7"/>
    </row>
    <row r="236" spans="5:5">
      <c r="E236" s="7"/>
    </row>
    <row r="237" spans="5:5">
      <c r="E237" s="7"/>
    </row>
    <row r="238" spans="5:5">
      <c r="E238" s="7"/>
    </row>
    <row r="239" spans="5:5">
      <c r="E239" s="7"/>
    </row>
    <row r="240" spans="5:5">
      <c r="E240" s="7"/>
    </row>
    <row r="241" spans="5:5">
      <c r="E241" s="7"/>
    </row>
    <row r="242" spans="5:5">
      <c r="E242" s="7"/>
    </row>
    <row r="243" spans="5:5">
      <c r="E243" s="7"/>
    </row>
    <row r="244" spans="5:5">
      <c r="E244" s="7"/>
    </row>
    <row r="245" spans="5:5">
      <c r="E245" s="7"/>
    </row>
    <row r="246" spans="5:5">
      <c r="E246" s="7"/>
    </row>
    <row r="247" spans="5:5">
      <c r="E247" s="7"/>
    </row>
    <row r="248" spans="5:5">
      <c r="E248" s="7"/>
    </row>
    <row r="249" spans="5:5">
      <c r="E249" s="7"/>
    </row>
    <row r="250" spans="5:5">
      <c r="E250" s="7"/>
    </row>
    <row r="251" spans="5:5">
      <c r="E251" s="7"/>
    </row>
    <row r="252" spans="5:5">
      <c r="E252" s="7"/>
    </row>
    <row r="253" spans="5:5">
      <c r="E253" s="7"/>
    </row>
    <row r="254" spans="5:5">
      <c r="E254" s="7"/>
    </row>
    <row r="255" spans="5:5">
      <c r="E255" s="7"/>
    </row>
    <row r="256" spans="5:5">
      <c r="E256" s="7"/>
    </row>
    <row r="257" spans="5:5">
      <c r="E257" s="7"/>
    </row>
    <row r="258" spans="5:5">
      <c r="E258" s="7"/>
    </row>
    <row r="259" spans="5:5">
      <c r="E259" s="7"/>
    </row>
    <row r="260" spans="5:5">
      <c r="E260" s="7"/>
    </row>
    <row r="261" spans="5:5">
      <c r="E261" s="7"/>
    </row>
    <row r="262" spans="5:5">
      <c r="E262" s="7"/>
    </row>
    <row r="263" spans="5:5">
      <c r="E263" s="7"/>
    </row>
    <row r="264" spans="5:5">
      <c r="E264" s="7"/>
    </row>
    <row r="265" spans="5:5">
      <c r="E265" s="7"/>
    </row>
    <row r="266" spans="5:5">
      <c r="E266" s="7"/>
    </row>
    <row r="267" spans="5:5">
      <c r="E267" s="7"/>
    </row>
    <row r="268" spans="5:5">
      <c r="E268" s="7"/>
    </row>
    <row r="269" spans="5:5">
      <c r="E269" s="7"/>
    </row>
    <row r="270" spans="5:5">
      <c r="E270" s="7"/>
    </row>
    <row r="271" spans="5:5">
      <c r="E271" s="7"/>
    </row>
    <row r="272" spans="5:5">
      <c r="E272" s="7"/>
    </row>
    <row r="273" spans="5:5">
      <c r="E273" s="7"/>
    </row>
    <row r="274" spans="5:5">
      <c r="E274" s="7"/>
    </row>
    <row r="275" spans="5:5">
      <c r="E275" s="7"/>
    </row>
    <row r="276" spans="5:5">
      <c r="E276" s="7"/>
    </row>
    <row r="277" spans="5:5">
      <c r="E277" s="7"/>
    </row>
    <row r="278" spans="5:5">
      <c r="E278" s="7"/>
    </row>
    <row r="279" spans="5:5">
      <c r="E279" s="7"/>
    </row>
    <row r="280" spans="5:5">
      <c r="E280" s="7"/>
    </row>
    <row r="281" spans="5:5">
      <c r="E281" s="7"/>
    </row>
    <row r="282" spans="5:5">
      <c r="E282" s="7"/>
    </row>
    <row r="283" spans="5:5">
      <c r="E283" s="7"/>
    </row>
    <row r="284" spans="5:5">
      <c r="E284" s="7"/>
    </row>
    <row r="285" spans="5:5">
      <c r="E285" s="7"/>
    </row>
    <row r="286" spans="5:5">
      <c r="E286" s="7"/>
    </row>
    <row r="287" spans="5:5">
      <c r="E287" s="7"/>
    </row>
    <row r="288" spans="5:5">
      <c r="E288" s="7"/>
    </row>
    <row r="289" spans="5:5">
      <c r="E289" s="7"/>
    </row>
    <row r="290" spans="5:5">
      <c r="E290" s="7"/>
    </row>
    <row r="291" spans="5:5">
      <c r="E291" s="7"/>
    </row>
    <row r="292" spans="5:5">
      <c r="E292" s="7"/>
    </row>
    <row r="293" spans="5:5">
      <c r="E293" s="7"/>
    </row>
    <row r="294" spans="5:5">
      <c r="E294" s="7"/>
    </row>
    <row r="295" spans="5:5">
      <c r="E295" s="7"/>
    </row>
    <row r="296" spans="5:5">
      <c r="E296" s="7"/>
    </row>
    <row r="297" spans="5:5">
      <c r="E297" s="7"/>
    </row>
    <row r="298" spans="5:5">
      <c r="E298" s="7"/>
    </row>
    <row r="299" spans="5:5">
      <c r="E299" s="7"/>
    </row>
    <row r="300" spans="5:5">
      <c r="E300" s="7"/>
    </row>
    <row r="301" spans="5:5">
      <c r="E301" s="7"/>
    </row>
    <row r="302" spans="5:5">
      <c r="E302" s="7"/>
    </row>
    <row r="303" spans="5:5">
      <c r="E303" s="7"/>
    </row>
    <row r="304" spans="5:5">
      <c r="E304" s="7"/>
    </row>
    <row r="305" spans="5:5">
      <c r="E305" s="7"/>
    </row>
    <row r="306" spans="5:5">
      <c r="E306" s="7"/>
    </row>
    <row r="307" spans="5:5">
      <c r="E307" s="7"/>
    </row>
    <row r="308" spans="5:5">
      <c r="E308" s="7"/>
    </row>
    <row r="309" spans="5:5">
      <c r="E309" s="7"/>
    </row>
    <row r="310" spans="5:5">
      <c r="E310" s="7"/>
    </row>
    <row r="311" spans="5:5">
      <c r="E311" s="7"/>
    </row>
    <row r="312" spans="5:5">
      <c r="E312" s="7"/>
    </row>
    <row r="313" spans="5:5">
      <c r="E313" s="7"/>
    </row>
    <row r="314" spans="5:5">
      <c r="E314" s="7"/>
    </row>
    <row r="315" spans="5:5">
      <c r="E315" s="7"/>
    </row>
    <row r="316" spans="5:5">
      <c r="E316" s="7"/>
    </row>
    <row r="317" spans="5:5">
      <c r="E317" s="7"/>
    </row>
    <row r="318" spans="5:5">
      <c r="E318" s="7"/>
    </row>
    <row r="319" spans="5:5">
      <c r="E319" s="7"/>
    </row>
    <row r="320" spans="5:5">
      <c r="E320" s="7"/>
    </row>
    <row r="321" spans="5:5">
      <c r="E321" s="7"/>
    </row>
    <row r="322" spans="5:5">
      <c r="E322" s="7"/>
    </row>
    <row r="323" spans="5:5">
      <c r="E323" s="7"/>
    </row>
    <row r="324" spans="5:5">
      <c r="E324" s="7"/>
    </row>
    <row r="325" spans="5:5">
      <c r="E325" s="7"/>
    </row>
    <row r="326" spans="5:5">
      <c r="E326" s="7"/>
    </row>
    <row r="327" spans="5:5">
      <c r="E327" s="7"/>
    </row>
    <row r="328" spans="5:5">
      <c r="E328" s="7"/>
    </row>
    <row r="329" spans="5:5">
      <c r="E329" s="7"/>
    </row>
    <row r="330" spans="5:5">
      <c r="E330" s="7"/>
    </row>
    <row r="331" spans="5:5">
      <c r="E331" s="7"/>
    </row>
    <row r="332" spans="5:5">
      <c r="E332" s="7"/>
    </row>
    <row r="333" spans="5:5">
      <c r="E333" s="7"/>
    </row>
    <row r="334" spans="5:5">
      <c r="E334" s="7"/>
    </row>
    <row r="335" spans="5:5">
      <c r="E335" s="7"/>
    </row>
    <row r="336" spans="5:5">
      <c r="E336" s="7"/>
    </row>
    <row r="337" spans="5:5">
      <c r="E337" s="7"/>
    </row>
    <row r="338" spans="5:5">
      <c r="E338" s="7"/>
    </row>
    <row r="339" spans="5:5">
      <c r="E339" s="7"/>
    </row>
    <row r="340" spans="5:5">
      <c r="E340" s="7"/>
    </row>
    <row r="341" spans="5:5">
      <c r="E341" s="7"/>
    </row>
    <row r="342" spans="5:5">
      <c r="E342" s="7"/>
    </row>
    <row r="343" spans="5:5">
      <c r="E343" s="7"/>
    </row>
    <row r="344" spans="5:5">
      <c r="E344" s="7"/>
    </row>
    <row r="345" spans="5:5">
      <c r="E345" s="7"/>
    </row>
    <row r="346" spans="5:5">
      <c r="E346" s="7"/>
    </row>
    <row r="347" spans="5:5">
      <c r="E347" s="7"/>
    </row>
    <row r="348" spans="5:5">
      <c r="E348" s="7"/>
    </row>
    <row r="349" spans="5:5">
      <c r="E349" s="7"/>
    </row>
    <row r="350" spans="5:5">
      <c r="E350" s="7"/>
    </row>
    <row r="351" spans="5:5">
      <c r="E351" s="7"/>
    </row>
    <row r="352" spans="5:5">
      <c r="E352" s="7"/>
    </row>
    <row r="353" spans="5:5">
      <c r="E353" s="7"/>
    </row>
    <row r="354" spans="5:5">
      <c r="E354" s="7"/>
    </row>
    <row r="355" spans="5:5">
      <c r="E355" s="7"/>
    </row>
    <row r="356" spans="5:5">
      <c r="E356" s="7"/>
    </row>
    <row r="357" spans="5:5">
      <c r="E357" s="7"/>
    </row>
    <row r="358" spans="5:5">
      <c r="E358" s="7"/>
    </row>
    <row r="359" spans="5:5">
      <c r="E359" s="7"/>
    </row>
    <row r="360" spans="5:5">
      <c r="E360" s="7"/>
    </row>
    <row r="361" spans="5:5">
      <c r="E361" s="7"/>
    </row>
    <row r="362" spans="5:5">
      <c r="E362" s="7"/>
    </row>
    <row r="363" spans="5:5">
      <c r="E363" s="7"/>
    </row>
    <row r="364" spans="5:5">
      <c r="E364" s="7"/>
    </row>
    <row r="365" spans="5:5">
      <c r="E365" s="7"/>
    </row>
    <row r="366" spans="5:5">
      <c r="E366" s="7"/>
    </row>
    <row r="367" spans="5:5">
      <c r="E367" s="7"/>
    </row>
    <row r="368" spans="5:5">
      <c r="E368" s="7"/>
    </row>
    <row r="369" spans="5:5">
      <c r="E369" s="7"/>
    </row>
    <row r="370" spans="5:5">
      <c r="E370" s="7"/>
    </row>
    <row r="371" spans="5:5">
      <c r="E371" s="7"/>
    </row>
    <row r="372" spans="5:5">
      <c r="E372" s="7"/>
    </row>
    <row r="373" spans="5:5">
      <c r="E373" s="7"/>
    </row>
    <row r="374" spans="5:5">
      <c r="E374" s="7"/>
    </row>
    <row r="375" spans="5:5">
      <c r="E375" s="7"/>
    </row>
    <row r="376" spans="5:5">
      <c r="E376" s="7"/>
    </row>
    <row r="377" spans="5:5">
      <c r="E377" s="7"/>
    </row>
    <row r="378" spans="5:5">
      <c r="E378" s="7"/>
    </row>
    <row r="379" spans="5:5">
      <c r="E379" s="7"/>
    </row>
    <row r="380" spans="5:5">
      <c r="E380" s="7"/>
    </row>
    <row r="381" spans="5:5">
      <c r="E381" s="7"/>
    </row>
    <row r="382" spans="5:5">
      <c r="E382" s="7"/>
    </row>
    <row r="383" spans="5:5">
      <c r="E383" s="7"/>
    </row>
    <row r="384" spans="5:5">
      <c r="E384" s="7"/>
    </row>
    <row r="385" spans="5:5">
      <c r="E385" s="7"/>
    </row>
    <row r="386" spans="5:5">
      <c r="E386" s="7"/>
    </row>
    <row r="387" spans="5:5">
      <c r="E387" s="7"/>
    </row>
    <row r="388" spans="5:5">
      <c r="E388" s="7"/>
    </row>
    <row r="389" spans="5:5">
      <c r="E389" s="7"/>
    </row>
    <row r="390" spans="5:5">
      <c r="E390" s="7"/>
    </row>
    <row r="391" spans="5:5">
      <c r="E391" s="7"/>
    </row>
    <row r="392" spans="5:5">
      <c r="E392" s="7"/>
    </row>
    <row r="393" spans="5:5">
      <c r="E393" s="7"/>
    </row>
    <row r="394" spans="5:5">
      <c r="E394" s="7"/>
    </row>
    <row r="395" spans="5:5">
      <c r="E395" s="7"/>
    </row>
    <row r="396" spans="5:5">
      <c r="E396" s="7"/>
    </row>
    <row r="397" spans="5:5">
      <c r="E397" s="7"/>
    </row>
    <row r="398" spans="5:5">
      <c r="E398" s="7"/>
    </row>
    <row r="399" spans="5:5">
      <c r="E399" s="7"/>
    </row>
    <row r="400" spans="5:5">
      <c r="E400" s="7"/>
    </row>
    <row r="401" spans="5:5">
      <c r="E401" s="7"/>
    </row>
    <row r="402" spans="5:5">
      <c r="E402" s="7"/>
    </row>
    <row r="403" spans="5:5">
      <c r="E403" s="7"/>
    </row>
    <row r="404" spans="5:5">
      <c r="E404" s="7"/>
    </row>
    <row r="405" spans="5:5">
      <c r="E405" s="7"/>
    </row>
    <row r="406" spans="5:5">
      <c r="E406" s="7"/>
    </row>
    <row r="407" spans="5:5">
      <c r="E407" s="7"/>
    </row>
    <row r="408" spans="5:5">
      <c r="E408" s="7"/>
    </row>
    <row r="409" spans="5:5">
      <c r="E409" s="7"/>
    </row>
    <row r="410" spans="5:5">
      <c r="E410" s="7"/>
    </row>
    <row r="411" spans="5:5">
      <c r="E411" s="7"/>
    </row>
    <row r="412" spans="5:5">
      <c r="E412" s="7"/>
    </row>
    <row r="413" spans="5:5">
      <c r="E413" s="7"/>
    </row>
    <row r="414" spans="5:5">
      <c r="E414" s="7"/>
    </row>
    <row r="415" spans="5:5">
      <c r="E415" s="7"/>
    </row>
    <row r="416" spans="5:5">
      <c r="E416" s="7"/>
    </row>
    <row r="417" spans="5:5">
      <c r="E417" s="7"/>
    </row>
    <row r="418" spans="5:5">
      <c r="E418" s="7"/>
    </row>
    <row r="419" spans="5:5">
      <c r="E419" s="7"/>
    </row>
    <row r="420" spans="5:5">
      <c r="E420" s="7"/>
    </row>
    <row r="421" spans="5:5">
      <c r="E421" s="7"/>
    </row>
    <row r="422" spans="5:5">
      <c r="E422" s="7"/>
    </row>
    <row r="423" spans="5:5">
      <c r="E423" s="7"/>
    </row>
    <row r="424" spans="5:5">
      <c r="E424" s="7"/>
    </row>
    <row r="425" spans="5:5">
      <c r="E425" s="7"/>
    </row>
    <row r="426" spans="5:5">
      <c r="E426" s="7"/>
    </row>
    <row r="427" spans="5:5">
      <c r="E427" s="7"/>
    </row>
    <row r="428" spans="5:5">
      <c r="E428" s="7"/>
    </row>
    <row r="429" spans="5:5">
      <c r="E429" s="7"/>
    </row>
    <row r="430" spans="5:5">
      <c r="E430" s="7"/>
    </row>
    <row r="431" spans="5:5">
      <c r="E431" s="7"/>
    </row>
    <row r="432" spans="5:5">
      <c r="E432" s="7"/>
    </row>
    <row r="433" spans="5:5">
      <c r="E433" s="7"/>
    </row>
    <row r="434" spans="5:5">
      <c r="E434" s="7"/>
    </row>
    <row r="435" spans="5:5">
      <c r="E435" s="7"/>
    </row>
    <row r="436" spans="5:5">
      <c r="E436" s="7"/>
    </row>
    <row r="437" spans="5:5">
      <c r="E437" s="7"/>
    </row>
    <row r="438" spans="5:5">
      <c r="E438" s="7"/>
    </row>
    <row r="439" spans="5:5">
      <c r="E439" s="7"/>
    </row>
    <row r="440" spans="5:5">
      <c r="E440" s="7"/>
    </row>
    <row r="441" spans="5:5">
      <c r="E441" s="7"/>
    </row>
    <row r="442" spans="5:5">
      <c r="E442" s="7"/>
    </row>
    <row r="443" spans="5:5">
      <c r="E443" s="7"/>
    </row>
    <row r="444" spans="5:5">
      <c r="E444" s="7"/>
    </row>
    <row r="445" spans="5:5">
      <c r="E445" s="7"/>
    </row>
    <row r="446" spans="5:5">
      <c r="E446" s="7"/>
    </row>
    <row r="447" spans="5:5">
      <c r="E447" s="7"/>
    </row>
    <row r="448" spans="5:5">
      <c r="E448" s="7"/>
    </row>
    <row r="449" spans="5:5">
      <c r="E449" s="7"/>
    </row>
    <row r="450" spans="5:5">
      <c r="E450" s="7"/>
    </row>
    <row r="451" spans="5:5">
      <c r="E451" s="7"/>
    </row>
    <row r="452" spans="5:5">
      <c r="E452" s="7"/>
    </row>
    <row r="453" spans="5:5">
      <c r="E453" s="7"/>
    </row>
    <row r="454" spans="5:5">
      <c r="E454" s="7"/>
    </row>
    <row r="455" spans="5:5">
      <c r="E455" s="7"/>
    </row>
    <row r="456" spans="5:5">
      <c r="E456" s="7"/>
    </row>
    <row r="457" spans="5:5">
      <c r="E457" s="7"/>
    </row>
    <row r="458" spans="5:5">
      <c r="E458" s="7"/>
    </row>
    <row r="459" spans="5:5">
      <c r="E459" s="7"/>
    </row>
    <row r="460" spans="5:5">
      <c r="E460" s="7"/>
    </row>
    <row r="461" spans="5:5">
      <c r="E461" s="7"/>
    </row>
    <row r="462" spans="5:5">
      <c r="E462" s="7"/>
    </row>
    <row r="463" spans="5:5">
      <c r="E463" s="7"/>
    </row>
    <row r="464" spans="5:5">
      <c r="E464" s="7"/>
    </row>
    <row r="465" spans="5:5">
      <c r="E465" s="7"/>
    </row>
    <row r="466" spans="5:5">
      <c r="E466" s="7"/>
    </row>
    <row r="467" spans="5:5">
      <c r="E467" s="7"/>
    </row>
    <row r="468" spans="5:5">
      <c r="E468" s="7"/>
    </row>
    <row r="469" spans="5:5">
      <c r="E469" s="7"/>
    </row>
    <row r="470" spans="5:5">
      <c r="E470" s="7"/>
    </row>
    <row r="471" spans="5:5">
      <c r="E471" s="7"/>
    </row>
    <row r="472" spans="5:5">
      <c r="E472" s="7"/>
    </row>
    <row r="473" spans="5:5">
      <c r="E473" s="7"/>
    </row>
    <row r="474" spans="5:5">
      <c r="E474" s="7"/>
    </row>
    <row r="475" spans="5:5">
      <c r="E475" s="7"/>
    </row>
    <row r="476" spans="5:5">
      <c r="E476" s="7"/>
    </row>
    <row r="477" spans="5:5">
      <c r="E477" s="7"/>
    </row>
    <row r="478" spans="5:5">
      <c r="E478" s="7"/>
    </row>
    <row r="479" spans="5:5">
      <c r="E479" s="7"/>
    </row>
    <row r="480" spans="5:5">
      <c r="E480" s="7"/>
    </row>
    <row r="481" spans="5:5">
      <c r="E481" s="7"/>
    </row>
    <row r="482" spans="5:5">
      <c r="E482" s="7"/>
    </row>
    <row r="483" spans="5:5">
      <c r="E483" s="7"/>
    </row>
    <row r="484" spans="5:5">
      <c r="E484" s="7"/>
    </row>
    <row r="485" spans="5:5">
      <c r="E485" s="7"/>
    </row>
    <row r="486" spans="5:5">
      <c r="E486" s="7"/>
    </row>
    <row r="487" spans="5:5">
      <c r="E487" s="7"/>
    </row>
    <row r="488" spans="5:5">
      <c r="E488" s="7"/>
    </row>
    <row r="489" spans="5:5">
      <c r="E489" s="7"/>
    </row>
    <row r="490" spans="5:5">
      <c r="E490" s="7"/>
    </row>
    <row r="491" spans="5:5">
      <c r="E491" s="7"/>
    </row>
    <row r="492" spans="5:5">
      <c r="E492" s="7"/>
    </row>
    <row r="493" spans="5:5">
      <c r="E493" s="7"/>
    </row>
    <row r="494" spans="5:5">
      <c r="E494" s="7"/>
    </row>
    <row r="495" spans="5:5">
      <c r="E495" s="7"/>
    </row>
    <row r="496" spans="5:5">
      <c r="E496" s="7"/>
    </row>
    <row r="497" spans="5:5">
      <c r="E497" s="7"/>
    </row>
    <row r="498" spans="5:5">
      <c r="E498" s="7"/>
    </row>
    <row r="499" spans="5:5">
      <c r="E499" s="7"/>
    </row>
    <row r="500" spans="5:5">
      <c r="E500" s="7"/>
    </row>
    <row r="501" spans="5:5">
      <c r="E501" s="7"/>
    </row>
    <row r="502" spans="5:5">
      <c r="E502" s="7"/>
    </row>
    <row r="503" spans="5:5">
      <c r="E503" s="7"/>
    </row>
    <row r="504" spans="5:5">
      <c r="E504" s="7"/>
    </row>
    <row r="505" spans="5:5">
      <c r="E505" s="7"/>
    </row>
    <row r="506" spans="5:5">
      <c r="E506" s="7"/>
    </row>
    <row r="507" spans="5:5">
      <c r="E507" s="7"/>
    </row>
    <row r="508" spans="5:5">
      <c r="E508" s="7"/>
    </row>
    <row r="509" spans="5:5">
      <c r="E509" s="7"/>
    </row>
    <row r="510" spans="5:5">
      <c r="E510" s="7"/>
    </row>
    <row r="511" spans="5:5">
      <c r="E511" s="7"/>
    </row>
    <row r="512" spans="5:5">
      <c r="E512" s="7"/>
    </row>
    <row r="513" spans="5:5">
      <c r="E513" s="7"/>
    </row>
    <row r="514" spans="5:5">
      <c r="E514" s="7"/>
    </row>
    <row r="515" spans="5:5">
      <c r="E515" s="7"/>
    </row>
    <row r="516" spans="5:5">
      <c r="E516" s="7"/>
    </row>
    <row r="517" spans="5:5">
      <c r="E517" s="7"/>
    </row>
    <row r="518" spans="5:5">
      <c r="E518" s="7"/>
    </row>
    <row r="519" spans="5:5">
      <c r="E519" s="7"/>
    </row>
    <row r="520" spans="5:5">
      <c r="E520" s="7"/>
    </row>
    <row r="521" spans="5:5">
      <c r="E521" s="7"/>
    </row>
    <row r="522" spans="5:5">
      <c r="E522" s="7"/>
    </row>
    <row r="523" spans="5:5">
      <c r="E523" s="7"/>
    </row>
    <row r="524" spans="5:5">
      <c r="E524" s="7"/>
    </row>
    <row r="525" spans="5:5">
      <c r="E525" s="7"/>
    </row>
    <row r="526" spans="5:5">
      <c r="E526" s="7"/>
    </row>
    <row r="527" spans="5:5">
      <c r="E527" s="7"/>
    </row>
    <row r="528" spans="5:5">
      <c r="E528" s="7"/>
    </row>
    <row r="529" spans="5:5">
      <c r="E529" s="7"/>
    </row>
    <row r="530" spans="5:5">
      <c r="E530" s="7"/>
    </row>
    <row r="531" spans="5:5">
      <c r="E531" s="7"/>
    </row>
    <row r="532" spans="5:5">
      <c r="E532" s="7"/>
    </row>
    <row r="533" spans="5:5">
      <c r="E533" s="7"/>
    </row>
    <row r="534" spans="5:5">
      <c r="E534" s="7"/>
    </row>
    <row r="535" spans="5:5">
      <c r="E535" s="7"/>
    </row>
    <row r="536" spans="5:5">
      <c r="E536" s="7"/>
    </row>
    <row r="537" spans="5:5">
      <c r="E537" s="7"/>
    </row>
    <row r="538" spans="5:5">
      <c r="E538" s="7"/>
    </row>
    <row r="539" spans="5:5">
      <c r="E539" s="7"/>
    </row>
    <row r="540" spans="5:5">
      <c r="E540" s="7"/>
    </row>
    <row r="541" spans="5:5">
      <c r="E541" s="7"/>
    </row>
    <row r="542" spans="5:5">
      <c r="E542" s="7"/>
    </row>
    <row r="543" spans="5:5">
      <c r="E543" s="7"/>
    </row>
    <row r="544" spans="5:5">
      <c r="E544" s="7"/>
    </row>
    <row r="545" spans="5:5">
      <c r="E545" s="7"/>
    </row>
    <row r="546" spans="5:5">
      <c r="E546" s="7"/>
    </row>
    <row r="547" spans="5:5">
      <c r="E547" s="7"/>
    </row>
    <row r="548" spans="5:5">
      <c r="E548" s="7"/>
    </row>
    <row r="549" spans="5:5">
      <c r="E549" s="7"/>
    </row>
    <row r="550" spans="5:5">
      <c r="E550" s="7"/>
    </row>
    <row r="551" spans="5:5">
      <c r="E551" s="7"/>
    </row>
    <row r="552" spans="5:5">
      <c r="E552" s="7"/>
    </row>
    <row r="553" spans="5:5">
      <c r="E553" s="7"/>
    </row>
    <row r="554" spans="5:5">
      <c r="E554" s="7"/>
    </row>
    <row r="555" spans="5:5">
      <c r="E555" s="7"/>
    </row>
    <row r="556" spans="5:5">
      <c r="E556" s="7"/>
    </row>
    <row r="557" spans="5:5">
      <c r="E557" s="7"/>
    </row>
    <row r="558" spans="5:5">
      <c r="E558" s="7"/>
    </row>
    <row r="559" spans="5:5">
      <c r="E559" s="7"/>
    </row>
    <row r="560" spans="5:5">
      <c r="E560" s="7"/>
    </row>
    <row r="561" spans="5:5">
      <c r="E561" s="7"/>
    </row>
    <row r="562" spans="5:5">
      <c r="E562" s="7"/>
    </row>
    <row r="563" spans="5:5">
      <c r="E563" s="7"/>
    </row>
    <row r="564" spans="5:5">
      <c r="E564" s="7"/>
    </row>
    <row r="565" spans="5:5">
      <c r="E565" s="7"/>
    </row>
    <row r="566" spans="5:5">
      <c r="E566" s="7"/>
    </row>
    <row r="567" spans="5:5">
      <c r="E567" s="7"/>
    </row>
    <row r="568" spans="5:5">
      <c r="E568" s="7"/>
    </row>
    <row r="569" spans="5:5">
      <c r="E569" s="7"/>
    </row>
    <row r="570" spans="5:5">
      <c r="E570" s="7"/>
    </row>
    <row r="571" spans="5:5">
      <c r="E571" s="7"/>
    </row>
    <row r="572" spans="5:5">
      <c r="E572" s="7"/>
    </row>
    <row r="573" spans="5:5">
      <c r="E573" s="7"/>
    </row>
    <row r="574" spans="5:5">
      <c r="E574" s="7"/>
    </row>
    <row r="575" spans="5:5">
      <c r="E575" s="7"/>
    </row>
    <row r="576" spans="5:5">
      <c r="E576" s="7"/>
    </row>
    <row r="577" spans="5:5">
      <c r="E577" s="7"/>
    </row>
    <row r="578" spans="5:5">
      <c r="E578" s="7"/>
    </row>
    <row r="579" spans="5:5">
      <c r="E579" s="7"/>
    </row>
    <row r="580" spans="5:5">
      <c r="E580" s="7"/>
    </row>
    <row r="581" spans="5:5">
      <c r="E581" s="7"/>
    </row>
    <row r="582" spans="5:5">
      <c r="E582" s="7"/>
    </row>
    <row r="583" spans="5:5">
      <c r="E583" s="7"/>
    </row>
    <row r="584" spans="5:5">
      <c r="E584" s="7"/>
    </row>
    <row r="585" spans="5:5">
      <c r="E585" s="7"/>
    </row>
    <row r="586" spans="5:5">
      <c r="E586" s="7"/>
    </row>
    <row r="587" spans="5:5">
      <c r="E587" s="7"/>
    </row>
    <row r="588" spans="5:5">
      <c r="E588" s="7"/>
    </row>
    <row r="589" spans="5:5">
      <c r="E589" s="7"/>
    </row>
    <row r="590" spans="5:5">
      <c r="E590" s="7"/>
    </row>
    <row r="591" spans="5:5">
      <c r="E591" s="7"/>
    </row>
    <row r="592" spans="5:5">
      <c r="E592" s="7"/>
    </row>
    <row r="593" spans="5:5">
      <c r="E593" s="7"/>
    </row>
    <row r="594" spans="5:5">
      <c r="E594" s="7"/>
    </row>
    <row r="595" spans="5:5">
      <c r="E595" s="7"/>
    </row>
    <row r="596" spans="5:5">
      <c r="E596" s="7"/>
    </row>
    <row r="597" spans="5:5">
      <c r="E597" s="7"/>
    </row>
    <row r="598" spans="5:5">
      <c r="E598" s="7"/>
    </row>
    <row r="599" spans="5:5">
      <c r="E599" s="7"/>
    </row>
    <row r="600" spans="5:5">
      <c r="E600" s="7"/>
    </row>
    <row r="601" spans="5:5">
      <c r="E601" s="7"/>
    </row>
    <row r="602" spans="5:5">
      <c r="E602" s="7"/>
    </row>
    <row r="603" spans="5:5">
      <c r="E603" s="7"/>
    </row>
    <row r="604" spans="5:5">
      <c r="E604" s="7"/>
    </row>
    <row r="605" spans="5:5">
      <c r="E605" s="7"/>
    </row>
    <row r="606" spans="5:5">
      <c r="E606" s="7"/>
    </row>
    <row r="607" spans="5:5">
      <c r="E607" s="7"/>
    </row>
    <row r="608" spans="5:5">
      <c r="E608" s="7"/>
    </row>
    <row r="609" spans="5:5">
      <c r="E609" s="7"/>
    </row>
    <row r="610" spans="5:5">
      <c r="E610" s="7"/>
    </row>
    <row r="611" spans="5:5">
      <c r="E611" s="7"/>
    </row>
    <row r="612" spans="5:5">
      <c r="E612" s="7"/>
    </row>
    <row r="613" spans="5:5">
      <c r="E613" s="7"/>
    </row>
    <row r="614" spans="5:5">
      <c r="E614" s="7"/>
    </row>
    <row r="615" spans="5:5">
      <c r="E615" s="7"/>
    </row>
    <row r="616" spans="5:5">
      <c r="E616" s="7"/>
    </row>
    <row r="617" spans="5:5">
      <c r="E617" s="7"/>
    </row>
    <row r="618" spans="5:5">
      <c r="E618" s="7"/>
    </row>
    <row r="619" spans="5:5">
      <c r="E619" s="7"/>
    </row>
    <row r="620" spans="5:5">
      <c r="E620" s="7"/>
    </row>
    <row r="621" spans="5:5">
      <c r="E621" s="7"/>
    </row>
    <row r="622" spans="5:5">
      <c r="E622" s="7"/>
    </row>
    <row r="623" spans="5:5">
      <c r="E623" s="7"/>
    </row>
    <row r="624" spans="5:5">
      <c r="E624" s="7"/>
    </row>
    <row r="625" spans="5:5">
      <c r="E625" s="7"/>
    </row>
    <row r="626" spans="5:5">
      <c r="E626" s="7"/>
    </row>
    <row r="627" spans="5:5">
      <c r="E627" s="7"/>
    </row>
    <row r="628" spans="5:5">
      <c r="E628" s="7"/>
    </row>
    <row r="629" spans="5:5">
      <c r="E629" s="7"/>
    </row>
    <row r="630" spans="5:5">
      <c r="E630" s="7"/>
    </row>
    <row r="631" spans="5:5">
      <c r="E631" s="7"/>
    </row>
    <row r="632" spans="5:5">
      <c r="E632" s="7"/>
    </row>
    <row r="633" spans="5:5">
      <c r="E633" s="7"/>
    </row>
    <row r="634" spans="5:5">
      <c r="E634" s="7"/>
    </row>
    <row r="635" spans="5:5">
      <c r="E635" s="7"/>
    </row>
    <row r="636" spans="5:5">
      <c r="E636" s="7"/>
    </row>
    <row r="637" spans="5:5">
      <c r="E637" s="7"/>
    </row>
    <row r="638" spans="5:5">
      <c r="E638" s="7"/>
    </row>
    <row r="639" spans="5:5">
      <c r="E639" s="7"/>
    </row>
    <row r="640" spans="5:5">
      <c r="E640" s="7"/>
    </row>
    <row r="641" spans="5:5">
      <c r="E641" s="7"/>
    </row>
    <row r="642" spans="5:5">
      <c r="E642" s="7"/>
    </row>
    <row r="643" spans="5:5">
      <c r="E643" s="7"/>
    </row>
    <row r="644" spans="5:5">
      <c r="E644" s="7"/>
    </row>
    <row r="645" spans="5:5">
      <c r="E645" s="7"/>
    </row>
    <row r="646" spans="5:5">
      <c r="E646" s="7"/>
    </row>
    <row r="647" spans="5:5">
      <c r="E647" s="7"/>
    </row>
    <row r="648" spans="5:5">
      <c r="E648" s="7"/>
    </row>
    <row r="649" spans="5:5">
      <c r="E649" s="7"/>
    </row>
    <row r="650" spans="5:5">
      <c r="E650" s="7"/>
    </row>
    <row r="651" spans="5:5">
      <c r="E651" s="7"/>
    </row>
    <row r="652" spans="5:5">
      <c r="E652" s="7"/>
    </row>
    <row r="653" spans="5:5">
      <c r="E653" s="7"/>
    </row>
    <row r="654" spans="5:5">
      <c r="E654" s="7"/>
    </row>
    <row r="655" spans="5:5">
      <c r="E655" s="7"/>
    </row>
    <row r="656" spans="5:5">
      <c r="E656" s="7"/>
    </row>
    <row r="657" spans="5:5">
      <c r="E657" s="7"/>
    </row>
    <row r="658" spans="5:5">
      <c r="E658" s="7"/>
    </row>
    <row r="659" spans="5:5">
      <c r="E659" s="7"/>
    </row>
    <row r="660" spans="5:5">
      <c r="E660" s="7"/>
    </row>
    <row r="661" spans="5:5">
      <c r="E661" s="7"/>
    </row>
    <row r="662" spans="5:5">
      <c r="E662" s="7"/>
    </row>
    <row r="663" spans="5:5">
      <c r="E663" s="7"/>
    </row>
    <row r="664" spans="5:5">
      <c r="E664" s="7"/>
    </row>
    <row r="665" spans="5:5">
      <c r="E665" s="7"/>
    </row>
    <row r="666" spans="5:5">
      <c r="E666" s="7"/>
    </row>
    <row r="667" spans="5:5">
      <c r="E667" s="7"/>
    </row>
    <row r="668" spans="5:5">
      <c r="E668" s="7"/>
    </row>
    <row r="669" spans="5:5">
      <c r="E669" s="7"/>
    </row>
    <row r="670" spans="5:5">
      <c r="E670" s="7"/>
    </row>
    <row r="671" spans="5:5">
      <c r="E671" s="7"/>
    </row>
    <row r="672" spans="5:5">
      <c r="E672" s="7"/>
    </row>
    <row r="673" spans="5:5">
      <c r="E673" s="7"/>
    </row>
    <row r="674" spans="5:5">
      <c r="E674" s="7"/>
    </row>
    <row r="675" spans="5:5">
      <c r="E675" s="7"/>
    </row>
    <row r="676" spans="5:5">
      <c r="E676" s="7"/>
    </row>
    <row r="677" spans="5:5">
      <c r="E677" s="7"/>
    </row>
    <row r="678" spans="5:5">
      <c r="E678" s="7"/>
    </row>
    <row r="679" spans="5:5">
      <c r="E679" s="7"/>
    </row>
    <row r="680" spans="5:5">
      <c r="E680" s="7"/>
    </row>
    <row r="681" spans="5:5">
      <c r="E681" s="7"/>
    </row>
    <row r="682" spans="5:5">
      <c r="E682" s="7"/>
    </row>
    <row r="683" spans="5:5">
      <c r="E683" s="7"/>
    </row>
    <row r="684" spans="5:5">
      <c r="E684" s="7"/>
    </row>
    <row r="685" spans="5:5">
      <c r="E685" s="7"/>
    </row>
    <row r="686" spans="5:5">
      <c r="E686" s="7"/>
    </row>
    <row r="687" spans="5:5">
      <c r="E687" s="7"/>
    </row>
    <row r="688" spans="5:5">
      <c r="E688" s="7"/>
    </row>
    <row r="689" spans="5:5">
      <c r="E689" s="7"/>
    </row>
    <row r="690" spans="5:5">
      <c r="E690" s="7"/>
    </row>
    <row r="691" spans="5:5">
      <c r="E691" s="7"/>
    </row>
    <row r="692" spans="5:5">
      <c r="E692" s="7"/>
    </row>
    <row r="693" spans="5:5">
      <c r="E693" s="7"/>
    </row>
    <row r="694" spans="5:5">
      <c r="E694" s="7"/>
    </row>
    <row r="695" spans="5:5">
      <c r="E695" s="7"/>
    </row>
    <row r="696" spans="5:5">
      <c r="E696" s="7"/>
    </row>
    <row r="697" spans="5:5">
      <c r="E697" s="7"/>
    </row>
    <row r="698" spans="5:5">
      <c r="E698" s="7"/>
    </row>
    <row r="699" spans="5:5">
      <c r="E699" s="7"/>
    </row>
    <row r="700" spans="5:5">
      <c r="E700" s="7"/>
    </row>
    <row r="701" spans="5:5">
      <c r="E701" s="7"/>
    </row>
    <row r="702" spans="5:5">
      <c r="E702" s="7"/>
    </row>
    <row r="703" spans="5:5">
      <c r="E703" s="7"/>
    </row>
    <row r="704" spans="5:5">
      <c r="E704" s="7"/>
    </row>
    <row r="705" spans="5:5">
      <c r="E705" s="7"/>
    </row>
    <row r="706" spans="5:5">
      <c r="E706" s="7"/>
    </row>
    <row r="707" spans="5:5">
      <c r="E707" s="7"/>
    </row>
    <row r="708" spans="5:5">
      <c r="E708" s="7"/>
    </row>
    <row r="709" spans="5:5">
      <c r="E709" s="7"/>
    </row>
    <row r="710" spans="5:5">
      <c r="E710" s="7"/>
    </row>
    <row r="711" spans="5:5">
      <c r="E711" s="7"/>
    </row>
    <row r="712" spans="5:5">
      <c r="E712" s="7"/>
    </row>
    <row r="713" spans="5:5">
      <c r="E713" s="7"/>
    </row>
    <row r="714" spans="5:5">
      <c r="E714" s="7"/>
    </row>
    <row r="715" spans="5:5">
      <c r="E715" s="7"/>
    </row>
    <row r="716" spans="5:5">
      <c r="E716" s="7"/>
    </row>
    <row r="717" spans="5:5">
      <c r="E717" s="7"/>
    </row>
    <row r="718" spans="5:5">
      <c r="E718" s="7"/>
    </row>
    <row r="719" spans="5:5">
      <c r="E719" s="7"/>
    </row>
    <row r="720" spans="5:5">
      <c r="E720" s="7"/>
    </row>
    <row r="721" spans="5:5">
      <c r="E721" s="7"/>
    </row>
    <row r="722" spans="5:5">
      <c r="E722" s="7"/>
    </row>
    <row r="723" spans="5:5">
      <c r="E723" s="7"/>
    </row>
    <row r="724" spans="5:5">
      <c r="E724" s="7"/>
    </row>
    <row r="725" spans="5:5">
      <c r="E725" s="7"/>
    </row>
    <row r="726" spans="5:5">
      <c r="E726" s="7"/>
    </row>
    <row r="727" spans="5:5">
      <c r="E727" s="7"/>
    </row>
    <row r="728" spans="5:5">
      <c r="E728" s="7"/>
    </row>
    <row r="729" spans="5:5">
      <c r="E729" s="7"/>
    </row>
    <row r="730" spans="5:5">
      <c r="E730" s="7"/>
    </row>
    <row r="731" spans="5:5">
      <c r="E731" s="7"/>
    </row>
    <row r="732" spans="5:5">
      <c r="E732" s="7"/>
    </row>
    <row r="733" spans="5:5">
      <c r="E733" s="7"/>
    </row>
    <row r="734" spans="5:5">
      <c r="E734" s="7"/>
    </row>
    <row r="735" spans="5:5">
      <c r="E735" s="7"/>
    </row>
    <row r="736" spans="5:5">
      <c r="E736" s="7"/>
    </row>
    <row r="737" spans="5:5">
      <c r="E737" s="7"/>
    </row>
    <row r="738" spans="5:5">
      <c r="E738" s="7"/>
    </row>
    <row r="739" spans="5:5">
      <c r="E739" s="7"/>
    </row>
    <row r="740" spans="5:5">
      <c r="E740" s="7"/>
    </row>
    <row r="741" spans="5:5">
      <c r="E741" s="7"/>
    </row>
    <row r="742" spans="5:5">
      <c r="E742" s="7"/>
    </row>
    <row r="743" spans="5:5">
      <c r="E743" s="7"/>
    </row>
    <row r="744" spans="5:5">
      <c r="E744" s="7"/>
    </row>
    <row r="745" spans="5:5">
      <c r="E745" s="7"/>
    </row>
    <row r="746" spans="5:5">
      <c r="E746" s="7"/>
    </row>
    <row r="747" spans="5:5">
      <c r="E747" s="7"/>
    </row>
    <row r="748" spans="5:5">
      <c r="E748" s="7"/>
    </row>
    <row r="749" spans="5:5">
      <c r="E749" s="7"/>
    </row>
    <row r="750" spans="5:5">
      <c r="E750" s="7"/>
    </row>
    <row r="751" spans="5:5">
      <c r="E751" s="7"/>
    </row>
    <row r="752" spans="5:5">
      <c r="E752" s="7"/>
    </row>
    <row r="753" spans="5:5">
      <c r="E753" s="7"/>
    </row>
    <row r="754" spans="5:5">
      <c r="E754" s="7"/>
    </row>
    <row r="755" spans="5:5">
      <c r="E755" s="7"/>
    </row>
    <row r="756" spans="5:5">
      <c r="E756" s="7"/>
    </row>
    <row r="757" spans="5:5">
      <c r="E757" s="7"/>
    </row>
    <row r="758" spans="5:5">
      <c r="E758" s="7"/>
    </row>
    <row r="759" spans="5:5">
      <c r="E759" s="7"/>
    </row>
    <row r="760" spans="5:5">
      <c r="E760" s="7"/>
    </row>
    <row r="761" spans="5:5">
      <c r="E761" s="7"/>
    </row>
    <row r="762" spans="5:5">
      <c r="E762" s="7"/>
    </row>
    <row r="763" spans="5:5">
      <c r="E763" s="7"/>
    </row>
    <row r="764" spans="5:5">
      <c r="E764" s="7"/>
    </row>
    <row r="765" spans="5:5">
      <c r="E765" s="7"/>
    </row>
    <row r="766" spans="5:5">
      <c r="E766" s="7"/>
    </row>
    <row r="767" spans="5:5">
      <c r="E767" s="7"/>
    </row>
    <row r="768" spans="5:5">
      <c r="E768" s="7"/>
    </row>
    <row r="769" spans="5:5">
      <c r="E769" s="7"/>
    </row>
    <row r="770" spans="5:5">
      <c r="E770" s="7"/>
    </row>
    <row r="771" spans="5:5">
      <c r="E771" s="7"/>
    </row>
    <row r="772" spans="5:5">
      <c r="E772" s="7"/>
    </row>
    <row r="773" spans="5:5">
      <c r="E773" s="7"/>
    </row>
    <row r="774" spans="5:5">
      <c r="E774" s="7"/>
    </row>
    <row r="775" spans="5:5">
      <c r="E775" s="7"/>
    </row>
    <row r="776" spans="5:5">
      <c r="E776" s="7"/>
    </row>
    <row r="777" spans="5:5">
      <c r="E777" s="7"/>
    </row>
    <row r="778" spans="5:5">
      <c r="E778" s="7"/>
    </row>
    <row r="779" spans="5:5">
      <c r="E779" s="7"/>
    </row>
    <row r="780" spans="5:5">
      <c r="E780" s="7"/>
    </row>
    <row r="781" spans="5:5">
      <c r="E781" s="7"/>
    </row>
    <row r="782" spans="5:5">
      <c r="E782" s="7"/>
    </row>
    <row r="783" spans="5:5">
      <c r="E783" s="7"/>
    </row>
    <row r="784" spans="5:5">
      <c r="E784" s="7"/>
    </row>
    <row r="785" spans="5:5">
      <c r="E785" s="7"/>
    </row>
    <row r="786" spans="5:5">
      <c r="E786" s="7"/>
    </row>
    <row r="787" spans="5:5">
      <c r="E787" s="7"/>
    </row>
    <row r="788" spans="5:5">
      <c r="E788" s="7"/>
    </row>
    <row r="789" spans="5:5">
      <c r="E789" s="7"/>
    </row>
    <row r="790" spans="5:5">
      <c r="E790" s="7"/>
    </row>
    <row r="791" spans="5:5">
      <c r="E791" s="7"/>
    </row>
    <row r="792" spans="5:5">
      <c r="E792" s="7"/>
    </row>
    <row r="793" spans="5:5">
      <c r="E793" s="7"/>
    </row>
    <row r="794" spans="5:5">
      <c r="E794" s="7"/>
    </row>
    <row r="795" spans="5:5">
      <c r="E795" s="7"/>
    </row>
    <row r="796" spans="5:5">
      <c r="E796" s="7"/>
    </row>
    <row r="797" spans="5:5">
      <c r="E797" s="7"/>
    </row>
    <row r="798" spans="5:5">
      <c r="E798" s="7"/>
    </row>
    <row r="799" spans="5:5">
      <c r="E799" s="7"/>
    </row>
    <row r="800" spans="5:5">
      <c r="E800" s="7"/>
    </row>
    <row r="801" spans="5:5">
      <c r="E801" s="7"/>
    </row>
    <row r="802" spans="5:5">
      <c r="E802" s="7"/>
    </row>
    <row r="803" spans="5:5">
      <c r="E803" s="7"/>
    </row>
    <row r="804" spans="5:5">
      <c r="E804" s="7"/>
    </row>
    <row r="805" spans="5:5">
      <c r="E805" s="7"/>
    </row>
    <row r="806" spans="5:5">
      <c r="E806" s="7"/>
    </row>
    <row r="807" spans="5:5">
      <c r="E807" s="7"/>
    </row>
    <row r="808" spans="5:5">
      <c r="E808" s="7"/>
    </row>
    <row r="809" spans="5:5">
      <c r="E809" s="7"/>
    </row>
    <row r="810" spans="5:5">
      <c r="E810" s="7"/>
    </row>
    <row r="811" spans="5:5">
      <c r="E811" s="7"/>
    </row>
    <row r="812" spans="5:5">
      <c r="E812" s="7"/>
    </row>
    <row r="813" spans="5:5">
      <c r="E813" s="7"/>
    </row>
    <row r="814" spans="5:5">
      <c r="E814" s="7"/>
    </row>
    <row r="815" spans="5:5">
      <c r="E815" s="7"/>
    </row>
    <row r="816" spans="5:5">
      <c r="E816" s="7"/>
    </row>
    <row r="817" spans="5:5">
      <c r="E817" s="7"/>
    </row>
    <row r="818" spans="5:5">
      <c r="E818" s="7"/>
    </row>
    <row r="819" spans="5:5">
      <c r="E819" s="7"/>
    </row>
    <row r="820" spans="5:5">
      <c r="E820" s="7"/>
    </row>
    <row r="821" spans="5:5">
      <c r="E821" s="7"/>
    </row>
    <row r="822" spans="5:5">
      <c r="E822" s="7"/>
    </row>
    <row r="823" spans="5:5">
      <c r="E823" s="7"/>
    </row>
    <row r="824" spans="5:5">
      <c r="E824" s="7"/>
    </row>
    <row r="825" spans="5:5">
      <c r="E825" s="7"/>
    </row>
    <row r="826" spans="5:5">
      <c r="E826" s="7"/>
    </row>
    <row r="827" spans="5:5">
      <c r="E827" s="7"/>
    </row>
    <row r="828" spans="5:5">
      <c r="E828" s="7"/>
    </row>
    <row r="829" spans="5:5">
      <c r="E829" s="7"/>
    </row>
    <row r="830" spans="5:5">
      <c r="E830" s="7"/>
    </row>
    <row r="831" spans="5:5">
      <c r="E831" s="7"/>
    </row>
    <row r="832" spans="5:5">
      <c r="E832" s="7"/>
    </row>
    <row r="833" spans="5:5">
      <c r="E833" s="7"/>
    </row>
    <row r="834" spans="5:5">
      <c r="E834" s="7"/>
    </row>
    <row r="835" spans="5:5">
      <c r="E835" s="7"/>
    </row>
    <row r="836" spans="5:5">
      <c r="E836" s="7"/>
    </row>
    <row r="837" spans="5:5">
      <c r="E837" s="7"/>
    </row>
    <row r="838" spans="5:5">
      <c r="E838" s="7"/>
    </row>
    <row r="839" spans="5:5">
      <c r="E839" s="7"/>
    </row>
    <row r="840" spans="5:5">
      <c r="E840" s="7"/>
    </row>
    <row r="841" spans="5:5">
      <c r="E841" s="7"/>
    </row>
    <row r="842" spans="5:5">
      <c r="E842" s="7"/>
    </row>
    <row r="843" spans="5:5">
      <c r="E843" s="7"/>
    </row>
    <row r="844" spans="5:5">
      <c r="E844" s="7"/>
    </row>
    <row r="845" spans="5:5">
      <c r="E845" s="7"/>
    </row>
    <row r="846" spans="5:5">
      <c r="E846" s="7"/>
    </row>
    <row r="847" spans="5:5">
      <c r="E847" s="7"/>
    </row>
    <row r="848" spans="5:5">
      <c r="E848" s="7"/>
    </row>
    <row r="849" spans="5:5">
      <c r="E849" s="7"/>
    </row>
    <row r="850" spans="5:5">
      <c r="E850" s="7"/>
    </row>
    <row r="851" spans="5:5">
      <c r="E851" s="7"/>
    </row>
    <row r="852" spans="5:5">
      <c r="E852" s="7"/>
    </row>
    <row r="853" spans="5:5">
      <c r="E853" s="7"/>
    </row>
    <row r="854" spans="5:5">
      <c r="E854" s="7"/>
    </row>
    <row r="855" spans="5:5">
      <c r="E855" s="7"/>
    </row>
    <row r="856" spans="5:5">
      <c r="E856" s="7"/>
    </row>
    <row r="857" spans="5:5">
      <c r="E857" s="7"/>
    </row>
    <row r="858" spans="5:5">
      <c r="E858" s="7"/>
    </row>
    <row r="859" spans="5:5">
      <c r="E859" s="7"/>
    </row>
    <row r="860" spans="5:5">
      <c r="E860" s="7"/>
    </row>
    <row r="861" spans="5:5">
      <c r="E861" s="7"/>
    </row>
    <row r="862" spans="5:5">
      <c r="E862" s="7"/>
    </row>
    <row r="863" spans="5:5">
      <c r="E863" s="7"/>
    </row>
    <row r="864" spans="5:5">
      <c r="E864" s="7"/>
    </row>
    <row r="865" spans="5:5">
      <c r="E865" s="7"/>
    </row>
    <row r="866" spans="5:5">
      <c r="E866" s="7"/>
    </row>
    <row r="867" spans="5:5">
      <c r="E867" s="7"/>
    </row>
    <row r="868" spans="5:5">
      <c r="E868" s="7"/>
    </row>
    <row r="869" spans="5:5">
      <c r="E869" s="7"/>
    </row>
    <row r="870" spans="5:5">
      <c r="E870" s="7"/>
    </row>
    <row r="871" spans="5:5">
      <c r="E871" s="7"/>
    </row>
    <row r="872" spans="5:5">
      <c r="E872" s="7"/>
    </row>
    <row r="873" spans="5:5">
      <c r="E873" s="7"/>
    </row>
    <row r="874" spans="5:5">
      <c r="E874" s="7"/>
    </row>
    <row r="875" spans="5:5">
      <c r="E875" s="7"/>
    </row>
    <row r="876" spans="5:5">
      <c r="E876" s="7"/>
    </row>
    <row r="877" spans="5:5">
      <c r="E877" s="7"/>
    </row>
    <row r="878" spans="5:5">
      <c r="E878" s="7"/>
    </row>
    <row r="879" spans="5:5">
      <c r="E879" s="7"/>
    </row>
    <row r="880" spans="5:5">
      <c r="E880" s="7"/>
    </row>
    <row r="881" spans="5:5">
      <c r="E881" s="7"/>
    </row>
    <row r="882" spans="5:5">
      <c r="E882" s="7"/>
    </row>
    <row r="883" spans="5:5">
      <c r="E883" s="7"/>
    </row>
    <row r="884" spans="5:5">
      <c r="E884" s="7"/>
    </row>
    <row r="885" spans="5:5">
      <c r="E885" s="7"/>
    </row>
    <row r="886" spans="5:5">
      <c r="E886" s="7"/>
    </row>
    <row r="887" spans="5:5">
      <c r="E887" s="7"/>
    </row>
    <row r="888" spans="5:5">
      <c r="E888" s="7"/>
    </row>
    <row r="889" spans="5:5">
      <c r="E889" s="7"/>
    </row>
    <row r="890" spans="5:5">
      <c r="E890" s="7"/>
    </row>
    <row r="891" spans="5:5">
      <c r="E891" s="7"/>
    </row>
    <row r="892" spans="5:5">
      <c r="E892" s="7"/>
    </row>
    <row r="893" spans="5:5">
      <c r="E893" s="7"/>
    </row>
    <row r="894" spans="5:5">
      <c r="E894" s="7"/>
    </row>
    <row r="895" spans="5:5">
      <c r="E895" s="7"/>
    </row>
    <row r="896" spans="5:5">
      <c r="E896" s="7"/>
    </row>
    <row r="897" spans="5:5">
      <c r="E897" s="7"/>
    </row>
    <row r="898" spans="5:5">
      <c r="E898" s="7"/>
    </row>
    <row r="899" spans="5:5">
      <c r="E899" s="7"/>
    </row>
    <row r="900" spans="5:5">
      <c r="E900" s="7"/>
    </row>
    <row r="901" spans="5:5">
      <c r="E901" s="7"/>
    </row>
    <row r="902" spans="5:5">
      <c r="E902" s="7"/>
    </row>
    <row r="903" spans="5:5">
      <c r="E903" s="7"/>
    </row>
    <row r="904" spans="5:5">
      <c r="E904" s="7"/>
    </row>
    <row r="905" spans="5:5">
      <c r="E905" s="7"/>
    </row>
    <row r="906" spans="5:5">
      <c r="E906" s="7"/>
    </row>
    <row r="907" spans="5:5">
      <c r="E907" s="7"/>
    </row>
    <row r="908" spans="5:5">
      <c r="E908" s="7"/>
    </row>
    <row r="909" spans="5:5">
      <c r="E909" s="7"/>
    </row>
    <row r="910" spans="5:5">
      <c r="E910" s="7"/>
    </row>
    <row r="911" spans="5:5">
      <c r="E911" s="7"/>
    </row>
    <row r="912" spans="5:5">
      <c r="E912" s="7"/>
    </row>
    <row r="913" spans="5:5">
      <c r="E913" s="7"/>
    </row>
    <row r="914" spans="5:5">
      <c r="E914" s="7"/>
    </row>
    <row r="915" spans="5:5">
      <c r="E915" s="7"/>
    </row>
    <row r="916" spans="5:5">
      <c r="E916" s="7"/>
    </row>
    <row r="917" spans="5:5">
      <c r="E917" s="7"/>
    </row>
    <row r="918" spans="5:5">
      <c r="E918" s="7"/>
    </row>
    <row r="919" spans="5:5">
      <c r="E919" s="7"/>
    </row>
    <row r="920" spans="5:5">
      <c r="E920" s="7"/>
    </row>
    <row r="921" spans="5:5">
      <c r="E921" s="7"/>
    </row>
    <row r="922" spans="5:5">
      <c r="E922" s="7"/>
    </row>
    <row r="923" spans="5:5">
      <c r="E923" s="7"/>
    </row>
    <row r="924" spans="5:5">
      <c r="E924" s="7"/>
    </row>
    <row r="925" spans="5:5">
      <c r="E925" s="7"/>
    </row>
    <row r="926" spans="5:5">
      <c r="E926" s="7"/>
    </row>
    <row r="927" spans="5:5">
      <c r="E927" s="7"/>
    </row>
    <row r="928" spans="5:5">
      <c r="E928" s="7"/>
    </row>
    <row r="929" spans="5:5">
      <c r="E929" s="7"/>
    </row>
    <row r="930" spans="5:5">
      <c r="E930" s="7"/>
    </row>
    <row r="931" spans="5:5">
      <c r="E931" s="7"/>
    </row>
    <row r="932" spans="5:5">
      <c r="E932" s="7"/>
    </row>
    <row r="933" spans="5:5">
      <c r="E933" s="7"/>
    </row>
    <row r="934" spans="5:5">
      <c r="E934" s="7"/>
    </row>
    <row r="935" spans="5:5">
      <c r="E935" s="7"/>
    </row>
    <row r="936" spans="5:5">
      <c r="E936" s="7"/>
    </row>
    <row r="937" spans="5:5">
      <c r="E937" s="7"/>
    </row>
    <row r="938" spans="5:5">
      <c r="E938" s="7"/>
    </row>
    <row r="939" spans="5:5">
      <c r="E939" s="7"/>
    </row>
    <row r="940" spans="5:5">
      <c r="E940" s="7"/>
    </row>
    <row r="941" spans="5:5">
      <c r="E941" s="7"/>
    </row>
    <row r="942" spans="5:5">
      <c r="E942" s="7"/>
    </row>
    <row r="943" spans="5:5">
      <c r="E943" s="7"/>
    </row>
    <row r="944" spans="5:5">
      <c r="E944" s="7"/>
    </row>
    <row r="945" spans="5:5">
      <c r="E945" s="7"/>
    </row>
    <row r="946" spans="5:5">
      <c r="E946" s="7"/>
    </row>
    <row r="947" spans="5:5">
      <c r="E947" s="7"/>
    </row>
    <row r="948" spans="5:5">
      <c r="E948" s="7"/>
    </row>
    <row r="949" spans="5:5">
      <c r="E949" s="7"/>
    </row>
    <row r="950" spans="5:5">
      <c r="E950" s="7"/>
    </row>
    <row r="951" spans="5:5">
      <c r="E951" s="7"/>
    </row>
    <row r="952" spans="5:5">
      <c r="E952" s="7"/>
    </row>
    <row r="953" spans="5:5">
      <c r="E953" s="7"/>
    </row>
    <row r="954" spans="5:5">
      <c r="E954" s="7"/>
    </row>
    <row r="955" spans="5:5">
      <c r="E955" s="7"/>
    </row>
    <row r="956" spans="5:5">
      <c r="E956" s="7"/>
    </row>
    <row r="957" spans="5:5">
      <c r="E957" s="7"/>
    </row>
    <row r="958" spans="5:5">
      <c r="E958" s="7"/>
    </row>
    <row r="959" spans="5:5">
      <c r="E959" s="7"/>
    </row>
    <row r="960" spans="5:5">
      <c r="E960" s="7"/>
    </row>
    <row r="961" spans="5:5">
      <c r="E961" s="7"/>
    </row>
    <row r="962" spans="5:5">
      <c r="E962" s="7"/>
    </row>
    <row r="963" spans="5:5">
      <c r="E963" s="7"/>
    </row>
    <row r="964" spans="5:5">
      <c r="E964" s="7"/>
    </row>
    <row r="965" spans="5:5">
      <c r="E965" s="7"/>
    </row>
    <row r="966" spans="5:5">
      <c r="E966" s="7"/>
    </row>
    <row r="967" spans="5:5">
      <c r="E967" s="7"/>
    </row>
    <row r="968" spans="5:5">
      <c r="E968" s="7"/>
    </row>
    <row r="969" spans="5:5">
      <c r="E969" s="7"/>
    </row>
    <row r="970" spans="5:5">
      <c r="E970" s="7"/>
    </row>
    <row r="971" spans="5:5">
      <c r="E971" s="7"/>
    </row>
    <row r="972" spans="5:5">
      <c r="E972" s="7"/>
    </row>
    <row r="973" spans="5:5">
      <c r="E973" s="7"/>
    </row>
    <row r="974" spans="5:5">
      <c r="E974" s="7"/>
    </row>
    <row r="975" spans="5:5">
      <c r="E975" s="7"/>
    </row>
    <row r="976" spans="5:5">
      <c r="E976" s="7"/>
    </row>
    <row r="977" spans="5:5">
      <c r="E977" s="7"/>
    </row>
    <row r="978" spans="5:5">
      <c r="E978" s="7"/>
    </row>
    <row r="979" spans="5:5">
      <c r="E979" s="7"/>
    </row>
    <row r="980" spans="5:5">
      <c r="E980" s="7"/>
    </row>
    <row r="981" spans="5:5">
      <c r="E981" s="7"/>
    </row>
    <row r="982" spans="5:5">
      <c r="E982" s="7"/>
    </row>
    <row r="983" spans="5:5">
      <c r="E983" s="7"/>
    </row>
    <row r="984" spans="5:5">
      <c r="E984" s="7"/>
    </row>
    <row r="985" spans="5:5">
      <c r="E985" s="7"/>
    </row>
    <row r="986" spans="5:5">
      <c r="E986" s="7"/>
    </row>
    <row r="987" spans="5:5">
      <c r="E987" s="7"/>
    </row>
    <row r="988" spans="5:5">
      <c r="E988" s="7"/>
    </row>
    <row r="989" spans="5:5">
      <c r="E989" s="7"/>
    </row>
    <row r="990" spans="5:5">
      <c r="E990" s="7"/>
    </row>
    <row r="991" spans="5:5">
      <c r="E991" s="7"/>
    </row>
    <row r="992" spans="5:5">
      <c r="E992" s="7"/>
    </row>
    <row r="993" spans="5:5">
      <c r="E993" s="7"/>
    </row>
    <row r="994" spans="5:5">
      <c r="E994" s="7"/>
    </row>
    <row r="995" spans="5:5">
      <c r="E995" s="7"/>
    </row>
    <row r="996" spans="5:5">
      <c r="E996" s="7"/>
    </row>
    <row r="997" spans="5:5">
      <c r="E997" s="7"/>
    </row>
    <row r="998" spans="5:5">
      <c r="E998" s="7"/>
    </row>
    <row r="999" spans="5:5">
      <c r="E999" s="7"/>
    </row>
    <row r="1000" spans="5:5">
      <c r="E1000" s="7"/>
    </row>
    <row r="1001" spans="5:5">
      <c r="E1001" s="7"/>
    </row>
    <row r="1002" spans="5:5">
      <c r="E1002" s="7"/>
    </row>
    <row r="1003" spans="5:5">
      <c r="E1003" s="7"/>
    </row>
    <row r="1004" spans="5:5">
      <c r="E1004" s="7"/>
    </row>
    <row r="1005" spans="5:5">
      <c r="E1005" s="7"/>
    </row>
    <row r="1006" spans="5:5">
      <c r="E1006" s="7"/>
    </row>
    <row r="1007" spans="5:5">
      <c r="E1007" s="7"/>
    </row>
    <row r="1008" spans="5:5">
      <c r="E1008" s="7"/>
    </row>
    <row r="1009" spans="5:5">
      <c r="E1009" s="7"/>
    </row>
    <row r="1010" spans="5:5">
      <c r="E1010" s="7"/>
    </row>
    <row r="1011" spans="5:5">
      <c r="E1011" s="7"/>
    </row>
    <row r="1012" spans="5:5">
      <c r="E1012" s="7"/>
    </row>
    <row r="1013" spans="5:5">
      <c r="E1013" s="7"/>
    </row>
    <row r="1014" spans="5:5">
      <c r="E1014" s="7"/>
    </row>
    <row r="1015" spans="5:5">
      <c r="E1015" s="7"/>
    </row>
    <row r="1016" spans="5:5">
      <c r="E1016" s="7"/>
    </row>
    <row r="1017" spans="5:5">
      <c r="E1017" s="7"/>
    </row>
    <row r="1018" spans="5:5">
      <c r="E1018" s="7"/>
    </row>
    <row r="1019" spans="5:5">
      <c r="E1019" s="7"/>
    </row>
    <row r="1020" spans="5:5">
      <c r="E1020" s="7"/>
    </row>
    <row r="1021" spans="5:5">
      <c r="E1021" s="7"/>
    </row>
    <row r="1022" spans="5:5">
      <c r="E1022" s="7"/>
    </row>
    <row r="1023" spans="5:5">
      <c r="E1023" s="7"/>
    </row>
    <row r="1024" spans="5:5">
      <c r="E1024" s="7"/>
    </row>
    <row r="1025" spans="5:5">
      <c r="E1025" s="7"/>
    </row>
    <row r="1026" spans="5:5">
      <c r="E1026" s="7"/>
    </row>
    <row r="1027" spans="5:5">
      <c r="E1027" s="7"/>
    </row>
    <row r="1028" spans="5:5">
      <c r="E1028" s="7"/>
    </row>
    <row r="1029" spans="5:5">
      <c r="E1029" s="7"/>
    </row>
    <row r="1030" spans="5:5">
      <c r="E1030" s="7"/>
    </row>
    <row r="1031" spans="5:5">
      <c r="E1031" s="7"/>
    </row>
    <row r="1032" spans="5:5">
      <c r="E1032" s="7"/>
    </row>
    <row r="1033" spans="5:5">
      <c r="E1033" s="7"/>
    </row>
    <row r="1034" spans="5:5">
      <c r="E1034" s="7"/>
    </row>
    <row r="1035" spans="5:5">
      <c r="E1035" s="7"/>
    </row>
    <row r="1036" spans="5:5">
      <c r="E1036" s="7"/>
    </row>
    <row r="1037" spans="5:5">
      <c r="E1037" s="7"/>
    </row>
    <row r="1038" spans="5:5">
      <c r="E1038" s="7"/>
    </row>
    <row r="1039" spans="5:5">
      <c r="E1039" s="7"/>
    </row>
    <row r="1040" spans="5:5">
      <c r="E1040" s="7"/>
    </row>
    <row r="1041" spans="5:5">
      <c r="E1041" s="7"/>
    </row>
    <row r="1042" spans="5:5">
      <c r="E1042" s="7"/>
    </row>
    <row r="1043" spans="5:5">
      <c r="E1043" s="7"/>
    </row>
    <row r="1044" spans="5:5">
      <c r="E1044" s="7"/>
    </row>
    <row r="1045" spans="5:5">
      <c r="E1045" s="7"/>
    </row>
    <row r="1046" spans="5:5">
      <c r="E1046" s="7"/>
    </row>
    <row r="1047" spans="5:5">
      <c r="E1047" s="7"/>
    </row>
    <row r="1048" spans="5:5">
      <c r="E1048" s="7"/>
    </row>
    <row r="1049" spans="5:5">
      <c r="E1049" s="7"/>
    </row>
    <row r="1050" spans="5:5">
      <c r="E1050" s="7"/>
    </row>
    <row r="1051" spans="5:5">
      <c r="E1051" s="7"/>
    </row>
    <row r="1052" spans="5:5">
      <c r="E1052" s="7"/>
    </row>
    <row r="1053" spans="5:5">
      <c r="E1053" s="7"/>
    </row>
    <row r="1054" spans="5:5">
      <c r="E1054" s="7"/>
    </row>
    <row r="1055" spans="5:5">
      <c r="E1055" s="7"/>
    </row>
    <row r="1056" spans="5:5">
      <c r="E1056" s="7"/>
    </row>
    <row r="1057" spans="5:5">
      <c r="E1057" s="7"/>
    </row>
    <row r="1058" spans="5:5">
      <c r="E1058" s="7"/>
    </row>
    <row r="1059" spans="5:5">
      <c r="E1059" s="7"/>
    </row>
    <row r="1060" spans="5:5">
      <c r="E1060" s="7"/>
    </row>
    <row r="1061" spans="5:5">
      <c r="E1061" s="7"/>
    </row>
    <row r="1062" spans="5:5">
      <c r="E1062" s="7"/>
    </row>
    <row r="1063" spans="5:5">
      <c r="E1063" s="7"/>
    </row>
    <row r="1064" spans="5:5">
      <c r="E1064" s="7"/>
    </row>
    <row r="1065" spans="5:5">
      <c r="E1065" s="7"/>
    </row>
    <row r="1066" spans="5:5">
      <c r="E1066" s="7"/>
    </row>
    <row r="1067" spans="5:5">
      <c r="E1067" s="7"/>
    </row>
    <row r="1068" spans="5:5">
      <c r="E1068" s="7"/>
    </row>
    <row r="1069" spans="5:5">
      <c r="E1069" s="7"/>
    </row>
    <row r="1070" spans="5:5">
      <c r="E1070" s="7"/>
    </row>
    <row r="1071" spans="5:5">
      <c r="E1071" s="7"/>
    </row>
    <row r="1072" spans="5:5">
      <c r="E1072" s="7"/>
    </row>
    <row r="1073" spans="5:5">
      <c r="E1073" s="7"/>
    </row>
    <row r="1074" spans="5:5">
      <c r="E1074" s="7"/>
    </row>
    <row r="1075" spans="5:5">
      <c r="E1075" s="7"/>
    </row>
    <row r="1076" spans="5:5">
      <c r="E1076" s="7"/>
    </row>
    <row r="1077" spans="5:5">
      <c r="E1077" s="7"/>
    </row>
    <row r="1078" spans="5:5">
      <c r="E1078" s="7"/>
    </row>
    <row r="1079" spans="5:5">
      <c r="E1079" s="7"/>
    </row>
    <row r="1080" spans="5:5">
      <c r="E1080" s="7"/>
    </row>
    <row r="1081" spans="5:5">
      <c r="E1081" s="7"/>
    </row>
    <row r="1082" spans="5:5">
      <c r="E1082" s="7"/>
    </row>
    <row r="1083" spans="5:5">
      <c r="E1083" s="7"/>
    </row>
    <row r="1084" spans="5:5">
      <c r="E1084" s="7"/>
    </row>
    <row r="1085" spans="5:5">
      <c r="E1085" s="7"/>
    </row>
    <row r="1086" spans="5:5">
      <c r="E1086" s="7"/>
    </row>
    <row r="1087" spans="5:5">
      <c r="E1087" s="7"/>
    </row>
    <row r="1088" spans="5:5">
      <c r="E1088" s="7"/>
    </row>
    <row r="1089" spans="5:5">
      <c r="E1089" s="7"/>
    </row>
    <row r="1090" spans="5:5">
      <c r="E1090" s="7"/>
    </row>
    <row r="1091" spans="5:5">
      <c r="E1091" s="7"/>
    </row>
    <row r="1092" spans="5:5">
      <c r="E1092" s="7"/>
    </row>
    <row r="1093" spans="5:5">
      <c r="E1093" s="7"/>
    </row>
    <row r="1094" spans="5:5">
      <c r="E1094" s="7"/>
    </row>
    <row r="1095" spans="5:5">
      <c r="E1095" s="7"/>
    </row>
    <row r="1096" spans="5:5">
      <c r="E1096" s="7"/>
    </row>
    <row r="1097" spans="5:5">
      <c r="E1097" s="7"/>
    </row>
    <row r="1098" spans="5:5">
      <c r="E1098" s="7"/>
    </row>
    <row r="1099" spans="5:5">
      <c r="E1099" s="7"/>
    </row>
    <row r="1100" spans="5:5">
      <c r="E1100" s="7"/>
    </row>
    <row r="1101" spans="5:5">
      <c r="E1101" s="7"/>
    </row>
    <row r="1102" spans="5:5">
      <c r="E1102" s="7"/>
    </row>
    <row r="1103" spans="5:5">
      <c r="E1103" s="7"/>
    </row>
    <row r="1104" spans="5:5">
      <c r="E1104" s="7"/>
    </row>
    <row r="1105" spans="5:5">
      <c r="E1105" s="7"/>
    </row>
    <row r="1106" spans="5:5">
      <c r="E1106" s="7"/>
    </row>
    <row r="1107" spans="5:5">
      <c r="E1107" s="7"/>
    </row>
    <row r="1108" spans="5:5">
      <c r="E1108" s="7"/>
    </row>
    <row r="1109" spans="5:5">
      <c r="E1109" s="7"/>
    </row>
    <row r="1110" spans="5:5">
      <c r="E1110" s="7"/>
    </row>
    <row r="1111" spans="5:5">
      <c r="E1111" s="7"/>
    </row>
    <row r="1112" spans="5:5">
      <c r="E1112" s="7"/>
    </row>
    <row r="1113" spans="5:5">
      <c r="E1113" s="7"/>
    </row>
    <row r="1114" spans="5:5">
      <c r="E1114" s="7"/>
    </row>
    <row r="1115" spans="5:5">
      <c r="E1115" s="7"/>
    </row>
    <row r="1116" spans="5:5">
      <c r="E1116" s="7"/>
    </row>
    <row r="1117" spans="5:5">
      <c r="E1117" s="7"/>
    </row>
    <row r="1118" spans="5:5">
      <c r="E1118" s="7"/>
    </row>
    <row r="1119" spans="5:5">
      <c r="E1119" s="7"/>
    </row>
    <row r="1120" spans="5:5">
      <c r="E1120" s="7"/>
    </row>
    <row r="1121" spans="5:5">
      <c r="E1121" s="7"/>
    </row>
    <row r="1122" spans="5:5">
      <c r="E1122" s="7"/>
    </row>
    <row r="1123" spans="5:5">
      <c r="E1123" s="7"/>
    </row>
    <row r="1124" spans="5:5">
      <c r="E1124" s="7"/>
    </row>
    <row r="1125" spans="5:5">
      <c r="E1125" s="7"/>
    </row>
    <row r="1126" spans="5:5">
      <c r="E1126" s="7"/>
    </row>
    <row r="1127" spans="5:5">
      <c r="E1127" s="7"/>
    </row>
    <row r="1128" spans="5:5">
      <c r="E1128" s="7"/>
    </row>
    <row r="1129" spans="5:5">
      <c r="E1129" s="7"/>
    </row>
    <row r="1130" spans="5:5">
      <c r="E1130" s="7"/>
    </row>
    <row r="1131" spans="5:5">
      <c r="E1131" s="7"/>
    </row>
    <row r="1132" spans="5:5">
      <c r="E1132" s="7"/>
    </row>
    <row r="1133" spans="5:5">
      <c r="E1133" s="7"/>
    </row>
    <row r="1134" spans="5:5">
      <c r="E1134" s="7"/>
    </row>
    <row r="1135" spans="5:5">
      <c r="E1135" s="7"/>
    </row>
    <row r="1136" spans="5:5">
      <c r="E1136" s="7"/>
    </row>
    <row r="1137" spans="5:5">
      <c r="E1137" s="7"/>
    </row>
    <row r="1138" spans="5:5">
      <c r="E1138" s="7"/>
    </row>
    <row r="1139" spans="5:5">
      <c r="E1139" s="7"/>
    </row>
    <row r="1140" spans="5:5">
      <c r="E1140" s="7"/>
    </row>
    <row r="1141" spans="5:5">
      <c r="E1141" s="7"/>
    </row>
    <row r="1142" spans="5:5">
      <c r="E1142" s="7"/>
    </row>
    <row r="1143" spans="5:5">
      <c r="E1143" s="7"/>
    </row>
    <row r="1144" spans="5:5">
      <c r="E1144" s="7"/>
    </row>
    <row r="1145" spans="5:5">
      <c r="E1145" s="7"/>
    </row>
    <row r="1146" spans="5:5">
      <c r="E1146" s="7"/>
    </row>
    <row r="1147" spans="5:5">
      <c r="E1147" s="7"/>
    </row>
    <row r="1148" spans="5:5">
      <c r="E1148" s="7"/>
    </row>
    <row r="1149" spans="5:5">
      <c r="E1149" s="7"/>
    </row>
    <row r="1150" spans="5:5">
      <c r="E1150" s="7"/>
    </row>
    <row r="1151" spans="5:5">
      <c r="E1151" s="7"/>
    </row>
    <row r="1152" spans="5:5">
      <c r="E1152" s="7"/>
    </row>
    <row r="1153" spans="5:5">
      <c r="E1153" s="7"/>
    </row>
    <row r="1154" spans="5:5">
      <c r="E1154" s="7"/>
    </row>
    <row r="1155" spans="5:5">
      <c r="E1155" s="7"/>
    </row>
    <row r="1156" spans="5:5">
      <c r="E1156" s="7"/>
    </row>
    <row r="1157" spans="5:5">
      <c r="E1157" s="7"/>
    </row>
    <row r="1158" spans="5:5">
      <c r="E1158" s="7"/>
    </row>
    <row r="1159" spans="5:5">
      <c r="E1159" s="7"/>
    </row>
    <row r="1160" spans="5:5">
      <c r="E1160" s="7"/>
    </row>
    <row r="1161" spans="5:5">
      <c r="E1161" s="7"/>
    </row>
    <row r="1162" spans="5:5">
      <c r="E1162" s="7"/>
    </row>
    <row r="1163" spans="5:5">
      <c r="E1163" s="7"/>
    </row>
    <row r="1164" spans="5:5">
      <c r="E1164" s="7"/>
    </row>
    <row r="1165" spans="5:5">
      <c r="E1165" s="7"/>
    </row>
    <row r="1166" spans="5:5">
      <c r="E1166" s="7"/>
    </row>
    <row r="1167" spans="5:5">
      <c r="E1167" s="7"/>
    </row>
    <row r="1168" spans="5:5">
      <c r="E1168" s="7"/>
    </row>
    <row r="1169" spans="5:5">
      <c r="E1169" s="7"/>
    </row>
    <row r="1170" spans="5:5">
      <c r="E1170" s="7"/>
    </row>
    <row r="1171" spans="5:5">
      <c r="E1171" s="7"/>
    </row>
    <row r="1172" spans="5:5">
      <c r="E1172" s="7"/>
    </row>
    <row r="1173" spans="5:5">
      <c r="E1173" s="7"/>
    </row>
    <row r="1174" spans="5:5">
      <c r="E1174" s="7"/>
    </row>
    <row r="1175" spans="5:5">
      <c r="E1175" s="7"/>
    </row>
    <row r="1176" spans="5:5">
      <c r="E1176" s="7"/>
    </row>
    <row r="1177" spans="5:5">
      <c r="E1177" s="7"/>
    </row>
    <row r="1178" spans="5:5">
      <c r="E1178" s="7"/>
    </row>
    <row r="1179" spans="5:5">
      <c r="E1179" s="7"/>
    </row>
    <row r="1180" spans="5:5">
      <c r="E1180" s="7"/>
    </row>
    <row r="1181" spans="5:5">
      <c r="E1181" s="7"/>
    </row>
    <row r="1182" spans="5:5">
      <c r="E1182" s="7"/>
    </row>
    <row r="1183" spans="5:5">
      <c r="E1183" s="7"/>
    </row>
    <row r="1184" spans="5:5">
      <c r="E1184" s="7"/>
    </row>
    <row r="1185" spans="5:5">
      <c r="E1185" s="7"/>
    </row>
    <row r="1186" spans="5:5">
      <c r="E1186" s="7"/>
    </row>
    <row r="1187" spans="5:5">
      <c r="E1187" s="7"/>
    </row>
    <row r="1188" spans="5:5">
      <c r="E1188" s="7"/>
    </row>
    <row r="1189" spans="5:5">
      <c r="E1189" s="7"/>
    </row>
    <row r="1190" spans="5:5">
      <c r="E1190" s="7"/>
    </row>
    <row r="1191" spans="5:5">
      <c r="E1191" s="7"/>
    </row>
    <row r="1192" spans="5:5">
      <c r="E1192" s="7"/>
    </row>
    <row r="1193" spans="5:5">
      <c r="E1193" s="7"/>
    </row>
    <row r="1194" spans="5:5">
      <c r="E1194" s="7"/>
    </row>
    <row r="1195" spans="5:5">
      <c r="E1195" s="7"/>
    </row>
    <row r="1196" spans="5:5">
      <c r="E1196" s="7"/>
    </row>
    <row r="1197" spans="5:5">
      <c r="E1197" s="7"/>
    </row>
    <row r="1198" spans="5:5">
      <c r="E1198" s="7"/>
    </row>
    <row r="1199" spans="5:5">
      <c r="E1199" s="7"/>
    </row>
    <row r="1200" spans="5:5">
      <c r="E1200" s="7"/>
    </row>
    <row r="1201" spans="5:5">
      <c r="E1201" s="7"/>
    </row>
    <row r="1202" spans="5:5">
      <c r="E1202" s="7"/>
    </row>
    <row r="1203" spans="5:5">
      <c r="E1203" s="7"/>
    </row>
    <row r="1204" spans="5:5">
      <c r="E1204" s="7"/>
    </row>
    <row r="1205" spans="5:5">
      <c r="E1205" s="7"/>
    </row>
    <row r="1206" spans="5:5">
      <c r="E1206" s="7"/>
    </row>
    <row r="1207" spans="5:5">
      <c r="E1207" s="7"/>
    </row>
    <row r="1208" spans="5:5">
      <c r="E1208" s="7"/>
    </row>
    <row r="1209" spans="5:5">
      <c r="E1209" s="7"/>
    </row>
    <row r="1210" spans="5:5">
      <c r="E1210" s="7"/>
    </row>
    <row r="1211" spans="5:5">
      <c r="E1211" s="7"/>
    </row>
    <row r="1212" spans="5:5">
      <c r="E1212" s="7"/>
    </row>
    <row r="1213" spans="5:5">
      <c r="E1213" s="7"/>
    </row>
    <row r="1214" spans="5:5">
      <c r="E1214" s="7"/>
    </row>
    <row r="1215" spans="5:5">
      <c r="E1215" s="7"/>
    </row>
    <row r="1216" spans="5:5">
      <c r="E1216" s="7"/>
    </row>
    <row r="1217" spans="5:5">
      <c r="E1217" s="7"/>
    </row>
    <row r="1218" spans="5:5">
      <c r="E1218" s="7"/>
    </row>
    <row r="1219" spans="5:5">
      <c r="E1219" s="7"/>
    </row>
    <row r="1220" spans="5:5">
      <c r="E1220" s="7"/>
    </row>
    <row r="1221" spans="5:5">
      <c r="E1221" s="7"/>
    </row>
    <row r="1222" spans="5:5">
      <c r="E1222" s="7"/>
    </row>
    <row r="1223" spans="5:5">
      <c r="E1223" s="7"/>
    </row>
    <row r="1224" spans="5:5">
      <c r="E1224" s="7"/>
    </row>
    <row r="1225" spans="5:5">
      <c r="E1225" s="7"/>
    </row>
    <row r="1226" spans="5:5">
      <c r="E1226" s="7"/>
    </row>
    <row r="1227" spans="5:5">
      <c r="E1227" s="7"/>
    </row>
    <row r="1228" spans="5:5">
      <c r="E1228" s="7"/>
    </row>
    <row r="1229" spans="5:5">
      <c r="E1229" s="7"/>
    </row>
    <row r="1230" spans="5:5">
      <c r="E1230" s="7"/>
    </row>
    <row r="1231" spans="5:5">
      <c r="E1231" s="7"/>
    </row>
    <row r="1232" spans="5:5">
      <c r="E1232" s="7"/>
    </row>
    <row r="1233" spans="5:5">
      <c r="E1233" s="7"/>
    </row>
    <row r="1234" spans="5:5">
      <c r="E1234" s="7"/>
    </row>
    <row r="1235" spans="5:5">
      <c r="E1235" s="7"/>
    </row>
    <row r="1236" spans="5:5">
      <c r="E1236" s="7"/>
    </row>
    <row r="1237" spans="5:5">
      <c r="E1237" s="7"/>
    </row>
    <row r="1238" spans="5:5">
      <c r="E1238" s="7"/>
    </row>
    <row r="1239" spans="5:5">
      <c r="E1239" s="7"/>
    </row>
    <row r="1240" spans="5:5">
      <c r="E1240" s="7"/>
    </row>
    <row r="1241" spans="5:5">
      <c r="E1241" s="7"/>
    </row>
    <row r="1242" spans="5:5">
      <c r="E1242" s="7"/>
    </row>
    <row r="1243" spans="5:5">
      <c r="E1243" s="7"/>
    </row>
    <row r="1244" spans="5:5">
      <c r="E1244" s="7"/>
    </row>
    <row r="1245" spans="5:5">
      <c r="E1245" s="7"/>
    </row>
    <row r="1246" spans="5:5">
      <c r="E1246" s="7"/>
    </row>
    <row r="1247" spans="5:5">
      <c r="E1247" s="7"/>
    </row>
    <row r="1248" spans="5:5">
      <c r="E1248" s="7"/>
    </row>
    <row r="1249" spans="5:5">
      <c r="E1249" s="7"/>
    </row>
    <row r="1250" spans="5:5">
      <c r="E1250" s="7"/>
    </row>
    <row r="1251" spans="5:5">
      <c r="E1251" s="7"/>
    </row>
    <row r="1252" spans="5:5">
      <c r="E1252" s="7"/>
    </row>
    <row r="1253" spans="5:5">
      <c r="E1253" s="7"/>
    </row>
    <row r="1254" spans="5:5">
      <c r="E1254" s="7"/>
    </row>
    <row r="1255" spans="5:5">
      <c r="E1255" s="7"/>
    </row>
    <row r="1256" spans="5:5">
      <c r="E1256" s="7"/>
    </row>
    <row r="1257" spans="5:5">
      <c r="E1257" s="7"/>
    </row>
    <row r="1258" spans="5:5">
      <c r="E1258" s="7"/>
    </row>
    <row r="1259" spans="5:5">
      <c r="E1259" s="7"/>
    </row>
    <row r="1260" spans="5:5">
      <c r="E1260" s="7"/>
    </row>
    <row r="1261" spans="5:5">
      <c r="E1261" s="7"/>
    </row>
    <row r="1262" spans="5:5">
      <c r="E1262" s="7"/>
    </row>
    <row r="1263" spans="5:5">
      <c r="E1263" s="7"/>
    </row>
    <row r="1264" spans="5:5">
      <c r="E1264" s="7"/>
    </row>
    <row r="1265" spans="5:5">
      <c r="E1265" s="7"/>
    </row>
    <row r="1266" spans="5:5">
      <c r="E1266" s="7"/>
    </row>
    <row r="1267" spans="5:5">
      <c r="E1267" s="7"/>
    </row>
    <row r="1268" spans="5:5">
      <c r="E1268" s="7"/>
    </row>
    <row r="1269" spans="5:5">
      <c r="E1269" s="7"/>
    </row>
    <row r="1270" spans="5:5">
      <c r="E1270" s="7"/>
    </row>
    <row r="1271" spans="5:5">
      <c r="E1271" s="7"/>
    </row>
    <row r="1272" spans="5:5">
      <c r="E1272" s="7"/>
    </row>
    <row r="1273" spans="5:5">
      <c r="E1273" s="7"/>
    </row>
    <row r="1274" spans="5:5">
      <c r="E1274" s="7"/>
    </row>
    <row r="1275" spans="5:5">
      <c r="E1275" s="7"/>
    </row>
    <row r="1276" spans="5:5">
      <c r="E1276" s="7"/>
    </row>
    <row r="1277" spans="5:5">
      <c r="E1277" s="7"/>
    </row>
    <row r="1278" spans="5:5">
      <c r="E1278" s="7"/>
    </row>
    <row r="1279" spans="5:5">
      <c r="E1279" s="7"/>
    </row>
    <row r="1280" spans="5:5">
      <c r="E1280" s="7"/>
    </row>
    <row r="1281" spans="5:5">
      <c r="E1281" s="7"/>
    </row>
    <row r="1282" spans="5:5">
      <c r="E1282" s="7"/>
    </row>
    <row r="1283" spans="5:5">
      <c r="E1283" s="7"/>
    </row>
    <row r="1284" spans="5:5">
      <c r="E1284" s="7"/>
    </row>
    <row r="1285" spans="5:5">
      <c r="E1285" s="7"/>
    </row>
    <row r="1286" spans="5:5">
      <c r="E1286" s="7"/>
    </row>
    <row r="1287" spans="5:5">
      <c r="E1287" s="7"/>
    </row>
    <row r="1288" spans="5:5">
      <c r="E1288" s="7"/>
    </row>
    <row r="1289" spans="5:5">
      <c r="E1289" s="7"/>
    </row>
    <row r="1290" spans="5:5">
      <c r="E1290" s="7"/>
    </row>
    <row r="1291" spans="5:5">
      <c r="E1291" s="7"/>
    </row>
    <row r="1292" spans="5:5">
      <c r="E1292" s="7"/>
    </row>
    <row r="1293" spans="5:5">
      <c r="E1293" s="7"/>
    </row>
    <row r="1294" spans="5:5">
      <c r="E1294" s="7"/>
    </row>
    <row r="1295" spans="5:5">
      <c r="E1295" s="7"/>
    </row>
    <row r="1296" spans="5:5">
      <c r="E1296" s="7"/>
    </row>
    <row r="1297" spans="5:5">
      <c r="E1297" s="7"/>
    </row>
    <row r="1298" spans="5:5">
      <c r="E1298" s="7"/>
    </row>
    <row r="1299" spans="5:5">
      <c r="E1299" s="7"/>
    </row>
    <row r="1300" spans="5:5">
      <c r="E1300" s="7"/>
    </row>
    <row r="1301" spans="5:5">
      <c r="E1301" s="7"/>
    </row>
    <row r="1302" spans="5:5">
      <c r="E1302" s="7"/>
    </row>
    <row r="1303" spans="5:5">
      <c r="E1303" s="7"/>
    </row>
    <row r="1304" spans="5:5">
      <c r="E1304" s="7"/>
    </row>
    <row r="1305" spans="5:5">
      <c r="E1305" s="7"/>
    </row>
    <row r="1306" spans="5:5">
      <c r="E1306" s="7"/>
    </row>
    <row r="1307" spans="5:5">
      <c r="E1307" s="7"/>
    </row>
    <row r="1308" spans="5:5">
      <c r="E1308" s="7"/>
    </row>
    <row r="1309" spans="5:5">
      <c r="E1309" s="7"/>
    </row>
    <row r="1310" spans="5:5">
      <c r="E1310" s="7"/>
    </row>
    <row r="1311" spans="5:5">
      <c r="E1311" s="7"/>
    </row>
    <row r="1312" spans="5:5">
      <c r="E1312" s="7"/>
    </row>
    <row r="1313" spans="5:5">
      <c r="E1313" s="7"/>
    </row>
    <row r="1314" spans="5:5">
      <c r="E1314" s="7"/>
    </row>
    <row r="1315" spans="5:5">
      <c r="E1315" s="7"/>
    </row>
    <row r="1316" spans="5:5">
      <c r="E1316" s="7"/>
    </row>
    <row r="1317" spans="5:5">
      <c r="E1317" s="7"/>
    </row>
    <row r="1318" spans="5:5">
      <c r="E1318" s="7"/>
    </row>
    <row r="1319" spans="5:5">
      <c r="E1319" s="7"/>
    </row>
    <row r="1320" spans="5:5">
      <c r="E1320" s="7"/>
    </row>
    <row r="1321" spans="5:5">
      <c r="E1321" s="7"/>
    </row>
    <row r="1322" spans="5:5">
      <c r="E1322" s="7"/>
    </row>
    <row r="1323" spans="5:5">
      <c r="E1323" s="7"/>
    </row>
    <row r="1324" spans="5:5">
      <c r="E1324" s="7"/>
    </row>
    <row r="1325" spans="5:5">
      <c r="E1325" s="7"/>
    </row>
    <row r="1326" spans="5:5">
      <c r="E1326" s="7"/>
    </row>
    <row r="1327" spans="5:5">
      <c r="E1327" s="7"/>
    </row>
    <row r="1328" spans="5:5">
      <c r="E1328" s="7"/>
    </row>
    <row r="1329" spans="5:5">
      <c r="E1329" s="7"/>
    </row>
    <row r="1330" spans="5:5">
      <c r="E1330" s="7"/>
    </row>
    <row r="1331" spans="5:5">
      <c r="E1331" s="7"/>
    </row>
    <row r="1332" spans="5:5">
      <c r="E1332" s="7"/>
    </row>
    <row r="1333" spans="5:5">
      <c r="E1333" s="7"/>
    </row>
    <row r="1334" spans="5:5">
      <c r="E1334" s="7"/>
    </row>
    <row r="1335" spans="5:5">
      <c r="E1335" s="7"/>
    </row>
    <row r="1336" spans="5:5">
      <c r="E1336" s="7"/>
    </row>
    <row r="1337" spans="5:5">
      <c r="E1337" s="7"/>
    </row>
    <row r="1338" spans="5:5">
      <c r="E1338" s="7"/>
    </row>
    <row r="1339" spans="5:5">
      <c r="E1339" s="7"/>
    </row>
    <row r="1340" spans="5:5">
      <c r="E1340" s="7"/>
    </row>
    <row r="1341" spans="5:5">
      <c r="E1341" s="7"/>
    </row>
    <row r="1342" spans="5:5">
      <c r="E1342" s="7"/>
    </row>
    <row r="1343" spans="5:5">
      <c r="E1343" s="7"/>
    </row>
    <row r="1344" spans="5:5">
      <c r="E1344" s="7"/>
    </row>
    <row r="1345" spans="5:5">
      <c r="E1345" s="7"/>
    </row>
    <row r="1346" spans="5:5">
      <c r="E1346" s="7"/>
    </row>
    <row r="1347" spans="5:5">
      <c r="E1347" s="7"/>
    </row>
    <row r="1348" spans="5:5">
      <c r="E1348" s="7"/>
    </row>
    <row r="1349" spans="5:5">
      <c r="E1349" s="7"/>
    </row>
    <row r="1350" spans="5:5">
      <c r="E1350" s="7"/>
    </row>
    <row r="1351" spans="5:5">
      <c r="E1351" s="7"/>
    </row>
    <row r="1352" spans="5:5">
      <c r="E1352" s="7"/>
    </row>
    <row r="1353" spans="5:5">
      <c r="E1353" s="7"/>
    </row>
    <row r="1354" spans="5:5">
      <c r="E1354" s="7"/>
    </row>
    <row r="1355" spans="5:5">
      <c r="E1355" s="7"/>
    </row>
    <row r="1356" spans="5:5">
      <c r="E1356" s="7"/>
    </row>
    <row r="1357" spans="5:5">
      <c r="E1357" s="7"/>
    </row>
    <row r="1358" spans="5:5">
      <c r="E1358" s="7"/>
    </row>
    <row r="1359" spans="5:5">
      <c r="E1359" s="7"/>
    </row>
    <row r="1360" spans="5:5">
      <c r="E1360" s="7"/>
    </row>
    <row r="1361" spans="5:5">
      <c r="E1361" s="7"/>
    </row>
    <row r="1362" spans="5:5">
      <c r="E1362" s="7"/>
    </row>
    <row r="1363" spans="5:5">
      <c r="E1363" s="7"/>
    </row>
    <row r="1364" spans="5:5">
      <c r="E1364" s="7"/>
    </row>
    <row r="1365" spans="5:5">
      <c r="E1365" s="7"/>
    </row>
    <row r="1366" spans="5:5">
      <c r="E1366" s="7"/>
    </row>
    <row r="1367" spans="5:5">
      <c r="E1367" s="7"/>
    </row>
    <row r="1368" spans="5:5">
      <c r="E1368" s="7"/>
    </row>
    <row r="1369" spans="5:5">
      <c r="E1369" s="7"/>
    </row>
    <row r="1370" spans="5:5">
      <c r="E1370" s="7"/>
    </row>
    <row r="1371" spans="5:5">
      <c r="E1371" s="7"/>
    </row>
    <row r="1372" spans="5:5">
      <c r="E1372" s="7"/>
    </row>
    <row r="1373" spans="5:5">
      <c r="E1373" s="7"/>
    </row>
    <row r="1374" spans="5:5">
      <c r="E1374" s="7"/>
    </row>
    <row r="1375" spans="5:5">
      <c r="E1375" s="7"/>
    </row>
    <row r="1376" spans="5:5">
      <c r="E1376" s="7"/>
    </row>
    <row r="1377" spans="5:5">
      <c r="E1377" s="7"/>
    </row>
    <row r="1378" spans="5:5">
      <c r="E1378" s="7"/>
    </row>
    <row r="1379" spans="5:5">
      <c r="E1379" s="7"/>
    </row>
    <row r="1380" spans="5:5">
      <c r="E1380" s="7"/>
    </row>
    <row r="1381" spans="5:5">
      <c r="E1381" s="7"/>
    </row>
    <row r="1382" spans="5:5">
      <c r="E1382" s="7"/>
    </row>
    <row r="1383" spans="5:5">
      <c r="E1383" s="7"/>
    </row>
    <row r="1384" spans="5:5">
      <c r="E1384" s="7"/>
    </row>
    <row r="1385" spans="5:5">
      <c r="E1385" s="7"/>
    </row>
    <row r="1386" spans="5:5">
      <c r="E1386" s="7"/>
    </row>
    <row r="1387" spans="5:5">
      <c r="E1387" s="7"/>
    </row>
    <row r="1388" spans="5:5">
      <c r="E1388" s="7"/>
    </row>
    <row r="1389" spans="5:5">
      <c r="E1389" s="7"/>
    </row>
    <row r="1390" spans="5:5">
      <c r="E1390" s="7"/>
    </row>
    <row r="1391" spans="5:5">
      <c r="E1391" s="7"/>
    </row>
    <row r="1392" spans="5:5">
      <c r="E1392" s="7"/>
    </row>
    <row r="1393" spans="5:5">
      <c r="E1393" s="7"/>
    </row>
    <row r="1394" spans="5:5">
      <c r="E1394" s="7"/>
    </row>
    <row r="1395" spans="5:5">
      <c r="E1395" s="7"/>
    </row>
    <row r="1396" spans="5:5">
      <c r="E1396" s="7"/>
    </row>
    <row r="1397" spans="5:5">
      <c r="E1397" s="7"/>
    </row>
    <row r="1398" spans="5:5">
      <c r="E1398" s="7"/>
    </row>
    <row r="1399" spans="5:5">
      <c r="E1399" s="7"/>
    </row>
    <row r="1400" spans="5:5">
      <c r="E1400" s="7"/>
    </row>
    <row r="1401" spans="5:5">
      <c r="E1401" s="7"/>
    </row>
    <row r="1402" spans="5:5">
      <c r="E1402" s="7"/>
    </row>
    <row r="1403" spans="5:5">
      <c r="E1403" s="7"/>
    </row>
    <row r="1404" spans="5:5">
      <c r="E1404" s="7"/>
    </row>
    <row r="1405" spans="5:5">
      <c r="E1405" s="7"/>
    </row>
    <row r="1406" spans="5:5">
      <c r="E1406" s="7"/>
    </row>
    <row r="1407" spans="5:5">
      <c r="E1407" s="7"/>
    </row>
    <row r="1408" spans="5:5">
      <c r="E1408" s="7"/>
    </row>
    <row r="1409" spans="5:5">
      <c r="E1409" s="7"/>
    </row>
    <row r="1410" spans="5:5">
      <c r="E1410" s="7"/>
    </row>
    <row r="1411" spans="5:5">
      <c r="E1411" s="7"/>
    </row>
    <row r="1412" spans="5:5">
      <c r="E1412" s="7"/>
    </row>
    <row r="1413" spans="5:5">
      <c r="E1413" s="7"/>
    </row>
    <row r="1414" spans="5:5">
      <c r="E1414" s="7"/>
    </row>
    <row r="1415" spans="5:5">
      <c r="E1415" s="7"/>
    </row>
    <row r="1416" spans="5:5">
      <c r="E1416" s="7"/>
    </row>
    <row r="1417" spans="5:5">
      <c r="E1417" s="7"/>
    </row>
    <row r="1418" spans="5:5">
      <c r="E1418" s="7"/>
    </row>
    <row r="1419" spans="5:5">
      <c r="E1419" s="7"/>
    </row>
    <row r="1420" spans="5:5">
      <c r="E1420" s="7"/>
    </row>
    <row r="1421" spans="5:5">
      <c r="E1421" s="7"/>
    </row>
    <row r="1422" spans="5:5">
      <c r="E1422" s="7"/>
    </row>
    <row r="1423" spans="5:5">
      <c r="E1423" s="7"/>
    </row>
    <row r="1424" spans="5:5">
      <c r="E1424" s="7"/>
    </row>
    <row r="1425" spans="5:5">
      <c r="E1425" s="7"/>
    </row>
    <row r="1426" spans="5:5">
      <c r="E1426" s="7"/>
    </row>
    <row r="1427" spans="5:5">
      <c r="E1427" s="7"/>
    </row>
    <row r="1428" spans="5:5">
      <c r="E1428" s="7"/>
    </row>
    <row r="1429" spans="5:5">
      <c r="E1429" s="7"/>
    </row>
    <row r="1430" spans="5:5">
      <c r="E1430" s="7"/>
    </row>
    <row r="1431" spans="5:5">
      <c r="E1431" s="7"/>
    </row>
    <row r="1432" spans="5:5">
      <c r="E1432" s="7"/>
    </row>
    <row r="1433" spans="5:5">
      <c r="E1433" s="7"/>
    </row>
    <row r="1434" spans="5:5">
      <c r="E1434" s="7"/>
    </row>
    <row r="1435" spans="5:5">
      <c r="E1435" s="7"/>
    </row>
    <row r="1436" spans="5:5">
      <c r="E1436" s="7"/>
    </row>
    <row r="1437" spans="5:5">
      <c r="E1437" s="7"/>
    </row>
    <row r="1438" spans="5:5">
      <c r="E1438" s="7"/>
    </row>
    <row r="1439" spans="5:5">
      <c r="E1439" s="7"/>
    </row>
    <row r="1440" spans="5:5">
      <c r="E1440" s="7"/>
    </row>
    <row r="1441" spans="5:5">
      <c r="E1441" s="7"/>
    </row>
    <row r="1442" spans="5:5">
      <c r="E1442" s="7"/>
    </row>
    <row r="1443" spans="5:5">
      <c r="E1443" s="7"/>
    </row>
    <row r="1444" spans="5:5">
      <c r="E1444" s="7"/>
    </row>
    <row r="1445" spans="5:5">
      <c r="E1445" s="7"/>
    </row>
    <row r="1446" spans="5:5">
      <c r="E1446" s="7"/>
    </row>
    <row r="1447" spans="5:5">
      <c r="E1447" s="7"/>
    </row>
    <row r="1448" spans="5:5">
      <c r="E1448" s="7"/>
    </row>
    <row r="1449" spans="5:5">
      <c r="E1449" s="7"/>
    </row>
    <row r="1450" spans="5:5">
      <c r="E1450" s="7"/>
    </row>
    <row r="1451" spans="5:5">
      <c r="E1451" s="7"/>
    </row>
    <row r="1452" spans="5:5">
      <c r="E1452" s="7"/>
    </row>
    <row r="1453" spans="5:5">
      <c r="E1453" s="7"/>
    </row>
    <row r="1454" spans="5:5">
      <c r="E1454" s="7"/>
    </row>
    <row r="1455" spans="5:5">
      <c r="E1455" s="7"/>
    </row>
    <row r="1456" spans="5:5">
      <c r="E1456" s="7"/>
    </row>
    <row r="1457" spans="5:5">
      <c r="E1457" s="7"/>
    </row>
    <row r="1458" spans="5:5">
      <c r="E1458" s="7"/>
    </row>
    <row r="1459" spans="5:5">
      <c r="E1459" s="7"/>
    </row>
    <row r="1460" spans="5:5">
      <c r="E1460" s="7"/>
    </row>
    <row r="1461" spans="5:5">
      <c r="E1461" s="7"/>
    </row>
    <row r="1462" spans="5:5">
      <c r="E1462" s="7"/>
    </row>
    <row r="1463" spans="5:5">
      <c r="E1463" s="7"/>
    </row>
    <row r="1464" spans="5:5">
      <c r="E1464" s="7"/>
    </row>
    <row r="1465" spans="5:5">
      <c r="E1465" s="7"/>
    </row>
    <row r="1466" spans="5:5">
      <c r="E1466" s="7"/>
    </row>
    <row r="1467" spans="5:5">
      <c r="E1467" s="7"/>
    </row>
    <row r="1468" spans="5:5">
      <c r="E1468" s="7"/>
    </row>
    <row r="1469" spans="5:5">
      <c r="E1469" s="7"/>
    </row>
    <row r="1470" spans="5:5">
      <c r="E1470" s="7"/>
    </row>
    <row r="1471" spans="5:5">
      <c r="E1471" s="7"/>
    </row>
    <row r="1472" spans="5:5">
      <c r="E1472" s="7"/>
    </row>
    <row r="1473" spans="5:5">
      <c r="E1473" s="7"/>
    </row>
    <row r="1474" spans="5:5">
      <c r="E1474" s="7"/>
    </row>
    <row r="1475" spans="5:5">
      <c r="E1475" s="7"/>
    </row>
    <row r="1476" spans="5:5">
      <c r="E1476" s="7"/>
    </row>
    <row r="1477" spans="5:5">
      <c r="E1477" s="7"/>
    </row>
    <row r="1478" spans="5:5">
      <c r="E1478" s="7"/>
    </row>
    <row r="1479" spans="5:5">
      <c r="E1479" s="7"/>
    </row>
    <row r="1480" spans="5:5">
      <c r="E1480" s="7"/>
    </row>
    <row r="1481" spans="5:5">
      <c r="E1481" s="7"/>
    </row>
    <row r="1482" spans="5:5">
      <c r="E1482" s="7"/>
    </row>
    <row r="1483" spans="5:5">
      <c r="E1483" s="7"/>
    </row>
    <row r="1484" spans="5:5">
      <c r="E1484" s="7"/>
    </row>
    <row r="1485" spans="5:5">
      <c r="E1485" s="7"/>
    </row>
    <row r="1486" spans="5:5">
      <c r="E1486" s="7"/>
    </row>
    <row r="1487" spans="5:5">
      <c r="E1487" s="7"/>
    </row>
    <row r="1488" spans="5:5">
      <c r="E1488" s="7"/>
    </row>
    <row r="1489" spans="5:5">
      <c r="E1489" s="7"/>
    </row>
    <row r="1490" spans="5:5">
      <c r="E1490" s="7"/>
    </row>
    <row r="1491" spans="5:5">
      <c r="E1491" s="7"/>
    </row>
    <row r="1492" spans="5:5">
      <c r="E1492" s="7"/>
    </row>
    <row r="1493" spans="5:5">
      <c r="E1493" s="7"/>
    </row>
    <row r="1494" spans="5:5">
      <c r="E1494" s="7"/>
    </row>
    <row r="1495" spans="5:5">
      <c r="E1495" s="7"/>
    </row>
    <row r="1496" spans="5:5">
      <c r="E1496" s="7"/>
    </row>
    <row r="1497" spans="5:5">
      <c r="E1497" s="7"/>
    </row>
    <row r="1498" spans="5:5">
      <c r="E1498" s="7"/>
    </row>
    <row r="1499" spans="5:5">
      <c r="E1499" s="7"/>
    </row>
    <row r="1500" spans="5:5">
      <c r="E1500" s="7"/>
    </row>
    <row r="1501" spans="5:5">
      <c r="E1501" s="7"/>
    </row>
    <row r="1502" spans="5:5">
      <c r="E1502" s="7"/>
    </row>
    <row r="1503" spans="5:5">
      <c r="E1503" s="7"/>
    </row>
    <row r="1504" spans="5:5">
      <c r="E1504" s="7"/>
    </row>
    <row r="1505" spans="5:5">
      <c r="E1505" s="7"/>
    </row>
    <row r="1506" spans="5:5">
      <c r="E1506" s="7"/>
    </row>
    <row r="1507" spans="5:5">
      <c r="E1507" s="7"/>
    </row>
    <row r="1508" spans="5:5">
      <c r="E1508" s="7"/>
    </row>
    <row r="1509" spans="5:5">
      <c r="E1509" s="7"/>
    </row>
    <row r="1510" spans="5:5">
      <c r="E1510" s="7"/>
    </row>
    <row r="1511" spans="5:5">
      <c r="E1511" s="7"/>
    </row>
    <row r="1512" spans="5:5">
      <c r="E1512" s="7"/>
    </row>
    <row r="1513" spans="5:5">
      <c r="E1513" s="7"/>
    </row>
    <row r="1514" spans="5:5">
      <c r="E1514" s="7"/>
    </row>
    <row r="1515" spans="5:5">
      <c r="E1515" s="7"/>
    </row>
    <row r="1516" spans="5:5">
      <c r="E1516" s="7"/>
    </row>
    <row r="1517" spans="5:5">
      <c r="E1517" s="7"/>
    </row>
    <row r="1518" spans="5:5">
      <c r="E1518" s="7"/>
    </row>
    <row r="1519" spans="5:5">
      <c r="E1519" s="7"/>
    </row>
    <row r="1520" spans="5:5">
      <c r="E1520" s="7"/>
    </row>
    <row r="1521" spans="5:5">
      <c r="E1521" s="7"/>
    </row>
    <row r="1522" spans="5:5">
      <c r="E1522" s="7"/>
    </row>
    <row r="1523" spans="5:5">
      <c r="E1523" s="7"/>
    </row>
    <row r="1524" spans="5:5">
      <c r="E1524" s="7"/>
    </row>
    <row r="1525" spans="5:5">
      <c r="E1525" s="7"/>
    </row>
    <row r="1526" spans="5:5">
      <c r="E1526" s="7"/>
    </row>
    <row r="1527" spans="5:5">
      <c r="E1527" s="7"/>
    </row>
    <row r="1528" spans="5:5">
      <c r="E1528" s="7"/>
    </row>
    <row r="1529" spans="5:5">
      <c r="E1529" s="7"/>
    </row>
    <row r="1530" spans="5:5">
      <c r="E1530" s="7"/>
    </row>
    <row r="1531" spans="5:5">
      <c r="E1531" s="7"/>
    </row>
    <row r="1532" spans="5:5">
      <c r="E1532" s="7"/>
    </row>
    <row r="1533" spans="5:5">
      <c r="E1533" s="7"/>
    </row>
    <row r="1534" spans="5:5">
      <c r="E1534" s="7"/>
    </row>
    <row r="1535" spans="5:5">
      <c r="E1535" s="7"/>
    </row>
    <row r="1536" spans="5:5">
      <c r="E1536" s="7"/>
    </row>
    <row r="1537" spans="5:5">
      <c r="E1537" s="7"/>
    </row>
    <row r="1538" spans="5:5">
      <c r="E1538" s="7"/>
    </row>
    <row r="1539" spans="5:5">
      <c r="E1539" s="7"/>
    </row>
    <row r="1540" spans="5:5">
      <c r="E1540" s="7"/>
    </row>
    <row r="1541" spans="5:5">
      <c r="E1541" s="7"/>
    </row>
    <row r="1542" spans="5:5">
      <c r="E1542" s="7"/>
    </row>
    <row r="1543" spans="5:5">
      <c r="E1543" s="7"/>
    </row>
    <row r="1544" spans="5:5">
      <c r="E1544" s="7"/>
    </row>
    <row r="1545" spans="5:5">
      <c r="E1545" s="7"/>
    </row>
    <row r="1546" spans="5:5">
      <c r="E1546" s="7"/>
    </row>
    <row r="1547" spans="5:5">
      <c r="E1547" s="7"/>
    </row>
    <row r="1548" spans="5:5">
      <c r="E1548" s="7"/>
    </row>
    <row r="1549" spans="5:5">
      <c r="E1549" s="7"/>
    </row>
    <row r="1550" spans="5:5">
      <c r="E1550" s="7"/>
    </row>
    <row r="1551" spans="5:5">
      <c r="E1551" s="7"/>
    </row>
    <row r="1552" spans="5:5">
      <c r="E1552" s="7"/>
    </row>
    <row r="1553" spans="5:5">
      <c r="E1553" s="7"/>
    </row>
    <row r="1554" spans="5:5">
      <c r="E1554" s="7"/>
    </row>
    <row r="1555" spans="5:5">
      <c r="E1555" s="7"/>
    </row>
    <row r="1556" spans="5:5">
      <c r="E1556" s="7"/>
    </row>
    <row r="1557" spans="5:5">
      <c r="E1557" s="7"/>
    </row>
    <row r="1558" spans="5:5">
      <c r="E1558" s="7"/>
    </row>
    <row r="1559" spans="5:5">
      <c r="E1559" s="7"/>
    </row>
    <row r="1560" spans="5:5">
      <c r="E1560" s="7"/>
    </row>
    <row r="1561" spans="5:5">
      <c r="E1561" s="7"/>
    </row>
    <row r="1562" spans="5:5">
      <c r="E1562" s="7"/>
    </row>
    <row r="1563" spans="5:5">
      <c r="E1563" s="7"/>
    </row>
    <row r="1564" spans="5:5">
      <c r="E1564" s="7"/>
    </row>
    <row r="1565" spans="5:5">
      <c r="E1565" s="7"/>
    </row>
    <row r="1566" spans="5:5">
      <c r="E1566" s="7"/>
    </row>
    <row r="1567" spans="5:5">
      <c r="E1567" s="7"/>
    </row>
    <row r="1568" spans="5:5">
      <c r="E1568" s="7"/>
    </row>
    <row r="1569" spans="5:5">
      <c r="E1569" s="7"/>
    </row>
    <row r="1570" spans="5:5">
      <c r="E1570" s="7"/>
    </row>
    <row r="1571" spans="5:5">
      <c r="E1571" s="7"/>
    </row>
    <row r="1572" spans="5:5">
      <c r="E1572" s="7"/>
    </row>
    <row r="1573" spans="5:5">
      <c r="E1573" s="7"/>
    </row>
    <row r="1574" spans="5:5">
      <c r="E1574" s="7"/>
    </row>
    <row r="1575" spans="5:5">
      <c r="E1575" s="7"/>
    </row>
    <row r="1576" spans="5:5">
      <c r="E1576" s="7"/>
    </row>
    <row r="1577" spans="5:5">
      <c r="E1577" s="7"/>
    </row>
    <row r="1578" spans="5:5">
      <c r="E1578" s="7"/>
    </row>
    <row r="1579" spans="5:5">
      <c r="E1579" s="7"/>
    </row>
    <row r="1580" spans="5:5">
      <c r="E1580" s="7"/>
    </row>
    <row r="1581" spans="5:5">
      <c r="E1581" s="7"/>
    </row>
    <row r="1582" spans="5:5">
      <c r="E1582" s="7"/>
    </row>
    <row r="1583" spans="5:5">
      <c r="E1583" s="7"/>
    </row>
    <row r="1584" spans="5:5">
      <c r="E1584" s="7"/>
    </row>
    <row r="1585" spans="5:5">
      <c r="E1585" s="7"/>
    </row>
    <row r="1586" spans="5:5">
      <c r="E1586" s="7"/>
    </row>
    <row r="1587" spans="5:5">
      <c r="E1587" s="7"/>
    </row>
    <row r="1588" spans="5:5">
      <c r="E1588" s="7"/>
    </row>
    <row r="1589" spans="5:5">
      <c r="E1589" s="7"/>
    </row>
    <row r="1590" spans="5:5">
      <c r="E1590" s="7"/>
    </row>
    <row r="1591" spans="5:5">
      <c r="E1591" s="7"/>
    </row>
    <row r="1592" spans="5:5">
      <c r="E1592" s="7"/>
    </row>
    <row r="1593" spans="5:5">
      <c r="E1593" s="7"/>
    </row>
    <row r="1594" spans="5:5">
      <c r="E1594" s="7"/>
    </row>
    <row r="1595" spans="5:5">
      <c r="E1595" s="7"/>
    </row>
    <row r="1596" spans="5:5">
      <c r="E1596" s="7"/>
    </row>
    <row r="1597" spans="5:5">
      <c r="E1597" s="7"/>
    </row>
    <row r="1598" spans="5:5">
      <c r="E1598" s="7"/>
    </row>
    <row r="1599" spans="5:5">
      <c r="E1599" s="7"/>
    </row>
    <row r="1600" spans="5:5">
      <c r="E1600" s="7"/>
    </row>
    <row r="1601" spans="5:5">
      <c r="E1601" s="7"/>
    </row>
    <row r="1602" spans="5:5">
      <c r="E1602" s="7"/>
    </row>
    <row r="1603" spans="5:5">
      <c r="E1603" s="7"/>
    </row>
    <row r="1604" spans="5:5">
      <c r="E1604" s="7"/>
    </row>
    <row r="1605" spans="5:5">
      <c r="E1605" s="7"/>
    </row>
    <row r="1606" spans="5:5">
      <c r="E1606" s="7"/>
    </row>
    <row r="1607" spans="5:5">
      <c r="E1607" s="7"/>
    </row>
    <row r="1608" spans="5:5">
      <c r="E1608" s="7"/>
    </row>
    <row r="1609" spans="5:5">
      <c r="E1609" s="7"/>
    </row>
    <row r="1610" spans="5:5">
      <c r="E1610" s="7"/>
    </row>
    <row r="1611" spans="5:5">
      <c r="E1611" s="7"/>
    </row>
    <row r="1612" spans="5:5">
      <c r="E1612" s="7"/>
    </row>
    <row r="1613" spans="5:5">
      <c r="E1613" s="7"/>
    </row>
    <row r="1614" spans="5:5">
      <c r="E1614" s="7"/>
    </row>
    <row r="1615" spans="5:5">
      <c r="E1615" s="7"/>
    </row>
    <row r="1616" spans="5:5">
      <c r="E1616" s="7"/>
    </row>
    <row r="1617" spans="5:5">
      <c r="E1617" s="7"/>
    </row>
    <row r="1618" spans="5:5">
      <c r="E1618" s="7"/>
    </row>
    <row r="1619" spans="5:5">
      <c r="E1619" s="7"/>
    </row>
    <row r="1620" spans="5:5">
      <c r="E1620" s="7"/>
    </row>
    <row r="1621" spans="5:5">
      <c r="E1621" s="7"/>
    </row>
    <row r="1622" spans="5:5">
      <c r="E1622" s="7"/>
    </row>
    <row r="1623" spans="5:5">
      <c r="E1623" s="7"/>
    </row>
    <row r="1624" spans="5:5">
      <c r="E1624" s="7"/>
    </row>
    <row r="1625" spans="5:5">
      <c r="E1625" s="7"/>
    </row>
    <row r="1626" spans="5:5">
      <c r="E1626" s="7"/>
    </row>
    <row r="1627" spans="5:5">
      <c r="E1627" s="7"/>
    </row>
    <row r="1628" spans="5:5">
      <c r="E1628" s="7"/>
    </row>
    <row r="1629" spans="5:5">
      <c r="E1629" s="7"/>
    </row>
    <row r="1630" spans="5:5">
      <c r="E1630" s="7"/>
    </row>
    <row r="1631" spans="5:5">
      <c r="E1631" s="7"/>
    </row>
    <row r="1632" spans="5:5">
      <c r="E1632" s="7"/>
    </row>
    <row r="1633" spans="5:5">
      <c r="E1633" s="7"/>
    </row>
    <row r="1634" spans="5:5">
      <c r="E1634" s="7"/>
    </row>
    <row r="1635" spans="5:5">
      <c r="E1635" s="7"/>
    </row>
    <row r="1636" spans="5:5">
      <c r="E1636" s="7"/>
    </row>
    <row r="1637" spans="5:5">
      <c r="E1637" s="7"/>
    </row>
    <row r="1638" spans="5:5">
      <c r="E1638" s="7"/>
    </row>
    <row r="1639" spans="5:5">
      <c r="E1639" s="7"/>
    </row>
    <row r="1640" spans="5:5">
      <c r="E1640" s="7"/>
    </row>
    <row r="1641" spans="5:5">
      <c r="E1641" s="7"/>
    </row>
    <row r="1642" spans="5:5">
      <c r="E1642" s="7"/>
    </row>
    <row r="1643" spans="5:5">
      <c r="E1643" s="7"/>
    </row>
    <row r="1644" spans="5:5">
      <c r="E1644" s="7"/>
    </row>
    <row r="1645" spans="5:5">
      <c r="E1645" s="7"/>
    </row>
    <row r="1646" spans="5:5">
      <c r="E1646" s="7"/>
    </row>
    <row r="1647" spans="5:5">
      <c r="E1647" s="7"/>
    </row>
    <row r="1648" spans="5:5">
      <c r="E1648" s="7"/>
    </row>
    <row r="1649" spans="5:5">
      <c r="E1649" s="7"/>
    </row>
    <row r="1650" spans="5:5">
      <c r="E1650" s="7"/>
    </row>
    <row r="1651" spans="5:5">
      <c r="E1651" s="7"/>
    </row>
    <row r="1652" spans="5:5">
      <c r="E1652" s="7"/>
    </row>
    <row r="1653" spans="5:5">
      <c r="E1653" s="7"/>
    </row>
    <row r="1654" spans="5:5">
      <c r="E1654" s="7"/>
    </row>
    <row r="1655" spans="5:5">
      <c r="E1655" s="7"/>
    </row>
    <row r="1656" spans="5:5">
      <c r="E1656" s="7"/>
    </row>
    <row r="1657" spans="5:5">
      <c r="E1657" s="7"/>
    </row>
    <row r="1658" spans="5:5">
      <c r="E1658" s="7"/>
    </row>
    <row r="1659" spans="5:5">
      <c r="E1659" s="7"/>
    </row>
    <row r="1660" spans="5:5">
      <c r="E1660" s="7"/>
    </row>
    <row r="1661" spans="5:5">
      <c r="E1661" s="7"/>
    </row>
    <row r="1662" spans="5:5">
      <c r="E1662" s="7"/>
    </row>
    <row r="1663" spans="5:5">
      <c r="E1663" s="7"/>
    </row>
    <row r="1664" spans="5:5">
      <c r="E1664" s="7"/>
    </row>
    <row r="1665" spans="5:5">
      <c r="E1665" s="7"/>
    </row>
    <row r="1666" spans="5:5">
      <c r="E1666" s="7"/>
    </row>
    <row r="1667" spans="5:5">
      <c r="E1667" s="7"/>
    </row>
    <row r="1668" spans="5:5">
      <c r="E1668" s="7"/>
    </row>
    <row r="1669" spans="5:5">
      <c r="E1669" s="7"/>
    </row>
    <row r="1670" spans="5:5">
      <c r="E1670" s="7"/>
    </row>
    <row r="1671" spans="5:5">
      <c r="E1671" s="7"/>
    </row>
    <row r="1672" spans="5:5">
      <c r="E1672" s="7"/>
    </row>
    <row r="1673" spans="5:5">
      <c r="E1673" s="7"/>
    </row>
    <row r="1674" spans="5:5">
      <c r="E1674" s="7"/>
    </row>
    <row r="1675" spans="5:5">
      <c r="E1675" s="7"/>
    </row>
    <row r="1676" spans="5:5">
      <c r="E1676" s="7"/>
    </row>
    <row r="1677" spans="5:5">
      <c r="E1677" s="7"/>
    </row>
    <row r="1678" spans="5:5">
      <c r="E1678" s="7"/>
    </row>
    <row r="1679" spans="5:5">
      <c r="E1679" s="7"/>
    </row>
    <row r="1680" spans="5:5">
      <c r="E1680" s="7"/>
    </row>
    <row r="1681" spans="5:5">
      <c r="E1681" s="7"/>
    </row>
    <row r="1682" spans="5:5">
      <c r="E1682" s="7"/>
    </row>
    <row r="1683" spans="5:5">
      <c r="E1683" s="7"/>
    </row>
    <row r="1684" spans="5:5">
      <c r="E1684" s="7"/>
    </row>
    <row r="1685" spans="5:5">
      <c r="E1685" s="7"/>
    </row>
    <row r="1686" spans="5:5">
      <c r="E1686" s="7"/>
    </row>
    <row r="1687" spans="5:5">
      <c r="E1687" s="7"/>
    </row>
    <row r="1688" spans="5:5">
      <c r="E1688" s="7"/>
    </row>
    <row r="1689" spans="5:5">
      <c r="E1689" s="7"/>
    </row>
    <row r="1690" spans="5:5">
      <c r="E1690" s="7"/>
    </row>
    <row r="1691" spans="5:5">
      <c r="E1691" s="7"/>
    </row>
    <row r="1692" spans="5:5">
      <c r="E1692" s="7"/>
    </row>
    <row r="1693" spans="5:5">
      <c r="E1693" s="7"/>
    </row>
    <row r="1694" spans="5:5">
      <c r="E1694" s="7"/>
    </row>
    <row r="1695" spans="5:5">
      <c r="E1695" s="7"/>
    </row>
    <row r="1696" spans="5:5">
      <c r="E1696" s="7"/>
    </row>
    <row r="1697" spans="5:5">
      <c r="E1697" s="7"/>
    </row>
    <row r="1698" spans="5:5">
      <c r="E1698" s="7"/>
    </row>
    <row r="1699" spans="5:5">
      <c r="E1699" s="7"/>
    </row>
    <row r="1700" spans="5:5">
      <c r="E1700" s="7"/>
    </row>
    <row r="1701" spans="5:5">
      <c r="E1701" s="7"/>
    </row>
    <row r="1702" spans="5:5">
      <c r="E1702" s="7"/>
    </row>
    <row r="1703" spans="5:5">
      <c r="E1703" s="7"/>
    </row>
    <row r="1704" spans="5:5">
      <c r="E1704" s="7"/>
    </row>
    <row r="1705" spans="5:5">
      <c r="E1705" s="7"/>
    </row>
    <row r="1706" spans="5:5">
      <c r="E1706" s="7"/>
    </row>
    <row r="1707" spans="5:5">
      <c r="E1707" s="7"/>
    </row>
    <row r="1708" spans="5:5">
      <c r="E1708" s="7"/>
    </row>
    <row r="1709" spans="5:5">
      <c r="E1709" s="7"/>
    </row>
    <row r="1710" spans="5:5">
      <c r="E1710" s="7"/>
    </row>
    <row r="1711" spans="5:5">
      <c r="E1711" s="7"/>
    </row>
    <row r="1712" spans="5:5">
      <c r="E1712" s="7"/>
    </row>
    <row r="1713" spans="5:5">
      <c r="E1713" s="7"/>
    </row>
    <row r="1714" spans="5:5">
      <c r="E1714" s="7"/>
    </row>
    <row r="1715" spans="5:5">
      <c r="E1715" s="7"/>
    </row>
    <row r="1716" spans="5:5">
      <c r="E1716" s="7"/>
    </row>
    <row r="1717" spans="5:5">
      <c r="E1717" s="7"/>
    </row>
    <row r="1718" spans="5:5">
      <c r="E1718" s="7"/>
    </row>
    <row r="1719" spans="5:5">
      <c r="E1719" s="7"/>
    </row>
    <row r="1720" spans="5:5">
      <c r="E1720" s="7"/>
    </row>
    <row r="1721" spans="5:5">
      <c r="E1721" s="7"/>
    </row>
    <row r="1722" spans="5:5">
      <c r="E1722" s="7"/>
    </row>
    <row r="1723" spans="5:5">
      <c r="E1723" s="7"/>
    </row>
    <row r="1724" spans="5:5">
      <c r="E1724" s="7"/>
    </row>
    <row r="1725" spans="5:5">
      <c r="E1725" s="7"/>
    </row>
    <row r="1726" spans="5:5">
      <c r="E1726" s="7"/>
    </row>
    <row r="1727" spans="5:5">
      <c r="E1727" s="7"/>
    </row>
    <row r="1728" spans="5:5">
      <c r="E1728" s="7"/>
    </row>
    <row r="1729" spans="5:5">
      <c r="E1729" s="7"/>
    </row>
    <row r="1730" spans="5:5">
      <c r="E1730" s="7"/>
    </row>
    <row r="1731" spans="5:5">
      <c r="E1731" s="7"/>
    </row>
    <row r="1732" spans="5:5">
      <c r="E1732" s="7"/>
    </row>
    <row r="1733" spans="5:5">
      <c r="E1733" s="7"/>
    </row>
    <row r="1734" spans="5:5">
      <c r="E1734" s="7"/>
    </row>
    <row r="1735" spans="5:5">
      <c r="E1735" s="7"/>
    </row>
    <row r="1736" spans="5:5">
      <c r="E1736" s="7"/>
    </row>
    <row r="1737" spans="5:5">
      <c r="E1737" s="7"/>
    </row>
    <row r="1738" spans="5:5">
      <c r="E1738" s="7"/>
    </row>
    <row r="1739" spans="5:5">
      <c r="E1739" s="7"/>
    </row>
    <row r="1740" spans="5:5">
      <c r="E1740" s="7"/>
    </row>
    <row r="1741" spans="5:5">
      <c r="E1741" s="7"/>
    </row>
    <row r="1742" spans="5:5">
      <c r="E1742" s="7"/>
    </row>
    <row r="1743" spans="5:5">
      <c r="E1743" s="7"/>
    </row>
    <row r="1744" spans="5:5">
      <c r="E1744" s="7"/>
    </row>
    <row r="1745" spans="5:5">
      <c r="E1745" s="7"/>
    </row>
    <row r="1746" spans="5:5">
      <c r="E1746" s="7"/>
    </row>
    <row r="1747" spans="5:5">
      <c r="E1747" s="7"/>
    </row>
    <row r="1748" spans="5:5">
      <c r="E1748" s="7"/>
    </row>
    <row r="1749" spans="5:5">
      <c r="E1749" s="7"/>
    </row>
    <row r="1750" spans="5:5">
      <c r="E1750" s="7"/>
    </row>
    <row r="1751" spans="5:5">
      <c r="E1751" s="7"/>
    </row>
    <row r="1752" spans="5:5">
      <c r="E1752" s="7"/>
    </row>
    <row r="1753" spans="5:5">
      <c r="E1753" s="7"/>
    </row>
    <row r="1754" spans="5:5">
      <c r="E1754" s="7"/>
    </row>
    <row r="1755" spans="5:5">
      <c r="E1755" s="7"/>
    </row>
    <row r="1756" spans="5:5">
      <c r="E1756" s="7"/>
    </row>
    <row r="1757" spans="5:5">
      <c r="E1757" s="7"/>
    </row>
    <row r="1758" spans="5:5">
      <c r="E1758" s="7"/>
    </row>
    <row r="1759" spans="5:5">
      <c r="E1759" s="7"/>
    </row>
    <row r="1760" spans="5:5">
      <c r="E1760" s="7"/>
    </row>
    <row r="1761" spans="5:5">
      <c r="E1761" s="7"/>
    </row>
    <row r="1762" spans="5:5">
      <c r="E1762" s="7"/>
    </row>
    <row r="1763" spans="5:5">
      <c r="E1763" s="7"/>
    </row>
    <row r="1764" spans="5:5">
      <c r="E1764" s="7"/>
    </row>
    <row r="1765" spans="5:5">
      <c r="E1765" s="7"/>
    </row>
    <row r="1766" spans="5:5">
      <c r="E1766" s="7"/>
    </row>
    <row r="1767" spans="5:5">
      <c r="E1767" s="7"/>
    </row>
    <row r="1768" spans="5:5">
      <c r="E1768" s="7"/>
    </row>
    <row r="1769" spans="5:5">
      <c r="E1769" s="7"/>
    </row>
    <row r="1770" spans="5:5">
      <c r="E1770" s="7"/>
    </row>
    <row r="1771" spans="5:5">
      <c r="E1771" s="7"/>
    </row>
    <row r="1772" spans="5:5">
      <c r="E1772" s="7"/>
    </row>
    <row r="1773" spans="5:5">
      <c r="E1773" s="7"/>
    </row>
    <row r="1774" spans="5:5">
      <c r="E1774" s="7"/>
    </row>
    <row r="1775" spans="5:5">
      <c r="E1775" s="7"/>
    </row>
    <row r="1776" spans="5:5">
      <c r="E1776" s="7"/>
    </row>
    <row r="1777" spans="5:5">
      <c r="E1777" s="7"/>
    </row>
    <row r="1778" spans="5:5">
      <c r="E1778" s="7"/>
    </row>
    <row r="1779" spans="5:5">
      <c r="E1779" s="7"/>
    </row>
    <row r="1780" spans="5:5">
      <c r="E1780" s="7"/>
    </row>
    <row r="1781" spans="5:5">
      <c r="E1781" s="7"/>
    </row>
    <row r="1782" spans="5:5">
      <c r="E1782" s="7"/>
    </row>
    <row r="1783" spans="5:5">
      <c r="E1783" s="7"/>
    </row>
    <row r="1784" spans="5:5">
      <c r="E1784" s="7"/>
    </row>
    <row r="1785" spans="5:5">
      <c r="E1785" s="7"/>
    </row>
    <row r="1786" spans="5:5">
      <c r="E1786" s="7"/>
    </row>
    <row r="1787" spans="5:5">
      <c r="E1787" s="7"/>
    </row>
    <row r="1788" spans="5:5">
      <c r="E1788" s="7"/>
    </row>
    <row r="1789" spans="5:5">
      <c r="E1789" s="7"/>
    </row>
    <row r="1790" spans="5:5">
      <c r="E1790" s="7"/>
    </row>
    <row r="1791" spans="5:5">
      <c r="E1791" s="7"/>
    </row>
    <row r="1792" spans="5:5">
      <c r="E1792" s="7"/>
    </row>
    <row r="1793" spans="5:5">
      <c r="E1793" s="7"/>
    </row>
    <row r="1794" spans="5:5">
      <c r="E1794" s="7"/>
    </row>
    <row r="1795" spans="5:5">
      <c r="E1795" s="7"/>
    </row>
    <row r="1796" spans="5:5">
      <c r="E1796" s="7"/>
    </row>
    <row r="1797" spans="5:5">
      <c r="E1797" s="7"/>
    </row>
    <row r="1798" spans="5:5">
      <c r="E1798" s="7"/>
    </row>
    <row r="1799" spans="5:5">
      <c r="E1799" s="7"/>
    </row>
    <row r="1800" spans="5:5">
      <c r="E1800" s="7"/>
    </row>
    <row r="1801" spans="5:5">
      <c r="E1801" s="7"/>
    </row>
    <row r="1802" spans="5:5">
      <c r="E1802" s="7"/>
    </row>
    <row r="1803" spans="5:5">
      <c r="E1803" s="7"/>
    </row>
    <row r="1804" spans="5:5">
      <c r="E1804" s="7"/>
    </row>
    <row r="1805" spans="5:5">
      <c r="E1805" s="7"/>
    </row>
    <row r="1806" spans="5:5">
      <c r="E1806" s="7"/>
    </row>
    <row r="1807" spans="5:5">
      <c r="E1807" s="7"/>
    </row>
    <row r="1808" spans="5:5">
      <c r="E1808" s="7"/>
    </row>
    <row r="1809" spans="5:5">
      <c r="E1809" s="7"/>
    </row>
    <row r="1810" spans="5:5">
      <c r="E1810" s="7"/>
    </row>
    <row r="1811" spans="5:5">
      <c r="E1811" s="7"/>
    </row>
    <row r="1812" spans="5:5">
      <c r="E1812" s="7"/>
    </row>
    <row r="1813" spans="5:5">
      <c r="E1813" s="7"/>
    </row>
    <row r="1814" spans="5:5">
      <c r="E1814" s="7"/>
    </row>
    <row r="1815" spans="5:5">
      <c r="E1815" s="7"/>
    </row>
    <row r="1816" spans="5:5">
      <c r="E1816" s="7"/>
    </row>
    <row r="1817" spans="5:5">
      <c r="E1817" s="7"/>
    </row>
    <row r="1818" spans="5:5">
      <c r="E1818" s="7"/>
    </row>
    <row r="1819" spans="5:5">
      <c r="E1819" s="7"/>
    </row>
    <row r="1820" spans="5:5">
      <c r="E1820" s="7"/>
    </row>
    <row r="1821" spans="5:5">
      <c r="E1821" s="7"/>
    </row>
    <row r="1822" spans="5:5">
      <c r="E1822" s="7"/>
    </row>
    <row r="1823" spans="5:5">
      <c r="E1823" s="7"/>
    </row>
    <row r="1824" spans="5:5">
      <c r="E1824" s="7"/>
    </row>
    <row r="1825" spans="5:5">
      <c r="E1825" s="7"/>
    </row>
    <row r="1826" spans="5:5">
      <c r="E1826" s="7"/>
    </row>
    <row r="1827" spans="5:5">
      <c r="E1827" s="7"/>
    </row>
    <row r="1828" spans="5:5">
      <c r="E1828" s="7"/>
    </row>
    <row r="1829" spans="5:5">
      <c r="E1829" s="7"/>
    </row>
    <row r="1830" spans="5:5">
      <c r="E1830" s="7"/>
    </row>
    <row r="1831" spans="5:5">
      <c r="E1831" s="7"/>
    </row>
    <row r="1832" spans="5:5">
      <c r="E1832" s="7"/>
    </row>
    <row r="1833" spans="5:5">
      <c r="E1833" s="7"/>
    </row>
    <row r="1834" spans="5:5">
      <c r="E1834" s="7"/>
    </row>
    <row r="1835" spans="5:5">
      <c r="E1835" s="7"/>
    </row>
    <row r="1836" spans="5:5">
      <c r="E1836" s="7"/>
    </row>
    <row r="1837" spans="5:5">
      <c r="E1837" s="7"/>
    </row>
    <row r="1838" spans="5:5">
      <c r="E1838" s="7"/>
    </row>
    <row r="1839" spans="5:5">
      <c r="E1839" s="7"/>
    </row>
    <row r="1840" spans="5:5">
      <c r="E1840" s="7"/>
    </row>
    <row r="1841" spans="5:5">
      <c r="E1841" s="7"/>
    </row>
    <row r="1842" spans="5:5">
      <c r="E1842" s="7"/>
    </row>
    <row r="1843" spans="5:5">
      <c r="E1843" s="7"/>
    </row>
    <row r="1844" spans="5:5">
      <c r="E1844" s="7"/>
    </row>
    <row r="1845" spans="5:5">
      <c r="E1845" s="7"/>
    </row>
    <row r="1846" spans="5:5">
      <c r="E1846" s="7"/>
    </row>
    <row r="1847" spans="5:5">
      <c r="E1847" s="7"/>
    </row>
    <row r="1848" spans="5:5">
      <c r="E1848" s="7"/>
    </row>
    <row r="1849" spans="5:5">
      <c r="E1849" s="7"/>
    </row>
    <row r="1850" spans="5:5">
      <c r="E1850" s="7"/>
    </row>
    <row r="1851" spans="5:5">
      <c r="E1851" s="7"/>
    </row>
    <row r="1852" spans="5:5">
      <c r="E1852" s="7"/>
    </row>
    <row r="1853" spans="5:5">
      <c r="E1853" s="7"/>
    </row>
    <row r="1854" spans="5:5">
      <c r="E1854" s="7"/>
    </row>
    <row r="1855" spans="5:5">
      <c r="E1855" s="7"/>
    </row>
    <row r="1856" spans="5:5">
      <c r="E1856" s="7"/>
    </row>
    <row r="1857" spans="5:5">
      <c r="E1857" s="7"/>
    </row>
    <row r="1858" spans="5:5">
      <c r="E1858" s="7"/>
    </row>
    <row r="1859" spans="5:5">
      <c r="E1859" s="7"/>
    </row>
    <row r="1860" spans="5:5">
      <c r="E1860" s="7"/>
    </row>
    <row r="1861" spans="5:5">
      <c r="E1861" s="7"/>
    </row>
    <row r="1862" spans="5:5">
      <c r="E1862" s="7"/>
    </row>
    <row r="1863" spans="5:5">
      <c r="E1863" s="7"/>
    </row>
    <row r="1864" spans="5:5">
      <c r="E1864" s="7"/>
    </row>
    <row r="1865" spans="5:5">
      <c r="E1865" s="7"/>
    </row>
    <row r="1866" spans="5:5">
      <c r="E1866" s="7"/>
    </row>
    <row r="1867" spans="5:5">
      <c r="E1867" s="7"/>
    </row>
    <row r="1868" spans="5:5">
      <c r="E1868" s="7"/>
    </row>
    <row r="1869" spans="5:5">
      <c r="E1869" s="7"/>
    </row>
    <row r="1870" spans="5:5">
      <c r="E1870" s="7"/>
    </row>
    <row r="1871" spans="5:5">
      <c r="E1871" s="7"/>
    </row>
    <row r="1872" spans="5:5">
      <c r="E1872" s="7"/>
    </row>
    <row r="1873" spans="5:5">
      <c r="E1873" s="7"/>
    </row>
    <row r="1874" spans="5:5">
      <c r="E1874" s="7"/>
    </row>
    <row r="1875" spans="5:5">
      <c r="E1875" s="7"/>
    </row>
    <row r="1876" spans="5:5">
      <c r="E1876" s="7"/>
    </row>
    <row r="1877" spans="5:5">
      <c r="E1877" s="7"/>
    </row>
    <row r="1878" spans="5:5">
      <c r="E1878" s="7"/>
    </row>
    <row r="1879" spans="5:5">
      <c r="E1879" s="7"/>
    </row>
    <row r="1880" spans="5:5">
      <c r="E1880" s="7"/>
    </row>
    <row r="1881" spans="5:5">
      <c r="E1881" s="7"/>
    </row>
    <row r="1882" spans="5:5">
      <c r="E1882" s="7"/>
    </row>
    <row r="1883" spans="5:5">
      <c r="E1883" s="7"/>
    </row>
    <row r="1884" spans="5:5">
      <c r="E1884" s="7"/>
    </row>
    <row r="1885" spans="5:5">
      <c r="E1885" s="7"/>
    </row>
    <row r="1886" spans="5:5">
      <c r="E1886" s="7"/>
    </row>
    <row r="1887" spans="5:5">
      <c r="E1887" s="7"/>
    </row>
    <row r="1888" spans="5:5">
      <c r="E1888" s="7"/>
    </row>
    <row r="1889" spans="5:5">
      <c r="E1889" s="7"/>
    </row>
    <row r="1890" spans="5:5">
      <c r="E1890" s="7"/>
    </row>
    <row r="1891" spans="5:5">
      <c r="E1891" s="7"/>
    </row>
    <row r="1892" spans="5:5">
      <c r="E1892" s="7"/>
    </row>
    <row r="1893" spans="5:5">
      <c r="E1893" s="7"/>
    </row>
    <row r="1894" spans="5:5">
      <c r="E1894" s="7"/>
    </row>
    <row r="1895" spans="5:5">
      <c r="E1895" s="7"/>
    </row>
    <row r="1896" spans="5:5">
      <c r="E1896" s="7"/>
    </row>
    <row r="1897" spans="5:5">
      <c r="E1897" s="7"/>
    </row>
    <row r="1898" spans="5:5">
      <c r="E1898" s="7"/>
    </row>
    <row r="1899" spans="5:5">
      <c r="E1899" s="7"/>
    </row>
    <row r="1900" spans="5:5">
      <c r="E1900" s="7"/>
    </row>
    <row r="1901" spans="5:5">
      <c r="E1901" s="7"/>
    </row>
    <row r="1902" spans="5:5">
      <c r="E1902" s="7"/>
    </row>
    <row r="1903" spans="5:5">
      <c r="E1903" s="7"/>
    </row>
    <row r="1904" spans="5:5">
      <c r="E1904" s="7"/>
    </row>
    <row r="1905" spans="5:5">
      <c r="E1905" s="7"/>
    </row>
    <row r="1906" spans="5:5">
      <c r="E1906" s="7"/>
    </row>
    <row r="1907" spans="5:5">
      <c r="E1907" s="7"/>
    </row>
    <row r="1908" spans="5:5">
      <c r="E1908" s="7"/>
    </row>
    <row r="1909" spans="5:5">
      <c r="E1909" s="7"/>
    </row>
    <row r="1910" spans="5:5">
      <c r="E1910" s="7"/>
    </row>
    <row r="1911" spans="5:5">
      <c r="E1911" s="7"/>
    </row>
    <row r="1912" spans="5:5">
      <c r="E1912" s="7"/>
    </row>
    <row r="1913" spans="5:5">
      <c r="E1913" s="7"/>
    </row>
    <row r="1914" spans="5:5">
      <c r="E1914" s="7"/>
    </row>
    <row r="1915" spans="5:5">
      <c r="E1915" s="7"/>
    </row>
    <row r="1916" spans="5:5">
      <c r="E1916" s="7"/>
    </row>
    <row r="1917" spans="5:5">
      <c r="E1917" s="7"/>
    </row>
    <row r="1918" spans="5:5">
      <c r="E1918" s="7"/>
    </row>
    <row r="1919" spans="5:5">
      <c r="E1919" s="7"/>
    </row>
    <row r="1920" spans="5:5">
      <c r="E1920" s="7"/>
    </row>
    <row r="1921" spans="5:5">
      <c r="E1921" s="7"/>
    </row>
    <row r="1922" spans="5:5">
      <c r="E1922" s="7"/>
    </row>
    <row r="1923" spans="5:5">
      <c r="E1923" s="7"/>
    </row>
    <row r="1924" spans="5:5">
      <c r="E1924" s="7"/>
    </row>
    <row r="1925" spans="5:5">
      <c r="E1925" s="7"/>
    </row>
    <row r="1926" spans="5:5">
      <c r="E1926" s="7"/>
    </row>
    <row r="1927" spans="5:5">
      <c r="E1927" s="7"/>
    </row>
    <row r="1928" spans="5:5">
      <c r="E1928" s="7"/>
    </row>
    <row r="1929" spans="5:5">
      <c r="E1929" s="7"/>
    </row>
    <row r="1930" spans="5:5">
      <c r="E1930" s="7"/>
    </row>
    <row r="1931" spans="5:5">
      <c r="E1931" s="7"/>
    </row>
    <row r="1932" spans="5:5">
      <c r="E1932" s="7"/>
    </row>
    <row r="1933" spans="5:5">
      <c r="E1933" s="7"/>
    </row>
    <row r="1934" spans="5:5">
      <c r="E1934" s="7"/>
    </row>
    <row r="1935" spans="5:5">
      <c r="E1935" s="7"/>
    </row>
    <row r="1936" spans="5:5">
      <c r="E1936" s="7"/>
    </row>
    <row r="1937" spans="5:5">
      <c r="E1937" s="7"/>
    </row>
    <row r="1938" spans="5:5">
      <c r="E1938" s="7"/>
    </row>
    <row r="1939" spans="5:5">
      <c r="E1939" s="7"/>
    </row>
    <row r="1940" spans="5:5">
      <c r="E1940" s="7"/>
    </row>
    <row r="1941" spans="5:5">
      <c r="E1941" s="7"/>
    </row>
    <row r="1942" spans="5:5">
      <c r="E1942" s="7"/>
    </row>
    <row r="1943" spans="5:5">
      <c r="E1943" s="7"/>
    </row>
    <row r="1944" spans="5:5">
      <c r="E1944" s="7"/>
    </row>
    <row r="1945" spans="5:5">
      <c r="E1945" s="7"/>
    </row>
    <row r="1946" spans="5:5">
      <c r="E1946" s="7"/>
    </row>
    <row r="1947" spans="5:5">
      <c r="E1947" s="7"/>
    </row>
    <row r="1948" spans="5:5">
      <c r="E1948" s="7"/>
    </row>
    <row r="1949" spans="5:5">
      <c r="E1949" s="7"/>
    </row>
    <row r="1950" spans="5:5">
      <c r="E1950" s="7"/>
    </row>
    <row r="1951" spans="5:5">
      <c r="E1951" s="7"/>
    </row>
    <row r="1952" spans="5:5">
      <c r="E1952" s="7"/>
    </row>
    <row r="1953" spans="5:5">
      <c r="E1953" s="7"/>
    </row>
    <row r="1954" spans="5:5">
      <c r="E1954" s="7"/>
    </row>
    <row r="1955" spans="5:5">
      <c r="E1955" s="7"/>
    </row>
    <row r="1956" spans="5:5">
      <c r="E1956" s="7"/>
    </row>
    <row r="1957" spans="5:5">
      <c r="E1957" s="7"/>
    </row>
    <row r="1958" spans="5:5">
      <c r="E1958" s="7"/>
    </row>
    <row r="1959" spans="5:5">
      <c r="E1959" s="7"/>
    </row>
    <row r="1960" spans="5:5">
      <c r="E1960" s="7"/>
    </row>
    <row r="1961" spans="5:5">
      <c r="E1961" s="7"/>
    </row>
    <row r="1962" spans="5:5">
      <c r="E1962" s="7"/>
    </row>
    <row r="1963" spans="5:5">
      <c r="E1963" s="7"/>
    </row>
    <row r="1964" spans="5:5">
      <c r="E1964" s="7"/>
    </row>
    <row r="1965" spans="5:5">
      <c r="E1965" s="7"/>
    </row>
    <row r="1966" spans="5:5">
      <c r="E1966" s="7"/>
    </row>
    <row r="1967" spans="5:5">
      <c r="E1967" s="7"/>
    </row>
    <row r="1968" spans="5:5">
      <c r="E1968" s="7"/>
    </row>
    <row r="1969" spans="5:5">
      <c r="E1969" s="7"/>
    </row>
    <row r="1970" spans="5:5">
      <c r="E1970" s="7"/>
    </row>
    <row r="1971" spans="5:5">
      <c r="E1971" s="7"/>
    </row>
    <row r="1972" spans="5:5">
      <c r="E1972" s="7"/>
    </row>
    <row r="1973" spans="5:5">
      <c r="E1973" s="7"/>
    </row>
    <row r="1974" spans="5:5">
      <c r="E1974" s="7"/>
    </row>
    <row r="1975" spans="5:5">
      <c r="E1975" s="7"/>
    </row>
    <row r="1976" spans="5:5">
      <c r="E1976" s="7"/>
    </row>
    <row r="1977" spans="5:5">
      <c r="E1977" s="7"/>
    </row>
    <row r="1978" spans="5:5">
      <c r="E1978" s="7"/>
    </row>
    <row r="1979" spans="5:5">
      <c r="E1979" s="7"/>
    </row>
    <row r="1980" spans="5:5">
      <c r="E1980" s="7"/>
    </row>
    <row r="1981" spans="5:5">
      <c r="E1981" s="7"/>
    </row>
    <row r="1982" spans="5:5">
      <c r="E1982" s="7"/>
    </row>
    <row r="1983" spans="5:5">
      <c r="E1983" s="7"/>
    </row>
    <row r="1984" spans="5:5">
      <c r="E1984" s="7"/>
    </row>
    <row r="1985" spans="5:5">
      <c r="E1985" s="7"/>
    </row>
    <row r="1986" spans="5:5">
      <c r="E1986" s="7"/>
    </row>
    <row r="1987" spans="5:5">
      <c r="E1987" s="7"/>
    </row>
    <row r="1988" spans="5:5">
      <c r="E1988" s="7"/>
    </row>
    <row r="1989" spans="5:5">
      <c r="E1989" s="7"/>
    </row>
    <row r="1990" spans="5:5">
      <c r="E1990" s="7"/>
    </row>
    <row r="1991" spans="5:5">
      <c r="E1991" s="7"/>
    </row>
    <row r="1992" spans="5:5">
      <c r="E1992" s="7"/>
    </row>
    <row r="1993" spans="5:5">
      <c r="E1993" s="7"/>
    </row>
    <row r="1994" spans="5:5">
      <c r="E1994" s="7"/>
    </row>
    <row r="1995" spans="5:5">
      <c r="E1995" s="7"/>
    </row>
    <row r="1996" spans="5:5">
      <c r="E1996" s="7"/>
    </row>
    <row r="1997" spans="5:5">
      <c r="E1997" s="7"/>
    </row>
    <row r="1998" spans="5:5">
      <c r="E1998" s="7"/>
    </row>
    <row r="1999" spans="5:5">
      <c r="E1999" s="7"/>
    </row>
    <row r="2000" spans="5:5">
      <c r="E2000" s="7"/>
    </row>
    <row r="2001" spans="5:5">
      <c r="E2001" s="7"/>
    </row>
    <row r="2002" spans="5:5">
      <c r="E2002" s="7"/>
    </row>
    <row r="2003" spans="5:5">
      <c r="E2003" s="7"/>
    </row>
    <row r="2004" spans="5:5">
      <c r="E2004" s="7"/>
    </row>
    <row r="2005" spans="5:5">
      <c r="E2005" s="7"/>
    </row>
    <row r="2006" spans="5:5">
      <c r="E2006" s="7"/>
    </row>
    <row r="2007" spans="5:5">
      <c r="E2007" s="7"/>
    </row>
    <row r="2008" spans="5:5">
      <c r="E2008" s="7"/>
    </row>
    <row r="2009" spans="5:5">
      <c r="E2009" s="7"/>
    </row>
    <row r="2010" spans="5:5">
      <c r="E2010" s="7"/>
    </row>
    <row r="2011" spans="5:5">
      <c r="E2011" s="7"/>
    </row>
    <row r="2012" spans="5:5">
      <c r="E2012" s="7"/>
    </row>
    <row r="2013" spans="5:5">
      <c r="E2013" s="7"/>
    </row>
    <row r="2014" spans="5:5">
      <c r="E2014" s="7"/>
    </row>
    <row r="2015" spans="5:5">
      <c r="E2015" s="7"/>
    </row>
    <row r="2016" spans="5:5">
      <c r="E2016" s="7"/>
    </row>
    <row r="2017" spans="5:5">
      <c r="E2017" s="7"/>
    </row>
    <row r="2018" spans="5:5">
      <c r="E2018" s="7"/>
    </row>
    <row r="2019" spans="5:5">
      <c r="E2019" s="7"/>
    </row>
    <row r="2020" spans="5:5">
      <c r="E2020" s="7"/>
    </row>
    <row r="2021" spans="5:5">
      <c r="E2021" s="7"/>
    </row>
    <row r="2022" spans="5:5">
      <c r="E2022" s="7"/>
    </row>
    <row r="2023" spans="5:5">
      <c r="E2023" s="7"/>
    </row>
    <row r="2024" spans="5:5">
      <c r="E2024" s="7"/>
    </row>
    <row r="2025" spans="5:5">
      <c r="E2025" s="7"/>
    </row>
    <row r="2026" spans="5:5">
      <c r="E2026" s="7"/>
    </row>
    <row r="2027" spans="5:5">
      <c r="E2027" s="7"/>
    </row>
    <row r="2028" spans="5:5">
      <c r="E2028" s="7"/>
    </row>
    <row r="2029" spans="5:5">
      <c r="E2029" s="7"/>
    </row>
    <row r="2030" spans="5:5">
      <c r="E2030" s="7"/>
    </row>
    <row r="2031" spans="5:5">
      <c r="E2031" s="7"/>
    </row>
    <row r="2032" spans="5:5">
      <c r="E2032" s="7"/>
    </row>
    <row r="2033" spans="5:5">
      <c r="E2033" s="7"/>
    </row>
    <row r="2034" spans="5:5">
      <c r="E2034" s="7"/>
    </row>
    <row r="2035" spans="5:5">
      <c r="E2035" s="7"/>
    </row>
    <row r="2036" spans="5:5">
      <c r="E2036" s="7"/>
    </row>
    <row r="2037" spans="5:5">
      <c r="E2037" s="7"/>
    </row>
    <row r="2038" spans="5:5">
      <c r="E2038" s="7"/>
    </row>
    <row r="2039" spans="5:5">
      <c r="E2039" s="7"/>
    </row>
    <row r="2040" spans="5:5">
      <c r="E2040" s="7"/>
    </row>
    <row r="2041" spans="5:5">
      <c r="E2041" s="7"/>
    </row>
    <row r="2042" spans="5:5">
      <c r="E2042" s="7"/>
    </row>
    <row r="2043" spans="5:5">
      <c r="E2043" s="7"/>
    </row>
    <row r="2044" spans="5:5">
      <c r="E2044" s="7"/>
    </row>
    <row r="2045" spans="5:5">
      <c r="E2045" s="7"/>
    </row>
    <row r="2046" spans="5:5">
      <c r="E2046" s="7"/>
    </row>
    <row r="2047" spans="5:5">
      <c r="E2047" s="7"/>
    </row>
    <row r="2048" spans="5:5">
      <c r="E2048" s="7"/>
    </row>
    <row r="2049" spans="5:5">
      <c r="E2049" s="7"/>
    </row>
    <row r="2050" spans="5:5">
      <c r="E2050" s="7"/>
    </row>
    <row r="2051" spans="5:5">
      <c r="E2051" s="7"/>
    </row>
    <row r="2052" spans="5:5">
      <c r="E2052" s="7"/>
    </row>
    <row r="2053" spans="5:5">
      <c r="E2053" s="7"/>
    </row>
    <row r="2054" spans="5:5">
      <c r="E2054" s="7"/>
    </row>
    <row r="2055" spans="5:5">
      <c r="E2055" s="7"/>
    </row>
    <row r="2056" spans="5:5">
      <c r="E2056" s="7"/>
    </row>
    <row r="2057" spans="5:5">
      <c r="E2057" s="7"/>
    </row>
    <row r="2058" spans="5:5">
      <c r="E2058" s="7"/>
    </row>
    <row r="2059" spans="5:5">
      <c r="E2059" s="7"/>
    </row>
    <row r="2060" spans="5:5">
      <c r="E2060" s="7"/>
    </row>
    <row r="2061" spans="5:5">
      <c r="E2061" s="7"/>
    </row>
    <row r="2062" spans="5:5">
      <c r="E2062" s="7"/>
    </row>
    <row r="2063" spans="5:5">
      <c r="E2063" s="7"/>
    </row>
    <row r="2064" spans="5:5">
      <c r="E2064" s="7"/>
    </row>
    <row r="2065" spans="5:5">
      <c r="E2065" s="7"/>
    </row>
    <row r="2066" spans="5:5">
      <c r="E2066" s="7"/>
    </row>
    <row r="2067" spans="5:5">
      <c r="E2067" s="7"/>
    </row>
    <row r="2068" spans="5:5">
      <c r="E2068" s="7"/>
    </row>
    <row r="2069" spans="5:5">
      <c r="E2069" s="7"/>
    </row>
    <row r="2070" spans="5:5">
      <c r="E2070" s="7"/>
    </row>
    <row r="2071" spans="5:5">
      <c r="E2071" s="7"/>
    </row>
    <row r="2072" spans="5:5">
      <c r="E2072" s="7"/>
    </row>
    <row r="2073" spans="5:5">
      <c r="E2073" s="7"/>
    </row>
    <row r="2074" spans="5:5">
      <c r="E2074" s="7"/>
    </row>
    <row r="2075" spans="5:5">
      <c r="E2075" s="7"/>
    </row>
    <row r="2076" spans="5:5">
      <c r="E2076" s="7"/>
    </row>
    <row r="2077" spans="5:5">
      <c r="E2077" s="7"/>
    </row>
    <row r="2078" spans="5:5">
      <c r="E2078" s="7"/>
    </row>
    <row r="2079" spans="5:5">
      <c r="E2079" s="7"/>
    </row>
    <row r="2080" spans="5:5">
      <c r="E2080" s="7"/>
    </row>
    <row r="2081" spans="5:5">
      <c r="E2081" s="7"/>
    </row>
    <row r="2082" spans="5:5">
      <c r="E2082" s="7"/>
    </row>
    <row r="2083" spans="5:5">
      <c r="E2083" s="7"/>
    </row>
    <row r="2084" spans="5:5">
      <c r="E2084" s="7"/>
    </row>
    <row r="2085" spans="5:5">
      <c r="E2085" s="7"/>
    </row>
    <row r="2086" spans="5:5">
      <c r="E2086" s="7"/>
    </row>
    <row r="2087" spans="5:5">
      <c r="E2087" s="7"/>
    </row>
    <row r="2088" spans="5:5">
      <c r="E2088" s="7"/>
    </row>
    <row r="2089" spans="5:5">
      <c r="E2089" s="7"/>
    </row>
    <row r="2090" spans="5:5">
      <c r="E2090" s="7"/>
    </row>
    <row r="2091" spans="5:5">
      <c r="E2091" s="7"/>
    </row>
    <row r="2092" spans="5:5">
      <c r="E2092" s="7"/>
    </row>
    <row r="2093" spans="5:5">
      <c r="E2093" s="7"/>
    </row>
    <row r="2094" spans="5:5">
      <c r="E2094" s="7"/>
    </row>
    <row r="2095" spans="5:5">
      <c r="E2095" s="7"/>
    </row>
    <row r="2096" spans="5:5">
      <c r="E2096" s="7"/>
    </row>
    <row r="2097" spans="5:5">
      <c r="E2097" s="7"/>
    </row>
    <row r="2098" spans="5:5">
      <c r="E2098" s="7"/>
    </row>
    <row r="2099" spans="5:5">
      <c r="E2099" s="7"/>
    </row>
    <row r="2100" spans="5:5">
      <c r="E2100" s="7"/>
    </row>
    <row r="2101" spans="5:5">
      <c r="E2101" s="7"/>
    </row>
    <row r="2102" spans="5:5">
      <c r="E2102" s="7"/>
    </row>
    <row r="2103" spans="5:5">
      <c r="E2103" s="7"/>
    </row>
    <row r="2104" spans="5:5">
      <c r="E2104" s="7"/>
    </row>
    <row r="2105" spans="5:5">
      <c r="E2105" s="7"/>
    </row>
    <row r="2106" spans="5:5">
      <c r="E2106" s="7"/>
    </row>
    <row r="2107" spans="5:5">
      <c r="E2107" s="7"/>
    </row>
    <row r="2108" spans="5:5">
      <c r="E2108" s="7"/>
    </row>
    <row r="2109" spans="5:5">
      <c r="E2109" s="7"/>
    </row>
    <row r="2110" spans="5:5">
      <c r="E2110" s="7"/>
    </row>
    <row r="2111" spans="5:5">
      <c r="E2111" s="7"/>
    </row>
    <row r="2112" spans="5:5">
      <c r="E2112" s="7"/>
    </row>
    <row r="2113" spans="5:5">
      <c r="E2113" s="7"/>
    </row>
    <row r="2114" spans="5:5">
      <c r="E2114" s="7"/>
    </row>
    <row r="2115" spans="5:5">
      <c r="E2115" s="7"/>
    </row>
    <row r="2116" spans="5:5">
      <c r="E2116" s="7"/>
    </row>
    <row r="2117" spans="5:5">
      <c r="E2117" s="7"/>
    </row>
    <row r="2118" spans="5:5">
      <c r="E2118" s="7"/>
    </row>
    <row r="2119" spans="5:5">
      <c r="E2119" s="7"/>
    </row>
    <row r="2120" spans="5:5">
      <c r="E2120" s="7"/>
    </row>
    <row r="2121" spans="5:5">
      <c r="E2121" s="7"/>
    </row>
    <row r="2122" spans="5:5">
      <c r="E2122" s="7"/>
    </row>
    <row r="2123" spans="5:5">
      <c r="E2123" s="7"/>
    </row>
    <row r="2124" spans="5:5">
      <c r="E2124" s="7"/>
    </row>
    <row r="2125" spans="5:5">
      <c r="E2125" s="7"/>
    </row>
    <row r="2126" spans="5:5">
      <c r="E2126" s="7"/>
    </row>
    <row r="2127" spans="5:5">
      <c r="E2127" s="7"/>
    </row>
    <row r="2128" spans="5:5">
      <c r="E2128" s="7"/>
    </row>
    <row r="2129" spans="5:5">
      <c r="E2129" s="7"/>
    </row>
    <row r="2130" spans="5:5">
      <c r="E2130" s="7"/>
    </row>
    <row r="2131" spans="5:5">
      <c r="E2131" s="7"/>
    </row>
    <row r="2132" spans="5:5">
      <c r="E2132" s="7"/>
    </row>
    <row r="2133" spans="5:5">
      <c r="E2133" s="7"/>
    </row>
    <row r="2134" spans="5:5">
      <c r="E2134" s="7"/>
    </row>
    <row r="2135" spans="5:5">
      <c r="E2135" s="7"/>
    </row>
    <row r="2136" spans="5:5">
      <c r="E2136" s="7"/>
    </row>
    <row r="2137" spans="5:5">
      <c r="E2137" s="7"/>
    </row>
    <row r="2138" spans="5:5">
      <c r="E2138" s="7"/>
    </row>
    <row r="2139" spans="5:5">
      <c r="E2139" s="7"/>
    </row>
    <row r="2140" spans="5:5">
      <c r="E2140" s="7"/>
    </row>
    <row r="2141" spans="5:5">
      <c r="E2141" s="7"/>
    </row>
    <row r="2142" spans="5:5">
      <c r="E2142" s="7"/>
    </row>
    <row r="2143" spans="5:5">
      <c r="E2143" s="7"/>
    </row>
    <row r="2144" spans="5:5">
      <c r="E2144" s="7"/>
    </row>
    <row r="2145" spans="5:5">
      <c r="E2145" s="7"/>
    </row>
    <row r="2146" spans="5:5">
      <c r="E2146" s="7"/>
    </row>
    <row r="2147" spans="5:5">
      <c r="E2147" s="7"/>
    </row>
    <row r="2148" spans="5:5">
      <c r="E2148" s="7"/>
    </row>
    <row r="2149" spans="5:5">
      <c r="E2149" s="7"/>
    </row>
    <row r="2150" spans="5:5">
      <c r="E2150" s="7"/>
    </row>
    <row r="2151" spans="5:5">
      <c r="E2151" s="7"/>
    </row>
    <row r="2152" spans="5:5">
      <c r="E2152" s="7"/>
    </row>
    <row r="2153" spans="5:5">
      <c r="E2153" s="7"/>
    </row>
    <row r="2154" spans="5:5">
      <c r="E2154" s="7"/>
    </row>
    <row r="2155" spans="5:5">
      <c r="E2155" s="7"/>
    </row>
    <row r="2156" spans="5:5">
      <c r="E2156" s="7"/>
    </row>
    <row r="2157" spans="5:5">
      <c r="E2157" s="7"/>
    </row>
    <row r="2158" spans="5:5">
      <c r="E2158" s="7"/>
    </row>
    <row r="2159" spans="5:5">
      <c r="E2159" s="7"/>
    </row>
    <row r="2160" spans="5:5">
      <c r="E2160" s="7"/>
    </row>
    <row r="2161" spans="5:5">
      <c r="E2161" s="7"/>
    </row>
    <row r="2162" spans="5:5">
      <c r="E2162" s="7"/>
    </row>
    <row r="2163" spans="5:5">
      <c r="E2163" s="7"/>
    </row>
    <row r="2164" spans="5:5">
      <c r="E2164" s="7"/>
    </row>
    <row r="2165" spans="5:5">
      <c r="E2165" s="7"/>
    </row>
    <row r="2166" spans="5:5">
      <c r="E2166" s="7"/>
    </row>
    <row r="2167" spans="5:5">
      <c r="E2167" s="7"/>
    </row>
    <row r="2168" spans="5:5">
      <c r="E2168" s="7"/>
    </row>
    <row r="2169" spans="5:5">
      <c r="E2169" s="7"/>
    </row>
    <row r="2170" spans="5:5">
      <c r="E2170" s="7"/>
    </row>
    <row r="2171" spans="5:5">
      <c r="E2171" s="7"/>
    </row>
    <row r="2172" spans="5:5">
      <c r="E2172" s="7"/>
    </row>
    <row r="2173" spans="5:5">
      <c r="E2173" s="7"/>
    </row>
    <row r="2174" spans="5:5">
      <c r="E2174" s="7"/>
    </row>
    <row r="2175" spans="5:5">
      <c r="E2175" s="7"/>
    </row>
    <row r="2176" spans="5:5">
      <c r="E2176" s="7"/>
    </row>
    <row r="2177" spans="5:5">
      <c r="E2177" s="7"/>
    </row>
    <row r="2178" spans="5:5">
      <c r="E2178" s="7"/>
    </row>
    <row r="2179" spans="5:5">
      <c r="E2179" s="7"/>
    </row>
    <row r="2180" spans="5:5">
      <c r="E2180" s="7"/>
    </row>
    <row r="2181" spans="5:5">
      <c r="E2181" s="7"/>
    </row>
    <row r="2182" spans="5:5">
      <c r="E2182" s="7"/>
    </row>
    <row r="2183" spans="5:5">
      <c r="E2183" s="7"/>
    </row>
    <row r="2184" spans="5:5">
      <c r="E2184" s="7"/>
    </row>
    <row r="2185" spans="5:5">
      <c r="E2185" s="7"/>
    </row>
    <row r="2186" spans="5:5">
      <c r="E2186" s="7"/>
    </row>
    <row r="2187" spans="5:5">
      <c r="E2187" s="7"/>
    </row>
    <row r="2188" spans="5:5">
      <c r="E2188" s="7"/>
    </row>
    <row r="2189" spans="5:5">
      <c r="E2189" s="7"/>
    </row>
    <row r="2190" spans="5:5">
      <c r="E2190" s="7"/>
    </row>
    <row r="2191" spans="5:5">
      <c r="E2191" s="7"/>
    </row>
    <row r="2192" spans="5:5">
      <c r="E2192" s="7"/>
    </row>
    <row r="2193" spans="5:5">
      <c r="E2193" s="7"/>
    </row>
    <row r="2194" spans="5:5">
      <c r="E2194" s="7"/>
    </row>
    <row r="2195" spans="5:5">
      <c r="E2195" s="7"/>
    </row>
    <row r="2196" spans="5:5">
      <c r="E2196" s="7"/>
    </row>
    <row r="2197" spans="5:5">
      <c r="E2197" s="7"/>
    </row>
    <row r="2198" spans="5:5">
      <c r="E2198" s="7"/>
    </row>
    <row r="2199" spans="5:5">
      <c r="E2199" s="7"/>
    </row>
    <row r="2200" spans="5:5">
      <c r="E2200" s="7"/>
    </row>
    <row r="2201" spans="5:5">
      <c r="E2201" s="7"/>
    </row>
    <row r="2202" spans="5:5">
      <c r="E2202" s="7"/>
    </row>
    <row r="2203" spans="5:5">
      <c r="E2203" s="7"/>
    </row>
    <row r="2204" spans="5:5">
      <c r="E2204" s="7"/>
    </row>
    <row r="2205" spans="5:5">
      <c r="E2205" s="7"/>
    </row>
    <row r="2206" spans="5:5">
      <c r="E2206" s="7"/>
    </row>
    <row r="2207" spans="5:5">
      <c r="E2207" s="7"/>
    </row>
    <row r="2208" spans="5:5">
      <c r="E2208" s="7"/>
    </row>
    <row r="2209" spans="5:5">
      <c r="E2209" s="7"/>
    </row>
    <row r="2210" spans="5:5">
      <c r="E2210" s="7"/>
    </row>
    <row r="2211" spans="5:5">
      <c r="E2211" s="7"/>
    </row>
    <row r="2212" spans="5:5">
      <c r="E2212" s="7"/>
    </row>
    <row r="2213" spans="5:5">
      <c r="E2213" s="7"/>
    </row>
    <row r="2214" spans="5:5">
      <c r="E2214" s="7"/>
    </row>
    <row r="2215" spans="5:5">
      <c r="E2215" s="7"/>
    </row>
    <row r="2216" spans="5:5">
      <c r="E2216" s="7"/>
    </row>
    <row r="2217" spans="5:5">
      <c r="E2217" s="7"/>
    </row>
    <row r="2218" spans="5:5">
      <c r="E2218" s="7"/>
    </row>
    <row r="2219" spans="5:5">
      <c r="E2219" s="7"/>
    </row>
    <row r="2220" spans="5:5">
      <c r="E2220" s="7"/>
    </row>
    <row r="2221" spans="5:5">
      <c r="E2221" s="7"/>
    </row>
    <row r="2222" spans="5:5">
      <c r="E2222" s="7"/>
    </row>
    <row r="2223" spans="5:5">
      <c r="E2223" s="7"/>
    </row>
    <row r="2224" spans="5:5">
      <c r="E2224" s="7"/>
    </row>
    <row r="2225" spans="5:5">
      <c r="E2225" s="7"/>
    </row>
    <row r="2226" spans="5:5">
      <c r="E2226" s="7"/>
    </row>
    <row r="2227" spans="5:5">
      <c r="E2227" s="7"/>
    </row>
    <row r="2228" spans="5:5">
      <c r="E2228" s="7"/>
    </row>
    <row r="2229" spans="5:5">
      <c r="E2229" s="7"/>
    </row>
    <row r="2230" spans="5:5">
      <c r="E2230" s="7"/>
    </row>
    <row r="2231" spans="5:5">
      <c r="E2231" s="7"/>
    </row>
    <row r="2232" spans="5:5">
      <c r="E2232" s="7"/>
    </row>
    <row r="2233" spans="5:5">
      <c r="E2233" s="7"/>
    </row>
    <row r="2234" spans="5:5">
      <c r="E2234" s="7"/>
    </row>
    <row r="2235" spans="5:5">
      <c r="E2235" s="7"/>
    </row>
    <row r="2236" spans="5:5">
      <c r="E2236" s="7"/>
    </row>
    <row r="2237" spans="5:5">
      <c r="E2237" s="7"/>
    </row>
    <row r="2238" spans="5:5">
      <c r="E2238" s="7"/>
    </row>
    <row r="2239" spans="5:5">
      <c r="E2239" s="7"/>
    </row>
    <row r="2240" spans="5:5">
      <c r="E2240" s="7"/>
    </row>
    <row r="2241" spans="5:5">
      <c r="E2241" s="7"/>
    </row>
    <row r="2242" spans="5:5">
      <c r="E2242" s="7"/>
    </row>
    <row r="2243" spans="5:5">
      <c r="E2243" s="7"/>
    </row>
    <row r="2244" spans="5:5">
      <c r="E2244" s="7"/>
    </row>
    <row r="2245" spans="5:5">
      <c r="E2245" s="7"/>
    </row>
    <row r="2246" spans="5:5">
      <c r="E2246" s="7"/>
    </row>
    <row r="2247" spans="5:5">
      <c r="E2247" s="7"/>
    </row>
    <row r="2248" spans="5:5">
      <c r="E2248" s="7"/>
    </row>
    <row r="2249" spans="5:5">
      <c r="E2249" s="7"/>
    </row>
    <row r="2250" spans="5:5">
      <c r="E2250" s="7"/>
    </row>
    <row r="2251" spans="5:5">
      <c r="E2251" s="7"/>
    </row>
    <row r="2252" spans="5:5">
      <c r="E2252" s="7"/>
    </row>
    <row r="2253" spans="5:5">
      <c r="E2253" s="7"/>
    </row>
    <row r="2254" spans="5:5">
      <c r="E2254" s="7"/>
    </row>
    <row r="2255" spans="5:5">
      <c r="E2255" s="7"/>
    </row>
    <row r="2256" spans="5:5">
      <c r="E2256" s="7"/>
    </row>
    <row r="2257" spans="5:5">
      <c r="E2257" s="7"/>
    </row>
    <row r="2258" spans="5:5">
      <c r="E2258" s="7"/>
    </row>
    <row r="2259" spans="5:5">
      <c r="E2259" s="7"/>
    </row>
    <row r="2260" spans="5:5">
      <c r="E2260" s="7"/>
    </row>
    <row r="2261" spans="5:5">
      <c r="E2261" s="7"/>
    </row>
    <row r="2262" spans="5:5">
      <c r="E2262" s="7"/>
    </row>
    <row r="2263" spans="5:5">
      <c r="E2263" s="7"/>
    </row>
    <row r="2264" spans="5:5">
      <c r="E2264" s="7"/>
    </row>
    <row r="2265" spans="5:5">
      <c r="E2265" s="7"/>
    </row>
    <row r="2266" spans="5:5">
      <c r="E2266" s="7"/>
    </row>
    <row r="2267" spans="5:5">
      <c r="E2267" s="7"/>
    </row>
    <row r="2268" spans="5:5">
      <c r="E2268" s="7"/>
    </row>
    <row r="2269" spans="5:5">
      <c r="E2269" s="7"/>
    </row>
    <row r="2270" spans="5:5">
      <c r="E2270" s="7"/>
    </row>
    <row r="2271" spans="5:5">
      <c r="E2271" s="7"/>
    </row>
    <row r="2272" spans="5:5">
      <c r="E2272" s="7"/>
    </row>
    <row r="2273" spans="5:5">
      <c r="E2273" s="7"/>
    </row>
    <row r="2274" spans="5:5">
      <c r="E2274" s="7"/>
    </row>
    <row r="2275" spans="5:5">
      <c r="E2275" s="7"/>
    </row>
    <row r="2276" spans="5:5">
      <c r="E2276" s="7"/>
    </row>
    <row r="2277" spans="5:5">
      <c r="E2277" s="7"/>
    </row>
    <row r="2278" spans="5:5">
      <c r="E2278" s="7"/>
    </row>
    <row r="2279" spans="5:5">
      <c r="E2279" s="7"/>
    </row>
    <row r="2280" spans="5:5">
      <c r="E2280" s="7"/>
    </row>
    <row r="2281" spans="5:5">
      <c r="E2281" s="7"/>
    </row>
    <row r="2282" spans="5:5">
      <c r="E2282" s="7"/>
    </row>
    <row r="2283" spans="5:5">
      <c r="E2283" s="7"/>
    </row>
    <row r="2284" spans="5:5">
      <c r="E2284" s="7"/>
    </row>
    <row r="2285" spans="5:5">
      <c r="E2285" s="7"/>
    </row>
    <row r="2286" spans="5:5">
      <c r="E2286" s="7"/>
    </row>
    <row r="2287" spans="5:5">
      <c r="E2287" s="7"/>
    </row>
    <row r="2288" spans="5:5">
      <c r="E2288" s="7"/>
    </row>
    <row r="2289" spans="5:5">
      <c r="E2289" s="7"/>
    </row>
    <row r="2290" spans="5:5">
      <c r="E2290" s="7"/>
    </row>
    <row r="2291" spans="5:5">
      <c r="E2291" s="7"/>
    </row>
    <row r="2292" spans="5:5">
      <c r="E2292" s="7"/>
    </row>
    <row r="2293" spans="5:5">
      <c r="E2293" s="7"/>
    </row>
    <row r="2294" spans="5:5">
      <c r="E2294" s="7"/>
    </row>
    <row r="2295" spans="5:5">
      <c r="E2295" s="7"/>
    </row>
    <row r="2296" spans="5:5">
      <c r="E2296" s="7"/>
    </row>
    <row r="2297" spans="5:5">
      <c r="E2297" s="7"/>
    </row>
    <row r="2298" spans="5:5">
      <c r="E2298" s="7"/>
    </row>
    <row r="2299" spans="5:5">
      <c r="E2299" s="7"/>
    </row>
    <row r="2300" spans="5:5">
      <c r="E2300" s="7"/>
    </row>
    <row r="2301" spans="5:5">
      <c r="E2301" s="7"/>
    </row>
    <row r="2302" spans="5:5">
      <c r="E2302" s="7"/>
    </row>
    <row r="2303" spans="5:5">
      <c r="E2303" s="7"/>
    </row>
    <row r="2304" spans="5:5">
      <c r="E2304" s="7"/>
    </row>
    <row r="2305" spans="5:5">
      <c r="E2305" s="7"/>
    </row>
    <row r="2306" spans="5:5">
      <c r="E2306" s="7"/>
    </row>
    <row r="2307" spans="5:5">
      <c r="E2307" s="7"/>
    </row>
    <row r="2308" spans="5:5">
      <c r="E2308" s="7"/>
    </row>
    <row r="2309" spans="5:5">
      <c r="E2309" s="7"/>
    </row>
    <row r="2310" spans="5:5">
      <c r="E2310" s="7"/>
    </row>
    <row r="2311" spans="5:5">
      <c r="E2311" s="7"/>
    </row>
    <row r="2312" spans="5:5">
      <c r="E2312" s="7"/>
    </row>
    <row r="2313" spans="5:5">
      <c r="E2313" s="7"/>
    </row>
    <row r="2314" spans="5:5">
      <c r="E2314" s="7"/>
    </row>
    <row r="2315" spans="5:5">
      <c r="E2315" s="7"/>
    </row>
    <row r="2316" spans="5:5">
      <c r="E2316" s="7"/>
    </row>
    <row r="2317" spans="5:5">
      <c r="E2317" s="7"/>
    </row>
    <row r="2318" spans="5:5">
      <c r="E2318" s="7"/>
    </row>
    <row r="2319" spans="5:5">
      <c r="E2319" s="7"/>
    </row>
    <row r="2320" spans="5:5">
      <c r="E2320" s="7"/>
    </row>
    <row r="2321" spans="5:5">
      <c r="E2321" s="7"/>
    </row>
    <row r="2322" spans="5:5">
      <c r="E2322" s="7"/>
    </row>
    <row r="2323" spans="5:5">
      <c r="E2323" s="7"/>
    </row>
    <row r="2324" spans="5:5">
      <c r="E2324" s="7"/>
    </row>
    <row r="2325" spans="5:5">
      <c r="E2325" s="7"/>
    </row>
    <row r="2326" spans="5:5">
      <c r="E2326" s="7"/>
    </row>
    <row r="2327" spans="5:5">
      <c r="E2327" s="7"/>
    </row>
    <row r="2328" spans="5:5">
      <c r="E2328" s="7"/>
    </row>
    <row r="2329" spans="5:5">
      <c r="E2329" s="7"/>
    </row>
    <row r="2330" spans="5:5">
      <c r="E2330" s="7"/>
    </row>
    <row r="2331" spans="5:5">
      <c r="E2331" s="7"/>
    </row>
    <row r="2332" spans="5:5">
      <c r="E2332" s="7"/>
    </row>
    <row r="2333" spans="5:5">
      <c r="E2333" s="7"/>
    </row>
    <row r="2334" spans="5:5">
      <c r="E2334" s="7"/>
    </row>
    <row r="2335" spans="5:5">
      <c r="E2335" s="7"/>
    </row>
    <row r="2336" spans="5:5">
      <c r="E2336" s="7"/>
    </row>
    <row r="2337" spans="5:5">
      <c r="E2337" s="7"/>
    </row>
    <row r="2338" spans="5:5">
      <c r="E2338" s="7"/>
    </row>
    <row r="2339" spans="5:5">
      <c r="E2339" s="7"/>
    </row>
    <row r="2340" spans="5:5">
      <c r="E2340" s="7"/>
    </row>
    <row r="2341" spans="5:5">
      <c r="E2341" s="7"/>
    </row>
    <row r="2342" spans="5:5">
      <c r="E2342" s="7"/>
    </row>
    <row r="2343" spans="5:5">
      <c r="E2343" s="7"/>
    </row>
    <row r="2344" spans="5:5">
      <c r="E2344" s="7"/>
    </row>
    <row r="2345" spans="5:5">
      <c r="E2345" s="7"/>
    </row>
    <row r="2346" spans="5:5">
      <c r="E2346" s="7"/>
    </row>
    <row r="2347" spans="5:5">
      <c r="E2347" s="7"/>
    </row>
    <row r="2348" spans="5:5">
      <c r="E2348" s="7"/>
    </row>
    <row r="2349" spans="5:5">
      <c r="E2349" s="7"/>
    </row>
    <row r="2350" spans="5:5">
      <c r="E2350" s="7"/>
    </row>
    <row r="2351" spans="5:5">
      <c r="E2351" s="7"/>
    </row>
    <row r="2352" spans="5:5">
      <c r="E2352" s="7"/>
    </row>
    <row r="2353" spans="5:5">
      <c r="E2353" s="7"/>
    </row>
    <row r="2354" spans="5:5">
      <c r="E2354" s="7"/>
    </row>
    <row r="2355" spans="5:5">
      <c r="E2355" s="7"/>
    </row>
    <row r="2356" spans="5:5">
      <c r="E2356" s="7"/>
    </row>
    <row r="2357" spans="5:5">
      <c r="E2357" s="7"/>
    </row>
    <row r="2358" spans="5:5">
      <c r="E2358" s="7"/>
    </row>
    <row r="2359" spans="5:5">
      <c r="E2359" s="7"/>
    </row>
    <row r="2360" spans="5:5">
      <c r="E2360" s="7"/>
    </row>
    <row r="2361" spans="5:5">
      <c r="E2361" s="7"/>
    </row>
    <row r="2362" spans="5:5">
      <c r="E2362" s="7"/>
    </row>
    <row r="2363" spans="5:5">
      <c r="E2363" s="7"/>
    </row>
    <row r="2364" spans="5:5">
      <c r="E2364" s="7"/>
    </row>
    <row r="2365" spans="5:5">
      <c r="E2365" s="7"/>
    </row>
    <row r="2366" spans="5:5">
      <c r="E2366" s="7"/>
    </row>
    <row r="2367" spans="5:5">
      <c r="E2367" s="7"/>
    </row>
    <row r="2368" spans="5:5">
      <c r="E2368" s="7"/>
    </row>
    <row r="2369" spans="5:5">
      <c r="E2369" s="7"/>
    </row>
    <row r="2370" spans="5:5">
      <c r="E2370" s="7"/>
    </row>
    <row r="2371" spans="5:5">
      <c r="E2371" s="7"/>
    </row>
    <row r="2372" spans="5:5">
      <c r="E2372" s="7"/>
    </row>
    <row r="2373" spans="5:5">
      <c r="E2373" s="7"/>
    </row>
    <row r="2374" spans="5:5">
      <c r="E2374" s="7"/>
    </row>
    <row r="2375" spans="5:5">
      <c r="E2375" s="7"/>
    </row>
    <row r="2376" spans="5:5">
      <c r="E2376" s="7"/>
    </row>
    <row r="2377" spans="5:5">
      <c r="E2377" s="7"/>
    </row>
    <row r="2378" spans="5:5">
      <c r="E2378" s="7"/>
    </row>
    <row r="2379" spans="5:5">
      <c r="E2379" s="7"/>
    </row>
    <row r="2380" spans="5:5">
      <c r="E2380" s="7"/>
    </row>
    <row r="2381" spans="5:5">
      <c r="E2381" s="7"/>
    </row>
    <row r="2382" spans="5:5">
      <c r="E2382" s="7"/>
    </row>
    <row r="2383" spans="5:5">
      <c r="E2383" s="7"/>
    </row>
    <row r="2384" spans="5:5">
      <c r="E2384" s="7"/>
    </row>
    <row r="2385" spans="5:5">
      <c r="E2385" s="7"/>
    </row>
    <row r="2386" spans="5:5">
      <c r="E2386" s="7"/>
    </row>
    <row r="2387" spans="5:5">
      <c r="E2387" s="7"/>
    </row>
    <row r="2388" spans="5:5">
      <c r="E2388" s="7"/>
    </row>
    <row r="2389" spans="5:5">
      <c r="E2389" s="7"/>
    </row>
    <row r="2390" spans="5:5">
      <c r="E2390" s="7"/>
    </row>
    <row r="2391" spans="5:5">
      <c r="E2391" s="7"/>
    </row>
    <row r="2392" spans="5:5">
      <c r="E2392" s="7"/>
    </row>
    <row r="2393" spans="5:5">
      <c r="E2393" s="7"/>
    </row>
    <row r="2394" spans="5:5">
      <c r="E2394" s="7"/>
    </row>
    <row r="2395" spans="5:5">
      <c r="E2395" s="7"/>
    </row>
    <row r="2396" spans="5:5">
      <c r="E2396" s="7"/>
    </row>
    <row r="2397" spans="5:5">
      <c r="E2397" s="7"/>
    </row>
    <row r="2398" spans="5:5">
      <c r="E2398" s="7"/>
    </row>
    <row r="2399" spans="5:5">
      <c r="E2399" s="7"/>
    </row>
    <row r="2400" spans="5:5">
      <c r="E2400" s="7"/>
    </row>
    <row r="2401" spans="5:5">
      <c r="E2401" s="7"/>
    </row>
    <row r="2402" spans="5:5">
      <c r="E2402" s="7"/>
    </row>
    <row r="2403" spans="5:5">
      <c r="E2403" s="7"/>
    </row>
    <row r="2404" spans="5:5">
      <c r="E2404" s="7"/>
    </row>
    <row r="2405" spans="5:5">
      <c r="E2405" s="7"/>
    </row>
    <row r="2406" spans="5:5">
      <c r="E2406" s="7"/>
    </row>
    <row r="2407" spans="5:5">
      <c r="E2407" s="7"/>
    </row>
    <row r="2408" spans="5:5">
      <c r="E2408" s="7"/>
    </row>
    <row r="2409" spans="5:5">
      <c r="E2409" s="7"/>
    </row>
    <row r="2410" spans="5:5">
      <c r="E2410" s="7"/>
    </row>
    <row r="2411" spans="5:5">
      <c r="E2411" s="7"/>
    </row>
    <row r="2412" spans="5:5">
      <c r="E2412" s="7"/>
    </row>
    <row r="2413" spans="5:5">
      <c r="E2413" s="7"/>
    </row>
    <row r="2414" spans="5:5">
      <c r="E2414" s="7"/>
    </row>
    <row r="2415" spans="5:5">
      <c r="E2415" s="7"/>
    </row>
    <row r="2416" spans="5:5">
      <c r="E2416" s="7"/>
    </row>
    <row r="2417" spans="5:5">
      <c r="E2417" s="7"/>
    </row>
    <row r="2418" spans="5:5">
      <c r="E2418" s="7"/>
    </row>
    <row r="2419" spans="5:5">
      <c r="E2419" s="7"/>
    </row>
    <row r="2420" spans="5:5">
      <c r="E2420" s="7"/>
    </row>
    <row r="2421" spans="5:5">
      <c r="E2421" s="7"/>
    </row>
    <row r="2422" spans="5:5">
      <c r="E2422" s="7"/>
    </row>
    <row r="2423" spans="5:5">
      <c r="E2423" s="7"/>
    </row>
    <row r="2424" spans="5:5">
      <c r="E2424" s="7"/>
    </row>
    <row r="2425" spans="5:5">
      <c r="E2425" s="7"/>
    </row>
    <row r="2426" spans="5:5">
      <c r="E2426" s="7"/>
    </row>
    <row r="2427" spans="5:5">
      <c r="E2427" s="7"/>
    </row>
    <row r="2428" spans="5:5">
      <c r="E2428" s="7"/>
    </row>
    <row r="2429" spans="5:5">
      <c r="E2429" s="7"/>
    </row>
    <row r="2430" spans="5:5">
      <c r="E2430" s="7"/>
    </row>
    <row r="2431" spans="5:5">
      <c r="E2431" s="7"/>
    </row>
    <row r="2432" spans="5:5">
      <c r="E2432" s="7"/>
    </row>
    <row r="2433" spans="5:5">
      <c r="E2433" s="7"/>
    </row>
    <row r="2434" spans="5:5">
      <c r="E2434" s="7"/>
    </row>
    <row r="2435" spans="5:5">
      <c r="E2435" s="7"/>
    </row>
    <row r="2436" spans="5:5">
      <c r="E2436" s="7"/>
    </row>
    <row r="2437" spans="5:5">
      <c r="E2437" s="7"/>
    </row>
    <row r="2438" spans="5:5">
      <c r="E2438" s="7"/>
    </row>
    <row r="2439" spans="5:5">
      <c r="E2439" s="7"/>
    </row>
    <row r="2440" spans="5:5">
      <c r="E2440" s="7"/>
    </row>
    <row r="2441" spans="5:5">
      <c r="E2441" s="7"/>
    </row>
    <row r="2442" spans="5:5">
      <c r="E2442" s="7"/>
    </row>
    <row r="2443" spans="5:5">
      <c r="E2443" s="7"/>
    </row>
    <row r="2444" spans="5:5">
      <c r="E2444" s="7"/>
    </row>
    <row r="2445" spans="5:5">
      <c r="E2445" s="7"/>
    </row>
    <row r="2446" spans="5:5">
      <c r="E2446" s="7"/>
    </row>
    <row r="2447" spans="5:5">
      <c r="E2447" s="7"/>
    </row>
    <row r="2448" spans="5:5">
      <c r="E2448" s="7"/>
    </row>
    <row r="2449" spans="5:5">
      <c r="E2449" s="7"/>
    </row>
    <row r="2450" spans="5:5">
      <c r="E2450" s="7"/>
    </row>
    <row r="2451" spans="5:5">
      <c r="E2451" s="7"/>
    </row>
    <row r="2452" spans="5:5">
      <c r="E2452" s="7"/>
    </row>
    <row r="2453" spans="5:5">
      <c r="E2453" s="7"/>
    </row>
    <row r="2454" spans="5:5">
      <c r="E2454" s="7"/>
    </row>
    <row r="2455" spans="5:5">
      <c r="E2455" s="7"/>
    </row>
    <row r="2456" spans="5:5">
      <c r="E2456" s="7"/>
    </row>
    <row r="2457" spans="5:5">
      <c r="E2457" s="7"/>
    </row>
    <row r="2458" spans="5:5">
      <c r="E2458" s="7"/>
    </row>
    <row r="2459" spans="5:5">
      <c r="E2459" s="7"/>
    </row>
    <row r="2460" spans="5:5">
      <c r="E2460" s="7"/>
    </row>
    <row r="2461" spans="5:5">
      <c r="E2461" s="7"/>
    </row>
    <row r="2462" spans="5:5">
      <c r="E2462" s="7"/>
    </row>
    <row r="2463" spans="5:5">
      <c r="E2463" s="7"/>
    </row>
    <row r="2464" spans="5:5">
      <c r="E2464" s="7"/>
    </row>
    <row r="2465" spans="5:5">
      <c r="E2465" s="7"/>
    </row>
    <row r="2466" spans="5:5">
      <c r="E2466" s="7"/>
    </row>
    <row r="2467" spans="5:5">
      <c r="E2467" s="7"/>
    </row>
    <row r="2468" spans="5:5">
      <c r="E2468" s="7"/>
    </row>
    <row r="2469" spans="5:5">
      <c r="E2469" s="7"/>
    </row>
    <row r="2470" spans="5:5">
      <c r="E2470" s="7"/>
    </row>
    <row r="2471" spans="5:5">
      <c r="E2471" s="7"/>
    </row>
    <row r="2472" spans="5:5">
      <c r="E2472" s="7"/>
    </row>
    <row r="2473" spans="5:5">
      <c r="E2473" s="7"/>
    </row>
    <row r="2474" spans="5:5">
      <c r="E2474" s="7"/>
    </row>
    <row r="2475" spans="5:5">
      <c r="E2475" s="7"/>
    </row>
    <row r="2476" spans="5:5">
      <c r="E2476" s="7"/>
    </row>
    <row r="2477" spans="5:5">
      <c r="E2477" s="7"/>
    </row>
    <row r="2478" spans="5:5">
      <c r="E2478" s="7"/>
    </row>
    <row r="2479" spans="5:5">
      <c r="E2479" s="7"/>
    </row>
    <row r="2480" spans="5:5">
      <c r="E2480" s="7"/>
    </row>
    <row r="2481" spans="5:5">
      <c r="E2481" s="7"/>
    </row>
    <row r="2482" spans="5:5">
      <c r="E2482" s="7"/>
    </row>
    <row r="2483" spans="5:5">
      <c r="E2483" s="7"/>
    </row>
    <row r="2484" spans="5:5">
      <c r="E2484" s="7"/>
    </row>
    <row r="2485" spans="5:5">
      <c r="E2485" s="7"/>
    </row>
    <row r="2486" spans="5:5">
      <c r="E2486" s="7"/>
    </row>
    <row r="2487" spans="5:5">
      <c r="E2487" s="7"/>
    </row>
    <row r="2488" spans="5:5">
      <c r="E2488" s="7"/>
    </row>
    <row r="2489" spans="5:5">
      <c r="E2489" s="7"/>
    </row>
    <row r="2490" spans="5:5">
      <c r="E2490" s="7"/>
    </row>
    <row r="2491" spans="5:5">
      <c r="E2491" s="7"/>
    </row>
    <row r="2492" spans="5:5">
      <c r="E2492" s="7"/>
    </row>
    <row r="2493" spans="5:5">
      <c r="E2493" s="7"/>
    </row>
    <row r="2494" spans="5:5">
      <c r="E2494" s="7"/>
    </row>
    <row r="2495" spans="5:5">
      <c r="E2495" s="7"/>
    </row>
    <row r="2496" spans="5:5">
      <c r="E2496" s="7"/>
    </row>
    <row r="2497" spans="5:5">
      <c r="E2497" s="7"/>
    </row>
    <row r="2498" spans="5:5">
      <c r="E2498" s="7"/>
    </row>
    <row r="2499" spans="5:5">
      <c r="E2499" s="7"/>
    </row>
    <row r="2500" spans="5:5">
      <c r="E2500" s="7"/>
    </row>
    <row r="2501" spans="5:5">
      <c r="E2501" s="7"/>
    </row>
    <row r="2502" spans="5:5">
      <c r="E2502" s="7"/>
    </row>
    <row r="2503" spans="5:5">
      <c r="E2503" s="7"/>
    </row>
    <row r="2504" spans="5:5">
      <c r="E2504" s="7"/>
    </row>
    <row r="2505" spans="5:5">
      <c r="E2505" s="7"/>
    </row>
    <row r="2506" spans="5:5">
      <c r="E2506" s="7"/>
    </row>
    <row r="2507" spans="5:5">
      <c r="E2507" s="7"/>
    </row>
    <row r="2508" spans="5:5">
      <c r="E2508" s="7"/>
    </row>
    <row r="2509" spans="5:5">
      <c r="E2509" s="7"/>
    </row>
    <row r="2510" spans="5:5">
      <c r="E2510" s="7"/>
    </row>
    <row r="2511" spans="5:5">
      <c r="E2511" s="7"/>
    </row>
    <row r="2512" spans="5:5">
      <c r="E2512" s="7"/>
    </row>
    <row r="2513" spans="5:5">
      <c r="E2513" s="7"/>
    </row>
    <row r="2514" spans="5:5">
      <c r="E2514" s="7"/>
    </row>
    <row r="2515" spans="5:5">
      <c r="E2515" s="7"/>
    </row>
    <row r="2516" spans="5:5">
      <c r="E2516" s="7"/>
    </row>
    <row r="2517" spans="5:5">
      <c r="E2517" s="7"/>
    </row>
    <row r="2518" spans="5:5">
      <c r="E2518" s="7"/>
    </row>
    <row r="2519" spans="5:5">
      <c r="E2519" s="7"/>
    </row>
    <row r="2520" spans="5:5">
      <c r="E2520" s="7"/>
    </row>
    <row r="2521" spans="5:5">
      <c r="E2521" s="7"/>
    </row>
    <row r="2522" spans="5:5">
      <c r="E2522" s="7"/>
    </row>
    <row r="2523" spans="5:5">
      <c r="E2523" s="7"/>
    </row>
    <row r="2524" spans="5:5">
      <c r="E2524" s="7"/>
    </row>
    <row r="2525" spans="5:5">
      <c r="E2525" s="7"/>
    </row>
    <row r="2526" spans="5:5">
      <c r="E2526" s="7"/>
    </row>
    <row r="2527" spans="5:5">
      <c r="E2527" s="7"/>
    </row>
    <row r="2528" spans="5:5">
      <c r="E2528" s="7"/>
    </row>
    <row r="2529" spans="5:5">
      <c r="E2529" s="7"/>
    </row>
    <row r="2530" spans="5:5">
      <c r="E2530" s="7"/>
    </row>
    <row r="2531" spans="5:5">
      <c r="E2531" s="7"/>
    </row>
    <row r="2532" spans="5:5">
      <c r="E2532" s="7"/>
    </row>
    <row r="2533" spans="5:5">
      <c r="E2533" s="7"/>
    </row>
    <row r="2534" spans="5:5">
      <c r="E2534" s="7"/>
    </row>
    <row r="2535" spans="5:5">
      <c r="E2535" s="7"/>
    </row>
    <row r="2536" spans="5:5">
      <c r="E2536" s="7"/>
    </row>
    <row r="2537" spans="5:5">
      <c r="E2537" s="7"/>
    </row>
    <row r="2538" spans="5:5">
      <c r="E2538" s="7"/>
    </row>
    <row r="2539" spans="5:5">
      <c r="E2539" s="7"/>
    </row>
    <row r="2540" spans="5:5">
      <c r="E2540" s="7"/>
    </row>
    <row r="2541" spans="5:5">
      <c r="E2541" s="7"/>
    </row>
    <row r="2542" spans="5:5">
      <c r="E2542" s="7"/>
    </row>
    <row r="2543" spans="5:5">
      <c r="E2543" s="7"/>
    </row>
    <row r="2544" spans="5:5">
      <c r="E2544" s="7"/>
    </row>
    <row r="2545" spans="5:5">
      <c r="E2545" s="7"/>
    </row>
    <row r="2546" spans="5:5">
      <c r="E2546" s="7"/>
    </row>
    <row r="2547" spans="5:5">
      <c r="E2547" s="7"/>
    </row>
    <row r="2548" spans="5:5">
      <c r="E2548" s="7"/>
    </row>
    <row r="2549" spans="5:5">
      <c r="E2549" s="7"/>
    </row>
    <row r="2550" spans="5:5">
      <c r="E2550" s="7"/>
    </row>
    <row r="2551" spans="5:5">
      <c r="E2551" s="7"/>
    </row>
    <row r="2552" spans="5:5">
      <c r="E2552" s="7"/>
    </row>
    <row r="2553" spans="5:5">
      <c r="E2553" s="7"/>
    </row>
    <row r="2554" spans="5:5">
      <c r="E2554" s="7"/>
    </row>
    <row r="2555" spans="5:5">
      <c r="E2555" s="7"/>
    </row>
    <row r="2556" spans="5:5">
      <c r="E2556" s="7"/>
    </row>
    <row r="2557" spans="5:5">
      <c r="E2557" s="7"/>
    </row>
    <row r="2558" spans="5:5">
      <c r="E2558" s="7"/>
    </row>
    <row r="2559" spans="5:5">
      <c r="E2559" s="7"/>
    </row>
    <row r="2560" spans="5:5">
      <c r="E2560" s="7"/>
    </row>
    <row r="2561" spans="5:5">
      <c r="E2561" s="7"/>
    </row>
    <row r="2562" spans="5:5">
      <c r="E2562" s="7"/>
    </row>
    <row r="2563" spans="5:5">
      <c r="E2563" s="7"/>
    </row>
    <row r="2564" spans="5:5">
      <c r="E2564" s="7"/>
    </row>
    <row r="2565" spans="5:5">
      <c r="E2565" s="7"/>
    </row>
    <row r="2566" spans="5:5">
      <c r="E2566" s="7"/>
    </row>
    <row r="2567" spans="5:5">
      <c r="E2567" s="7"/>
    </row>
    <row r="2568" spans="5:5">
      <c r="E2568" s="7"/>
    </row>
    <row r="2569" spans="5:5">
      <c r="E2569" s="7"/>
    </row>
    <row r="2570" spans="5:5">
      <c r="E2570" s="7"/>
    </row>
    <row r="2571" spans="5:5">
      <c r="E2571" s="7"/>
    </row>
    <row r="2572" spans="5:5">
      <c r="E2572" s="7"/>
    </row>
    <row r="2573" spans="5:5">
      <c r="E2573" s="7"/>
    </row>
    <row r="2574" spans="5:5">
      <c r="E2574" s="7"/>
    </row>
    <row r="2575" spans="5:5">
      <c r="E2575" s="7"/>
    </row>
    <row r="2576" spans="5:5">
      <c r="E2576" s="7"/>
    </row>
    <row r="2577" spans="5:5">
      <c r="E2577" s="7"/>
    </row>
    <row r="2578" spans="5:5">
      <c r="E2578" s="7"/>
    </row>
    <row r="2579" spans="5:5">
      <c r="E2579" s="7"/>
    </row>
    <row r="2580" spans="5:5">
      <c r="E2580" s="7"/>
    </row>
    <row r="2581" spans="5:5">
      <c r="E2581" s="7"/>
    </row>
    <row r="2582" spans="5:5">
      <c r="E2582" s="7"/>
    </row>
    <row r="2583" spans="5:5">
      <c r="E2583" s="7"/>
    </row>
    <row r="2584" spans="5:5">
      <c r="E2584" s="7"/>
    </row>
    <row r="2585" spans="5:5">
      <c r="E2585" s="7"/>
    </row>
    <row r="2586" spans="5:5">
      <c r="E2586" s="7"/>
    </row>
    <row r="2587" spans="5:5">
      <c r="E2587" s="7"/>
    </row>
    <row r="2588" spans="5:5">
      <c r="E2588" s="7"/>
    </row>
    <row r="2589" spans="5:5">
      <c r="E2589" s="7"/>
    </row>
    <row r="2590" spans="5:5">
      <c r="E2590" s="7"/>
    </row>
    <row r="2591" spans="5:5">
      <c r="E2591" s="7"/>
    </row>
    <row r="2592" spans="5:5">
      <c r="E2592" s="7"/>
    </row>
    <row r="2593" spans="5:5">
      <c r="E2593" s="7"/>
    </row>
    <row r="2594" spans="5:5">
      <c r="E2594" s="7"/>
    </row>
    <row r="2595" spans="5:5">
      <c r="E2595" s="7"/>
    </row>
    <row r="2596" spans="5:5">
      <c r="E2596" s="7"/>
    </row>
    <row r="2597" spans="5:5">
      <c r="E2597" s="7"/>
    </row>
    <row r="2598" spans="5:5">
      <c r="E2598" s="7"/>
    </row>
    <row r="2599" spans="5:5">
      <c r="E2599" s="7"/>
    </row>
    <row r="2600" spans="5:5">
      <c r="E2600" s="7"/>
    </row>
    <row r="2601" spans="5:5">
      <c r="E2601" s="7"/>
    </row>
    <row r="2602" spans="5:5">
      <c r="E2602" s="7"/>
    </row>
    <row r="2603" spans="5:5">
      <c r="E2603" s="7"/>
    </row>
    <row r="2604" spans="5:5">
      <c r="E2604" s="7"/>
    </row>
    <row r="2605" spans="5:5">
      <c r="E2605" s="7"/>
    </row>
    <row r="2606" spans="5:5">
      <c r="E2606" s="7"/>
    </row>
    <row r="2607" spans="5:5">
      <c r="E2607" s="7"/>
    </row>
    <row r="2608" spans="5:5">
      <c r="E2608" s="7"/>
    </row>
    <row r="2609" spans="5:5">
      <c r="E2609" s="7"/>
    </row>
    <row r="2610" spans="5:5">
      <c r="E2610" s="7"/>
    </row>
    <row r="2611" spans="5:5">
      <c r="E2611" s="7"/>
    </row>
    <row r="2612" spans="5:5">
      <c r="E2612" s="7"/>
    </row>
    <row r="2613" spans="5:5">
      <c r="E2613" s="7"/>
    </row>
    <row r="2614" spans="5:5">
      <c r="E2614" s="7"/>
    </row>
    <row r="2615" spans="5:5">
      <c r="E2615" s="7"/>
    </row>
    <row r="2616" spans="5:5">
      <c r="E2616" s="7"/>
    </row>
    <row r="2617" spans="5:5">
      <c r="E2617" s="7"/>
    </row>
    <row r="2618" spans="5:5">
      <c r="E2618" s="7"/>
    </row>
    <row r="2619" spans="5:5">
      <c r="E2619" s="7"/>
    </row>
    <row r="2620" spans="5:5">
      <c r="E2620" s="7"/>
    </row>
    <row r="2621" spans="5:5">
      <c r="E2621" s="7"/>
    </row>
    <row r="2622" spans="5:5">
      <c r="E2622" s="7"/>
    </row>
    <row r="2623" spans="5:5">
      <c r="E2623" s="7"/>
    </row>
    <row r="2624" spans="5:5">
      <c r="E2624" s="7"/>
    </row>
    <row r="2625" spans="5:5">
      <c r="E2625" s="7"/>
    </row>
    <row r="2626" spans="5:5">
      <c r="E2626" s="7"/>
    </row>
    <row r="2627" spans="5:5">
      <c r="E2627" s="7"/>
    </row>
    <row r="2628" spans="5:5">
      <c r="E2628" s="7"/>
    </row>
    <row r="2629" spans="5:5">
      <c r="E2629" s="7"/>
    </row>
    <row r="2630" spans="5:5">
      <c r="E2630" s="7"/>
    </row>
    <row r="2631" spans="5:5">
      <c r="E2631" s="7"/>
    </row>
    <row r="2632" spans="5:5">
      <c r="E2632" s="7"/>
    </row>
    <row r="2633" spans="5:5">
      <c r="E2633" s="7"/>
    </row>
    <row r="2634" spans="5:5">
      <c r="E2634" s="7"/>
    </row>
    <row r="2635" spans="5:5">
      <c r="E2635" s="7"/>
    </row>
    <row r="2636" spans="5:5">
      <c r="E2636" s="7"/>
    </row>
    <row r="2637" spans="5:5">
      <c r="E2637" s="7"/>
    </row>
    <row r="2638" spans="5:5">
      <c r="E2638" s="7"/>
    </row>
    <row r="2639" spans="5:5">
      <c r="E2639" s="7"/>
    </row>
    <row r="2640" spans="5:5">
      <c r="E2640" s="7"/>
    </row>
    <row r="2641" spans="5:5">
      <c r="E2641" s="7"/>
    </row>
    <row r="2642" spans="5:5">
      <c r="E2642" s="7"/>
    </row>
    <row r="2643" spans="5:5">
      <c r="E2643" s="7"/>
    </row>
    <row r="2644" spans="5:5">
      <c r="E2644" s="7"/>
    </row>
    <row r="2645" spans="5:5">
      <c r="E2645" s="7"/>
    </row>
    <row r="2646" spans="5:5">
      <c r="E2646" s="7"/>
    </row>
    <row r="2647" spans="5:5">
      <c r="E2647" s="7"/>
    </row>
    <row r="2648" spans="5:5">
      <c r="E2648" s="7"/>
    </row>
    <row r="2649" spans="5:5">
      <c r="E2649" s="7"/>
    </row>
    <row r="2650" spans="5:5">
      <c r="E2650" s="7"/>
    </row>
    <row r="2651" spans="5:5">
      <c r="E2651" s="7"/>
    </row>
    <row r="2652" spans="5:5">
      <c r="E2652" s="7"/>
    </row>
    <row r="2653" spans="5:5">
      <c r="E2653" s="7"/>
    </row>
    <row r="2654" spans="5:5">
      <c r="E2654" s="7"/>
    </row>
    <row r="2655" spans="5:5">
      <c r="E2655" s="7"/>
    </row>
    <row r="2656" spans="5:5">
      <c r="E2656" s="7"/>
    </row>
    <row r="2657" spans="5:5">
      <c r="E2657" s="7"/>
    </row>
    <row r="2658" spans="5:5">
      <c r="E2658" s="7"/>
    </row>
    <row r="2659" spans="5:5">
      <c r="E2659" s="7"/>
    </row>
    <row r="2660" spans="5:5">
      <c r="E2660" s="7"/>
    </row>
    <row r="2661" spans="5:5">
      <c r="E2661" s="7"/>
    </row>
    <row r="2662" spans="5:5">
      <c r="E2662" s="7"/>
    </row>
    <row r="2663" spans="5:5">
      <c r="E2663" s="7"/>
    </row>
    <row r="2664" spans="5:5">
      <c r="E2664" s="7"/>
    </row>
    <row r="2665" spans="5:5">
      <c r="E2665" s="7"/>
    </row>
    <row r="2666" spans="5:5">
      <c r="E2666" s="7"/>
    </row>
    <row r="2667" spans="5:5">
      <c r="E2667" s="7"/>
    </row>
    <row r="2668" spans="5:5">
      <c r="E2668" s="7"/>
    </row>
    <row r="2669" spans="5:5">
      <c r="E2669" s="7"/>
    </row>
    <row r="2670" spans="5:5">
      <c r="E2670" s="7"/>
    </row>
    <row r="2671" spans="5:5">
      <c r="E2671" s="7"/>
    </row>
    <row r="2672" spans="5:5">
      <c r="E2672" s="7"/>
    </row>
    <row r="2673" spans="5:5">
      <c r="E2673" s="7"/>
    </row>
    <row r="2674" spans="5:5">
      <c r="E2674" s="7"/>
    </row>
    <row r="2675" spans="5:5">
      <c r="E2675" s="7"/>
    </row>
    <row r="2676" spans="5:5">
      <c r="E2676" s="7"/>
    </row>
    <row r="2677" spans="5:5">
      <c r="E2677" s="7"/>
    </row>
    <row r="2678" spans="5:5">
      <c r="E2678" s="7"/>
    </row>
    <row r="2679" spans="5:5">
      <c r="E2679" s="7"/>
    </row>
    <row r="2680" spans="5:5">
      <c r="E2680" s="7"/>
    </row>
    <row r="2681" spans="5:5">
      <c r="E2681" s="7"/>
    </row>
    <row r="2682" spans="5:5">
      <c r="E2682" s="7"/>
    </row>
    <row r="2683" spans="5:5">
      <c r="E2683" s="7"/>
    </row>
    <row r="2684" spans="5:5">
      <c r="E2684" s="7"/>
    </row>
    <row r="2685" spans="5:5">
      <c r="E2685" s="7"/>
    </row>
    <row r="2686" spans="5:5">
      <c r="E2686" s="7"/>
    </row>
    <row r="2687" spans="5:5">
      <c r="E2687" s="7"/>
    </row>
    <row r="2688" spans="5:5">
      <c r="E2688" s="7"/>
    </row>
    <row r="2689" spans="5:5">
      <c r="E2689" s="7"/>
    </row>
    <row r="2690" spans="5:5">
      <c r="E2690" s="7"/>
    </row>
    <row r="2691" spans="5:5">
      <c r="E2691" s="7"/>
    </row>
    <row r="2692" spans="5:5">
      <c r="E2692" s="7"/>
    </row>
    <row r="2693" spans="5:5">
      <c r="E2693" s="7"/>
    </row>
    <row r="2694" spans="5:5">
      <c r="E2694" s="7"/>
    </row>
    <row r="2695" spans="5:5">
      <c r="E2695" s="7"/>
    </row>
    <row r="2696" spans="5:5">
      <c r="E2696" s="7"/>
    </row>
    <row r="2697" spans="5:5">
      <c r="E2697" s="7"/>
    </row>
    <row r="2698" spans="5:5">
      <c r="E2698" s="7"/>
    </row>
    <row r="2699" spans="5:5">
      <c r="E2699" s="7"/>
    </row>
    <row r="2700" spans="5:5">
      <c r="E2700" s="7"/>
    </row>
    <row r="2701" spans="5:5">
      <c r="E2701" s="7"/>
    </row>
    <row r="2702" spans="5:5">
      <c r="E2702" s="7"/>
    </row>
    <row r="2703" spans="5:5">
      <c r="E2703" s="7"/>
    </row>
    <row r="2704" spans="5:5">
      <c r="E2704" s="7"/>
    </row>
    <row r="2705" spans="5:5">
      <c r="E2705" s="7"/>
    </row>
    <row r="2706" spans="5:5">
      <c r="E2706" s="7"/>
    </row>
    <row r="2707" spans="5:5">
      <c r="E2707" s="7"/>
    </row>
    <row r="2708" spans="5:5">
      <c r="E2708" s="7"/>
    </row>
    <row r="2709" spans="5:5">
      <c r="E2709" s="7"/>
    </row>
    <row r="2710" spans="5:5">
      <c r="E2710" s="7"/>
    </row>
    <row r="2711" spans="5:5">
      <c r="E2711" s="7"/>
    </row>
    <row r="2712" spans="5:5">
      <c r="E2712" s="7"/>
    </row>
    <row r="2713" spans="5:5">
      <c r="E2713" s="7"/>
    </row>
    <row r="2714" spans="5:5">
      <c r="E2714" s="7"/>
    </row>
    <row r="2715" spans="5:5">
      <c r="E2715" s="7"/>
    </row>
    <row r="2716" spans="5:5">
      <c r="E2716" s="7"/>
    </row>
    <row r="2717" spans="5:5">
      <c r="E2717" s="7"/>
    </row>
    <row r="2718" spans="5:5">
      <c r="E2718" s="7"/>
    </row>
    <row r="2719" spans="5:5">
      <c r="E2719" s="7"/>
    </row>
    <row r="2720" spans="5:5">
      <c r="E2720" s="7"/>
    </row>
    <row r="2721" spans="5:5">
      <c r="E2721" s="7"/>
    </row>
    <row r="2722" spans="5:5">
      <c r="E2722" s="7"/>
    </row>
    <row r="2723" spans="5:5">
      <c r="E2723" s="7"/>
    </row>
    <row r="2724" spans="5:5">
      <c r="E2724" s="7"/>
    </row>
    <row r="2725" spans="5:5">
      <c r="E2725" s="7"/>
    </row>
    <row r="2726" spans="5:5">
      <c r="E2726" s="7"/>
    </row>
    <row r="2727" spans="5:5">
      <c r="E2727" s="7"/>
    </row>
    <row r="2728" spans="5:5">
      <c r="E2728" s="7"/>
    </row>
    <row r="2729" spans="5:5">
      <c r="E2729" s="7"/>
    </row>
    <row r="2730" spans="5:5">
      <c r="E2730" s="7"/>
    </row>
    <row r="2731" spans="5:5">
      <c r="E2731" s="7"/>
    </row>
    <row r="2732" spans="5:5">
      <c r="E2732" s="7"/>
    </row>
    <row r="2733" spans="5:5">
      <c r="E2733" s="7"/>
    </row>
    <row r="2734" spans="5:5">
      <c r="E2734" s="7"/>
    </row>
    <row r="2735" spans="5:5">
      <c r="E2735" s="7"/>
    </row>
    <row r="2736" spans="5:5">
      <c r="E2736" s="7"/>
    </row>
    <row r="2737" spans="5:5">
      <c r="E2737" s="7"/>
    </row>
    <row r="2738" spans="5:5">
      <c r="E2738" s="7"/>
    </row>
    <row r="2739" spans="5:5">
      <c r="E2739" s="7"/>
    </row>
    <row r="2740" spans="5:5">
      <c r="E2740" s="7"/>
    </row>
    <row r="2741" spans="5:5">
      <c r="E2741" s="7"/>
    </row>
    <row r="2742" spans="5:5">
      <c r="E2742" s="7"/>
    </row>
    <row r="2743" spans="5:5">
      <c r="E2743" s="7"/>
    </row>
    <row r="2744" spans="5:5">
      <c r="E2744" s="7"/>
    </row>
    <row r="2745" spans="5:5">
      <c r="E2745" s="7"/>
    </row>
    <row r="2746" spans="5:5">
      <c r="E2746" s="7"/>
    </row>
    <row r="2747" spans="5:5">
      <c r="E2747" s="7"/>
    </row>
    <row r="2748" spans="5:5">
      <c r="E2748" s="7"/>
    </row>
    <row r="2749" spans="5:5">
      <c r="E2749" s="7"/>
    </row>
    <row r="2750" spans="5:5">
      <c r="E2750" s="7"/>
    </row>
    <row r="2751" spans="5:5">
      <c r="E2751" s="7"/>
    </row>
    <row r="2752" spans="5:5">
      <c r="E2752" s="7"/>
    </row>
    <row r="2753" spans="5:5">
      <c r="E2753" s="7"/>
    </row>
    <row r="2754" spans="5:5">
      <c r="E2754" s="7"/>
    </row>
    <row r="2755" spans="5:5">
      <c r="E2755" s="7"/>
    </row>
    <row r="2756" spans="5:5">
      <c r="E2756" s="7"/>
    </row>
    <row r="2757" spans="5:5">
      <c r="E2757" s="7"/>
    </row>
    <row r="2758" spans="5:5">
      <c r="E2758" s="7"/>
    </row>
    <row r="2759" spans="5:5">
      <c r="E2759" s="7"/>
    </row>
    <row r="2760" spans="5:5">
      <c r="E2760" s="7"/>
    </row>
    <row r="2761" spans="5:5">
      <c r="E2761" s="7"/>
    </row>
    <row r="2762" spans="5:5">
      <c r="E2762" s="7"/>
    </row>
    <row r="2763" spans="5:5">
      <c r="E2763" s="7"/>
    </row>
    <row r="2764" spans="5:5">
      <c r="E2764" s="7"/>
    </row>
    <row r="2765" spans="5:5">
      <c r="E2765" s="7"/>
    </row>
    <row r="2766" spans="5:5">
      <c r="E2766" s="7"/>
    </row>
    <row r="2767" spans="5:5">
      <c r="E2767" s="7"/>
    </row>
    <row r="2768" spans="5:5">
      <c r="E2768" s="7"/>
    </row>
    <row r="2769" spans="5:5">
      <c r="E2769" s="7"/>
    </row>
    <row r="2770" spans="5:5">
      <c r="E2770" s="7"/>
    </row>
    <row r="2771" spans="5:5">
      <c r="E2771" s="7"/>
    </row>
    <row r="2772" spans="5:5">
      <c r="E2772" s="7"/>
    </row>
    <row r="2773" spans="5:5">
      <c r="E2773" s="7"/>
    </row>
    <row r="2774" spans="5:5">
      <c r="E2774" s="7"/>
    </row>
    <row r="2775" spans="5:5">
      <c r="E2775" s="7"/>
    </row>
    <row r="2776" spans="5:5">
      <c r="E2776" s="7"/>
    </row>
    <row r="2777" spans="5:5">
      <c r="E2777" s="7"/>
    </row>
    <row r="2778" spans="5:5">
      <c r="E2778" s="7"/>
    </row>
    <row r="2779" spans="5:5">
      <c r="E2779" s="7"/>
    </row>
    <row r="2780" spans="5:5">
      <c r="E2780" s="7"/>
    </row>
    <row r="2781" spans="5:5">
      <c r="E2781" s="7"/>
    </row>
    <row r="2782" spans="5:5">
      <c r="E2782" s="7"/>
    </row>
    <row r="2783" spans="5:5">
      <c r="E2783" s="7"/>
    </row>
    <row r="2784" spans="5:5">
      <c r="E2784" s="7"/>
    </row>
    <row r="2785" spans="5:5">
      <c r="E2785" s="7"/>
    </row>
    <row r="2786" spans="5:5">
      <c r="E2786" s="7"/>
    </row>
    <row r="2787" spans="5:5">
      <c r="E2787" s="7"/>
    </row>
    <row r="2788" spans="5:5">
      <c r="E2788" s="7"/>
    </row>
    <row r="2789" spans="5:5">
      <c r="E2789" s="7"/>
    </row>
    <row r="2790" spans="5:5">
      <c r="E2790" s="7"/>
    </row>
    <row r="2791" spans="5:5">
      <c r="E2791" s="7"/>
    </row>
    <row r="2792" spans="5:5">
      <c r="E2792" s="7"/>
    </row>
    <row r="2793" spans="5:5">
      <c r="E2793" s="7"/>
    </row>
    <row r="2794" spans="5:5">
      <c r="E2794" s="7"/>
    </row>
    <row r="2795" spans="5:5">
      <c r="E2795" s="7"/>
    </row>
    <row r="2796" spans="5:5">
      <c r="E2796" s="7"/>
    </row>
    <row r="2797" spans="5:5">
      <c r="E2797" s="7"/>
    </row>
    <row r="2798" spans="5:5">
      <c r="E2798" s="7"/>
    </row>
    <row r="2799" spans="5:5">
      <c r="E2799" s="7"/>
    </row>
    <row r="2800" spans="5:5">
      <c r="E2800" s="7"/>
    </row>
    <row r="2801" spans="5:5">
      <c r="E2801" s="7"/>
    </row>
    <row r="2802" spans="5:5">
      <c r="E2802" s="7"/>
    </row>
    <row r="2803" spans="5:5">
      <c r="E2803" s="7"/>
    </row>
    <row r="2804" spans="5:5">
      <c r="E2804" s="7"/>
    </row>
    <row r="2805" spans="5:5">
      <c r="E2805" s="7"/>
    </row>
    <row r="2806" spans="5:5">
      <c r="E2806" s="7"/>
    </row>
    <row r="2807" spans="5:5">
      <c r="E2807" s="7"/>
    </row>
    <row r="2808" spans="5:5">
      <c r="E2808" s="7"/>
    </row>
    <row r="2809" spans="5:5">
      <c r="E2809" s="7"/>
    </row>
    <row r="2810" spans="5:5">
      <c r="E2810" s="7"/>
    </row>
    <row r="2811" spans="5:5">
      <c r="E2811" s="7"/>
    </row>
    <row r="2812" spans="5:5">
      <c r="E2812" s="7"/>
    </row>
    <row r="2813" spans="5:5">
      <c r="E2813" s="7"/>
    </row>
    <row r="2814" spans="5:5">
      <c r="E2814" s="7"/>
    </row>
    <row r="2815" spans="5:5">
      <c r="E2815" s="7"/>
    </row>
    <row r="2816" spans="5:5">
      <c r="E2816" s="7"/>
    </row>
    <row r="2817" spans="5:5">
      <c r="E2817" s="7"/>
    </row>
    <row r="2818" spans="5:5">
      <c r="E2818" s="7"/>
    </row>
    <row r="2819" spans="5:5">
      <c r="E2819" s="7"/>
    </row>
    <row r="2820" spans="5:5">
      <c r="E2820" s="7"/>
    </row>
    <row r="2821" spans="5:5">
      <c r="E2821" s="7"/>
    </row>
    <row r="2822" spans="5:5">
      <c r="E2822" s="7"/>
    </row>
    <row r="2823" spans="5:5">
      <c r="E2823" s="7"/>
    </row>
    <row r="2824" spans="5:5">
      <c r="E2824" s="7"/>
    </row>
    <row r="2825" spans="5:5">
      <c r="E2825" s="7"/>
    </row>
    <row r="2826" spans="5:5">
      <c r="E2826" s="7"/>
    </row>
    <row r="2827" spans="5:5">
      <c r="E2827" s="7"/>
    </row>
    <row r="2828" spans="5:5">
      <c r="E2828" s="7"/>
    </row>
    <row r="2829" spans="5:5">
      <c r="E2829" s="7"/>
    </row>
    <row r="2830" spans="5:5">
      <c r="E2830" s="7"/>
    </row>
    <row r="2831" spans="5:5">
      <c r="E2831" s="7"/>
    </row>
    <row r="2832" spans="5:5">
      <c r="E2832" s="7"/>
    </row>
    <row r="2833" spans="5:5">
      <c r="E2833" s="7"/>
    </row>
    <row r="2834" spans="5:5">
      <c r="E2834" s="7"/>
    </row>
    <row r="2835" spans="5:5">
      <c r="E2835" s="7"/>
    </row>
    <row r="2836" spans="5:5">
      <c r="E2836" s="7"/>
    </row>
    <row r="2837" spans="5:5">
      <c r="E2837" s="7"/>
    </row>
    <row r="2838" spans="5:5">
      <c r="E2838" s="7"/>
    </row>
    <row r="2839" spans="5:5">
      <c r="E2839" s="7"/>
    </row>
    <row r="2840" spans="5:5">
      <c r="E2840" s="7"/>
    </row>
    <row r="2841" spans="5:5">
      <c r="E2841" s="7"/>
    </row>
    <row r="2842" spans="5:5">
      <c r="E2842" s="7"/>
    </row>
    <row r="2843" spans="5:5">
      <c r="E2843" s="7"/>
    </row>
    <row r="2844" spans="5:5">
      <c r="E2844" s="7"/>
    </row>
    <row r="2845" spans="5:5">
      <c r="E2845" s="7"/>
    </row>
    <row r="2846" spans="5:5">
      <c r="E2846" s="7"/>
    </row>
    <row r="2847" spans="5:5">
      <c r="E2847" s="7"/>
    </row>
    <row r="2848" spans="5:5">
      <c r="E2848" s="7"/>
    </row>
    <row r="2849" spans="5:5">
      <c r="E2849" s="7"/>
    </row>
    <row r="2850" spans="5:5">
      <c r="E2850" s="7"/>
    </row>
    <row r="2851" spans="5:5">
      <c r="E2851" s="7"/>
    </row>
    <row r="2852" spans="5:5">
      <c r="E2852" s="7"/>
    </row>
    <row r="2853" spans="5:5">
      <c r="E2853" s="7"/>
    </row>
    <row r="2854" spans="5:5">
      <c r="E2854" s="7"/>
    </row>
    <row r="2855" spans="5:5">
      <c r="E2855" s="7"/>
    </row>
    <row r="2856" spans="5:5">
      <c r="E2856" s="7"/>
    </row>
    <row r="2857" spans="5:5">
      <c r="E2857" s="7"/>
    </row>
    <row r="2858" spans="5:5">
      <c r="E2858" s="7"/>
    </row>
    <row r="2859" spans="5:5">
      <c r="E2859" s="7"/>
    </row>
    <row r="2860" spans="5:5">
      <c r="E2860" s="7"/>
    </row>
    <row r="2861" spans="5:5">
      <c r="E2861" s="7"/>
    </row>
    <row r="2862" spans="5:5">
      <c r="E2862" s="7"/>
    </row>
    <row r="2863" spans="5:5">
      <c r="E2863" s="7"/>
    </row>
    <row r="2864" spans="5:5">
      <c r="E2864" s="7"/>
    </row>
    <row r="2865" spans="5:5">
      <c r="E2865" s="7"/>
    </row>
    <row r="2866" spans="5:5">
      <c r="E2866" s="7"/>
    </row>
    <row r="2867" spans="5:5">
      <c r="E2867" s="7"/>
    </row>
    <row r="2868" spans="5:5">
      <c r="E2868" s="7"/>
    </row>
    <row r="2869" spans="5:5">
      <c r="E2869" s="7"/>
    </row>
    <row r="2870" spans="5:5">
      <c r="E2870" s="7"/>
    </row>
    <row r="2871" spans="5:5">
      <c r="E2871" s="7"/>
    </row>
    <row r="2872" spans="5:5">
      <c r="E2872" s="7"/>
    </row>
    <row r="2873" spans="5:5">
      <c r="E2873" s="7"/>
    </row>
    <row r="2874" spans="5:5">
      <c r="E2874" s="7"/>
    </row>
    <row r="2875" spans="5:5">
      <c r="E2875" s="7"/>
    </row>
    <row r="2876" spans="5:5">
      <c r="E2876" s="7"/>
    </row>
    <row r="2877" spans="5:5">
      <c r="E2877" s="7"/>
    </row>
    <row r="2878" spans="5:5">
      <c r="E2878" s="7"/>
    </row>
    <row r="2879" spans="5:5">
      <c r="E2879" s="7"/>
    </row>
    <row r="2880" spans="5:5">
      <c r="E2880" s="7"/>
    </row>
    <row r="2881" spans="5:5">
      <c r="E2881" s="7"/>
    </row>
    <row r="2882" spans="5:5">
      <c r="E2882" s="7"/>
    </row>
    <row r="2883" spans="5:5">
      <c r="E2883" s="7"/>
    </row>
    <row r="2884" spans="5:5">
      <c r="E2884" s="7"/>
    </row>
    <row r="2885" spans="5:5">
      <c r="E2885" s="7"/>
    </row>
    <row r="2886" spans="5:5">
      <c r="E2886" s="7"/>
    </row>
    <row r="2887" spans="5:5">
      <c r="E2887" s="7"/>
    </row>
    <row r="2888" spans="5:5">
      <c r="E2888" s="7"/>
    </row>
    <row r="2889" spans="5:5">
      <c r="E2889" s="7"/>
    </row>
    <row r="2890" spans="5:5">
      <c r="E2890" s="7"/>
    </row>
    <row r="2891" spans="5:5">
      <c r="E2891" s="7"/>
    </row>
    <row r="2892" spans="5:5">
      <c r="E2892" s="7"/>
    </row>
    <row r="2893" spans="5:5">
      <c r="E2893" s="7"/>
    </row>
    <row r="2894" spans="5:5">
      <c r="E2894" s="7"/>
    </row>
    <row r="2895" spans="5:5">
      <c r="E2895" s="7"/>
    </row>
    <row r="2896" spans="5:5">
      <c r="E2896" s="7"/>
    </row>
    <row r="2897" spans="5:5">
      <c r="E2897" s="7"/>
    </row>
    <row r="2898" spans="5:5">
      <c r="E2898" s="7"/>
    </row>
    <row r="2899" spans="5:5">
      <c r="E2899" s="7"/>
    </row>
    <row r="2900" spans="5:5">
      <c r="E2900" s="7"/>
    </row>
    <row r="2901" spans="5:5">
      <c r="E2901" s="7"/>
    </row>
    <row r="2902" spans="5:5">
      <c r="E2902" s="7"/>
    </row>
    <row r="2903" spans="5:5">
      <c r="E2903" s="7"/>
    </row>
    <row r="2904" spans="5:5">
      <c r="E2904" s="7"/>
    </row>
    <row r="2905" spans="5:5">
      <c r="E2905" s="7"/>
    </row>
    <row r="2906" spans="5:5">
      <c r="E2906" s="7"/>
    </row>
    <row r="2907" spans="5:5">
      <c r="E2907" s="7"/>
    </row>
    <row r="2908" spans="5:5">
      <c r="E2908" s="7"/>
    </row>
    <row r="2909" spans="5:5">
      <c r="E2909" s="7"/>
    </row>
    <row r="2910" spans="5:5">
      <c r="E2910" s="7"/>
    </row>
    <row r="2911" spans="5:5">
      <c r="E2911" s="7"/>
    </row>
    <row r="2912" spans="5:5">
      <c r="E2912" s="7"/>
    </row>
    <row r="2913" spans="5:5">
      <c r="E2913" s="7"/>
    </row>
    <row r="2914" spans="5:5">
      <c r="E2914" s="7"/>
    </row>
    <row r="2915" spans="5:5">
      <c r="E2915" s="7"/>
    </row>
    <row r="2916" spans="5:5">
      <c r="E2916" s="7"/>
    </row>
    <row r="2917" spans="5:5">
      <c r="E2917" s="7"/>
    </row>
    <row r="2918" spans="5:5">
      <c r="E2918" s="7"/>
    </row>
    <row r="2919" spans="5:5">
      <c r="E2919" s="7"/>
    </row>
    <row r="2920" spans="5:5">
      <c r="E2920" s="7"/>
    </row>
    <row r="2921" spans="5:5">
      <c r="E2921" s="7"/>
    </row>
    <row r="2922" spans="5:5">
      <c r="E2922" s="7"/>
    </row>
    <row r="2923" spans="5:5">
      <c r="E2923" s="7"/>
    </row>
    <row r="2924" spans="5:5">
      <c r="E2924" s="7"/>
    </row>
    <row r="2925" spans="5:5">
      <c r="E2925" s="7"/>
    </row>
    <row r="2926" spans="5:5">
      <c r="E2926" s="7"/>
    </row>
    <row r="2927" spans="5:5">
      <c r="E2927" s="7"/>
    </row>
    <row r="2928" spans="5:5">
      <c r="E2928" s="7"/>
    </row>
    <row r="2929" spans="5:5">
      <c r="E2929" s="7"/>
    </row>
    <row r="2930" spans="5:5">
      <c r="E2930" s="7"/>
    </row>
    <row r="2931" spans="5:5">
      <c r="E2931" s="7"/>
    </row>
    <row r="2932" spans="5:5">
      <c r="E2932" s="7"/>
    </row>
    <row r="2933" spans="5:5">
      <c r="E2933" s="7"/>
    </row>
    <row r="2934" spans="5:5">
      <c r="E2934" s="7"/>
    </row>
    <row r="2935" spans="5:5">
      <c r="E2935" s="7"/>
    </row>
    <row r="2936" spans="5:5">
      <c r="E2936" s="7"/>
    </row>
    <row r="2937" spans="5:5">
      <c r="E2937" s="7"/>
    </row>
    <row r="2938" spans="5:5">
      <c r="E2938" s="7"/>
    </row>
    <row r="2939" spans="5:5">
      <c r="E2939" s="7"/>
    </row>
    <row r="2940" spans="5:5">
      <c r="E2940" s="7"/>
    </row>
    <row r="2941" spans="5:5">
      <c r="E2941" s="7"/>
    </row>
    <row r="2942" spans="5:5">
      <c r="E2942" s="7"/>
    </row>
    <row r="2943" spans="5:5">
      <c r="E2943" s="7"/>
    </row>
    <row r="2944" spans="5:5">
      <c r="E2944" s="7"/>
    </row>
    <row r="2945" spans="5:5">
      <c r="E2945" s="7"/>
    </row>
    <row r="2946" spans="5:5">
      <c r="E2946" s="7"/>
    </row>
    <row r="2947" spans="5:5">
      <c r="E2947" s="7"/>
    </row>
    <row r="2948" spans="5:5">
      <c r="E2948" s="7"/>
    </row>
    <row r="2949" spans="5:5">
      <c r="E2949" s="7"/>
    </row>
    <row r="2950" spans="5:5">
      <c r="E2950" s="7"/>
    </row>
    <row r="2951" spans="5:5">
      <c r="E2951" s="7"/>
    </row>
    <row r="2952" spans="5:5">
      <c r="E2952" s="7"/>
    </row>
    <row r="2953" spans="5:5">
      <c r="E2953" s="7"/>
    </row>
    <row r="2954" spans="5:5">
      <c r="E2954" s="7"/>
    </row>
    <row r="2955" spans="5:5">
      <c r="E2955" s="7"/>
    </row>
    <row r="2956" spans="5:5">
      <c r="E2956" s="7"/>
    </row>
    <row r="2957" spans="5:5">
      <c r="E2957" s="7"/>
    </row>
    <row r="2958" spans="5:5">
      <c r="E2958" s="7"/>
    </row>
    <row r="2959" spans="5:5">
      <c r="E2959" s="7"/>
    </row>
    <row r="2960" spans="5:5">
      <c r="E2960" s="7"/>
    </row>
    <row r="2961" spans="5:5">
      <c r="E2961" s="7"/>
    </row>
    <row r="2962" spans="5:5">
      <c r="E2962" s="7"/>
    </row>
    <row r="2963" spans="5:5">
      <c r="E2963" s="7"/>
    </row>
    <row r="2964" spans="5:5">
      <c r="E2964" s="7"/>
    </row>
    <row r="2965" spans="5:5">
      <c r="E2965" s="7"/>
    </row>
    <row r="2966" spans="5:5">
      <c r="E2966" s="7"/>
    </row>
    <row r="2967" spans="5:5">
      <c r="E2967" s="7"/>
    </row>
    <row r="2968" spans="5:5">
      <c r="E2968" s="7"/>
    </row>
    <row r="2969" spans="5:5">
      <c r="E2969" s="7"/>
    </row>
    <row r="2970" spans="5:5">
      <c r="E2970" s="7"/>
    </row>
    <row r="2971" spans="5:5">
      <c r="E2971" s="7"/>
    </row>
    <row r="2972" spans="5:5">
      <c r="E2972" s="7"/>
    </row>
    <row r="2973" spans="5:5">
      <c r="E2973" s="7"/>
    </row>
    <row r="2974" spans="5:5">
      <c r="E2974" s="7"/>
    </row>
    <row r="2975" spans="5:5">
      <c r="E2975" s="7"/>
    </row>
    <row r="2976" spans="5:5">
      <c r="E2976" s="7"/>
    </row>
    <row r="2977" spans="5:5">
      <c r="E2977" s="7"/>
    </row>
    <row r="2978" spans="5:5">
      <c r="E2978" s="7"/>
    </row>
    <row r="2979" spans="5:5">
      <c r="E2979" s="7"/>
    </row>
    <row r="2980" spans="5:5">
      <c r="E2980" s="7"/>
    </row>
    <row r="2981" spans="5:5">
      <c r="E2981" s="7"/>
    </row>
    <row r="2982" spans="5:5">
      <c r="E2982" s="7"/>
    </row>
    <row r="2983" spans="5:5">
      <c r="E2983" s="7"/>
    </row>
    <row r="2984" spans="5:5">
      <c r="E2984" s="7"/>
    </row>
    <row r="2985" spans="5:5">
      <c r="E2985" s="7"/>
    </row>
    <row r="2986" spans="5:5">
      <c r="E2986" s="7"/>
    </row>
    <row r="2987" spans="5:5">
      <c r="E2987" s="7"/>
    </row>
    <row r="2988" spans="5:5">
      <c r="E2988" s="7"/>
    </row>
    <row r="2989" spans="5:5">
      <c r="E2989" s="7"/>
    </row>
    <row r="2990" spans="5:5">
      <c r="E2990" s="7"/>
    </row>
    <row r="2991" spans="5:5">
      <c r="E2991" s="7"/>
    </row>
    <row r="2992" spans="5:5">
      <c r="E2992" s="7"/>
    </row>
    <row r="2993" spans="5:5">
      <c r="E2993" s="7"/>
    </row>
    <row r="2994" spans="5:5">
      <c r="E2994" s="7"/>
    </row>
    <row r="2995" spans="5:5">
      <c r="E2995" s="7"/>
    </row>
    <row r="2996" spans="5:5">
      <c r="E2996" s="7"/>
    </row>
    <row r="2997" spans="5:5">
      <c r="E2997" s="7"/>
    </row>
    <row r="2998" spans="5:5">
      <c r="E2998" s="7"/>
    </row>
    <row r="2999" spans="5:5">
      <c r="E2999" s="7"/>
    </row>
    <row r="3000" spans="5:5">
      <c r="E3000" s="7"/>
    </row>
    <row r="3001" spans="5:5">
      <c r="E3001" s="7"/>
    </row>
    <row r="3002" spans="5:5">
      <c r="E3002" s="7"/>
    </row>
    <row r="3003" spans="5:5">
      <c r="E3003" s="7"/>
    </row>
    <row r="3004" spans="5:5">
      <c r="E3004" s="7"/>
    </row>
    <row r="3005" spans="5:5">
      <c r="E3005" s="7"/>
    </row>
    <row r="3006" spans="5:5">
      <c r="E3006" s="7"/>
    </row>
    <row r="3007" spans="5:5">
      <c r="E3007" s="7"/>
    </row>
    <row r="3008" spans="5:5">
      <c r="E3008" s="7"/>
    </row>
    <row r="3009" spans="5:5">
      <c r="E3009" s="7"/>
    </row>
    <row r="3010" spans="5:5">
      <c r="E3010" s="7"/>
    </row>
    <row r="3011" spans="5:5">
      <c r="E3011" s="7"/>
    </row>
    <row r="3012" spans="5:5">
      <c r="E3012" s="7"/>
    </row>
    <row r="3013" spans="5:5">
      <c r="E3013" s="7"/>
    </row>
    <row r="3014" spans="5:5">
      <c r="E3014" s="7"/>
    </row>
    <row r="3015" spans="5:5">
      <c r="E3015" s="7"/>
    </row>
    <row r="3016" spans="5:5">
      <c r="E3016" s="7"/>
    </row>
    <row r="3017" spans="5:5">
      <c r="E3017" s="7"/>
    </row>
    <row r="3018" spans="5:5">
      <c r="E3018" s="7"/>
    </row>
    <row r="3019" spans="5:5">
      <c r="E3019" s="7"/>
    </row>
    <row r="3020" spans="5:5">
      <c r="E3020" s="7"/>
    </row>
    <row r="3021" spans="5:5">
      <c r="E3021" s="7"/>
    </row>
    <row r="3022" spans="5:5">
      <c r="E3022" s="7"/>
    </row>
    <row r="3023" spans="5:5">
      <c r="E3023" s="7"/>
    </row>
    <row r="3024" spans="5:5">
      <c r="E3024" s="7"/>
    </row>
    <row r="3025" spans="5:5">
      <c r="E3025" s="7"/>
    </row>
    <row r="3026" spans="5:5">
      <c r="E3026" s="7"/>
    </row>
    <row r="3027" spans="5:5">
      <c r="E3027" s="7"/>
    </row>
    <row r="3028" spans="5:5">
      <c r="E3028" s="7"/>
    </row>
    <row r="3029" spans="5:5">
      <c r="E3029" s="7"/>
    </row>
    <row r="3030" spans="5:5">
      <c r="E3030" s="7"/>
    </row>
    <row r="3031" spans="5:5">
      <c r="E3031" s="7"/>
    </row>
    <row r="3032" spans="5:5">
      <c r="E3032" s="7"/>
    </row>
    <row r="3033" spans="5:5">
      <c r="E3033" s="7"/>
    </row>
    <row r="3034" spans="5:5">
      <c r="E3034" s="7"/>
    </row>
    <row r="3035" spans="5:5">
      <c r="E3035" s="7"/>
    </row>
    <row r="3036" spans="5:5">
      <c r="E3036" s="7"/>
    </row>
    <row r="3037" spans="5:5">
      <c r="E3037" s="7"/>
    </row>
    <row r="3038" spans="5:5">
      <c r="E3038" s="7"/>
    </row>
    <row r="3039" spans="5:5">
      <c r="E3039" s="7"/>
    </row>
    <row r="3040" spans="5:5">
      <c r="E3040" s="7"/>
    </row>
    <row r="3041" spans="5:5">
      <c r="E3041" s="7"/>
    </row>
    <row r="3042" spans="5:5">
      <c r="E3042" s="7"/>
    </row>
    <row r="3043" spans="5:5">
      <c r="E3043" s="7"/>
    </row>
    <row r="3044" spans="5:5">
      <c r="E3044" s="7"/>
    </row>
    <row r="3045" spans="5:5">
      <c r="E3045" s="7"/>
    </row>
    <row r="3046" spans="5:5">
      <c r="E3046" s="7"/>
    </row>
    <row r="3047" spans="5:5">
      <c r="E3047" s="7"/>
    </row>
    <row r="3048" spans="5:5">
      <c r="E3048" s="7"/>
    </row>
    <row r="3049" spans="5:5">
      <c r="E3049" s="7"/>
    </row>
    <row r="3050" spans="5:5">
      <c r="E3050" s="7"/>
    </row>
    <row r="3051" spans="5:5">
      <c r="E3051" s="7"/>
    </row>
    <row r="3052" spans="5:5">
      <c r="E3052" s="7"/>
    </row>
    <row r="3053" spans="5:5">
      <c r="E3053" s="7"/>
    </row>
    <row r="3054" spans="5:5">
      <c r="E3054" s="7"/>
    </row>
    <row r="3055" spans="5:5">
      <c r="E3055" s="7"/>
    </row>
    <row r="3056" spans="5:5">
      <c r="E3056" s="7"/>
    </row>
    <row r="3057" spans="5:5">
      <c r="E3057" s="7"/>
    </row>
    <row r="3058" spans="5:5">
      <c r="E3058" s="7"/>
    </row>
    <row r="3059" spans="5:5">
      <c r="E3059" s="7"/>
    </row>
    <row r="3060" spans="5:5">
      <c r="E3060" s="7"/>
    </row>
    <row r="3061" spans="5:5">
      <c r="E3061" s="7"/>
    </row>
    <row r="3062" spans="5:5">
      <c r="E3062" s="7"/>
    </row>
    <row r="3063" spans="5:5">
      <c r="E3063" s="7"/>
    </row>
    <row r="3064" spans="5:5">
      <c r="E3064" s="7"/>
    </row>
    <row r="3065" spans="5:5">
      <c r="E3065" s="7"/>
    </row>
    <row r="3066" spans="5:5">
      <c r="E3066" s="7"/>
    </row>
    <row r="3067" spans="5:5">
      <c r="E3067" s="7"/>
    </row>
    <row r="3068" spans="5:5">
      <c r="E3068" s="7"/>
    </row>
    <row r="3069" spans="5:5">
      <c r="E3069" s="7"/>
    </row>
    <row r="3070" spans="5:5">
      <c r="E3070" s="7"/>
    </row>
    <row r="3071" spans="5:5">
      <c r="E3071" s="7"/>
    </row>
    <row r="3072" spans="5:5">
      <c r="E3072" s="7"/>
    </row>
    <row r="3073" spans="5:5">
      <c r="E3073" s="7"/>
    </row>
    <row r="3074" spans="5:5">
      <c r="E3074" s="7"/>
    </row>
    <row r="3075" spans="5:5">
      <c r="E3075" s="7"/>
    </row>
    <row r="3076" spans="5:5">
      <c r="E3076" s="7"/>
    </row>
    <row r="3077" spans="5:5">
      <c r="E3077" s="7"/>
    </row>
    <row r="3078" spans="5:5">
      <c r="E3078" s="7"/>
    </row>
    <row r="3079" spans="5:5">
      <c r="E3079" s="7"/>
    </row>
    <row r="3080" spans="5:5">
      <c r="E3080" s="7"/>
    </row>
    <row r="3081" spans="5:5">
      <c r="E3081" s="7"/>
    </row>
    <row r="3082" spans="5:5">
      <c r="E3082" s="7"/>
    </row>
    <row r="3083" spans="5:5">
      <c r="E3083" s="7"/>
    </row>
    <row r="3084" spans="5:5">
      <c r="E3084" s="7"/>
    </row>
    <row r="3085" spans="5:5">
      <c r="E3085" s="7"/>
    </row>
    <row r="3086" spans="5:5">
      <c r="E3086" s="7"/>
    </row>
    <row r="3087" spans="5:5">
      <c r="E3087" s="7"/>
    </row>
    <row r="3088" spans="5:5">
      <c r="E3088" s="7"/>
    </row>
    <row r="3089" spans="5:5">
      <c r="E3089" s="7"/>
    </row>
    <row r="3090" spans="5:5">
      <c r="E3090" s="7"/>
    </row>
    <row r="3091" spans="5:5">
      <c r="E3091" s="7"/>
    </row>
    <row r="3092" spans="5:5">
      <c r="E3092" s="7"/>
    </row>
    <row r="3093" spans="5:5">
      <c r="E3093" s="7"/>
    </row>
    <row r="3094" spans="5:5">
      <c r="E3094" s="7"/>
    </row>
    <row r="3095" spans="5:5">
      <c r="E3095" s="7"/>
    </row>
    <row r="3096" spans="5:5">
      <c r="E3096" s="7"/>
    </row>
    <row r="3097" spans="5:5">
      <c r="E3097" s="7"/>
    </row>
    <row r="3098" spans="5:5">
      <c r="E3098" s="7"/>
    </row>
    <row r="3099" spans="5:5">
      <c r="E3099" s="7"/>
    </row>
    <row r="3100" spans="5:5">
      <c r="E3100" s="7"/>
    </row>
    <row r="3101" spans="5:5">
      <c r="E3101" s="7"/>
    </row>
    <row r="3102" spans="5:5">
      <c r="E3102" s="7"/>
    </row>
    <row r="3103" spans="5:5">
      <c r="E3103" s="7"/>
    </row>
    <row r="3104" spans="5:5">
      <c r="E3104" s="7"/>
    </row>
    <row r="3105" spans="5:5">
      <c r="E3105" s="7"/>
    </row>
    <row r="3106" spans="5:5">
      <c r="E3106" s="7"/>
    </row>
    <row r="3107" spans="5:5">
      <c r="E3107" s="7"/>
    </row>
    <row r="3108" spans="5:5">
      <c r="E3108" s="7"/>
    </row>
    <row r="3109" spans="5:5">
      <c r="E3109" s="7"/>
    </row>
    <row r="3110" spans="5:5">
      <c r="E3110" s="7"/>
    </row>
    <row r="3111" spans="5:5">
      <c r="E3111" s="7"/>
    </row>
    <row r="3112" spans="5:5">
      <c r="E3112" s="7"/>
    </row>
    <row r="3113" spans="5:5">
      <c r="E3113" s="7"/>
    </row>
    <row r="3114" spans="5:5">
      <c r="E3114" s="7"/>
    </row>
    <row r="3115" spans="5:5">
      <c r="E3115" s="7"/>
    </row>
    <row r="3116" spans="5:5">
      <c r="E3116" s="7"/>
    </row>
    <row r="3117" spans="5:5">
      <c r="E3117" s="7"/>
    </row>
    <row r="3118" spans="5:5">
      <c r="E3118" s="7"/>
    </row>
    <row r="3119" spans="5:5">
      <c r="E3119" s="7"/>
    </row>
    <row r="3120" spans="5:5">
      <c r="E3120" s="7"/>
    </row>
    <row r="3121" spans="5:5">
      <c r="E3121" s="7"/>
    </row>
    <row r="3122" spans="5:5">
      <c r="E3122" s="7"/>
    </row>
    <row r="3123" spans="5:5">
      <c r="E3123" s="7"/>
    </row>
    <row r="3124" spans="5:5">
      <c r="E3124" s="7"/>
    </row>
    <row r="3125" spans="5:5">
      <c r="E3125" s="7"/>
    </row>
    <row r="3126" spans="5:5">
      <c r="E3126" s="7"/>
    </row>
    <row r="3127" spans="5:5">
      <c r="E3127" s="7"/>
    </row>
    <row r="3128" spans="5:5">
      <c r="E3128" s="7"/>
    </row>
    <row r="3129" spans="5:5">
      <c r="E3129" s="7"/>
    </row>
    <row r="3130" spans="5:5">
      <c r="E3130" s="7"/>
    </row>
    <row r="3131" spans="5:5">
      <c r="E3131" s="7"/>
    </row>
    <row r="3132" spans="5:5">
      <c r="E3132" s="7"/>
    </row>
    <row r="3133" spans="5:5">
      <c r="E3133" s="7"/>
    </row>
    <row r="3134" spans="5:5">
      <c r="E3134" s="7"/>
    </row>
    <row r="3135" spans="5:5">
      <c r="E3135" s="7"/>
    </row>
    <row r="3136" spans="5:5">
      <c r="E3136" s="7"/>
    </row>
    <row r="3137" spans="5:5">
      <c r="E3137" s="7"/>
    </row>
    <row r="3138" spans="5:5">
      <c r="E3138" s="7"/>
    </row>
    <row r="3139" spans="5:5">
      <c r="E3139" s="7"/>
    </row>
    <row r="3140" spans="5:5">
      <c r="E3140" s="7"/>
    </row>
    <row r="3141" spans="5:5">
      <c r="E3141" s="7"/>
    </row>
    <row r="3142" spans="5:5">
      <c r="E3142" s="7"/>
    </row>
    <row r="3143" spans="5:5">
      <c r="E3143" s="7"/>
    </row>
    <row r="3144" spans="5:5">
      <c r="E3144" s="7"/>
    </row>
    <row r="3145" spans="5:5">
      <c r="E3145" s="7"/>
    </row>
    <row r="3146" spans="5:5">
      <c r="E3146" s="7"/>
    </row>
    <row r="3147" spans="5:5">
      <c r="E3147" s="7"/>
    </row>
    <row r="3148" spans="5:5">
      <c r="E3148" s="7"/>
    </row>
    <row r="3149" spans="5:5">
      <c r="E3149" s="7"/>
    </row>
    <row r="3150" spans="5:5">
      <c r="E3150" s="7"/>
    </row>
    <row r="3151" spans="5:5">
      <c r="E3151" s="7"/>
    </row>
    <row r="3152" spans="5:5">
      <c r="E3152" s="7"/>
    </row>
    <row r="3153" spans="5:5">
      <c r="E3153" s="7"/>
    </row>
    <row r="3154" spans="5:5">
      <c r="E3154" s="7"/>
    </row>
    <row r="3155" spans="5:5">
      <c r="E3155" s="7"/>
    </row>
    <row r="3156" spans="5:5">
      <c r="E3156" s="7"/>
    </row>
    <row r="3157" spans="5:5">
      <c r="E3157" s="7"/>
    </row>
    <row r="3158" spans="5:5">
      <c r="E3158" s="7"/>
    </row>
    <row r="3159" spans="5:5">
      <c r="E3159" s="7"/>
    </row>
    <row r="3160" spans="5:5">
      <c r="E3160" s="7"/>
    </row>
    <row r="3161" spans="5:5">
      <c r="E3161" s="7"/>
    </row>
    <row r="3162" spans="5:5">
      <c r="E3162" s="7"/>
    </row>
    <row r="3163" spans="5:5">
      <c r="E3163" s="7"/>
    </row>
    <row r="3164" spans="5:5">
      <c r="E3164" s="7"/>
    </row>
    <row r="3165" spans="5:5">
      <c r="E3165" s="7"/>
    </row>
    <row r="3166" spans="5:5">
      <c r="E3166" s="7"/>
    </row>
    <row r="3167" spans="5:5">
      <c r="E3167" s="7"/>
    </row>
    <row r="3168" spans="5:5">
      <c r="E3168" s="7"/>
    </row>
    <row r="3169" spans="5:5">
      <c r="E3169" s="7"/>
    </row>
    <row r="3170" spans="5:5">
      <c r="E3170" s="7"/>
    </row>
    <row r="3171" spans="5:5">
      <c r="E3171" s="7"/>
    </row>
    <row r="3172" spans="5:5">
      <c r="E3172" s="7"/>
    </row>
    <row r="3173" spans="5:5">
      <c r="E3173" s="7"/>
    </row>
    <row r="3174" spans="5:5">
      <c r="E3174" s="7"/>
    </row>
    <row r="3175" spans="5:5">
      <c r="E3175" s="7"/>
    </row>
    <row r="3176" spans="5:5">
      <c r="E3176" s="7"/>
    </row>
    <row r="3177" spans="5:5">
      <c r="E3177" s="7"/>
    </row>
    <row r="3178" spans="5:5">
      <c r="E3178" s="7"/>
    </row>
    <row r="3179" spans="5:5">
      <c r="E3179" s="7"/>
    </row>
    <row r="3180" spans="5:5">
      <c r="E3180" s="7"/>
    </row>
    <row r="3181" spans="5:5">
      <c r="E3181" s="7"/>
    </row>
    <row r="3182" spans="5:5">
      <c r="E3182" s="7"/>
    </row>
    <row r="3183" spans="5:5">
      <c r="E3183" s="7"/>
    </row>
    <row r="3184" spans="5:5">
      <c r="E3184" s="7"/>
    </row>
    <row r="3185" spans="5:5">
      <c r="E3185" s="7"/>
    </row>
    <row r="3186" spans="5:5">
      <c r="E3186" s="7"/>
    </row>
    <row r="3187" spans="5:5">
      <c r="E3187" s="7"/>
    </row>
    <row r="3188" spans="5:5">
      <c r="E3188" s="7"/>
    </row>
    <row r="3189" spans="5:5">
      <c r="E3189" s="7"/>
    </row>
    <row r="3190" spans="5:5">
      <c r="E3190" s="7"/>
    </row>
    <row r="3191" spans="5:5">
      <c r="E3191" s="7"/>
    </row>
    <row r="3192" spans="5:5">
      <c r="E3192" s="7"/>
    </row>
    <row r="3193" spans="5:5">
      <c r="E3193" s="7"/>
    </row>
    <row r="3194" spans="5:5">
      <c r="E3194" s="7"/>
    </row>
    <row r="3195" spans="5:5">
      <c r="E3195" s="7"/>
    </row>
    <row r="3196" spans="5:5">
      <c r="E3196" s="7"/>
    </row>
    <row r="3197" spans="5:5">
      <c r="E3197" s="7"/>
    </row>
    <row r="3198" spans="5:5">
      <c r="E3198" s="7"/>
    </row>
    <row r="3199" spans="5:5">
      <c r="E3199" s="7"/>
    </row>
    <row r="3200" spans="5:5">
      <c r="E3200" s="7"/>
    </row>
    <row r="3201" spans="5:5">
      <c r="E3201" s="7"/>
    </row>
    <row r="3202" spans="5:5">
      <c r="E3202" s="7"/>
    </row>
    <row r="3203" spans="5:5">
      <c r="E3203" s="7"/>
    </row>
    <row r="3204" spans="5:5">
      <c r="E3204" s="7"/>
    </row>
    <row r="3205" spans="5:5">
      <c r="E3205" s="7"/>
    </row>
    <row r="3206" spans="5:5">
      <c r="E3206" s="7"/>
    </row>
    <row r="3207" spans="5:5">
      <c r="E3207" s="7"/>
    </row>
    <row r="3208" spans="5:5">
      <c r="E3208" s="7"/>
    </row>
    <row r="3209" spans="5:5">
      <c r="E3209" s="7"/>
    </row>
    <row r="3210" spans="5:5">
      <c r="E3210" s="7"/>
    </row>
    <row r="3211" spans="5:5">
      <c r="E3211" s="7"/>
    </row>
    <row r="3212" spans="5:5">
      <c r="E3212" s="7"/>
    </row>
    <row r="3213" spans="5:5">
      <c r="E3213" s="7"/>
    </row>
    <row r="3214" spans="5:5">
      <c r="E3214" s="7"/>
    </row>
    <row r="3215" spans="5:5">
      <c r="E3215" s="7"/>
    </row>
    <row r="3216" spans="5:5">
      <c r="E3216" s="7"/>
    </row>
    <row r="3217" spans="5:5">
      <c r="E3217" s="7"/>
    </row>
    <row r="3218" spans="5:5">
      <c r="E3218" s="7"/>
    </row>
    <row r="3219" spans="5:5">
      <c r="E3219" s="7"/>
    </row>
    <row r="3220" spans="5:5">
      <c r="E3220" s="7"/>
    </row>
    <row r="3221" spans="5:5">
      <c r="E3221" s="7"/>
    </row>
    <row r="3222" spans="5:5">
      <c r="E3222" s="7"/>
    </row>
    <row r="3223" spans="5:5">
      <c r="E3223" s="7"/>
    </row>
    <row r="3224" spans="5:5">
      <c r="E3224" s="7"/>
    </row>
    <row r="3225" spans="5:5">
      <c r="E3225" s="7"/>
    </row>
    <row r="3226" spans="5:5">
      <c r="E3226" s="7"/>
    </row>
    <row r="3227" spans="5:5">
      <c r="E3227" s="7"/>
    </row>
    <row r="3228" spans="5:5">
      <c r="E3228" s="7"/>
    </row>
    <row r="3229" spans="5:5">
      <c r="E3229" s="7"/>
    </row>
    <row r="3230" spans="5:5">
      <c r="E3230" s="7"/>
    </row>
    <row r="3231" spans="5:5">
      <c r="E3231" s="7"/>
    </row>
    <row r="3232" spans="5:5">
      <c r="E3232" s="7"/>
    </row>
    <row r="3233" spans="5:5">
      <c r="E3233" s="7"/>
    </row>
    <row r="3234" spans="5:5">
      <c r="E3234" s="7"/>
    </row>
    <row r="3235" spans="5:5">
      <c r="E3235" s="7"/>
    </row>
    <row r="3236" spans="5:5">
      <c r="E3236" s="7"/>
    </row>
    <row r="3237" spans="5:5">
      <c r="E3237" s="7"/>
    </row>
    <row r="3238" spans="5:5">
      <c r="E3238" s="7"/>
    </row>
    <row r="3239" spans="5:5">
      <c r="E3239" s="7"/>
    </row>
    <row r="3240" spans="5:5">
      <c r="E3240" s="7"/>
    </row>
    <row r="3241" spans="5:5">
      <c r="E3241" s="7"/>
    </row>
    <row r="3242" spans="5:5">
      <c r="E3242" s="7"/>
    </row>
    <row r="3243" spans="5:5">
      <c r="E3243" s="7"/>
    </row>
    <row r="3244" spans="5:5">
      <c r="E3244" s="7"/>
    </row>
    <row r="3245" spans="5:5">
      <c r="E3245" s="7"/>
    </row>
    <row r="3246" spans="5:5">
      <c r="E3246" s="7"/>
    </row>
    <row r="3247" spans="5:5">
      <c r="E3247" s="7"/>
    </row>
    <row r="3248" spans="5:5">
      <c r="E3248" s="7"/>
    </row>
    <row r="3249" spans="5:5">
      <c r="E3249" s="7"/>
    </row>
    <row r="3250" spans="5:5">
      <c r="E3250" s="7"/>
    </row>
    <row r="3251" spans="5:5">
      <c r="E3251" s="7"/>
    </row>
    <row r="3252" spans="5:5">
      <c r="E3252" s="7"/>
    </row>
    <row r="3253" spans="5:5">
      <c r="E3253" s="7"/>
    </row>
    <row r="3254" spans="5:5">
      <c r="E3254" s="7"/>
    </row>
    <row r="3255" spans="5:5">
      <c r="E3255" s="7"/>
    </row>
    <row r="3256" spans="5:5">
      <c r="E3256" s="7"/>
    </row>
    <row r="3257" spans="5:5">
      <c r="E3257" s="7"/>
    </row>
    <row r="3258" spans="5:5">
      <c r="E3258" s="7"/>
    </row>
    <row r="3259" spans="5:5">
      <c r="E3259" s="7"/>
    </row>
    <row r="3260" spans="5:5">
      <c r="E3260" s="7"/>
    </row>
    <row r="3261" spans="5:5">
      <c r="E3261" s="7"/>
    </row>
    <row r="3262" spans="5:5">
      <c r="E3262" s="7"/>
    </row>
    <row r="3263" spans="5:5">
      <c r="E3263" s="7"/>
    </row>
    <row r="3264" spans="5:5">
      <c r="E3264" s="7"/>
    </row>
    <row r="3265" spans="5:5">
      <c r="E3265" s="7"/>
    </row>
    <row r="3266" spans="5:5">
      <c r="E3266" s="7"/>
    </row>
    <row r="3267" spans="5:5">
      <c r="E3267" s="7"/>
    </row>
    <row r="3268" spans="5:5">
      <c r="E3268" s="7"/>
    </row>
    <row r="3269" spans="5:5">
      <c r="E3269" s="7"/>
    </row>
    <row r="3270" spans="5:5">
      <c r="E3270" s="7"/>
    </row>
    <row r="3271" spans="5:5">
      <c r="E3271" s="7"/>
    </row>
    <row r="3272" spans="5:5">
      <c r="E3272" s="7"/>
    </row>
    <row r="3273" spans="5:5">
      <c r="E3273" s="7"/>
    </row>
    <row r="3274" spans="5:5">
      <c r="E3274" s="7"/>
    </row>
    <row r="3275" spans="5:5">
      <c r="E3275" s="7"/>
    </row>
    <row r="3276" spans="5:5">
      <c r="E3276" s="7"/>
    </row>
    <row r="3277" spans="5:5">
      <c r="E3277" s="7"/>
    </row>
    <row r="3278" spans="5:5">
      <c r="E3278" s="7"/>
    </row>
    <row r="3279" spans="5:5">
      <c r="E3279" s="7"/>
    </row>
    <row r="3280" spans="5:5">
      <c r="E3280" s="7"/>
    </row>
    <row r="3281" spans="5:5">
      <c r="E3281" s="7"/>
    </row>
    <row r="3282" spans="5:5">
      <c r="E3282" s="7"/>
    </row>
    <row r="3283" spans="5:5">
      <c r="E3283" s="7"/>
    </row>
    <row r="3284" spans="5:5">
      <c r="E3284" s="7"/>
    </row>
    <row r="3285" spans="5:5">
      <c r="E3285" s="7"/>
    </row>
    <row r="3286" spans="5:5">
      <c r="E3286" s="7"/>
    </row>
    <row r="3287" spans="5:5">
      <c r="E3287" s="7"/>
    </row>
    <row r="3288" spans="5:5">
      <c r="E3288" s="7"/>
    </row>
    <row r="3289" spans="5:5">
      <c r="E3289" s="7"/>
    </row>
    <row r="3290" spans="5:5">
      <c r="E3290" s="7"/>
    </row>
    <row r="3291" spans="5:5">
      <c r="E3291" s="7"/>
    </row>
    <row r="3292" spans="5:5">
      <c r="E3292" s="7"/>
    </row>
    <row r="3293" spans="5:5">
      <c r="E3293" s="7"/>
    </row>
    <row r="3294" spans="5:5">
      <c r="E3294" s="7"/>
    </row>
    <row r="3295" spans="5:5">
      <c r="E3295" s="7"/>
    </row>
    <row r="3296" spans="5:5">
      <c r="E3296" s="7"/>
    </row>
    <row r="3297" spans="5:5">
      <c r="E3297" s="7"/>
    </row>
    <row r="3298" spans="5:5">
      <c r="E3298" s="7"/>
    </row>
    <row r="3299" spans="5:5">
      <c r="E3299" s="7"/>
    </row>
    <row r="3300" spans="5:5">
      <c r="E3300" s="7"/>
    </row>
    <row r="3301" spans="5:5">
      <c r="E3301" s="7"/>
    </row>
    <row r="3302" spans="5:5">
      <c r="E3302" s="7"/>
    </row>
    <row r="3303" spans="5:5">
      <c r="E3303" s="7"/>
    </row>
    <row r="3304" spans="5:5">
      <c r="E3304" s="7"/>
    </row>
    <row r="3305" spans="5:5">
      <c r="E3305" s="7"/>
    </row>
    <row r="3306" spans="5:5">
      <c r="E3306" s="7"/>
    </row>
    <row r="3307" spans="5:5">
      <c r="E3307" s="7"/>
    </row>
    <row r="3308" spans="5:5">
      <c r="E3308" s="7"/>
    </row>
    <row r="3309" spans="5:5">
      <c r="E3309" s="7"/>
    </row>
    <row r="3310" spans="5:5">
      <c r="E3310" s="7"/>
    </row>
    <row r="3311" spans="5:5">
      <c r="E3311" s="7"/>
    </row>
    <row r="3312" spans="5:5">
      <c r="E3312" s="7"/>
    </row>
    <row r="3313" spans="5:5">
      <c r="E3313" s="7"/>
    </row>
    <row r="3314" spans="5:5">
      <c r="E3314" s="7"/>
    </row>
    <row r="3315" spans="5:5">
      <c r="E3315" s="7"/>
    </row>
    <row r="3316" spans="5:5">
      <c r="E3316" s="7"/>
    </row>
    <row r="3317" spans="5:5">
      <c r="E3317" s="7"/>
    </row>
    <row r="3318" spans="5:5">
      <c r="E3318" s="7"/>
    </row>
    <row r="3319" spans="5:5">
      <c r="E3319" s="7"/>
    </row>
    <row r="3320" spans="5:5">
      <c r="E3320" s="7"/>
    </row>
    <row r="3321" spans="5:5">
      <c r="E3321" s="7"/>
    </row>
    <row r="3322" spans="5:5">
      <c r="E3322" s="7"/>
    </row>
    <row r="3323" spans="5:5">
      <c r="E3323" s="7"/>
    </row>
    <row r="3324" spans="5:5">
      <c r="E3324" s="7"/>
    </row>
    <row r="3325" spans="5:5">
      <c r="E3325" s="7"/>
    </row>
    <row r="3326" spans="5:5">
      <c r="E3326" s="7"/>
    </row>
    <row r="3327" spans="5:5">
      <c r="E3327" s="7"/>
    </row>
    <row r="3328" spans="5:5">
      <c r="E3328" s="7"/>
    </row>
    <row r="3329" spans="5:5">
      <c r="E3329" s="7"/>
    </row>
    <row r="3330" spans="5:5">
      <c r="E3330" s="7"/>
    </row>
    <row r="3331" spans="5:5">
      <c r="E3331" s="7"/>
    </row>
    <row r="3332" spans="5:5">
      <c r="E3332" s="7"/>
    </row>
    <row r="3333" spans="5:5">
      <c r="E3333" s="7"/>
    </row>
    <row r="3334" spans="5:5">
      <c r="E3334" s="7"/>
    </row>
    <row r="3335" spans="5:5">
      <c r="E3335" s="7"/>
    </row>
    <row r="3336" spans="5:5">
      <c r="E3336" s="7"/>
    </row>
    <row r="3337" spans="5:5">
      <c r="E3337" s="7"/>
    </row>
    <row r="3338" spans="5:5">
      <c r="E3338" s="7"/>
    </row>
    <row r="3339" spans="5:5">
      <c r="E3339" s="7"/>
    </row>
    <row r="3340" spans="5:5">
      <c r="E3340" s="7"/>
    </row>
    <row r="3341" spans="5:5">
      <c r="E3341" s="7"/>
    </row>
    <row r="3342" spans="5:5">
      <c r="E3342" s="7"/>
    </row>
    <row r="3343" spans="5:5">
      <c r="E3343" s="7"/>
    </row>
    <row r="3344" spans="5:5">
      <c r="E3344" s="7"/>
    </row>
    <row r="3345" spans="5:5">
      <c r="E3345" s="7"/>
    </row>
    <row r="3346" spans="5:5">
      <c r="E3346" s="7"/>
    </row>
    <row r="3347" spans="5:5">
      <c r="E3347" s="7"/>
    </row>
    <row r="3348" spans="5:5">
      <c r="E3348" s="7"/>
    </row>
    <row r="3349" spans="5:5">
      <c r="E3349" s="7"/>
    </row>
    <row r="3350" spans="5:5">
      <c r="E3350" s="7"/>
    </row>
    <row r="3351" spans="5:5">
      <c r="E3351" s="7"/>
    </row>
    <row r="3352" spans="5:5">
      <c r="E3352" s="7"/>
    </row>
    <row r="3353" spans="5:5">
      <c r="E3353" s="7"/>
    </row>
    <row r="3354" spans="5:5">
      <c r="E3354" s="7"/>
    </row>
    <row r="3355" spans="5:5">
      <c r="E3355" s="7"/>
    </row>
    <row r="3356" spans="5:5">
      <c r="E3356" s="7"/>
    </row>
    <row r="3357" spans="5:5">
      <c r="E3357" s="7"/>
    </row>
    <row r="3358" spans="5:5">
      <c r="E3358" s="7"/>
    </row>
    <row r="3359" spans="5:5">
      <c r="E3359" s="7"/>
    </row>
    <row r="3360" spans="5:5">
      <c r="E3360" s="7"/>
    </row>
    <row r="3361" spans="5:5">
      <c r="E3361" s="7"/>
    </row>
    <row r="3362" spans="5:5">
      <c r="E3362" s="7"/>
    </row>
    <row r="3363" spans="5:5">
      <c r="E3363" s="7"/>
    </row>
    <row r="3364" spans="5:5">
      <c r="E3364" s="7"/>
    </row>
    <row r="3365" spans="5:5">
      <c r="E3365" s="7"/>
    </row>
    <row r="3366" spans="5:5">
      <c r="E3366" s="7"/>
    </row>
    <row r="3367" spans="5:5">
      <c r="E3367" s="7"/>
    </row>
    <row r="3368" spans="5:5">
      <c r="E3368" s="7"/>
    </row>
    <row r="3369" spans="5:5">
      <c r="E3369" s="7"/>
    </row>
    <row r="3370" spans="5:5">
      <c r="E3370" s="7"/>
    </row>
    <row r="3371" spans="5:5">
      <c r="E3371" s="7"/>
    </row>
    <row r="3372" spans="5:5">
      <c r="E3372" s="7"/>
    </row>
    <row r="3373" spans="5:5">
      <c r="E3373" s="7"/>
    </row>
    <row r="3374" spans="5:5">
      <c r="E3374" s="7"/>
    </row>
    <row r="3375" spans="5:5">
      <c r="E3375" s="7"/>
    </row>
    <row r="3376" spans="5:5">
      <c r="E3376" s="7"/>
    </row>
    <row r="3377" spans="5:5">
      <c r="E3377" s="7"/>
    </row>
    <row r="3378" spans="5:5">
      <c r="E3378" s="7"/>
    </row>
    <row r="3379" spans="5:5">
      <c r="E3379" s="7"/>
    </row>
    <row r="3380" spans="5:5">
      <c r="E3380" s="7"/>
    </row>
    <row r="3381" spans="5:5">
      <c r="E3381" s="7"/>
    </row>
    <row r="3382" spans="5:5">
      <c r="E3382" s="7"/>
    </row>
    <row r="3383" spans="5:5">
      <c r="E3383" s="7"/>
    </row>
    <row r="3384" spans="5:5">
      <c r="E3384" s="7"/>
    </row>
    <row r="3385" spans="5:5">
      <c r="E3385" s="7"/>
    </row>
    <row r="3386" spans="5:5">
      <c r="E3386" s="7"/>
    </row>
    <row r="3387" spans="5:5">
      <c r="E3387" s="7"/>
    </row>
    <row r="3388" spans="5:5">
      <c r="E3388" s="7"/>
    </row>
    <row r="3389" spans="5:5">
      <c r="E3389" s="7"/>
    </row>
    <row r="3390" spans="5:5">
      <c r="E3390" s="7"/>
    </row>
    <row r="3391" spans="5:5">
      <c r="E3391" s="7"/>
    </row>
    <row r="3392" spans="5:5">
      <c r="E3392" s="7"/>
    </row>
    <row r="3393" spans="5:5">
      <c r="E3393" s="7"/>
    </row>
    <row r="3394" spans="5:5">
      <c r="E3394" s="7"/>
    </row>
  </sheetData>
  <mergeCells count="22">
    <mergeCell ref="C11:F11"/>
    <mergeCell ref="C13:F13"/>
    <mergeCell ref="C2:F2"/>
    <mergeCell ref="C3:F3"/>
    <mergeCell ref="C10:F10"/>
    <mergeCell ref="C5:F5"/>
    <mergeCell ref="C7:F7"/>
    <mergeCell ref="C6:F6"/>
    <mergeCell ref="C8:F8"/>
    <mergeCell ref="C4:F4"/>
    <mergeCell ref="C27:F27"/>
    <mergeCell ref="C26:F26"/>
    <mergeCell ref="C19:F19"/>
    <mergeCell ref="C20:F20"/>
    <mergeCell ref="C12:F12"/>
    <mergeCell ref="C14:F14"/>
    <mergeCell ref="C15:F15"/>
    <mergeCell ref="C24:F24"/>
    <mergeCell ref="C18:F18"/>
    <mergeCell ref="C17:F17"/>
    <mergeCell ref="C16:F16"/>
    <mergeCell ref="C23:F23"/>
  </mergeCells>
  <phoneticPr fontId="174" type="noConversion"/>
  <pageMargins left="0.61" right="0.74803149606299213" top="0.98425196850393704" bottom="0.98425196850393704" header="0.51181102362204722" footer="0.51181102362204722"/>
  <pageSetup paperSize="9" scale="10" orientation="portrait" r:id="rId1"/>
  <headerFooter alignWithMargins="0">
    <oddFooter>&amp;L&amp;"Arial,Italic"&amp;8&amp;F&amp;C&amp;"Arial,Italic"&amp;8&amp;A&amp;R&amp;"Arial,Italic"&amp;8Page &amp;P/&amp;N</oddFooter>
  </headerFooter>
  <ignoredErrors>
    <ignoredError sqref="B2" unlocked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66FF33"/>
  </sheetPr>
  <dimension ref="A1:K42"/>
  <sheetViews>
    <sheetView workbookViewId="0">
      <selection activeCell="D13" sqref="D13"/>
    </sheetView>
  </sheetViews>
  <sheetFormatPr baseColWidth="10" defaultColWidth="11.453125" defaultRowHeight="12.5"/>
  <cols>
    <col min="1" max="1" width="2" style="60" customWidth="1"/>
    <col min="2" max="2" width="14.81640625" customWidth="1"/>
    <col min="3" max="3" width="2" style="60" customWidth="1"/>
    <col min="4" max="4" width="42.1796875" customWidth="1"/>
    <col min="5" max="5" width="16.7265625" customWidth="1"/>
    <col min="6" max="6" width="35.7265625" style="5" customWidth="1"/>
    <col min="7" max="7" width="4" style="5" customWidth="1"/>
    <col min="8" max="8" width="34" customWidth="1"/>
    <col min="9" max="9" width="16" customWidth="1"/>
    <col min="10" max="10" width="36.453125" customWidth="1"/>
  </cols>
  <sheetData>
    <row r="1" spans="1:11">
      <c r="A1" s="61"/>
      <c r="B1" s="62"/>
      <c r="C1" s="62"/>
      <c r="D1" s="62"/>
      <c r="E1" s="62"/>
      <c r="F1" s="63"/>
      <c r="G1" s="216"/>
      <c r="H1" s="207"/>
      <c r="I1" s="64"/>
    </row>
    <row r="2" spans="1:11" ht="23">
      <c r="A2" s="65"/>
      <c r="B2" s="209" t="s">
        <v>3</v>
      </c>
      <c r="C2" s="58"/>
      <c r="D2" s="209" t="s">
        <v>2</v>
      </c>
      <c r="E2" s="209" t="s">
        <v>1</v>
      </c>
      <c r="F2" s="209" t="s">
        <v>6</v>
      </c>
      <c r="G2" s="217"/>
      <c r="H2" s="207"/>
      <c r="I2" s="66"/>
    </row>
    <row r="3" spans="1:11">
      <c r="A3" s="65"/>
      <c r="B3" s="3"/>
      <c r="C3" s="58"/>
      <c r="D3" s="1"/>
      <c r="E3" s="59"/>
      <c r="F3" s="59"/>
      <c r="G3" s="207"/>
      <c r="H3" s="207"/>
      <c r="I3" s="67"/>
    </row>
    <row r="4" spans="1:11">
      <c r="A4" s="65"/>
      <c r="B4" s="210">
        <f>COUNTA(B5:B51)</f>
        <v>2</v>
      </c>
      <c r="C4" s="58"/>
      <c r="D4" s="213">
        <f>COUNTA(D5:D39)</f>
        <v>18</v>
      </c>
      <c r="E4" s="59"/>
      <c r="F4" s="59"/>
      <c r="G4" s="207"/>
      <c r="H4" s="213">
        <f>COUNTA(H5:H9)</f>
        <v>5</v>
      </c>
      <c r="I4" s="67"/>
    </row>
    <row r="5" spans="1:11">
      <c r="A5" s="65"/>
      <c r="B5" s="239" t="s">
        <v>5216</v>
      </c>
      <c r="C5" s="58"/>
      <c r="D5" s="198" t="s">
        <v>1510</v>
      </c>
      <c r="E5" s="238" t="s">
        <v>5216</v>
      </c>
      <c r="F5" s="57"/>
      <c r="G5" s="207"/>
      <c r="H5" s="214" t="s">
        <v>1233</v>
      </c>
      <c r="I5" s="67"/>
    </row>
    <row r="6" spans="1:11">
      <c r="A6" s="65"/>
      <c r="B6" s="239" t="s">
        <v>5215</v>
      </c>
      <c r="C6" s="58"/>
      <c r="D6" s="198" t="s">
        <v>1277</v>
      </c>
      <c r="E6" s="238" t="s">
        <v>5215</v>
      </c>
      <c r="F6" s="57"/>
      <c r="G6" s="207"/>
      <c r="H6" s="215" t="s">
        <v>1162</v>
      </c>
      <c r="I6" s="67"/>
    </row>
    <row r="7" spans="1:11">
      <c r="A7" s="65"/>
      <c r="B7" s="53"/>
      <c r="C7" s="58"/>
      <c r="D7" s="198" t="s">
        <v>786</v>
      </c>
      <c r="E7" s="238" t="s">
        <v>5216</v>
      </c>
      <c r="F7" s="57"/>
      <c r="G7" s="207"/>
      <c r="H7" s="215" t="s">
        <v>1470</v>
      </c>
      <c r="I7" s="67"/>
    </row>
    <row r="8" spans="1:11">
      <c r="A8" s="65"/>
      <c r="B8" s="53"/>
      <c r="C8" s="58"/>
      <c r="D8" s="198" t="s">
        <v>1421</v>
      </c>
      <c r="E8" s="238" t="s">
        <v>5216</v>
      </c>
      <c r="F8" s="57"/>
      <c r="G8" s="207"/>
      <c r="H8" s="215" t="s">
        <v>4442</v>
      </c>
      <c r="I8" s="67"/>
    </row>
    <row r="9" spans="1:11">
      <c r="A9" s="65"/>
      <c r="B9" s="206"/>
      <c r="C9" s="58"/>
      <c r="D9" s="198" t="s">
        <v>1336</v>
      </c>
      <c r="E9" s="238" t="s">
        <v>5216</v>
      </c>
      <c r="F9" s="116"/>
      <c r="G9" s="207"/>
      <c r="H9" s="215" t="s">
        <v>1402</v>
      </c>
      <c r="I9" s="67"/>
    </row>
    <row r="10" spans="1:11">
      <c r="A10" s="65"/>
      <c r="B10" s="53"/>
      <c r="C10" s="58"/>
      <c r="D10" s="198" t="s">
        <v>1288</v>
      </c>
      <c r="E10" s="238" t="s">
        <v>5216</v>
      </c>
      <c r="F10" s="57"/>
      <c r="G10" s="207"/>
      <c r="H10" s="215" t="s">
        <v>4637</v>
      </c>
      <c r="I10" s="67"/>
    </row>
    <row r="11" spans="1:11">
      <c r="A11" s="65"/>
      <c r="B11" s="55"/>
      <c r="C11" s="58"/>
      <c r="D11" s="198" t="s">
        <v>4608</v>
      </c>
      <c r="E11" s="238" t="s">
        <v>5216</v>
      </c>
      <c r="F11" s="57"/>
      <c r="G11" s="207"/>
      <c r="H11" s="207"/>
      <c r="I11" s="67"/>
    </row>
    <row r="12" spans="1:11">
      <c r="A12" s="65"/>
      <c r="B12" s="54"/>
      <c r="C12" s="58"/>
      <c r="D12" s="198" t="s">
        <v>4441</v>
      </c>
      <c r="E12" s="238" t="s">
        <v>5216</v>
      </c>
      <c r="F12" s="57"/>
      <c r="G12" s="207"/>
      <c r="H12" s="207"/>
      <c r="I12" s="67"/>
    </row>
    <row r="13" spans="1:11">
      <c r="A13" s="65"/>
      <c r="B13" s="54"/>
      <c r="C13" s="58"/>
      <c r="D13" s="198" t="s">
        <v>4638</v>
      </c>
      <c r="E13" s="238" t="s">
        <v>5216</v>
      </c>
      <c r="F13" s="57"/>
      <c r="G13" s="207"/>
      <c r="H13" s="207"/>
      <c r="I13" s="67"/>
    </row>
    <row r="14" spans="1:11" ht="13">
      <c r="A14" s="65"/>
      <c r="B14" s="53"/>
      <c r="C14" s="58"/>
      <c r="D14" s="198" t="s">
        <v>5217</v>
      </c>
      <c r="E14" s="238" t="s">
        <v>5215</v>
      </c>
      <c r="F14" s="57"/>
      <c r="G14" s="207"/>
      <c r="H14" s="207"/>
      <c r="I14" s="67"/>
      <c r="K14" s="240"/>
    </row>
    <row r="15" spans="1:11">
      <c r="A15" s="65"/>
      <c r="B15" s="56"/>
      <c r="C15" s="58"/>
      <c r="D15" s="198" t="s">
        <v>5278</v>
      </c>
      <c r="E15" s="238" t="s">
        <v>5215</v>
      </c>
      <c r="F15" s="57"/>
      <c r="G15" s="207"/>
      <c r="H15" s="207"/>
      <c r="I15" s="67"/>
    </row>
    <row r="16" spans="1:11">
      <c r="A16" s="65"/>
      <c r="B16" s="2"/>
      <c r="C16" s="58"/>
      <c r="D16" s="198" t="s">
        <v>5279</v>
      </c>
      <c r="E16" s="238" t="s">
        <v>5215</v>
      </c>
      <c r="F16" s="57"/>
      <c r="G16" s="207"/>
      <c r="H16" s="207"/>
      <c r="I16" s="67"/>
    </row>
    <row r="17" spans="1:9">
      <c r="A17" s="65"/>
      <c r="B17" s="58"/>
      <c r="C17" s="58"/>
      <c r="D17" s="198" t="s">
        <v>5280</v>
      </c>
      <c r="E17" s="238" t="s">
        <v>5215</v>
      </c>
      <c r="F17" s="57"/>
      <c r="G17" s="207"/>
      <c r="H17" s="207"/>
      <c r="I17" s="67"/>
    </row>
    <row r="18" spans="1:9">
      <c r="A18" s="65"/>
      <c r="B18" s="58"/>
      <c r="C18" s="58"/>
      <c r="D18" s="198" t="s">
        <v>5281</v>
      </c>
      <c r="E18" s="238" t="s">
        <v>5215</v>
      </c>
      <c r="F18" s="57"/>
      <c r="G18" s="207"/>
      <c r="H18" s="207"/>
      <c r="I18" s="67"/>
    </row>
    <row r="19" spans="1:9">
      <c r="A19" s="65"/>
      <c r="B19" s="58"/>
      <c r="C19" s="58"/>
      <c r="D19" s="198" t="s">
        <v>5282</v>
      </c>
      <c r="E19" s="238" t="s">
        <v>5215</v>
      </c>
      <c r="F19" s="57"/>
      <c r="G19" s="207"/>
      <c r="H19" s="207"/>
      <c r="I19" s="67"/>
    </row>
    <row r="20" spans="1:9">
      <c r="A20" s="65"/>
      <c r="B20" s="58"/>
      <c r="C20" s="58"/>
      <c r="D20" s="198" t="s">
        <v>5283</v>
      </c>
      <c r="E20" s="238" t="s">
        <v>5215</v>
      </c>
      <c r="F20" s="57"/>
      <c r="G20" s="207"/>
      <c r="H20" s="207"/>
      <c r="I20" s="67"/>
    </row>
    <row r="21" spans="1:9">
      <c r="A21" s="65"/>
      <c r="B21" s="58"/>
      <c r="C21" s="58"/>
      <c r="D21" s="198" t="s">
        <v>5449</v>
      </c>
      <c r="E21" s="238"/>
      <c r="F21" s="57"/>
      <c r="G21" s="207"/>
      <c r="H21" s="207"/>
      <c r="I21" s="67"/>
    </row>
    <row r="22" spans="1:9">
      <c r="A22" s="65"/>
      <c r="B22" s="58"/>
      <c r="C22" s="58"/>
      <c r="D22" s="198" t="s">
        <v>5450</v>
      </c>
      <c r="E22" s="238"/>
      <c r="F22" s="57"/>
      <c r="G22" s="207"/>
      <c r="H22" s="207"/>
      <c r="I22" s="67"/>
    </row>
    <row r="23" spans="1:9">
      <c r="A23" s="65"/>
      <c r="B23" s="58"/>
      <c r="C23" s="58"/>
      <c r="D23" s="198"/>
      <c r="E23" s="238"/>
      <c r="F23" s="57"/>
      <c r="G23" s="207"/>
      <c r="H23" s="207"/>
      <c r="I23" s="67"/>
    </row>
    <row r="24" spans="1:9">
      <c r="A24" s="65"/>
      <c r="B24" s="58"/>
      <c r="C24" s="58"/>
      <c r="D24" s="198"/>
      <c r="E24" s="238"/>
      <c r="F24" s="57"/>
      <c r="G24" s="207"/>
      <c r="H24" s="207"/>
      <c r="I24" s="67"/>
    </row>
    <row r="25" spans="1:9">
      <c r="A25" s="65"/>
      <c r="B25" s="58"/>
      <c r="C25" s="58"/>
      <c r="D25" s="198"/>
      <c r="E25" s="238"/>
      <c r="F25" s="57"/>
      <c r="G25" s="207"/>
      <c r="H25" s="207"/>
      <c r="I25" s="67"/>
    </row>
    <row r="26" spans="1:9">
      <c r="A26" s="65"/>
      <c r="B26" s="58"/>
      <c r="C26" s="58"/>
      <c r="D26" s="198"/>
      <c r="E26" s="238"/>
      <c r="F26" s="57"/>
      <c r="G26" s="207"/>
      <c r="H26" s="207"/>
      <c r="I26" s="67"/>
    </row>
    <row r="27" spans="1:9">
      <c r="A27" s="65"/>
      <c r="B27" s="58"/>
      <c r="C27" s="58"/>
      <c r="D27" s="198"/>
      <c r="E27" s="238"/>
      <c r="F27" s="57"/>
      <c r="G27" s="207"/>
      <c r="H27" s="207"/>
      <c r="I27" s="67"/>
    </row>
    <row r="28" spans="1:9">
      <c r="A28" s="65"/>
      <c r="B28" s="58"/>
      <c r="C28" s="58"/>
      <c r="D28" s="198"/>
      <c r="E28" s="238"/>
      <c r="F28" s="57"/>
      <c r="G28" s="207"/>
      <c r="H28" s="207"/>
      <c r="I28" s="67"/>
    </row>
    <row r="29" spans="1:9">
      <c r="A29" s="65"/>
      <c r="B29" s="58"/>
      <c r="C29" s="58"/>
      <c r="D29" s="198"/>
      <c r="E29" s="238"/>
      <c r="F29" s="57"/>
      <c r="G29" s="207"/>
      <c r="H29" s="207"/>
      <c r="I29" s="67"/>
    </row>
    <row r="30" spans="1:9">
      <c r="A30" s="65"/>
      <c r="B30" s="58"/>
      <c r="C30" s="58"/>
      <c r="D30" s="198"/>
      <c r="E30" s="238"/>
      <c r="F30" s="57"/>
      <c r="G30" s="207"/>
      <c r="H30" s="207"/>
      <c r="I30" s="67"/>
    </row>
    <row r="31" spans="1:9">
      <c r="A31" s="65"/>
      <c r="B31" s="58"/>
      <c r="C31" s="58"/>
      <c r="D31" s="198"/>
      <c r="E31" s="238"/>
      <c r="F31" s="57"/>
      <c r="G31" s="207"/>
      <c r="H31" s="207"/>
      <c r="I31" s="67"/>
    </row>
    <row r="32" spans="1:9">
      <c r="A32" s="65"/>
      <c r="B32" s="58"/>
      <c r="C32" s="58"/>
      <c r="D32" s="198"/>
      <c r="E32" s="238"/>
      <c r="F32" s="57"/>
      <c r="G32" s="207"/>
      <c r="H32" s="207"/>
      <c r="I32" s="67"/>
    </row>
    <row r="33" spans="1:9">
      <c r="A33" s="65"/>
      <c r="B33" s="58"/>
      <c r="C33" s="58"/>
      <c r="D33" s="198"/>
      <c r="E33" s="238"/>
      <c r="F33" s="57"/>
      <c r="G33" s="207"/>
      <c r="H33" s="207"/>
      <c r="I33" s="67"/>
    </row>
    <row r="34" spans="1:9">
      <c r="A34" s="65"/>
      <c r="B34" s="58"/>
      <c r="C34" s="58"/>
      <c r="D34" s="198"/>
      <c r="E34" s="238"/>
      <c r="F34" s="57"/>
      <c r="G34" s="207"/>
      <c r="H34" s="207"/>
      <c r="I34" s="67"/>
    </row>
    <row r="35" spans="1:9">
      <c r="A35" s="65"/>
      <c r="B35" s="58"/>
      <c r="C35" s="58"/>
      <c r="D35" s="198"/>
      <c r="E35" s="238"/>
      <c r="F35" s="57"/>
      <c r="G35" s="207"/>
      <c r="H35" s="207"/>
      <c r="I35" s="67"/>
    </row>
    <row r="36" spans="1:9">
      <c r="A36" s="65"/>
      <c r="B36" s="58"/>
      <c r="C36" s="58"/>
      <c r="D36" s="198"/>
      <c r="E36" s="238"/>
      <c r="F36" s="57"/>
      <c r="G36" s="207"/>
      <c r="H36" s="207"/>
      <c r="I36" s="67"/>
    </row>
    <row r="37" spans="1:9">
      <c r="A37" s="65"/>
      <c r="B37" s="58"/>
      <c r="C37" s="58"/>
      <c r="D37" s="198"/>
      <c r="E37" s="238"/>
      <c r="F37" s="57"/>
      <c r="G37" s="207"/>
      <c r="H37" s="207"/>
      <c r="I37" s="67"/>
    </row>
    <row r="38" spans="1:9">
      <c r="A38" s="65"/>
      <c r="B38" s="58"/>
      <c r="C38" s="58"/>
      <c r="D38" s="198"/>
      <c r="E38" s="238"/>
      <c r="F38" s="57"/>
      <c r="G38" s="207"/>
      <c r="H38" s="207"/>
      <c r="I38" s="67"/>
    </row>
    <row r="39" spans="1:9">
      <c r="A39" s="65"/>
      <c r="B39" s="58"/>
      <c r="C39" s="58"/>
      <c r="D39" s="198"/>
      <c r="E39" s="238"/>
      <c r="F39" s="208"/>
      <c r="G39" s="207"/>
      <c r="H39" s="207"/>
      <c r="I39" s="67"/>
    </row>
    <row r="40" spans="1:9">
      <c r="A40" s="65"/>
      <c r="B40" s="58"/>
      <c r="C40" s="58"/>
      <c r="G40" s="207"/>
      <c r="H40" s="207"/>
      <c r="I40" s="67"/>
    </row>
    <row r="41" spans="1:9" ht="13" thickBot="1">
      <c r="A41" s="68"/>
      <c r="B41" s="211"/>
      <c r="C41" s="69"/>
      <c r="D41" s="211"/>
      <c r="E41" s="211"/>
      <c r="F41" s="212"/>
      <c r="G41" s="211"/>
      <c r="H41" s="212"/>
      <c r="I41" s="70"/>
    </row>
    <row r="42" spans="1:9">
      <c r="A42" s="58"/>
      <c r="C42" s="58"/>
    </row>
  </sheetData>
  <sortState ref="D6:F14">
    <sortCondition ref="D5"/>
  </sortState>
  <phoneticPr fontId="0" type="noConversion"/>
  <dataValidations count="1">
    <dataValidation type="list" allowBlank="1" showInputMessage="1" showErrorMessage="1" sqref="E5:E39">
      <formula1>$B$5:$B$16</formula1>
    </dataValidation>
  </dataValidations>
  <pageMargins left="0.75" right="0.75" top="1" bottom="1" header="0.4921259845" footer="0.492125984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S129"/>
  <sheetViews>
    <sheetView topLeftCell="A2" workbookViewId="0">
      <selection activeCell="I2" sqref="I2"/>
    </sheetView>
  </sheetViews>
  <sheetFormatPr baseColWidth="10" defaultColWidth="11.453125" defaultRowHeight="12.5"/>
  <cols>
    <col min="1" max="1" width="31.453125" customWidth="1"/>
    <col min="2" max="7" width="11.453125" customWidth="1"/>
    <col min="8" max="8" width="5.81640625" customWidth="1"/>
    <col min="9" max="9" width="24.1796875" customWidth="1"/>
    <col min="10" max="12" width="11.453125" customWidth="1"/>
    <col min="13" max="13" width="12.81640625" customWidth="1"/>
    <col min="14" max="15" width="11.453125" customWidth="1"/>
    <col min="16" max="16" width="9.1796875" customWidth="1"/>
    <col min="17" max="17" width="7.54296875" customWidth="1"/>
    <col min="18" max="18" width="25.81640625" customWidth="1"/>
    <col min="19" max="19" width="11.453125" customWidth="1"/>
    <col min="20" max="20" width="13.26953125" customWidth="1"/>
    <col min="27" max="27" width="3.453125" customWidth="1"/>
    <col min="36" max="36" width="6.1796875" customWidth="1"/>
    <col min="37" max="37" width="3.81640625" customWidth="1"/>
    <col min="39" max="39" width="13.54296875" customWidth="1"/>
    <col min="46" max="46" width="11.453125" customWidth="1"/>
  </cols>
  <sheetData>
    <row r="1" spans="1:47" ht="12.75" customHeight="1">
      <c r="A1" s="399" t="s">
        <v>12</v>
      </c>
      <c r="B1" s="400"/>
      <c r="C1" s="400"/>
      <c r="D1" s="400"/>
      <c r="E1" s="400"/>
      <c r="F1" s="400"/>
      <c r="G1" s="400"/>
      <c r="H1" s="4"/>
      <c r="I1" s="399" t="s">
        <v>8</v>
      </c>
      <c r="J1" s="400"/>
      <c r="K1" s="400"/>
      <c r="L1" s="400"/>
      <c r="M1" s="400"/>
      <c r="N1" s="400"/>
      <c r="O1" s="400"/>
      <c r="P1" s="400"/>
      <c r="R1" s="399" t="s">
        <v>7</v>
      </c>
      <c r="S1" s="400"/>
      <c r="T1" s="400"/>
      <c r="U1" s="400"/>
      <c r="V1" s="400"/>
      <c r="W1" s="400"/>
      <c r="X1" s="400"/>
      <c r="AL1" s="391"/>
      <c r="AM1" s="189" t="s">
        <v>718</v>
      </c>
      <c r="AN1" s="184">
        <f>Chart_Start</f>
        <v>44378</v>
      </c>
      <c r="AO1" s="391"/>
      <c r="AP1" s="189" t="s">
        <v>721</v>
      </c>
      <c r="AQ1" s="183">
        <f>Chart_Interval</f>
        <v>1</v>
      </c>
      <c r="AR1" s="391"/>
    </row>
    <row r="2" spans="1:47" ht="26.5" thickBot="1">
      <c r="A2" s="91" t="s">
        <v>4</v>
      </c>
      <c r="B2" s="92" t="s">
        <v>26</v>
      </c>
      <c r="C2" s="93" t="s">
        <v>27</v>
      </c>
      <c r="D2" s="94" t="s">
        <v>5</v>
      </c>
      <c r="E2" s="95" t="s">
        <v>28</v>
      </c>
      <c r="F2" s="91" t="s">
        <v>0</v>
      </c>
      <c r="G2" s="91" t="s">
        <v>33</v>
      </c>
      <c r="H2" s="4"/>
      <c r="I2" s="18" t="s">
        <v>9</v>
      </c>
      <c r="J2" s="92" t="s">
        <v>26</v>
      </c>
      <c r="K2" s="93" t="s">
        <v>27</v>
      </c>
      <c r="L2" s="94" t="s">
        <v>5</v>
      </c>
      <c r="M2" s="95" t="s">
        <v>28</v>
      </c>
      <c r="N2" s="91" t="s">
        <v>0</v>
      </c>
      <c r="O2" s="91" t="s">
        <v>33</v>
      </c>
      <c r="P2" s="96" t="s">
        <v>31</v>
      </c>
      <c r="R2" s="18" t="s">
        <v>11</v>
      </c>
      <c r="S2" s="92" t="s">
        <v>26</v>
      </c>
      <c r="T2" s="93" t="s">
        <v>27</v>
      </c>
      <c r="U2" s="94" t="s">
        <v>5</v>
      </c>
      <c r="V2" s="95" t="s">
        <v>28</v>
      </c>
      <c r="W2" s="91" t="s">
        <v>33</v>
      </c>
      <c r="X2" s="91" t="s">
        <v>0</v>
      </c>
      <c r="AB2" s="18" t="s">
        <v>11</v>
      </c>
      <c r="AC2" s="159" t="s">
        <v>713</v>
      </c>
      <c r="AD2" s="159" t="s">
        <v>714</v>
      </c>
      <c r="AE2" s="159" t="s">
        <v>715</v>
      </c>
      <c r="AF2" s="159" t="s">
        <v>716</v>
      </c>
      <c r="AG2" s="159" t="s">
        <v>717</v>
      </c>
      <c r="AH2" s="228" t="s">
        <v>1286</v>
      </c>
      <c r="AI2" s="228" t="s">
        <v>1290</v>
      </c>
      <c r="AL2" s="392"/>
      <c r="AM2" s="189" t="s">
        <v>725</v>
      </c>
      <c r="AN2" s="185" t="b">
        <f>Chart_3M</f>
        <v>0</v>
      </c>
      <c r="AO2" s="392"/>
      <c r="AP2" s="183"/>
      <c r="AQ2" s="183"/>
      <c r="AR2" s="392"/>
    </row>
    <row r="3" spans="1:47" ht="13" thickBot="1">
      <c r="A3" s="16" t="s">
        <v>1510</v>
      </c>
      <c r="B3" s="17">
        <v>28</v>
      </c>
      <c r="C3" s="17">
        <v>0</v>
      </c>
      <c r="D3" s="17">
        <v>0</v>
      </c>
      <c r="E3" s="17">
        <v>0</v>
      </c>
      <c r="F3" s="17">
        <f t="shared" ref="F3:F37" si="0">IF(A3&lt;&gt;"",B3+C3+D3+E3,"")</f>
        <v>28</v>
      </c>
      <c r="G3" s="102">
        <f t="shared" ref="G3:G37" si="1">IF(A3&lt;&gt;"",IF(F3&lt;&gt;0,(D3+E3)/F3,0),"")</f>
        <v>0</v>
      </c>
      <c r="H3" s="4"/>
      <c r="I3" s="99" t="s">
        <v>41</v>
      </c>
      <c r="J3" s="17">
        <v>28</v>
      </c>
      <c r="K3" s="17">
        <v>1</v>
      </c>
      <c r="L3" s="17">
        <v>1</v>
      </c>
      <c r="M3" s="17">
        <v>0</v>
      </c>
      <c r="N3" s="17">
        <f>J3+K3+L3+M3</f>
        <v>30</v>
      </c>
      <c r="O3" s="102">
        <f>IF(N3&lt;&gt;0,(L3+M3)/N3,0)</f>
        <v>3.3333333333333333E-2</v>
      </c>
      <c r="P3" s="78" t="str">
        <f t="shared" ref="P3:P15" si="2">IF(O3&gt;0.02, "Red",IF(M3 &gt;0, "Red", IF(L3&gt;0, "Amber",IF(K3&gt;0,"Yellow",IF(J3&gt;0,"Green","")))))</f>
        <v>Red</v>
      </c>
      <c r="R3" s="165">
        <v>42444</v>
      </c>
      <c r="S3" s="166">
        <f>VLOOKUP($R3,'Update Log'!$A$1:$H$861,2)</f>
        <v>2</v>
      </c>
      <c r="T3" s="167">
        <f>VLOOKUP($R3,'Update Log'!$A$1:$H$861,3)</f>
        <v>2.821869488536155E-2</v>
      </c>
      <c r="U3" s="168">
        <f>VLOOKUP($R3,'Update Log'!$A$1:$H$861,4)</f>
        <v>2</v>
      </c>
      <c r="V3" s="168">
        <f>VLOOKUP($R3,'Update Log'!$A$1:$H$861,5)</f>
        <v>14</v>
      </c>
      <c r="W3" s="168">
        <f>VLOOKUP($R3,'Update Log'!$A$1:$H$861,6)</f>
        <v>34</v>
      </c>
      <c r="X3" s="168">
        <f>VLOOKUP($R3,'Update Log'!$A$1:$H$861,7)</f>
        <v>517</v>
      </c>
      <c r="Y3" s="168">
        <f>VLOOKUP($R3,'Update Log'!$A$1:$H$861,8)</f>
        <v>567</v>
      </c>
      <c r="Z3" s="230">
        <f t="shared" ref="Z3:Z28" si="3">IF(S3&gt;0,0,IF(T3&gt;=0.02,0,IF(T3&gt;0,1,2)))</f>
        <v>0</v>
      </c>
      <c r="AA3" s="169"/>
      <c r="AB3" s="170">
        <f t="shared" ref="AB3:AB34" si="4">R3</f>
        <v>42444</v>
      </c>
      <c r="AC3" s="171">
        <f t="shared" ref="AC3:AC34" si="5">U3+V3</f>
        <v>16</v>
      </c>
      <c r="AD3" s="171">
        <f t="shared" ref="AD3:AD34" si="6">S3</f>
        <v>2</v>
      </c>
      <c r="AE3" s="171">
        <f t="shared" ref="AE3:AE34" si="7">Y3</f>
        <v>567</v>
      </c>
      <c r="AF3" s="171">
        <f t="shared" ref="AF3:AF34" si="8">W3+X3</f>
        <v>551</v>
      </c>
      <c r="AG3" s="172">
        <f t="shared" ref="AG3:AG34" si="9">1-T3</f>
        <v>0.97178130511463845</v>
      </c>
      <c r="AH3" s="160">
        <f t="shared" ref="AH3:AH34" si="10">W3</f>
        <v>34</v>
      </c>
      <c r="AI3" s="233">
        <f t="shared" ref="AI3:AI35" si="11">Z3</f>
        <v>0</v>
      </c>
      <c r="AL3" s="393" t="s">
        <v>722</v>
      </c>
      <c r="AM3" s="394"/>
      <c r="AN3" s="190">
        <f ca="1">IF(AN2,TODAY()-80,EOMONTH(AN1,0))</f>
        <v>44408</v>
      </c>
      <c r="AO3" s="401" t="s">
        <v>723</v>
      </c>
      <c r="AP3" s="401"/>
      <c r="AQ3" s="191">
        <f>IF(AN2,0,AQ1)</f>
        <v>1</v>
      </c>
      <c r="AR3" s="397"/>
    </row>
    <row r="4" spans="1:47" ht="13" thickBot="1">
      <c r="A4" s="16" t="s">
        <v>1277</v>
      </c>
      <c r="B4" s="17">
        <v>46</v>
      </c>
      <c r="C4" s="17">
        <v>2</v>
      </c>
      <c r="D4" s="17">
        <v>0</v>
      </c>
      <c r="E4" s="17">
        <v>0</v>
      </c>
      <c r="F4" s="17">
        <f t="shared" si="0"/>
        <v>48</v>
      </c>
      <c r="G4" s="102">
        <f t="shared" si="1"/>
        <v>0</v>
      </c>
      <c r="H4" s="4"/>
      <c r="I4" s="99" t="s">
        <v>43</v>
      </c>
      <c r="J4" s="17">
        <v>3</v>
      </c>
      <c r="K4" s="17">
        <v>2</v>
      </c>
      <c r="L4" s="17">
        <v>0</v>
      </c>
      <c r="M4" s="17">
        <v>0</v>
      </c>
      <c r="N4" s="17">
        <f t="shared" ref="N4:N37" si="12">J4+K4+L4+M4</f>
        <v>5</v>
      </c>
      <c r="O4" s="102">
        <f t="shared" ref="O4:O38" si="13">IF(N4&lt;&gt;0,(L4+M4)/N4,0)</f>
        <v>0</v>
      </c>
      <c r="P4" s="78" t="str">
        <f t="shared" si="2"/>
        <v>Yellow</v>
      </c>
      <c r="R4" s="162">
        <v>42460</v>
      </c>
      <c r="S4" s="174">
        <f>VLOOKUP($R4,'Update Log'!$A$1:$H$861,2)</f>
        <v>1</v>
      </c>
      <c r="T4" s="175">
        <f>VLOOKUP($R4,'Update Log'!$A$1:$H$861,3)</f>
        <v>2.2608695652173914E-2</v>
      </c>
      <c r="U4" s="176">
        <f>VLOOKUP($R4,'Update Log'!$A$1:$H$861,4)</f>
        <v>1</v>
      </c>
      <c r="V4" s="176">
        <f>VLOOKUP($R4,'Update Log'!$A$1:$H$861,5)</f>
        <v>12</v>
      </c>
      <c r="W4" s="176">
        <f>VLOOKUP($R4,'Update Log'!$A$1:$H$861,6)</f>
        <v>50</v>
      </c>
      <c r="X4" s="176">
        <f>VLOOKUP($R4,'Update Log'!$A$1:$H$861,7)</f>
        <v>512</v>
      </c>
      <c r="Y4" s="176">
        <f>VLOOKUP($R4,'Update Log'!$A$1:$H$861,8)</f>
        <v>575</v>
      </c>
      <c r="Z4" s="230">
        <f t="shared" si="3"/>
        <v>0</v>
      </c>
      <c r="AB4" s="162">
        <f t="shared" si="4"/>
        <v>42460</v>
      </c>
      <c r="AC4" s="163">
        <f t="shared" si="5"/>
        <v>13</v>
      </c>
      <c r="AD4" s="163">
        <f t="shared" si="6"/>
        <v>1</v>
      </c>
      <c r="AE4" s="163">
        <f t="shared" si="7"/>
        <v>575</v>
      </c>
      <c r="AF4" s="163">
        <f t="shared" si="8"/>
        <v>562</v>
      </c>
      <c r="AG4" s="164">
        <f t="shared" si="9"/>
        <v>0.97739130434782606</v>
      </c>
      <c r="AH4" s="160">
        <f t="shared" si="10"/>
        <v>50</v>
      </c>
      <c r="AI4" s="233">
        <f t="shared" si="11"/>
        <v>0</v>
      </c>
      <c r="AL4" s="395"/>
      <c r="AM4" s="396"/>
      <c r="AN4" s="192"/>
      <c r="AO4" s="401" t="s">
        <v>724</v>
      </c>
      <c r="AP4" s="401"/>
      <c r="AQ4" s="191">
        <f>IF(AN2,7,0)</f>
        <v>0</v>
      </c>
      <c r="AR4" s="398"/>
    </row>
    <row r="5" spans="1:47" ht="13" thickBot="1">
      <c r="A5" s="16" t="s">
        <v>786</v>
      </c>
      <c r="B5" s="17">
        <v>24</v>
      </c>
      <c r="C5" s="17">
        <v>0</v>
      </c>
      <c r="D5" s="17">
        <v>0</v>
      </c>
      <c r="E5" s="17">
        <v>0</v>
      </c>
      <c r="F5" s="17">
        <f t="shared" si="0"/>
        <v>24</v>
      </c>
      <c r="G5" s="102">
        <f t="shared" si="1"/>
        <v>0</v>
      </c>
      <c r="H5" s="4"/>
      <c r="I5" s="100" t="s">
        <v>749</v>
      </c>
      <c r="J5" s="17">
        <v>2</v>
      </c>
      <c r="K5" s="17">
        <v>0</v>
      </c>
      <c r="L5" s="17">
        <v>0</v>
      </c>
      <c r="M5" s="17">
        <v>0</v>
      </c>
      <c r="N5" s="17">
        <f t="shared" si="12"/>
        <v>2</v>
      </c>
      <c r="O5" s="102">
        <f t="shared" si="13"/>
        <v>0</v>
      </c>
      <c r="P5" s="78" t="str">
        <f>IF(O5&gt;0.02, "Red",IF(M5 &gt;0, "Red", IF(L5&gt;0, "Amber",IF(K5&gt;0,"Yellow",IF(J5&gt;0,"Green","")))))</f>
        <v>Green</v>
      </c>
      <c r="R5" s="162">
        <v>42490</v>
      </c>
      <c r="S5" s="174">
        <f>VLOOKUP($R5,'Update Log'!$A$1:$H$861,2)</f>
        <v>1</v>
      </c>
      <c r="T5" s="175">
        <f>VLOOKUP($R5,'Update Log'!$A$1:$H$861,3)</f>
        <v>1.5463917525773196E-2</v>
      </c>
      <c r="U5" s="176">
        <f>VLOOKUP($R5,'Update Log'!$A$1:$H$861,4)</f>
        <v>1</v>
      </c>
      <c r="V5" s="176">
        <f>VLOOKUP($R5,'Update Log'!$A$1:$H$861,5)</f>
        <v>8</v>
      </c>
      <c r="W5" s="176">
        <f>VLOOKUP($R5,'Update Log'!$A$1:$H$861,6)</f>
        <v>65</v>
      </c>
      <c r="X5" s="176">
        <f>VLOOKUP($R5,'Update Log'!$A$1:$H$861,7)</f>
        <v>508</v>
      </c>
      <c r="Y5" s="176">
        <f>VLOOKUP($R5,'Update Log'!$A$1:$H$861,8)</f>
        <v>582</v>
      </c>
      <c r="Z5" s="230">
        <f t="shared" si="3"/>
        <v>0</v>
      </c>
      <c r="AB5" s="16">
        <f t="shared" si="4"/>
        <v>42490</v>
      </c>
      <c r="AC5" s="160">
        <f t="shared" si="5"/>
        <v>9</v>
      </c>
      <c r="AD5" s="160">
        <f t="shared" si="6"/>
        <v>1</v>
      </c>
      <c r="AE5" s="160">
        <f t="shared" si="7"/>
        <v>582</v>
      </c>
      <c r="AF5" s="160">
        <f t="shared" si="8"/>
        <v>573</v>
      </c>
      <c r="AG5" s="161">
        <f t="shared" si="9"/>
        <v>0.98453608247422686</v>
      </c>
      <c r="AH5" s="160">
        <f t="shared" si="10"/>
        <v>65</v>
      </c>
      <c r="AI5" s="233">
        <f t="shared" si="11"/>
        <v>0</v>
      </c>
      <c r="AL5" s="186"/>
      <c r="AM5" s="186"/>
      <c r="AN5" s="188"/>
      <c r="AO5" s="187"/>
      <c r="AP5" s="186"/>
      <c r="AQ5" s="187"/>
      <c r="AR5" s="187"/>
    </row>
    <row r="6" spans="1:47" ht="26.5" thickBot="1">
      <c r="A6" s="16" t="s">
        <v>1421</v>
      </c>
      <c r="B6" s="17">
        <v>20</v>
      </c>
      <c r="C6" s="17">
        <v>5</v>
      </c>
      <c r="D6" s="17">
        <v>1</v>
      </c>
      <c r="E6" s="17">
        <v>0</v>
      </c>
      <c r="F6" s="17">
        <f t="shared" si="0"/>
        <v>26</v>
      </c>
      <c r="G6" s="102">
        <f t="shared" si="1"/>
        <v>3.8461538461538464E-2</v>
      </c>
      <c r="H6" s="4"/>
      <c r="I6" s="99" t="s">
        <v>40</v>
      </c>
      <c r="J6" s="17">
        <v>354</v>
      </c>
      <c r="K6" s="17">
        <v>3</v>
      </c>
      <c r="L6" s="17">
        <v>0</v>
      </c>
      <c r="M6" s="17">
        <v>0</v>
      </c>
      <c r="N6" s="17">
        <f t="shared" si="12"/>
        <v>357</v>
      </c>
      <c r="O6" s="102">
        <f t="shared" si="13"/>
        <v>0</v>
      </c>
      <c r="P6" s="78" t="str">
        <f t="shared" si="2"/>
        <v>Yellow</v>
      </c>
      <c r="R6" s="162">
        <v>42521</v>
      </c>
      <c r="S6" s="174">
        <f>VLOOKUP($R6,'Update Log'!$A$1:$H$861,2)</f>
        <v>2</v>
      </c>
      <c r="T6" s="175">
        <f>VLOOKUP($R6,'Update Log'!$A$1:$H$861,3)</f>
        <v>8.3612040133779261E-3</v>
      </c>
      <c r="U6" s="176">
        <f>VLOOKUP($R6,'Update Log'!$A$1:$H$861,4)</f>
        <v>2</v>
      </c>
      <c r="V6" s="176">
        <f>VLOOKUP($R6,'Update Log'!$A$1:$H$861,5)</f>
        <v>3</v>
      </c>
      <c r="W6" s="176">
        <f>VLOOKUP($R6,'Update Log'!$A$1:$H$861,6)</f>
        <v>81</v>
      </c>
      <c r="X6" s="176">
        <f>VLOOKUP($R6,'Update Log'!$A$1:$H$861,7)</f>
        <v>512</v>
      </c>
      <c r="Y6" s="176">
        <f>VLOOKUP($R6,'Update Log'!$A$1:$H$861,8)</f>
        <v>598</v>
      </c>
      <c r="Z6" s="230">
        <f t="shared" si="3"/>
        <v>0</v>
      </c>
      <c r="AB6" s="16">
        <f t="shared" si="4"/>
        <v>42521</v>
      </c>
      <c r="AC6" s="160">
        <f t="shared" si="5"/>
        <v>5</v>
      </c>
      <c r="AD6" s="160">
        <f t="shared" si="6"/>
        <v>2</v>
      </c>
      <c r="AE6" s="160">
        <f t="shared" si="7"/>
        <v>598</v>
      </c>
      <c r="AF6" s="160">
        <f t="shared" si="8"/>
        <v>593</v>
      </c>
      <c r="AG6" s="161">
        <f t="shared" si="9"/>
        <v>0.99163879598662208</v>
      </c>
      <c r="AH6" s="160">
        <f t="shared" si="10"/>
        <v>81</v>
      </c>
      <c r="AI6" s="233">
        <f t="shared" si="11"/>
        <v>0</v>
      </c>
      <c r="AL6" s="18" t="s">
        <v>11</v>
      </c>
      <c r="AM6" s="193" t="s">
        <v>719</v>
      </c>
      <c r="AN6" s="194" t="s">
        <v>713</v>
      </c>
      <c r="AO6" s="194" t="s">
        <v>714</v>
      </c>
      <c r="AP6" s="194" t="s">
        <v>715</v>
      </c>
      <c r="AQ6" s="194" t="s">
        <v>716</v>
      </c>
      <c r="AR6" s="194" t="s">
        <v>717</v>
      </c>
      <c r="AS6" s="194" t="s">
        <v>1287</v>
      </c>
      <c r="AT6" s="194" t="s">
        <v>1290</v>
      </c>
    </row>
    <row r="7" spans="1:47" ht="13" thickBot="1">
      <c r="A7" s="16" t="s">
        <v>1336</v>
      </c>
      <c r="B7" s="17">
        <v>26</v>
      </c>
      <c r="C7" s="17">
        <v>1</v>
      </c>
      <c r="D7" s="17">
        <v>0</v>
      </c>
      <c r="E7" s="17">
        <v>0</v>
      </c>
      <c r="F7" s="17">
        <f t="shared" si="0"/>
        <v>27</v>
      </c>
      <c r="G7" s="102">
        <f t="shared" si="1"/>
        <v>0</v>
      </c>
      <c r="H7" s="4"/>
      <c r="I7" s="99" t="s">
        <v>737</v>
      </c>
      <c r="J7" s="17">
        <v>22</v>
      </c>
      <c r="K7" s="17">
        <v>0</v>
      </c>
      <c r="L7" s="17">
        <v>0</v>
      </c>
      <c r="M7" s="17">
        <v>0</v>
      </c>
      <c r="N7" s="17">
        <f t="shared" si="12"/>
        <v>22</v>
      </c>
      <c r="O7" s="102">
        <f t="shared" si="13"/>
        <v>0</v>
      </c>
      <c r="P7" s="78" t="str">
        <f t="shared" si="2"/>
        <v>Green</v>
      </c>
      <c r="R7" s="162">
        <v>42551</v>
      </c>
      <c r="S7" s="174">
        <f>VLOOKUP($R7,'Update Log'!$A$1:$H$861,2)</f>
        <v>2</v>
      </c>
      <c r="T7" s="175">
        <f>VLOOKUP($R7,'Update Log'!$A$1:$H$861,3)</f>
        <v>1.1784511784511785E-2</v>
      </c>
      <c r="U7" s="176">
        <f>VLOOKUP($R7,'Update Log'!$A$1:$H$861,4)</f>
        <v>2</v>
      </c>
      <c r="V7" s="176">
        <f>VLOOKUP($R7,'Update Log'!$A$1:$H$861,5)</f>
        <v>5</v>
      </c>
      <c r="W7" s="176">
        <f>VLOOKUP($R7,'Update Log'!$A$1:$H$861,6)</f>
        <v>73</v>
      </c>
      <c r="X7" s="176">
        <f>VLOOKUP($R7,'Update Log'!$A$1:$H$861,7)</f>
        <v>514</v>
      </c>
      <c r="Y7" s="176">
        <f>VLOOKUP($R7,'Update Log'!$A$1:$H$861,8)</f>
        <v>594</v>
      </c>
      <c r="Z7" s="230">
        <f t="shared" si="3"/>
        <v>0</v>
      </c>
      <c r="AB7" s="16">
        <f t="shared" si="4"/>
        <v>42551</v>
      </c>
      <c r="AC7" s="160">
        <f t="shared" si="5"/>
        <v>7</v>
      </c>
      <c r="AD7" s="160">
        <f t="shared" si="6"/>
        <v>2</v>
      </c>
      <c r="AE7" s="160">
        <f t="shared" si="7"/>
        <v>594</v>
      </c>
      <c r="AF7" s="160">
        <f t="shared" si="8"/>
        <v>587</v>
      </c>
      <c r="AG7" s="161">
        <f t="shared" si="9"/>
        <v>0.98821548821548821</v>
      </c>
      <c r="AH7" s="160">
        <f t="shared" si="10"/>
        <v>73</v>
      </c>
      <c r="AI7" s="233">
        <f t="shared" si="11"/>
        <v>0</v>
      </c>
      <c r="AK7" s="195">
        <v>1</v>
      </c>
      <c r="AL7" s="196">
        <f ca="1">AN3</f>
        <v>44408</v>
      </c>
      <c r="AM7" s="196">
        <f t="shared" ref="AM7:AM17" ca="1" si="14">AL7</f>
        <v>44408</v>
      </c>
      <c r="AN7" s="197">
        <f t="shared" ref="AN7:AN18" ca="1" si="15">VLOOKUP($AM7,$AB$2:$AG$262,2)</f>
        <v>4</v>
      </c>
      <c r="AO7" s="197">
        <f t="shared" ref="AO7:AO18" ca="1" si="16">VLOOKUP($AM7,$AB$2:$AG$262,3)</f>
        <v>0</v>
      </c>
      <c r="AP7" s="197">
        <f t="shared" ref="AP7:AP18" ca="1" si="17">VLOOKUP($AM7,$AB$2:$AG$262,4)</f>
        <v>393</v>
      </c>
      <c r="AQ7" s="197">
        <f t="shared" ref="AQ7:AQ18" ca="1" si="18">VLOOKUP($AM7,$AB$2:$AG$262,5)</f>
        <v>389</v>
      </c>
      <c r="AR7" s="227">
        <f t="shared" ref="AR7:AR18" ca="1" si="19">VLOOKUP($AM7,$AB$2:$AG$262,6)</f>
        <v>0.98982188295165396</v>
      </c>
      <c r="AS7" s="229">
        <f t="shared" ref="AS7:AS18" ca="1" si="20">VLOOKUP($AM7,$AB$2:$AH$262,7)</f>
        <v>36</v>
      </c>
      <c r="AT7" s="229">
        <f t="shared" ref="AT7:AT18" ca="1" si="21">VLOOKUP($AM7,$AB$2:$AI$262,8)</f>
        <v>1</v>
      </c>
      <c r="AU7" t="str">
        <f ca="1">IF(AS7&gt;30,"Red",IF(AS7&gt;20,"Amber","Green"))</f>
        <v>Red</v>
      </c>
    </row>
    <row r="8" spans="1:47" ht="13" thickBot="1">
      <c r="A8" s="16" t="s">
        <v>1288</v>
      </c>
      <c r="B8" s="17">
        <v>22</v>
      </c>
      <c r="C8" s="17">
        <v>0</v>
      </c>
      <c r="D8" s="17">
        <v>0</v>
      </c>
      <c r="E8" s="17">
        <v>0</v>
      </c>
      <c r="F8" s="17">
        <f t="shared" si="0"/>
        <v>22</v>
      </c>
      <c r="G8" s="102">
        <f t="shared" si="1"/>
        <v>0</v>
      </c>
      <c r="H8" s="4"/>
      <c r="I8" s="99" t="s">
        <v>1435</v>
      </c>
      <c r="J8" s="17">
        <v>0</v>
      </c>
      <c r="K8" s="17">
        <v>0</v>
      </c>
      <c r="L8" s="17">
        <v>0</v>
      </c>
      <c r="M8" s="17">
        <v>0</v>
      </c>
      <c r="N8" s="17">
        <f t="shared" si="12"/>
        <v>0</v>
      </c>
      <c r="O8" s="102">
        <f t="shared" si="13"/>
        <v>0</v>
      </c>
      <c r="P8" s="78" t="str">
        <f t="shared" si="2"/>
        <v/>
      </c>
      <c r="R8" s="162">
        <v>42582</v>
      </c>
      <c r="S8" s="174">
        <f>VLOOKUP($R8,'Update Log'!$A$1:$H$861,2)</f>
        <v>2</v>
      </c>
      <c r="T8" s="175">
        <f>VLOOKUP($R8,'Update Log'!$A$1:$H$861,3)</f>
        <v>1.6666666666666666E-2</v>
      </c>
      <c r="U8" s="176">
        <f>VLOOKUP($R8,'Update Log'!$A$1:$H$861,4)</f>
        <v>2</v>
      </c>
      <c r="V8" s="176">
        <f>VLOOKUP($R8,'Update Log'!$A$1:$H$861,5)</f>
        <v>8</v>
      </c>
      <c r="W8" s="176">
        <f>VLOOKUP($R8,'Update Log'!$A$1:$H$861,6)</f>
        <v>66</v>
      </c>
      <c r="X8" s="176">
        <f>VLOOKUP($R8,'Update Log'!$A$1:$H$861,7)</f>
        <v>524</v>
      </c>
      <c r="Y8" s="176">
        <f>VLOOKUP($R8,'Update Log'!$A$1:$H$861,8)</f>
        <v>600</v>
      </c>
      <c r="Z8" s="230">
        <f t="shared" si="3"/>
        <v>0</v>
      </c>
      <c r="AB8" s="16">
        <f t="shared" si="4"/>
        <v>42582</v>
      </c>
      <c r="AC8" s="160">
        <f t="shared" si="5"/>
        <v>10</v>
      </c>
      <c r="AD8" s="160">
        <f t="shared" si="6"/>
        <v>2</v>
      </c>
      <c r="AE8" s="160">
        <f t="shared" si="7"/>
        <v>600</v>
      </c>
      <c r="AF8" s="160">
        <f t="shared" si="8"/>
        <v>590</v>
      </c>
      <c r="AG8" s="161">
        <f t="shared" si="9"/>
        <v>0.98333333333333328</v>
      </c>
      <c r="AH8" s="160">
        <f t="shared" si="10"/>
        <v>66</v>
      </c>
      <c r="AI8" s="233">
        <f t="shared" si="11"/>
        <v>0</v>
      </c>
      <c r="AK8" s="195">
        <v>2</v>
      </c>
      <c r="AL8" s="196">
        <f ca="1">IF($AN$2,DATE(YEAR(AL7),MONTH(AL7)+$AQ$3,DAY(AL7)+$AQ$4),EOMONTH(DATE(YEAR(AL7),MONTH(AL7)+$AQ$3,1),0))</f>
        <v>44439</v>
      </c>
      <c r="AM8" s="196">
        <f t="shared" ca="1" si="14"/>
        <v>44439</v>
      </c>
      <c r="AN8" s="197">
        <f t="shared" ca="1" si="15"/>
        <v>0</v>
      </c>
      <c r="AO8" s="197">
        <f t="shared" ca="1" si="16"/>
        <v>0</v>
      </c>
      <c r="AP8" s="197">
        <f t="shared" ca="1" si="17"/>
        <v>438</v>
      </c>
      <c r="AQ8" s="197">
        <f t="shared" ca="1" si="18"/>
        <v>438</v>
      </c>
      <c r="AR8" s="227">
        <f t="shared" ca="1" si="19"/>
        <v>1</v>
      </c>
      <c r="AS8" s="229">
        <f t="shared" ca="1" si="20"/>
        <v>21</v>
      </c>
      <c r="AT8" s="229">
        <f t="shared" ca="1" si="21"/>
        <v>2</v>
      </c>
      <c r="AU8" t="str">
        <f t="shared" ref="AU8:AU18" ca="1" si="22">IF(AS8&gt;30,"Red",IF(AS8&gt;20,"Amber","Green"))</f>
        <v>Amber</v>
      </c>
    </row>
    <row r="9" spans="1:47" ht="13" thickBot="1">
      <c r="A9" s="16" t="s">
        <v>4608</v>
      </c>
      <c r="B9" s="17">
        <v>15</v>
      </c>
      <c r="C9" s="17">
        <v>0</v>
      </c>
      <c r="D9" s="17">
        <v>0</v>
      </c>
      <c r="E9" s="17">
        <v>0</v>
      </c>
      <c r="F9" s="17">
        <f t="shared" si="0"/>
        <v>15</v>
      </c>
      <c r="G9" s="102">
        <f t="shared" si="1"/>
        <v>0</v>
      </c>
      <c r="H9" s="4"/>
      <c r="I9" s="101" t="s">
        <v>42</v>
      </c>
      <c r="J9" s="17">
        <v>1</v>
      </c>
      <c r="K9" s="17">
        <v>1</v>
      </c>
      <c r="L9" s="17">
        <v>0</v>
      </c>
      <c r="M9" s="17">
        <v>0</v>
      </c>
      <c r="N9" s="17">
        <f t="shared" si="12"/>
        <v>2</v>
      </c>
      <c r="O9" s="102">
        <f t="shared" si="13"/>
        <v>0</v>
      </c>
      <c r="P9" s="78" t="str">
        <f t="shared" si="2"/>
        <v>Yellow</v>
      </c>
      <c r="R9" s="162">
        <v>42613</v>
      </c>
      <c r="S9" s="174">
        <f>VLOOKUP($R9,'Update Log'!$A$1:$H$861,2)</f>
        <v>3</v>
      </c>
      <c r="T9" s="175">
        <f>VLOOKUP($R9,'Update Log'!$A$1:$H$861,3)</f>
        <v>1.1532125205930808E-2</v>
      </c>
      <c r="U9" s="176">
        <f>VLOOKUP($R9,'Update Log'!$A$1:$H$861,4)</f>
        <v>3</v>
      </c>
      <c r="V9" s="176">
        <f>VLOOKUP($R9,'Update Log'!$A$1:$H$861,5)</f>
        <v>4</v>
      </c>
      <c r="W9" s="176">
        <f>VLOOKUP($R9,'Update Log'!$A$1:$H$861,6)</f>
        <v>91</v>
      </c>
      <c r="X9" s="176">
        <f>VLOOKUP($R9,'Update Log'!$A$1:$H$861,7)</f>
        <v>509</v>
      </c>
      <c r="Y9" s="176">
        <f>VLOOKUP($R9,'Update Log'!$A$1:$H$861,8)</f>
        <v>607</v>
      </c>
      <c r="Z9" s="230">
        <f t="shared" si="3"/>
        <v>0</v>
      </c>
      <c r="AB9" s="16">
        <f t="shared" si="4"/>
        <v>42613</v>
      </c>
      <c r="AC9" s="160">
        <f t="shared" si="5"/>
        <v>7</v>
      </c>
      <c r="AD9" s="160">
        <f t="shared" si="6"/>
        <v>3</v>
      </c>
      <c r="AE9" s="160">
        <f t="shared" si="7"/>
        <v>607</v>
      </c>
      <c r="AF9" s="160">
        <f t="shared" si="8"/>
        <v>600</v>
      </c>
      <c r="AG9" s="161">
        <f t="shared" si="9"/>
        <v>0.98846787479406917</v>
      </c>
      <c r="AH9" s="160">
        <f t="shared" si="10"/>
        <v>91</v>
      </c>
      <c r="AI9" s="233">
        <f t="shared" si="11"/>
        <v>0</v>
      </c>
      <c r="AK9" s="195">
        <v>3</v>
      </c>
      <c r="AL9" s="196">
        <f t="shared" ref="AL9:AL18" ca="1" si="23">IF($AN$2,DATE(YEAR(AL8),MONTH(AL8)+$AQ$3,DAY(AL8)+$AQ$4),EOMONTH(DATE(YEAR(AL8),MONTH(AL8)+$AQ$3,1),0))</f>
        <v>44469</v>
      </c>
      <c r="AM9" s="196">
        <f t="shared" ca="1" si="14"/>
        <v>44469</v>
      </c>
      <c r="AN9" s="197">
        <f t="shared" ca="1" si="15"/>
        <v>0</v>
      </c>
      <c r="AO9" s="197">
        <f t="shared" ca="1" si="16"/>
        <v>0</v>
      </c>
      <c r="AP9" s="197">
        <f t="shared" ca="1" si="17"/>
        <v>439</v>
      </c>
      <c r="AQ9" s="197">
        <f t="shared" ca="1" si="18"/>
        <v>439</v>
      </c>
      <c r="AR9" s="227">
        <f t="shared" ca="1" si="19"/>
        <v>1</v>
      </c>
      <c r="AS9" s="229">
        <f t="shared" ca="1" si="20"/>
        <v>42</v>
      </c>
      <c r="AT9" s="229">
        <f t="shared" ca="1" si="21"/>
        <v>2</v>
      </c>
      <c r="AU9" t="str">
        <f t="shared" ca="1" si="22"/>
        <v>Red</v>
      </c>
    </row>
    <row r="10" spans="1:47" ht="13" thickBot="1">
      <c r="A10" s="16" t="s">
        <v>4441</v>
      </c>
      <c r="B10" s="17">
        <v>5</v>
      </c>
      <c r="C10" s="17">
        <v>0</v>
      </c>
      <c r="D10" s="17">
        <v>0</v>
      </c>
      <c r="E10" s="17">
        <v>0</v>
      </c>
      <c r="F10" s="17">
        <f t="shared" si="0"/>
        <v>5</v>
      </c>
      <c r="G10" s="102">
        <f t="shared" si="1"/>
        <v>0</v>
      </c>
      <c r="H10" s="4"/>
      <c r="I10" s="101" t="s">
        <v>44</v>
      </c>
      <c r="J10" s="17">
        <v>0</v>
      </c>
      <c r="K10" s="17">
        <v>0</v>
      </c>
      <c r="L10" s="17">
        <v>0</v>
      </c>
      <c r="M10" s="17">
        <v>0</v>
      </c>
      <c r="N10" s="17">
        <f t="shared" si="12"/>
        <v>0</v>
      </c>
      <c r="O10" s="102">
        <f t="shared" si="13"/>
        <v>0</v>
      </c>
      <c r="P10" s="78" t="str">
        <f t="shared" si="2"/>
        <v/>
      </c>
      <c r="R10" s="162">
        <v>42643</v>
      </c>
      <c r="S10" s="174">
        <f>VLOOKUP($R10,'Update Log'!$A$1:$H$861,2)</f>
        <v>2</v>
      </c>
      <c r="T10" s="175">
        <f>VLOOKUP($R10,'Update Log'!$A$1:$H$861,3)</f>
        <v>3.2882011605415859E-2</v>
      </c>
      <c r="U10" s="176">
        <f>VLOOKUP($R10,'Update Log'!$A$1:$H$861,4)</f>
        <v>2</v>
      </c>
      <c r="V10" s="176">
        <f>VLOOKUP($R10,'Update Log'!$A$1:$H$861,5)</f>
        <v>15</v>
      </c>
      <c r="W10" s="176">
        <f>VLOOKUP($R10,'Update Log'!$A$1:$H$861,6)</f>
        <v>82</v>
      </c>
      <c r="X10" s="176">
        <f>VLOOKUP($R10,'Update Log'!$A$1:$H$861,7)</f>
        <v>418</v>
      </c>
      <c r="Y10" s="176">
        <f>VLOOKUP($R10,'Update Log'!$A$1:$H$861,8)</f>
        <v>517</v>
      </c>
      <c r="Z10" s="230">
        <f t="shared" si="3"/>
        <v>0</v>
      </c>
      <c r="AB10" s="16">
        <f t="shared" si="4"/>
        <v>42643</v>
      </c>
      <c r="AC10" s="160">
        <f t="shared" si="5"/>
        <v>17</v>
      </c>
      <c r="AD10" s="160">
        <f t="shared" si="6"/>
        <v>2</v>
      </c>
      <c r="AE10" s="160">
        <f t="shared" si="7"/>
        <v>517</v>
      </c>
      <c r="AF10" s="160">
        <f t="shared" si="8"/>
        <v>500</v>
      </c>
      <c r="AG10" s="161">
        <f t="shared" si="9"/>
        <v>0.96711798839458418</v>
      </c>
      <c r="AH10" s="160">
        <f t="shared" si="10"/>
        <v>82</v>
      </c>
      <c r="AI10" s="233">
        <f t="shared" si="11"/>
        <v>0</v>
      </c>
      <c r="AK10" s="195">
        <v>4</v>
      </c>
      <c r="AL10" s="196">
        <f t="shared" ca="1" si="23"/>
        <v>44500</v>
      </c>
      <c r="AM10" s="196">
        <f t="shared" ca="1" si="14"/>
        <v>44500</v>
      </c>
      <c r="AN10" s="197">
        <f t="shared" ca="1" si="15"/>
        <v>0</v>
      </c>
      <c r="AO10" s="197">
        <f t="shared" ca="1" si="16"/>
        <v>0</v>
      </c>
      <c r="AP10" s="197">
        <f t="shared" ca="1" si="17"/>
        <v>442</v>
      </c>
      <c r="AQ10" s="197">
        <f t="shared" ca="1" si="18"/>
        <v>442</v>
      </c>
      <c r="AR10" s="227">
        <f t="shared" ca="1" si="19"/>
        <v>1</v>
      </c>
      <c r="AS10" s="229">
        <f t="shared" ca="1" si="20"/>
        <v>39</v>
      </c>
      <c r="AT10" s="229">
        <f t="shared" ca="1" si="21"/>
        <v>2</v>
      </c>
      <c r="AU10" t="str">
        <f t="shared" ca="1" si="22"/>
        <v>Red</v>
      </c>
    </row>
    <row r="11" spans="1:47" ht="13" thickBot="1">
      <c r="A11" s="16" t="s">
        <v>4638</v>
      </c>
      <c r="B11" s="17">
        <v>20</v>
      </c>
      <c r="C11" s="17">
        <v>0</v>
      </c>
      <c r="D11" s="17">
        <v>0</v>
      </c>
      <c r="E11" s="17">
        <v>0</v>
      </c>
      <c r="F11" s="17">
        <f t="shared" si="0"/>
        <v>20</v>
      </c>
      <c r="G11" s="102">
        <f t="shared" si="1"/>
        <v>0</v>
      </c>
      <c r="H11" s="4"/>
      <c r="I11" s="101" t="s">
        <v>1114</v>
      </c>
      <c r="J11" s="17">
        <v>13</v>
      </c>
      <c r="K11" s="17">
        <v>1</v>
      </c>
      <c r="L11" s="17">
        <v>0</v>
      </c>
      <c r="M11" s="17">
        <v>0</v>
      </c>
      <c r="N11" s="17">
        <f t="shared" si="12"/>
        <v>14</v>
      </c>
      <c r="O11" s="102">
        <f t="shared" si="13"/>
        <v>0</v>
      </c>
      <c r="P11" s="78" t="str">
        <f t="shared" si="2"/>
        <v>Yellow</v>
      </c>
      <c r="R11" s="162">
        <v>42674</v>
      </c>
      <c r="S11" s="174">
        <f>VLOOKUP($R11,'Update Log'!$A$1:$H$861,2)</f>
        <v>7</v>
      </c>
      <c r="T11" s="175">
        <f>VLOOKUP($R11,'Update Log'!$A$1:$H$861,3)</f>
        <v>2.6272577996715927E-2</v>
      </c>
      <c r="U11" s="176">
        <f>VLOOKUP($R11,'Update Log'!$A$1:$H$861,4)</f>
        <v>7</v>
      </c>
      <c r="V11" s="176">
        <f>VLOOKUP($R11,'Update Log'!$A$1:$H$861,5)</f>
        <v>9</v>
      </c>
      <c r="W11" s="176">
        <f>VLOOKUP($R11,'Update Log'!$A$1:$H$861,6)</f>
        <v>87</v>
      </c>
      <c r="X11" s="176">
        <f>VLOOKUP($R11,'Update Log'!$A$1:$H$861,7)</f>
        <v>506</v>
      </c>
      <c r="Y11" s="176">
        <f>VLOOKUP($R11,'Update Log'!$A$1:$H$861,8)</f>
        <v>609</v>
      </c>
      <c r="Z11" s="230">
        <f t="shared" si="3"/>
        <v>0</v>
      </c>
      <c r="AB11" s="16">
        <f t="shared" si="4"/>
        <v>42674</v>
      </c>
      <c r="AC11" s="160">
        <f t="shared" si="5"/>
        <v>16</v>
      </c>
      <c r="AD11" s="160">
        <f t="shared" si="6"/>
        <v>7</v>
      </c>
      <c r="AE11" s="160">
        <f t="shared" si="7"/>
        <v>609</v>
      </c>
      <c r="AF11" s="160">
        <f t="shared" si="8"/>
        <v>593</v>
      </c>
      <c r="AG11" s="161">
        <f t="shared" si="9"/>
        <v>0.9737274220032841</v>
      </c>
      <c r="AH11" s="160">
        <f t="shared" si="10"/>
        <v>87</v>
      </c>
      <c r="AI11" s="233">
        <f t="shared" si="11"/>
        <v>0</v>
      </c>
      <c r="AK11" s="195">
        <v>5</v>
      </c>
      <c r="AL11" s="196">
        <f t="shared" ca="1" si="23"/>
        <v>44530</v>
      </c>
      <c r="AM11" s="196">
        <f t="shared" ca="1" si="14"/>
        <v>44530</v>
      </c>
      <c r="AN11" s="197">
        <f t="shared" ca="1" si="15"/>
        <v>0</v>
      </c>
      <c r="AO11" s="197">
        <f t="shared" ca="1" si="16"/>
        <v>0</v>
      </c>
      <c r="AP11" s="197">
        <f t="shared" ca="1" si="17"/>
        <v>440</v>
      </c>
      <c r="AQ11" s="197">
        <f t="shared" ca="1" si="18"/>
        <v>440</v>
      </c>
      <c r="AR11" s="227">
        <f t="shared" ca="1" si="19"/>
        <v>1</v>
      </c>
      <c r="AS11" s="229">
        <f t="shared" ca="1" si="20"/>
        <v>25</v>
      </c>
      <c r="AT11" s="229">
        <f t="shared" ca="1" si="21"/>
        <v>2</v>
      </c>
      <c r="AU11" t="str">
        <f t="shared" ca="1" si="22"/>
        <v>Amber</v>
      </c>
    </row>
    <row r="12" spans="1:47" ht="13" thickBot="1">
      <c r="A12" s="16" t="s">
        <v>5217</v>
      </c>
      <c r="B12" s="17">
        <v>0</v>
      </c>
      <c r="C12" s="17">
        <v>0</v>
      </c>
      <c r="D12" s="17">
        <v>0</v>
      </c>
      <c r="E12" s="17">
        <v>0</v>
      </c>
      <c r="F12" s="17">
        <f t="shared" si="0"/>
        <v>0</v>
      </c>
      <c r="G12" s="102">
        <f t="shared" si="1"/>
        <v>0</v>
      </c>
      <c r="H12" s="4"/>
      <c r="I12" s="101" t="s">
        <v>1191</v>
      </c>
      <c r="J12" s="17">
        <v>0</v>
      </c>
      <c r="K12" s="17">
        <v>0</v>
      </c>
      <c r="L12" s="17">
        <v>0</v>
      </c>
      <c r="M12" s="17">
        <v>0</v>
      </c>
      <c r="N12" s="17">
        <f t="shared" si="12"/>
        <v>0</v>
      </c>
      <c r="O12" s="102">
        <f t="shared" si="13"/>
        <v>0</v>
      </c>
      <c r="P12" s="78" t="str">
        <f t="shared" si="2"/>
        <v/>
      </c>
      <c r="R12" s="162">
        <v>42704</v>
      </c>
      <c r="S12" s="174">
        <f>VLOOKUP($R12,'Update Log'!$A$1:$H$861,2)</f>
        <v>14</v>
      </c>
      <c r="T12" s="175">
        <f>VLOOKUP($R12,'Update Log'!$A$1:$H$861,3)</f>
        <v>2.7914614121510674E-2</v>
      </c>
      <c r="U12" s="176">
        <f>VLOOKUP($R12,'Update Log'!$A$1:$H$861,4)</f>
        <v>14</v>
      </c>
      <c r="V12" s="176">
        <f>VLOOKUP($R12,'Update Log'!$A$1:$H$861,5)</f>
        <v>3</v>
      </c>
      <c r="W12" s="176">
        <f>VLOOKUP($R12,'Update Log'!$A$1:$H$861,6)</f>
        <v>71</v>
      </c>
      <c r="X12" s="176">
        <f>VLOOKUP($R12,'Update Log'!$A$1:$H$861,7)</f>
        <v>521</v>
      </c>
      <c r="Y12" s="176">
        <f>VLOOKUP($R12,'Update Log'!$A$1:$H$861,8)</f>
        <v>609</v>
      </c>
      <c r="Z12" s="230">
        <f t="shared" si="3"/>
        <v>0</v>
      </c>
      <c r="AB12" s="16">
        <f t="shared" si="4"/>
        <v>42704</v>
      </c>
      <c r="AC12" s="160">
        <f t="shared" si="5"/>
        <v>17</v>
      </c>
      <c r="AD12" s="160">
        <f t="shared" si="6"/>
        <v>14</v>
      </c>
      <c r="AE12" s="160">
        <f t="shared" si="7"/>
        <v>609</v>
      </c>
      <c r="AF12" s="160">
        <f t="shared" si="8"/>
        <v>592</v>
      </c>
      <c r="AG12" s="161">
        <f t="shared" si="9"/>
        <v>0.97208538587848936</v>
      </c>
      <c r="AH12" s="160">
        <f t="shared" si="10"/>
        <v>71</v>
      </c>
      <c r="AI12" s="233">
        <f t="shared" si="11"/>
        <v>0</v>
      </c>
      <c r="AK12" s="195">
        <v>6</v>
      </c>
      <c r="AL12" s="196">
        <f t="shared" ca="1" si="23"/>
        <v>44561</v>
      </c>
      <c r="AM12" s="196">
        <f t="shared" ca="1" si="14"/>
        <v>44561</v>
      </c>
      <c r="AN12" s="197">
        <f t="shared" ca="1" si="15"/>
        <v>0</v>
      </c>
      <c r="AO12" s="197">
        <f t="shared" ca="1" si="16"/>
        <v>0</v>
      </c>
      <c r="AP12" s="197">
        <f t="shared" ca="1" si="17"/>
        <v>443</v>
      </c>
      <c r="AQ12" s="197">
        <f t="shared" ca="1" si="18"/>
        <v>443</v>
      </c>
      <c r="AR12" s="227">
        <f t="shared" ca="1" si="19"/>
        <v>1</v>
      </c>
      <c r="AS12" s="229">
        <f t="shared" ca="1" si="20"/>
        <v>10</v>
      </c>
      <c r="AT12" s="229">
        <f t="shared" ca="1" si="21"/>
        <v>2</v>
      </c>
      <c r="AU12" t="str">
        <f t="shared" ca="1" si="22"/>
        <v>Green</v>
      </c>
    </row>
    <row r="13" spans="1:47" ht="13" thickBot="1">
      <c r="A13" s="16" t="s">
        <v>5278</v>
      </c>
      <c r="B13" s="17">
        <v>22</v>
      </c>
      <c r="C13" s="17">
        <v>0</v>
      </c>
      <c r="D13" s="17">
        <v>0</v>
      </c>
      <c r="E13" s="17">
        <v>0</v>
      </c>
      <c r="F13" s="17">
        <f>IF(A13&lt;&gt;"",B13+C13+D13+E13,"")</f>
        <v>22</v>
      </c>
      <c r="G13" s="102">
        <f t="shared" si="1"/>
        <v>0</v>
      </c>
      <c r="H13" s="4"/>
      <c r="I13" s="101" t="s">
        <v>1100</v>
      </c>
      <c r="J13" s="17">
        <v>5</v>
      </c>
      <c r="K13" s="17">
        <v>0</v>
      </c>
      <c r="L13" s="17">
        <v>0</v>
      </c>
      <c r="M13" s="17">
        <v>0</v>
      </c>
      <c r="N13" s="17">
        <f t="shared" si="12"/>
        <v>5</v>
      </c>
      <c r="O13" s="102">
        <f t="shared" si="13"/>
        <v>0</v>
      </c>
      <c r="P13" s="78" t="str">
        <f t="shared" si="2"/>
        <v>Green</v>
      </c>
      <c r="R13" s="162">
        <v>42735</v>
      </c>
      <c r="S13" s="174">
        <f>VLOOKUP($R13,'Update Log'!$A$1:$H$861,2)</f>
        <v>12</v>
      </c>
      <c r="T13" s="175">
        <f>VLOOKUP($R13,'Update Log'!$A$1:$H$861,3)</f>
        <v>7.6158940397350994E-2</v>
      </c>
      <c r="U13" s="176">
        <f>VLOOKUP($R13,'Update Log'!$A$1:$H$861,4)</f>
        <v>12</v>
      </c>
      <c r="V13" s="176">
        <f>VLOOKUP($R13,'Update Log'!$A$1:$H$861,5)</f>
        <v>34</v>
      </c>
      <c r="W13" s="176">
        <f>VLOOKUP($R13,'Update Log'!$A$1:$H$861,6)</f>
        <v>37</v>
      </c>
      <c r="X13" s="176">
        <f>VLOOKUP($R13,'Update Log'!$A$1:$H$861,7)</f>
        <v>521</v>
      </c>
      <c r="Y13" s="176">
        <f>VLOOKUP($R13,'Update Log'!$A$1:$H$861,8)</f>
        <v>604</v>
      </c>
      <c r="Z13" s="230">
        <f t="shared" si="3"/>
        <v>0</v>
      </c>
      <c r="AB13" s="16">
        <f t="shared" si="4"/>
        <v>42735</v>
      </c>
      <c r="AC13" s="160">
        <f t="shared" si="5"/>
        <v>46</v>
      </c>
      <c r="AD13" s="160">
        <f t="shared" si="6"/>
        <v>12</v>
      </c>
      <c r="AE13" s="160">
        <f t="shared" si="7"/>
        <v>604</v>
      </c>
      <c r="AF13" s="160">
        <f t="shared" si="8"/>
        <v>558</v>
      </c>
      <c r="AG13" s="161">
        <f t="shared" si="9"/>
        <v>0.92384105960264895</v>
      </c>
      <c r="AH13" s="160">
        <f t="shared" si="10"/>
        <v>37</v>
      </c>
      <c r="AI13" s="233">
        <f t="shared" si="11"/>
        <v>0</v>
      </c>
      <c r="AK13" s="195">
        <v>7</v>
      </c>
      <c r="AL13" s="196">
        <f t="shared" ca="1" si="23"/>
        <v>44592</v>
      </c>
      <c r="AM13" s="196">
        <f t="shared" ca="1" si="14"/>
        <v>44592</v>
      </c>
      <c r="AN13" s="197">
        <f t="shared" ca="1" si="15"/>
        <v>0</v>
      </c>
      <c r="AO13" s="197">
        <f t="shared" ca="1" si="16"/>
        <v>0</v>
      </c>
      <c r="AP13" s="197">
        <f t="shared" ca="1" si="17"/>
        <v>448</v>
      </c>
      <c r="AQ13" s="197">
        <f t="shared" ca="1" si="18"/>
        <v>448</v>
      </c>
      <c r="AR13" s="227">
        <f t="shared" ca="1" si="19"/>
        <v>1</v>
      </c>
      <c r="AS13" s="229">
        <f t="shared" ca="1" si="20"/>
        <v>14</v>
      </c>
      <c r="AT13" s="229">
        <f t="shared" ca="1" si="21"/>
        <v>2</v>
      </c>
      <c r="AU13" t="str">
        <f t="shared" ca="1" si="22"/>
        <v>Green</v>
      </c>
    </row>
    <row r="14" spans="1:47" ht="13" thickBot="1">
      <c r="A14" s="16" t="s">
        <v>5279</v>
      </c>
      <c r="B14" s="17">
        <v>26</v>
      </c>
      <c r="C14" s="17">
        <v>0</v>
      </c>
      <c r="D14" s="17">
        <v>0</v>
      </c>
      <c r="E14" s="17">
        <v>0</v>
      </c>
      <c r="F14" s="17">
        <f t="shared" si="0"/>
        <v>26</v>
      </c>
      <c r="G14" s="102">
        <f>IF(A14&lt;&gt;"",IF(F14&lt;&gt;0,(D14+E14)/F14,0),"")</f>
        <v>0</v>
      </c>
      <c r="H14" s="4"/>
      <c r="I14" s="101" t="s">
        <v>685</v>
      </c>
      <c r="J14" s="17">
        <v>7</v>
      </c>
      <c r="K14" s="17">
        <v>0</v>
      </c>
      <c r="L14" s="17">
        <v>0</v>
      </c>
      <c r="M14" s="17">
        <v>0</v>
      </c>
      <c r="N14" s="17">
        <f t="shared" si="12"/>
        <v>7</v>
      </c>
      <c r="O14" s="102">
        <f t="shared" si="13"/>
        <v>0</v>
      </c>
      <c r="P14" s="78" t="str">
        <f t="shared" si="2"/>
        <v>Green</v>
      </c>
      <c r="R14" s="162">
        <v>42766</v>
      </c>
      <c r="S14" s="174">
        <f>VLOOKUP($R14,'Update Log'!$A$1:$H$861,2)</f>
        <v>43</v>
      </c>
      <c r="T14" s="175">
        <f>VLOOKUP($R14,'Update Log'!$A$1:$H$861,3)</f>
        <v>8.6522462562396013E-2</v>
      </c>
      <c r="U14" s="176">
        <f>VLOOKUP($R14,'Update Log'!$A$1:$H$861,4)</f>
        <v>43</v>
      </c>
      <c r="V14" s="176">
        <f>VLOOKUP($R14,'Update Log'!$A$1:$H$861,5)</f>
        <v>9</v>
      </c>
      <c r="W14" s="176">
        <f>VLOOKUP($R14,'Update Log'!$A$1:$H$861,6)</f>
        <v>62</v>
      </c>
      <c r="X14" s="176">
        <f>VLOOKUP($R14,'Update Log'!$A$1:$H$861,7)</f>
        <v>487</v>
      </c>
      <c r="Y14" s="176">
        <f>VLOOKUP($R14,'Update Log'!$A$1:$H$861,8)</f>
        <v>601</v>
      </c>
      <c r="Z14" s="230">
        <f t="shared" si="3"/>
        <v>0</v>
      </c>
      <c r="AB14" s="16">
        <f t="shared" si="4"/>
        <v>42766</v>
      </c>
      <c r="AC14" s="160">
        <f t="shared" si="5"/>
        <v>52</v>
      </c>
      <c r="AD14" s="160">
        <f t="shared" si="6"/>
        <v>43</v>
      </c>
      <c r="AE14" s="160">
        <f t="shared" si="7"/>
        <v>601</v>
      </c>
      <c r="AF14" s="160">
        <f t="shared" si="8"/>
        <v>549</v>
      </c>
      <c r="AG14" s="161">
        <f t="shared" si="9"/>
        <v>0.91347753743760396</v>
      </c>
      <c r="AH14" s="160">
        <f t="shared" si="10"/>
        <v>62</v>
      </c>
      <c r="AI14" s="233">
        <f t="shared" si="11"/>
        <v>0</v>
      </c>
      <c r="AJ14" s="117"/>
      <c r="AK14" s="195">
        <v>8</v>
      </c>
      <c r="AL14" s="196">
        <f t="shared" ca="1" si="23"/>
        <v>44620</v>
      </c>
      <c r="AM14" s="196">
        <f t="shared" ca="1" si="14"/>
        <v>44620</v>
      </c>
      <c r="AN14" s="197">
        <f t="shared" ca="1" si="15"/>
        <v>0</v>
      </c>
      <c r="AO14" s="197">
        <f t="shared" ca="1" si="16"/>
        <v>0</v>
      </c>
      <c r="AP14" s="197">
        <f t="shared" ca="1" si="17"/>
        <v>448</v>
      </c>
      <c r="AQ14" s="197">
        <f t="shared" ca="1" si="18"/>
        <v>448</v>
      </c>
      <c r="AR14" s="227">
        <f t="shared" ca="1" si="19"/>
        <v>1</v>
      </c>
      <c r="AS14" s="229">
        <f t="shared" ca="1" si="20"/>
        <v>32</v>
      </c>
      <c r="AT14" s="229">
        <f t="shared" ca="1" si="21"/>
        <v>2</v>
      </c>
      <c r="AU14" t="str">
        <f t="shared" ca="1" si="22"/>
        <v>Red</v>
      </c>
    </row>
    <row r="15" spans="1:47" ht="13" thickBot="1">
      <c r="A15" s="16" t="s">
        <v>5280</v>
      </c>
      <c r="B15" s="17">
        <v>39</v>
      </c>
      <c r="C15" s="17">
        <v>0</v>
      </c>
      <c r="D15" s="17">
        <v>0</v>
      </c>
      <c r="E15" s="17">
        <v>0</v>
      </c>
      <c r="F15" s="17">
        <f t="shared" si="0"/>
        <v>39</v>
      </c>
      <c r="G15" s="102">
        <f t="shared" si="1"/>
        <v>0</v>
      </c>
      <c r="H15" s="4"/>
      <c r="I15" s="101" t="s">
        <v>784</v>
      </c>
      <c r="J15" s="17">
        <v>5</v>
      </c>
      <c r="K15" s="17">
        <v>0</v>
      </c>
      <c r="L15" s="17">
        <v>0</v>
      </c>
      <c r="M15" s="17">
        <v>0</v>
      </c>
      <c r="N15" s="17">
        <f t="shared" si="12"/>
        <v>5</v>
      </c>
      <c r="O15" s="102">
        <f t="shared" si="13"/>
        <v>0</v>
      </c>
      <c r="P15" s="78" t="str">
        <f t="shared" si="2"/>
        <v>Green</v>
      </c>
      <c r="R15" s="162">
        <v>42794</v>
      </c>
      <c r="S15" s="174">
        <f>VLOOKUP($R15,'Update Log'!$A$1:$H$861,2)</f>
        <v>18</v>
      </c>
      <c r="T15" s="175">
        <f>VLOOKUP($R15,'Update Log'!$A$1:$H$861,3)</f>
        <v>5.016722408026756E-2</v>
      </c>
      <c r="U15" s="176">
        <f>VLOOKUP($R15,'Update Log'!$A$1:$H$861,4)</f>
        <v>18</v>
      </c>
      <c r="V15" s="176">
        <f>VLOOKUP($R15,'Update Log'!$A$1:$H$861,5)</f>
        <v>12</v>
      </c>
      <c r="W15" s="176">
        <f>VLOOKUP($R15,'Update Log'!$A$1:$H$861,6)</f>
        <v>63</v>
      </c>
      <c r="X15" s="176">
        <f>VLOOKUP($R15,'Update Log'!$A$1:$H$861,7)</f>
        <v>505</v>
      </c>
      <c r="Y15" s="176">
        <f>VLOOKUP($R15,'Update Log'!$A$1:$H$861,8)</f>
        <v>598</v>
      </c>
      <c r="Z15" s="230">
        <f t="shared" si="3"/>
        <v>0</v>
      </c>
      <c r="AB15" s="16">
        <f t="shared" si="4"/>
        <v>42794</v>
      </c>
      <c r="AC15" s="160">
        <f t="shared" si="5"/>
        <v>30</v>
      </c>
      <c r="AD15" s="160">
        <f t="shared" si="6"/>
        <v>18</v>
      </c>
      <c r="AE15" s="160">
        <f t="shared" si="7"/>
        <v>598</v>
      </c>
      <c r="AF15" s="160">
        <f t="shared" si="8"/>
        <v>568</v>
      </c>
      <c r="AG15" s="161">
        <f t="shared" si="9"/>
        <v>0.94983277591973247</v>
      </c>
      <c r="AH15" s="160">
        <f t="shared" si="10"/>
        <v>63</v>
      </c>
      <c r="AI15" s="233">
        <f t="shared" si="11"/>
        <v>0</v>
      </c>
      <c r="AK15" s="195">
        <v>9</v>
      </c>
      <c r="AL15" s="196">
        <f t="shared" ca="1" si="23"/>
        <v>44651</v>
      </c>
      <c r="AM15" s="196">
        <f t="shared" ca="1" si="14"/>
        <v>44651</v>
      </c>
      <c r="AN15" s="197">
        <f t="shared" ca="1" si="15"/>
        <v>0</v>
      </c>
      <c r="AO15" s="197">
        <f t="shared" ca="1" si="16"/>
        <v>0</v>
      </c>
      <c r="AP15" s="197">
        <f t="shared" ca="1" si="17"/>
        <v>447</v>
      </c>
      <c r="AQ15" s="197">
        <f t="shared" ca="1" si="18"/>
        <v>447</v>
      </c>
      <c r="AR15" s="227">
        <f t="shared" ca="1" si="19"/>
        <v>1</v>
      </c>
      <c r="AS15" s="229">
        <f t="shared" ca="1" si="20"/>
        <v>68</v>
      </c>
      <c r="AT15" s="229">
        <f t="shared" ca="1" si="21"/>
        <v>2</v>
      </c>
      <c r="AU15" t="str">
        <f t="shared" ca="1" si="22"/>
        <v>Red</v>
      </c>
    </row>
    <row r="16" spans="1:47" ht="13" thickBot="1">
      <c r="A16" s="16" t="s">
        <v>5281</v>
      </c>
      <c r="B16" s="17">
        <v>29</v>
      </c>
      <c r="C16" s="17">
        <v>0</v>
      </c>
      <c r="D16" s="17">
        <v>0</v>
      </c>
      <c r="E16" s="17">
        <v>0</v>
      </c>
      <c r="F16" s="17">
        <f t="shared" si="0"/>
        <v>29</v>
      </c>
      <c r="G16" s="102">
        <f t="shared" si="1"/>
        <v>0</v>
      </c>
      <c r="H16" s="4"/>
      <c r="I16" s="101" t="s">
        <v>787</v>
      </c>
      <c r="J16" s="17">
        <v>4</v>
      </c>
      <c r="K16" s="17">
        <v>0</v>
      </c>
      <c r="L16" s="17">
        <v>0</v>
      </c>
      <c r="M16" s="17">
        <v>0</v>
      </c>
      <c r="N16" s="17">
        <f t="shared" si="12"/>
        <v>4</v>
      </c>
      <c r="O16" s="102">
        <f t="shared" si="13"/>
        <v>0</v>
      </c>
      <c r="P16" s="78" t="str">
        <f t="shared" ref="P16" si="24">IF(O16&gt;0.05, "Red",IF(M16 &gt;0, "Red", IF(L16&gt;0, "Amber",IF(K16&gt;0,"Yellow",IF(J16&gt;0,"Green","")))))</f>
        <v>Green</v>
      </c>
      <c r="R16" s="162">
        <v>42825</v>
      </c>
      <c r="S16" s="174">
        <f>VLOOKUP($R16,'Update Log'!$A$1:$H$861,2)</f>
        <v>24</v>
      </c>
      <c r="T16" s="175">
        <f>VLOOKUP($R16,'Update Log'!$A$1:$H$861,3)</f>
        <v>5.5183946488294312E-2</v>
      </c>
      <c r="U16" s="176">
        <f>VLOOKUP($R16,'Update Log'!$A$1:$H$861,4)</f>
        <v>24</v>
      </c>
      <c r="V16" s="176">
        <f>VLOOKUP($R16,'Update Log'!$A$1:$H$861,5)</f>
        <v>9</v>
      </c>
      <c r="W16" s="176">
        <f>VLOOKUP($R16,'Update Log'!$A$1:$H$861,6)</f>
        <v>75</v>
      </c>
      <c r="X16" s="176">
        <f>VLOOKUP($R16,'Update Log'!$A$1:$H$861,7)</f>
        <v>490</v>
      </c>
      <c r="Y16" s="176">
        <f>VLOOKUP($R16,'Update Log'!$A$1:$H$861,8)</f>
        <v>598</v>
      </c>
      <c r="Z16" s="230">
        <f t="shared" si="3"/>
        <v>0</v>
      </c>
      <c r="AB16" s="16">
        <f t="shared" si="4"/>
        <v>42825</v>
      </c>
      <c r="AC16" s="160">
        <f t="shared" si="5"/>
        <v>33</v>
      </c>
      <c r="AD16" s="160">
        <f t="shared" si="6"/>
        <v>24</v>
      </c>
      <c r="AE16" s="160">
        <f t="shared" si="7"/>
        <v>598</v>
      </c>
      <c r="AF16" s="160">
        <f t="shared" si="8"/>
        <v>565</v>
      </c>
      <c r="AG16" s="161">
        <f t="shared" si="9"/>
        <v>0.94481605351170572</v>
      </c>
      <c r="AH16" s="160">
        <f t="shared" si="10"/>
        <v>75</v>
      </c>
      <c r="AI16" s="233">
        <f t="shared" si="11"/>
        <v>0</v>
      </c>
      <c r="AK16" s="195">
        <v>10</v>
      </c>
      <c r="AL16" s="196">
        <f t="shared" ca="1" si="23"/>
        <v>44681</v>
      </c>
      <c r="AM16" s="196">
        <f t="shared" ca="1" si="14"/>
        <v>44681</v>
      </c>
      <c r="AN16" s="197">
        <f t="shared" ca="1" si="15"/>
        <v>0</v>
      </c>
      <c r="AO16" s="197">
        <f t="shared" ca="1" si="16"/>
        <v>0</v>
      </c>
      <c r="AP16" s="197">
        <f t="shared" ca="1" si="17"/>
        <v>447</v>
      </c>
      <c r="AQ16" s="197">
        <f t="shared" ca="1" si="18"/>
        <v>447</v>
      </c>
      <c r="AR16" s="227">
        <f t="shared" ca="1" si="19"/>
        <v>1</v>
      </c>
      <c r="AS16" s="229">
        <f t="shared" ca="1" si="20"/>
        <v>27</v>
      </c>
      <c r="AT16" s="229">
        <f t="shared" ca="1" si="21"/>
        <v>2</v>
      </c>
      <c r="AU16" t="str">
        <f t="shared" ca="1" si="22"/>
        <v>Amber</v>
      </c>
    </row>
    <row r="17" spans="1:47" ht="13" thickBot="1">
      <c r="A17" s="16" t="s">
        <v>5282</v>
      </c>
      <c r="B17" s="17">
        <v>51</v>
      </c>
      <c r="C17" s="17">
        <v>0</v>
      </c>
      <c r="D17" s="17">
        <v>0</v>
      </c>
      <c r="E17" s="17">
        <v>0</v>
      </c>
      <c r="F17" s="17">
        <f t="shared" si="0"/>
        <v>51</v>
      </c>
      <c r="G17" s="102">
        <f t="shared" si="1"/>
        <v>0</v>
      </c>
      <c r="H17" s="4"/>
      <c r="I17" s="101" t="s">
        <v>5447</v>
      </c>
      <c r="J17" s="17">
        <v>0</v>
      </c>
      <c r="K17" s="17">
        <v>0</v>
      </c>
      <c r="L17" s="17">
        <v>0</v>
      </c>
      <c r="M17" s="17">
        <v>0</v>
      </c>
      <c r="N17" s="17">
        <f t="shared" si="12"/>
        <v>0</v>
      </c>
      <c r="O17" s="102">
        <f t="shared" si="13"/>
        <v>0</v>
      </c>
      <c r="P17" s="78" t="str">
        <f t="shared" ref="P17:P38" si="25">IF(M17 &gt;0, "Red", IF(L17&gt;0, "Amber",IF(K17&gt;0,"Yellow",IF(J17&gt;0,"Green",""))))</f>
        <v/>
      </c>
      <c r="R17" s="162">
        <v>42855</v>
      </c>
      <c r="S17" s="174">
        <f>VLOOKUP($R17,'Update Log'!$A$1:$H$861,2)</f>
        <v>22</v>
      </c>
      <c r="T17" s="175">
        <f>VLOOKUP($R17,'Update Log'!$A$1:$H$861,3)</f>
        <v>6.0504201680672269E-2</v>
      </c>
      <c r="U17" s="176">
        <f>VLOOKUP($R17,'Update Log'!$A$1:$H$861,4)</f>
        <v>22</v>
      </c>
      <c r="V17" s="176">
        <f>VLOOKUP($R17,'Update Log'!$A$1:$H$861,5)</f>
        <v>14</v>
      </c>
      <c r="W17" s="176">
        <f>VLOOKUP($R17,'Update Log'!$A$1:$H$861,6)</f>
        <v>56</v>
      </c>
      <c r="X17" s="176">
        <f>VLOOKUP($R17,'Update Log'!$A$1:$H$861,7)</f>
        <v>503</v>
      </c>
      <c r="Y17" s="176">
        <f>VLOOKUP($R17,'Update Log'!$A$1:$H$861,8)</f>
        <v>595</v>
      </c>
      <c r="Z17" s="230">
        <f t="shared" si="3"/>
        <v>0</v>
      </c>
      <c r="AB17" s="16">
        <f t="shared" si="4"/>
        <v>42855</v>
      </c>
      <c r="AC17" s="160">
        <f t="shared" si="5"/>
        <v>36</v>
      </c>
      <c r="AD17" s="160">
        <f t="shared" si="6"/>
        <v>22</v>
      </c>
      <c r="AE17" s="160">
        <f t="shared" si="7"/>
        <v>595</v>
      </c>
      <c r="AF17" s="160">
        <f t="shared" si="8"/>
        <v>559</v>
      </c>
      <c r="AG17" s="161">
        <f t="shared" si="9"/>
        <v>0.93949579831932772</v>
      </c>
      <c r="AH17" s="160">
        <f t="shared" si="10"/>
        <v>56</v>
      </c>
      <c r="AI17" s="233">
        <f t="shared" si="11"/>
        <v>0</v>
      </c>
      <c r="AK17" s="195">
        <v>11</v>
      </c>
      <c r="AL17" s="196">
        <f t="shared" ca="1" si="23"/>
        <v>44712</v>
      </c>
      <c r="AM17" s="196">
        <f t="shared" ca="1" si="14"/>
        <v>44712</v>
      </c>
      <c r="AN17" s="197">
        <f t="shared" ca="1" si="15"/>
        <v>0</v>
      </c>
      <c r="AO17" s="197">
        <f t="shared" ca="1" si="16"/>
        <v>0</v>
      </c>
      <c r="AP17" s="197">
        <f t="shared" ca="1" si="17"/>
        <v>0</v>
      </c>
      <c r="AQ17" s="197">
        <f t="shared" ca="1" si="18"/>
        <v>0</v>
      </c>
      <c r="AR17" s="227">
        <f t="shared" ca="1" si="19"/>
        <v>1</v>
      </c>
      <c r="AS17" s="229">
        <f t="shared" ca="1" si="20"/>
        <v>0</v>
      </c>
      <c r="AT17" s="229">
        <f t="shared" ca="1" si="21"/>
        <v>2</v>
      </c>
      <c r="AU17" t="str">
        <f t="shared" ca="1" si="22"/>
        <v>Green</v>
      </c>
    </row>
    <row r="18" spans="1:47" ht="13" thickBot="1">
      <c r="A18" s="16" t="s">
        <v>5283</v>
      </c>
      <c r="B18" s="17">
        <v>25</v>
      </c>
      <c r="C18" s="17">
        <v>0</v>
      </c>
      <c r="D18" s="17">
        <v>0</v>
      </c>
      <c r="E18" s="17">
        <v>0</v>
      </c>
      <c r="F18" s="17">
        <f t="shared" si="0"/>
        <v>25</v>
      </c>
      <c r="G18" s="102">
        <f t="shared" si="1"/>
        <v>0</v>
      </c>
      <c r="H18" s="4"/>
      <c r="I18" s="99" t="s">
        <v>5448</v>
      </c>
      <c r="J18" s="17">
        <v>0</v>
      </c>
      <c r="K18" s="17">
        <v>0</v>
      </c>
      <c r="L18" s="17">
        <v>0</v>
      </c>
      <c r="M18" s="17">
        <v>0</v>
      </c>
      <c r="N18" s="17">
        <f t="shared" si="12"/>
        <v>0</v>
      </c>
      <c r="O18" s="102">
        <f t="shared" si="13"/>
        <v>0</v>
      </c>
      <c r="P18" s="78" t="str">
        <f t="shared" si="25"/>
        <v/>
      </c>
      <c r="R18" s="162">
        <v>42886</v>
      </c>
      <c r="S18" s="174">
        <f>VLOOKUP($R18,'Update Log'!$A$1:$H$861,2)</f>
        <v>23</v>
      </c>
      <c r="T18" s="175">
        <f>VLOOKUP($R18,'Update Log'!$A$1:$H$861,3)</f>
        <v>7.0957095709570955E-2</v>
      </c>
      <c r="U18" s="176">
        <f>VLOOKUP($R18,'Update Log'!$A$1:$H$861,4)</f>
        <v>23</v>
      </c>
      <c r="V18" s="176">
        <f>VLOOKUP($R18,'Update Log'!$A$1:$H$861,5)</f>
        <v>20</v>
      </c>
      <c r="W18" s="176">
        <f>VLOOKUP($R18,'Update Log'!$A$1:$H$861,6)</f>
        <v>43</v>
      </c>
      <c r="X18" s="176">
        <f>VLOOKUP($R18,'Update Log'!$A$1:$H$861,7)</f>
        <v>520</v>
      </c>
      <c r="Y18" s="176">
        <f>VLOOKUP($R18,'Update Log'!$A$1:$H$861,8)</f>
        <v>606</v>
      </c>
      <c r="Z18" s="230">
        <f t="shared" si="3"/>
        <v>0</v>
      </c>
      <c r="AB18" s="16">
        <f t="shared" si="4"/>
        <v>42886</v>
      </c>
      <c r="AC18" s="160">
        <f t="shared" si="5"/>
        <v>43</v>
      </c>
      <c r="AD18" s="160">
        <f t="shared" si="6"/>
        <v>23</v>
      </c>
      <c r="AE18" s="160">
        <f t="shared" si="7"/>
        <v>606</v>
      </c>
      <c r="AF18" s="160">
        <f t="shared" si="8"/>
        <v>563</v>
      </c>
      <c r="AG18" s="161">
        <f t="shared" si="9"/>
        <v>0.92904290429042902</v>
      </c>
      <c r="AH18" s="160">
        <f t="shared" si="10"/>
        <v>43</v>
      </c>
      <c r="AI18" s="233">
        <f t="shared" si="11"/>
        <v>0</v>
      </c>
      <c r="AK18" s="195">
        <v>12</v>
      </c>
      <c r="AL18" s="196">
        <f t="shared" ca="1" si="23"/>
        <v>44742</v>
      </c>
      <c r="AM18" s="196">
        <f ca="1">AL18</f>
        <v>44742</v>
      </c>
      <c r="AN18" s="197">
        <f t="shared" ca="1" si="15"/>
        <v>0</v>
      </c>
      <c r="AO18" s="197">
        <f t="shared" ca="1" si="16"/>
        <v>0</v>
      </c>
      <c r="AP18" s="197">
        <f t="shared" ca="1" si="17"/>
        <v>26</v>
      </c>
      <c r="AQ18" s="197">
        <f t="shared" ca="1" si="18"/>
        <v>26</v>
      </c>
      <c r="AR18" s="227">
        <f t="shared" ca="1" si="19"/>
        <v>1</v>
      </c>
      <c r="AS18" s="229">
        <f t="shared" ca="1" si="20"/>
        <v>0</v>
      </c>
      <c r="AT18" s="229">
        <f t="shared" ca="1" si="21"/>
        <v>2</v>
      </c>
      <c r="AU18" t="str">
        <f t="shared" ca="1" si="22"/>
        <v>Green</v>
      </c>
    </row>
    <row r="19" spans="1:47" ht="13" thickBot="1">
      <c r="A19" s="16" t="s">
        <v>5449</v>
      </c>
      <c r="B19" s="17">
        <v>25</v>
      </c>
      <c r="C19" s="17">
        <v>0</v>
      </c>
      <c r="D19" s="17">
        <v>0</v>
      </c>
      <c r="E19" s="17">
        <v>0</v>
      </c>
      <c r="F19" s="17">
        <f t="shared" si="0"/>
        <v>25</v>
      </c>
      <c r="G19" s="102">
        <f t="shared" si="1"/>
        <v>0</v>
      </c>
      <c r="H19" s="4"/>
      <c r="I19" s="99"/>
      <c r="J19" s="17"/>
      <c r="K19" s="17"/>
      <c r="L19" s="17"/>
      <c r="M19" s="17"/>
      <c r="N19" s="17">
        <f t="shared" si="12"/>
        <v>0</v>
      </c>
      <c r="O19" s="102">
        <f t="shared" si="13"/>
        <v>0</v>
      </c>
      <c r="P19" s="78" t="str">
        <f t="shared" si="25"/>
        <v/>
      </c>
      <c r="R19" s="162">
        <v>42916</v>
      </c>
      <c r="S19" s="174">
        <f>VLOOKUP($R19,'Update Log'!$A$1:$H$861,2)</f>
        <v>1</v>
      </c>
      <c r="T19" s="175">
        <f>VLOOKUP($R19,'Update Log'!$A$1:$H$861,3)</f>
        <v>7.6335877862595417E-3</v>
      </c>
      <c r="U19" s="176">
        <f>VLOOKUP($R19,'Update Log'!$A$1:$H$861,4)</f>
        <v>1</v>
      </c>
      <c r="V19" s="176">
        <f>VLOOKUP($R19,'Update Log'!$A$1:$H$861,5)</f>
        <v>2</v>
      </c>
      <c r="W19" s="176">
        <f>VLOOKUP($R19,'Update Log'!$A$1:$H$861,6)</f>
        <v>20</v>
      </c>
      <c r="X19" s="176">
        <f>VLOOKUP($R19,'Update Log'!$A$1:$H$861,7)</f>
        <v>370</v>
      </c>
      <c r="Y19" s="176">
        <f>VLOOKUP($R19,'Update Log'!$A$1:$H$861,8)</f>
        <v>393</v>
      </c>
      <c r="Z19" s="230">
        <f t="shared" si="3"/>
        <v>0</v>
      </c>
      <c r="AB19" s="16">
        <f t="shared" si="4"/>
        <v>42916</v>
      </c>
      <c r="AC19" s="160">
        <f t="shared" si="5"/>
        <v>3</v>
      </c>
      <c r="AD19" s="160">
        <f t="shared" si="6"/>
        <v>1</v>
      </c>
      <c r="AE19" s="160">
        <f t="shared" si="7"/>
        <v>393</v>
      </c>
      <c r="AF19" s="160">
        <f t="shared" si="8"/>
        <v>390</v>
      </c>
      <c r="AG19" s="161">
        <f t="shared" si="9"/>
        <v>0.99236641221374045</v>
      </c>
      <c r="AH19" s="160">
        <f t="shared" si="10"/>
        <v>20</v>
      </c>
      <c r="AI19" s="233">
        <f t="shared" si="11"/>
        <v>0</v>
      </c>
    </row>
    <row r="20" spans="1:47" ht="13" thickBot="1">
      <c r="A20" s="16" t="s">
        <v>5450</v>
      </c>
      <c r="B20" s="17">
        <v>21</v>
      </c>
      <c r="C20" s="17">
        <v>0</v>
      </c>
      <c r="D20" s="17">
        <v>0</v>
      </c>
      <c r="E20" s="17">
        <v>0</v>
      </c>
      <c r="F20" s="17">
        <f t="shared" si="0"/>
        <v>21</v>
      </c>
      <c r="G20" s="102">
        <f t="shared" si="1"/>
        <v>0</v>
      </c>
      <c r="H20" s="4"/>
      <c r="I20" s="99"/>
      <c r="J20" s="17"/>
      <c r="K20" s="17"/>
      <c r="L20" s="17"/>
      <c r="M20" s="17"/>
      <c r="N20" s="17">
        <f t="shared" si="12"/>
        <v>0</v>
      </c>
      <c r="O20" s="102">
        <f t="shared" si="13"/>
        <v>0</v>
      </c>
      <c r="P20" s="78" t="str">
        <f t="shared" si="25"/>
        <v/>
      </c>
      <c r="R20" s="162">
        <v>42947</v>
      </c>
      <c r="S20" s="174">
        <f>VLOOKUP($R20,'Update Log'!$A$1:$H$861,2)</f>
        <v>0</v>
      </c>
      <c r="T20" s="175">
        <f>VLOOKUP($R20,'Update Log'!$A$1:$H$861,3)</f>
        <v>1.5267175572519083E-2</v>
      </c>
      <c r="U20" s="176">
        <f>VLOOKUP($R20,'Update Log'!$A$1:$H$861,4)</f>
        <v>0</v>
      </c>
      <c r="V20" s="176">
        <f>VLOOKUP($R20,'Update Log'!$A$1:$H$861,5)</f>
        <v>6</v>
      </c>
      <c r="W20" s="176">
        <f>VLOOKUP($R20,'Update Log'!$A$1:$H$861,6)</f>
        <v>13</v>
      </c>
      <c r="X20" s="176">
        <f>VLOOKUP($R20,'Update Log'!$A$1:$H$861,7)</f>
        <v>374</v>
      </c>
      <c r="Y20" s="176">
        <f>VLOOKUP($R20,'Update Log'!$A$1:$H$861,8)</f>
        <v>393</v>
      </c>
      <c r="Z20" s="230">
        <f t="shared" si="3"/>
        <v>1</v>
      </c>
      <c r="AB20" s="16">
        <f t="shared" si="4"/>
        <v>42947</v>
      </c>
      <c r="AC20" s="160">
        <f t="shared" si="5"/>
        <v>6</v>
      </c>
      <c r="AD20" s="160">
        <f t="shared" si="6"/>
        <v>0</v>
      </c>
      <c r="AE20" s="160">
        <f t="shared" si="7"/>
        <v>393</v>
      </c>
      <c r="AF20" s="160">
        <f t="shared" si="8"/>
        <v>387</v>
      </c>
      <c r="AG20" s="161">
        <f t="shared" si="9"/>
        <v>0.98473282442748089</v>
      </c>
      <c r="AH20" s="160">
        <f t="shared" si="10"/>
        <v>13</v>
      </c>
      <c r="AI20" s="233">
        <f t="shared" si="11"/>
        <v>1</v>
      </c>
    </row>
    <row r="21" spans="1:47" ht="13" thickBot="1">
      <c r="A21" s="16"/>
      <c r="B21" s="17"/>
      <c r="C21" s="17"/>
      <c r="D21" s="17"/>
      <c r="E21" s="17"/>
      <c r="F21" s="17" t="str">
        <f t="shared" si="0"/>
        <v/>
      </c>
      <c r="G21" s="102" t="str">
        <f t="shared" si="1"/>
        <v/>
      </c>
      <c r="H21" s="4"/>
      <c r="I21" s="99"/>
      <c r="J21" s="17"/>
      <c r="K21" s="17"/>
      <c r="L21" s="17"/>
      <c r="M21" s="17"/>
      <c r="N21" s="17">
        <f t="shared" si="12"/>
        <v>0</v>
      </c>
      <c r="O21" s="102">
        <f t="shared" si="13"/>
        <v>0</v>
      </c>
      <c r="P21" s="78" t="str">
        <f t="shared" si="25"/>
        <v/>
      </c>
      <c r="R21" s="162">
        <v>42978</v>
      </c>
      <c r="S21" s="174">
        <f>VLOOKUP($R21,'Update Log'!$A$1:$H$861,2)</f>
        <v>0</v>
      </c>
      <c r="T21" s="175">
        <f>VLOOKUP($R21,'Update Log'!$A$1:$H$861,3)</f>
        <v>2.030456852791878E-2</v>
      </c>
      <c r="U21" s="176">
        <f>VLOOKUP($R21,'Update Log'!$A$1:$H$861,4)</f>
        <v>0</v>
      </c>
      <c r="V21" s="176">
        <f>VLOOKUP($R21,'Update Log'!$A$1:$H$861,5)</f>
        <v>8</v>
      </c>
      <c r="W21" s="176">
        <f>VLOOKUP($R21,'Update Log'!$A$1:$H$861,6)</f>
        <v>16</v>
      </c>
      <c r="X21" s="176">
        <f>VLOOKUP($R21,'Update Log'!$A$1:$H$861,7)</f>
        <v>370</v>
      </c>
      <c r="Y21" s="176">
        <f>VLOOKUP($R21,'Update Log'!$A$1:$H$861,8)</f>
        <v>394</v>
      </c>
      <c r="Z21" s="230">
        <f t="shared" si="3"/>
        <v>0</v>
      </c>
      <c r="AB21" s="16">
        <f t="shared" si="4"/>
        <v>42978</v>
      </c>
      <c r="AC21" s="160">
        <f t="shared" si="5"/>
        <v>8</v>
      </c>
      <c r="AD21" s="160">
        <f t="shared" si="6"/>
        <v>0</v>
      </c>
      <c r="AE21" s="160">
        <f t="shared" si="7"/>
        <v>394</v>
      </c>
      <c r="AF21" s="160">
        <f t="shared" si="8"/>
        <v>386</v>
      </c>
      <c r="AG21" s="161">
        <f t="shared" si="9"/>
        <v>0.97969543147208127</v>
      </c>
      <c r="AH21" s="160">
        <f t="shared" si="10"/>
        <v>16</v>
      </c>
      <c r="AI21" s="233">
        <f t="shared" si="11"/>
        <v>0</v>
      </c>
      <c r="AL21" s="181"/>
    </row>
    <row r="22" spans="1:47" ht="13" thickBot="1">
      <c r="A22" s="16"/>
      <c r="B22" s="17"/>
      <c r="C22" s="17"/>
      <c r="D22" s="17"/>
      <c r="E22" s="17"/>
      <c r="F22" s="17" t="str">
        <f t="shared" si="0"/>
        <v/>
      </c>
      <c r="G22" s="102" t="str">
        <f t="shared" si="1"/>
        <v/>
      </c>
      <c r="H22" s="4"/>
      <c r="I22" s="99"/>
      <c r="J22" s="17"/>
      <c r="K22" s="17"/>
      <c r="L22" s="17"/>
      <c r="M22" s="17"/>
      <c r="N22" s="17">
        <f t="shared" si="12"/>
        <v>0</v>
      </c>
      <c r="O22" s="102">
        <f t="shared" si="13"/>
        <v>0</v>
      </c>
      <c r="P22" s="78" t="str">
        <f t="shared" si="25"/>
        <v/>
      </c>
      <c r="R22" s="162">
        <v>43008</v>
      </c>
      <c r="S22" s="174">
        <f>VLOOKUP($R22,'Update Log'!$A$1:$H$861,2)</f>
        <v>1</v>
      </c>
      <c r="T22" s="175">
        <f>VLOOKUP($R22,'Update Log'!$A$1:$H$861,3)</f>
        <v>2.5188916876574307E-3</v>
      </c>
      <c r="U22" s="176">
        <f>VLOOKUP($R22,'Update Log'!$A$1:$H$861,4)</f>
        <v>1</v>
      </c>
      <c r="V22" s="176">
        <f>VLOOKUP($R22,'Update Log'!$A$1:$H$861,5)</f>
        <v>0</v>
      </c>
      <c r="W22" s="176">
        <f>VLOOKUP($R22,'Update Log'!$A$1:$H$861,6)</f>
        <v>30</v>
      </c>
      <c r="X22" s="176">
        <f>VLOOKUP($R22,'Update Log'!$A$1:$H$861,7)</f>
        <v>366</v>
      </c>
      <c r="Y22" s="176">
        <f>VLOOKUP($R22,'Update Log'!$A$1:$H$861,8)</f>
        <v>397</v>
      </c>
      <c r="Z22" s="230">
        <f t="shared" si="3"/>
        <v>0</v>
      </c>
      <c r="AB22" s="16">
        <f t="shared" si="4"/>
        <v>43008</v>
      </c>
      <c r="AC22" s="160">
        <f t="shared" si="5"/>
        <v>1</v>
      </c>
      <c r="AD22" s="160">
        <f t="shared" si="6"/>
        <v>1</v>
      </c>
      <c r="AE22" s="160">
        <f t="shared" si="7"/>
        <v>397</v>
      </c>
      <c r="AF22" s="160">
        <f t="shared" si="8"/>
        <v>396</v>
      </c>
      <c r="AG22" s="161">
        <f t="shared" si="9"/>
        <v>0.9974811083123426</v>
      </c>
      <c r="AH22" s="160">
        <f t="shared" si="10"/>
        <v>30</v>
      </c>
      <c r="AI22" s="233">
        <f t="shared" si="11"/>
        <v>0</v>
      </c>
    </row>
    <row r="23" spans="1:47" ht="13" thickBot="1">
      <c r="A23" s="16"/>
      <c r="B23" s="17"/>
      <c r="C23" s="17"/>
      <c r="D23" s="17"/>
      <c r="E23" s="17"/>
      <c r="F23" s="17" t="str">
        <f t="shared" si="0"/>
        <v/>
      </c>
      <c r="G23" s="102" t="str">
        <f t="shared" si="1"/>
        <v/>
      </c>
      <c r="H23" s="4"/>
      <c r="I23" s="99"/>
      <c r="J23" s="17"/>
      <c r="K23" s="17"/>
      <c r="L23" s="17"/>
      <c r="M23" s="17"/>
      <c r="N23" s="17">
        <f t="shared" si="12"/>
        <v>0</v>
      </c>
      <c r="O23" s="102">
        <f t="shared" si="13"/>
        <v>0</v>
      </c>
      <c r="P23" s="78" t="str">
        <f t="shared" si="25"/>
        <v/>
      </c>
      <c r="R23" s="162">
        <v>43039</v>
      </c>
      <c r="S23" s="174">
        <f>VLOOKUP($R23,'Update Log'!$A$1:$H$861,2)</f>
        <v>1</v>
      </c>
      <c r="T23" s="175">
        <f>VLOOKUP($R23,'Update Log'!$A$1:$H$861,3)</f>
        <v>7.556675062972292E-3</v>
      </c>
      <c r="U23" s="176">
        <f>VLOOKUP($R23,'Update Log'!$A$1:$H$861,4)</f>
        <v>1</v>
      </c>
      <c r="V23" s="176">
        <f>VLOOKUP($R23,'Update Log'!$A$1:$H$861,5)</f>
        <v>2</v>
      </c>
      <c r="W23" s="176">
        <f>VLOOKUP($R23,'Update Log'!$A$1:$H$861,6)</f>
        <v>70</v>
      </c>
      <c r="X23" s="176">
        <f>VLOOKUP($R23,'Update Log'!$A$1:$H$861,7)</f>
        <v>324</v>
      </c>
      <c r="Y23" s="176">
        <f>VLOOKUP($R23,'Update Log'!$A$1:$H$861,8)</f>
        <v>397</v>
      </c>
      <c r="Z23" s="230">
        <f t="shared" si="3"/>
        <v>0</v>
      </c>
      <c r="AB23" s="16">
        <f t="shared" si="4"/>
        <v>43039</v>
      </c>
      <c r="AC23" s="160">
        <f t="shared" si="5"/>
        <v>3</v>
      </c>
      <c r="AD23" s="160">
        <f t="shared" si="6"/>
        <v>1</v>
      </c>
      <c r="AE23" s="160">
        <f t="shared" si="7"/>
        <v>397</v>
      </c>
      <c r="AF23" s="160">
        <f t="shared" si="8"/>
        <v>394</v>
      </c>
      <c r="AG23" s="161">
        <f t="shared" si="9"/>
        <v>0.99244332493702769</v>
      </c>
      <c r="AH23" s="160">
        <f t="shared" si="10"/>
        <v>70</v>
      </c>
      <c r="AI23" s="233">
        <f t="shared" si="11"/>
        <v>0</v>
      </c>
      <c r="AL23" s="182"/>
    </row>
    <row r="24" spans="1:47" ht="13" thickBot="1">
      <c r="A24" s="16"/>
      <c r="B24" s="17"/>
      <c r="C24" s="17"/>
      <c r="D24" s="17"/>
      <c r="E24" s="17"/>
      <c r="F24" s="17" t="str">
        <f t="shared" si="0"/>
        <v/>
      </c>
      <c r="G24" s="102" t="str">
        <f t="shared" si="1"/>
        <v/>
      </c>
      <c r="H24" s="4"/>
      <c r="I24" s="99"/>
      <c r="J24" s="17"/>
      <c r="K24" s="17"/>
      <c r="L24" s="17"/>
      <c r="M24" s="17"/>
      <c r="N24" s="17">
        <f t="shared" si="12"/>
        <v>0</v>
      </c>
      <c r="O24" s="102">
        <f t="shared" si="13"/>
        <v>0</v>
      </c>
      <c r="P24" s="78" t="str">
        <f t="shared" si="25"/>
        <v/>
      </c>
      <c r="R24" s="162">
        <v>43069</v>
      </c>
      <c r="S24" s="174">
        <f>VLOOKUP($R24,'Update Log'!$A$1:$H$861,2)</f>
        <v>1</v>
      </c>
      <c r="T24" s="175">
        <f>VLOOKUP($R24,'Update Log'!$A$1:$H$861,3)</f>
        <v>1.0050251256281407E-2</v>
      </c>
      <c r="U24" s="176">
        <f>VLOOKUP($R24,'Update Log'!$A$1:$H$861,4)</f>
        <v>1</v>
      </c>
      <c r="V24" s="176">
        <f>VLOOKUP($R24,'Update Log'!$A$1:$H$861,5)</f>
        <v>3</v>
      </c>
      <c r="W24" s="176">
        <f>VLOOKUP($R24,'Update Log'!$A$1:$H$861,6)</f>
        <v>52</v>
      </c>
      <c r="X24" s="176">
        <f>VLOOKUP($R24,'Update Log'!$A$1:$H$861,7)</f>
        <v>342</v>
      </c>
      <c r="Y24" s="176">
        <f>VLOOKUP($R24,'Update Log'!$A$1:$H$861,8)</f>
        <v>398</v>
      </c>
      <c r="Z24" s="230">
        <f t="shared" si="3"/>
        <v>0</v>
      </c>
      <c r="AB24" s="16">
        <f t="shared" si="4"/>
        <v>43069</v>
      </c>
      <c r="AC24" s="160">
        <f t="shared" si="5"/>
        <v>4</v>
      </c>
      <c r="AD24" s="160">
        <f t="shared" si="6"/>
        <v>1</v>
      </c>
      <c r="AE24" s="160">
        <f t="shared" si="7"/>
        <v>398</v>
      </c>
      <c r="AF24" s="160">
        <f t="shared" si="8"/>
        <v>394</v>
      </c>
      <c r="AG24" s="161">
        <f t="shared" si="9"/>
        <v>0.98994974874371855</v>
      </c>
      <c r="AH24" s="160">
        <f t="shared" si="10"/>
        <v>52</v>
      </c>
      <c r="AI24" s="233">
        <f t="shared" si="11"/>
        <v>0</v>
      </c>
      <c r="AL24" s="117"/>
      <c r="AN24" s="181"/>
    </row>
    <row r="25" spans="1:47" ht="13" thickBot="1">
      <c r="A25" s="16"/>
      <c r="B25" s="17"/>
      <c r="C25" s="17"/>
      <c r="D25" s="17"/>
      <c r="E25" s="17"/>
      <c r="F25" s="17" t="str">
        <f t="shared" si="0"/>
        <v/>
      </c>
      <c r="G25" s="102" t="str">
        <f t="shared" si="1"/>
        <v/>
      </c>
      <c r="H25" s="4"/>
      <c r="I25" s="99"/>
      <c r="J25" s="17"/>
      <c r="K25" s="17"/>
      <c r="L25" s="17"/>
      <c r="M25" s="17"/>
      <c r="N25" s="17">
        <f t="shared" si="12"/>
        <v>0</v>
      </c>
      <c r="O25" s="102">
        <f t="shared" si="13"/>
        <v>0</v>
      </c>
      <c r="P25" s="78" t="str">
        <f t="shared" si="25"/>
        <v/>
      </c>
      <c r="R25" s="162">
        <v>43100</v>
      </c>
      <c r="S25" s="174">
        <f>VLOOKUP($R25,'Update Log'!$A$1:$H$861,2)</f>
        <v>0</v>
      </c>
      <c r="T25" s="175">
        <f>VLOOKUP($R25,'Update Log'!$A$1:$H$861,3)</f>
        <v>7.6726342710997444E-3</v>
      </c>
      <c r="U25" s="176">
        <f>VLOOKUP($R25,'Update Log'!$A$1:$H$861,4)</f>
        <v>0</v>
      </c>
      <c r="V25" s="176">
        <f>VLOOKUP($R25,'Update Log'!$A$1:$H$861,5)</f>
        <v>3</v>
      </c>
      <c r="W25" s="176">
        <f>VLOOKUP($R25,'Update Log'!$A$1:$H$861,6)</f>
        <v>26</v>
      </c>
      <c r="X25" s="176">
        <f>VLOOKUP($R25,'Update Log'!$A$1:$H$861,7)</f>
        <v>362</v>
      </c>
      <c r="Y25" s="176">
        <f>VLOOKUP($R25,'Update Log'!$A$1:$H$861,8)</f>
        <v>391</v>
      </c>
      <c r="Z25" s="230">
        <f t="shared" si="3"/>
        <v>1</v>
      </c>
      <c r="AB25" s="16">
        <f t="shared" si="4"/>
        <v>43100</v>
      </c>
      <c r="AC25" s="160">
        <f t="shared" si="5"/>
        <v>3</v>
      </c>
      <c r="AD25" s="160">
        <f t="shared" si="6"/>
        <v>0</v>
      </c>
      <c r="AE25" s="160">
        <f t="shared" si="7"/>
        <v>391</v>
      </c>
      <c r="AF25" s="160">
        <f t="shared" si="8"/>
        <v>388</v>
      </c>
      <c r="AG25" s="161">
        <f t="shared" si="9"/>
        <v>0.99232736572890023</v>
      </c>
      <c r="AH25" s="160">
        <f t="shared" si="10"/>
        <v>26</v>
      </c>
      <c r="AI25" s="233">
        <f t="shared" si="11"/>
        <v>1</v>
      </c>
    </row>
    <row r="26" spans="1:47" ht="13" thickBot="1">
      <c r="A26" s="16"/>
      <c r="B26" s="17"/>
      <c r="C26" s="17"/>
      <c r="D26" s="17"/>
      <c r="E26" s="17"/>
      <c r="F26" s="17" t="str">
        <f t="shared" si="0"/>
        <v/>
      </c>
      <c r="G26" s="102" t="str">
        <f t="shared" si="1"/>
        <v/>
      </c>
      <c r="H26" s="4"/>
      <c r="I26" s="99"/>
      <c r="J26" s="17"/>
      <c r="K26" s="17"/>
      <c r="L26" s="17"/>
      <c r="M26" s="17"/>
      <c r="N26" s="17">
        <f t="shared" si="12"/>
        <v>0</v>
      </c>
      <c r="O26" s="102">
        <f t="shared" si="13"/>
        <v>0</v>
      </c>
      <c r="P26" s="78" t="str">
        <f t="shared" si="25"/>
        <v/>
      </c>
      <c r="R26" s="162">
        <v>43131</v>
      </c>
      <c r="S26" s="174">
        <f>VLOOKUP($R26,'Update Log'!$A$1:$H$861,2)</f>
        <v>0</v>
      </c>
      <c r="T26" s="175">
        <f>VLOOKUP($R26,'Update Log'!$A$1:$H$861,3)</f>
        <v>0</v>
      </c>
      <c r="U26" s="176">
        <f>VLOOKUP($R26,'Update Log'!$A$1:$H$861,4)</f>
        <v>0</v>
      </c>
      <c r="V26" s="176">
        <f>VLOOKUP($R26,'Update Log'!$A$1:$H$861,5)</f>
        <v>0</v>
      </c>
      <c r="W26" s="176">
        <f>VLOOKUP($R26,'Update Log'!$A$1:$H$861,6)</f>
        <v>39</v>
      </c>
      <c r="X26" s="176">
        <f>VLOOKUP($R26,'Update Log'!$A$1:$H$861,7)</f>
        <v>352</v>
      </c>
      <c r="Y26" s="176">
        <f>VLOOKUP($R26,'Update Log'!$A$1:$H$861,8)</f>
        <v>391</v>
      </c>
      <c r="Z26" s="230">
        <f t="shared" si="3"/>
        <v>2</v>
      </c>
      <c r="AB26" s="16">
        <f t="shared" si="4"/>
        <v>43131</v>
      </c>
      <c r="AC26" s="160">
        <f t="shared" si="5"/>
        <v>0</v>
      </c>
      <c r="AD26" s="160">
        <f t="shared" si="6"/>
        <v>0</v>
      </c>
      <c r="AE26" s="160">
        <f t="shared" si="7"/>
        <v>391</v>
      </c>
      <c r="AF26" s="160">
        <f t="shared" si="8"/>
        <v>391</v>
      </c>
      <c r="AG26" s="161">
        <f t="shared" si="9"/>
        <v>1</v>
      </c>
      <c r="AH26" s="160">
        <f t="shared" si="10"/>
        <v>39</v>
      </c>
      <c r="AI26" s="233">
        <f t="shared" si="11"/>
        <v>2</v>
      </c>
    </row>
    <row r="27" spans="1:47" ht="13" thickBot="1">
      <c r="A27" s="16"/>
      <c r="B27" s="17"/>
      <c r="C27" s="17"/>
      <c r="D27" s="17"/>
      <c r="E27" s="17"/>
      <c r="F27" s="17" t="str">
        <f t="shared" si="0"/>
        <v/>
      </c>
      <c r="G27" s="102" t="str">
        <f t="shared" si="1"/>
        <v/>
      </c>
      <c r="H27" s="4"/>
      <c r="I27" s="99"/>
      <c r="J27" s="17"/>
      <c r="K27" s="17"/>
      <c r="L27" s="17"/>
      <c r="M27" s="17"/>
      <c r="N27" s="17">
        <f t="shared" si="12"/>
        <v>0</v>
      </c>
      <c r="O27" s="102">
        <f t="shared" si="13"/>
        <v>0</v>
      </c>
      <c r="P27" s="78" t="str">
        <f t="shared" si="25"/>
        <v/>
      </c>
      <c r="R27" s="162">
        <v>43159</v>
      </c>
      <c r="S27" s="174">
        <f>VLOOKUP($R27,'Update Log'!$A$1:$H$861,2)</f>
        <v>0</v>
      </c>
      <c r="T27" s="175">
        <f>VLOOKUP($R27,'Update Log'!$A$1:$H$861,3)</f>
        <v>7.6923076923076927E-3</v>
      </c>
      <c r="U27" s="176">
        <f>VLOOKUP($R27,'Update Log'!$A$1:$H$861,4)</f>
        <v>0</v>
      </c>
      <c r="V27" s="176">
        <f>VLOOKUP($R27,'Update Log'!$A$1:$H$861,5)</f>
        <v>3</v>
      </c>
      <c r="W27" s="176">
        <f>VLOOKUP($R27,'Update Log'!$A$1:$H$861,6)</f>
        <v>16</v>
      </c>
      <c r="X27" s="176">
        <f>VLOOKUP($R27,'Update Log'!$A$1:$H$861,7)</f>
        <v>371</v>
      </c>
      <c r="Y27" s="176">
        <f>VLOOKUP($R27,'Update Log'!$A$1:$H$861,8)</f>
        <v>390</v>
      </c>
      <c r="Z27" s="230">
        <f t="shared" si="3"/>
        <v>1</v>
      </c>
      <c r="AB27" s="16">
        <f t="shared" si="4"/>
        <v>43159</v>
      </c>
      <c r="AC27" s="160">
        <f t="shared" si="5"/>
        <v>3</v>
      </c>
      <c r="AD27" s="160">
        <f t="shared" si="6"/>
        <v>0</v>
      </c>
      <c r="AE27" s="160">
        <f t="shared" si="7"/>
        <v>390</v>
      </c>
      <c r="AF27" s="160">
        <f t="shared" si="8"/>
        <v>387</v>
      </c>
      <c r="AG27" s="161">
        <f t="shared" si="9"/>
        <v>0.99230769230769234</v>
      </c>
      <c r="AH27" s="160">
        <f t="shared" si="10"/>
        <v>16</v>
      </c>
      <c r="AI27" s="233">
        <f t="shared" si="11"/>
        <v>1</v>
      </c>
    </row>
    <row r="28" spans="1:47" ht="13" thickBot="1">
      <c r="A28" s="16"/>
      <c r="B28" s="17"/>
      <c r="C28" s="17"/>
      <c r="D28" s="17"/>
      <c r="E28" s="17"/>
      <c r="F28" s="17" t="str">
        <f t="shared" si="0"/>
        <v/>
      </c>
      <c r="G28" s="102" t="str">
        <f t="shared" si="1"/>
        <v/>
      </c>
      <c r="H28" s="4"/>
      <c r="I28" s="99"/>
      <c r="J28" s="17"/>
      <c r="K28" s="17"/>
      <c r="L28" s="17"/>
      <c r="M28" s="17"/>
      <c r="N28" s="17">
        <f t="shared" si="12"/>
        <v>0</v>
      </c>
      <c r="O28" s="102">
        <f t="shared" si="13"/>
        <v>0</v>
      </c>
      <c r="P28" s="78" t="str">
        <f t="shared" si="25"/>
        <v/>
      </c>
      <c r="R28" s="162">
        <v>43190</v>
      </c>
      <c r="S28" s="174">
        <f>VLOOKUP($R28,'Update Log'!$A$1:$H$861,2)</f>
        <v>0</v>
      </c>
      <c r="T28" s="175">
        <f>VLOOKUP($R28,'Update Log'!$A$1:$H$861,3)</f>
        <v>3.1007751937984496E-2</v>
      </c>
      <c r="U28" s="176">
        <f>VLOOKUP($R28,'Update Log'!$A$1:$H$861,4)</f>
        <v>0</v>
      </c>
      <c r="V28" s="176">
        <f>VLOOKUP($R28,'Update Log'!$A$1:$H$861,5)</f>
        <v>12</v>
      </c>
      <c r="W28" s="176">
        <f>VLOOKUP($R28,'Update Log'!$A$1:$H$861,6)</f>
        <v>13</v>
      </c>
      <c r="X28" s="176">
        <f>VLOOKUP($R28,'Update Log'!$A$1:$H$861,7)</f>
        <v>362</v>
      </c>
      <c r="Y28" s="176">
        <f>VLOOKUP($R28,'Update Log'!$A$1:$H$861,8)</f>
        <v>387</v>
      </c>
      <c r="Z28" s="230">
        <f t="shared" si="3"/>
        <v>0</v>
      </c>
      <c r="AB28" s="16">
        <f t="shared" si="4"/>
        <v>43190</v>
      </c>
      <c r="AC28" s="160">
        <f t="shared" si="5"/>
        <v>12</v>
      </c>
      <c r="AD28" s="160">
        <f t="shared" si="6"/>
        <v>0</v>
      </c>
      <c r="AE28" s="160">
        <f t="shared" si="7"/>
        <v>387</v>
      </c>
      <c r="AF28" s="160">
        <f t="shared" si="8"/>
        <v>375</v>
      </c>
      <c r="AG28" s="161">
        <f t="shared" si="9"/>
        <v>0.96899224806201545</v>
      </c>
      <c r="AH28" s="160">
        <f t="shared" si="10"/>
        <v>13</v>
      </c>
      <c r="AI28" s="233">
        <f t="shared" si="11"/>
        <v>0</v>
      </c>
    </row>
    <row r="29" spans="1:47" ht="13" thickBot="1">
      <c r="A29" s="16"/>
      <c r="B29" s="17"/>
      <c r="C29" s="17"/>
      <c r="D29" s="17"/>
      <c r="E29" s="17"/>
      <c r="F29" s="17" t="str">
        <f t="shared" si="0"/>
        <v/>
      </c>
      <c r="G29" s="102" t="str">
        <f t="shared" si="1"/>
        <v/>
      </c>
      <c r="H29" s="4"/>
      <c r="I29" s="99"/>
      <c r="J29" s="17"/>
      <c r="K29" s="17"/>
      <c r="L29" s="17"/>
      <c r="M29" s="17"/>
      <c r="N29" s="17">
        <f t="shared" si="12"/>
        <v>0</v>
      </c>
      <c r="O29" s="102">
        <f t="shared" si="13"/>
        <v>0</v>
      </c>
      <c r="P29" s="78" t="str">
        <f t="shared" si="25"/>
        <v/>
      </c>
      <c r="R29" s="162">
        <v>43220</v>
      </c>
      <c r="S29" s="174">
        <f>VLOOKUP($R29,'Update Log'!$A$1:$H$861,2)</f>
        <v>3</v>
      </c>
      <c r="T29" s="175">
        <f>VLOOKUP($R29,'Update Log'!$A$1:$H$861,3)</f>
        <v>7.6726342710997444E-3</v>
      </c>
      <c r="U29" s="176">
        <f>VLOOKUP($R29,'Update Log'!$A$1:$H$861,4)</f>
        <v>3</v>
      </c>
      <c r="V29" s="176">
        <f>VLOOKUP($R29,'Update Log'!$A$1:$H$861,5)</f>
        <v>0</v>
      </c>
      <c r="W29" s="176">
        <f>VLOOKUP($R29,'Update Log'!$A$1:$H$861,6)</f>
        <v>21</v>
      </c>
      <c r="X29" s="176">
        <f>VLOOKUP($R29,'Update Log'!$A$1:$H$861,7)</f>
        <v>367</v>
      </c>
      <c r="Y29" s="176">
        <f>VLOOKUP($R29,'Update Log'!$A$1:$H$861,8)</f>
        <v>391</v>
      </c>
      <c r="Z29" s="230">
        <f t="shared" ref="Z29:Z60" si="26">IF(S29&gt;0,0,IF(T29&gt;=0.02,0,IF(V29&gt;0,1,2)))</f>
        <v>0</v>
      </c>
      <c r="AB29" s="16">
        <f t="shared" si="4"/>
        <v>43220</v>
      </c>
      <c r="AC29" s="160">
        <f t="shared" si="5"/>
        <v>3</v>
      </c>
      <c r="AD29" s="160">
        <f t="shared" si="6"/>
        <v>3</v>
      </c>
      <c r="AE29" s="160">
        <f t="shared" si="7"/>
        <v>391</v>
      </c>
      <c r="AF29" s="160">
        <f t="shared" si="8"/>
        <v>388</v>
      </c>
      <c r="AG29" s="161">
        <f t="shared" si="9"/>
        <v>0.99232736572890023</v>
      </c>
      <c r="AH29" s="160">
        <f t="shared" si="10"/>
        <v>21</v>
      </c>
      <c r="AI29" s="233">
        <f t="shared" si="11"/>
        <v>0</v>
      </c>
    </row>
    <row r="30" spans="1:47" ht="13" thickBot="1">
      <c r="A30" s="16"/>
      <c r="B30" s="17"/>
      <c r="C30" s="17"/>
      <c r="D30" s="17"/>
      <c r="E30" s="17"/>
      <c r="F30" s="17" t="str">
        <f t="shared" si="0"/>
        <v/>
      </c>
      <c r="G30" s="102" t="str">
        <f t="shared" si="1"/>
        <v/>
      </c>
      <c r="H30" s="4"/>
      <c r="I30" s="99"/>
      <c r="J30" s="17"/>
      <c r="K30" s="17"/>
      <c r="L30" s="17"/>
      <c r="M30" s="17"/>
      <c r="N30" s="17">
        <f t="shared" si="12"/>
        <v>0</v>
      </c>
      <c r="O30" s="102">
        <f t="shared" si="13"/>
        <v>0</v>
      </c>
      <c r="P30" s="78" t="str">
        <f t="shared" si="25"/>
        <v/>
      </c>
      <c r="R30" s="162">
        <v>43251</v>
      </c>
      <c r="S30" s="174">
        <f>VLOOKUP($R30,'Update Log'!$A$1:$H$861,2)</f>
        <v>3</v>
      </c>
      <c r="T30" s="175">
        <f>VLOOKUP($R30,'Update Log'!$A$1:$H$861,3)</f>
        <v>2.0460358056265986E-2</v>
      </c>
      <c r="U30" s="176">
        <f>VLOOKUP($R30,'Update Log'!$A$1:$H$861,4)</f>
        <v>3</v>
      </c>
      <c r="V30" s="176">
        <f>VLOOKUP($R30,'Update Log'!$A$1:$H$861,5)</f>
        <v>5</v>
      </c>
      <c r="W30" s="176">
        <f>VLOOKUP($R30,'Update Log'!$A$1:$H$861,6)</f>
        <v>19</v>
      </c>
      <c r="X30" s="176">
        <f>VLOOKUP($R30,'Update Log'!$A$1:$H$861,7)</f>
        <v>364</v>
      </c>
      <c r="Y30" s="176">
        <f>VLOOKUP($R30,'Update Log'!$A$1:$H$861,8)</f>
        <v>391</v>
      </c>
      <c r="Z30" s="230">
        <f t="shared" si="26"/>
        <v>0</v>
      </c>
      <c r="AB30" s="16">
        <f t="shared" si="4"/>
        <v>43251</v>
      </c>
      <c r="AC30" s="160">
        <f t="shared" si="5"/>
        <v>8</v>
      </c>
      <c r="AD30" s="160">
        <f t="shared" si="6"/>
        <v>3</v>
      </c>
      <c r="AE30" s="160">
        <f t="shared" si="7"/>
        <v>391</v>
      </c>
      <c r="AF30" s="160">
        <f t="shared" si="8"/>
        <v>383</v>
      </c>
      <c r="AG30" s="161">
        <f t="shared" si="9"/>
        <v>0.979539641943734</v>
      </c>
      <c r="AH30" s="160">
        <f t="shared" si="10"/>
        <v>19</v>
      </c>
      <c r="AI30" s="233">
        <f t="shared" si="11"/>
        <v>0</v>
      </c>
    </row>
    <row r="31" spans="1:47" ht="13" thickBot="1">
      <c r="A31" s="16"/>
      <c r="B31" s="17"/>
      <c r="C31" s="17"/>
      <c r="D31" s="17"/>
      <c r="E31" s="17"/>
      <c r="F31" s="17" t="str">
        <f t="shared" si="0"/>
        <v/>
      </c>
      <c r="G31" s="102" t="str">
        <f t="shared" si="1"/>
        <v/>
      </c>
      <c r="H31" s="4"/>
      <c r="I31" s="99"/>
      <c r="J31" s="17"/>
      <c r="K31" s="17"/>
      <c r="L31" s="17"/>
      <c r="M31" s="17"/>
      <c r="N31" s="17">
        <f t="shared" si="12"/>
        <v>0</v>
      </c>
      <c r="O31" s="102">
        <f t="shared" si="13"/>
        <v>0</v>
      </c>
      <c r="P31" s="78" t="str">
        <f t="shared" si="25"/>
        <v/>
      </c>
      <c r="R31" s="162">
        <v>43281</v>
      </c>
      <c r="S31" s="174">
        <f>VLOOKUP($R31,'Update Log'!$A$1:$H$861,2)</f>
        <v>1</v>
      </c>
      <c r="T31" s="175">
        <f>VLOOKUP($R31,'Update Log'!$A$1:$H$861,3)</f>
        <v>5.0505050505050509E-3</v>
      </c>
      <c r="U31" s="176">
        <f>VLOOKUP($R31,'Update Log'!$A$1:$H$861,4)</f>
        <v>1</v>
      </c>
      <c r="V31" s="176">
        <f>VLOOKUP($R31,'Update Log'!$A$1:$H$861,5)</f>
        <v>1</v>
      </c>
      <c r="W31" s="176">
        <f>VLOOKUP($R31,'Update Log'!$A$1:$H$861,6)</f>
        <v>8</v>
      </c>
      <c r="X31" s="176">
        <f>VLOOKUP($R31,'Update Log'!$A$1:$H$861,7)</f>
        <v>386</v>
      </c>
      <c r="Y31" s="176">
        <f>VLOOKUP($R31,'Update Log'!$A$1:$H$861,8)</f>
        <v>396</v>
      </c>
      <c r="Z31" s="230">
        <f t="shared" si="26"/>
        <v>0</v>
      </c>
      <c r="AB31" s="16">
        <f t="shared" si="4"/>
        <v>43281</v>
      </c>
      <c r="AC31" s="160">
        <f t="shared" si="5"/>
        <v>2</v>
      </c>
      <c r="AD31" s="160">
        <f t="shared" si="6"/>
        <v>1</v>
      </c>
      <c r="AE31" s="160">
        <f t="shared" si="7"/>
        <v>396</v>
      </c>
      <c r="AF31" s="160">
        <f t="shared" si="8"/>
        <v>394</v>
      </c>
      <c r="AG31" s="161">
        <f t="shared" si="9"/>
        <v>0.99494949494949492</v>
      </c>
      <c r="AH31" s="160">
        <f t="shared" si="10"/>
        <v>8</v>
      </c>
      <c r="AI31" s="233">
        <f t="shared" si="11"/>
        <v>0</v>
      </c>
    </row>
    <row r="32" spans="1:47" ht="13" thickBot="1">
      <c r="A32" s="16"/>
      <c r="B32" s="17"/>
      <c r="C32" s="17"/>
      <c r="D32" s="17"/>
      <c r="E32" s="17"/>
      <c r="F32" s="17" t="str">
        <f t="shared" si="0"/>
        <v/>
      </c>
      <c r="G32" s="102" t="str">
        <f t="shared" si="1"/>
        <v/>
      </c>
      <c r="H32" s="4"/>
      <c r="I32" s="99"/>
      <c r="J32" s="17"/>
      <c r="K32" s="17"/>
      <c r="L32" s="17"/>
      <c r="M32" s="17"/>
      <c r="N32" s="17">
        <f t="shared" si="12"/>
        <v>0</v>
      </c>
      <c r="O32" s="102">
        <f t="shared" si="13"/>
        <v>0</v>
      </c>
      <c r="P32" s="78" t="str">
        <f t="shared" si="25"/>
        <v/>
      </c>
      <c r="R32" s="162">
        <v>43312</v>
      </c>
      <c r="S32" s="174">
        <f>VLOOKUP($R32,'Update Log'!$A$1:$H$861,2)</f>
        <v>1</v>
      </c>
      <c r="T32" s="175">
        <f>VLOOKUP($R32,'Update Log'!$A$1:$H$861,3)</f>
        <v>5.0125313283208017E-3</v>
      </c>
      <c r="U32" s="176">
        <f>VLOOKUP($R32,'Update Log'!$A$1:$H$861,4)</f>
        <v>1</v>
      </c>
      <c r="V32" s="176">
        <f>VLOOKUP($R32,'Update Log'!$A$1:$H$861,5)</f>
        <v>1</v>
      </c>
      <c r="W32" s="176">
        <f>VLOOKUP($R32,'Update Log'!$A$1:$H$861,6)</f>
        <v>2</v>
      </c>
      <c r="X32" s="176">
        <f>VLOOKUP($R32,'Update Log'!$A$1:$H$861,7)</f>
        <v>395</v>
      </c>
      <c r="Y32" s="176">
        <f>VLOOKUP($R32,'Update Log'!$A$1:$H$861,8)</f>
        <v>399</v>
      </c>
      <c r="Z32" s="230">
        <f t="shared" si="26"/>
        <v>0</v>
      </c>
      <c r="AB32" s="16">
        <f t="shared" si="4"/>
        <v>43312</v>
      </c>
      <c r="AC32" s="160">
        <f t="shared" si="5"/>
        <v>2</v>
      </c>
      <c r="AD32" s="160">
        <f t="shared" si="6"/>
        <v>1</v>
      </c>
      <c r="AE32" s="160">
        <f t="shared" si="7"/>
        <v>399</v>
      </c>
      <c r="AF32" s="160">
        <f t="shared" si="8"/>
        <v>397</v>
      </c>
      <c r="AG32" s="161">
        <f t="shared" si="9"/>
        <v>0.9949874686716792</v>
      </c>
      <c r="AH32" s="160">
        <f t="shared" si="10"/>
        <v>2</v>
      </c>
      <c r="AI32" s="233">
        <f t="shared" si="11"/>
        <v>0</v>
      </c>
    </row>
    <row r="33" spans="1:35" ht="13" thickBot="1">
      <c r="A33" s="16"/>
      <c r="B33" s="17"/>
      <c r="C33" s="17"/>
      <c r="D33" s="17"/>
      <c r="E33" s="17"/>
      <c r="F33" s="17" t="str">
        <f t="shared" si="0"/>
        <v/>
      </c>
      <c r="G33" s="102" t="str">
        <f t="shared" si="1"/>
        <v/>
      </c>
      <c r="H33" s="4"/>
      <c r="I33" s="99"/>
      <c r="J33" s="17"/>
      <c r="K33" s="17"/>
      <c r="L33" s="17"/>
      <c r="M33" s="17"/>
      <c r="N33" s="17">
        <f t="shared" si="12"/>
        <v>0</v>
      </c>
      <c r="O33" s="102">
        <f t="shared" si="13"/>
        <v>0</v>
      </c>
      <c r="P33" s="78" t="str">
        <f t="shared" si="25"/>
        <v/>
      </c>
      <c r="R33" s="162">
        <v>43343</v>
      </c>
      <c r="S33" s="174">
        <f>VLOOKUP($R33,'Update Log'!$A$1:$H$861,2)</f>
        <v>1</v>
      </c>
      <c r="T33" s="175">
        <f>VLOOKUP($R33,'Update Log'!$A$1:$H$861,3)</f>
        <v>2.5062656641604009E-3</v>
      </c>
      <c r="U33" s="176">
        <f>VLOOKUP($R33,'Update Log'!$A$1:$H$861,4)</f>
        <v>1</v>
      </c>
      <c r="V33" s="176">
        <f>VLOOKUP($R33,'Update Log'!$A$1:$H$861,5)</f>
        <v>0</v>
      </c>
      <c r="W33" s="176">
        <f>VLOOKUP($R33,'Update Log'!$A$1:$H$861,6)</f>
        <v>3</v>
      </c>
      <c r="X33" s="176">
        <f>VLOOKUP($R33,'Update Log'!$A$1:$H$861,7)</f>
        <v>395</v>
      </c>
      <c r="Y33" s="176">
        <f>VLOOKUP($R33,'Update Log'!$A$1:$H$861,8)</f>
        <v>399</v>
      </c>
      <c r="Z33" s="230">
        <f t="shared" si="26"/>
        <v>0</v>
      </c>
      <c r="AB33" s="16">
        <f t="shared" si="4"/>
        <v>43343</v>
      </c>
      <c r="AC33" s="160">
        <f t="shared" si="5"/>
        <v>1</v>
      </c>
      <c r="AD33" s="160">
        <f t="shared" si="6"/>
        <v>1</v>
      </c>
      <c r="AE33" s="160">
        <f t="shared" si="7"/>
        <v>399</v>
      </c>
      <c r="AF33" s="160">
        <f t="shared" si="8"/>
        <v>398</v>
      </c>
      <c r="AG33" s="161">
        <f t="shared" si="9"/>
        <v>0.99749373433583965</v>
      </c>
      <c r="AH33" s="160">
        <f t="shared" si="10"/>
        <v>3</v>
      </c>
      <c r="AI33" s="233">
        <f t="shared" si="11"/>
        <v>0</v>
      </c>
    </row>
    <row r="34" spans="1:35" ht="13" thickBot="1">
      <c r="A34" s="16"/>
      <c r="B34" s="17"/>
      <c r="C34" s="17"/>
      <c r="D34" s="17"/>
      <c r="E34" s="17"/>
      <c r="F34" s="17" t="str">
        <f t="shared" si="0"/>
        <v/>
      </c>
      <c r="G34" s="102" t="str">
        <f t="shared" si="1"/>
        <v/>
      </c>
      <c r="H34" s="4"/>
      <c r="I34" s="99"/>
      <c r="J34" s="17"/>
      <c r="K34" s="17"/>
      <c r="L34" s="17"/>
      <c r="M34" s="17"/>
      <c r="N34" s="17">
        <f t="shared" si="12"/>
        <v>0</v>
      </c>
      <c r="O34" s="102">
        <f t="shared" si="13"/>
        <v>0</v>
      </c>
      <c r="P34" s="78" t="str">
        <f t="shared" si="25"/>
        <v/>
      </c>
      <c r="R34" s="162">
        <v>43373</v>
      </c>
      <c r="S34" s="174">
        <f>VLOOKUP($R34,'Update Log'!$A$1:$H$861,2)</f>
        <v>1</v>
      </c>
      <c r="T34" s="175">
        <f>VLOOKUP($R34,'Update Log'!$A$1:$H$861,3)</f>
        <v>2.5000000000000001E-3</v>
      </c>
      <c r="U34" s="176">
        <f>VLOOKUP($R34,'Update Log'!$A$1:$H$861,4)</f>
        <v>1</v>
      </c>
      <c r="V34" s="176">
        <f>VLOOKUP($R34,'Update Log'!$A$1:$H$861,5)</f>
        <v>0</v>
      </c>
      <c r="W34" s="176">
        <f>VLOOKUP($R34,'Update Log'!$A$1:$H$861,6)</f>
        <v>15</v>
      </c>
      <c r="X34" s="176">
        <f>VLOOKUP($R34,'Update Log'!$A$1:$H$861,7)</f>
        <v>384</v>
      </c>
      <c r="Y34" s="176">
        <f>VLOOKUP($R34,'Update Log'!$A$1:$H$861,8)</f>
        <v>400</v>
      </c>
      <c r="Z34" s="230">
        <f t="shared" si="26"/>
        <v>0</v>
      </c>
      <c r="AB34" s="16">
        <f t="shared" si="4"/>
        <v>43373</v>
      </c>
      <c r="AC34" s="160">
        <f t="shared" si="5"/>
        <v>1</v>
      </c>
      <c r="AD34" s="160">
        <f t="shared" si="6"/>
        <v>1</v>
      </c>
      <c r="AE34" s="160">
        <f t="shared" si="7"/>
        <v>400</v>
      </c>
      <c r="AF34" s="160">
        <f t="shared" si="8"/>
        <v>399</v>
      </c>
      <c r="AG34" s="161">
        <f t="shared" si="9"/>
        <v>0.99750000000000005</v>
      </c>
      <c r="AH34" s="160">
        <f t="shared" si="10"/>
        <v>15</v>
      </c>
      <c r="AI34" s="233">
        <f t="shared" si="11"/>
        <v>0</v>
      </c>
    </row>
    <row r="35" spans="1:35" ht="13" thickBot="1">
      <c r="A35" s="16"/>
      <c r="B35" s="17"/>
      <c r="C35" s="17"/>
      <c r="D35" s="17"/>
      <c r="E35" s="17"/>
      <c r="F35" s="17" t="str">
        <f t="shared" si="0"/>
        <v/>
      </c>
      <c r="G35" s="102" t="str">
        <f t="shared" si="1"/>
        <v/>
      </c>
      <c r="H35" s="4"/>
      <c r="I35" s="99"/>
      <c r="J35" s="17"/>
      <c r="K35" s="17"/>
      <c r="L35" s="17"/>
      <c r="M35" s="17"/>
      <c r="N35" s="17">
        <f t="shared" si="12"/>
        <v>0</v>
      </c>
      <c r="O35" s="102">
        <f t="shared" si="13"/>
        <v>0</v>
      </c>
      <c r="P35" s="78" t="str">
        <f t="shared" si="25"/>
        <v/>
      </c>
      <c r="R35" s="162">
        <v>43404</v>
      </c>
      <c r="S35" s="174">
        <f>VLOOKUP($R35,'Update Log'!$A$1:$H$861,2)</f>
        <v>0</v>
      </c>
      <c r="T35" s="175">
        <f>VLOOKUP($R35,'Update Log'!$A$1:$H$861,3)</f>
        <v>0</v>
      </c>
      <c r="U35" s="176">
        <f>VLOOKUP($R35,'Update Log'!$A$1:$H$861,4)</f>
        <v>0</v>
      </c>
      <c r="V35" s="176">
        <f>VLOOKUP($R35,'Update Log'!$A$1:$H$861,5)</f>
        <v>0</v>
      </c>
      <c r="W35" s="176">
        <f>VLOOKUP($R35,'Update Log'!$A$1:$H$861,6)</f>
        <v>43</v>
      </c>
      <c r="X35" s="176">
        <f>VLOOKUP($R35,'Update Log'!$A$1:$H$861,7)</f>
        <v>356</v>
      </c>
      <c r="Y35" s="176">
        <f>VLOOKUP($R35,'Update Log'!$A$1:$H$861,8)</f>
        <v>399</v>
      </c>
      <c r="Z35" s="230">
        <f t="shared" si="26"/>
        <v>2</v>
      </c>
      <c r="AB35" s="16">
        <f t="shared" ref="AB35:AB66" si="27">R35</f>
        <v>43404</v>
      </c>
      <c r="AC35" s="160">
        <f t="shared" ref="AC35:AC66" si="28">U35+V35</f>
        <v>0</v>
      </c>
      <c r="AD35" s="160">
        <f t="shared" ref="AD35:AD66" si="29">S35</f>
        <v>0</v>
      </c>
      <c r="AE35" s="160">
        <f t="shared" ref="AE35:AE66" si="30">Y35</f>
        <v>399</v>
      </c>
      <c r="AF35" s="160">
        <f t="shared" ref="AF35:AF66" si="31">W35+X35</f>
        <v>399</v>
      </c>
      <c r="AG35" s="161">
        <f t="shared" ref="AG35:AG66" si="32">1-T35</f>
        <v>1</v>
      </c>
      <c r="AH35" s="160">
        <f t="shared" ref="AH35:AH66" si="33">W35</f>
        <v>43</v>
      </c>
      <c r="AI35" s="233">
        <f t="shared" si="11"/>
        <v>2</v>
      </c>
    </row>
    <row r="36" spans="1:35" ht="13" thickBot="1">
      <c r="A36" s="16"/>
      <c r="B36" s="17"/>
      <c r="C36" s="17"/>
      <c r="D36" s="17"/>
      <c r="E36" s="17"/>
      <c r="F36" s="17" t="str">
        <f t="shared" si="0"/>
        <v/>
      </c>
      <c r="G36" s="102" t="str">
        <f t="shared" si="1"/>
        <v/>
      </c>
      <c r="H36" s="4"/>
      <c r="I36" s="99"/>
      <c r="J36" s="17"/>
      <c r="K36" s="17"/>
      <c r="L36" s="17"/>
      <c r="M36" s="17"/>
      <c r="N36" s="17">
        <f t="shared" si="12"/>
        <v>0</v>
      </c>
      <c r="O36" s="102">
        <f t="shared" si="13"/>
        <v>0</v>
      </c>
      <c r="P36" s="78" t="str">
        <f t="shared" si="25"/>
        <v/>
      </c>
      <c r="R36" s="162">
        <v>43434</v>
      </c>
      <c r="S36" s="174">
        <f>VLOOKUP($R36,'Update Log'!$A$1:$H$861,2)</f>
        <v>0</v>
      </c>
      <c r="T36" s="175">
        <f>VLOOKUP($R36,'Update Log'!$A$1:$H$861,3)</f>
        <v>5.0505050505050509E-3</v>
      </c>
      <c r="U36" s="176">
        <f>VLOOKUP($R36,'Update Log'!$A$1:$H$861,4)</f>
        <v>0</v>
      </c>
      <c r="V36" s="176">
        <f>VLOOKUP($R36,'Update Log'!$A$1:$H$861,5)</f>
        <v>2</v>
      </c>
      <c r="W36" s="176">
        <f>VLOOKUP($R36,'Update Log'!$A$1:$H$861,6)</f>
        <v>8</v>
      </c>
      <c r="X36" s="176">
        <f>VLOOKUP($R36,'Update Log'!$A$1:$H$861,7)</f>
        <v>386</v>
      </c>
      <c r="Y36" s="176">
        <f>VLOOKUP($R36,'Update Log'!$A$1:$H$861,8)</f>
        <v>396</v>
      </c>
      <c r="Z36" s="230">
        <f t="shared" si="26"/>
        <v>1</v>
      </c>
      <c r="AB36" s="16">
        <f t="shared" si="27"/>
        <v>43434</v>
      </c>
      <c r="AC36" s="160">
        <f t="shared" si="28"/>
        <v>2</v>
      </c>
      <c r="AD36" s="160">
        <f t="shared" si="29"/>
        <v>0</v>
      </c>
      <c r="AE36" s="160">
        <f t="shared" si="30"/>
        <v>396</v>
      </c>
      <c r="AF36" s="160">
        <f t="shared" si="31"/>
        <v>394</v>
      </c>
      <c r="AG36" s="161">
        <f t="shared" si="32"/>
        <v>0.99494949494949492</v>
      </c>
      <c r="AH36" s="160">
        <f t="shared" si="33"/>
        <v>8</v>
      </c>
      <c r="AI36" s="233">
        <f t="shared" ref="AI36:AI58" si="34">Z36</f>
        <v>1</v>
      </c>
    </row>
    <row r="37" spans="1:35" ht="13" thickBot="1">
      <c r="A37" s="79"/>
      <c r="B37" s="80"/>
      <c r="C37" s="80"/>
      <c r="D37" s="80"/>
      <c r="E37" s="80"/>
      <c r="F37" s="17" t="str">
        <f t="shared" si="0"/>
        <v/>
      </c>
      <c r="G37" s="102" t="str">
        <f t="shared" si="1"/>
        <v/>
      </c>
      <c r="H37" s="4"/>
      <c r="I37" s="99"/>
      <c r="J37" s="17"/>
      <c r="K37" s="17"/>
      <c r="L37" s="17"/>
      <c r="M37" s="17"/>
      <c r="N37" s="17">
        <f t="shared" si="12"/>
        <v>0</v>
      </c>
      <c r="O37" s="102">
        <f t="shared" si="13"/>
        <v>0</v>
      </c>
      <c r="P37" s="107" t="str">
        <f t="shared" si="25"/>
        <v/>
      </c>
      <c r="R37" s="162">
        <v>43465</v>
      </c>
      <c r="S37" s="174">
        <f>VLOOKUP($R37,'Update Log'!$A$1:$H$861,2)</f>
        <v>0</v>
      </c>
      <c r="T37" s="175">
        <f>VLOOKUP($R37,'Update Log'!$A$1:$H$861,3)</f>
        <v>5.0377833753148613E-3</v>
      </c>
      <c r="U37" s="176">
        <f>VLOOKUP($R37,'Update Log'!$A$1:$H$861,4)</f>
        <v>0</v>
      </c>
      <c r="V37" s="176">
        <f>VLOOKUP($R37,'Update Log'!$A$1:$H$861,5)</f>
        <v>2</v>
      </c>
      <c r="W37" s="176">
        <f>VLOOKUP($R37,'Update Log'!$A$1:$H$861,6)</f>
        <v>42</v>
      </c>
      <c r="X37" s="176">
        <f>VLOOKUP($R37,'Update Log'!$A$1:$H$861,7)</f>
        <v>353</v>
      </c>
      <c r="Y37" s="176">
        <f>VLOOKUP($R37,'Update Log'!$A$1:$H$861,8)</f>
        <v>397</v>
      </c>
      <c r="Z37" s="230">
        <f t="shared" si="26"/>
        <v>1</v>
      </c>
      <c r="AB37" s="16">
        <f t="shared" si="27"/>
        <v>43465</v>
      </c>
      <c r="AC37" s="160">
        <f t="shared" si="28"/>
        <v>2</v>
      </c>
      <c r="AD37" s="160">
        <f t="shared" si="29"/>
        <v>0</v>
      </c>
      <c r="AE37" s="160">
        <f t="shared" si="30"/>
        <v>397</v>
      </c>
      <c r="AF37" s="160">
        <f t="shared" si="31"/>
        <v>395</v>
      </c>
      <c r="AG37" s="161">
        <f t="shared" si="32"/>
        <v>0.99496221662468509</v>
      </c>
      <c r="AH37" s="160">
        <f t="shared" si="33"/>
        <v>42</v>
      </c>
      <c r="AI37" s="233">
        <f t="shared" si="34"/>
        <v>1</v>
      </c>
    </row>
    <row r="38" spans="1:35" ht="13.5" thickBot="1">
      <c r="A38" s="81" t="s">
        <v>0</v>
      </c>
      <c r="B38" s="82">
        <f>SUM(B3:B37)</f>
        <v>444</v>
      </c>
      <c r="C38" s="82">
        <f>SUM(C3:C37)</f>
        <v>8</v>
      </c>
      <c r="D38" s="82">
        <f>SUM(D3:D37)</f>
        <v>1</v>
      </c>
      <c r="E38" s="82">
        <f>SUM(E3:E37)</f>
        <v>0</v>
      </c>
      <c r="F38" s="82">
        <f>SUM(F3:F37)</f>
        <v>453</v>
      </c>
      <c r="G38" s="106">
        <f t="shared" ref="G38" si="35">IF(F38&lt;&gt;0,(D38+E38)/F38,0)</f>
        <v>2.2075055187637969E-3</v>
      </c>
      <c r="H38" s="4"/>
      <c r="I38" s="81" t="s">
        <v>0</v>
      </c>
      <c r="J38" s="82">
        <f>SUM(J3:J37)</f>
        <v>444</v>
      </c>
      <c r="K38" s="82">
        <f>SUM(K3:K37)</f>
        <v>8</v>
      </c>
      <c r="L38" s="82">
        <f>SUM(L3:L37)</f>
        <v>1</v>
      </c>
      <c r="M38" s="82">
        <f>SUM(M3:M37)</f>
        <v>0</v>
      </c>
      <c r="N38" s="82">
        <f>SUM(N3:N37)</f>
        <v>453</v>
      </c>
      <c r="O38" s="106">
        <f t="shared" si="13"/>
        <v>2.2075055187637969E-3</v>
      </c>
      <c r="P38" s="108" t="str">
        <f t="shared" si="25"/>
        <v>Amber</v>
      </c>
      <c r="R38" s="162">
        <v>43496</v>
      </c>
      <c r="S38" s="174">
        <f>VLOOKUP($R38,'Update Log'!$A$1:$H$861,2)</f>
        <v>0</v>
      </c>
      <c r="T38" s="175">
        <f>VLOOKUP($R38,'Update Log'!$A$1:$H$861,3)</f>
        <v>2.4691358024691358E-3</v>
      </c>
      <c r="U38" s="176">
        <f>VLOOKUP($R38,'Update Log'!$A$1:$H$861,4)</f>
        <v>0</v>
      </c>
      <c r="V38" s="176">
        <f>VLOOKUP($R38,'Update Log'!$A$1:$H$861,5)</f>
        <v>1</v>
      </c>
      <c r="W38" s="176">
        <f>VLOOKUP($R38,'Update Log'!$A$1:$H$861,6)</f>
        <v>50</v>
      </c>
      <c r="X38" s="176">
        <f>VLOOKUP($R38,'Update Log'!$A$1:$H$861,7)</f>
        <v>354</v>
      </c>
      <c r="Y38" s="176">
        <f>VLOOKUP($R38,'Update Log'!$A$1:$H$861,8)</f>
        <v>405</v>
      </c>
      <c r="Z38" s="230">
        <f t="shared" si="26"/>
        <v>1</v>
      </c>
      <c r="AB38" s="16">
        <f t="shared" si="27"/>
        <v>43496</v>
      </c>
      <c r="AC38" s="160">
        <f t="shared" si="28"/>
        <v>1</v>
      </c>
      <c r="AD38" s="160">
        <f t="shared" si="29"/>
        <v>0</v>
      </c>
      <c r="AE38" s="160">
        <f t="shared" si="30"/>
        <v>405</v>
      </c>
      <c r="AF38" s="160">
        <f t="shared" si="31"/>
        <v>404</v>
      </c>
      <c r="AG38" s="161">
        <f t="shared" si="32"/>
        <v>0.9975308641975309</v>
      </c>
      <c r="AH38" s="160">
        <f t="shared" si="33"/>
        <v>50</v>
      </c>
      <c r="AI38" s="233">
        <f t="shared" si="34"/>
        <v>1</v>
      </c>
    </row>
    <row r="39" spans="1:35" ht="13" thickBot="1">
      <c r="R39" s="162">
        <v>43524</v>
      </c>
      <c r="S39" s="174">
        <f>VLOOKUP($R39,'Update Log'!$A$1:$H$861,2)</f>
        <v>0</v>
      </c>
      <c r="T39" s="175">
        <f>VLOOKUP($R39,'Update Log'!$A$1:$H$861,3)</f>
        <v>0</v>
      </c>
      <c r="U39" s="176">
        <f>VLOOKUP($R39,'Update Log'!$A$1:$H$861,4)</f>
        <v>0</v>
      </c>
      <c r="V39" s="176">
        <f>VLOOKUP($R39,'Update Log'!$A$1:$H$861,5)</f>
        <v>0</v>
      </c>
      <c r="W39" s="176">
        <f>VLOOKUP($R39,'Update Log'!$A$1:$H$861,6)</f>
        <v>16</v>
      </c>
      <c r="X39" s="176">
        <f>VLOOKUP($R39,'Update Log'!$A$1:$H$861,7)</f>
        <v>375</v>
      </c>
      <c r="Y39" s="176">
        <f>VLOOKUP($R39,'Update Log'!$A$1:$H$861,8)</f>
        <v>391</v>
      </c>
      <c r="Z39" s="230">
        <f t="shared" si="26"/>
        <v>2</v>
      </c>
      <c r="AB39" s="16">
        <f t="shared" si="27"/>
        <v>43524</v>
      </c>
      <c r="AC39" s="160">
        <f t="shared" si="28"/>
        <v>0</v>
      </c>
      <c r="AD39" s="160">
        <f t="shared" si="29"/>
        <v>0</v>
      </c>
      <c r="AE39" s="160">
        <f t="shared" si="30"/>
        <v>391</v>
      </c>
      <c r="AF39" s="160">
        <f t="shared" si="31"/>
        <v>391</v>
      </c>
      <c r="AG39" s="161">
        <f t="shared" si="32"/>
        <v>1</v>
      </c>
      <c r="AH39" s="160">
        <f t="shared" si="33"/>
        <v>16</v>
      </c>
      <c r="AI39" s="233">
        <f t="shared" si="34"/>
        <v>2</v>
      </c>
    </row>
    <row r="40" spans="1:35" ht="13" thickBot="1">
      <c r="R40" s="162">
        <v>43555</v>
      </c>
      <c r="S40" s="174">
        <f>VLOOKUP($R40,'Update Log'!$A$1:$H$861,2)</f>
        <v>0</v>
      </c>
      <c r="T40" s="175">
        <f>VLOOKUP($R40,'Update Log'!$A$1:$H$861,3)</f>
        <v>0</v>
      </c>
      <c r="U40" s="176">
        <f>VLOOKUP($R40,'Update Log'!$A$1:$H$861,4)</f>
        <v>0</v>
      </c>
      <c r="V40" s="176">
        <f>VLOOKUP($R40,'Update Log'!$A$1:$H$861,5)</f>
        <v>0</v>
      </c>
      <c r="W40" s="176">
        <f>VLOOKUP($R40,'Update Log'!$A$1:$H$861,6)</f>
        <v>32</v>
      </c>
      <c r="X40" s="176">
        <f>VLOOKUP($R40,'Update Log'!$A$1:$H$861,7)</f>
        <v>380</v>
      </c>
      <c r="Y40" s="176">
        <f>VLOOKUP($R40,'Update Log'!$A$1:$H$861,8)</f>
        <v>412</v>
      </c>
      <c r="Z40" s="230">
        <f t="shared" si="26"/>
        <v>2</v>
      </c>
      <c r="AB40" s="16">
        <f t="shared" si="27"/>
        <v>43555</v>
      </c>
      <c r="AC40" s="160">
        <f t="shared" si="28"/>
        <v>0</v>
      </c>
      <c r="AD40" s="160">
        <f t="shared" si="29"/>
        <v>0</v>
      </c>
      <c r="AE40" s="160">
        <f t="shared" si="30"/>
        <v>412</v>
      </c>
      <c r="AF40" s="160">
        <f t="shared" si="31"/>
        <v>412</v>
      </c>
      <c r="AG40" s="161">
        <f t="shared" si="32"/>
        <v>1</v>
      </c>
      <c r="AH40" s="160">
        <f t="shared" si="33"/>
        <v>32</v>
      </c>
      <c r="AI40" s="233">
        <f t="shared" si="34"/>
        <v>2</v>
      </c>
    </row>
    <row r="41" spans="1:35" ht="13" thickBot="1">
      <c r="R41" s="162">
        <v>43585</v>
      </c>
      <c r="S41" s="174">
        <f>VLOOKUP($R41,'Update Log'!$A$1:$H$861,2)</f>
        <v>0</v>
      </c>
      <c r="T41" s="175">
        <f>VLOOKUP($R41,'Update Log'!$A$1:$H$861,3)</f>
        <v>0</v>
      </c>
      <c r="U41" s="176">
        <f>VLOOKUP($R41,'Update Log'!$A$1:$H$861,4)</f>
        <v>0</v>
      </c>
      <c r="V41" s="176">
        <f>VLOOKUP($R41,'Update Log'!$A$1:$H$861,5)</f>
        <v>0</v>
      </c>
      <c r="W41" s="176">
        <f>VLOOKUP($R41,'Update Log'!$A$1:$H$861,6)</f>
        <v>61</v>
      </c>
      <c r="X41" s="176">
        <f>VLOOKUP($R41,'Update Log'!$A$1:$H$861,7)</f>
        <v>350</v>
      </c>
      <c r="Y41" s="176">
        <f>VLOOKUP($R41,'Update Log'!$A$1:$H$861,8)</f>
        <v>411</v>
      </c>
      <c r="Z41" s="230">
        <f t="shared" si="26"/>
        <v>2</v>
      </c>
      <c r="AB41" s="16">
        <f t="shared" si="27"/>
        <v>43585</v>
      </c>
      <c r="AC41" s="160">
        <f t="shared" si="28"/>
        <v>0</v>
      </c>
      <c r="AD41" s="160">
        <f t="shared" si="29"/>
        <v>0</v>
      </c>
      <c r="AE41" s="160">
        <f t="shared" si="30"/>
        <v>411</v>
      </c>
      <c r="AF41" s="160">
        <f t="shared" si="31"/>
        <v>411</v>
      </c>
      <c r="AG41" s="161">
        <f t="shared" si="32"/>
        <v>1</v>
      </c>
      <c r="AH41" s="160">
        <f t="shared" si="33"/>
        <v>61</v>
      </c>
      <c r="AI41" s="233">
        <f t="shared" si="34"/>
        <v>2</v>
      </c>
    </row>
    <row r="42" spans="1:35" ht="13" thickBot="1">
      <c r="R42" s="162">
        <v>43616</v>
      </c>
      <c r="S42" s="174">
        <f>VLOOKUP($R42,'Update Log'!$A$1:$H$861,2)</f>
        <v>0</v>
      </c>
      <c r="T42" s="175">
        <f>VLOOKUP($R42,'Update Log'!$A$1:$H$861,3)</f>
        <v>0</v>
      </c>
      <c r="U42" s="176">
        <f>VLOOKUP($R42,'Update Log'!$A$1:$H$861,4)</f>
        <v>0</v>
      </c>
      <c r="V42" s="176">
        <f>VLOOKUP($R42,'Update Log'!$A$1:$H$861,5)</f>
        <v>0</v>
      </c>
      <c r="W42" s="176">
        <f>VLOOKUP($R42,'Update Log'!$A$1:$H$861,6)</f>
        <v>23</v>
      </c>
      <c r="X42" s="176">
        <f>VLOOKUP($R42,'Update Log'!$A$1:$H$861,7)</f>
        <v>388</v>
      </c>
      <c r="Y42" s="176">
        <f>VLOOKUP($R42,'Update Log'!$A$1:$H$861,8)</f>
        <v>411</v>
      </c>
      <c r="Z42" s="230">
        <f t="shared" si="26"/>
        <v>2</v>
      </c>
      <c r="AB42" s="16">
        <f t="shared" si="27"/>
        <v>43616</v>
      </c>
      <c r="AC42" s="160">
        <f t="shared" si="28"/>
        <v>0</v>
      </c>
      <c r="AD42" s="160">
        <f t="shared" si="29"/>
        <v>0</v>
      </c>
      <c r="AE42" s="160">
        <f t="shared" si="30"/>
        <v>411</v>
      </c>
      <c r="AF42" s="160">
        <f t="shared" si="31"/>
        <v>411</v>
      </c>
      <c r="AG42" s="161">
        <f t="shared" si="32"/>
        <v>1</v>
      </c>
      <c r="AH42" s="160">
        <f t="shared" si="33"/>
        <v>23</v>
      </c>
      <c r="AI42" s="233">
        <f t="shared" si="34"/>
        <v>2</v>
      </c>
    </row>
    <row r="43" spans="1:35" ht="13" thickBot="1">
      <c r="R43" s="162">
        <v>43646</v>
      </c>
      <c r="S43" s="174">
        <f>VLOOKUP($R43,'Update Log'!$A$1:$H$861,2)</f>
        <v>0</v>
      </c>
      <c r="T43" s="175">
        <f>VLOOKUP($R43,'Update Log'!$A$1:$H$861,3)</f>
        <v>0</v>
      </c>
      <c r="U43" s="176">
        <f>VLOOKUP($R43,'Update Log'!$A$1:$H$861,4)</f>
        <v>0</v>
      </c>
      <c r="V43" s="176">
        <f>VLOOKUP($R43,'Update Log'!$A$1:$H$861,5)</f>
        <v>0</v>
      </c>
      <c r="W43" s="176">
        <f>VLOOKUP($R43,'Update Log'!$A$1:$H$861,6)</f>
        <v>16</v>
      </c>
      <c r="X43" s="176">
        <f>VLOOKUP($R43,'Update Log'!$A$1:$H$861,7)</f>
        <v>393</v>
      </c>
      <c r="Y43" s="176">
        <f>VLOOKUP($R43,'Update Log'!$A$1:$H$861,8)</f>
        <v>409</v>
      </c>
      <c r="Z43" s="230">
        <f t="shared" si="26"/>
        <v>2</v>
      </c>
      <c r="AB43" s="16">
        <f t="shared" si="27"/>
        <v>43646</v>
      </c>
      <c r="AC43" s="160">
        <f t="shared" si="28"/>
        <v>0</v>
      </c>
      <c r="AD43" s="160">
        <f t="shared" si="29"/>
        <v>0</v>
      </c>
      <c r="AE43" s="160">
        <f t="shared" si="30"/>
        <v>409</v>
      </c>
      <c r="AF43" s="160">
        <f t="shared" si="31"/>
        <v>409</v>
      </c>
      <c r="AG43" s="161">
        <f t="shared" si="32"/>
        <v>1</v>
      </c>
      <c r="AH43" s="160">
        <f t="shared" si="33"/>
        <v>16</v>
      </c>
      <c r="AI43" s="233">
        <f t="shared" si="34"/>
        <v>2</v>
      </c>
    </row>
    <row r="44" spans="1:35" ht="13" thickBot="1">
      <c r="R44" s="162">
        <v>43677</v>
      </c>
      <c r="S44" s="174">
        <f>VLOOKUP($R44,'Update Log'!$A$1:$H$861,2)</f>
        <v>0</v>
      </c>
      <c r="T44" s="175">
        <f>VLOOKUP($R44,'Update Log'!$A$1:$H$861,3)</f>
        <v>0</v>
      </c>
      <c r="U44" s="176">
        <f>VLOOKUP($R44,'Update Log'!$A$1:$H$861,4)</f>
        <v>0</v>
      </c>
      <c r="V44" s="176">
        <f>VLOOKUP($R44,'Update Log'!$A$1:$H$861,5)</f>
        <v>0</v>
      </c>
      <c r="W44" s="176">
        <f>VLOOKUP($R44,'Update Log'!$A$1:$H$861,6)</f>
        <v>13</v>
      </c>
      <c r="X44" s="176">
        <f>VLOOKUP($R44,'Update Log'!$A$1:$H$861,7)</f>
        <v>393</v>
      </c>
      <c r="Y44" s="176">
        <f>VLOOKUP($R44,'Update Log'!$A$1:$H$861,8)</f>
        <v>406</v>
      </c>
      <c r="Z44" s="230">
        <f t="shared" si="26"/>
        <v>2</v>
      </c>
      <c r="AB44" s="16">
        <f t="shared" si="27"/>
        <v>43677</v>
      </c>
      <c r="AC44" s="160">
        <f t="shared" si="28"/>
        <v>0</v>
      </c>
      <c r="AD44" s="160">
        <f t="shared" si="29"/>
        <v>0</v>
      </c>
      <c r="AE44" s="160">
        <f t="shared" si="30"/>
        <v>406</v>
      </c>
      <c r="AF44" s="160">
        <f t="shared" si="31"/>
        <v>406</v>
      </c>
      <c r="AG44" s="161">
        <f t="shared" si="32"/>
        <v>1</v>
      </c>
      <c r="AH44" s="160">
        <f t="shared" si="33"/>
        <v>13</v>
      </c>
      <c r="AI44" s="233">
        <f t="shared" si="34"/>
        <v>2</v>
      </c>
    </row>
    <row r="45" spans="1:35" ht="13" thickBot="1">
      <c r="R45" s="162">
        <v>43708</v>
      </c>
      <c r="S45" s="174">
        <f>VLOOKUP($R45,'Update Log'!$A$1:$H$861,2)</f>
        <v>0</v>
      </c>
      <c r="T45" s="175">
        <f>VLOOKUP($R45,'Update Log'!$A$1:$H$861,3)</f>
        <v>0</v>
      </c>
      <c r="U45" s="176">
        <f>VLOOKUP($R45,'Update Log'!$A$1:$H$861,4)</f>
        <v>0</v>
      </c>
      <c r="V45" s="176">
        <f>VLOOKUP($R45,'Update Log'!$A$1:$H$861,5)</f>
        <v>0</v>
      </c>
      <c r="W45" s="176">
        <f>VLOOKUP($R45,'Update Log'!$A$1:$H$861,6)</f>
        <v>28</v>
      </c>
      <c r="X45" s="176">
        <f>VLOOKUP($R45,'Update Log'!$A$1:$H$861,7)</f>
        <v>378</v>
      </c>
      <c r="Y45" s="176">
        <f>VLOOKUP($R45,'Update Log'!$A$1:$H$861,8)</f>
        <v>406</v>
      </c>
      <c r="Z45" s="230">
        <f t="shared" si="26"/>
        <v>2</v>
      </c>
      <c r="AB45" s="16">
        <f t="shared" si="27"/>
        <v>43708</v>
      </c>
      <c r="AC45" s="160">
        <f t="shared" si="28"/>
        <v>0</v>
      </c>
      <c r="AD45" s="160">
        <f t="shared" si="29"/>
        <v>0</v>
      </c>
      <c r="AE45" s="160">
        <f t="shared" si="30"/>
        <v>406</v>
      </c>
      <c r="AF45" s="160">
        <f t="shared" si="31"/>
        <v>406</v>
      </c>
      <c r="AG45" s="161">
        <f t="shared" si="32"/>
        <v>1</v>
      </c>
      <c r="AH45" s="160">
        <f t="shared" si="33"/>
        <v>28</v>
      </c>
      <c r="AI45" s="233">
        <f t="shared" si="34"/>
        <v>2</v>
      </c>
    </row>
    <row r="46" spans="1:35" ht="13" thickBot="1">
      <c r="R46" s="162">
        <v>43738</v>
      </c>
      <c r="S46" s="174">
        <f>VLOOKUP($R46,'Update Log'!$A$1:$H$861,2)</f>
        <v>0</v>
      </c>
      <c r="T46" s="175">
        <f>VLOOKUP($R46,'Update Log'!$A$1:$H$861,3)</f>
        <v>0</v>
      </c>
      <c r="U46" s="176">
        <f>VLOOKUP($R46,'Update Log'!$A$1:$H$861,4)</f>
        <v>0</v>
      </c>
      <c r="V46" s="176">
        <f>VLOOKUP($R46,'Update Log'!$A$1:$H$861,5)</f>
        <v>0</v>
      </c>
      <c r="W46" s="176">
        <f>VLOOKUP($R46,'Update Log'!$A$1:$H$861,6)</f>
        <v>25</v>
      </c>
      <c r="X46" s="176">
        <f>VLOOKUP($R46,'Update Log'!$A$1:$H$861,7)</f>
        <v>382</v>
      </c>
      <c r="Y46" s="176">
        <f>VLOOKUP($R46,'Update Log'!$A$1:$H$861,8)</f>
        <v>407</v>
      </c>
      <c r="Z46" s="230">
        <f t="shared" si="26"/>
        <v>2</v>
      </c>
      <c r="AB46" s="16">
        <f t="shared" si="27"/>
        <v>43738</v>
      </c>
      <c r="AC46" s="160">
        <f t="shared" si="28"/>
        <v>0</v>
      </c>
      <c r="AD46" s="160">
        <f t="shared" si="29"/>
        <v>0</v>
      </c>
      <c r="AE46" s="160">
        <f t="shared" si="30"/>
        <v>407</v>
      </c>
      <c r="AF46" s="160">
        <f t="shared" si="31"/>
        <v>407</v>
      </c>
      <c r="AG46" s="161">
        <f t="shared" si="32"/>
        <v>1</v>
      </c>
      <c r="AH46" s="160">
        <f t="shared" si="33"/>
        <v>25</v>
      </c>
      <c r="AI46" s="233">
        <f t="shared" si="34"/>
        <v>2</v>
      </c>
    </row>
    <row r="47" spans="1:35" ht="13" thickBot="1">
      <c r="R47" s="162">
        <v>43769</v>
      </c>
      <c r="S47" s="174">
        <f>VLOOKUP($R47,'Update Log'!$A$1:$H$861,2)</f>
        <v>0</v>
      </c>
      <c r="T47" s="175">
        <f>VLOOKUP($R47,'Update Log'!$A$1:$H$861,3)</f>
        <v>0</v>
      </c>
      <c r="U47" s="176">
        <f>VLOOKUP($R47,'Update Log'!$A$1:$H$861,4)</f>
        <v>0</v>
      </c>
      <c r="V47" s="176">
        <f>VLOOKUP($R47,'Update Log'!$A$1:$H$861,5)</f>
        <v>0</v>
      </c>
      <c r="W47" s="176">
        <f>VLOOKUP($R47,'Update Log'!$A$1:$H$861,6)</f>
        <v>33</v>
      </c>
      <c r="X47" s="176">
        <f>VLOOKUP($R47,'Update Log'!$A$1:$H$861,7)</f>
        <v>376</v>
      </c>
      <c r="Y47" s="176">
        <f>VLOOKUP($R47,'Update Log'!$A$1:$H$861,8)</f>
        <v>409</v>
      </c>
      <c r="Z47" s="230">
        <f t="shared" si="26"/>
        <v>2</v>
      </c>
      <c r="AB47" s="16">
        <f t="shared" si="27"/>
        <v>43769</v>
      </c>
      <c r="AC47" s="160">
        <f t="shared" si="28"/>
        <v>0</v>
      </c>
      <c r="AD47" s="160">
        <f t="shared" si="29"/>
        <v>0</v>
      </c>
      <c r="AE47" s="160">
        <f t="shared" si="30"/>
        <v>409</v>
      </c>
      <c r="AF47" s="160">
        <f t="shared" si="31"/>
        <v>409</v>
      </c>
      <c r="AG47" s="161">
        <f t="shared" si="32"/>
        <v>1</v>
      </c>
      <c r="AH47" s="160">
        <f t="shared" si="33"/>
        <v>33</v>
      </c>
      <c r="AI47" s="233">
        <f t="shared" si="34"/>
        <v>2</v>
      </c>
    </row>
    <row r="48" spans="1:35" ht="13" thickBot="1">
      <c r="R48" s="162">
        <v>43799</v>
      </c>
      <c r="S48" s="174">
        <f>VLOOKUP($R48,'Update Log'!$A$1:$H$861,2)</f>
        <v>0</v>
      </c>
      <c r="T48" s="175">
        <f>VLOOKUP($R48,'Update Log'!$A$1:$H$861,3)</f>
        <v>0</v>
      </c>
      <c r="U48" s="176">
        <f>VLOOKUP($R48,'Update Log'!$A$1:$H$861,4)</f>
        <v>0</v>
      </c>
      <c r="V48" s="176">
        <f>VLOOKUP($R48,'Update Log'!$A$1:$H$861,5)</f>
        <v>0</v>
      </c>
      <c r="W48" s="176">
        <f>VLOOKUP($R48,'Update Log'!$A$1:$H$861,6)</f>
        <v>43</v>
      </c>
      <c r="X48" s="176">
        <f>VLOOKUP($R48,'Update Log'!$A$1:$H$861,7)</f>
        <v>370</v>
      </c>
      <c r="Y48" s="176">
        <f>VLOOKUP($R48,'Update Log'!$A$1:$H$861,8)</f>
        <v>413</v>
      </c>
      <c r="Z48" s="230">
        <f t="shared" si="26"/>
        <v>2</v>
      </c>
      <c r="AB48" s="16">
        <f t="shared" si="27"/>
        <v>43799</v>
      </c>
      <c r="AC48" s="160">
        <f t="shared" si="28"/>
        <v>0</v>
      </c>
      <c r="AD48" s="160">
        <f t="shared" si="29"/>
        <v>0</v>
      </c>
      <c r="AE48" s="160">
        <f t="shared" si="30"/>
        <v>413</v>
      </c>
      <c r="AF48" s="160">
        <f t="shared" si="31"/>
        <v>413</v>
      </c>
      <c r="AG48" s="161">
        <f t="shared" si="32"/>
        <v>1</v>
      </c>
      <c r="AH48" s="160">
        <f t="shared" si="33"/>
        <v>43</v>
      </c>
      <c r="AI48" s="233">
        <f t="shared" si="34"/>
        <v>2</v>
      </c>
    </row>
    <row r="49" spans="18:35" ht="13" thickBot="1">
      <c r="R49" s="162">
        <v>43830</v>
      </c>
      <c r="S49" s="174">
        <f>VLOOKUP($R49,'Update Log'!$A$1:$H$861,2)</f>
        <v>0</v>
      </c>
      <c r="T49" s="175">
        <f>VLOOKUP($R49,'Update Log'!$A$1:$H$861,3)</f>
        <v>0</v>
      </c>
      <c r="U49" s="176">
        <f>VLOOKUP($R49,'Update Log'!$A$1:$H$861,4)</f>
        <v>0</v>
      </c>
      <c r="V49" s="176">
        <f>VLOOKUP($R49,'Update Log'!$A$1:$H$861,5)</f>
        <v>0</v>
      </c>
      <c r="W49" s="176">
        <f>VLOOKUP($R49,'Update Log'!$A$1:$H$861,6)</f>
        <v>12</v>
      </c>
      <c r="X49" s="176">
        <f>VLOOKUP($R49,'Update Log'!$A$1:$H$861,7)</f>
        <v>406</v>
      </c>
      <c r="Y49" s="176">
        <f>VLOOKUP($R49,'Update Log'!$A$1:$H$861,8)</f>
        <v>418</v>
      </c>
      <c r="Z49" s="230">
        <f t="shared" si="26"/>
        <v>2</v>
      </c>
      <c r="AB49" s="16">
        <f t="shared" si="27"/>
        <v>43830</v>
      </c>
      <c r="AC49" s="160">
        <f t="shared" si="28"/>
        <v>0</v>
      </c>
      <c r="AD49" s="160">
        <f t="shared" si="29"/>
        <v>0</v>
      </c>
      <c r="AE49" s="160">
        <f t="shared" si="30"/>
        <v>418</v>
      </c>
      <c r="AF49" s="160">
        <f t="shared" si="31"/>
        <v>418</v>
      </c>
      <c r="AG49" s="161">
        <f t="shared" si="32"/>
        <v>1</v>
      </c>
      <c r="AH49" s="160">
        <f t="shared" si="33"/>
        <v>12</v>
      </c>
      <c r="AI49" s="233">
        <f t="shared" si="34"/>
        <v>2</v>
      </c>
    </row>
    <row r="50" spans="18:35" ht="13" thickBot="1">
      <c r="R50" s="162">
        <v>43861</v>
      </c>
      <c r="S50" s="174">
        <f>VLOOKUP($R50,'Update Log'!$A$1:$H$861,2)</f>
        <v>0</v>
      </c>
      <c r="T50" s="175">
        <f>VLOOKUP($R50,'Update Log'!$A$1:$H$861,3)</f>
        <v>0</v>
      </c>
      <c r="U50" s="176">
        <f>VLOOKUP($R50,'Update Log'!$A$1:$H$861,4)</f>
        <v>0</v>
      </c>
      <c r="V50" s="176">
        <f>VLOOKUP($R50,'Update Log'!$A$1:$H$861,5)</f>
        <v>0</v>
      </c>
      <c r="W50" s="176">
        <f>VLOOKUP($R50,'Update Log'!$A$1:$H$861,6)</f>
        <v>42</v>
      </c>
      <c r="X50" s="176">
        <f>VLOOKUP($R50,'Update Log'!$A$1:$H$861,7)</f>
        <v>365</v>
      </c>
      <c r="Y50" s="176">
        <f>VLOOKUP($R50,'Update Log'!$A$1:$H$861,8)</f>
        <v>407</v>
      </c>
      <c r="Z50" s="230">
        <f t="shared" si="26"/>
        <v>2</v>
      </c>
      <c r="AB50" s="16">
        <f t="shared" si="27"/>
        <v>43861</v>
      </c>
      <c r="AC50" s="160">
        <f t="shared" si="28"/>
        <v>0</v>
      </c>
      <c r="AD50" s="160">
        <f t="shared" si="29"/>
        <v>0</v>
      </c>
      <c r="AE50" s="160">
        <f t="shared" si="30"/>
        <v>407</v>
      </c>
      <c r="AF50" s="160">
        <f t="shared" si="31"/>
        <v>407</v>
      </c>
      <c r="AG50" s="161">
        <f t="shared" si="32"/>
        <v>1</v>
      </c>
      <c r="AH50" s="160">
        <f t="shared" si="33"/>
        <v>42</v>
      </c>
      <c r="AI50" s="233">
        <f t="shared" si="34"/>
        <v>2</v>
      </c>
    </row>
    <row r="51" spans="18:35" ht="13" thickBot="1">
      <c r="R51" s="162">
        <v>43890</v>
      </c>
      <c r="S51" s="174">
        <f>VLOOKUP($R51,'Update Log'!$A$1:$H$861,2)</f>
        <v>0</v>
      </c>
      <c r="T51" s="175">
        <f>VLOOKUP($R51,'Update Log'!$A$1:$H$861,3)</f>
        <v>0</v>
      </c>
      <c r="U51" s="176">
        <f>VLOOKUP($R51,'Update Log'!$A$1:$H$861,4)</f>
        <v>0</v>
      </c>
      <c r="V51" s="176">
        <f>VLOOKUP($R51,'Update Log'!$A$1:$H$861,5)</f>
        <v>0</v>
      </c>
      <c r="W51" s="176">
        <f>VLOOKUP($R51,'Update Log'!$A$1:$H$861,6)</f>
        <v>42</v>
      </c>
      <c r="X51" s="176">
        <f>VLOOKUP($R51,'Update Log'!$A$1:$H$861,7)</f>
        <v>377</v>
      </c>
      <c r="Y51" s="176">
        <f>VLOOKUP($R51,'Update Log'!$A$1:$H$861,8)</f>
        <v>419</v>
      </c>
      <c r="Z51" s="230">
        <f t="shared" si="26"/>
        <v>2</v>
      </c>
      <c r="AB51" s="16">
        <f t="shared" si="27"/>
        <v>43890</v>
      </c>
      <c r="AC51" s="160">
        <f t="shared" si="28"/>
        <v>0</v>
      </c>
      <c r="AD51" s="160">
        <f t="shared" si="29"/>
        <v>0</v>
      </c>
      <c r="AE51" s="160">
        <f t="shared" si="30"/>
        <v>419</v>
      </c>
      <c r="AF51" s="160">
        <f t="shared" si="31"/>
        <v>419</v>
      </c>
      <c r="AG51" s="161">
        <f t="shared" si="32"/>
        <v>1</v>
      </c>
      <c r="AH51" s="160">
        <f t="shared" si="33"/>
        <v>42</v>
      </c>
      <c r="AI51" s="233">
        <f t="shared" si="34"/>
        <v>2</v>
      </c>
    </row>
    <row r="52" spans="18:35" ht="13" thickBot="1">
      <c r="R52" s="162">
        <v>43921</v>
      </c>
      <c r="S52" s="174">
        <f>VLOOKUP($R52,'Update Log'!$A$1:$H$861,2)</f>
        <v>0</v>
      </c>
      <c r="T52" s="175">
        <f>VLOOKUP($R52,'Update Log'!$A$1:$H$861,3)</f>
        <v>0</v>
      </c>
      <c r="U52" s="176">
        <f>VLOOKUP($R52,'Update Log'!$A$1:$H$861,4)</f>
        <v>0</v>
      </c>
      <c r="V52" s="176">
        <f>VLOOKUP($R52,'Update Log'!$A$1:$H$861,5)</f>
        <v>0</v>
      </c>
      <c r="W52" s="176">
        <f>VLOOKUP($R52,'Update Log'!$A$1:$H$861,6)</f>
        <v>24</v>
      </c>
      <c r="X52" s="176">
        <f>VLOOKUP($R52,'Update Log'!$A$1:$H$861,7)</f>
        <v>405</v>
      </c>
      <c r="Y52" s="176">
        <f>VLOOKUP($R52,'Update Log'!$A$1:$H$861,8)</f>
        <v>429</v>
      </c>
      <c r="Z52" s="230">
        <f t="shared" si="26"/>
        <v>2</v>
      </c>
      <c r="AB52" s="16">
        <f t="shared" si="27"/>
        <v>43921</v>
      </c>
      <c r="AC52" s="160">
        <f t="shared" si="28"/>
        <v>0</v>
      </c>
      <c r="AD52" s="160">
        <f t="shared" si="29"/>
        <v>0</v>
      </c>
      <c r="AE52" s="160">
        <f t="shared" si="30"/>
        <v>429</v>
      </c>
      <c r="AF52" s="160">
        <f t="shared" si="31"/>
        <v>429</v>
      </c>
      <c r="AG52" s="161">
        <f t="shared" si="32"/>
        <v>1</v>
      </c>
      <c r="AH52" s="160">
        <f t="shared" si="33"/>
        <v>24</v>
      </c>
      <c r="AI52" s="233">
        <f t="shared" si="34"/>
        <v>2</v>
      </c>
    </row>
    <row r="53" spans="18:35" ht="13" thickBot="1">
      <c r="R53" s="162">
        <v>43951</v>
      </c>
      <c r="S53" s="174">
        <f>VLOOKUP($R53,'Update Log'!$A$1:$H$861,2)</f>
        <v>0</v>
      </c>
      <c r="T53" s="175">
        <f>VLOOKUP($R53,'Update Log'!$A$1:$H$861,3)</f>
        <v>0</v>
      </c>
      <c r="U53" s="176">
        <f>VLOOKUP($R53,'Update Log'!$A$1:$H$861,4)</f>
        <v>0</v>
      </c>
      <c r="V53" s="176">
        <f>VLOOKUP($R53,'Update Log'!$A$1:$H$861,5)</f>
        <v>0</v>
      </c>
      <c r="W53" s="176">
        <f>VLOOKUP($R53,'Update Log'!$A$1:$H$861,6)</f>
        <v>35</v>
      </c>
      <c r="X53" s="176">
        <f>VLOOKUP($R53,'Update Log'!$A$1:$H$861,7)</f>
        <v>396</v>
      </c>
      <c r="Y53" s="176">
        <f>VLOOKUP($R53,'Update Log'!$A$1:$H$861,8)</f>
        <v>431</v>
      </c>
      <c r="Z53" s="230">
        <f t="shared" si="26"/>
        <v>2</v>
      </c>
      <c r="AB53" s="16">
        <f t="shared" si="27"/>
        <v>43951</v>
      </c>
      <c r="AC53" s="160">
        <f t="shared" si="28"/>
        <v>0</v>
      </c>
      <c r="AD53" s="160">
        <f t="shared" si="29"/>
        <v>0</v>
      </c>
      <c r="AE53" s="160">
        <f t="shared" si="30"/>
        <v>431</v>
      </c>
      <c r="AF53" s="160">
        <f t="shared" si="31"/>
        <v>431</v>
      </c>
      <c r="AG53" s="161">
        <f t="shared" si="32"/>
        <v>1</v>
      </c>
      <c r="AH53" s="160">
        <f t="shared" si="33"/>
        <v>35</v>
      </c>
      <c r="AI53" s="233">
        <f t="shared" si="34"/>
        <v>2</v>
      </c>
    </row>
    <row r="54" spans="18:35" ht="13" thickBot="1">
      <c r="R54" s="162">
        <v>43982</v>
      </c>
      <c r="S54" s="174">
        <f>VLOOKUP($R54,'Update Log'!$A$1:$H$861,2)</f>
        <v>0</v>
      </c>
      <c r="T54" s="175">
        <f>VLOOKUP($R54,'Update Log'!$A$1:$H$861,3)</f>
        <v>0</v>
      </c>
      <c r="U54" s="176">
        <f>VLOOKUP($R54,'Update Log'!$A$1:$H$861,4)</f>
        <v>0</v>
      </c>
      <c r="V54" s="176">
        <f>VLOOKUP($R54,'Update Log'!$A$1:$H$861,5)</f>
        <v>0</v>
      </c>
      <c r="W54" s="176">
        <f>VLOOKUP($R54,'Update Log'!$A$1:$H$861,6)</f>
        <v>63</v>
      </c>
      <c r="X54" s="176">
        <f>VLOOKUP($R54,'Update Log'!$A$1:$H$861,7)</f>
        <v>369</v>
      </c>
      <c r="Y54" s="176">
        <f>VLOOKUP($R54,'Update Log'!$A$1:$H$861,8)</f>
        <v>432</v>
      </c>
      <c r="Z54" s="230">
        <f t="shared" si="26"/>
        <v>2</v>
      </c>
      <c r="AB54" s="16">
        <f t="shared" si="27"/>
        <v>43982</v>
      </c>
      <c r="AC54" s="160">
        <f t="shared" si="28"/>
        <v>0</v>
      </c>
      <c r="AD54" s="160">
        <f t="shared" si="29"/>
        <v>0</v>
      </c>
      <c r="AE54" s="160">
        <f t="shared" si="30"/>
        <v>432</v>
      </c>
      <c r="AF54" s="160">
        <f t="shared" si="31"/>
        <v>432</v>
      </c>
      <c r="AG54" s="161">
        <f t="shared" si="32"/>
        <v>1</v>
      </c>
      <c r="AH54" s="160">
        <f t="shared" si="33"/>
        <v>63</v>
      </c>
      <c r="AI54" s="233">
        <f t="shared" si="34"/>
        <v>2</v>
      </c>
    </row>
    <row r="55" spans="18:35" ht="13" thickBot="1">
      <c r="R55" s="162">
        <v>44012</v>
      </c>
      <c r="S55" s="174">
        <f>VLOOKUP($R55,'Update Log'!$A$1:$H$861,2)</f>
        <v>0</v>
      </c>
      <c r="T55" s="175">
        <f>VLOOKUP($R55,'Update Log'!$A$1:$H$861,3)</f>
        <v>0.11290322580645161</v>
      </c>
      <c r="U55" s="176">
        <f>VLOOKUP($R55,'Update Log'!$A$1:$H$861,4)</f>
        <v>0</v>
      </c>
      <c r="V55" s="176">
        <f>VLOOKUP($R55,'Update Log'!$A$1:$H$861,5)</f>
        <v>49</v>
      </c>
      <c r="W55" s="176">
        <f>VLOOKUP($R55,'Update Log'!$A$1:$H$861,6)</f>
        <v>9</v>
      </c>
      <c r="X55" s="176">
        <f>VLOOKUP($R55,'Update Log'!$A$1:$H$861,7)</f>
        <v>376</v>
      </c>
      <c r="Y55" s="176">
        <f>VLOOKUP($R55,'Update Log'!$A$1:$H$861,8)</f>
        <v>434</v>
      </c>
      <c r="Z55" s="230">
        <f t="shared" si="26"/>
        <v>0</v>
      </c>
      <c r="AB55" s="16">
        <f t="shared" si="27"/>
        <v>44012</v>
      </c>
      <c r="AC55" s="160">
        <f t="shared" si="28"/>
        <v>49</v>
      </c>
      <c r="AD55" s="160">
        <f t="shared" si="29"/>
        <v>0</v>
      </c>
      <c r="AE55" s="160">
        <f t="shared" si="30"/>
        <v>434</v>
      </c>
      <c r="AF55" s="160">
        <f t="shared" si="31"/>
        <v>385</v>
      </c>
      <c r="AG55" s="161">
        <f t="shared" si="32"/>
        <v>0.88709677419354838</v>
      </c>
      <c r="AH55" s="160">
        <f t="shared" si="33"/>
        <v>9</v>
      </c>
      <c r="AI55" s="233">
        <f t="shared" si="34"/>
        <v>0</v>
      </c>
    </row>
    <row r="56" spans="18:35" ht="13" thickBot="1">
      <c r="R56" s="162">
        <v>44043</v>
      </c>
      <c r="S56" s="174">
        <f>VLOOKUP($R56,'Update Log'!$A$1:$H$861,2)</f>
        <v>0</v>
      </c>
      <c r="T56" s="175">
        <f>VLOOKUP($R56,'Update Log'!$A$1:$H$861,3)</f>
        <v>2.3094688221709007E-3</v>
      </c>
      <c r="U56" s="176">
        <f>VLOOKUP($R56,'Update Log'!$A$1:$H$861,4)</f>
        <v>0</v>
      </c>
      <c r="V56" s="176">
        <f>VLOOKUP($R56,'Update Log'!$A$1:$H$861,5)</f>
        <v>1</v>
      </c>
      <c r="W56" s="176">
        <f>VLOOKUP($R56,'Update Log'!$A$1:$H$861,6)</f>
        <v>41</v>
      </c>
      <c r="X56" s="176">
        <f>VLOOKUP($R56,'Update Log'!$A$1:$H$861,7)</f>
        <v>391</v>
      </c>
      <c r="Y56" s="176">
        <f>VLOOKUP($R56,'Update Log'!$A$1:$H$861,8)</f>
        <v>433</v>
      </c>
      <c r="Z56" s="230">
        <f t="shared" si="26"/>
        <v>1</v>
      </c>
      <c r="AB56" s="16">
        <f t="shared" si="27"/>
        <v>44043</v>
      </c>
      <c r="AC56" s="160">
        <f t="shared" si="28"/>
        <v>1</v>
      </c>
      <c r="AD56" s="160">
        <f t="shared" si="29"/>
        <v>0</v>
      </c>
      <c r="AE56" s="160">
        <f t="shared" si="30"/>
        <v>433</v>
      </c>
      <c r="AF56" s="160">
        <f t="shared" si="31"/>
        <v>432</v>
      </c>
      <c r="AG56" s="161">
        <f t="shared" si="32"/>
        <v>0.99769053117782913</v>
      </c>
      <c r="AH56" s="160">
        <f t="shared" si="33"/>
        <v>41</v>
      </c>
      <c r="AI56" s="233">
        <f t="shared" si="34"/>
        <v>1</v>
      </c>
    </row>
    <row r="57" spans="18:35" ht="13" thickBot="1">
      <c r="R57" s="162">
        <v>44074</v>
      </c>
      <c r="S57" s="174">
        <f>VLOOKUP($R57,'Update Log'!$A$1:$H$861,2)</f>
        <v>1</v>
      </c>
      <c r="T57" s="175">
        <f>VLOOKUP($R57,'Update Log'!$A$1:$H$861,3)</f>
        <v>2.304147465437788E-3</v>
      </c>
      <c r="U57" s="176">
        <f>VLOOKUP($R57,'Update Log'!$A$1:$H$861,4)</f>
        <v>1</v>
      </c>
      <c r="V57" s="176">
        <f>VLOOKUP($R57,'Update Log'!$A$1:$H$861,5)</f>
        <v>0</v>
      </c>
      <c r="W57" s="176">
        <f>VLOOKUP($R57,'Update Log'!$A$1:$H$861,6)</f>
        <v>59</v>
      </c>
      <c r="X57" s="176">
        <f>VLOOKUP($R57,'Update Log'!$A$1:$H$861,7)</f>
        <v>374</v>
      </c>
      <c r="Y57" s="176">
        <f>VLOOKUP($R57,'Update Log'!$A$1:$H$861,8)</f>
        <v>434</v>
      </c>
      <c r="Z57" s="230">
        <f t="shared" si="26"/>
        <v>0</v>
      </c>
      <c r="AB57" s="16">
        <f t="shared" si="27"/>
        <v>44074</v>
      </c>
      <c r="AC57" s="160">
        <f t="shared" si="28"/>
        <v>1</v>
      </c>
      <c r="AD57" s="160">
        <f t="shared" si="29"/>
        <v>1</v>
      </c>
      <c r="AE57" s="160">
        <f t="shared" si="30"/>
        <v>434</v>
      </c>
      <c r="AF57" s="160">
        <f t="shared" si="31"/>
        <v>433</v>
      </c>
      <c r="AG57" s="161">
        <f t="shared" si="32"/>
        <v>0.99769585253456217</v>
      </c>
      <c r="AH57" s="160">
        <f t="shared" si="33"/>
        <v>59</v>
      </c>
      <c r="AI57" s="233">
        <f t="shared" si="34"/>
        <v>0</v>
      </c>
    </row>
    <row r="58" spans="18:35" ht="13" thickBot="1">
      <c r="R58" s="162">
        <v>44104</v>
      </c>
      <c r="S58" s="174">
        <f>VLOOKUP($R58,'Update Log'!$A$1:$H$861,2)</f>
        <v>0</v>
      </c>
      <c r="T58" s="175">
        <f>VLOOKUP($R58,'Update Log'!$A$1:$H$861,3)</f>
        <v>0</v>
      </c>
      <c r="U58" s="176">
        <f>VLOOKUP($R58,'Update Log'!$A$1:$H$861,4)</f>
        <v>0</v>
      </c>
      <c r="V58" s="176">
        <f>VLOOKUP($R58,'Update Log'!$A$1:$H$861,5)</f>
        <v>0</v>
      </c>
      <c r="W58" s="176">
        <f>VLOOKUP($R58,'Update Log'!$A$1:$H$861,6)</f>
        <v>20</v>
      </c>
      <c r="X58" s="176">
        <f>VLOOKUP($R58,'Update Log'!$A$1:$H$861,7)</f>
        <v>415</v>
      </c>
      <c r="Y58" s="176">
        <f>VLOOKUP($R58,'Update Log'!$A$1:$H$861,8)</f>
        <v>435</v>
      </c>
      <c r="Z58" s="230">
        <f t="shared" si="26"/>
        <v>2</v>
      </c>
      <c r="AB58" s="16">
        <f t="shared" si="27"/>
        <v>44104</v>
      </c>
      <c r="AC58" s="160">
        <f t="shared" si="28"/>
        <v>0</v>
      </c>
      <c r="AD58" s="160">
        <f t="shared" si="29"/>
        <v>0</v>
      </c>
      <c r="AE58" s="160">
        <f t="shared" si="30"/>
        <v>435</v>
      </c>
      <c r="AF58" s="160">
        <f t="shared" si="31"/>
        <v>435</v>
      </c>
      <c r="AG58" s="161">
        <f t="shared" si="32"/>
        <v>1</v>
      </c>
      <c r="AH58" s="160">
        <f t="shared" si="33"/>
        <v>20</v>
      </c>
      <c r="AI58" s="233">
        <f t="shared" si="34"/>
        <v>2</v>
      </c>
    </row>
    <row r="59" spans="18:35" ht="13" thickBot="1">
      <c r="R59" s="162">
        <v>44135</v>
      </c>
      <c r="S59" s="174">
        <f>VLOOKUP($R59,'Update Log'!$A$1:$H$861,2)</f>
        <v>0</v>
      </c>
      <c r="T59" s="175">
        <f>VLOOKUP($R59,'Update Log'!$A$1:$H$861,3)</f>
        <v>0</v>
      </c>
      <c r="U59" s="176">
        <f>VLOOKUP($R59,'Update Log'!$A$1:$H$861,4)</f>
        <v>0</v>
      </c>
      <c r="V59" s="176">
        <f>VLOOKUP($R59,'Update Log'!$A$1:$H$861,5)</f>
        <v>0</v>
      </c>
      <c r="W59" s="176">
        <f>VLOOKUP($R59,'Update Log'!$A$1:$H$861,6)</f>
        <v>27</v>
      </c>
      <c r="X59" s="176">
        <f>VLOOKUP($R59,'Update Log'!$A$1:$H$861,7)</f>
        <v>409</v>
      </c>
      <c r="Y59" s="176">
        <f>VLOOKUP($R59,'Update Log'!$A$1:$H$861,8)</f>
        <v>436</v>
      </c>
      <c r="Z59" s="230">
        <f t="shared" si="26"/>
        <v>2</v>
      </c>
      <c r="AB59" s="16">
        <f t="shared" si="27"/>
        <v>44135</v>
      </c>
      <c r="AC59" s="160">
        <f t="shared" si="28"/>
        <v>0</v>
      </c>
      <c r="AD59" s="160">
        <f t="shared" si="29"/>
        <v>0</v>
      </c>
      <c r="AE59" s="160">
        <f t="shared" si="30"/>
        <v>436</v>
      </c>
      <c r="AF59" s="160">
        <f t="shared" si="31"/>
        <v>436</v>
      </c>
      <c r="AG59" s="161">
        <f t="shared" si="32"/>
        <v>1</v>
      </c>
      <c r="AH59" s="160">
        <f t="shared" si="33"/>
        <v>27</v>
      </c>
      <c r="AI59" s="233">
        <f t="shared" ref="AI59:AI64" si="36">Z59</f>
        <v>2</v>
      </c>
    </row>
    <row r="60" spans="18:35" ht="13" thickBot="1">
      <c r="R60" s="162">
        <v>44165</v>
      </c>
      <c r="S60" s="174">
        <f>VLOOKUP($R60,'Update Log'!$A$1:$H$861,2)</f>
        <v>0</v>
      </c>
      <c r="T60" s="175">
        <f>VLOOKUP($R60,'Update Log'!$A$1:$H$861,3)</f>
        <v>0</v>
      </c>
      <c r="U60" s="176">
        <f>VLOOKUP($R60,'Update Log'!$A$1:$H$861,4)</f>
        <v>0</v>
      </c>
      <c r="V60" s="176">
        <f>VLOOKUP($R60,'Update Log'!$A$1:$H$861,5)</f>
        <v>0</v>
      </c>
      <c r="W60" s="176">
        <f>VLOOKUP($R60,'Update Log'!$A$1:$H$861,6)</f>
        <v>41</v>
      </c>
      <c r="X60" s="176">
        <f>VLOOKUP($R60,'Update Log'!$A$1:$H$861,7)</f>
        <v>395</v>
      </c>
      <c r="Y60" s="176">
        <f>VLOOKUP($R60,'Update Log'!$A$1:$H$861,8)</f>
        <v>436</v>
      </c>
      <c r="Z60" s="230">
        <f t="shared" si="26"/>
        <v>2</v>
      </c>
      <c r="AB60" s="16">
        <f t="shared" si="27"/>
        <v>44165</v>
      </c>
      <c r="AC60" s="160">
        <f t="shared" si="28"/>
        <v>0</v>
      </c>
      <c r="AD60" s="160">
        <f t="shared" si="29"/>
        <v>0</v>
      </c>
      <c r="AE60" s="160">
        <f t="shared" si="30"/>
        <v>436</v>
      </c>
      <c r="AF60" s="160">
        <f t="shared" si="31"/>
        <v>436</v>
      </c>
      <c r="AG60" s="161">
        <f t="shared" si="32"/>
        <v>1</v>
      </c>
      <c r="AH60" s="160">
        <f t="shared" si="33"/>
        <v>41</v>
      </c>
      <c r="AI60" s="233">
        <f t="shared" si="36"/>
        <v>2</v>
      </c>
    </row>
    <row r="61" spans="18:35" ht="13" thickBot="1">
      <c r="R61" s="162">
        <v>44196</v>
      </c>
      <c r="S61" s="174">
        <f>VLOOKUP($R61,'Update Log'!$A$1:$H$861,2)</f>
        <v>0</v>
      </c>
      <c r="T61" s="175">
        <f>VLOOKUP($R61,'Update Log'!$A$1:$H$861,3)</f>
        <v>0</v>
      </c>
      <c r="U61" s="176">
        <f>VLOOKUP($R61,'Update Log'!$A$1:$H$861,4)</f>
        <v>0</v>
      </c>
      <c r="V61" s="176">
        <f>VLOOKUP($R61,'Update Log'!$A$1:$H$861,5)</f>
        <v>0</v>
      </c>
      <c r="W61" s="176">
        <f>VLOOKUP($R61,'Update Log'!$A$1:$H$861,6)</f>
        <v>36</v>
      </c>
      <c r="X61" s="176">
        <f>VLOOKUP($R61,'Update Log'!$A$1:$H$861,7)</f>
        <v>399</v>
      </c>
      <c r="Y61" s="176">
        <f>VLOOKUP($R61,'Update Log'!$A$1:$H$861,8)</f>
        <v>435</v>
      </c>
      <c r="Z61" s="230">
        <f t="shared" ref="Z61:Z92" si="37">IF(S61&gt;0,0,IF(T61&gt;=0.02,0,IF(V61&gt;0,1,2)))</f>
        <v>2</v>
      </c>
      <c r="AB61" s="16">
        <f t="shared" si="27"/>
        <v>44196</v>
      </c>
      <c r="AC61" s="160">
        <f t="shared" si="28"/>
        <v>0</v>
      </c>
      <c r="AD61" s="160">
        <f t="shared" si="29"/>
        <v>0</v>
      </c>
      <c r="AE61" s="160">
        <f t="shared" si="30"/>
        <v>435</v>
      </c>
      <c r="AF61" s="160">
        <f t="shared" si="31"/>
        <v>435</v>
      </c>
      <c r="AG61" s="161">
        <f t="shared" si="32"/>
        <v>1</v>
      </c>
      <c r="AH61" s="160">
        <f t="shared" si="33"/>
        <v>36</v>
      </c>
      <c r="AI61" s="233">
        <f t="shared" si="36"/>
        <v>2</v>
      </c>
    </row>
    <row r="62" spans="18:35" ht="13" thickBot="1">
      <c r="R62" s="162">
        <v>44227</v>
      </c>
      <c r="S62" s="174">
        <f>VLOOKUP($R62,'Update Log'!$A$1:$H$861,2)</f>
        <v>0</v>
      </c>
      <c r="T62" s="175">
        <f>VLOOKUP($R62,'Update Log'!$A$1:$H$861,3)</f>
        <v>1.3729977116704805E-2</v>
      </c>
      <c r="U62" s="176">
        <f>VLOOKUP($R62,'Update Log'!$A$1:$H$861,4)</f>
        <v>0</v>
      </c>
      <c r="V62" s="176">
        <f>VLOOKUP($R62,'Update Log'!$A$1:$H$861,5)</f>
        <v>6</v>
      </c>
      <c r="W62" s="176">
        <f>VLOOKUP($R62,'Update Log'!$A$1:$H$861,6)</f>
        <v>31</v>
      </c>
      <c r="X62" s="176">
        <f>VLOOKUP($R62,'Update Log'!$A$1:$H$861,7)</f>
        <v>400</v>
      </c>
      <c r="Y62" s="176">
        <f>VLOOKUP($R62,'Update Log'!$A$1:$H$861,8)</f>
        <v>437</v>
      </c>
      <c r="Z62" s="230">
        <f t="shared" si="37"/>
        <v>1</v>
      </c>
      <c r="AB62" s="16">
        <f t="shared" si="27"/>
        <v>44227</v>
      </c>
      <c r="AC62" s="160">
        <f t="shared" si="28"/>
        <v>6</v>
      </c>
      <c r="AD62" s="160">
        <f t="shared" si="29"/>
        <v>0</v>
      </c>
      <c r="AE62" s="160">
        <f t="shared" si="30"/>
        <v>437</v>
      </c>
      <c r="AF62" s="160">
        <f t="shared" si="31"/>
        <v>431</v>
      </c>
      <c r="AG62" s="161">
        <f t="shared" si="32"/>
        <v>0.98627002288329524</v>
      </c>
      <c r="AH62" s="160">
        <f t="shared" si="33"/>
        <v>31</v>
      </c>
      <c r="AI62" s="233">
        <f t="shared" si="36"/>
        <v>1</v>
      </c>
    </row>
    <row r="63" spans="18:35" ht="13" thickBot="1">
      <c r="R63" s="162">
        <v>44255</v>
      </c>
      <c r="S63" s="174">
        <f>VLOOKUP($R63,'Update Log'!$A$1:$H$861,2)</f>
        <v>0</v>
      </c>
      <c r="T63" s="175">
        <f>VLOOKUP($R63,'Update Log'!$A$1:$H$861,3)</f>
        <v>1.1441647597254004E-2</v>
      </c>
      <c r="U63" s="176">
        <f>VLOOKUP($R63,'Update Log'!$A$1:$H$861,4)</f>
        <v>0</v>
      </c>
      <c r="V63" s="176">
        <f>VLOOKUP($R63,'Update Log'!$A$1:$H$861,5)</f>
        <v>5</v>
      </c>
      <c r="W63" s="176">
        <f>VLOOKUP($R63,'Update Log'!$A$1:$H$861,6)</f>
        <v>29</v>
      </c>
      <c r="X63" s="176">
        <f>VLOOKUP($R63,'Update Log'!$A$1:$H$861,7)</f>
        <v>403</v>
      </c>
      <c r="Y63" s="176">
        <f>VLOOKUP($R63,'Update Log'!$A$1:$H$861,8)</f>
        <v>437</v>
      </c>
      <c r="Z63" s="230">
        <f t="shared" si="37"/>
        <v>1</v>
      </c>
      <c r="AB63" s="16">
        <f t="shared" si="27"/>
        <v>44255</v>
      </c>
      <c r="AC63" s="160">
        <f t="shared" si="28"/>
        <v>5</v>
      </c>
      <c r="AD63" s="160">
        <f t="shared" si="29"/>
        <v>0</v>
      </c>
      <c r="AE63" s="160">
        <f t="shared" si="30"/>
        <v>437</v>
      </c>
      <c r="AF63" s="160">
        <f t="shared" si="31"/>
        <v>432</v>
      </c>
      <c r="AG63" s="161">
        <f t="shared" si="32"/>
        <v>0.98855835240274603</v>
      </c>
      <c r="AH63" s="160">
        <f t="shared" si="33"/>
        <v>29</v>
      </c>
      <c r="AI63" s="233">
        <f t="shared" si="36"/>
        <v>1</v>
      </c>
    </row>
    <row r="64" spans="18:35" ht="13" thickBot="1">
      <c r="R64" s="162">
        <v>44286</v>
      </c>
      <c r="S64" s="174">
        <f>VLOOKUP($R64,'Update Log'!$A$1:$H$861,2)</f>
        <v>0</v>
      </c>
      <c r="T64" s="175">
        <f>VLOOKUP($R64,'Update Log'!$A$1:$H$861,3)</f>
        <v>0</v>
      </c>
      <c r="U64" s="176">
        <f>VLOOKUP($R64,'Update Log'!$A$1:$H$861,4)</f>
        <v>0</v>
      </c>
      <c r="V64" s="176">
        <f>VLOOKUP($R64,'Update Log'!$A$1:$H$861,5)</f>
        <v>0</v>
      </c>
      <c r="W64" s="176">
        <f>VLOOKUP($R64,'Update Log'!$A$1:$H$861,6)</f>
        <v>37</v>
      </c>
      <c r="X64" s="176">
        <f>VLOOKUP($R64,'Update Log'!$A$1:$H$861,7)</f>
        <v>399</v>
      </c>
      <c r="Y64" s="176">
        <f>VLOOKUP($R64,'Update Log'!$A$1:$H$861,8)</f>
        <v>436</v>
      </c>
      <c r="Z64" s="230">
        <f t="shared" si="37"/>
        <v>2</v>
      </c>
      <c r="AB64" s="16">
        <f t="shared" si="27"/>
        <v>44286</v>
      </c>
      <c r="AC64" s="160">
        <f t="shared" si="28"/>
        <v>0</v>
      </c>
      <c r="AD64" s="160">
        <f t="shared" si="29"/>
        <v>0</v>
      </c>
      <c r="AE64" s="160">
        <f t="shared" si="30"/>
        <v>436</v>
      </c>
      <c r="AF64" s="160">
        <f t="shared" si="31"/>
        <v>436</v>
      </c>
      <c r="AG64" s="161">
        <f t="shared" si="32"/>
        <v>1</v>
      </c>
      <c r="AH64" s="160">
        <f t="shared" si="33"/>
        <v>37</v>
      </c>
      <c r="AI64" s="233">
        <f t="shared" si="36"/>
        <v>2</v>
      </c>
    </row>
    <row r="65" spans="18:71" ht="13" thickBot="1">
      <c r="R65" s="162">
        <v>44316</v>
      </c>
      <c r="S65" s="174">
        <f>VLOOKUP($R65,'Update Log'!$A$1:$H$861,2)</f>
        <v>0</v>
      </c>
      <c r="T65" s="175">
        <f>VLOOKUP($R65,'Update Log'!$A$1:$H$861,3)</f>
        <v>0</v>
      </c>
      <c r="U65" s="176">
        <f>VLOOKUP($R65,'Update Log'!$A$1:$H$861,4)</f>
        <v>0</v>
      </c>
      <c r="V65" s="176">
        <f>VLOOKUP($R65,'Update Log'!$A$1:$H$861,5)</f>
        <v>0</v>
      </c>
      <c r="W65" s="176">
        <f>VLOOKUP($R65,'Update Log'!$A$1:$H$861,6)</f>
        <v>56</v>
      </c>
      <c r="X65" s="176">
        <f>VLOOKUP($R65,'Update Log'!$A$1:$H$861,7)</f>
        <v>378</v>
      </c>
      <c r="Y65" s="176">
        <f>VLOOKUP($R65,'Update Log'!$A$1:$H$861,8)</f>
        <v>434</v>
      </c>
      <c r="Z65" s="230">
        <f t="shared" si="37"/>
        <v>2</v>
      </c>
      <c r="AB65" s="16">
        <f t="shared" si="27"/>
        <v>44316</v>
      </c>
      <c r="AC65" s="160">
        <f t="shared" si="28"/>
        <v>0</v>
      </c>
      <c r="AD65" s="160">
        <f t="shared" si="29"/>
        <v>0</v>
      </c>
      <c r="AE65" s="160">
        <f t="shared" si="30"/>
        <v>434</v>
      </c>
      <c r="AF65" s="160">
        <f t="shared" si="31"/>
        <v>434</v>
      </c>
      <c r="AG65" s="161">
        <f t="shared" si="32"/>
        <v>1</v>
      </c>
      <c r="AH65" s="160">
        <f t="shared" si="33"/>
        <v>56</v>
      </c>
      <c r="AI65" s="233">
        <f t="shared" ref="AI65:AI128" si="38">Z65</f>
        <v>2</v>
      </c>
    </row>
    <row r="66" spans="18:71" ht="13" thickBot="1">
      <c r="R66" s="162">
        <v>44347</v>
      </c>
      <c r="S66" s="174">
        <f>VLOOKUP($R66,'Update Log'!$A$1:$H$861,2)</f>
        <v>0</v>
      </c>
      <c r="T66" s="175">
        <f>VLOOKUP($R66,'Update Log'!$A$1:$H$861,3)</f>
        <v>2.2831050228310501E-3</v>
      </c>
      <c r="U66" s="176">
        <f>VLOOKUP($R66,'Update Log'!$A$1:$H$861,4)</f>
        <v>0</v>
      </c>
      <c r="V66" s="176">
        <f>VLOOKUP($R66,'Update Log'!$A$1:$H$861,5)</f>
        <v>1</v>
      </c>
      <c r="W66" s="176">
        <f>VLOOKUP($R66,'Update Log'!$A$1:$H$861,6)</f>
        <v>38</v>
      </c>
      <c r="X66" s="176">
        <f>VLOOKUP($R66,'Update Log'!$A$1:$H$861,7)</f>
        <v>399</v>
      </c>
      <c r="Y66" s="176">
        <f>VLOOKUP($R66,'Update Log'!$A$1:$H$861,8)</f>
        <v>438</v>
      </c>
      <c r="Z66" s="230">
        <f t="shared" si="37"/>
        <v>1</v>
      </c>
      <c r="AB66" s="16">
        <f t="shared" si="27"/>
        <v>44347</v>
      </c>
      <c r="AC66" s="160">
        <f t="shared" si="28"/>
        <v>1</v>
      </c>
      <c r="AD66" s="160">
        <f t="shared" si="29"/>
        <v>0</v>
      </c>
      <c r="AE66" s="160">
        <f t="shared" si="30"/>
        <v>438</v>
      </c>
      <c r="AF66" s="160">
        <f t="shared" si="31"/>
        <v>437</v>
      </c>
      <c r="AG66" s="161">
        <f t="shared" si="32"/>
        <v>0.99771689497716898</v>
      </c>
      <c r="AH66" s="160">
        <f t="shared" si="33"/>
        <v>38</v>
      </c>
      <c r="AI66" s="233">
        <f t="shared" si="38"/>
        <v>1</v>
      </c>
    </row>
    <row r="67" spans="18:71" ht="13" thickBot="1">
      <c r="R67" s="162">
        <v>44377</v>
      </c>
      <c r="S67" s="174">
        <f>VLOOKUP($R67,'Update Log'!$A$1:$H$861,2)</f>
        <v>0</v>
      </c>
      <c r="T67" s="175">
        <f>VLOOKUP($R67,'Update Log'!$A$1:$H$861,3)</f>
        <v>4.5558086560364463E-3</v>
      </c>
      <c r="U67" s="176">
        <f>VLOOKUP($R67,'Update Log'!$A$1:$H$861,4)</f>
        <v>0</v>
      </c>
      <c r="V67" s="176">
        <f>VLOOKUP($R67,'Update Log'!$A$1:$H$861,5)</f>
        <v>2</v>
      </c>
      <c r="W67" s="176">
        <f>VLOOKUP($R67,'Update Log'!$A$1:$H$861,6)</f>
        <v>16</v>
      </c>
      <c r="X67" s="176">
        <f>VLOOKUP($R67,'Update Log'!$A$1:$H$861,7)</f>
        <v>421</v>
      </c>
      <c r="Y67" s="176">
        <f>VLOOKUP($R67,'Update Log'!$A$1:$H$861,8)</f>
        <v>439</v>
      </c>
      <c r="Z67" s="230">
        <f t="shared" si="37"/>
        <v>1</v>
      </c>
      <c r="AB67" s="16">
        <f t="shared" ref="AB67:AB98" si="39">R67</f>
        <v>44377</v>
      </c>
      <c r="AC67" s="160">
        <f t="shared" ref="AC67:AC98" si="40">U67+V67</f>
        <v>2</v>
      </c>
      <c r="AD67" s="160">
        <f t="shared" ref="AD67:AD98" si="41">S67</f>
        <v>0</v>
      </c>
      <c r="AE67" s="160">
        <f t="shared" ref="AE67:AE98" si="42">Y67</f>
        <v>439</v>
      </c>
      <c r="AF67" s="160">
        <f t="shared" ref="AF67:AF98" si="43">W67+X67</f>
        <v>437</v>
      </c>
      <c r="AG67" s="161">
        <f t="shared" ref="AG67:AG98" si="44">1-T67</f>
        <v>0.99544419134396356</v>
      </c>
      <c r="AH67" s="160">
        <f t="shared" ref="AH67:AH98" si="45">W67</f>
        <v>16</v>
      </c>
      <c r="AI67" s="233">
        <f t="shared" si="38"/>
        <v>1</v>
      </c>
      <c r="AJ67" s="246"/>
      <c r="AK67" s="242"/>
      <c r="AL67" s="243"/>
      <c r="AM67" s="244"/>
      <c r="AN67" s="244"/>
      <c r="AO67" s="244"/>
      <c r="AP67" s="244"/>
      <c r="AQ67" s="244"/>
      <c r="AR67" s="233"/>
      <c r="AT67" s="246"/>
      <c r="AU67" s="233"/>
      <c r="AV67" s="233"/>
      <c r="AW67" s="233"/>
      <c r="AX67" s="233"/>
      <c r="AY67" s="247"/>
      <c r="AZ67" s="233"/>
      <c r="BA67" s="233"/>
      <c r="BB67" s="241"/>
      <c r="BC67" s="242"/>
      <c r="BD67" s="243"/>
      <c r="BE67" s="244"/>
      <c r="BF67" s="244"/>
      <c r="BG67" s="244"/>
      <c r="BH67" s="244"/>
      <c r="BI67" s="244"/>
      <c r="BJ67" s="245"/>
      <c r="BL67" s="246"/>
      <c r="BM67" s="233"/>
      <c r="BN67" s="233"/>
      <c r="BO67" s="233"/>
      <c r="BP67" s="233"/>
      <c r="BQ67" s="247"/>
      <c r="BR67" s="233"/>
      <c r="BS67" s="233"/>
    </row>
    <row r="68" spans="18:71" ht="13" thickBot="1">
      <c r="R68" s="162">
        <v>44408</v>
      </c>
      <c r="S68" s="174">
        <f>VLOOKUP($R68,'Update Log'!$A$1:$H$861,2)</f>
        <v>0</v>
      </c>
      <c r="T68" s="175">
        <f>VLOOKUP($R68,'Update Log'!$A$1:$H$861,3)</f>
        <v>1.0178117048346057E-2</v>
      </c>
      <c r="U68" s="176">
        <f>VLOOKUP($R68,'Update Log'!$A$1:$H$861,4)</f>
        <v>0</v>
      </c>
      <c r="V68" s="176">
        <f>VLOOKUP($R68,'Update Log'!$A$1:$H$861,5)</f>
        <v>4</v>
      </c>
      <c r="W68" s="176">
        <f>VLOOKUP($R68,'Update Log'!$A$1:$H$861,6)</f>
        <v>36</v>
      </c>
      <c r="X68" s="176">
        <f>VLOOKUP($R68,'Update Log'!$A$1:$H$861,7)</f>
        <v>353</v>
      </c>
      <c r="Y68" s="176">
        <f>VLOOKUP($R68,'Update Log'!$A$1:$H$861,8)</f>
        <v>393</v>
      </c>
      <c r="Z68" s="230">
        <f t="shared" si="37"/>
        <v>1</v>
      </c>
      <c r="AB68" s="16">
        <f t="shared" si="39"/>
        <v>44408</v>
      </c>
      <c r="AC68" s="160">
        <f t="shared" si="40"/>
        <v>4</v>
      </c>
      <c r="AD68" s="160">
        <f t="shared" si="41"/>
        <v>0</v>
      </c>
      <c r="AE68" s="160">
        <f t="shared" si="42"/>
        <v>393</v>
      </c>
      <c r="AF68" s="160">
        <f t="shared" si="43"/>
        <v>389</v>
      </c>
      <c r="AG68" s="161">
        <f t="shared" si="44"/>
        <v>0.98982188295165396</v>
      </c>
      <c r="AH68" s="160">
        <f t="shared" si="45"/>
        <v>36</v>
      </c>
      <c r="AI68" s="233">
        <f t="shared" si="38"/>
        <v>1</v>
      </c>
      <c r="AJ68" s="246"/>
      <c r="AK68" s="242"/>
      <c r="AL68" s="243"/>
      <c r="AM68" s="244"/>
      <c r="AN68" s="244"/>
      <c r="AO68" s="244"/>
      <c r="AP68" s="244"/>
      <c r="AQ68" s="244"/>
      <c r="AR68" s="233"/>
      <c r="AT68" s="246"/>
      <c r="AU68" s="233"/>
      <c r="AV68" s="233"/>
      <c r="AW68" s="233"/>
      <c r="AX68" s="233"/>
      <c r="AY68" s="247"/>
      <c r="AZ68" s="233"/>
      <c r="BA68" s="233"/>
      <c r="BB68" s="241"/>
      <c r="BC68" s="242"/>
      <c r="BD68" s="243"/>
      <c r="BE68" s="244"/>
      <c r="BF68" s="244"/>
      <c r="BG68" s="244"/>
      <c r="BH68" s="244"/>
      <c r="BI68" s="244"/>
      <c r="BJ68" s="245"/>
      <c r="BL68" s="246"/>
      <c r="BM68" s="233"/>
      <c r="BN68" s="233"/>
      <c r="BO68" s="233"/>
      <c r="BP68" s="233"/>
      <c r="BQ68" s="247"/>
      <c r="BR68" s="233"/>
      <c r="BS68" s="233"/>
    </row>
    <row r="69" spans="18:71" ht="13" thickBot="1">
      <c r="R69" s="162">
        <v>44439</v>
      </c>
      <c r="S69" s="174">
        <f>VLOOKUP($R69,'Update Log'!$A$1:$H$861,2)</f>
        <v>0</v>
      </c>
      <c r="T69" s="175">
        <f>VLOOKUP($R69,'Update Log'!$A$1:$H$861,3)</f>
        <v>0</v>
      </c>
      <c r="U69" s="176">
        <f>VLOOKUP($R69,'Update Log'!$A$1:$H$861,4)</f>
        <v>0</v>
      </c>
      <c r="V69" s="176">
        <f>VLOOKUP($R69,'Update Log'!$A$1:$H$861,5)</f>
        <v>0</v>
      </c>
      <c r="W69" s="176">
        <f>VLOOKUP($R69,'Update Log'!$A$1:$H$861,6)</f>
        <v>21</v>
      </c>
      <c r="X69" s="176">
        <f>VLOOKUP($R69,'Update Log'!$A$1:$H$861,7)</f>
        <v>417</v>
      </c>
      <c r="Y69" s="176">
        <f>VLOOKUP($R69,'Update Log'!$A$1:$H$861,8)</f>
        <v>438</v>
      </c>
      <c r="Z69" s="230">
        <f t="shared" si="37"/>
        <v>2</v>
      </c>
      <c r="AB69" s="16">
        <f t="shared" si="39"/>
        <v>44439</v>
      </c>
      <c r="AC69" s="160">
        <f t="shared" si="40"/>
        <v>0</v>
      </c>
      <c r="AD69" s="160">
        <f t="shared" si="41"/>
        <v>0</v>
      </c>
      <c r="AE69" s="160">
        <f t="shared" si="42"/>
        <v>438</v>
      </c>
      <c r="AF69" s="160">
        <f t="shared" si="43"/>
        <v>438</v>
      </c>
      <c r="AG69" s="161">
        <f t="shared" si="44"/>
        <v>1</v>
      </c>
      <c r="AH69" s="160">
        <f t="shared" si="45"/>
        <v>21</v>
      </c>
      <c r="AI69" s="233">
        <f t="shared" si="38"/>
        <v>2</v>
      </c>
      <c r="AJ69" s="246"/>
      <c r="AK69" s="242"/>
      <c r="AL69" s="243"/>
      <c r="AM69" s="244"/>
      <c r="AN69" s="244"/>
      <c r="AO69" s="244"/>
      <c r="AP69" s="244"/>
      <c r="AQ69" s="244"/>
      <c r="AR69" s="233"/>
      <c r="AT69" s="246"/>
      <c r="AU69" s="233"/>
      <c r="AV69" s="233"/>
      <c r="AW69" s="233"/>
      <c r="AX69" s="233"/>
      <c r="AY69" s="247"/>
      <c r="AZ69" s="233"/>
      <c r="BA69" s="233"/>
      <c r="BB69" s="241"/>
      <c r="BC69" s="242"/>
      <c r="BD69" s="243"/>
      <c r="BE69" s="244"/>
      <c r="BF69" s="244"/>
      <c r="BG69" s="244"/>
      <c r="BH69" s="244"/>
      <c r="BI69" s="244"/>
      <c r="BJ69" s="245"/>
      <c r="BL69" s="246"/>
      <c r="BM69" s="233"/>
      <c r="BN69" s="233"/>
      <c r="BO69" s="233"/>
      <c r="BP69" s="233"/>
      <c r="BQ69" s="247"/>
      <c r="BR69" s="233"/>
      <c r="BS69" s="233"/>
    </row>
    <row r="70" spans="18:71" ht="13" thickBot="1">
      <c r="R70" s="162">
        <v>44469</v>
      </c>
      <c r="S70" s="174">
        <f>VLOOKUP($R70,'Update Log'!$A$1:$H$861,2)</f>
        <v>0</v>
      </c>
      <c r="T70" s="175">
        <f>VLOOKUP($R70,'Update Log'!$A$1:$H$861,3)</f>
        <v>0</v>
      </c>
      <c r="U70" s="176">
        <f>VLOOKUP($R70,'Update Log'!$A$1:$H$861,4)</f>
        <v>0</v>
      </c>
      <c r="V70" s="176">
        <f>VLOOKUP($R70,'Update Log'!$A$1:$H$861,5)</f>
        <v>0</v>
      </c>
      <c r="W70" s="176">
        <f>VLOOKUP($R70,'Update Log'!$A$1:$H$861,6)</f>
        <v>42</v>
      </c>
      <c r="X70" s="176">
        <f>VLOOKUP($R70,'Update Log'!$A$1:$H$861,7)</f>
        <v>397</v>
      </c>
      <c r="Y70" s="176">
        <f>VLOOKUP($R70,'Update Log'!$A$1:$H$861,8)</f>
        <v>439</v>
      </c>
      <c r="Z70" s="230">
        <f t="shared" si="37"/>
        <v>2</v>
      </c>
      <c r="AB70" s="16">
        <f t="shared" si="39"/>
        <v>44469</v>
      </c>
      <c r="AC70" s="160">
        <f t="shared" si="40"/>
        <v>0</v>
      </c>
      <c r="AD70" s="160">
        <f t="shared" si="41"/>
        <v>0</v>
      </c>
      <c r="AE70" s="160">
        <f t="shared" si="42"/>
        <v>439</v>
      </c>
      <c r="AF70" s="160">
        <f t="shared" si="43"/>
        <v>439</v>
      </c>
      <c r="AG70" s="161">
        <f t="shared" si="44"/>
        <v>1</v>
      </c>
      <c r="AH70" s="160">
        <f t="shared" si="45"/>
        <v>42</v>
      </c>
      <c r="AI70" s="233">
        <f t="shared" si="38"/>
        <v>2</v>
      </c>
      <c r="AJ70" s="246"/>
      <c r="AK70" s="242"/>
      <c r="AL70" s="243"/>
      <c r="AM70" s="244"/>
      <c r="AN70" s="244"/>
      <c r="AO70" s="244"/>
      <c r="AP70" s="244"/>
      <c r="AQ70" s="244"/>
      <c r="AR70" s="233"/>
      <c r="AT70" s="246"/>
      <c r="AU70" s="233"/>
      <c r="AV70" s="233"/>
      <c r="AW70" s="233"/>
      <c r="AX70" s="233"/>
      <c r="AY70" s="247"/>
      <c r="AZ70" s="233"/>
      <c r="BA70" s="233"/>
      <c r="BB70" s="241"/>
      <c r="BC70" s="242"/>
      <c r="BD70" s="243"/>
      <c r="BE70" s="244"/>
      <c r="BF70" s="244"/>
      <c r="BG70" s="244"/>
      <c r="BH70" s="244"/>
      <c r="BI70" s="244"/>
      <c r="BJ70" s="245"/>
      <c r="BL70" s="246"/>
      <c r="BM70" s="233"/>
      <c r="BN70" s="233"/>
      <c r="BO70" s="233"/>
      <c r="BP70" s="233"/>
      <c r="BQ70" s="247"/>
      <c r="BR70" s="233"/>
      <c r="BS70" s="233"/>
    </row>
    <row r="71" spans="18:71" ht="13" thickBot="1">
      <c r="R71" s="162">
        <v>44500</v>
      </c>
      <c r="S71" s="174">
        <f>VLOOKUP($R71,'Update Log'!$A$1:$H$861,2)</f>
        <v>0</v>
      </c>
      <c r="T71" s="175">
        <f>VLOOKUP($R71,'Update Log'!$A$1:$H$861,3)</f>
        <v>0</v>
      </c>
      <c r="U71" s="176">
        <f>VLOOKUP($R71,'Update Log'!$A$1:$H$861,4)</f>
        <v>0</v>
      </c>
      <c r="V71" s="176">
        <f>VLOOKUP($R71,'Update Log'!$A$1:$H$861,5)</f>
        <v>0</v>
      </c>
      <c r="W71" s="176">
        <f>VLOOKUP($R71,'Update Log'!$A$1:$H$861,6)</f>
        <v>39</v>
      </c>
      <c r="X71" s="176">
        <f>VLOOKUP($R71,'Update Log'!$A$1:$H$861,7)</f>
        <v>403</v>
      </c>
      <c r="Y71" s="176">
        <f>VLOOKUP($R71,'Update Log'!$A$1:$H$861,8)</f>
        <v>442</v>
      </c>
      <c r="Z71" s="230">
        <f t="shared" si="37"/>
        <v>2</v>
      </c>
      <c r="AB71" s="16">
        <f t="shared" si="39"/>
        <v>44500</v>
      </c>
      <c r="AC71" s="160">
        <f t="shared" si="40"/>
        <v>0</v>
      </c>
      <c r="AD71" s="160">
        <f t="shared" si="41"/>
        <v>0</v>
      </c>
      <c r="AE71" s="160">
        <f t="shared" si="42"/>
        <v>442</v>
      </c>
      <c r="AF71" s="160">
        <f t="shared" si="43"/>
        <v>442</v>
      </c>
      <c r="AG71" s="161">
        <f t="shared" si="44"/>
        <v>1</v>
      </c>
      <c r="AH71" s="160">
        <f t="shared" si="45"/>
        <v>39</v>
      </c>
      <c r="AI71" s="233">
        <f t="shared" si="38"/>
        <v>2</v>
      </c>
      <c r="AJ71" s="246"/>
      <c r="AK71" s="242"/>
      <c r="AL71" s="243"/>
      <c r="AM71" s="244"/>
      <c r="AN71" s="244"/>
      <c r="AO71" s="244"/>
      <c r="AP71" s="244"/>
      <c r="AQ71" s="244"/>
      <c r="AR71" s="233"/>
      <c r="AT71" s="246"/>
      <c r="AU71" s="233"/>
      <c r="AV71" s="233"/>
      <c r="AW71" s="233"/>
      <c r="AX71" s="233"/>
      <c r="AY71" s="247"/>
      <c r="AZ71" s="233"/>
      <c r="BA71" s="233"/>
      <c r="BB71" s="241"/>
      <c r="BC71" s="242"/>
      <c r="BD71" s="243"/>
      <c r="BE71" s="244"/>
      <c r="BF71" s="244"/>
      <c r="BG71" s="244"/>
      <c r="BH71" s="244"/>
      <c r="BI71" s="244"/>
      <c r="BJ71" s="245"/>
      <c r="BL71" s="246"/>
      <c r="BM71" s="233"/>
      <c r="BN71" s="233"/>
      <c r="BO71" s="233"/>
      <c r="BP71" s="233"/>
      <c r="BQ71" s="247"/>
      <c r="BR71" s="233"/>
      <c r="BS71" s="233"/>
    </row>
    <row r="72" spans="18:71" ht="13" thickBot="1">
      <c r="R72" s="162">
        <v>44530</v>
      </c>
      <c r="S72" s="174">
        <f>VLOOKUP($R72,'Update Log'!$A$1:$H$861,2)</f>
        <v>0</v>
      </c>
      <c r="T72" s="175">
        <f>VLOOKUP($R72,'Update Log'!$A$1:$H$861,3)</f>
        <v>0</v>
      </c>
      <c r="U72" s="176">
        <f>VLOOKUP($R72,'Update Log'!$A$1:$H$861,4)</f>
        <v>0</v>
      </c>
      <c r="V72" s="176">
        <f>VLOOKUP($R72,'Update Log'!$A$1:$H$861,5)</f>
        <v>0</v>
      </c>
      <c r="W72" s="176">
        <f>VLOOKUP($R72,'Update Log'!$A$1:$H$861,6)</f>
        <v>25</v>
      </c>
      <c r="X72" s="176">
        <f>VLOOKUP($R72,'Update Log'!$A$1:$H$861,7)</f>
        <v>415</v>
      </c>
      <c r="Y72" s="176">
        <f>VLOOKUP($R72,'Update Log'!$A$1:$H$861,8)</f>
        <v>440</v>
      </c>
      <c r="Z72" s="230">
        <f t="shared" si="37"/>
        <v>2</v>
      </c>
      <c r="AB72" s="16">
        <f t="shared" si="39"/>
        <v>44530</v>
      </c>
      <c r="AC72" s="160">
        <f t="shared" si="40"/>
        <v>0</v>
      </c>
      <c r="AD72" s="160">
        <f t="shared" si="41"/>
        <v>0</v>
      </c>
      <c r="AE72" s="160">
        <f t="shared" si="42"/>
        <v>440</v>
      </c>
      <c r="AF72" s="160">
        <f t="shared" si="43"/>
        <v>440</v>
      </c>
      <c r="AG72" s="161">
        <f t="shared" si="44"/>
        <v>1</v>
      </c>
      <c r="AH72" s="160">
        <f t="shared" si="45"/>
        <v>25</v>
      </c>
      <c r="AI72" s="233">
        <f t="shared" si="38"/>
        <v>2</v>
      </c>
      <c r="AJ72" s="246"/>
      <c r="AK72" s="242"/>
      <c r="AL72" s="243"/>
      <c r="AM72" s="244"/>
      <c r="AN72" s="244"/>
      <c r="AO72" s="244"/>
      <c r="AP72" s="244"/>
      <c r="AQ72" s="244"/>
      <c r="AR72" s="233"/>
      <c r="AT72" s="246"/>
      <c r="AU72" s="233"/>
      <c r="AV72" s="233"/>
      <c r="AW72" s="233"/>
      <c r="AX72" s="233"/>
      <c r="AY72" s="247"/>
      <c r="AZ72" s="233"/>
      <c r="BA72" s="233"/>
      <c r="BB72" s="241"/>
      <c r="BC72" s="242"/>
      <c r="BD72" s="243"/>
      <c r="BE72" s="244"/>
      <c r="BF72" s="244"/>
      <c r="BG72" s="244"/>
      <c r="BH72" s="244"/>
      <c r="BI72" s="244"/>
      <c r="BJ72" s="245"/>
      <c r="BL72" s="246"/>
      <c r="BM72" s="233"/>
      <c r="BN72" s="233"/>
      <c r="BO72" s="233"/>
      <c r="BP72" s="233"/>
      <c r="BQ72" s="247"/>
      <c r="BR72" s="233"/>
      <c r="BS72" s="233"/>
    </row>
    <row r="73" spans="18:71" ht="13" thickBot="1">
      <c r="R73" s="162">
        <v>44561</v>
      </c>
      <c r="S73" s="174">
        <f>VLOOKUP($R73,'Update Log'!$A$1:$H$861,2)</f>
        <v>0</v>
      </c>
      <c r="T73" s="175">
        <f>VLOOKUP($R73,'Update Log'!$A$1:$H$861,3)</f>
        <v>0</v>
      </c>
      <c r="U73" s="176">
        <f>VLOOKUP($R73,'Update Log'!$A$1:$H$861,4)</f>
        <v>0</v>
      </c>
      <c r="V73" s="176">
        <f>VLOOKUP($R73,'Update Log'!$A$1:$H$861,5)</f>
        <v>0</v>
      </c>
      <c r="W73" s="176">
        <f>VLOOKUP($R73,'Update Log'!$A$1:$H$861,6)</f>
        <v>10</v>
      </c>
      <c r="X73" s="176">
        <f>VLOOKUP($R73,'Update Log'!$A$1:$H$861,7)</f>
        <v>433</v>
      </c>
      <c r="Y73" s="176">
        <f>VLOOKUP($R73,'Update Log'!$A$1:$H$861,8)</f>
        <v>443</v>
      </c>
      <c r="Z73" s="230">
        <f t="shared" si="37"/>
        <v>2</v>
      </c>
      <c r="AB73" s="16">
        <f t="shared" si="39"/>
        <v>44561</v>
      </c>
      <c r="AC73" s="160">
        <f t="shared" si="40"/>
        <v>0</v>
      </c>
      <c r="AD73" s="160">
        <f t="shared" si="41"/>
        <v>0</v>
      </c>
      <c r="AE73" s="160">
        <f t="shared" si="42"/>
        <v>443</v>
      </c>
      <c r="AF73" s="160">
        <f t="shared" si="43"/>
        <v>443</v>
      </c>
      <c r="AG73" s="161">
        <f t="shared" si="44"/>
        <v>1</v>
      </c>
      <c r="AH73" s="160">
        <f t="shared" si="45"/>
        <v>10</v>
      </c>
      <c r="AI73" s="233">
        <f t="shared" si="38"/>
        <v>2</v>
      </c>
      <c r="AJ73" s="246"/>
      <c r="AK73" s="242"/>
      <c r="AL73" s="243"/>
      <c r="AM73" s="244"/>
      <c r="AN73" s="244"/>
      <c r="AO73" s="244"/>
      <c r="AP73" s="244"/>
      <c r="AQ73" s="244"/>
      <c r="AR73" s="233"/>
      <c r="AT73" s="246"/>
      <c r="AU73" s="233"/>
      <c r="AV73" s="233"/>
      <c r="AW73" s="233"/>
      <c r="AX73" s="233"/>
      <c r="AY73" s="247"/>
      <c r="AZ73" s="233"/>
      <c r="BA73" s="233"/>
      <c r="BB73" s="241"/>
      <c r="BC73" s="242"/>
      <c r="BD73" s="243"/>
      <c r="BE73" s="244"/>
      <c r="BF73" s="244"/>
      <c r="BG73" s="244"/>
      <c r="BH73" s="244"/>
      <c r="BI73" s="244"/>
      <c r="BJ73" s="245"/>
      <c r="BL73" s="246"/>
      <c r="BM73" s="233"/>
      <c r="BN73" s="233"/>
      <c r="BO73" s="233"/>
      <c r="BP73" s="233"/>
      <c r="BQ73" s="247"/>
      <c r="BR73" s="233"/>
      <c r="BS73" s="233"/>
    </row>
    <row r="74" spans="18:71" ht="13" thickBot="1">
      <c r="R74" s="162">
        <v>44592</v>
      </c>
      <c r="S74" s="174">
        <f>VLOOKUP($R74,'Update Log'!$A$1:$H$861,2)</f>
        <v>0</v>
      </c>
      <c r="T74" s="175">
        <f>VLOOKUP($R74,'Update Log'!$A$1:$H$861,3)</f>
        <v>0</v>
      </c>
      <c r="U74" s="176">
        <f>VLOOKUP($R74,'Update Log'!$A$1:$H$861,4)</f>
        <v>0</v>
      </c>
      <c r="V74" s="176">
        <f>VLOOKUP($R74,'Update Log'!$A$1:$H$861,5)</f>
        <v>0</v>
      </c>
      <c r="W74" s="176">
        <f>VLOOKUP($R74,'Update Log'!$A$1:$H$861,6)</f>
        <v>14</v>
      </c>
      <c r="X74" s="176">
        <f>VLOOKUP($R74,'Update Log'!$A$1:$H$861,7)</f>
        <v>434</v>
      </c>
      <c r="Y74" s="176">
        <f>VLOOKUP($R74,'Update Log'!$A$1:$H$861,8)</f>
        <v>448</v>
      </c>
      <c r="Z74" s="230">
        <f t="shared" si="37"/>
        <v>2</v>
      </c>
      <c r="AB74" s="16">
        <f t="shared" si="39"/>
        <v>44592</v>
      </c>
      <c r="AC74" s="160">
        <f t="shared" si="40"/>
        <v>0</v>
      </c>
      <c r="AD74" s="160">
        <f t="shared" si="41"/>
        <v>0</v>
      </c>
      <c r="AE74" s="160">
        <f t="shared" si="42"/>
        <v>448</v>
      </c>
      <c r="AF74" s="160">
        <f t="shared" si="43"/>
        <v>448</v>
      </c>
      <c r="AG74" s="161">
        <f t="shared" si="44"/>
        <v>1</v>
      </c>
      <c r="AH74" s="160">
        <f t="shared" si="45"/>
        <v>14</v>
      </c>
      <c r="AI74" s="233">
        <f t="shared" si="38"/>
        <v>2</v>
      </c>
      <c r="AJ74" s="246"/>
      <c r="AK74" s="242"/>
      <c r="AL74" s="243"/>
      <c r="AM74" s="244"/>
      <c r="AN74" s="244"/>
      <c r="AO74" s="244"/>
      <c r="AP74" s="244"/>
      <c r="AQ74" s="244"/>
      <c r="AR74" s="233"/>
      <c r="AT74" s="246"/>
      <c r="AU74" s="233"/>
      <c r="AV74" s="233"/>
      <c r="AW74" s="233"/>
      <c r="AX74" s="233"/>
      <c r="AY74" s="247"/>
      <c r="AZ74" s="233"/>
      <c r="BA74" s="233"/>
      <c r="BB74" s="241"/>
      <c r="BC74" s="242"/>
      <c r="BD74" s="243"/>
      <c r="BE74" s="244"/>
      <c r="BF74" s="244"/>
      <c r="BG74" s="244"/>
      <c r="BH74" s="244"/>
      <c r="BI74" s="244"/>
      <c r="BJ74" s="245"/>
      <c r="BL74" s="246"/>
      <c r="BM74" s="233"/>
      <c r="BN74" s="233"/>
      <c r="BO74" s="233"/>
      <c r="BP74" s="233"/>
      <c r="BQ74" s="247"/>
      <c r="BR74" s="233"/>
      <c r="BS74" s="233"/>
    </row>
    <row r="75" spans="18:71" ht="13" thickBot="1">
      <c r="R75" s="162">
        <v>44620</v>
      </c>
      <c r="S75" s="174">
        <f>VLOOKUP($R75,'Update Log'!$A$1:$H$861,2)</f>
        <v>0</v>
      </c>
      <c r="T75" s="175">
        <f>VLOOKUP($R75,'Update Log'!$A$1:$H$861,3)</f>
        <v>0</v>
      </c>
      <c r="U75" s="176">
        <f>VLOOKUP($R75,'Update Log'!$A$1:$H$861,4)</f>
        <v>0</v>
      </c>
      <c r="V75" s="176">
        <f>VLOOKUP($R75,'Update Log'!$A$1:$H$861,5)</f>
        <v>0</v>
      </c>
      <c r="W75" s="176">
        <f>VLOOKUP($R75,'Update Log'!$A$1:$H$861,6)</f>
        <v>32</v>
      </c>
      <c r="X75" s="176">
        <f>VLOOKUP($R75,'Update Log'!$A$1:$H$861,7)</f>
        <v>416</v>
      </c>
      <c r="Y75" s="176">
        <f>VLOOKUP($R75,'Update Log'!$A$1:$H$861,8)</f>
        <v>448</v>
      </c>
      <c r="Z75" s="230">
        <f t="shared" si="37"/>
        <v>2</v>
      </c>
      <c r="AB75" s="16">
        <f t="shared" si="39"/>
        <v>44620</v>
      </c>
      <c r="AC75" s="160">
        <f t="shared" si="40"/>
        <v>0</v>
      </c>
      <c r="AD75" s="160">
        <f t="shared" si="41"/>
        <v>0</v>
      </c>
      <c r="AE75" s="160">
        <f t="shared" si="42"/>
        <v>448</v>
      </c>
      <c r="AF75" s="160">
        <f t="shared" si="43"/>
        <v>448</v>
      </c>
      <c r="AG75" s="161">
        <f t="shared" si="44"/>
        <v>1</v>
      </c>
      <c r="AH75" s="160">
        <f t="shared" si="45"/>
        <v>32</v>
      </c>
      <c r="AI75" s="233">
        <f t="shared" si="38"/>
        <v>2</v>
      </c>
      <c r="AJ75" s="246"/>
      <c r="AK75" s="242"/>
      <c r="AL75" s="243"/>
      <c r="AM75" s="244"/>
      <c r="AN75" s="244"/>
      <c r="AO75" s="244"/>
      <c r="AP75" s="244"/>
      <c r="AQ75" s="244"/>
      <c r="AR75" s="233"/>
      <c r="AT75" s="246"/>
      <c r="AU75" s="233"/>
      <c r="AV75" s="233"/>
      <c r="AW75" s="233"/>
      <c r="AX75" s="233"/>
      <c r="AY75" s="247"/>
      <c r="AZ75" s="233"/>
      <c r="BA75" s="233"/>
      <c r="BB75" s="241"/>
      <c r="BC75" s="242"/>
      <c r="BD75" s="243"/>
      <c r="BE75" s="244"/>
      <c r="BF75" s="244"/>
      <c r="BG75" s="244"/>
      <c r="BH75" s="244"/>
      <c r="BI75" s="244"/>
      <c r="BJ75" s="245"/>
      <c r="BL75" s="246"/>
      <c r="BM75" s="233"/>
      <c r="BN75" s="233"/>
      <c r="BO75" s="233"/>
      <c r="BP75" s="233"/>
      <c r="BQ75" s="247"/>
      <c r="BR75" s="233"/>
      <c r="BS75" s="233"/>
    </row>
    <row r="76" spans="18:71" ht="13" thickBot="1">
      <c r="R76" s="162">
        <v>44651</v>
      </c>
      <c r="S76" s="174">
        <f>VLOOKUP($R76,'Update Log'!$A$1:$H$861,2)</f>
        <v>0</v>
      </c>
      <c r="T76" s="175">
        <f>VLOOKUP($R76,'Update Log'!$A$1:$H$861,3)</f>
        <v>0</v>
      </c>
      <c r="U76" s="176">
        <f>VLOOKUP($R76,'Update Log'!$A$1:$H$861,4)</f>
        <v>0</v>
      </c>
      <c r="V76" s="176">
        <f>VLOOKUP($R76,'Update Log'!$A$1:$H$861,5)</f>
        <v>0</v>
      </c>
      <c r="W76" s="176">
        <f>VLOOKUP($R76,'Update Log'!$A$1:$H$861,6)</f>
        <v>68</v>
      </c>
      <c r="X76" s="176">
        <f>VLOOKUP($R76,'Update Log'!$A$1:$H$861,7)</f>
        <v>379</v>
      </c>
      <c r="Y76" s="176">
        <f>VLOOKUP($R76,'Update Log'!$A$1:$H$861,8)</f>
        <v>447</v>
      </c>
      <c r="Z76" s="230">
        <f t="shared" si="37"/>
        <v>2</v>
      </c>
      <c r="AB76" s="16">
        <f t="shared" si="39"/>
        <v>44651</v>
      </c>
      <c r="AC76" s="160">
        <f t="shared" si="40"/>
        <v>0</v>
      </c>
      <c r="AD76" s="160">
        <f t="shared" si="41"/>
        <v>0</v>
      </c>
      <c r="AE76" s="160">
        <f t="shared" si="42"/>
        <v>447</v>
      </c>
      <c r="AF76" s="160">
        <f t="shared" si="43"/>
        <v>447</v>
      </c>
      <c r="AG76" s="161">
        <f t="shared" si="44"/>
        <v>1</v>
      </c>
      <c r="AH76" s="160">
        <f t="shared" si="45"/>
        <v>68</v>
      </c>
      <c r="AI76" s="233">
        <f t="shared" si="38"/>
        <v>2</v>
      </c>
      <c r="AJ76" s="246"/>
      <c r="AK76" s="242"/>
      <c r="AL76" s="243"/>
      <c r="AM76" s="244"/>
      <c r="AN76" s="244"/>
      <c r="AO76" s="244"/>
      <c r="AP76" s="244"/>
      <c r="AQ76" s="244"/>
      <c r="AR76" s="233"/>
      <c r="AT76" s="246"/>
      <c r="AU76" s="233"/>
      <c r="AV76" s="233"/>
      <c r="AW76" s="233"/>
      <c r="AX76" s="233"/>
      <c r="AY76" s="247"/>
      <c r="AZ76" s="233"/>
      <c r="BA76" s="233"/>
      <c r="BB76" s="241"/>
      <c r="BC76" s="242"/>
      <c r="BD76" s="243"/>
      <c r="BE76" s="244"/>
      <c r="BF76" s="244"/>
      <c r="BG76" s="244"/>
      <c r="BH76" s="244"/>
      <c r="BI76" s="244"/>
      <c r="BJ76" s="245"/>
      <c r="BL76" s="246"/>
      <c r="BM76" s="233"/>
      <c r="BN76" s="233"/>
      <c r="BO76" s="233"/>
      <c r="BP76" s="233"/>
      <c r="BQ76" s="247"/>
      <c r="BR76" s="233"/>
      <c r="BS76" s="233"/>
    </row>
    <row r="77" spans="18:71" ht="13" thickBot="1">
      <c r="R77" s="162">
        <v>44681</v>
      </c>
      <c r="S77" s="174">
        <f>VLOOKUP($R77,'Update Log'!$A$1:$H$861,2)</f>
        <v>0</v>
      </c>
      <c r="T77" s="175">
        <f>VLOOKUP($R77,'Update Log'!$A$1:$H$861,3)</f>
        <v>0</v>
      </c>
      <c r="U77" s="176">
        <f>VLOOKUP($R77,'Update Log'!$A$1:$H$861,4)</f>
        <v>0</v>
      </c>
      <c r="V77" s="176">
        <f>VLOOKUP($R77,'Update Log'!$A$1:$H$861,5)</f>
        <v>0</v>
      </c>
      <c r="W77" s="176">
        <f>VLOOKUP($R77,'Update Log'!$A$1:$H$861,6)</f>
        <v>27</v>
      </c>
      <c r="X77" s="176">
        <f>VLOOKUP($R77,'Update Log'!$A$1:$H$861,7)</f>
        <v>420</v>
      </c>
      <c r="Y77" s="176">
        <f>VLOOKUP($R77,'Update Log'!$A$1:$H$861,8)</f>
        <v>447</v>
      </c>
      <c r="Z77" s="230">
        <f t="shared" si="37"/>
        <v>2</v>
      </c>
      <c r="AB77" s="16">
        <f t="shared" si="39"/>
        <v>44681</v>
      </c>
      <c r="AC77" s="160">
        <f t="shared" si="40"/>
        <v>0</v>
      </c>
      <c r="AD77" s="160">
        <f t="shared" si="41"/>
        <v>0</v>
      </c>
      <c r="AE77" s="160">
        <f t="shared" si="42"/>
        <v>447</v>
      </c>
      <c r="AF77" s="160">
        <f t="shared" si="43"/>
        <v>447</v>
      </c>
      <c r="AG77" s="161">
        <f t="shared" si="44"/>
        <v>1</v>
      </c>
      <c r="AH77" s="160">
        <f t="shared" si="45"/>
        <v>27</v>
      </c>
      <c r="AI77" s="233">
        <f t="shared" si="38"/>
        <v>2</v>
      </c>
      <c r="AJ77" s="246"/>
      <c r="AK77" s="242"/>
      <c r="AL77" s="243"/>
      <c r="AM77" s="244"/>
      <c r="AN77" s="244"/>
      <c r="AO77" s="244"/>
      <c r="AP77" s="244"/>
      <c r="AQ77" s="244"/>
      <c r="AR77" s="233"/>
      <c r="AT77" s="246"/>
      <c r="AU77" s="233"/>
      <c r="AV77" s="233"/>
      <c r="AW77" s="233"/>
      <c r="AX77" s="233"/>
      <c r="AY77" s="247"/>
      <c r="AZ77" s="233"/>
      <c r="BA77" s="233"/>
      <c r="BB77" s="241"/>
      <c r="BC77" s="242"/>
      <c r="BD77" s="243"/>
      <c r="BE77" s="244"/>
      <c r="BF77" s="244"/>
      <c r="BG77" s="244"/>
      <c r="BH77" s="244"/>
      <c r="BI77" s="244"/>
      <c r="BJ77" s="245"/>
      <c r="BL77" s="246"/>
      <c r="BM77" s="233"/>
      <c r="BN77" s="233"/>
      <c r="BO77" s="233"/>
      <c r="BP77" s="233"/>
      <c r="BQ77" s="247"/>
      <c r="BR77" s="233"/>
      <c r="BS77" s="233"/>
    </row>
    <row r="78" spans="18:71" ht="13" thickBot="1">
      <c r="R78" s="162">
        <v>44712</v>
      </c>
      <c r="S78" s="174">
        <f>VLOOKUP($R78,'Update Log'!$A$1:$H$861,2)</f>
        <v>0</v>
      </c>
      <c r="T78" s="175">
        <f>VLOOKUP($R78,'Update Log'!$A$1:$H$861,3)</f>
        <v>0</v>
      </c>
      <c r="U78" s="176">
        <f>VLOOKUP($R78,'Update Log'!$A$1:$H$861,4)</f>
        <v>0</v>
      </c>
      <c r="V78" s="176">
        <f>VLOOKUP($R78,'Update Log'!$A$1:$H$861,5)</f>
        <v>0</v>
      </c>
      <c r="W78" s="176">
        <f>VLOOKUP($R78,'Update Log'!$A$1:$H$861,6)</f>
        <v>0</v>
      </c>
      <c r="X78" s="176">
        <f>VLOOKUP($R78,'Update Log'!$A$1:$H$861,7)</f>
        <v>0</v>
      </c>
      <c r="Y78" s="176">
        <f>VLOOKUP($R78,'Update Log'!$A$1:$H$861,8)</f>
        <v>0</v>
      </c>
      <c r="Z78" s="230">
        <f t="shared" si="37"/>
        <v>2</v>
      </c>
      <c r="AB78" s="16">
        <f t="shared" si="39"/>
        <v>44712</v>
      </c>
      <c r="AC78" s="160">
        <f t="shared" si="40"/>
        <v>0</v>
      </c>
      <c r="AD78" s="160">
        <f t="shared" si="41"/>
        <v>0</v>
      </c>
      <c r="AE78" s="160">
        <f t="shared" si="42"/>
        <v>0</v>
      </c>
      <c r="AF78" s="160">
        <f t="shared" si="43"/>
        <v>0</v>
      </c>
      <c r="AG78" s="161">
        <f t="shared" si="44"/>
        <v>1</v>
      </c>
      <c r="AH78" s="160">
        <f t="shared" si="45"/>
        <v>0</v>
      </c>
      <c r="AI78" s="233">
        <f t="shared" si="38"/>
        <v>2</v>
      </c>
      <c r="AJ78" s="246"/>
      <c r="AK78" s="242"/>
      <c r="AL78" s="243"/>
      <c r="AM78" s="244"/>
      <c r="AN78" s="244"/>
      <c r="AO78" s="244"/>
      <c r="AP78" s="244"/>
      <c r="AQ78" s="244"/>
      <c r="AR78" s="233"/>
      <c r="AT78" s="246"/>
      <c r="AU78" s="233"/>
      <c r="AV78" s="233"/>
      <c r="AW78" s="233"/>
      <c r="AX78" s="233"/>
      <c r="AY78" s="247"/>
      <c r="AZ78" s="233"/>
      <c r="BA78" s="233"/>
      <c r="BB78" s="241"/>
      <c r="BC78" s="242"/>
      <c r="BD78" s="243"/>
      <c r="BE78" s="244"/>
      <c r="BF78" s="244"/>
      <c r="BG78" s="244"/>
      <c r="BH78" s="244"/>
      <c r="BI78" s="244"/>
      <c r="BJ78" s="245"/>
      <c r="BL78" s="246"/>
      <c r="BM78" s="233"/>
      <c r="BN78" s="233"/>
      <c r="BO78" s="233"/>
      <c r="BP78" s="233"/>
      <c r="BQ78" s="247"/>
      <c r="BR78" s="233"/>
      <c r="BS78" s="233"/>
    </row>
    <row r="79" spans="18:71" ht="13" thickBot="1">
      <c r="R79" s="162">
        <v>44742</v>
      </c>
      <c r="S79" s="174">
        <f>VLOOKUP($R79,'Update Log'!$A$1:$H$861,2)</f>
        <v>0</v>
      </c>
      <c r="T79" s="175">
        <f>VLOOKUP($R79,'Update Log'!$A$1:$H$861,3)</f>
        <v>0</v>
      </c>
      <c r="U79" s="176">
        <f>VLOOKUP($R79,'Update Log'!$A$1:$H$861,4)</f>
        <v>0</v>
      </c>
      <c r="V79" s="176">
        <f>VLOOKUP($R79,'Update Log'!$A$1:$H$861,5)</f>
        <v>0</v>
      </c>
      <c r="W79" s="176">
        <f>VLOOKUP($R79,'Update Log'!$A$1:$H$861,6)</f>
        <v>0</v>
      </c>
      <c r="X79" s="176">
        <f>VLOOKUP($R79,'Update Log'!$A$1:$H$861,7)</f>
        <v>26</v>
      </c>
      <c r="Y79" s="176">
        <f>VLOOKUP($R79,'Update Log'!$A$1:$H$861,8)</f>
        <v>26</v>
      </c>
      <c r="Z79" s="230">
        <f t="shared" si="37"/>
        <v>2</v>
      </c>
      <c r="AB79" s="16">
        <f t="shared" si="39"/>
        <v>44742</v>
      </c>
      <c r="AC79" s="160">
        <f t="shared" si="40"/>
        <v>0</v>
      </c>
      <c r="AD79" s="160">
        <f t="shared" si="41"/>
        <v>0</v>
      </c>
      <c r="AE79" s="160">
        <f t="shared" si="42"/>
        <v>26</v>
      </c>
      <c r="AF79" s="160">
        <f t="shared" si="43"/>
        <v>26</v>
      </c>
      <c r="AG79" s="161">
        <f t="shared" si="44"/>
        <v>1</v>
      </c>
      <c r="AH79" s="160">
        <f t="shared" si="45"/>
        <v>0</v>
      </c>
      <c r="AI79" s="233">
        <f t="shared" si="38"/>
        <v>2</v>
      </c>
      <c r="AJ79" s="246"/>
      <c r="AK79" s="242"/>
      <c r="AL79" s="243"/>
      <c r="AM79" s="244"/>
      <c r="AN79" s="244"/>
      <c r="AO79" s="244"/>
      <c r="AP79" s="244"/>
      <c r="AQ79" s="244"/>
      <c r="AR79" s="233"/>
      <c r="AT79" s="246"/>
      <c r="AU79" s="233"/>
      <c r="AV79" s="233"/>
      <c r="AW79" s="233"/>
      <c r="AX79" s="233"/>
      <c r="AY79" s="247"/>
      <c r="AZ79" s="233"/>
      <c r="BA79" s="233"/>
      <c r="BB79" s="241"/>
      <c r="BC79" s="242"/>
      <c r="BD79" s="243"/>
      <c r="BE79" s="244"/>
      <c r="BF79" s="244"/>
      <c r="BG79" s="244"/>
      <c r="BH79" s="244"/>
      <c r="BI79" s="244"/>
      <c r="BJ79" s="245"/>
      <c r="BL79" s="246"/>
      <c r="BM79" s="233"/>
      <c r="BN79" s="233"/>
      <c r="BO79" s="233"/>
      <c r="BP79" s="233"/>
      <c r="BQ79" s="247"/>
      <c r="BR79" s="233"/>
      <c r="BS79" s="233"/>
    </row>
    <row r="80" spans="18:71" ht="13" thickBot="1">
      <c r="R80" s="162">
        <v>44773</v>
      </c>
      <c r="S80" s="174">
        <f>VLOOKUP($R80,'Update Log'!$A$1:$H$861,2)</f>
        <v>0</v>
      </c>
      <c r="T80" s="175">
        <f>VLOOKUP($R80,'Update Log'!$A$1:$H$861,3)</f>
        <v>0</v>
      </c>
      <c r="U80" s="176">
        <f>VLOOKUP($R80,'Update Log'!$A$1:$H$861,4)</f>
        <v>0</v>
      </c>
      <c r="V80" s="176">
        <f>VLOOKUP($R80,'Update Log'!$A$1:$H$861,5)</f>
        <v>0</v>
      </c>
      <c r="W80" s="176">
        <f>VLOOKUP($R80,'Update Log'!$A$1:$H$861,6)</f>
        <v>0</v>
      </c>
      <c r="X80" s="176">
        <f>VLOOKUP($R80,'Update Log'!$A$1:$H$861,7)</f>
        <v>25</v>
      </c>
      <c r="Y80" s="176">
        <f>VLOOKUP($R80,'Update Log'!$A$1:$H$861,8)</f>
        <v>25</v>
      </c>
      <c r="Z80" s="230">
        <f t="shared" si="37"/>
        <v>2</v>
      </c>
      <c r="AB80" s="16">
        <f t="shared" si="39"/>
        <v>44773</v>
      </c>
      <c r="AC80" s="160">
        <f t="shared" si="40"/>
        <v>0</v>
      </c>
      <c r="AD80" s="160">
        <f t="shared" si="41"/>
        <v>0</v>
      </c>
      <c r="AE80" s="160">
        <f t="shared" si="42"/>
        <v>25</v>
      </c>
      <c r="AF80" s="160">
        <f t="shared" si="43"/>
        <v>25</v>
      </c>
      <c r="AG80" s="161">
        <f t="shared" si="44"/>
        <v>1</v>
      </c>
      <c r="AH80" s="160">
        <f t="shared" si="45"/>
        <v>0</v>
      </c>
      <c r="AI80" s="233">
        <f t="shared" si="38"/>
        <v>2</v>
      </c>
      <c r="AJ80" s="246"/>
      <c r="AK80" s="242"/>
      <c r="AL80" s="243"/>
      <c r="AM80" s="244"/>
      <c r="AN80" s="244"/>
      <c r="AO80" s="244"/>
      <c r="AP80" s="244"/>
      <c r="AQ80" s="244"/>
      <c r="AR80" s="233"/>
      <c r="AT80" s="246"/>
      <c r="AU80" s="233"/>
      <c r="AV80" s="233"/>
      <c r="AW80" s="233"/>
      <c r="AX80" s="233"/>
      <c r="AY80" s="247"/>
      <c r="AZ80" s="233"/>
      <c r="BA80" s="233"/>
      <c r="BB80" s="241"/>
      <c r="BC80" s="242"/>
      <c r="BD80" s="243"/>
      <c r="BE80" s="244"/>
      <c r="BF80" s="244"/>
      <c r="BG80" s="244"/>
      <c r="BH80" s="244"/>
      <c r="BI80" s="244"/>
      <c r="BJ80" s="245"/>
      <c r="BL80" s="246"/>
      <c r="BM80" s="233"/>
      <c r="BN80" s="233"/>
      <c r="BO80" s="233"/>
      <c r="BP80" s="233"/>
      <c r="BQ80" s="247"/>
      <c r="BR80" s="233"/>
      <c r="BS80" s="233"/>
    </row>
    <row r="81" spans="18:71" ht="13" thickBot="1">
      <c r="R81" s="162">
        <v>44804</v>
      </c>
      <c r="S81" s="174">
        <f>VLOOKUP($R81,'Update Log'!$A$1:$H$861,2)</f>
        <v>0</v>
      </c>
      <c r="T81" s="175">
        <f>VLOOKUP($R81,'Update Log'!$A$1:$H$861,3)</f>
        <v>0</v>
      </c>
      <c r="U81" s="176">
        <f>VLOOKUP($R81,'Update Log'!$A$1:$H$861,4)</f>
        <v>0</v>
      </c>
      <c r="V81" s="176">
        <f>VLOOKUP($R81,'Update Log'!$A$1:$H$861,5)</f>
        <v>0</v>
      </c>
      <c r="W81" s="176">
        <f>VLOOKUP($R81,'Update Log'!$A$1:$H$861,6)</f>
        <v>0</v>
      </c>
      <c r="X81" s="176">
        <f>VLOOKUP($R81,'Update Log'!$A$1:$H$861,7)</f>
        <v>25</v>
      </c>
      <c r="Y81" s="176">
        <f>VLOOKUP($R81,'Update Log'!$A$1:$H$861,8)</f>
        <v>25</v>
      </c>
      <c r="Z81" s="230">
        <f t="shared" si="37"/>
        <v>2</v>
      </c>
      <c r="AB81" s="16">
        <f t="shared" si="39"/>
        <v>44804</v>
      </c>
      <c r="AC81" s="160">
        <f t="shared" si="40"/>
        <v>0</v>
      </c>
      <c r="AD81" s="160">
        <f t="shared" si="41"/>
        <v>0</v>
      </c>
      <c r="AE81" s="160">
        <f t="shared" si="42"/>
        <v>25</v>
      </c>
      <c r="AF81" s="160">
        <f t="shared" si="43"/>
        <v>25</v>
      </c>
      <c r="AG81" s="161">
        <f t="shared" si="44"/>
        <v>1</v>
      </c>
      <c r="AH81" s="160">
        <f t="shared" si="45"/>
        <v>0</v>
      </c>
      <c r="AI81" s="233">
        <f t="shared" si="38"/>
        <v>2</v>
      </c>
      <c r="AJ81" s="246"/>
      <c r="AK81" s="242"/>
      <c r="AL81" s="243"/>
      <c r="AM81" s="244"/>
      <c r="AN81" s="244"/>
      <c r="AO81" s="244"/>
      <c r="AP81" s="244"/>
      <c r="AQ81" s="244"/>
      <c r="AR81" s="233"/>
      <c r="AT81" s="246"/>
      <c r="AU81" s="233"/>
      <c r="AV81" s="233"/>
      <c r="AW81" s="233"/>
      <c r="AX81" s="233"/>
      <c r="AY81" s="247"/>
      <c r="AZ81" s="233"/>
      <c r="BA81" s="233"/>
      <c r="BB81" s="241"/>
      <c r="BC81" s="242"/>
      <c r="BD81" s="243"/>
      <c r="BE81" s="244"/>
      <c r="BF81" s="244"/>
      <c r="BG81" s="244"/>
      <c r="BH81" s="244"/>
      <c r="BI81" s="244"/>
      <c r="BJ81" s="245"/>
      <c r="BL81" s="246"/>
      <c r="BM81" s="233"/>
      <c r="BN81" s="233"/>
      <c r="BO81" s="233"/>
      <c r="BP81" s="233"/>
      <c r="BQ81" s="247"/>
      <c r="BR81" s="233"/>
      <c r="BS81" s="233"/>
    </row>
    <row r="82" spans="18:71" ht="13" thickBot="1">
      <c r="R82" s="162">
        <v>44834</v>
      </c>
      <c r="S82" s="174">
        <f>VLOOKUP($R82,'Update Log'!$A$1:$H$861,2)</f>
        <v>0</v>
      </c>
      <c r="T82" s="175">
        <f>VLOOKUP($R82,'Update Log'!$A$1:$H$861,3)</f>
        <v>0</v>
      </c>
      <c r="U82" s="176">
        <f>VLOOKUP($R82,'Update Log'!$A$1:$H$861,4)</f>
        <v>0</v>
      </c>
      <c r="V82" s="176">
        <f>VLOOKUP($R82,'Update Log'!$A$1:$H$861,5)</f>
        <v>0</v>
      </c>
      <c r="W82" s="176">
        <f>VLOOKUP($R82,'Update Log'!$A$1:$H$861,6)</f>
        <v>0</v>
      </c>
      <c r="X82" s="176">
        <f>VLOOKUP($R82,'Update Log'!$A$1:$H$861,7)</f>
        <v>25</v>
      </c>
      <c r="Y82" s="176">
        <f>VLOOKUP($R82,'Update Log'!$A$1:$H$861,8)</f>
        <v>25</v>
      </c>
      <c r="Z82" s="230">
        <f t="shared" si="37"/>
        <v>2</v>
      </c>
      <c r="AB82" s="16">
        <f t="shared" si="39"/>
        <v>44834</v>
      </c>
      <c r="AC82" s="160">
        <f t="shared" si="40"/>
        <v>0</v>
      </c>
      <c r="AD82" s="160">
        <f t="shared" si="41"/>
        <v>0</v>
      </c>
      <c r="AE82" s="160">
        <f t="shared" si="42"/>
        <v>25</v>
      </c>
      <c r="AF82" s="160">
        <f t="shared" si="43"/>
        <v>25</v>
      </c>
      <c r="AG82" s="161">
        <f t="shared" si="44"/>
        <v>1</v>
      </c>
      <c r="AH82" s="160">
        <f t="shared" si="45"/>
        <v>0</v>
      </c>
      <c r="AI82" s="233">
        <f t="shared" si="38"/>
        <v>2</v>
      </c>
      <c r="AJ82" s="246"/>
      <c r="AK82" s="242"/>
      <c r="AL82" s="243"/>
      <c r="AM82" s="244"/>
      <c r="AN82" s="244"/>
      <c r="AO82" s="244"/>
      <c r="AP82" s="244"/>
      <c r="AQ82" s="244"/>
      <c r="AR82" s="233"/>
      <c r="AT82" s="246"/>
      <c r="AU82" s="233"/>
      <c r="AV82" s="233"/>
      <c r="AW82" s="233"/>
      <c r="AX82" s="233"/>
      <c r="AY82" s="247"/>
      <c r="AZ82" s="233"/>
      <c r="BA82" s="233"/>
      <c r="BB82" s="241"/>
      <c r="BC82" s="242"/>
      <c r="BD82" s="243"/>
      <c r="BE82" s="244"/>
      <c r="BF82" s="244"/>
      <c r="BG82" s="244"/>
      <c r="BH82" s="244"/>
      <c r="BI82" s="244"/>
      <c r="BJ82" s="245"/>
      <c r="BL82" s="246"/>
      <c r="BM82" s="233"/>
      <c r="BN82" s="233"/>
      <c r="BO82" s="233"/>
      <c r="BP82" s="233"/>
      <c r="BQ82" s="247"/>
      <c r="BR82" s="233"/>
      <c r="BS82" s="233"/>
    </row>
    <row r="83" spans="18:71" ht="13" thickBot="1">
      <c r="R83" s="162">
        <v>44865</v>
      </c>
      <c r="S83" s="174">
        <f>VLOOKUP($R83,'Update Log'!$A$1:$H$861,2)</f>
        <v>0</v>
      </c>
      <c r="T83" s="175">
        <f>VLOOKUP($R83,'Update Log'!$A$1:$H$861,3)</f>
        <v>0</v>
      </c>
      <c r="U83" s="176">
        <f>VLOOKUP($R83,'Update Log'!$A$1:$H$861,4)</f>
        <v>0</v>
      </c>
      <c r="V83" s="176">
        <f>VLOOKUP($R83,'Update Log'!$A$1:$H$861,5)</f>
        <v>0</v>
      </c>
      <c r="W83" s="176">
        <f>VLOOKUP($R83,'Update Log'!$A$1:$H$861,6)</f>
        <v>0</v>
      </c>
      <c r="X83" s="176">
        <f>VLOOKUP($R83,'Update Log'!$A$1:$H$861,7)</f>
        <v>25</v>
      </c>
      <c r="Y83" s="176">
        <f>VLOOKUP($R83,'Update Log'!$A$1:$H$861,8)</f>
        <v>25</v>
      </c>
      <c r="Z83" s="230">
        <f t="shared" si="37"/>
        <v>2</v>
      </c>
      <c r="AB83" s="16">
        <f t="shared" si="39"/>
        <v>44865</v>
      </c>
      <c r="AC83" s="160">
        <f t="shared" si="40"/>
        <v>0</v>
      </c>
      <c r="AD83" s="160">
        <f t="shared" si="41"/>
        <v>0</v>
      </c>
      <c r="AE83" s="160">
        <f t="shared" si="42"/>
        <v>25</v>
      </c>
      <c r="AF83" s="160">
        <f t="shared" si="43"/>
        <v>25</v>
      </c>
      <c r="AG83" s="161">
        <f t="shared" si="44"/>
        <v>1</v>
      </c>
      <c r="AH83" s="160">
        <f t="shared" si="45"/>
        <v>0</v>
      </c>
      <c r="AI83" s="233">
        <f t="shared" si="38"/>
        <v>2</v>
      </c>
      <c r="AJ83" s="246"/>
      <c r="AK83" s="242"/>
      <c r="AL83" s="243"/>
      <c r="AM83" s="244"/>
      <c r="AN83" s="244"/>
      <c r="AO83" s="244"/>
      <c r="AP83" s="244"/>
      <c r="AQ83" s="244"/>
      <c r="AR83" s="233"/>
      <c r="AT83" s="246"/>
      <c r="AU83" s="233"/>
      <c r="AV83" s="233"/>
      <c r="AW83" s="233"/>
      <c r="AX83" s="233"/>
      <c r="AY83" s="247"/>
      <c r="AZ83" s="233"/>
      <c r="BA83" s="233"/>
      <c r="BB83" s="241"/>
      <c r="BC83" s="242"/>
      <c r="BD83" s="243"/>
      <c r="BE83" s="244"/>
      <c r="BF83" s="244"/>
      <c r="BG83" s="244"/>
      <c r="BH83" s="244"/>
      <c r="BI83" s="244"/>
      <c r="BJ83" s="245"/>
      <c r="BL83" s="246"/>
      <c r="BM83" s="233"/>
      <c r="BN83" s="233"/>
      <c r="BO83" s="233"/>
      <c r="BP83" s="233"/>
      <c r="BQ83" s="247"/>
      <c r="BR83" s="233"/>
      <c r="BS83" s="233"/>
    </row>
    <row r="84" spans="18:71" ht="13" thickBot="1">
      <c r="R84" s="162">
        <v>44895</v>
      </c>
      <c r="S84" s="174">
        <f>VLOOKUP($R84,'Update Log'!$A$1:$H$861,2)</f>
        <v>0</v>
      </c>
      <c r="T84" s="175">
        <f>VLOOKUP($R84,'Update Log'!$A$1:$H$861,3)</f>
        <v>0</v>
      </c>
      <c r="U84" s="176">
        <f>VLOOKUP($R84,'Update Log'!$A$1:$H$861,4)</f>
        <v>0</v>
      </c>
      <c r="V84" s="176">
        <f>VLOOKUP($R84,'Update Log'!$A$1:$H$861,5)</f>
        <v>0</v>
      </c>
      <c r="W84" s="176">
        <f>VLOOKUP($R84,'Update Log'!$A$1:$H$861,6)</f>
        <v>0</v>
      </c>
      <c r="X84" s="176">
        <f>VLOOKUP($R84,'Update Log'!$A$1:$H$861,7)</f>
        <v>25</v>
      </c>
      <c r="Y84" s="176">
        <f>VLOOKUP($R84,'Update Log'!$A$1:$H$861,8)</f>
        <v>25</v>
      </c>
      <c r="Z84" s="230">
        <f t="shared" si="37"/>
        <v>2</v>
      </c>
      <c r="AB84" s="16">
        <f t="shared" si="39"/>
        <v>44895</v>
      </c>
      <c r="AC84" s="160">
        <f t="shared" si="40"/>
        <v>0</v>
      </c>
      <c r="AD84" s="160">
        <f t="shared" si="41"/>
        <v>0</v>
      </c>
      <c r="AE84" s="160">
        <f t="shared" si="42"/>
        <v>25</v>
      </c>
      <c r="AF84" s="160">
        <f t="shared" si="43"/>
        <v>25</v>
      </c>
      <c r="AG84" s="161">
        <f t="shared" si="44"/>
        <v>1</v>
      </c>
      <c r="AH84" s="160">
        <f t="shared" si="45"/>
        <v>0</v>
      </c>
      <c r="AI84" s="233">
        <f t="shared" si="38"/>
        <v>2</v>
      </c>
      <c r="AJ84" s="246"/>
      <c r="AK84" s="242"/>
      <c r="AL84" s="243"/>
      <c r="AM84" s="244"/>
      <c r="AN84" s="244"/>
      <c r="AO84" s="244"/>
      <c r="AP84" s="244"/>
      <c r="AQ84" s="244"/>
      <c r="AR84" s="233"/>
      <c r="AT84" s="246"/>
      <c r="AU84" s="233"/>
      <c r="AV84" s="233"/>
      <c r="AW84" s="233"/>
      <c r="AX84" s="233"/>
      <c r="AY84" s="247"/>
      <c r="AZ84" s="233"/>
      <c r="BA84" s="233"/>
      <c r="BB84" s="241"/>
      <c r="BC84" s="242"/>
      <c r="BD84" s="243"/>
      <c r="BE84" s="244"/>
      <c r="BF84" s="244"/>
      <c r="BG84" s="244"/>
      <c r="BH84" s="244"/>
      <c r="BI84" s="244"/>
      <c r="BJ84" s="245"/>
      <c r="BL84" s="246"/>
      <c r="BM84" s="233"/>
      <c r="BN84" s="233"/>
      <c r="BO84" s="233"/>
      <c r="BP84" s="233"/>
      <c r="BQ84" s="247"/>
      <c r="BR84" s="233"/>
      <c r="BS84" s="233"/>
    </row>
    <row r="85" spans="18:71" ht="13" thickBot="1">
      <c r="R85" s="162">
        <v>44926</v>
      </c>
      <c r="S85" s="174">
        <f>VLOOKUP($R85,'Update Log'!$A$1:$H$861,2)</f>
        <v>0</v>
      </c>
      <c r="T85" s="175">
        <f>VLOOKUP($R85,'Update Log'!$A$1:$H$861,3)</f>
        <v>0</v>
      </c>
      <c r="U85" s="176">
        <f>VLOOKUP($R85,'Update Log'!$A$1:$H$861,4)</f>
        <v>0</v>
      </c>
      <c r="V85" s="176">
        <f>VLOOKUP($R85,'Update Log'!$A$1:$H$861,5)</f>
        <v>0</v>
      </c>
      <c r="W85" s="176">
        <f>VLOOKUP($R85,'Update Log'!$A$1:$H$861,6)</f>
        <v>0</v>
      </c>
      <c r="X85" s="176">
        <f>VLOOKUP($R85,'Update Log'!$A$1:$H$861,7)</f>
        <v>25</v>
      </c>
      <c r="Y85" s="176">
        <f>VLOOKUP($R85,'Update Log'!$A$1:$H$861,8)</f>
        <v>25</v>
      </c>
      <c r="Z85" s="230">
        <f t="shared" si="37"/>
        <v>2</v>
      </c>
      <c r="AB85" s="16">
        <f t="shared" si="39"/>
        <v>44926</v>
      </c>
      <c r="AC85" s="160">
        <f t="shared" si="40"/>
        <v>0</v>
      </c>
      <c r="AD85" s="160">
        <f t="shared" si="41"/>
        <v>0</v>
      </c>
      <c r="AE85" s="160">
        <f t="shared" si="42"/>
        <v>25</v>
      </c>
      <c r="AF85" s="160">
        <f t="shared" si="43"/>
        <v>25</v>
      </c>
      <c r="AG85" s="161">
        <f t="shared" si="44"/>
        <v>1</v>
      </c>
      <c r="AH85" s="160">
        <f t="shared" si="45"/>
        <v>0</v>
      </c>
      <c r="AI85" s="233">
        <f t="shared" si="38"/>
        <v>2</v>
      </c>
      <c r="AJ85" s="246"/>
      <c r="AK85" s="242"/>
      <c r="AL85" s="243"/>
      <c r="AM85" s="244"/>
      <c r="AN85" s="244"/>
      <c r="AO85" s="244"/>
      <c r="AP85" s="244"/>
      <c r="AQ85" s="244"/>
      <c r="AR85" s="233"/>
      <c r="AT85" s="246"/>
      <c r="AU85" s="233"/>
      <c r="AV85" s="233"/>
      <c r="AW85" s="233"/>
      <c r="AX85" s="233"/>
      <c r="AY85" s="247"/>
      <c r="AZ85" s="233"/>
      <c r="BA85" s="233"/>
      <c r="BB85" s="241"/>
      <c r="BC85" s="242"/>
      <c r="BD85" s="243"/>
      <c r="BE85" s="244"/>
      <c r="BF85" s="244"/>
      <c r="BG85" s="244"/>
      <c r="BH85" s="244"/>
      <c r="BI85" s="244"/>
      <c r="BJ85" s="245"/>
      <c r="BL85" s="246"/>
      <c r="BM85" s="233"/>
      <c r="BN85" s="233"/>
      <c r="BO85" s="233"/>
      <c r="BP85" s="233"/>
      <c r="BQ85" s="247"/>
      <c r="BR85" s="233"/>
      <c r="BS85" s="233"/>
    </row>
    <row r="86" spans="18:71" ht="13" thickBot="1">
      <c r="R86" s="162">
        <v>44957</v>
      </c>
      <c r="S86" s="174">
        <f>VLOOKUP($R86,'Update Log'!$A$1:$H$861,2)</f>
        <v>0</v>
      </c>
      <c r="T86" s="175">
        <f>VLOOKUP($R86,'Update Log'!$A$1:$H$861,3)</f>
        <v>0</v>
      </c>
      <c r="U86" s="176">
        <f>VLOOKUP($R86,'Update Log'!$A$1:$H$861,4)</f>
        <v>0</v>
      </c>
      <c r="V86" s="176">
        <f>VLOOKUP($R86,'Update Log'!$A$1:$H$861,5)</f>
        <v>0</v>
      </c>
      <c r="W86" s="176">
        <f>VLOOKUP($R86,'Update Log'!$A$1:$H$861,6)</f>
        <v>0</v>
      </c>
      <c r="X86" s="176">
        <f>VLOOKUP($R86,'Update Log'!$A$1:$H$861,7)</f>
        <v>25</v>
      </c>
      <c r="Y86" s="176">
        <f>VLOOKUP($R86,'Update Log'!$A$1:$H$861,8)</f>
        <v>25</v>
      </c>
      <c r="Z86" s="230">
        <f t="shared" si="37"/>
        <v>2</v>
      </c>
      <c r="AB86" s="16">
        <f t="shared" si="39"/>
        <v>44957</v>
      </c>
      <c r="AC86" s="160">
        <f t="shared" si="40"/>
        <v>0</v>
      </c>
      <c r="AD86" s="160">
        <f t="shared" si="41"/>
        <v>0</v>
      </c>
      <c r="AE86" s="160">
        <f t="shared" si="42"/>
        <v>25</v>
      </c>
      <c r="AF86" s="160">
        <f t="shared" si="43"/>
        <v>25</v>
      </c>
      <c r="AG86" s="161">
        <f t="shared" si="44"/>
        <v>1</v>
      </c>
      <c r="AH86" s="160">
        <f t="shared" si="45"/>
        <v>0</v>
      </c>
      <c r="AI86" s="233">
        <f t="shared" si="38"/>
        <v>2</v>
      </c>
      <c r="AJ86" s="246"/>
      <c r="AK86" s="242"/>
      <c r="AL86" s="243"/>
      <c r="AM86" s="244"/>
      <c r="AN86" s="244"/>
      <c r="AO86" s="244"/>
      <c r="AP86" s="244"/>
      <c r="AQ86" s="244"/>
      <c r="AR86" s="233"/>
      <c r="AT86" s="246"/>
      <c r="AU86" s="233"/>
      <c r="AV86" s="233"/>
      <c r="AW86" s="233"/>
      <c r="AX86" s="233"/>
      <c r="AY86" s="247"/>
      <c r="AZ86" s="233"/>
      <c r="BA86" s="233"/>
      <c r="BB86" s="241"/>
      <c r="BC86" s="242"/>
      <c r="BD86" s="243"/>
      <c r="BE86" s="244"/>
      <c r="BF86" s="244"/>
      <c r="BG86" s="244"/>
      <c r="BH86" s="244"/>
      <c r="BI86" s="244"/>
      <c r="BJ86" s="245"/>
      <c r="BL86" s="246"/>
      <c r="BM86" s="233"/>
      <c r="BN86" s="233"/>
      <c r="BO86" s="233"/>
      <c r="BP86" s="233"/>
      <c r="BQ86" s="247"/>
      <c r="BR86" s="233"/>
      <c r="BS86" s="233"/>
    </row>
    <row r="87" spans="18:71" ht="13" thickBot="1">
      <c r="R87" s="162">
        <v>44985</v>
      </c>
      <c r="S87" s="174">
        <f>VLOOKUP($R87,'Update Log'!$A$1:$H$861,2)</f>
        <v>0</v>
      </c>
      <c r="T87" s="175">
        <f>VLOOKUP($R87,'Update Log'!$A$1:$H$861,3)</f>
        <v>0</v>
      </c>
      <c r="U87" s="176">
        <f>VLOOKUP($R87,'Update Log'!$A$1:$H$861,4)</f>
        <v>0</v>
      </c>
      <c r="V87" s="176">
        <f>VLOOKUP($R87,'Update Log'!$A$1:$H$861,5)</f>
        <v>0</v>
      </c>
      <c r="W87" s="176">
        <f>VLOOKUP($R87,'Update Log'!$A$1:$H$861,6)</f>
        <v>0</v>
      </c>
      <c r="X87" s="176">
        <f>VLOOKUP($R87,'Update Log'!$A$1:$H$861,7)</f>
        <v>25</v>
      </c>
      <c r="Y87" s="176">
        <f>VLOOKUP($R87,'Update Log'!$A$1:$H$861,8)</f>
        <v>25</v>
      </c>
      <c r="Z87" s="230">
        <f t="shared" si="37"/>
        <v>2</v>
      </c>
      <c r="AB87" s="16">
        <f t="shared" si="39"/>
        <v>44985</v>
      </c>
      <c r="AC87" s="160">
        <f t="shared" si="40"/>
        <v>0</v>
      </c>
      <c r="AD87" s="160">
        <f t="shared" si="41"/>
        <v>0</v>
      </c>
      <c r="AE87" s="160">
        <f t="shared" si="42"/>
        <v>25</v>
      </c>
      <c r="AF87" s="160">
        <f t="shared" si="43"/>
        <v>25</v>
      </c>
      <c r="AG87" s="161">
        <f t="shared" si="44"/>
        <v>1</v>
      </c>
      <c r="AH87" s="160">
        <f t="shared" si="45"/>
        <v>0</v>
      </c>
      <c r="AI87" s="233">
        <f t="shared" si="38"/>
        <v>2</v>
      </c>
      <c r="AJ87" s="246"/>
      <c r="AK87" s="242"/>
      <c r="AL87" s="243"/>
      <c r="AM87" s="244"/>
      <c r="AN87" s="244"/>
      <c r="AO87" s="244"/>
      <c r="AP87" s="244"/>
      <c r="AQ87" s="244"/>
      <c r="AR87" s="233"/>
      <c r="AT87" s="246"/>
      <c r="AU87" s="233"/>
      <c r="AV87" s="233"/>
      <c r="AW87" s="233"/>
      <c r="AX87" s="233"/>
      <c r="AY87" s="247"/>
      <c r="AZ87" s="233"/>
      <c r="BA87" s="233"/>
      <c r="BB87" s="241"/>
      <c r="BC87" s="242"/>
      <c r="BD87" s="243"/>
      <c r="BE87" s="244"/>
      <c r="BF87" s="244"/>
      <c r="BG87" s="244"/>
      <c r="BH87" s="244"/>
      <c r="BI87" s="244"/>
      <c r="BJ87" s="245"/>
      <c r="BL87" s="246"/>
      <c r="BM87" s="233"/>
      <c r="BN87" s="233"/>
      <c r="BO87" s="233"/>
      <c r="BP87" s="233"/>
      <c r="BQ87" s="247"/>
      <c r="BR87" s="233"/>
      <c r="BS87" s="233"/>
    </row>
    <row r="88" spans="18:71" ht="13" thickBot="1">
      <c r="R88" s="162">
        <v>45016</v>
      </c>
      <c r="S88" s="174">
        <f>VLOOKUP($R88,'Update Log'!$A$1:$H$861,2)</f>
        <v>0</v>
      </c>
      <c r="T88" s="175">
        <f>VLOOKUP($R88,'Update Log'!$A$1:$H$861,3)</f>
        <v>0</v>
      </c>
      <c r="U88" s="176">
        <f>VLOOKUP($R88,'Update Log'!$A$1:$H$861,4)</f>
        <v>0</v>
      </c>
      <c r="V88" s="176">
        <f>VLOOKUP($R88,'Update Log'!$A$1:$H$861,5)</f>
        <v>0</v>
      </c>
      <c r="W88" s="176">
        <f>VLOOKUP($R88,'Update Log'!$A$1:$H$861,6)</f>
        <v>0</v>
      </c>
      <c r="X88" s="176">
        <f>VLOOKUP($R88,'Update Log'!$A$1:$H$861,7)</f>
        <v>25</v>
      </c>
      <c r="Y88" s="176">
        <f>VLOOKUP($R88,'Update Log'!$A$1:$H$861,8)</f>
        <v>25</v>
      </c>
      <c r="Z88" s="230">
        <f t="shared" si="37"/>
        <v>2</v>
      </c>
      <c r="AB88" s="16">
        <f t="shared" si="39"/>
        <v>45016</v>
      </c>
      <c r="AC88" s="160">
        <f t="shared" si="40"/>
        <v>0</v>
      </c>
      <c r="AD88" s="160">
        <f t="shared" si="41"/>
        <v>0</v>
      </c>
      <c r="AE88" s="160">
        <f t="shared" si="42"/>
        <v>25</v>
      </c>
      <c r="AF88" s="160">
        <f t="shared" si="43"/>
        <v>25</v>
      </c>
      <c r="AG88" s="161">
        <f t="shared" si="44"/>
        <v>1</v>
      </c>
      <c r="AH88" s="160">
        <f t="shared" si="45"/>
        <v>0</v>
      </c>
      <c r="AI88" s="233">
        <f t="shared" si="38"/>
        <v>2</v>
      </c>
      <c r="AJ88" s="246"/>
      <c r="AK88" s="242"/>
      <c r="AL88" s="243"/>
      <c r="AM88" s="244"/>
      <c r="AN88" s="244"/>
      <c r="AO88" s="244"/>
      <c r="AP88" s="244"/>
      <c r="AQ88" s="244"/>
      <c r="AR88" s="233"/>
      <c r="AT88" s="246"/>
      <c r="AU88" s="233"/>
      <c r="AV88" s="233"/>
      <c r="AW88" s="233"/>
      <c r="AX88" s="233"/>
      <c r="AY88" s="247"/>
      <c r="AZ88" s="233"/>
      <c r="BA88" s="233"/>
      <c r="BB88" s="241"/>
      <c r="BC88" s="242"/>
      <c r="BD88" s="243"/>
      <c r="BE88" s="244"/>
      <c r="BF88" s="244"/>
      <c r="BG88" s="244"/>
      <c r="BH88" s="244"/>
      <c r="BI88" s="244"/>
      <c r="BJ88" s="245"/>
      <c r="BL88" s="246"/>
      <c r="BM88" s="233"/>
      <c r="BN88" s="233"/>
      <c r="BO88" s="233"/>
      <c r="BP88" s="233"/>
      <c r="BQ88" s="247"/>
      <c r="BR88" s="233"/>
      <c r="BS88" s="233"/>
    </row>
    <row r="89" spans="18:71" ht="13" thickBot="1">
      <c r="R89" s="162">
        <v>45046</v>
      </c>
      <c r="S89" s="174">
        <f>VLOOKUP($R89,'Update Log'!$A$1:$H$861,2)</f>
        <v>0</v>
      </c>
      <c r="T89" s="175">
        <f>VLOOKUP($R89,'Update Log'!$A$1:$H$861,3)</f>
        <v>0</v>
      </c>
      <c r="U89" s="176">
        <f>VLOOKUP($R89,'Update Log'!$A$1:$H$861,4)</f>
        <v>0</v>
      </c>
      <c r="V89" s="176">
        <f>VLOOKUP($R89,'Update Log'!$A$1:$H$861,5)</f>
        <v>0</v>
      </c>
      <c r="W89" s="176">
        <f>VLOOKUP($R89,'Update Log'!$A$1:$H$861,6)</f>
        <v>0</v>
      </c>
      <c r="X89" s="176">
        <f>VLOOKUP($R89,'Update Log'!$A$1:$H$861,7)</f>
        <v>25</v>
      </c>
      <c r="Y89" s="176">
        <f>VLOOKUP($R89,'Update Log'!$A$1:$H$861,8)</f>
        <v>25</v>
      </c>
      <c r="Z89" s="230">
        <f t="shared" si="37"/>
        <v>2</v>
      </c>
      <c r="AB89" s="16">
        <f t="shared" si="39"/>
        <v>45046</v>
      </c>
      <c r="AC89" s="160">
        <f t="shared" si="40"/>
        <v>0</v>
      </c>
      <c r="AD89" s="160">
        <f t="shared" si="41"/>
        <v>0</v>
      </c>
      <c r="AE89" s="160">
        <f t="shared" si="42"/>
        <v>25</v>
      </c>
      <c r="AF89" s="160">
        <f t="shared" si="43"/>
        <v>25</v>
      </c>
      <c r="AG89" s="161">
        <f t="shared" si="44"/>
        <v>1</v>
      </c>
      <c r="AH89" s="160">
        <f t="shared" si="45"/>
        <v>0</v>
      </c>
      <c r="AI89" s="233">
        <f t="shared" si="38"/>
        <v>2</v>
      </c>
      <c r="AJ89" s="246"/>
      <c r="AK89" s="242"/>
      <c r="AL89" s="243"/>
      <c r="AM89" s="244"/>
      <c r="AN89" s="244"/>
      <c r="AO89" s="244"/>
      <c r="AP89" s="244"/>
      <c r="AQ89" s="244"/>
      <c r="AR89" s="233"/>
      <c r="AT89" s="246"/>
      <c r="AU89" s="233"/>
      <c r="AV89" s="233"/>
      <c r="AW89" s="233"/>
      <c r="AX89" s="233"/>
      <c r="AY89" s="247"/>
      <c r="AZ89" s="233"/>
      <c r="BA89" s="233"/>
      <c r="BB89" s="241"/>
      <c r="BC89" s="242"/>
      <c r="BD89" s="243"/>
      <c r="BE89" s="244"/>
      <c r="BF89" s="244"/>
      <c r="BG89" s="244"/>
      <c r="BH89" s="244"/>
      <c r="BI89" s="244"/>
      <c r="BJ89" s="245"/>
      <c r="BL89" s="246"/>
      <c r="BM89" s="233"/>
      <c r="BN89" s="233"/>
      <c r="BO89" s="233"/>
      <c r="BP89" s="233"/>
      <c r="BQ89" s="247"/>
      <c r="BR89" s="233"/>
      <c r="BS89" s="233"/>
    </row>
    <row r="90" spans="18:71" ht="13" thickBot="1">
      <c r="R90" s="162">
        <v>45077</v>
      </c>
      <c r="S90" s="174">
        <f>VLOOKUP($R90,'Update Log'!$A$1:$H$861,2)</f>
        <v>0</v>
      </c>
      <c r="T90" s="175">
        <f>VLOOKUP($R90,'Update Log'!$A$1:$H$861,3)</f>
        <v>0</v>
      </c>
      <c r="U90" s="176">
        <f>VLOOKUP($R90,'Update Log'!$A$1:$H$861,4)</f>
        <v>0</v>
      </c>
      <c r="V90" s="176">
        <f>VLOOKUP($R90,'Update Log'!$A$1:$H$861,5)</f>
        <v>0</v>
      </c>
      <c r="W90" s="176">
        <f>VLOOKUP($R90,'Update Log'!$A$1:$H$861,6)</f>
        <v>0</v>
      </c>
      <c r="X90" s="176">
        <f>VLOOKUP($R90,'Update Log'!$A$1:$H$861,7)</f>
        <v>25</v>
      </c>
      <c r="Y90" s="176">
        <f>VLOOKUP($R90,'Update Log'!$A$1:$H$861,8)</f>
        <v>25</v>
      </c>
      <c r="Z90" s="230">
        <f t="shared" si="37"/>
        <v>2</v>
      </c>
      <c r="AB90" s="16">
        <f t="shared" si="39"/>
        <v>45077</v>
      </c>
      <c r="AC90" s="160">
        <f t="shared" si="40"/>
        <v>0</v>
      </c>
      <c r="AD90" s="160">
        <f t="shared" si="41"/>
        <v>0</v>
      </c>
      <c r="AE90" s="160">
        <f t="shared" si="42"/>
        <v>25</v>
      </c>
      <c r="AF90" s="160">
        <f t="shared" si="43"/>
        <v>25</v>
      </c>
      <c r="AG90" s="161">
        <f t="shared" si="44"/>
        <v>1</v>
      </c>
      <c r="AH90" s="160">
        <f t="shared" si="45"/>
        <v>0</v>
      </c>
      <c r="AI90" s="233">
        <f t="shared" si="38"/>
        <v>2</v>
      </c>
      <c r="AJ90" s="246"/>
      <c r="AK90" s="242"/>
      <c r="AL90" s="243"/>
      <c r="AM90" s="244"/>
      <c r="AN90" s="244"/>
      <c r="AO90" s="244"/>
      <c r="AP90" s="244"/>
      <c r="AQ90" s="244"/>
      <c r="AR90" s="233"/>
      <c r="AT90" s="246"/>
      <c r="AU90" s="233"/>
      <c r="AV90" s="233"/>
      <c r="AW90" s="233"/>
      <c r="AX90" s="233"/>
      <c r="AY90" s="247"/>
      <c r="AZ90" s="233"/>
      <c r="BA90" s="233"/>
      <c r="BB90" s="241"/>
      <c r="BC90" s="242"/>
      <c r="BD90" s="243"/>
      <c r="BE90" s="244"/>
      <c r="BF90" s="244"/>
      <c r="BG90" s="244"/>
      <c r="BH90" s="244"/>
      <c r="BI90" s="244"/>
      <c r="BJ90" s="245"/>
      <c r="BL90" s="246"/>
      <c r="BM90" s="233"/>
      <c r="BN90" s="233"/>
      <c r="BO90" s="233"/>
      <c r="BP90" s="233"/>
      <c r="BQ90" s="247"/>
      <c r="BR90" s="233"/>
      <c r="BS90" s="233"/>
    </row>
    <row r="91" spans="18:71" ht="13" thickBot="1">
      <c r="R91" s="162">
        <v>45107</v>
      </c>
      <c r="S91" s="174">
        <f>VLOOKUP($R91,'Update Log'!$A$1:$H$861,2)</f>
        <v>0</v>
      </c>
      <c r="T91" s="175">
        <f>VLOOKUP($R91,'Update Log'!$A$1:$H$861,3)</f>
        <v>0</v>
      </c>
      <c r="U91" s="176">
        <f>VLOOKUP($R91,'Update Log'!$A$1:$H$861,4)</f>
        <v>0</v>
      </c>
      <c r="V91" s="176">
        <f>VLOOKUP($R91,'Update Log'!$A$1:$H$861,5)</f>
        <v>0</v>
      </c>
      <c r="W91" s="176">
        <f>VLOOKUP($R91,'Update Log'!$A$1:$H$861,6)</f>
        <v>0</v>
      </c>
      <c r="X91" s="176">
        <f>VLOOKUP($R91,'Update Log'!$A$1:$H$861,7)</f>
        <v>25</v>
      </c>
      <c r="Y91" s="176">
        <f>VLOOKUP($R91,'Update Log'!$A$1:$H$861,8)</f>
        <v>25</v>
      </c>
      <c r="Z91" s="230">
        <f t="shared" si="37"/>
        <v>2</v>
      </c>
      <c r="AB91" s="16">
        <f t="shared" si="39"/>
        <v>45107</v>
      </c>
      <c r="AC91" s="160">
        <f t="shared" si="40"/>
        <v>0</v>
      </c>
      <c r="AD91" s="160">
        <f t="shared" si="41"/>
        <v>0</v>
      </c>
      <c r="AE91" s="160">
        <f t="shared" si="42"/>
        <v>25</v>
      </c>
      <c r="AF91" s="160">
        <f t="shared" si="43"/>
        <v>25</v>
      </c>
      <c r="AG91" s="161">
        <f t="shared" si="44"/>
        <v>1</v>
      </c>
      <c r="AH91" s="160">
        <f t="shared" si="45"/>
        <v>0</v>
      </c>
      <c r="AI91" s="233">
        <f t="shared" si="38"/>
        <v>2</v>
      </c>
      <c r="AJ91" s="246"/>
      <c r="AK91" s="242"/>
      <c r="AL91" s="243"/>
      <c r="AM91" s="244"/>
      <c r="AN91" s="244"/>
      <c r="AO91" s="244"/>
      <c r="AP91" s="244"/>
      <c r="AQ91" s="244"/>
      <c r="AR91" s="233"/>
      <c r="AT91" s="246"/>
      <c r="AU91" s="233"/>
      <c r="AV91" s="233"/>
      <c r="AW91" s="233"/>
      <c r="AX91" s="233"/>
      <c r="AY91" s="247"/>
      <c r="AZ91" s="233"/>
      <c r="BA91" s="233"/>
      <c r="BB91" s="241"/>
      <c r="BC91" s="242"/>
      <c r="BD91" s="243"/>
      <c r="BE91" s="244"/>
      <c r="BF91" s="244"/>
      <c r="BG91" s="244"/>
      <c r="BH91" s="244"/>
      <c r="BI91" s="244"/>
      <c r="BJ91" s="245"/>
      <c r="BL91" s="246"/>
      <c r="BM91" s="233"/>
      <c r="BN91" s="233"/>
      <c r="BO91" s="233"/>
      <c r="BP91" s="233"/>
      <c r="BQ91" s="247"/>
      <c r="BR91" s="233"/>
      <c r="BS91" s="233"/>
    </row>
    <row r="92" spans="18:71" ht="13" thickBot="1">
      <c r="R92" s="162">
        <v>45138</v>
      </c>
      <c r="S92" s="174">
        <f>VLOOKUP($R92,'Update Log'!$A$1:$H$861,2)</f>
        <v>0</v>
      </c>
      <c r="T92" s="175">
        <f>VLOOKUP($R92,'Update Log'!$A$1:$H$861,3)</f>
        <v>0</v>
      </c>
      <c r="U92" s="176">
        <f>VLOOKUP($R92,'Update Log'!$A$1:$H$861,4)</f>
        <v>0</v>
      </c>
      <c r="V92" s="176">
        <f>VLOOKUP($R92,'Update Log'!$A$1:$H$861,5)</f>
        <v>0</v>
      </c>
      <c r="W92" s="176">
        <f>VLOOKUP($R92,'Update Log'!$A$1:$H$861,6)</f>
        <v>0</v>
      </c>
      <c r="X92" s="176">
        <f>VLOOKUP($R92,'Update Log'!$A$1:$H$861,7)</f>
        <v>25</v>
      </c>
      <c r="Y92" s="176">
        <f>VLOOKUP($R92,'Update Log'!$A$1:$H$861,8)</f>
        <v>25</v>
      </c>
      <c r="Z92" s="230">
        <f t="shared" si="37"/>
        <v>2</v>
      </c>
      <c r="AB92" s="16">
        <f t="shared" si="39"/>
        <v>45138</v>
      </c>
      <c r="AC92" s="160">
        <f t="shared" si="40"/>
        <v>0</v>
      </c>
      <c r="AD92" s="160">
        <f t="shared" si="41"/>
        <v>0</v>
      </c>
      <c r="AE92" s="160">
        <f t="shared" si="42"/>
        <v>25</v>
      </c>
      <c r="AF92" s="160">
        <f t="shared" si="43"/>
        <v>25</v>
      </c>
      <c r="AG92" s="161">
        <f t="shared" si="44"/>
        <v>1</v>
      </c>
      <c r="AH92" s="160">
        <f t="shared" si="45"/>
        <v>0</v>
      </c>
      <c r="AI92" s="233">
        <f t="shared" si="38"/>
        <v>2</v>
      </c>
      <c r="AJ92" s="246"/>
      <c r="AK92" s="242"/>
      <c r="AL92" s="243"/>
      <c r="AM92" s="244"/>
      <c r="AN92" s="244"/>
      <c r="AO92" s="244"/>
      <c r="AP92" s="244"/>
      <c r="AQ92" s="244"/>
      <c r="AR92" s="233"/>
      <c r="AT92" s="246"/>
      <c r="AU92" s="233"/>
      <c r="AV92" s="233"/>
      <c r="AW92" s="233"/>
      <c r="AX92" s="233"/>
      <c r="AY92" s="247"/>
      <c r="AZ92" s="233"/>
      <c r="BA92" s="233"/>
      <c r="BB92" s="241"/>
      <c r="BC92" s="242"/>
      <c r="BD92" s="243"/>
      <c r="BE92" s="244"/>
      <c r="BF92" s="244"/>
      <c r="BG92" s="244"/>
      <c r="BH92" s="244"/>
      <c r="BI92" s="244"/>
      <c r="BJ92" s="245"/>
      <c r="BL92" s="246"/>
      <c r="BM92" s="233"/>
      <c r="BN92" s="233"/>
      <c r="BO92" s="233"/>
      <c r="BP92" s="233"/>
      <c r="BQ92" s="247"/>
      <c r="BR92" s="233"/>
      <c r="BS92" s="233"/>
    </row>
    <row r="93" spans="18:71" ht="13" thickBot="1">
      <c r="R93" s="162">
        <v>45169</v>
      </c>
      <c r="S93" s="174">
        <f>VLOOKUP($R93,'Update Log'!$A$1:$H$861,2)</f>
        <v>0</v>
      </c>
      <c r="T93" s="175">
        <f>VLOOKUP($R93,'Update Log'!$A$1:$H$861,3)</f>
        <v>0</v>
      </c>
      <c r="U93" s="176">
        <f>VLOOKUP($R93,'Update Log'!$A$1:$H$861,4)</f>
        <v>0</v>
      </c>
      <c r="V93" s="176">
        <f>VLOOKUP($R93,'Update Log'!$A$1:$H$861,5)</f>
        <v>0</v>
      </c>
      <c r="W93" s="176">
        <f>VLOOKUP($R93,'Update Log'!$A$1:$H$861,6)</f>
        <v>0</v>
      </c>
      <c r="X93" s="176">
        <f>VLOOKUP($R93,'Update Log'!$A$1:$H$861,7)</f>
        <v>25</v>
      </c>
      <c r="Y93" s="176">
        <f>VLOOKUP($R93,'Update Log'!$A$1:$H$861,8)</f>
        <v>25</v>
      </c>
      <c r="Z93" s="230">
        <f t="shared" ref="Z93:Z128" si="46">IF(S93&gt;0,0,IF(T93&gt;=0.02,0,IF(V93&gt;0,1,2)))</f>
        <v>2</v>
      </c>
      <c r="AB93" s="16">
        <f t="shared" si="39"/>
        <v>45169</v>
      </c>
      <c r="AC93" s="160">
        <f t="shared" si="40"/>
        <v>0</v>
      </c>
      <c r="AD93" s="160">
        <f t="shared" si="41"/>
        <v>0</v>
      </c>
      <c r="AE93" s="160">
        <f t="shared" si="42"/>
        <v>25</v>
      </c>
      <c r="AF93" s="160">
        <f t="shared" si="43"/>
        <v>25</v>
      </c>
      <c r="AG93" s="161">
        <f t="shared" si="44"/>
        <v>1</v>
      </c>
      <c r="AH93" s="160">
        <f t="shared" si="45"/>
        <v>0</v>
      </c>
      <c r="AI93" s="233">
        <f t="shared" si="38"/>
        <v>2</v>
      </c>
      <c r="AJ93" s="246"/>
      <c r="AK93" s="242"/>
      <c r="AL93" s="243"/>
      <c r="AM93" s="244"/>
      <c r="AN93" s="244"/>
      <c r="AO93" s="244"/>
      <c r="AP93" s="244"/>
      <c r="AQ93" s="244"/>
      <c r="AR93" s="233"/>
      <c r="AT93" s="246"/>
      <c r="AU93" s="233"/>
      <c r="AV93" s="233"/>
      <c r="AW93" s="233"/>
      <c r="AX93" s="233"/>
      <c r="AY93" s="247"/>
      <c r="AZ93" s="233"/>
      <c r="BA93" s="233"/>
      <c r="BB93" s="241"/>
      <c r="BC93" s="242"/>
      <c r="BD93" s="243"/>
      <c r="BE93" s="244"/>
      <c r="BF93" s="244"/>
      <c r="BG93" s="244"/>
      <c r="BH93" s="244"/>
      <c r="BI93" s="244"/>
      <c r="BJ93" s="245"/>
      <c r="BL93" s="246"/>
      <c r="BM93" s="233"/>
      <c r="BN93" s="233"/>
      <c r="BO93" s="233"/>
      <c r="BP93" s="233"/>
      <c r="BQ93" s="247"/>
      <c r="BR93" s="233"/>
      <c r="BS93" s="233"/>
    </row>
    <row r="94" spans="18:71" ht="13" thickBot="1">
      <c r="R94" s="162">
        <v>45199</v>
      </c>
      <c r="S94" s="174">
        <f>VLOOKUP($R94,'Update Log'!$A$1:$H$861,2)</f>
        <v>0</v>
      </c>
      <c r="T94" s="175">
        <f>VLOOKUP($R94,'Update Log'!$A$1:$H$861,3)</f>
        <v>0</v>
      </c>
      <c r="U94" s="176">
        <f>VLOOKUP($R94,'Update Log'!$A$1:$H$861,4)</f>
        <v>0</v>
      </c>
      <c r="V94" s="176">
        <f>VLOOKUP($R94,'Update Log'!$A$1:$H$861,5)</f>
        <v>0</v>
      </c>
      <c r="W94" s="176">
        <f>VLOOKUP($R94,'Update Log'!$A$1:$H$861,6)</f>
        <v>0</v>
      </c>
      <c r="X94" s="176">
        <f>VLOOKUP($R94,'Update Log'!$A$1:$H$861,7)</f>
        <v>25</v>
      </c>
      <c r="Y94" s="176">
        <f>VLOOKUP($R94,'Update Log'!$A$1:$H$861,8)</f>
        <v>25</v>
      </c>
      <c r="Z94" s="230">
        <f t="shared" si="46"/>
        <v>2</v>
      </c>
      <c r="AB94" s="16">
        <f t="shared" si="39"/>
        <v>45199</v>
      </c>
      <c r="AC94" s="160">
        <f t="shared" si="40"/>
        <v>0</v>
      </c>
      <c r="AD94" s="160">
        <f t="shared" si="41"/>
        <v>0</v>
      </c>
      <c r="AE94" s="160">
        <f t="shared" si="42"/>
        <v>25</v>
      </c>
      <c r="AF94" s="160">
        <f t="shared" si="43"/>
        <v>25</v>
      </c>
      <c r="AG94" s="161">
        <f t="shared" si="44"/>
        <v>1</v>
      </c>
      <c r="AH94" s="160">
        <f t="shared" si="45"/>
        <v>0</v>
      </c>
      <c r="AI94" s="233">
        <f t="shared" si="38"/>
        <v>2</v>
      </c>
      <c r="AJ94" s="246"/>
      <c r="AK94" s="242"/>
      <c r="AL94" s="243"/>
      <c r="AM94" s="244"/>
      <c r="AN94" s="244"/>
      <c r="AO94" s="244"/>
      <c r="AP94" s="244"/>
      <c r="AQ94" s="244"/>
      <c r="AR94" s="233"/>
      <c r="AT94" s="246"/>
      <c r="AU94" s="233"/>
      <c r="AV94" s="233"/>
      <c r="AW94" s="233"/>
      <c r="AX94" s="233"/>
      <c r="AY94" s="247"/>
      <c r="AZ94" s="233"/>
      <c r="BA94" s="233"/>
      <c r="BB94" s="241"/>
      <c r="BC94" s="242"/>
      <c r="BD94" s="243"/>
      <c r="BE94" s="244"/>
      <c r="BF94" s="244"/>
      <c r="BG94" s="244"/>
      <c r="BH94" s="244"/>
      <c r="BI94" s="244"/>
      <c r="BJ94" s="245"/>
      <c r="BL94" s="246"/>
      <c r="BM94" s="233"/>
      <c r="BN94" s="233"/>
      <c r="BO94" s="233"/>
      <c r="BP94" s="233"/>
      <c r="BQ94" s="247"/>
      <c r="BR94" s="233"/>
      <c r="BS94" s="233"/>
    </row>
    <row r="95" spans="18:71" ht="13" thickBot="1">
      <c r="R95" s="162">
        <v>45230</v>
      </c>
      <c r="S95" s="174">
        <f>VLOOKUP($R95,'Update Log'!$A$1:$H$861,2)</f>
        <v>0</v>
      </c>
      <c r="T95" s="175">
        <f>VLOOKUP($R95,'Update Log'!$A$1:$H$861,3)</f>
        <v>0</v>
      </c>
      <c r="U95" s="176">
        <f>VLOOKUP($R95,'Update Log'!$A$1:$H$861,4)</f>
        <v>0</v>
      </c>
      <c r="V95" s="176">
        <f>VLOOKUP($R95,'Update Log'!$A$1:$H$861,5)</f>
        <v>0</v>
      </c>
      <c r="W95" s="176">
        <f>VLOOKUP($R95,'Update Log'!$A$1:$H$861,6)</f>
        <v>0</v>
      </c>
      <c r="X95" s="176">
        <f>VLOOKUP($R95,'Update Log'!$A$1:$H$861,7)</f>
        <v>25</v>
      </c>
      <c r="Y95" s="176">
        <f>VLOOKUP($R95,'Update Log'!$A$1:$H$861,8)</f>
        <v>25</v>
      </c>
      <c r="Z95" s="230">
        <f t="shared" si="46"/>
        <v>2</v>
      </c>
      <c r="AB95" s="16">
        <f t="shared" si="39"/>
        <v>45230</v>
      </c>
      <c r="AC95" s="160">
        <f t="shared" si="40"/>
        <v>0</v>
      </c>
      <c r="AD95" s="160">
        <f t="shared" si="41"/>
        <v>0</v>
      </c>
      <c r="AE95" s="160">
        <f t="shared" si="42"/>
        <v>25</v>
      </c>
      <c r="AF95" s="160">
        <f t="shared" si="43"/>
        <v>25</v>
      </c>
      <c r="AG95" s="161">
        <f t="shared" si="44"/>
        <v>1</v>
      </c>
      <c r="AH95" s="160">
        <f t="shared" si="45"/>
        <v>0</v>
      </c>
      <c r="AI95" s="233">
        <f t="shared" si="38"/>
        <v>2</v>
      </c>
      <c r="AJ95" s="246"/>
      <c r="AK95" s="242"/>
      <c r="AL95" s="243"/>
      <c r="AM95" s="244"/>
      <c r="AN95" s="244"/>
      <c r="AO95" s="244"/>
      <c r="AP95" s="244"/>
      <c r="AQ95" s="244"/>
      <c r="AR95" s="233"/>
      <c r="AT95" s="246"/>
      <c r="AU95" s="233"/>
      <c r="AV95" s="233"/>
      <c r="AW95" s="233"/>
      <c r="AX95" s="233"/>
      <c r="AY95" s="247"/>
      <c r="AZ95" s="233"/>
      <c r="BA95" s="233"/>
      <c r="BB95" s="241"/>
      <c r="BC95" s="242"/>
      <c r="BD95" s="243"/>
      <c r="BE95" s="244"/>
      <c r="BF95" s="244"/>
      <c r="BG95" s="244"/>
      <c r="BH95" s="244"/>
      <c r="BI95" s="244"/>
      <c r="BJ95" s="245"/>
      <c r="BL95" s="246"/>
      <c r="BM95" s="233"/>
      <c r="BN95" s="233"/>
      <c r="BO95" s="233"/>
      <c r="BP95" s="233"/>
      <c r="BQ95" s="247"/>
      <c r="BR95" s="233"/>
      <c r="BS95" s="233"/>
    </row>
    <row r="96" spans="18:71" ht="13" thickBot="1">
      <c r="R96" s="162">
        <v>45260</v>
      </c>
      <c r="S96" s="174">
        <f>VLOOKUP($R96,'Update Log'!$A$1:$H$861,2)</f>
        <v>0</v>
      </c>
      <c r="T96" s="175">
        <f>VLOOKUP($R96,'Update Log'!$A$1:$H$861,3)</f>
        <v>0</v>
      </c>
      <c r="U96" s="176">
        <f>VLOOKUP($R96,'Update Log'!$A$1:$H$861,4)</f>
        <v>0</v>
      </c>
      <c r="V96" s="176">
        <f>VLOOKUP($R96,'Update Log'!$A$1:$H$861,5)</f>
        <v>0</v>
      </c>
      <c r="W96" s="176">
        <f>VLOOKUP($R96,'Update Log'!$A$1:$H$861,6)</f>
        <v>0</v>
      </c>
      <c r="X96" s="176">
        <f>VLOOKUP($R96,'Update Log'!$A$1:$H$861,7)</f>
        <v>25</v>
      </c>
      <c r="Y96" s="176">
        <f>VLOOKUP($R96,'Update Log'!$A$1:$H$861,8)</f>
        <v>25</v>
      </c>
      <c r="Z96" s="230">
        <f t="shared" si="46"/>
        <v>2</v>
      </c>
      <c r="AB96" s="16">
        <f t="shared" si="39"/>
        <v>45260</v>
      </c>
      <c r="AC96" s="160">
        <f t="shared" si="40"/>
        <v>0</v>
      </c>
      <c r="AD96" s="160">
        <f t="shared" si="41"/>
        <v>0</v>
      </c>
      <c r="AE96" s="160">
        <f t="shared" si="42"/>
        <v>25</v>
      </c>
      <c r="AF96" s="160">
        <f t="shared" si="43"/>
        <v>25</v>
      </c>
      <c r="AG96" s="161">
        <f t="shared" si="44"/>
        <v>1</v>
      </c>
      <c r="AH96" s="160">
        <f t="shared" si="45"/>
        <v>0</v>
      </c>
      <c r="AI96" s="233">
        <f t="shared" si="38"/>
        <v>2</v>
      </c>
      <c r="AJ96" s="246"/>
      <c r="AK96" s="242"/>
      <c r="AL96" s="243"/>
      <c r="AM96" s="244"/>
      <c r="AN96" s="244"/>
      <c r="AO96" s="244"/>
      <c r="AP96" s="244"/>
      <c r="AQ96" s="244"/>
      <c r="AR96" s="233"/>
      <c r="AT96" s="246"/>
      <c r="AU96" s="233"/>
      <c r="AV96" s="233"/>
      <c r="AW96" s="233"/>
      <c r="AX96" s="233"/>
      <c r="AY96" s="247"/>
      <c r="AZ96" s="233"/>
      <c r="BA96" s="233"/>
      <c r="BB96" s="241"/>
      <c r="BC96" s="242"/>
      <c r="BD96" s="243"/>
      <c r="BE96" s="244"/>
      <c r="BF96" s="244"/>
      <c r="BG96" s="244"/>
      <c r="BH96" s="244"/>
      <c r="BI96" s="244"/>
      <c r="BJ96" s="245"/>
      <c r="BL96" s="246"/>
      <c r="BM96" s="233"/>
      <c r="BN96" s="233"/>
      <c r="BO96" s="233"/>
      <c r="BP96" s="233"/>
      <c r="BQ96" s="247"/>
      <c r="BR96" s="233"/>
      <c r="BS96" s="233"/>
    </row>
    <row r="97" spans="18:71" ht="13" thickBot="1">
      <c r="R97" s="162">
        <v>45291</v>
      </c>
      <c r="S97" s="174">
        <f>VLOOKUP($R97,'Update Log'!$A$1:$H$861,2)</f>
        <v>0</v>
      </c>
      <c r="T97" s="175">
        <f>VLOOKUP($R97,'Update Log'!$A$1:$H$861,3)</f>
        <v>0</v>
      </c>
      <c r="U97" s="176">
        <f>VLOOKUP($R97,'Update Log'!$A$1:$H$861,4)</f>
        <v>0</v>
      </c>
      <c r="V97" s="176">
        <f>VLOOKUP($R97,'Update Log'!$A$1:$H$861,5)</f>
        <v>0</v>
      </c>
      <c r="W97" s="176">
        <f>VLOOKUP($R97,'Update Log'!$A$1:$H$861,6)</f>
        <v>0</v>
      </c>
      <c r="X97" s="176">
        <f>VLOOKUP($R97,'Update Log'!$A$1:$H$861,7)</f>
        <v>25</v>
      </c>
      <c r="Y97" s="176">
        <f>VLOOKUP($R97,'Update Log'!$A$1:$H$861,8)</f>
        <v>25</v>
      </c>
      <c r="Z97" s="230">
        <f t="shared" si="46"/>
        <v>2</v>
      </c>
      <c r="AB97" s="16">
        <f t="shared" si="39"/>
        <v>45291</v>
      </c>
      <c r="AC97" s="160">
        <f t="shared" si="40"/>
        <v>0</v>
      </c>
      <c r="AD97" s="160">
        <f t="shared" si="41"/>
        <v>0</v>
      </c>
      <c r="AE97" s="160">
        <f t="shared" si="42"/>
        <v>25</v>
      </c>
      <c r="AF97" s="160">
        <f t="shared" si="43"/>
        <v>25</v>
      </c>
      <c r="AG97" s="161">
        <f t="shared" si="44"/>
        <v>1</v>
      </c>
      <c r="AH97" s="160">
        <f t="shared" si="45"/>
        <v>0</v>
      </c>
      <c r="AI97" s="233">
        <f t="shared" si="38"/>
        <v>2</v>
      </c>
      <c r="AJ97" s="246"/>
      <c r="AK97" s="242"/>
      <c r="AL97" s="243"/>
      <c r="AM97" s="244"/>
      <c r="AN97" s="244"/>
      <c r="AO97" s="244"/>
      <c r="AP97" s="244"/>
      <c r="AQ97" s="244"/>
      <c r="AR97" s="233"/>
      <c r="AT97" s="246"/>
      <c r="AU97" s="233"/>
      <c r="AV97" s="233"/>
      <c r="AW97" s="233"/>
      <c r="AX97" s="233"/>
      <c r="AY97" s="247"/>
      <c r="AZ97" s="233"/>
      <c r="BA97" s="233"/>
      <c r="BB97" s="241"/>
      <c r="BC97" s="242"/>
      <c r="BD97" s="243"/>
      <c r="BE97" s="244"/>
      <c r="BF97" s="244"/>
      <c r="BG97" s="244"/>
      <c r="BH97" s="244"/>
      <c r="BI97" s="244"/>
      <c r="BJ97" s="245"/>
      <c r="BL97" s="246"/>
      <c r="BM97" s="233"/>
      <c r="BN97" s="233"/>
      <c r="BO97" s="233"/>
      <c r="BP97" s="233"/>
      <c r="BQ97" s="247"/>
      <c r="BR97" s="233"/>
      <c r="BS97" s="233"/>
    </row>
    <row r="98" spans="18:71" ht="13" thickBot="1">
      <c r="R98" s="162">
        <v>45322</v>
      </c>
      <c r="S98" s="174">
        <f>VLOOKUP($R98,'Update Log'!$A$1:$H$861,2)</f>
        <v>0</v>
      </c>
      <c r="T98" s="175">
        <f>VLOOKUP($R98,'Update Log'!$A$1:$H$861,3)</f>
        <v>0</v>
      </c>
      <c r="U98" s="176">
        <f>VLOOKUP($R98,'Update Log'!$A$1:$H$861,4)</f>
        <v>0</v>
      </c>
      <c r="V98" s="176">
        <f>VLOOKUP($R98,'Update Log'!$A$1:$H$861,5)</f>
        <v>0</v>
      </c>
      <c r="W98" s="176">
        <f>VLOOKUP($R98,'Update Log'!$A$1:$H$861,6)</f>
        <v>0</v>
      </c>
      <c r="X98" s="176">
        <f>VLOOKUP($R98,'Update Log'!$A$1:$H$861,7)</f>
        <v>25</v>
      </c>
      <c r="Y98" s="176">
        <f>VLOOKUP($R98,'Update Log'!$A$1:$H$861,8)</f>
        <v>25</v>
      </c>
      <c r="Z98" s="230">
        <f t="shared" si="46"/>
        <v>2</v>
      </c>
      <c r="AB98" s="16">
        <f t="shared" si="39"/>
        <v>45322</v>
      </c>
      <c r="AC98" s="160">
        <f t="shared" si="40"/>
        <v>0</v>
      </c>
      <c r="AD98" s="160">
        <f t="shared" si="41"/>
        <v>0</v>
      </c>
      <c r="AE98" s="160">
        <f t="shared" si="42"/>
        <v>25</v>
      </c>
      <c r="AF98" s="160">
        <f t="shared" si="43"/>
        <v>25</v>
      </c>
      <c r="AG98" s="161">
        <f t="shared" si="44"/>
        <v>1</v>
      </c>
      <c r="AH98" s="160">
        <f t="shared" si="45"/>
        <v>0</v>
      </c>
      <c r="AI98" s="233">
        <f t="shared" si="38"/>
        <v>2</v>
      </c>
      <c r="AJ98" s="246"/>
      <c r="AK98" s="242"/>
      <c r="AL98" s="243"/>
      <c r="AM98" s="244"/>
      <c r="AN98" s="244"/>
      <c r="AO98" s="244"/>
      <c r="AP98" s="244"/>
      <c r="AQ98" s="244"/>
      <c r="AR98" s="233"/>
      <c r="AT98" s="246"/>
      <c r="AU98" s="233"/>
      <c r="AV98" s="233"/>
      <c r="AW98" s="233"/>
      <c r="AX98" s="233"/>
      <c r="AY98" s="247"/>
      <c r="AZ98" s="233"/>
      <c r="BA98" s="233"/>
      <c r="BB98" s="241"/>
      <c r="BC98" s="242"/>
      <c r="BD98" s="243"/>
      <c r="BE98" s="244"/>
      <c r="BF98" s="244"/>
      <c r="BG98" s="244"/>
      <c r="BH98" s="244"/>
      <c r="BI98" s="244"/>
      <c r="BJ98" s="245"/>
      <c r="BL98" s="246"/>
      <c r="BM98" s="233"/>
      <c r="BN98" s="233"/>
      <c r="BO98" s="233"/>
      <c r="BP98" s="233"/>
      <c r="BQ98" s="247"/>
      <c r="BR98" s="233"/>
      <c r="BS98" s="233"/>
    </row>
    <row r="99" spans="18:71" ht="13" thickBot="1">
      <c r="R99" s="162">
        <v>45351</v>
      </c>
      <c r="S99" s="174">
        <f>VLOOKUP($R99,'Update Log'!$A$1:$H$861,2)</f>
        <v>0</v>
      </c>
      <c r="T99" s="175">
        <f>VLOOKUP($R99,'Update Log'!$A$1:$H$861,3)</f>
        <v>0</v>
      </c>
      <c r="U99" s="176">
        <f>VLOOKUP($R99,'Update Log'!$A$1:$H$861,4)</f>
        <v>0</v>
      </c>
      <c r="V99" s="176">
        <f>VLOOKUP($R99,'Update Log'!$A$1:$H$861,5)</f>
        <v>0</v>
      </c>
      <c r="W99" s="176">
        <f>VLOOKUP($R99,'Update Log'!$A$1:$H$861,6)</f>
        <v>0</v>
      </c>
      <c r="X99" s="176">
        <f>VLOOKUP($R99,'Update Log'!$A$1:$H$861,7)</f>
        <v>25</v>
      </c>
      <c r="Y99" s="176">
        <f>VLOOKUP($R99,'Update Log'!$A$1:$H$861,8)</f>
        <v>25</v>
      </c>
      <c r="Z99" s="230">
        <f t="shared" si="46"/>
        <v>2</v>
      </c>
      <c r="AB99" s="16">
        <f t="shared" ref="AB99:AB128" si="47">R99</f>
        <v>45351</v>
      </c>
      <c r="AC99" s="160">
        <f t="shared" ref="AC99:AC128" si="48">U99+V99</f>
        <v>0</v>
      </c>
      <c r="AD99" s="160">
        <f t="shared" ref="AD99:AD128" si="49">S99</f>
        <v>0</v>
      </c>
      <c r="AE99" s="160">
        <f t="shared" ref="AE99:AE128" si="50">Y99</f>
        <v>25</v>
      </c>
      <c r="AF99" s="160">
        <f t="shared" ref="AF99:AF128" si="51">W99+X99</f>
        <v>25</v>
      </c>
      <c r="AG99" s="161">
        <f t="shared" ref="AG99:AG128" si="52">1-T99</f>
        <v>1</v>
      </c>
      <c r="AH99" s="160">
        <f t="shared" ref="AH99:AH128" si="53">W99</f>
        <v>0</v>
      </c>
      <c r="AI99" s="233">
        <f t="shared" si="38"/>
        <v>2</v>
      </c>
    </row>
    <row r="100" spans="18:71" ht="13" thickBot="1">
      <c r="R100" s="162">
        <v>45382</v>
      </c>
      <c r="S100" s="174">
        <f>VLOOKUP($R100,'Update Log'!$A$1:$H$861,2)</f>
        <v>0</v>
      </c>
      <c r="T100" s="175">
        <f>VLOOKUP($R100,'Update Log'!$A$1:$H$861,3)</f>
        <v>0</v>
      </c>
      <c r="U100" s="176">
        <f>VLOOKUP($R100,'Update Log'!$A$1:$H$861,4)</f>
        <v>0</v>
      </c>
      <c r="V100" s="176">
        <f>VLOOKUP($R100,'Update Log'!$A$1:$H$861,5)</f>
        <v>0</v>
      </c>
      <c r="W100" s="176">
        <f>VLOOKUP($R100,'Update Log'!$A$1:$H$861,6)</f>
        <v>0</v>
      </c>
      <c r="X100" s="176">
        <f>VLOOKUP($R100,'Update Log'!$A$1:$H$861,7)</f>
        <v>25</v>
      </c>
      <c r="Y100" s="176">
        <f>VLOOKUP($R100,'Update Log'!$A$1:$H$861,8)</f>
        <v>25</v>
      </c>
      <c r="Z100" s="230">
        <f t="shared" si="46"/>
        <v>2</v>
      </c>
      <c r="AB100" s="16">
        <f t="shared" si="47"/>
        <v>45382</v>
      </c>
      <c r="AC100" s="160">
        <f t="shared" si="48"/>
        <v>0</v>
      </c>
      <c r="AD100" s="160">
        <f t="shared" si="49"/>
        <v>0</v>
      </c>
      <c r="AE100" s="160">
        <f t="shared" si="50"/>
        <v>25</v>
      </c>
      <c r="AF100" s="160">
        <f t="shared" si="51"/>
        <v>25</v>
      </c>
      <c r="AG100" s="161">
        <f t="shared" si="52"/>
        <v>1</v>
      </c>
      <c r="AH100" s="160">
        <f t="shared" si="53"/>
        <v>0</v>
      </c>
      <c r="AI100" s="233">
        <f t="shared" si="38"/>
        <v>2</v>
      </c>
    </row>
    <row r="101" spans="18:71" ht="13" thickBot="1">
      <c r="R101" s="162">
        <v>45412</v>
      </c>
      <c r="S101" s="174">
        <f>VLOOKUP($R101,'Update Log'!$A$1:$H$861,2)</f>
        <v>0</v>
      </c>
      <c r="T101" s="175">
        <f>VLOOKUP($R101,'Update Log'!$A$1:$H$861,3)</f>
        <v>0</v>
      </c>
      <c r="U101" s="176">
        <f>VLOOKUP($R101,'Update Log'!$A$1:$H$861,4)</f>
        <v>0</v>
      </c>
      <c r="V101" s="176">
        <f>VLOOKUP($R101,'Update Log'!$A$1:$H$861,5)</f>
        <v>0</v>
      </c>
      <c r="W101" s="176">
        <f>VLOOKUP($R101,'Update Log'!$A$1:$H$861,6)</f>
        <v>0</v>
      </c>
      <c r="X101" s="176">
        <f>VLOOKUP($R101,'Update Log'!$A$1:$H$861,7)</f>
        <v>25</v>
      </c>
      <c r="Y101" s="176">
        <f>VLOOKUP($R101,'Update Log'!$A$1:$H$861,8)</f>
        <v>25</v>
      </c>
      <c r="Z101" s="230">
        <f t="shared" si="46"/>
        <v>2</v>
      </c>
      <c r="AB101" s="16">
        <f t="shared" si="47"/>
        <v>45412</v>
      </c>
      <c r="AC101" s="160">
        <f t="shared" si="48"/>
        <v>0</v>
      </c>
      <c r="AD101" s="160">
        <f t="shared" si="49"/>
        <v>0</v>
      </c>
      <c r="AE101" s="160">
        <f t="shared" si="50"/>
        <v>25</v>
      </c>
      <c r="AF101" s="160">
        <f t="shared" si="51"/>
        <v>25</v>
      </c>
      <c r="AG101" s="161">
        <f t="shared" si="52"/>
        <v>1</v>
      </c>
      <c r="AH101" s="160">
        <f t="shared" si="53"/>
        <v>0</v>
      </c>
      <c r="AI101" s="233">
        <f t="shared" si="38"/>
        <v>2</v>
      </c>
    </row>
    <row r="102" spans="18:71" ht="13" thickBot="1">
      <c r="R102" s="162">
        <v>45443</v>
      </c>
      <c r="S102" s="174">
        <f>VLOOKUP($R102,'Update Log'!$A$1:$H$861,2)</f>
        <v>0</v>
      </c>
      <c r="T102" s="175">
        <f>VLOOKUP($R102,'Update Log'!$A$1:$H$861,3)</f>
        <v>0</v>
      </c>
      <c r="U102" s="176">
        <f>VLOOKUP($R102,'Update Log'!$A$1:$H$861,4)</f>
        <v>0</v>
      </c>
      <c r="V102" s="176">
        <f>VLOOKUP($R102,'Update Log'!$A$1:$H$861,5)</f>
        <v>0</v>
      </c>
      <c r="W102" s="176">
        <f>VLOOKUP($R102,'Update Log'!$A$1:$H$861,6)</f>
        <v>0</v>
      </c>
      <c r="X102" s="176">
        <f>VLOOKUP($R102,'Update Log'!$A$1:$H$861,7)</f>
        <v>25</v>
      </c>
      <c r="Y102" s="176">
        <f>VLOOKUP($R102,'Update Log'!$A$1:$H$861,8)</f>
        <v>25</v>
      </c>
      <c r="Z102" s="230">
        <f t="shared" si="46"/>
        <v>2</v>
      </c>
      <c r="AB102" s="16">
        <f t="shared" si="47"/>
        <v>45443</v>
      </c>
      <c r="AC102" s="160">
        <f t="shared" si="48"/>
        <v>0</v>
      </c>
      <c r="AD102" s="160">
        <f t="shared" si="49"/>
        <v>0</v>
      </c>
      <c r="AE102" s="160">
        <f t="shared" si="50"/>
        <v>25</v>
      </c>
      <c r="AF102" s="160">
        <f t="shared" si="51"/>
        <v>25</v>
      </c>
      <c r="AG102" s="161">
        <f t="shared" si="52"/>
        <v>1</v>
      </c>
      <c r="AH102" s="160">
        <f t="shared" si="53"/>
        <v>0</v>
      </c>
      <c r="AI102" s="233">
        <f t="shared" si="38"/>
        <v>2</v>
      </c>
    </row>
    <row r="103" spans="18:71" ht="13" thickBot="1">
      <c r="R103" s="162">
        <v>45473</v>
      </c>
      <c r="S103" s="174">
        <f>VLOOKUP($R103,'Update Log'!$A$1:$H$861,2)</f>
        <v>0</v>
      </c>
      <c r="T103" s="175">
        <f>VLOOKUP($R103,'Update Log'!$A$1:$H$861,3)</f>
        <v>0</v>
      </c>
      <c r="U103" s="176">
        <f>VLOOKUP($R103,'Update Log'!$A$1:$H$861,4)</f>
        <v>0</v>
      </c>
      <c r="V103" s="176">
        <f>VLOOKUP($R103,'Update Log'!$A$1:$H$861,5)</f>
        <v>0</v>
      </c>
      <c r="W103" s="176">
        <f>VLOOKUP($R103,'Update Log'!$A$1:$H$861,6)</f>
        <v>0</v>
      </c>
      <c r="X103" s="176">
        <f>VLOOKUP($R103,'Update Log'!$A$1:$H$861,7)</f>
        <v>25</v>
      </c>
      <c r="Y103" s="176">
        <f>VLOOKUP($R103,'Update Log'!$A$1:$H$861,8)</f>
        <v>25</v>
      </c>
      <c r="Z103" s="230">
        <f t="shared" si="46"/>
        <v>2</v>
      </c>
      <c r="AB103" s="16">
        <f t="shared" si="47"/>
        <v>45473</v>
      </c>
      <c r="AC103" s="160">
        <f t="shared" si="48"/>
        <v>0</v>
      </c>
      <c r="AD103" s="160">
        <f t="shared" si="49"/>
        <v>0</v>
      </c>
      <c r="AE103" s="160">
        <f t="shared" si="50"/>
        <v>25</v>
      </c>
      <c r="AF103" s="160">
        <f t="shared" si="51"/>
        <v>25</v>
      </c>
      <c r="AG103" s="161">
        <f t="shared" si="52"/>
        <v>1</v>
      </c>
      <c r="AH103" s="160">
        <f t="shared" si="53"/>
        <v>0</v>
      </c>
      <c r="AI103" s="233">
        <f t="shared" si="38"/>
        <v>2</v>
      </c>
    </row>
    <row r="104" spans="18:71" ht="13" thickBot="1">
      <c r="R104" s="162">
        <v>45504</v>
      </c>
      <c r="S104" s="174">
        <f>VLOOKUP($R104,'Update Log'!$A$1:$H$861,2)</f>
        <v>0</v>
      </c>
      <c r="T104" s="175">
        <f>VLOOKUP($R104,'Update Log'!$A$1:$H$861,3)</f>
        <v>0</v>
      </c>
      <c r="U104" s="176">
        <f>VLOOKUP($R104,'Update Log'!$A$1:$H$861,4)</f>
        <v>0</v>
      </c>
      <c r="V104" s="176">
        <f>VLOOKUP($R104,'Update Log'!$A$1:$H$861,5)</f>
        <v>0</v>
      </c>
      <c r="W104" s="176">
        <f>VLOOKUP($R104,'Update Log'!$A$1:$H$861,6)</f>
        <v>0</v>
      </c>
      <c r="X104" s="176">
        <f>VLOOKUP($R104,'Update Log'!$A$1:$H$861,7)</f>
        <v>25</v>
      </c>
      <c r="Y104" s="176">
        <f>VLOOKUP($R104,'Update Log'!$A$1:$H$861,8)</f>
        <v>25</v>
      </c>
      <c r="Z104" s="230">
        <f t="shared" si="46"/>
        <v>2</v>
      </c>
      <c r="AB104" s="16">
        <f t="shared" si="47"/>
        <v>45504</v>
      </c>
      <c r="AC104" s="160">
        <f t="shared" si="48"/>
        <v>0</v>
      </c>
      <c r="AD104" s="160">
        <f t="shared" si="49"/>
        <v>0</v>
      </c>
      <c r="AE104" s="160">
        <f t="shared" si="50"/>
        <v>25</v>
      </c>
      <c r="AF104" s="160">
        <f t="shared" si="51"/>
        <v>25</v>
      </c>
      <c r="AG104" s="161">
        <f t="shared" si="52"/>
        <v>1</v>
      </c>
      <c r="AH104" s="160">
        <f t="shared" si="53"/>
        <v>0</v>
      </c>
      <c r="AI104" s="233">
        <f t="shared" si="38"/>
        <v>2</v>
      </c>
    </row>
    <row r="105" spans="18:71" ht="13" thickBot="1">
      <c r="R105" s="162">
        <v>45535</v>
      </c>
      <c r="S105" s="174">
        <f>VLOOKUP($R105,'Update Log'!$A$1:$H$861,2)</f>
        <v>0</v>
      </c>
      <c r="T105" s="175">
        <f>VLOOKUP($R105,'Update Log'!$A$1:$H$861,3)</f>
        <v>0</v>
      </c>
      <c r="U105" s="176">
        <f>VLOOKUP($R105,'Update Log'!$A$1:$H$861,4)</f>
        <v>0</v>
      </c>
      <c r="V105" s="176">
        <f>VLOOKUP($R105,'Update Log'!$A$1:$H$861,5)</f>
        <v>0</v>
      </c>
      <c r="W105" s="176">
        <f>VLOOKUP($R105,'Update Log'!$A$1:$H$861,6)</f>
        <v>0</v>
      </c>
      <c r="X105" s="176">
        <f>VLOOKUP($R105,'Update Log'!$A$1:$H$861,7)</f>
        <v>25</v>
      </c>
      <c r="Y105" s="176">
        <f>VLOOKUP($R105,'Update Log'!$A$1:$H$861,8)</f>
        <v>25</v>
      </c>
      <c r="Z105" s="230">
        <f t="shared" si="46"/>
        <v>2</v>
      </c>
      <c r="AB105" s="16">
        <f t="shared" si="47"/>
        <v>45535</v>
      </c>
      <c r="AC105" s="160">
        <f t="shared" si="48"/>
        <v>0</v>
      </c>
      <c r="AD105" s="160">
        <f t="shared" si="49"/>
        <v>0</v>
      </c>
      <c r="AE105" s="160">
        <f t="shared" si="50"/>
        <v>25</v>
      </c>
      <c r="AF105" s="160">
        <f t="shared" si="51"/>
        <v>25</v>
      </c>
      <c r="AG105" s="161">
        <f t="shared" si="52"/>
        <v>1</v>
      </c>
      <c r="AH105" s="160">
        <f t="shared" si="53"/>
        <v>0</v>
      </c>
      <c r="AI105" s="233">
        <f t="shared" si="38"/>
        <v>2</v>
      </c>
    </row>
    <row r="106" spans="18:71" ht="13" thickBot="1">
      <c r="R106" s="162">
        <v>45565</v>
      </c>
      <c r="S106" s="174">
        <f>VLOOKUP($R106,'Update Log'!$A$1:$H$861,2)</f>
        <v>0</v>
      </c>
      <c r="T106" s="175">
        <f>VLOOKUP($R106,'Update Log'!$A$1:$H$861,3)</f>
        <v>0</v>
      </c>
      <c r="U106" s="176">
        <f>VLOOKUP($R106,'Update Log'!$A$1:$H$861,4)</f>
        <v>0</v>
      </c>
      <c r="V106" s="176">
        <f>VLOOKUP($R106,'Update Log'!$A$1:$H$861,5)</f>
        <v>0</v>
      </c>
      <c r="W106" s="176">
        <f>VLOOKUP($R106,'Update Log'!$A$1:$H$861,6)</f>
        <v>0</v>
      </c>
      <c r="X106" s="176">
        <f>VLOOKUP($R106,'Update Log'!$A$1:$H$861,7)</f>
        <v>25</v>
      </c>
      <c r="Y106" s="176">
        <f>VLOOKUP($R106,'Update Log'!$A$1:$H$861,8)</f>
        <v>25</v>
      </c>
      <c r="Z106" s="230">
        <f t="shared" si="46"/>
        <v>2</v>
      </c>
      <c r="AB106" s="16">
        <f t="shared" si="47"/>
        <v>45565</v>
      </c>
      <c r="AC106" s="160">
        <f t="shared" si="48"/>
        <v>0</v>
      </c>
      <c r="AD106" s="160">
        <f t="shared" si="49"/>
        <v>0</v>
      </c>
      <c r="AE106" s="160">
        <f t="shared" si="50"/>
        <v>25</v>
      </c>
      <c r="AF106" s="160">
        <f t="shared" si="51"/>
        <v>25</v>
      </c>
      <c r="AG106" s="161">
        <f t="shared" si="52"/>
        <v>1</v>
      </c>
      <c r="AH106" s="160">
        <f t="shared" si="53"/>
        <v>0</v>
      </c>
      <c r="AI106" s="233">
        <f t="shared" si="38"/>
        <v>2</v>
      </c>
    </row>
    <row r="107" spans="18:71" ht="13" thickBot="1">
      <c r="R107" s="162">
        <v>45596</v>
      </c>
      <c r="S107" s="174">
        <f>VLOOKUP($R107,'Update Log'!$A$1:$H$861,2)</f>
        <v>0</v>
      </c>
      <c r="T107" s="175">
        <f>VLOOKUP($R107,'Update Log'!$A$1:$H$861,3)</f>
        <v>0</v>
      </c>
      <c r="U107" s="176">
        <f>VLOOKUP($R107,'Update Log'!$A$1:$H$861,4)</f>
        <v>0</v>
      </c>
      <c r="V107" s="176">
        <f>VLOOKUP($R107,'Update Log'!$A$1:$H$861,5)</f>
        <v>0</v>
      </c>
      <c r="W107" s="176">
        <f>VLOOKUP($R107,'Update Log'!$A$1:$H$861,6)</f>
        <v>0</v>
      </c>
      <c r="X107" s="176">
        <f>VLOOKUP($R107,'Update Log'!$A$1:$H$861,7)</f>
        <v>25</v>
      </c>
      <c r="Y107" s="176">
        <f>VLOOKUP($R107,'Update Log'!$A$1:$H$861,8)</f>
        <v>25</v>
      </c>
      <c r="Z107" s="230">
        <f t="shared" si="46"/>
        <v>2</v>
      </c>
      <c r="AB107" s="16">
        <f t="shared" si="47"/>
        <v>45596</v>
      </c>
      <c r="AC107" s="160">
        <f t="shared" si="48"/>
        <v>0</v>
      </c>
      <c r="AD107" s="160">
        <f t="shared" si="49"/>
        <v>0</v>
      </c>
      <c r="AE107" s="160">
        <f t="shared" si="50"/>
        <v>25</v>
      </c>
      <c r="AF107" s="160">
        <f t="shared" si="51"/>
        <v>25</v>
      </c>
      <c r="AG107" s="161">
        <f t="shared" si="52"/>
        <v>1</v>
      </c>
      <c r="AH107" s="160">
        <f t="shared" si="53"/>
        <v>0</v>
      </c>
      <c r="AI107" s="233">
        <f t="shared" si="38"/>
        <v>2</v>
      </c>
    </row>
    <row r="108" spans="18:71" ht="13" thickBot="1">
      <c r="R108" s="162">
        <v>45626</v>
      </c>
      <c r="S108" s="174">
        <f>VLOOKUP($R108,'Update Log'!$A$1:$H$861,2)</f>
        <v>0</v>
      </c>
      <c r="T108" s="175">
        <f>VLOOKUP($R108,'Update Log'!$A$1:$H$861,3)</f>
        <v>0</v>
      </c>
      <c r="U108" s="176">
        <f>VLOOKUP($R108,'Update Log'!$A$1:$H$861,4)</f>
        <v>0</v>
      </c>
      <c r="V108" s="176">
        <f>VLOOKUP($R108,'Update Log'!$A$1:$H$861,5)</f>
        <v>0</v>
      </c>
      <c r="W108" s="176">
        <f>VLOOKUP($R108,'Update Log'!$A$1:$H$861,6)</f>
        <v>0</v>
      </c>
      <c r="X108" s="176">
        <f>VLOOKUP($R108,'Update Log'!$A$1:$H$861,7)</f>
        <v>25</v>
      </c>
      <c r="Y108" s="176">
        <f>VLOOKUP($R108,'Update Log'!$A$1:$H$861,8)</f>
        <v>25</v>
      </c>
      <c r="Z108" s="230">
        <f t="shared" si="46"/>
        <v>2</v>
      </c>
      <c r="AB108" s="16">
        <f t="shared" si="47"/>
        <v>45626</v>
      </c>
      <c r="AC108" s="160">
        <f t="shared" si="48"/>
        <v>0</v>
      </c>
      <c r="AD108" s="160">
        <f t="shared" si="49"/>
        <v>0</v>
      </c>
      <c r="AE108" s="160">
        <f t="shared" si="50"/>
        <v>25</v>
      </c>
      <c r="AF108" s="160">
        <f t="shared" si="51"/>
        <v>25</v>
      </c>
      <c r="AG108" s="161">
        <f t="shared" si="52"/>
        <v>1</v>
      </c>
      <c r="AH108" s="160">
        <f t="shared" si="53"/>
        <v>0</v>
      </c>
      <c r="AI108" s="233">
        <f t="shared" si="38"/>
        <v>2</v>
      </c>
    </row>
    <row r="109" spans="18:71" ht="13" thickBot="1">
      <c r="R109" s="162">
        <v>45657</v>
      </c>
      <c r="S109" s="174">
        <f>VLOOKUP($R109,'Update Log'!$A$1:$H$861,2)</f>
        <v>0</v>
      </c>
      <c r="T109" s="175">
        <f>VLOOKUP($R109,'Update Log'!$A$1:$H$861,3)</f>
        <v>0</v>
      </c>
      <c r="U109" s="176">
        <f>VLOOKUP($R109,'Update Log'!$A$1:$H$861,4)</f>
        <v>0</v>
      </c>
      <c r="V109" s="176">
        <f>VLOOKUP($R109,'Update Log'!$A$1:$H$861,5)</f>
        <v>0</v>
      </c>
      <c r="W109" s="176">
        <f>VLOOKUP($R109,'Update Log'!$A$1:$H$861,6)</f>
        <v>0</v>
      </c>
      <c r="X109" s="176">
        <f>VLOOKUP($R109,'Update Log'!$A$1:$H$861,7)</f>
        <v>25</v>
      </c>
      <c r="Y109" s="176">
        <f>VLOOKUP($R109,'Update Log'!$A$1:$H$861,8)</f>
        <v>25</v>
      </c>
      <c r="Z109" s="230">
        <f t="shared" si="46"/>
        <v>2</v>
      </c>
      <c r="AB109" s="16">
        <f t="shared" si="47"/>
        <v>45657</v>
      </c>
      <c r="AC109" s="160">
        <f t="shared" si="48"/>
        <v>0</v>
      </c>
      <c r="AD109" s="160">
        <f t="shared" si="49"/>
        <v>0</v>
      </c>
      <c r="AE109" s="160">
        <f t="shared" si="50"/>
        <v>25</v>
      </c>
      <c r="AF109" s="160">
        <f t="shared" si="51"/>
        <v>25</v>
      </c>
      <c r="AG109" s="161">
        <f t="shared" si="52"/>
        <v>1</v>
      </c>
      <c r="AH109" s="160">
        <f t="shared" si="53"/>
        <v>0</v>
      </c>
      <c r="AI109" s="233">
        <f t="shared" si="38"/>
        <v>2</v>
      </c>
    </row>
    <row r="110" spans="18:71" ht="13" thickBot="1">
      <c r="R110" s="162">
        <v>45688</v>
      </c>
      <c r="S110" s="174">
        <f>VLOOKUP($R110,'Update Log'!$A$1:$H$861,2)</f>
        <v>0</v>
      </c>
      <c r="T110" s="175">
        <f>VLOOKUP($R110,'Update Log'!$A$1:$H$861,3)</f>
        <v>0</v>
      </c>
      <c r="U110" s="176">
        <f>VLOOKUP($R110,'Update Log'!$A$1:$H$861,4)</f>
        <v>0</v>
      </c>
      <c r="V110" s="176">
        <f>VLOOKUP($R110,'Update Log'!$A$1:$H$861,5)</f>
        <v>0</v>
      </c>
      <c r="W110" s="176">
        <f>VLOOKUP($R110,'Update Log'!$A$1:$H$861,6)</f>
        <v>0</v>
      </c>
      <c r="X110" s="176">
        <f>VLOOKUP($R110,'Update Log'!$A$1:$H$861,7)</f>
        <v>25</v>
      </c>
      <c r="Y110" s="176">
        <f>VLOOKUP($R110,'Update Log'!$A$1:$H$861,8)</f>
        <v>25</v>
      </c>
      <c r="Z110" s="230">
        <f t="shared" si="46"/>
        <v>2</v>
      </c>
      <c r="AB110" s="16">
        <f t="shared" si="47"/>
        <v>45688</v>
      </c>
      <c r="AC110" s="160">
        <f t="shared" si="48"/>
        <v>0</v>
      </c>
      <c r="AD110" s="160">
        <f t="shared" si="49"/>
        <v>0</v>
      </c>
      <c r="AE110" s="160">
        <f t="shared" si="50"/>
        <v>25</v>
      </c>
      <c r="AF110" s="160">
        <f t="shared" si="51"/>
        <v>25</v>
      </c>
      <c r="AG110" s="161">
        <f t="shared" si="52"/>
        <v>1</v>
      </c>
      <c r="AH110" s="160">
        <f t="shared" si="53"/>
        <v>0</v>
      </c>
      <c r="AI110" s="233">
        <f t="shared" si="38"/>
        <v>2</v>
      </c>
    </row>
    <row r="111" spans="18:71" ht="13" thickBot="1">
      <c r="R111" s="162">
        <v>45716</v>
      </c>
      <c r="S111" s="174">
        <f>VLOOKUP($R111,'Update Log'!$A$1:$H$861,2)</f>
        <v>0</v>
      </c>
      <c r="T111" s="175">
        <f>VLOOKUP($R111,'Update Log'!$A$1:$H$861,3)</f>
        <v>0</v>
      </c>
      <c r="U111" s="176">
        <f>VLOOKUP($R111,'Update Log'!$A$1:$H$861,4)</f>
        <v>0</v>
      </c>
      <c r="V111" s="176">
        <f>VLOOKUP($R111,'Update Log'!$A$1:$H$861,5)</f>
        <v>0</v>
      </c>
      <c r="W111" s="176">
        <f>VLOOKUP($R111,'Update Log'!$A$1:$H$861,6)</f>
        <v>0</v>
      </c>
      <c r="X111" s="176">
        <f>VLOOKUP($R111,'Update Log'!$A$1:$H$861,7)</f>
        <v>25</v>
      </c>
      <c r="Y111" s="176">
        <f>VLOOKUP($R111,'Update Log'!$A$1:$H$861,8)</f>
        <v>25</v>
      </c>
      <c r="Z111" s="230">
        <f t="shared" si="46"/>
        <v>2</v>
      </c>
      <c r="AB111" s="16">
        <f t="shared" si="47"/>
        <v>45716</v>
      </c>
      <c r="AC111" s="160">
        <f t="shared" si="48"/>
        <v>0</v>
      </c>
      <c r="AD111" s="160">
        <f t="shared" si="49"/>
        <v>0</v>
      </c>
      <c r="AE111" s="160">
        <f t="shared" si="50"/>
        <v>25</v>
      </c>
      <c r="AF111" s="160">
        <f t="shared" si="51"/>
        <v>25</v>
      </c>
      <c r="AG111" s="161">
        <f t="shared" si="52"/>
        <v>1</v>
      </c>
      <c r="AH111" s="160">
        <f t="shared" si="53"/>
        <v>0</v>
      </c>
      <c r="AI111" s="233">
        <f t="shared" si="38"/>
        <v>2</v>
      </c>
    </row>
    <row r="112" spans="18:71" ht="13" thickBot="1">
      <c r="R112" s="162">
        <v>45747</v>
      </c>
      <c r="S112" s="174">
        <f>VLOOKUP($R112,'Update Log'!$A$1:$H$861,2)</f>
        <v>0</v>
      </c>
      <c r="T112" s="175">
        <f>VLOOKUP($R112,'Update Log'!$A$1:$H$861,3)</f>
        <v>0</v>
      </c>
      <c r="U112" s="176">
        <f>VLOOKUP($R112,'Update Log'!$A$1:$H$861,4)</f>
        <v>0</v>
      </c>
      <c r="V112" s="176">
        <f>VLOOKUP($R112,'Update Log'!$A$1:$H$861,5)</f>
        <v>0</v>
      </c>
      <c r="W112" s="176">
        <f>VLOOKUP($R112,'Update Log'!$A$1:$H$861,6)</f>
        <v>0</v>
      </c>
      <c r="X112" s="176">
        <f>VLOOKUP($R112,'Update Log'!$A$1:$H$861,7)</f>
        <v>25</v>
      </c>
      <c r="Y112" s="176">
        <f>VLOOKUP($R112,'Update Log'!$A$1:$H$861,8)</f>
        <v>25</v>
      </c>
      <c r="Z112" s="230">
        <f t="shared" si="46"/>
        <v>2</v>
      </c>
      <c r="AB112" s="16">
        <f t="shared" si="47"/>
        <v>45747</v>
      </c>
      <c r="AC112" s="160">
        <f t="shared" si="48"/>
        <v>0</v>
      </c>
      <c r="AD112" s="160">
        <f t="shared" si="49"/>
        <v>0</v>
      </c>
      <c r="AE112" s="160">
        <f t="shared" si="50"/>
        <v>25</v>
      </c>
      <c r="AF112" s="160">
        <f t="shared" si="51"/>
        <v>25</v>
      </c>
      <c r="AG112" s="161">
        <f t="shared" si="52"/>
        <v>1</v>
      </c>
      <c r="AH112" s="160">
        <f t="shared" si="53"/>
        <v>0</v>
      </c>
      <c r="AI112" s="233">
        <f t="shared" si="38"/>
        <v>2</v>
      </c>
    </row>
    <row r="113" spans="18:35" ht="13" thickBot="1">
      <c r="R113" s="162">
        <v>45777</v>
      </c>
      <c r="S113" s="174">
        <f>VLOOKUP($R113,'Update Log'!$A$1:$H$861,2)</f>
        <v>0</v>
      </c>
      <c r="T113" s="175">
        <f>VLOOKUP($R113,'Update Log'!$A$1:$H$861,3)</f>
        <v>0</v>
      </c>
      <c r="U113" s="176">
        <f>VLOOKUP($R113,'Update Log'!$A$1:$H$861,4)</f>
        <v>0</v>
      </c>
      <c r="V113" s="176">
        <f>VLOOKUP($R113,'Update Log'!$A$1:$H$861,5)</f>
        <v>0</v>
      </c>
      <c r="W113" s="176">
        <f>VLOOKUP($R113,'Update Log'!$A$1:$H$861,6)</f>
        <v>0</v>
      </c>
      <c r="X113" s="176">
        <f>VLOOKUP($R113,'Update Log'!$A$1:$H$861,7)</f>
        <v>25</v>
      </c>
      <c r="Y113" s="176">
        <f>VLOOKUP($R113,'Update Log'!$A$1:$H$861,8)</f>
        <v>25</v>
      </c>
      <c r="Z113" s="230">
        <f t="shared" si="46"/>
        <v>2</v>
      </c>
      <c r="AB113" s="16">
        <f t="shared" si="47"/>
        <v>45777</v>
      </c>
      <c r="AC113" s="160">
        <f t="shared" si="48"/>
        <v>0</v>
      </c>
      <c r="AD113" s="160">
        <f t="shared" si="49"/>
        <v>0</v>
      </c>
      <c r="AE113" s="160">
        <f t="shared" si="50"/>
        <v>25</v>
      </c>
      <c r="AF113" s="160">
        <f t="shared" si="51"/>
        <v>25</v>
      </c>
      <c r="AG113" s="161">
        <f t="shared" si="52"/>
        <v>1</v>
      </c>
      <c r="AH113" s="160">
        <f t="shared" si="53"/>
        <v>0</v>
      </c>
      <c r="AI113" s="233">
        <f t="shared" si="38"/>
        <v>2</v>
      </c>
    </row>
    <row r="114" spans="18:35" ht="13" thickBot="1">
      <c r="R114" s="162">
        <v>45808</v>
      </c>
      <c r="S114" s="174">
        <f>VLOOKUP($R114,'Update Log'!$A$1:$H$861,2)</f>
        <v>0</v>
      </c>
      <c r="T114" s="175">
        <f>VLOOKUP($R114,'Update Log'!$A$1:$H$861,3)</f>
        <v>0</v>
      </c>
      <c r="U114" s="176">
        <f>VLOOKUP($R114,'Update Log'!$A$1:$H$861,4)</f>
        <v>0</v>
      </c>
      <c r="V114" s="176">
        <f>VLOOKUP($R114,'Update Log'!$A$1:$H$861,5)</f>
        <v>0</v>
      </c>
      <c r="W114" s="176">
        <f>VLOOKUP($R114,'Update Log'!$A$1:$H$861,6)</f>
        <v>0</v>
      </c>
      <c r="X114" s="176">
        <f>VLOOKUP($R114,'Update Log'!$A$1:$H$861,7)</f>
        <v>25</v>
      </c>
      <c r="Y114" s="176">
        <f>VLOOKUP($R114,'Update Log'!$A$1:$H$861,8)</f>
        <v>25</v>
      </c>
      <c r="Z114" s="230">
        <f t="shared" si="46"/>
        <v>2</v>
      </c>
      <c r="AB114" s="16">
        <f t="shared" si="47"/>
        <v>45808</v>
      </c>
      <c r="AC114" s="160">
        <f t="shared" si="48"/>
        <v>0</v>
      </c>
      <c r="AD114" s="160">
        <f t="shared" si="49"/>
        <v>0</v>
      </c>
      <c r="AE114" s="160">
        <f t="shared" si="50"/>
        <v>25</v>
      </c>
      <c r="AF114" s="160">
        <f t="shared" si="51"/>
        <v>25</v>
      </c>
      <c r="AG114" s="161">
        <f t="shared" si="52"/>
        <v>1</v>
      </c>
      <c r="AH114" s="160">
        <f t="shared" si="53"/>
        <v>0</v>
      </c>
      <c r="AI114" s="233">
        <f t="shared" si="38"/>
        <v>2</v>
      </c>
    </row>
    <row r="115" spans="18:35" ht="13" thickBot="1">
      <c r="R115" s="162">
        <v>45838</v>
      </c>
      <c r="S115" s="174">
        <f>VLOOKUP($R115,'Update Log'!$A$1:$H$861,2)</f>
        <v>0</v>
      </c>
      <c r="T115" s="175">
        <f>VLOOKUP($R115,'Update Log'!$A$1:$H$861,3)</f>
        <v>0</v>
      </c>
      <c r="U115" s="176">
        <f>VLOOKUP($R115,'Update Log'!$A$1:$H$861,4)</f>
        <v>0</v>
      </c>
      <c r="V115" s="176">
        <f>VLOOKUP($R115,'Update Log'!$A$1:$H$861,5)</f>
        <v>0</v>
      </c>
      <c r="W115" s="176">
        <f>VLOOKUP($R115,'Update Log'!$A$1:$H$861,6)</f>
        <v>0</v>
      </c>
      <c r="X115" s="176">
        <f>VLOOKUP($R115,'Update Log'!$A$1:$H$861,7)</f>
        <v>25</v>
      </c>
      <c r="Y115" s="176">
        <f>VLOOKUP($R115,'Update Log'!$A$1:$H$861,8)</f>
        <v>25</v>
      </c>
      <c r="Z115" s="230">
        <f t="shared" si="46"/>
        <v>2</v>
      </c>
      <c r="AB115" s="16">
        <f t="shared" si="47"/>
        <v>45838</v>
      </c>
      <c r="AC115" s="160">
        <f t="shared" si="48"/>
        <v>0</v>
      </c>
      <c r="AD115" s="160">
        <f t="shared" si="49"/>
        <v>0</v>
      </c>
      <c r="AE115" s="160">
        <f t="shared" si="50"/>
        <v>25</v>
      </c>
      <c r="AF115" s="160">
        <f t="shared" si="51"/>
        <v>25</v>
      </c>
      <c r="AG115" s="161">
        <f t="shared" si="52"/>
        <v>1</v>
      </c>
      <c r="AH115" s="160">
        <f t="shared" si="53"/>
        <v>0</v>
      </c>
      <c r="AI115" s="233">
        <f t="shared" si="38"/>
        <v>2</v>
      </c>
    </row>
    <row r="116" spans="18:35" ht="13" thickBot="1">
      <c r="R116" s="162">
        <v>45869</v>
      </c>
      <c r="S116" s="174">
        <f>VLOOKUP($R116,'Update Log'!$A$1:$H$861,2)</f>
        <v>0</v>
      </c>
      <c r="T116" s="175">
        <f>VLOOKUP($R116,'Update Log'!$A$1:$H$861,3)</f>
        <v>0</v>
      </c>
      <c r="U116" s="176">
        <f>VLOOKUP($R116,'Update Log'!$A$1:$H$861,4)</f>
        <v>0</v>
      </c>
      <c r="V116" s="176">
        <f>VLOOKUP($R116,'Update Log'!$A$1:$H$861,5)</f>
        <v>0</v>
      </c>
      <c r="W116" s="176">
        <f>VLOOKUP($R116,'Update Log'!$A$1:$H$861,6)</f>
        <v>0</v>
      </c>
      <c r="X116" s="176">
        <f>VLOOKUP($R116,'Update Log'!$A$1:$H$861,7)</f>
        <v>25</v>
      </c>
      <c r="Y116" s="176">
        <f>VLOOKUP($R116,'Update Log'!$A$1:$H$861,8)</f>
        <v>25</v>
      </c>
      <c r="Z116" s="230">
        <f t="shared" si="46"/>
        <v>2</v>
      </c>
      <c r="AB116" s="16">
        <f t="shared" si="47"/>
        <v>45869</v>
      </c>
      <c r="AC116" s="160">
        <f t="shared" si="48"/>
        <v>0</v>
      </c>
      <c r="AD116" s="160">
        <f t="shared" si="49"/>
        <v>0</v>
      </c>
      <c r="AE116" s="160">
        <f t="shared" si="50"/>
        <v>25</v>
      </c>
      <c r="AF116" s="160">
        <f t="shared" si="51"/>
        <v>25</v>
      </c>
      <c r="AG116" s="161">
        <f t="shared" si="52"/>
        <v>1</v>
      </c>
      <c r="AH116" s="160">
        <f t="shared" si="53"/>
        <v>0</v>
      </c>
      <c r="AI116" s="233">
        <f t="shared" si="38"/>
        <v>2</v>
      </c>
    </row>
    <row r="117" spans="18:35" ht="13" thickBot="1">
      <c r="R117" s="162">
        <v>45900</v>
      </c>
      <c r="S117" s="174">
        <f>VLOOKUP($R117,'Update Log'!$A$1:$H$861,2)</f>
        <v>0</v>
      </c>
      <c r="T117" s="175">
        <f>VLOOKUP($R117,'Update Log'!$A$1:$H$861,3)</f>
        <v>0</v>
      </c>
      <c r="U117" s="176">
        <f>VLOOKUP($R117,'Update Log'!$A$1:$H$861,4)</f>
        <v>0</v>
      </c>
      <c r="V117" s="176">
        <f>VLOOKUP($R117,'Update Log'!$A$1:$H$861,5)</f>
        <v>0</v>
      </c>
      <c r="W117" s="176">
        <f>VLOOKUP($R117,'Update Log'!$A$1:$H$861,6)</f>
        <v>0</v>
      </c>
      <c r="X117" s="176">
        <f>VLOOKUP($R117,'Update Log'!$A$1:$H$861,7)</f>
        <v>25</v>
      </c>
      <c r="Y117" s="176">
        <f>VLOOKUP($R117,'Update Log'!$A$1:$H$861,8)</f>
        <v>25</v>
      </c>
      <c r="Z117" s="230">
        <f t="shared" si="46"/>
        <v>2</v>
      </c>
      <c r="AB117" s="16">
        <f t="shared" si="47"/>
        <v>45900</v>
      </c>
      <c r="AC117" s="160">
        <f t="shared" si="48"/>
        <v>0</v>
      </c>
      <c r="AD117" s="160">
        <f t="shared" si="49"/>
        <v>0</v>
      </c>
      <c r="AE117" s="160">
        <f t="shared" si="50"/>
        <v>25</v>
      </c>
      <c r="AF117" s="160">
        <f t="shared" si="51"/>
        <v>25</v>
      </c>
      <c r="AG117" s="161">
        <f t="shared" si="52"/>
        <v>1</v>
      </c>
      <c r="AH117" s="160">
        <f t="shared" si="53"/>
        <v>0</v>
      </c>
      <c r="AI117" s="233">
        <f t="shared" si="38"/>
        <v>2</v>
      </c>
    </row>
    <row r="118" spans="18:35" ht="13" thickBot="1">
      <c r="R118" s="162">
        <v>45930</v>
      </c>
      <c r="S118" s="174">
        <f>VLOOKUP($R118,'Update Log'!$A$1:$H$861,2)</f>
        <v>0</v>
      </c>
      <c r="T118" s="175">
        <f>VLOOKUP($R118,'Update Log'!$A$1:$H$861,3)</f>
        <v>0</v>
      </c>
      <c r="U118" s="176">
        <f>VLOOKUP($R118,'Update Log'!$A$1:$H$861,4)</f>
        <v>0</v>
      </c>
      <c r="V118" s="176">
        <f>VLOOKUP($R118,'Update Log'!$A$1:$H$861,5)</f>
        <v>0</v>
      </c>
      <c r="W118" s="176">
        <f>VLOOKUP($R118,'Update Log'!$A$1:$H$861,6)</f>
        <v>0</v>
      </c>
      <c r="X118" s="176">
        <f>VLOOKUP($R118,'Update Log'!$A$1:$H$861,7)</f>
        <v>25</v>
      </c>
      <c r="Y118" s="176">
        <f>VLOOKUP($R118,'Update Log'!$A$1:$H$861,8)</f>
        <v>25</v>
      </c>
      <c r="Z118" s="230">
        <f t="shared" si="46"/>
        <v>2</v>
      </c>
      <c r="AB118" s="16">
        <f t="shared" si="47"/>
        <v>45930</v>
      </c>
      <c r="AC118" s="160">
        <f t="shared" si="48"/>
        <v>0</v>
      </c>
      <c r="AD118" s="160">
        <f t="shared" si="49"/>
        <v>0</v>
      </c>
      <c r="AE118" s="160">
        <f t="shared" si="50"/>
        <v>25</v>
      </c>
      <c r="AF118" s="160">
        <f t="shared" si="51"/>
        <v>25</v>
      </c>
      <c r="AG118" s="161">
        <f t="shared" si="52"/>
        <v>1</v>
      </c>
      <c r="AH118" s="160">
        <f t="shared" si="53"/>
        <v>0</v>
      </c>
      <c r="AI118" s="233">
        <f t="shared" si="38"/>
        <v>2</v>
      </c>
    </row>
    <row r="119" spans="18:35" ht="13" thickBot="1">
      <c r="R119" s="162">
        <v>45961</v>
      </c>
      <c r="S119" s="174">
        <f>VLOOKUP($R119,'Update Log'!$A$1:$H$861,2)</f>
        <v>0</v>
      </c>
      <c r="T119" s="175">
        <f>VLOOKUP($R119,'Update Log'!$A$1:$H$861,3)</f>
        <v>0</v>
      </c>
      <c r="U119" s="176">
        <f>VLOOKUP($R119,'Update Log'!$A$1:$H$861,4)</f>
        <v>0</v>
      </c>
      <c r="V119" s="176">
        <f>VLOOKUP($R119,'Update Log'!$A$1:$H$861,5)</f>
        <v>0</v>
      </c>
      <c r="W119" s="176">
        <f>VLOOKUP($R119,'Update Log'!$A$1:$H$861,6)</f>
        <v>0</v>
      </c>
      <c r="X119" s="176">
        <f>VLOOKUP($R119,'Update Log'!$A$1:$H$861,7)</f>
        <v>25</v>
      </c>
      <c r="Y119" s="176">
        <f>VLOOKUP($R119,'Update Log'!$A$1:$H$861,8)</f>
        <v>25</v>
      </c>
      <c r="Z119" s="230">
        <f t="shared" si="46"/>
        <v>2</v>
      </c>
      <c r="AB119" s="16">
        <f t="shared" si="47"/>
        <v>45961</v>
      </c>
      <c r="AC119" s="160">
        <f t="shared" si="48"/>
        <v>0</v>
      </c>
      <c r="AD119" s="160">
        <f t="shared" si="49"/>
        <v>0</v>
      </c>
      <c r="AE119" s="160">
        <f t="shared" si="50"/>
        <v>25</v>
      </c>
      <c r="AF119" s="160">
        <f t="shared" si="51"/>
        <v>25</v>
      </c>
      <c r="AG119" s="161">
        <f t="shared" si="52"/>
        <v>1</v>
      </c>
      <c r="AH119" s="160">
        <f t="shared" si="53"/>
        <v>0</v>
      </c>
      <c r="AI119" s="233">
        <f t="shared" si="38"/>
        <v>2</v>
      </c>
    </row>
    <row r="120" spans="18:35" ht="13" thickBot="1">
      <c r="R120" s="162">
        <v>45991</v>
      </c>
      <c r="S120" s="174">
        <f>VLOOKUP($R120,'Update Log'!$A$1:$H$861,2)</f>
        <v>0</v>
      </c>
      <c r="T120" s="175">
        <f>VLOOKUP($R120,'Update Log'!$A$1:$H$861,3)</f>
        <v>0</v>
      </c>
      <c r="U120" s="176">
        <f>VLOOKUP($R120,'Update Log'!$A$1:$H$861,4)</f>
        <v>0</v>
      </c>
      <c r="V120" s="176">
        <f>VLOOKUP($R120,'Update Log'!$A$1:$H$861,5)</f>
        <v>0</v>
      </c>
      <c r="W120" s="176">
        <f>VLOOKUP($R120,'Update Log'!$A$1:$H$861,6)</f>
        <v>0</v>
      </c>
      <c r="X120" s="176">
        <f>VLOOKUP($R120,'Update Log'!$A$1:$H$861,7)</f>
        <v>25</v>
      </c>
      <c r="Y120" s="176">
        <f>VLOOKUP($R120,'Update Log'!$A$1:$H$861,8)</f>
        <v>25</v>
      </c>
      <c r="Z120" s="230">
        <f t="shared" si="46"/>
        <v>2</v>
      </c>
      <c r="AB120" s="16">
        <f t="shared" si="47"/>
        <v>45991</v>
      </c>
      <c r="AC120" s="160">
        <f t="shared" si="48"/>
        <v>0</v>
      </c>
      <c r="AD120" s="160">
        <f t="shared" si="49"/>
        <v>0</v>
      </c>
      <c r="AE120" s="160">
        <f t="shared" si="50"/>
        <v>25</v>
      </c>
      <c r="AF120" s="160">
        <f t="shared" si="51"/>
        <v>25</v>
      </c>
      <c r="AG120" s="161">
        <f t="shared" si="52"/>
        <v>1</v>
      </c>
      <c r="AH120" s="160">
        <f t="shared" si="53"/>
        <v>0</v>
      </c>
      <c r="AI120" s="233">
        <f t="shared" si="38"/>
        <v>2</v>
      </c>
    </row>
    <row r="121" spans="18:35" ht="13" thickBot="1">
      <c r="R121" s="162">
        <v>46022</v>
      </c>
      <c r="S121" s="174">
        <f>VLOOKUP($R121,'Update Log'!$A$1:$H$861,2)</f>
        <v>0</v>
      </c>
      <c r="T121" s="175">
        <f>VLOOKUP($R121,'Update Log'!$A$1:$H$861,3)</f>
        <v>0</v>
      </c>
      <c r="U121" s="176">
        <f>VLOOKUP($R121,'Update Log'!$A$1:$H$861,4)</f>
        <v>0</v>
      </c>
      <c r="V121" s="176">
        <f>VLOOKUP($R121,'Update Log'!$A$1:$H$861,5)</f>
        <v>0</v>
      </c>
      <c r="W121" s="176">
        <f>VLOOKUP($R121,'Update Log'!$A$1:$H$861,6)</f>
        <v>0</v>
      </c>
      <c r="X121" s="176">
        <f>VLOOKUP($R121,'Update Log'!$A$1:$H$861,7)</f>
        <v>25</v>
      </c>
      <c r="Y121" s="176">
        <f>VLOOKUP($R121,'Update Log'!$A$1:$H$861,8)</f>
        <v>25</v>
      </c>
      <c r="Z121" s="230">
        <f t="shared" si="46"/>
        <v>2</v>
      </c>
      <c r="AB121" s="16">
        <f t="shared" si="47"/>
        <v>46022</v>
      </c>
      <c r="AC121" s="160">
        <f t="shared" si="48"/>
        <v>0</v>
      </c>
      <c r="AD121" s="160">
        <f t="shared" si="49"/>
        <v>0</v>
      </c>
      <c r="AE121" s="160">
        <f t="shared" si="50"/>
        <v>25</v>
      </c>
      <c r="AF121" s="160">
        <f t="shared" si="51"/>
        <v>25</v>
      </c>
      <c r="AG121" s="161">
        <f t="shared" si="52"/>
        <v>1</v>
      </c>
      <c r="AH121" s="160">
        <f t="shared" si="53"/>
        <v>0</v>
      </c>
      <c r="AI121" s="233">
        <f t="shared" si="38"/>
        <v>2</v>
      </c>
    </row>
    <row r="122" spans="18:35" ht="13" thickBot="1">
      <c r="R122" s="162">
        <v>46053</v>
      </c>
      <c r="S122" s="174">
        <f>VLOOKUP($R122,'Update Log'!$A$1:$H$861,2)</f>
        <v>0</v>
      </c>
      <c r="T122" s="175">
        <f>VLOOKUP($R122,'Update Log'!$A$1:$H$861,3)</f>
        <v>0</v>
      </c>
      <c r="U122" s="176">
        <f>VLOOKUP($R122,'Update Log'!$A$1:$H$861,4)</f>
        <v>0</v>
      </c>
      <c r="V122" s="176">
        <f>VLOOKUP($R122,'Update Log'!$A$1:$H$861,5)</f>
        <v>0</v>
      </c>
      <c r="W122" s="176">
        <f>VLOOKUP($R122,'Update Log'!$A$1:$H$861,6)</f>
        <v>0</v>
      </c>
      <c r="X122" s="176">
        <f>VLOOKUP($R122,'Update Log'!$A$1:$H$861,7)</f>
        <v>25</v>
      </c>
      <c r="Y122" s="176">
        <f>VLOOKUP($R122,'Update Log'!$A$1:$H$861,8)</f>
        <v>25</v>
      </c>
      <c r="Z122" s="230">
        <f t="shared" si="46"/>
        <v>2</v>
      </c>
      <c r="AB122" s="16">
        <f t="shared" si="47"/>
        <v>46053</v>
      </c>
      <c r="AC122" s="160">
        <f t="shared" si="48"/>
        <v>0</v>
      </c>
      <c r="AD122" s="160">
        <f t="shared" si="49"/>
        <v>0</v>
      </c>
      <c r="AE122" s="160">
        <f t="shared" si="50"/>
        <v>25</v>
      </c>
      <c r="AF122" s="160">
        <f t="shared" si="51"/>
        <v>25</v>
      </c>
      <c r="AG122" s="161">
        <f t="shared" si="52"/>
        <v>1</v>
      </c>
      <c r="AH122" s="160">
        <f t="shared" si="53"/>
        <v>0</v>
      </c>
      <c r="AI122" s="233">
        <f t="shared" si="38"/>
        <v>2</v>
      </c>
    </row>
    <row r="123" spans="18:35" ht="13" thickBot="1">
      <c r="R123" s="162">
        <v>46081</v>
      </c>
      <c r="S123" s="174">
        <f>VLOOKUP($R123,'Update Log'!$A$1:$H$861,2)</f>
        <v>0</v>
      </c>
      <c r="T123" s="175">
        <f>VLOOKUP($R123,'Update Log'!$A$1:$H$861,3)</f>
        <v>0</v>
      </c>
      <c r="U123" s="176">
        <f>VLOOKUP($R123,'Update Log'!$A$1:$H$861,4)</f>
        <v>0</v>
      </c>
      <c r="V123" s="176">
        <f>VLOOKUP($R123,'Update Log'!$A$1:$H$861,5)</f>
        <v>0</v>
      </c>
      <c r="W123" s="176">
        <f>VLOOKUP($R123,'Update Log'!$A$1:$H$861,6)</f>
        <v>0</v>
      </c>
      <c r="X123" s="176">
        <f>VLOOKUP($R123,'Update Log'!$A$1:$H$861,7)</f>
        <v>25</v>
      </c>
      <c r="Y123" s="176">
        <f>VLOOKUP($R123,'Update Log'!$A$1:$H$861,8)</f>
        <v>25</v>
      </c>
      <c r="Z123" s="230">
        <f t="shared" si="46"/>
        <v>2</v>
      </c>
      <c r="AB123" s="16">
        <f t="shared" si="47"/>
        <v>46081</v>
      </c>
      <c r="AC123" s="160">
        <f t="shared" si="48"/>
        <v>0</v>
      </c>
      <c r="AD123" s="160">
        <f t="shared" si="49"/>
        <v>0</v>
      </c>
      <c r="AE123" s="160">
        <f t="shared" si="50"/>
        <v>25</v>
      </c>
      <c r="AF123" s="160">
        <f t="shared" si="51"/>
        <v>25</v>
      </c>
      <c r="AG123" s="161">
        <f t="shared" si="52"/>
        <v>1</v>
      </c>
      <c r="AH123" s="160">
        <f t="shared" si="53"/>
        <v>0</v>
      </c>
      <c r="AI123" s="233">
        <f t="shared" si="38"/>
        <v>2</v>
      </c>
    </row>
    <row r="124" spans="18:35" ht="13" thickBot="1">
      <c r="R124" s="162">
        <v>46112</v>
      </c>
      <c r="S124" s="174">
        <f>VLOOKUP($R124,'Update Log'!$A$1:$H$861,2)</f>
        <v>0</v>
      </c>
      <c r="T124" s="175">
        <f>VLOOKUP($R124,'Update Log'!$A$1:$H$861,3)</f>
        <v>0</v>
      </c>
      <c r="U124" s="176">
        <f>VLOOKUP($R124,'Update Log'!$A$1:$H$861,4)</f>
        <v>0</v>
      </c>
      <c r="V124" s="176">
        <f>VLOOKUP($R124,'Update Log'!$A$1:$H$861,5)</f>
        <v>0</v>
      </c>
      <c r="W124" s="176">
        <f>VLOOKUP($R124,'Update Log'!$A$1:$H$861,6)</f>
        <v>0</v>
      </c>
      <c r="X124" s="176">
        <f>VLOOKUP($R124,'Update Log'!$A$1:$H$861,7)</f>
        <v>25</v>
      </c>
      <c r="Y124" s="176">
        <f>VLOOKUP($R124,'Update Log'!$A$1:$H$861,8)</f>
        <v>25</v>
      </c>
      <c r="Z124" s="230">
        <f t="shared" si="46"/>
        <v>2</v>
      </c>
      <c r="AB124" s="16">
        <f t="shared" si="47"/>
        <v>46112</v>
      </c>
      <c r="AC124" s="160">
        <f t="shared" si="48"/>
        <v>0</v>
      </c>
      <c r="AD124" s="160">
        <f t="shared" si="49"/>
        <v>0</v>
      </c>
      <c r="AE124" s="160">
        <f t="shared" si="50"/>
        <v>25</v>
      </c>
      <c r="AF124" s="160">
        <f t="shared" si="51"/>
        <v>25</v>
      </c>
      <c r="AG124" s="161">
        <f t="shared" si="52"/>
        <v>1</v>
      </c>
      <c r="AH124" s="160">
        <f t="shared" si="53"/>
        <v>0</v>
      </c>
      <c r="AI124" s="233">
        <f t="shared" si="38"/>
        <v>2</v>
      </c>
    </row>
    <row r="125" spans="18:35" ht="13" thickBot="1">
      <c r="R125" s="162">
        <v>46142</v>
      </c>
      <c r="S125" s="174">
        <f>VLOOKUP($R125,'Update Log'!$A$1:$H$861,2)</f>
        <v>0</v>
      </c>
      <c r="T125" s="175">
        <f>VLOOKUP($R125,'Update Log'!$A$1:$H$861,3)</f>
        <v>0</v>
      </c>
      <c r="U125" s="176">
        <f>VLOOKUP($R125,'Update Log'!$A$1:$H$861,4)</f>
        <v>0</v>
      </c>
      <c r="V125" s="176">
        <f>VLOOKUP($R125,'Update Log'!$A$1:$H$861,5)</f>
        <v>0</v>
      </c>
      <c r="W125" s="176">
        <f>VLOOKUP($R125,'Update Log'!$A$1:$H$861,6)</f>
        <v>0</v>
      </c>
      <c r="X125" s="176">
        <f>VLOOKUP($R125,'Update Log'!$A$1:$H$861,7)</f>
        <v>25</v>
      </c>
      <c r="Y125" s="176">
        <f>VLOOKUP($R125,'Update Log'!$A$1:$H$861,8)</f>
        <v>25</v>
      </c>
      <c r="Z125" s="230">
        <f t="shared" si="46"/>
        <v>2</v>
      </c>
      <c r="AB125" s="16">
        <f t="shared" si="47"/>
        <v>46142</v>
      </c>
      <c r="AC125" s="160">
        <f t="shared" si="48"/>
        <v>0</v>
      </c>
      <c r="AD125" s="160">
        <f t="shared" si="49"/>
        <v>0</v>
      </c>
      <c r="AE125" s="160">
        <f t="shared" si="50"/>
        <v>25</v>
      </c>
      <c r="AF125" s="160">
        <f t="shared" si="51"/>
        <v>25</v>
      </c>
      <c r="AG125" s="161">
        <f t="shared" si="52"/>
        <v>1</v>
      </c>
      <c r="AH125" s="160">
        <f t="shared" si="53"/>
        <v>0</v>
      </c>
      <c r="AI125" s="233">
        <f t="shared" si="38"/>
        <v>2</v>
      </c>
    </row>
    <row r="126" spans="18:35" ht="13" thickBot="1">
      <c r="R126" s="162">
        <v>46173</v>
      </c>
      <c r="S126" s="174">
        <f>VLOOKUP($R126,'Update Log'!$A$1:$H$861,2)</f>
        <v>0</v>
      </c>
      <c r="T126" s="175">
        <f>VLOOKUP($R126,'Update Log'!$A$1:$H$861,3)</f>
        <v>0</v>
      </c>
      <c r="U126" s="176">
        <f>VLOOKUP($R126,'Update Log'!$A$1:$H$861,4)</f>
        <v>0</v>
      </c>
      <c r="V126" s="176">
        <f>VLOOKUP($R126,'Update Log'!$A$1:$H$861,5)</f>
        <v>0</v>
      </c>
      <c r="W126" s="176">
        <f>VLOOKUP($R126,'Update Log'!$A$1:$H$861,6)</f>
        <v>0</v>
      </c>
      <c r="X126" s="176">
        <f>VLOOKUP($R126,'Update Log'!$A$1:$H$861,7)</f>
        <v>25</v>
      </c>
      <c r="Y126" s="176">
        <f>VLOOKUP($R126,'Update Log'!$A$1:$H$861,8)</f>
        <v>25</v>
      </c>
      <c r="Z126" s="230">
        <f t="shared" si="46"/>
        <v>2</v>
      </c>
      <c r="AB126" s="16">
        <f t="shared" si="47"/>
        <v>46173</v>
      </c>
      <c r="AC126" s="160">
        <f t="shared" si="48"/>
        <v>0</v>
      </c>
      <c r="AD126" s="160">
        <f t="shared" si="49"/>
        <v>0</v>
      </c>
      <c r="AE126" s="160">
        <f t="shared" si="50"/>
        <v>25</v>
      </c>
      <c r="AF126" s="160">
        <f t="shared" si="51"/>
        <v>25</v>
      </c>
      <c r="AG126" s="161">
        <f t="shared" si="52"/>
        <v>1</v>
      </c>
      <c r="AH126" s="160">
        <f t="shared" si="53"/>
        <v>0</v>
      </c>
      <c r="AI126" s="233">
        <f t="shared" si="38"/>
        <v>2</v>
      </c>
    </row>
    <row r="127" spans="18:35" ht="13" thickBot="1">
      <c r="R127" s="162">
        <v>46203</v>
      </c>
      <c r="S127" s="174">
        <f>VLOOKUP($R127,'Update Log'!$A$1:$H$861,2)</f>
        <v>0</v>
      </c>
      <c r="T127" s="175">
        <f>VLOOKUP($R127,'Update Log'!$A$1:$H$861,3)</f>
        <v>0</v>
      </c>
      <c r="U127" s="176">
        <f>VLOOKUP($R127,'Update Log'!$A$1:$H$861,4)</f>
        <v>0</v>
      </c>
      <c r="V127" s="176">
        <f>VLOOKUP($R127,'Update Log'!$A$1:$H$861,5)</f>
        <v>0</v>
      </c>
      <c r="W127" s="176">
        <f>VLOOKUP($R127,'Update Log'!$A$1:$H$861,6)</f>
        <v>0</v>
      </c>
      <c r="X127" s="176">
        <f>VLOOKUP($R127,'Update Log'!$A$1:$H$861,7)</f>
        <v>25</v>
      </c>
      <c r="Y127" s="176">
        <f>VLOOKUP($R127,'Update Log'!$A$1:$H$861,8)</f>
        <v>25</v>
      </c>
      <c r="Z127" s="230">
        <f t="shared" si="46"/>
        <v>2</v>
      </c>
      <c r="AB127" s="16">
        <f t="shared" si="47"/>
        <v>46203</v>
      </c>
      <c r="AC127" s="160">
        <f t="shared" si="48"/>
        <v>0</v>
      </c>
      <c r="AD127" s="160">
        <f t="shared" si="49"/>
        <v>0</v>
      </c>
      <c r="AE127" s="160">
        <f t="shared" si="50"/>
        <v>25</v>
      </c>
      <c r="AF127" s="160">
        <f t="shared" si="51"/>
        <v>25</v>
      </c>
      <c r="AG127" s="161">
        <f t="shared" si="52"/>
        <v>1</v>
      </c>
      <c r="AH127" s="160">
        <f t="shared" si="53"/>
        <v>0</v>
      </c>
      <c r="AI127" s="233">
        <f t="shared" si="38"/>
        <v>2</v>
      </c>
    </row>
    <row r="128" spans="18:35" ht="13" thickBot="1">
      <c r="R128" s="162">
        <v>46234</v>
      </c>
      <c r="S128" s="174">
        <f>VLOOKUP($R128,'Update Log'!$A$1:$H$861,2)</f>
        <v>0</v>
      </c>
      <c r="T128" s="175">
        <f>VLOOKUP($R128,'Update Log'!$A$1:$H$861,3)</f>
        <v>0</v>
      </c>
      <c r="U128" s="176">
        <f>VLOOKUP($R128,'Update Log'!$A$1:$H$861,4)</f>
        <v>0</v>
      </c>
      <c r="V128" s="176">
        <f>VLOOKUP($R128,'Update Log'!$A$1:$H$861,5)</f>
        <v>0</v>
      </c>
      <c r="W128" s="176">
        <f>VLOOKUP($R128,'Update Log'!$A$1:$H$861,6)</f>
        <v>0</v>
      </c>
      <c r="X128" s="176">
        <f>VLOOKUP($R128,'Update Log'!$A$1:$H$861,7)</f>
        <v>25</v>
      </c>
      <c r="Y128" s="176">
        <f>VLOOKUP($R128,'Update Log'!$A$1:$H$861,8)</f>
        <v>25</v>
      </c>
      <c r="Z128" s="230">
        <f t="shared" si="46"/>
        <v>2</v>
      </c>
      <c r="AB128" s="16">
        <f t="shared" si="47"/>
        <v>46234</v>
      </c>
      <c r="AC128" s="160">
        <f t="shared" si="48"/>
        <v>0</v>
      </c>
      <c r="AD128" s="160">
        <f t="shared" si="49"/>
        <v>0</v>
      </c>
      <c r="AE128" s="160">
        <f t="shared" si="50"/>
        <v>25</v>
      </c>
      <c r="AF128" s="160">
        <f t="shared" si="51"/>
        <v>25</v>
      </c>
      <c r="AG128" s="161">
        <f t="shared" si="52"/>
        <v>1</v>
      </c>
      <c r="AH128" s="160">
        <f t="shared" si="53"/>
        <v>0</v>
      </c>
      <c r="AI128" s="233">
        <f t="shared" si="38"/>
        <v>2</v>
      </c>
    </row>
    <row r="129" spans="18:26" ht="23">
      <c r="R129" s="173" t="s">
        <v>11</v>
      </c>
      <c r="S129" s="153" t="s">
        <v>699</v>
      </c>
      <c r="T129" s="153" t="s">
        <v>33</v>
      </c>
      <c r="U129" s="154" t="s">
        <v>700</v>
      </c>
      <c r="V129" s="155" t="s">
        <v>701</v>
      </c>
      <c r="W129" s="156" t="s">
        <v>703</v>
      </c>
      <c r="X129" s="157" t="s">
        <v>702</v>
      </c>
      <c r="Y129" s="153" t="s">
        <v>0</v>
      </c>
      <c r="Z129" s="153" t="s">
        <v>1291</v>
      </c>
    </row>
  </sheetData>
  <mergeCells count="10">
    <mergeCell ref="AR1:AR2"/>
    <mergeCell ref="AL3:AM4"/>
    <mergeCell ref="AR3:AR4"/>
    <mergeCell ref="A1:G1"/>
    <mergeCell ref="I1:P1"/>
    <mergeCell ref="R1:X1"/>
    <mergeCell ref="AO3:AP3"/>
    <mergeCell ref="AO4:AP4"/>
    <mergeCell ref="AL1:AL2"/>
    <mergeCell ref="AO1:AO2"/>
  </mergeCells>
  <phoneticPr fontId="0" type="noConversion"/>
  <conditionalFormatting sqref="H3:H38">
    <cfRule type="cellIs" dxfId="6" priority="37" operator="equal">
      <formula>"Red"</formula>
    </cfRule>
    <cfRule type="cellIs" dxfId="5" priority="41" operator="equal">
      <formula>"Amber"</formula>
    </cfRule>
    <cfRule type="cellIs" dxfId="4" priority="43" operator="equal">
      <formula>"Green"</formula>
    </cfRule>
  </conditionalFormatting>
  <conditionalFormatting sqref="P3:P38">
    <cfRule type="cellIs" dxfId="3" priority="32" operator="equal">
      <formula>"Red"</formula>
    </cfRule>
    <cfRule type="cellIs" dxfId="2" priority="33" operator="equal">
      <formula>"Amber"</formula>
    </cfRule>
    <cfRule type="cellIs" dxfId="1" priority="35" operator="equal">
      <formula>"Green"</formula>
    </cfRule>
  </conditionalFormatting>
  <conditionalFormatting sqref="P3:P38">
    <cfRule type="cellIs" dxfId="0" priority="34" operator="equal">
      <formula>"Yellow"</formula>
    </cfRule>
  </conditionalFormatting>
  <pageMargins left="0.75" right="0.75" top="1" bottom="1" header="0.5" footer="0.5"/>
  <pageSetup paperSize="9" orientation="portrait" r:id="rId1"/>
  <headerFooter alignWithMargins="0"/>
  <extLst>
    <ext xmlns:x14="http://schemas.microsoft.com/office/spreadsheetml/2009/9/main" uri="{78C0D931-6437-407d-A8EE-F0AAD7539E65}">
      <x14:conditionalFormattings>
        <x14:conditionalFormatting xmlns:xm="http://schemas.microsoft.com/office/excel/2006/main">
          <x14:cfRule type="iconSet" priority="1315" id="{BA6A9BD2-9EB1-494B-B1AA-8C2DB5560F64}">
            <x14:iconSet custom="1">
              <x14:cfvo type="percent">
                <xm:f>0</xm:f>
              </x14:cfvo>
              <x14:cfvo type="num">
                <xm:f>0</xm:f>
              </x14:cfvo>
              <x14:cfvo type="num">
                <xm:f>1</xm:f>
              </x14:cfvo>
              <x14:cfIcon iconSet="NoIcons" iconId="0"/>
              <x14:cfIcon iconSet="3TrafficLights1" iconId="2"/>
              <x14:cfIcon iconSet="3TrafficLights1" iconId="0"/>
            </x14:iconSet>
          </x14:cfRule>
          <xm:sqref>S3:S128 BC67:BC98 AK67:AK98</xm:sqref>
        </x14:conditionalFormatting>
        <x14:conditionalFormatting xmlns:xm="http://schemas.microsoft.com/office/excel/2006/main">
          <x14:cfRule type="iconSet" priority="1317" id="{B313055F-3EB3-4BA2-BA5C-5AD872EC1A03}">
            <x14:iconSet custom="1">
              <x14:cfvo type="percent">
                <xm:f>0</xm:f>
              </x14:cfvo>
              <x14:cfvo type="percent">
                <xm:f>0</xm:f>
              </x14:cfvo>
              <x14:cfvo type="percent" gte="0">
                <xm:f>5</xm:f>
              </x14:cfvo>
              <x14:cfIcon iconSet="NoIcons" iconId="0"/>
              <x14:cfIcon iconSet="3TrafficLights1" iconId="2"/>
              <x14:cfIcon iconSet="3TrafficLights1" iconId="0"/>
            </x14:iconSet>
          </x14:cfRule>
          <xm:sqref>T3:T128 BD67:BD98 AL67:AL98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70C0"/>
    <pageSetUpPr fitToPage="1"/>
  </sheetPr>
  <dimension ref="A1:XEV5"/>
  <sheetViews>
    <sheetView zoomScale="55" zoomScaleNormal="55" workbookViewId="0">
      <pane ySplit="1" topLeftCell="A2" activePane="bottomLeft" state="frozen"/>
      <selection pane="bottomLeft" activeCell="A2" sqref="A2:XFD2"/>
    </sheetView>
  </sheetViews>
  <sheetFormatPr baseColWidth="10" defaultColWidth="18.453125" defaultRowHeight="15.5"/>
  <cols>
    <col min="1" max="1" width="18.453125" style="104"/>
    <col min="2" max="2" width="37" style="83" customWidth="1"/>
    <col min="3" max="3" width="28.26953125" style="83" customWidth="1"/>
    <col min="4" max="4" width="19.7265625" style="83" customWidth="1"/>
    <col min="5" max="5" width="23.54296875" style="83" customWidth="1"/>
    <col min="6" max="6" width="21" style="90" customWidth="1"/>
    <col min="7" max="7" width="12.54296875" style="85" customWidth="1"/>
    <col min="8" max="8" width="15.1796875" style="85" customWidth="1"/>
    <col min="9" max="9" width="41" style="83" customWidth="1"/>
    <col min="10" max="10" width="34.453125" style="83" customWidth="1"/>
    <col min="11" max="11" width="26.1796875" style="83" customWidth="1"/>
    <col min="12" max="12" width="24.7265625" style="83" customWidth="1"/>
    <col min="13" max="13" width="23" style="84" customWidth="1"/>
    <col min="14" max="14" width="22.1796875" style="83" customWidth="1"/>
    <col min="15" max="15" width="20" style="85" customWidth="1"/>
    <col min="16" max="17" width="62.81640625" style="83" customWidth="1"/>
    <col min="18" max="18" width="43.54296875" style="83" customWidth="1"/>
    <col min="19" max="19" width="40.54296875" style="248" customWidth="1"/>
    <col min="20" max="22" width="35.1796875" style="248" customWidth="1"/>
    <col min="23" max="23" width="32.81640625" style="5" customWidth="1"/>
    <col min="24" max="24" width="73.1796875" customWidth="1"/>
    <col min="25" max="25" width="22.54296875" customWidth="1"/>
    <col min="26" max="26" width="40.26953125" style="333" customWidth="1"/>
    <col min="27" max="27" width="39.453125" customWidth="1"/>
    <col min="28" max="28" width="40.81640625" customWidth="1"/>
    <col min="29" max="29" width="48.7265625" style="333" customWidth="1"/>
    <col min="30" max="30" width="48.453125" style="333" customWidth="1"/>
    <col min="31" max="31" width="39.453125" style="333" customWidth="1"/>
    <col min="32" max="32" width="28.7265625" style="5" customWidth="1"/>
    <col min="33" max="33" width="46.1796875" customWidth="1"/>
    <col min="34" max="34" width="35.26953125" customWidth="1"/>
    <col min="35" max="35" width="34.7265625" customWidth="1"/>
    <col min="36" max="36" width="13.81640625" customWidth="1"/>
    <col min="37" max="37" width="40" customWidth="1"/>
    <col min="38" max="38" width="43.1796875" style="83" customWidth="1"/>
    <col min="39" max="39" width="31.1796875" style="83" customWidth="1"/>
    <col min="40" max="40" width="48" style="83" customWidth="1"/>
    <col min="41" max="16384" width="18.453125" style="83"/>
  </cols>
  <sheetData>
    <row r="1" spans="1:16376" s="86" customFormat="1" ht="74.25" customHeight="1">
      <c r="A1" s="110" t="s">
        <v>38</v>
      </c>
      <c r="B1" s="110" t="s">
        <v>15</v>
      </c>
      <c r="C1" s="110" t="s">
        <v>24</v>
      </c>
      <c r="D1" s="110" t="s">
        <v>25</v>
      </c>
      <c r="E1" s="110" t="s">
        <v>16</v>
      </c>
      <c r="F1" s="110" t="s">
        <v>17</v>
      </c>
      <c r="G1" s="110" t="s">
        <v>34</v>
      </c>
      <c r="H1" s="202" t="s">
        <v>37</v>
      </c>
      <c r="I1" s="112" t="s">
        <v>18</v>
      </c>
      <c r="J1" s="113" t="s">
        <v>19</v>
      </c>
      <c r="K1" s="111" t="s">
        <v>20</v>
      </c>
      <c r="L1" s="114" t="s">
        <v>32</v>
      </c>
      <c r="M1" s="115" t="s">
        <v>21</v>
      </c>
      <c r="N1" s="115" t="s">
        <v>22</v>
      </c>
      <c r="O1" s="115" t="s">
        <v>785</v>
      </c>
      <c r="P1" s="200" t="s">
        <v>36</v>
      </c>
      <c r="Q1" s="200" t="s">
        <v>1517</v>
      </c>
      <c r="R1" s="200" t="s">
        <v>1518</v>
      </c>
      <c r="S1" s="200" t="s">
        <v>4377</v>
      </c>
      <c r="T1" s="201" t="s">
        <v>35</v>
      </c>
      <c r="U1" s="201" t="s">
        <v>1519</v>
      </c>
      <c r="V1" s="201" t="s">
        <v>1520</v>
      </c>
      <c r="W1" s="201" t="s">
        <v>1521</v>
      </c>
      <c r="X1" s="201" t="s">
        <v>3636</v>
      </c>
      <c r="Y1" s="251" t="s">
        <v>23</v>
      </c>
      <c r="Z1" s="334" t="s">
        <v>1099</v>
      </c>
      <c r="AA1" s="223" t="s">
        <v>1522</v>
      </c>
      <c r="AB1" s="223" t="s">
        <v>1523</v>
      </c>
      <c r="AC1" s="335" t="s">
        <v>4438</v>
      </c>
      <c r="AD1" s="335" t="s">
        <v>4439</v>
      </c>
      <c r="AE1" s="334" t="s">
        <v>4440</v>
      </c>
      <c r="AF1" s="223" t="s">
        <v>1524</v>
      </c>
      <c r="AG1" s="223" t="s">
        <v>1525</v>
      </c>
      <c r="AH1" s="223" t="s">
        <v>1526</v>
      </c>
      <c r="AI1" s="223" t="s">
        <v>1527</v>
      </c>
      <c r="AJ1" s="223" t="s">
        <v>1528</v>
      </c>
      <c r="AK1" s="223" t="s">
        <v>1529</v>
      </c>
      <c r="AL1" s="223" t="s">
        <v>1530</v>
      </c>
      <c r="AM1" s="223" t="s">
        <v>1531</v>
      </c>
      <c r="AN1" s="223" t="s">
        <v>1532</v>
      </c>
      <c r="AO1" s="204"/>
      <c r="AP1" s="204"/>
      <c r="AQ1" s="204"/>
      <c r="AR1" s="204"/>
      <c r="AS1" s="204"/>
      <c r="AT1" s="204"/>
      <c r="AU1" s="204"/>
      <c r="AV1" s="204"/>
      <c r="AW1" s="204"/>
      <c r="AX1" s="204"/>
      <c r="AY1" s="204"/>
      <c r="AZ1" s="204"/>
      <c r="BA1" s="204"/>
      <c r="BB1" s="204"/>
      <c r="BC1" s="204"/>
      <c r="BD1" s="204"/>
      <c r="BE1" s="204"/>
      <c r="BF1" s="205"/>
      <c r="BG1" s="204"/>
      <c r="BH1" s="204"/>
      <c r="BI1" s="204"/>
      <c r="BJ1" s="204"/>
      <c r="BK1" s="204"/>
      <c r="BL1" s="204"/>
      <c r="BM1" s="204"/>
      <c r="BN1" s="204"/>
      <c r="BO1" s="204"/>
      <c r="BP1" s="204"/>
      <c r="BQ1" s="204"/>
      <c r="BR1" s="204"/>
      <c r="BS1" s="204"/>
      <c r="BT1" s="204"/>
      <c r="BU1" s="204"/>
      <c r="BV1" s="204"/>
      <c r="BW1" s="204"/>
      <c r="BX1" s="204"/>
      <c r="BY1" s="204"/>
      <c r="BZ1" s="204"/>
      <c r="CA1" s="204"/>
      <c r="CB1" s="204"/>
      <c r="CC1" s="204"/>
      <c r="CD1" s="204"/>
      <c r="CE1" s="204"/>
      <c r="CF1" s="204"/>
      <c r="CG1" s="204"/>
      <c r="CH1" s="205"/>
      <c r="CI1" s="204"/>
      <c r="CJ1" s="204"/>
      <c r="CK1" s="204"/>
      <c r="CL1" s="204"/>
      <c r="CM1" s="204"/>
      <c r="CN1" s="204"/>
      <c r="CO1" s="204"/>
      <c r="CP1" s="204"/>
      <c r="CQ1" s="204"/>
      <c r="CR1" s="204"/>
      <c r="CS1" s="204"/>
      <c r="CT1" s="204"/>
      <c r="CU1" s="204"/>
      <c r="CV1" s="204"/>
      <c r="CW1" s="204"/>
      <c r="CX1" s="204"/>
      <c r="CY1" s="204"/>
      <c r="CZ1" s="204"/>
      <c r="DA1" s="204"/>
      <c r="DB1" s="204"/>
      <c r="DC1" s="204"/>
      <c r="DD1" s="204"/>
      <c r="DE1" s="204"/>
      <c r="DF1" s="204"/>
      <c r="DG1" s="204"/>
      <c r="DH1" s="204"/>
      <c r="DI1" s="204"/>
      <c r="DJ1" s="205"/>
      <c r="DK1" s="204"/>
      <c r="DL1" s="204"/>
      <c r="DM1" s="204"/>
      <c r="DN1" s="204"/>
      <c r="DO1" s="204"/>
      <c r="DP1" s="204"/>
      <c r="DQ1" s="204"/>
      <c r="DR1" s="204"/>
      <c r="DS1" s="204"/>
      <c r="DT1" s="204"/>
      <c r="DU1" s="204"/>
      <c r="DV1" s="204"/>
      <c r="DW1" s="204"/>
      <c r="DX1" s="204"/>
      <c r="DY1" s="204"/>
      <c r="DZ1" s="204"/>
      <c r="EA1" s="204"/>
      <c r="EB1" s="204"/>
      <c r="EC1" s="204"/>
      <c r="ED1" s="204"/>
      <c r="EE1" s="204"/>
      <c r="EF1" s="204"/>
      <c r="EG1" s="204"/>
      <c r="EH1" s="204"/>
      <c r="EI1" s="204"/>
      <c r="EJ1" s="204"/>
      <c r="EK1" s="204"/>
      <c r="EL1" s="205"/>
      <c r="EM1" s="204"/>
      <c r="EN1" s="204"/>
      <c r="EO1" s="204"/>
      <c r="EP1" s="204"/>
      <c r="EQ1" s="204"/>
      <c r="ER1" s="204"/>
      <c r="ES1" s="204"/>
      <c r="ET1" s="204"/>
      <c r="EU1" s="204"/>
      <c r="EV1" s="204"/>
      <c r="EW1" s="204"/>
      <c r="EX1" s="204"/>
      <c r="EY1" s="204"/>
      <c r="EZ1" s="204"/>
      <c r="FA1" s="204"/>
      <c r="FB1" s="204"/>
      <c r="FC1" s="204"/>
      <c r="FD1" s="204"/>
      <c r="FE1" s="204"/>
      <c r="FF1" s="204"/>
      <c r="FG1" s="204"/>
      <c r="FH1" s="204"/>
      <c r="FI1" s="204"/>
      <c r="FJ1" s="204"/>
      <c r="FK1" s="204"/>
      <c r="FL1" s="204"/>
      <c r="FM1" s="204"/>
      <c r="FN1" s="205"/>
      <c r="FO1" s="204"/>
      <c r="FP1" s="204"/>
      <c r="FQ1" s="204"/>
      <c r="FR1" s="204"/>
      <c r="FS1" s="204"/>
      <c r="FT1" s="204"/>
      <c r="FU1" s="204"/>
      <c r="FV1" s="204"/>
      <c r="FW1" s="204"/>
      <c r="FX1" s="204"/>
      <c r="FY1" s="204"/>
      <c r="FZ1" s="204"/>
      <c r="GA1" s="204"/>
      <c r="GB1" s="204"/>
      <c r="GC1" s="204"/>
      <c r="GD1" s="204"/>
      <c r="GE1" s="204"/>
      <c r="GF1" s="204"/>
      <c r="GG1" s="204"/>
      <c r="GH1" s="204"/>
      <c r="GI1" s="204"/>
      <c r="GJ1" s="204"/>
      <c r="GK1" s="204"/>
      <c r="GL1" s="204"/>
      <c r="GM1" s="204"/>
      <c r="GN1" s="204"/>
      <c r="GO1" s="204"/>
      <c r="GP1" s="205"/>
      <c r="GQ1" s="204"/>
      <c r="GR1" s="204"/>
      <c r="GS1" s="204"/>
      <c r="GT1" s="204"/>
      <c r="GU1" s="204"/>
      <c r="GV1" s="204"/>
      <c r="GW1" s="204"/>
      <c r="GX1" s="204"/>
      <c r="GY1" s="204"/>
      <c r="GZ1" s="204"/>
      <c r="HA1" s="204"/>
      <c r="HB1" s="204"/>
      <c r="HC1" s="204"/>
      <c r="HD1" s="204"/>
      <c r="HE1" s="204"/>
      <c r="HF1" s="204"/>
      <c r="HG1" s="204"/>
      <c r="HH1" s="204"/>
      <c r="HI1" s="204"/>
      <c r="HJ1" s="204"/>
      <c r="HK1" s="204"/>
      <c r="HL1" s="204"/>
      <c r="HM1" s="204"/>
      <c r="HN1" s="204"/>
      <c r="HO1" s="204"/>
      <c r="HP1" s="204"/>
      <c r="HQ1" s="204"/>
      <c r="HR1" s="205"/>
      <c r="HS1" s="204"/>
      <c r="HT1" s="204"/>
      <c r="HU1" s="204"/>
      <c r="HV1" s="204"/>
      <c r="HW1" s="204"/>
      <c r="HX1" s="204"/>
      <c r="HY1" s="204"/>
      <c r="HZ1" s="204"/>
      <c r="IA1" s="204"/>
      <c r="IB1" s="204"/>
      <c r="IC1" s="204"/>
      <c r="ID1" s="204"/>
      <c r="IE1" s="204"/>
      <c r="IF1" s="204"/>
      <c r="IG1" s="204"/>
      <c r="IH1" s="204"/>
      <c r="II1" s="204"/>
      <c r="IJ1" s="204"/>
      <c r="IK1" s="204"/>
      <c r="IL1" s="204"/>
      <c r="IM1" s="204"/>
      <c r="IN1" s="204"/>
      <c r="IO1" s="204"/>
      <c r="IP1" s="204"/>
      <c r="IQ1" s="204"/>
      <c r="IR1" s="204"/>
      <c r="IS1" s="204"/>
      <c r="IT1" s="205"/>
      <c r="IU1" s="204"/>
      <c r="IV1" s="204"/>
      <c r="IW1" s="204"/>
      <c r="IX1" s="204"/>
      <c r="IY1" s="204"/>
      <c r="IZ1" s="204"/>
      <c r="JA1" s="204"/>
      <c r="JB1" s="204"/>
      <c r="JC1" s="204"/>
      <c r="JD1" s="204"/>
      <c r="JE1" s="204"/>
      <c r="JF1" s="204"/>
      <c r="JG1" s="204"/>
      <c r="JH1" s="204"/>
      <c r="JI1" s="204"/>
      <c r="JJ1" s="204"/>
      <c r="JK1" s="204"/>
      <c r="JL1" s="204"/>
      <c r="JM1" s="204"/>
      <c r="JN1" s="204"/>
      <c r="JO1" s="204"/>
      <c r="JP1" s="204"/>
      <c r="JQ1" s="204"/>
      <c r="JR1" s="204"/>
      <c r="JS1" s="204"/>
      <c r="JT1" s="204"/>
      <c r="JU1" s="204"/>
      <c r="JV1" s="205"/>
      <c r="JW1" s="204"/>
      <c r="JX1" s="204"/>
      <c r="JY1" s="204"/>
      <c r="JZ1" s="204"/>
      <c r="KA1" s="204"/>
      <c r="KB1" s="204"/>
      <c r="KC1" s="204"/>
      <c r="KD1" s="204"/>
      <c r="KE1" s="204"/>
      <c r="KF1" s="204"/>
      <c r="KG1" s="204"/>
      <c r="KH1" s="204"/>
      <c r="KI1" s="204"/>
      <c r="KJ1" s="204"/>
      <c r="KK1" s="204"/>
      <c r="KL1" s="204"/>
      <c r="KM1" s="204"/>
      <c r="KN1" s="204"/>
      <c r="KO1" s="204"/>
      <c r="KP1" s="204"/>
      <c r="KQ1" s="204"/>
      <c r="KR1" s="204"/>
      <c r="KS1" s="204"/>
      <c r="KT1" s="204"/>
      <c r="KU1" s="204"/>
      <c r="KV1" s="204"/>
      <c r="KW1" s="204"/>
      <c r="KX1" s="205"/>
      <c r="KY1" s="204"/>
      <c r="KZ1" s="204"/>
      <c r="LA1" s="204"/>
      <c r="LB1" s="204"/>
      <c r="LC1" s="204"/>
      <c r="LD1" s="204"/>
      <c r="LE1" s="204"/>
      <c r="LF1" s="204"/>
      <c r="LG1" s="204"/>
      <c r="LH1" s="204"/>
      <c r="LI1" s="204"/>
      <c r="LJ1" s="204"/>
      <c r="LK1" s="204"/>
      <c r="LL1" s="204"/>
      <c r="LM1" s="204"/>
      <c r="LN1" s="204"/>
      <c r="LO1" s="204"/>
      <c r="LP1" s="204"/>
      <c r="LQ1" s="204"/>
      <c r="LR1" s="204"/>
      <c r="LS1" s="204"/>
      <c r="LT1" s="204"/>
      <c r="LU1" s="204"/>
      <c r="LV1" s="204"/>
      <c r="LW1" s="204"/>
      <c r="LX1" s="204"/>
      <c r="LY1" s="204"/>
      <c r="LZ1" s="205"/>
      <c r="MA1" s="204"/>
      <c r="MB1" s="204"/>
      <c r="MC1" s="204"/>
      <c r="MD1" s="204"/>
      <c r="ME1" s="204"/>
      <c r="MF1" s="204"/>
      <c r="MG1" s="204"/>
      <c r="MH1" s="204"/>
      <c r="MI1" s="204"/>
      <c r="MJ1" s="204"/>
      <c r="MK1" s="204"/>
      <c r="ML1" s="204"/>
      <c r="MM1" s="204"/>
      <c r="MN1" s="204"/>
      <c r="MO1" s="204"/>
      <c r="MP1" s="204"/>
      <c r="MQ1" s="204"/>
      <c r="MR1" s="204"/>
      <c r="MS1" s="204"/>
      <c r="MT1" s="204"/>
      <c r="MU1" s="204"/>
      <c r="MV1" s="204"/>
      <c r="MW1" s="204"/>
      <c r="MX1" s="204"/>
      <c r="MY1" s="204"/>
      <c r="MZ1" s="204"/>
      <c r="NA1" s="204"/>
      <c r="NB1" s="205"/>
      <c r="NC1" s="204"/>
      <c r="ND1" s="204"/>
      <c r="NE1" s="204"/>
      <c r="NF1" s="204"/>
      <c r="NG1" s="204"/>
      <c r="NH1" s="204"/>
      <c r="NI1" s="204"/>
      <c r="NJ1" s="204"/>
      <c r="NK1" s="204"/>
      <c r="NL1" s="204"/>
      <c r="NM1" s="204"/>
      <c r="NN1" s="204"/>
      <c r="NO1" s="204"/>
      <c r="NP1" s="204"/>
      <c r="NQ1" s="204"/>
      <c r="NR1" s="204"/>
      <c r="NS1" s="204"/>
      <c r="NT1" s="204"/>
      <c r="NU1" s="204"/>
      <c r="NV1" s="204"/>
      <c r="NW1" s="204"/>
      <c r="NX1" s="204"/>
      <c r="NY1" s="204"/>
      <c r="NZ1" s="204"/>
      <c r="OA1" s="204"/>
      <c r="OB1" s="204"/>
      <c r="OC1" s="204"/>
      <c r="OD1" s="205"/>
      <c r="OE1" s="204"/>
      <c r="OF1" s="204"/>
      <c r="OG1" s="204"/>
      <c r="OH1" s="204"/>
      <c r="OI1" s="204"/>
      <c r="OJ1" s="204"/>
      <c r="OK1" s="204"/>
      <c r="OL1" s="204"/>
      <c r="OM1" s="204"/>
      <c r="ON1" s="204"/>
      <c r="OO1" s="204"/>
      <c r="OP1" s="204"/>
      <c r="OQ1" s="204"/>
      <c r="OR1" s="204"/>
      <c r="OS1" s="204"/>
      <c r="OT1" s="204"/>
      <c r="OU1" s="204"/>
      <c r="OV1" s="204"/>
      <c r="OW1" s="204"/>
      <c r="OX1" s="204"/>
      <c r="OY1" s="204"/>
      <c r="OZ1" s="204"/>
      <c r="PA1" s="204"/>
      <c r="PB1" s="204"/>
      <c r="PC1" s="204"/>
      <c r="PD1" s="204"/>
      <c r="PE1" s="204"/>
      <c r="PF1" s="205"/>
      <c r="PG1" s="204"/>
      <c r="PH1" s="204"/>
      <c r="PI1" s="204"/>
      <c r="PJ1" s="204"/>
      <c r="PK1" s="204"/>
      <c r="PL1" s="204"/>
      <c r="PM1" s="204"/>
      <c r="PN1" s="204"/>
      <c r="PO1" s="204"/>
      <c r="PP1" s="204"/>
      <c r="PQ1" s="204"/>
      <c r="PR1" s="204"/>
      <c r="PS1" s="204"/>
      <c r="PT1" s="204"/>
      <c r="PU1" s="204"/>
      <c r="PV1" s="204"/>
      <c r="PW1" s="204"/>
      <c r="PX1" s="204"/>
      <c r="PY1" s="204"/>
      <c r="PZ1" s="204"/>
      <c r="QA1" s="204"/>
      <c r="QB1" s="204"/>
      <c r="QC1" s="204"/>
      <c r="QD1" s="204"/>
      <c r="QE1" s="204"/>
      <c r="QF1" s="204"/>
      <c r="QG1" s="204"/>
      <c r="QH1" s="205"/>
      <c r="QI1" s="204"/>
      <c r="QJ1" s="204"/>
      <c r="QK1" s="204"/>
      <c r="QL1" s="204"/>
      <c r="QM1" s="204"/>
      <c r="QN1" s="204"/>
      <c r="QO1" s="204"/>
      <c r="QP1" s="204"/>
      <c r="QQ1" s="204"/>
      <c r="QR1" s="204"/>
      <c r="QS1" s="204"/>
      <c r="QT1" s="204"/>
      <c r="QU1" s="204"/>
      <c r="QV1" s="204"/>
      <c r="QW1" s="204"/>
      <c r="QX1" s="204"/>
      <c r="QY1" s="204"/>
      <c r="QZ1" s="204"/>
      <c r="RA1" s="204"/>
      <c r="RB1" s="204"/>
      <c r="RC1" s="204"/>
      <c r="RD1" s="204"/>
      <c r="RE1" s="204"/>
      <c r="RF1" s="204"/>
      <c r="RG1" s="204"/>
      <c r="RH1" s="204"/>
      <c r="RI1" s="204"/>
      <c r="RJ1" s="205"/>
      <c r="RK1" s="204"/>
      <c r="RL1" s="204"/>
      <c r="RM1" s="204"/>
      <c r="RN1" s="204"/>
      <c r="RO1" s="204"/>
      <c r="RP1" s="204"/>
      <c r="RQ1" s="204"/>
      <c r="RR1" s="204"/>
      <c r="RS1" s="204"/>
      <c r="RT1" s="204"/>
      <c r="RU1" s="204"/>
      <c r="RV1" s="204"/>
      <c r="RW1" s="204"/>
      <c r="RX1" s="204"/>
      <c r="RY1" s="204"/>
      <c r="RZ1" s="204"/>
      <c r="SA1" s="204"/>
      <c r="SB1" s="204"/>
      <c r="SC1" s="204"/>
      <c r="SD1" s="204"/>
      <c r="SE1" s="204"/>
      <c r="SF1" s="204"/>
      <c r="SG1" s="204"/>
      <c r="SH1" s="204"/>
      <c r="SI1" s="204"/>
      <c r="SJ1" s="204"/>
      <c r="SK1" s="204"/>
      <c r="SL1" s="205"/>
      <c r="SM1" s="204"/>
      <c r="SN1" s="204"/>
      <c r="SO1" s="204"/>
      <c r="SP1" s="204"/>
      <c r="SQ1" s="204"/>
      <c r="SR1" s="204"/>
      <c r="SS1" s="204"/>
      <c r="ST1" s="204"/>
      <c r="SU1" s="204"/>
      <c r="SV1" s="204"/>
      <c r="SW1" s="204"/>
      <c r="SX1" s="204"/>
      <c r="SY1" s="204"/>
      <c r="SZ1" s="204"/>
      <c r="TA1" s="204"/>
      <c r="TB1" s="204"/>
      <c r="TC1" s="204"/>
      <c r="TD1" s="204"/>
      <c r="TE1" s="204"/>
      <c r="TF1" s="204"/>
      <c r="TG1" s="204"/>
      <c r="TH1" s="204"/>
      <c r="TI1" s="204"/>
      <c r="TJ1" s="204"/>
      <c r="TK1" s="204"/>
      <c r="TL1" s="204"/>
      <c r="TM1" s="204"/>
      <c r="TN1" s="205"/>
      <c r="TO1" s="204"/>
      <c r="TP1" s="204"/>
      <c r="TQ1" s="204"/>
      <c r="TR1" s="204"/>
      <c r="TS1" s="204"/>
      <c r="TT1" s="204"/>
      <c r="TU1" s="204"/>
      <c r="TV1" s="204"/>
      <c r="TW1" s="204"/>
      <c r="TX1" s="204"/>
      <c r="TY1" s="204"/>
      <c r="TZ1" s="204"/>
      <c r="UA1" s="204"/>
      <c r="UB1" s="204"/>
      <c r="UC1" s="204"/>
      <c r="UD1" s="204"/>
      <c r="UE1" s="204"/>
      <c r="UF1" s="204"/>
      <c r="UG1" s="204"/>
      <c r="UH1" s="204"/>
      <c r="UI1" s="204"/>
      <c r="UJ1" s="204"/>
      <c r="UK1" s="204"/>
      <c r="UL1" s="204"/>
      <c r="UM1" s="204"/>
      <c r="UN1" s="204"/>
      <c r="UO1" s="204"/>
      <c r="UP1" s="205"/>
      <c r="UQ1" s="204"/>
      <c r="UR1" s="204"/>
      <c r="US1" s="204"/>
      <c r="UT1" s="204"/>
      <c r="UU1" s="204"/>
      <c r="UV1" s="204"/>
      <c r="UW1" s="204"/>
      <c r="UX1" s="204"/>
      <c r="UY1" s="204"/>
      <c r="UZ1" s="204"/>
      <c r="VA1" s="204"/>
      <c r="VB1" s="204"/>
      <c r="VC1" s="204"/>
      <c r="VD1" s="204"/>
      <c r="VE1" s="204"/>
      <c r="VF1" s="204"/>
      <c r="VG1" s="204"/>
      <c r="VH1" s="204"/>
      <c r="VI1" s="204"/>
      <c r="VJ1" s="204"/>
      <c r="VK1" s="204"/>
      <c r="VL1" s="204"/>
      <c r="VM1" s="204"/>
      <c r="VN1" s="204"/>
      <c r="VO1" s="204"/>
      <c r="VP1" s="204"/>
      <c r="VQ1" s="204"/>
      <c r="VR1" s="205"/>
      <c r="VS1" s="204"/>
      <c r="VT1" s="204"/>
      <c r="VU1" s="204"/>
      <c r="VV1" s="204"/>
      <c r="VW1" s="204"/>
      <c r="VX1" s="204"/>
      <c r="VY1" s="204"/>
      <c r="VZ1" s="204"/>
      <c r="WA1" s="204"/>
      <c r="WB1" s="204"/>
      <c r="WC1" s="204"/>
      <c r="WD1" s="204"/>
      <c r="WE1" s="204"/>
      <c r="WF1" s="204"/>
      <c r="WG1" s="204"/>
      <c r="WH1" s="204"/>
      <c r="WI1" s="204"/>
      <c r="WJ1" s="204"/>
      <c r="WK1" s="204"/>
      <c r="WL1" s="204"/>
      <c r="WM1" s="204"/>
      <c r="WN1" s="204"/>
      <c r="WO1" s="204"/>
      <c r="WP1" s="204"/>
      <c r="WQ1" s="204"/>
      <c r="WR1" s="204"/>
      <c r="WS1" s="204"/>
      <c r="WT1" s="205"/>
      <c r="WU1" s="204"/>
      <c r="WV1" s="204"/>
      <c r="WW1" s="204"/>
      <c r="WX1" s="204"/>
      <c r="WY1" s="204"/>
      <c r="WZ1" s="204"/>
      <c r="XA1" s="204"/>
      <c r="XB1" s="204"/>
      <c r="XC1" s="204"/>
      <c r="XD1" s="204"/>
      <c r="XE1" s="204"/>
      <c r="XF1" s="204"/>
      <c r="XG1" s="204"/>
      <c r="XH1" s="204"/>
      <c r="XI1" s="204"/>
      <c r="XJ1" s="204"/>
      <c r="XK1" s="204"/>
      <c r="XL1" s="204"/>
      <c r="XM1" s="204"/>
      <c r="XN1" s="204"/>
      <c r="XO1" s="204"/>
      <c r="XP1" s="204"/>
      <c r="XQ1" s="204"/>
      <c r="XR1" s="204"/>
      <c r="XS1" s="204"/>
      <c r="XT1" s="204"/>
      <c r="XU1" s="204"/>
      <c r="XV1" s="205"/>
      <c r="XW1" s="204"/>
      <c r="XX1" s="204"/>
      <c r="XY1" s="204"/>
      <c r="XZ1" s="204"/>
      <c r="YA1" s="204"/>
      <c r="YB1" s="204"/>
      <c r="YC1" s="204"/>
      <c r="YD1" s="204"/>
      <c r="YE1" s="204"/>
      <c r="YF1" s="204"/>
      <c r="YG1" s="204"/>
      <c r="YH1" s="204"/>
      <c r="YI1" s="204"/>
      <c r="YJ1" s="204"/>
      <c r="YK1" s="204"/>
      <c r="YL1" s="204"/>
      <c r="YM1" s="204"/>
      <c r="YN1" s="204"/>
      <c r="YO1" s="204"/>
      <c r="YP1" s="204"/>
      <c r="YQ1" s="204"/>
      <c r="YR1" s="204"/>
      <c r="YS1" s="204"/>
      <c r="YT1" s="204"/>
      <c r="YU1" s="204"/>
      <c r="YV1" s="204"/>
      <c r="YW1" s="204"/>
      <c r="YX1" s="205"/>
      <c r="YY1" s="204"/>
      <c r="YZ1" s="204"/>
      <c r="ZA1" s="204"/>
      <c r="ZB1" s="204"/>
      <c r="ZC1" s="204"/>
      <c r="ZD1" s="204"/>
      <c r="ZE1" s="204"/>
      <c r="ZF1" s="204"/>
      <c r="ZG1" s="204"/>
      <c r="ZH1" s="204"/>
      <c r="ZI1" s="204"/>
      <c r="ZJ1" s="204"/>
      <c r="ZK1" s="204"/>
      <c r="ZL1" s="204"/>
      <c r="ZM1" s="204"/>
      <c r="ZN1" s="204"/>
      <c r="ZO1" s="204"/>
      <c r="ZP1" s="204"/>
      <c r="ZQ1" s="204"/>
      <c r="ZR1" s="204"/>
      <c r="ZS1" s="204"/>
      <c r="ZT1" s="204"/>
      <c r="ZU1" s="204"/>
      <c r="ZV1" s="204"/>
      <c r="ZW1" s="204"/>
      <c r="ZX1" s="204"/>
      <c r="ZY1" s="204"/>
      <c r="ZZ1" s="205"/>
      <c r="AAA1" s="204"/>
      <c r="AAB1" s="204"/>
      <c r="AAC1" s="204"/>
      <c r="AAD1" s="204"/>
      <c r="AAE1" s="204"/>
      <c r="AAF1" s="204"/>
      <c r="AAG1" s="204"/>
      <c r="AAH1" s="204"/>
      <c r="AAI1" s="204"/>
      <c r="AAJ1" s="204"/>
      <c r="AAK1" s="204"/>
      <c r="AAL1" s="204"/>
      <c r="AAM1" s="204"/>
      <c r="AAN1" s="204"/>
      <c r="AAO1" s="204"/>
      <c r="AAP1" s="204"/>
      <c r="AAQ1" s="204"/>
      <c r="AAR1" s="204"/>
      <c r="AAS1" s="204"/>
      <c r="AAT1" s="204"/>
      <c r="AAU1" s="204"/>
      <c r="AAV1" s="204"/>
      <c r="AAW1" s="204"/>
      <c r="AAX1" s="204"/>
      <c r="AAY1" s="204"/>
      <c r="AAZ1" s="204"/>
      <c r="ABA1" s="204"/>
      <c r="ABB1" s="205"/>
      <c r="ABC1" s="204"/>
      <c r="ABD1" s="204"/>
      <c r="ABE1" s="204"/>
      <c r="ABF1" s="204"/>
      <c r="ABG1" s="204"/>
      <c r="ABH1" s="204"/>
      <c r="ABI1" s="204"/>
      <c r="ABJ1" s="204"/>
      <c r="ABK1" s="204"/>
      <c r="ABL1" s="204"/>
      <c r="ABM1" s="204"/>
      <c r="ABN1" s="204"/>
      <c r="ABO1" s="204"/>
      <c r="ABP1" s="204"/>
      <c r="ABQ1" s="204"/>
      <c r="ABR1" s="204"/>
      <c r="ABS1" s="204"/>
      <c r="ABT1" s="204"/>
      <c r="ABU1" s="204"/>
      <c r="ABV1" s="204"/>
      <c r="ABW1" s="204"/>
      <c r="ABX1" s="204"/>
      <c r="ABY1" s="204"/>
      <c r="ABZ1" s="204"/>
      <c r="ACA1" s="204"/>
      <c r="ACB1" s="204"/>
      <c r="ACC1" s="204"/>
      <c r="ACD1" s="205"/>
      <c r="ACE1" s="204"/>
      <c r="ACF1" s="204"/>
      <c r="ACG1" s="204"/>
      <c r="ACH1" s="204"/>
      <c r="ACI1" s="204"/>
      <c r="ACJ1" s="204"/>
      <c r="ACK1" s="204"/>
      <c r="ACL1" s="204"/>
      <c r="ACM1" s="204"/>
      <c r="ACN1" s="204"/>
      <c r="ACO1" s="204"/>
      <c r="ACP1" s="204"/>
      <c r="ACQ1" s="204"/>
      <c r="ACR1" s="204"/>
      <c r="ACS1" s="204"/>
      <c r="ACT1" s="204"/>
      <c r="ACU1" s="204"/>
      <c r="ACV1" s="204"/>
      <c r="ACW1" s="204"/>
      <c r="ACX1" s="204"/>
      <c r="ACY1" s="204"/>
      <c r="ACZ1" s="204"/>
      <c r="ADA1" s="204"/>
      <c r="ADB1" s="204"/>
      <c r="ADC1" s="204"/>
      <c r="ADD1" s="204"/>
      <c r="ADE1" s="204"/>
      <c r="ADF1" s="205"/>
      <c r="ADG1" s="204"/>
      <c r="ADH1" s="204"/>
      <c r="ADI1" s="204"/>
      <c r="ADJ1" s="204"/>
      <c r="ADK1" s="204"/>
      <c r="ADL1" s="204"/>
      <c r="ADM1" s="204"/>
      <c r="ADN1" s="204"/>
      <c r="ADO1" s="204"/>
      <c r="ADP1" s="204"/>
      <c r="ADQ1" s="204"/>
      <c r="ADR1" s="204"/>
      <c r="ADS1" s="204"/>
      <c r="ADT1" s="204"/>
      <c r="ADU1" s="204"/>
      <c r="ADV1" s="204"/>
      <c r="ADW1" s="204"/>
      <c r="ADX1" s="204"/>
      <c r="ADY1" s="204"/>
      <c r="ADZ1" s="204"/>
      <c r="AEA1" s="204"/>
      <c r="AEB1" s="204"/>
      <c r="AEC1" s="204"/>
      <c r="AED1" s="204"/>
      <c r="AEE1" s="204"/>
      <c r="AEF1" s="204"/>
      <c r="AEG1" s="204"/>
      <c r="AEH1" s="205"/>
      <c r="AEI1" s="204"/>
      <c r="AEJ1" s="204"/>
      <c r="AEK1" s="204"/>
      <c r="AEL1" s="204"/>
      <c r="AEM1" s="204"/>
      <c r="AEN1" s="204"/>
      <c r="AEO1" s="204"/>
      <c r="AEP1" s="204"/>
      <c r="AEQ1" s="204"/>
      <c r="AER1" s="204"/>
      <c r="AES1" s="204"/>
      <c r="AET1" s="204"/>
      <c r="AEU1" s="204"/>
      <c r="AEV1" s="204"/>
      <c r="AEW1" s="204"/>
      <c r="AEX1" s="204"/>
      <c r="AEY1" s="204"/>
      <c r="AEZ1" s="204"/>
      <c r="AFA1" s="204"/>
      <c r="AFB1" s="204"/>
      <c r="AFC1" s="204"/>
      <c r="AFD1" s="204"/>
      <c r="AFE1" s="204"/>
      <c r="AFF1" s="204"/>
      <c r="AFG1" s="204"/>
      <c r="AFH1" s="204"/>
      <c r="AFI1" s="204"/>
      <c r="AFJ1" s="205"/>
      <c r="AFK1" s="204"/>
      <c r="AFL1" s="204"/>
      <c r="AFM1" s="204"/>
      <c r="AFN1" s="204"/>
      <c r="AFO1" s="204"/>
      <c r="AFP1" s="204"/>
      <c r="AFQ1" s="204"/>
      <c r="AFR1" s="204"/>
      <c r="AFS1" s="204"/>
      <c r="AFT1" s="204"/>
      <c r="AFU1" s="204"/>
      <c r="AFV1" s="204"/>
      <c r="AFW1" s="204"/>
      <c r="AFX1" s="204"/>
      <c r="AFY1" s="204"/>
      <c r="AFZ1" s="204"/>
      <c r="AGA1" s="204"/>
      <c r="AGB1" s="204"/>
      <c r="AGC1" s="204"/>
      <c r="AGD1" s="204"/>
      <c r="AGE1" s="204"/>
      <c r="AGF1" s="204"/>
      <c r="AGG1" s="204"/>
      <c r="AGH1" s="204"/>
      <c r="AGI1" s="204"/>
      <c r="AGJ1" s="204"/>
      <c r="AGK1" s="204"/>
      <c r="AGL1" s="205"/>
      <c r="AGM1" s="204"/>
      <c r="AGN1" s="204"/>
      <c r="AGO1" s="204"/>
      <c r="AGP1" s="204"/>
      <c r="AGQ1" s="204"/>
      <c r="AGR1" s="204"/>
      <c r="AGS1" s="204"/>
      <c r="AGT1" s="204"/>
      <c r="AGU1" s="204"/>
      <c r="AGV1" s="204"/>
      <c r="AGW1" s="204"/>
      <c r="AGX1" s="204"/>
      <c r="AGY1" s="204"/>
      <c r="AGZ1" s="204"/>
      <c r="AHA1" s="204"/>
      <c r="AHB1" s="204"/>
      <c r="AHC1" s="204"/>
      <c r="AHD1" s="204"/>
      <c r="AHE1" s="204"/>
      <c r="AHF1" s="204"/>
      <c r="AHG1" s="204"/>
      <c r="AHH1" s="204"/>
      <c r="AHI1" s="204"/>
      <c r="AHJ1" s="204"/>
      <c r="AHK1" s="204"/>
      <c r="AHL1" s="204"/>
      <c r="AHM1" s="204"/>
      <c r="AHN1" s="205"/>
      <c r="AHO1" s="204"/>
      <c r="AHP1" s="204"/>
      <c r="AHQ1" s="204"/>
      <c r="AHR1" s="204"/>
      <c r="AHS1" s="204"/>
      <c r="AHT1" s="204"/>
      <c r="AHU1" s="204"/>
      <c r="AHV1" s="204"/>
      <c r="AHW1" s="204"/>
      <c r="AHX1" s="204"/>
      <c r="AHY1" s="204"/>
      <c r="AHZ1" s="204"/>
      <c r="AIA1" s="204"/>
      <c r="AIB1" s="204"/>
      <c r="AIC1" s="204"/>
      <c r="AID1" s="204"/>
      <c r="AIE1" s="204"/>
      <c r="AIF1" s="204"/>
      <c r="AIG1" s="204"/>
      <c r="AIH1" s="204"/>
      <c r="AII1" s="204"/>
      <c r="AIJ1" s="204"/>
      <c r="AIK1" s="204"/>
      <c r="AIL1" s="204"/>
      <c r="AIM1" s="204"/>
      <c r="AIN1" s="204"/>
      <c r="AIO1" s="204"/>
      <c r="AIP1" s="205"/>
      <c r="AIQ1" s="204"/>
      <c r="AIR1" s="204"/>
      <c r="AIS1" s="204"/>
      <c r="AIT1" s="204"/>
      <c r="AIU1" s="204"/>
      <c r="AIV1" s="204"/>
      <c r="AIW1" s="204"/>
      <c r="AIX1" s="204"/>
      <c r="AIY1" s="204"/>
      <c r="AIZ1" s="204"/>
      <c r="AJA1" s="204"/>
      <c r="AJB1" s="204"/>
      <c r="AJC1" s="204"/>
      <c r="AJD1" s="204"/>
      <c r="AJE1" s="204"/>
      <c r="AJF1" s="204"/>
      <c r="AJG1" s="204"/>
      <c r="AJH1" s="204"/>
      <c r="AJI1" s="204"/>
      <c r="AJJ1" s="204"/>
      <c r="AJK1" s="204"/>
      <c r="AJL1" s="204"/>
      <c r="AJM1" s="204"/>
      <c r="AJN1" s="204"/>
      <c r="AJO1" s="204"/>
      <c r="AJP1" s="204"/>
      <c r="AJQ1" s="204"/>
      <c r="AJR1" s="205"/>
      <c r="AJS1" s="204"/>
      <c r="AJT1" s="204"/>
      <c r="AJU1" s="204"/>
      <c r="AJV1" s="204"/>
      <c r="AJW1" s="204"/>
      <c r="AJX1" s="204"/>
      <c r="AJY1" s="204"/>
      <c r="AJZ1" s="204"/>
      <c r="AKA1" s="204"/>
      <c r="AKB1" s="204"/>
      <c r="AKC1" s="204"/>
      <c r="AKD1" s="204"/>
      <c r="AKE1" s="204"/>
      <c r="AKF1" s="204"/>
      <c r="AKG1" s="204"/>
      <c r="AKH1" s="204"/>
      <c r="AKI1" s="204"/>
      <c r="AKJ1" s="204"/>
      <c r="AKK1" s="204"/>
      <c r="AKL1" s="204"/>
      <c r="AKM1" s="204"/>
      <c r="AKN1" s="204"/>
      <c r="AKO1" s="204"/>
      <c r="AKP1" s="204"/>
      <c r="AKQ1" s="204"/>
      <c r="AKR1" s="204"/>
      <c r="AKS1" s="204"/>
      <c r="AKT1" s="205"/>
      <c r="AKU1" s="204"/>
      <c r="AKV1" s="204"/>
      <c r="AKW1" s="204"/>
      <c r="AKX1" s="204"/>
      <c r="AKY1" s="204"/>
      <c r="AKZ1" s="204"/>
      <c r="ALA1" s="204"/>
      <c r="ALB1" s="204"/>
      <c r="ALC1" s="204"/>
      <c r="ALD1" s="204"/>
      <c r="ALE1" s="204"/>
      <c r="ALF1" s="204"/>
      <c r="ALG1" s="204"/>
      <c r="ALH1" s="204"/>
      <c r="ALI1" s="204"/>
      <c r="ALJ1" s="204"/>
      <c r="ALK1" s="204"/>
      <c r="ALL1" s="204"/>
      <c r="ALM1" s="204"/>
      <c r="ALN1" s="204"/>
      <c r="ALO1" s="204"/>
      <c r="ALP1" s="204"/>
      <c r="ALQ1" s="204"/>
      <c r="ALR1" s="204"/>
      <c r="ALS1" s="204"/>
      <c r="ALT1" s="204"/>
      <c r="ALU1" s="204"/>
      <c r="ALV1" s="205"/>
      <c r="ALW1" s="204"/>
      <c r="ALX1" s="204"/>
      <c r="ALY1" s="204"/>
      <c r="ALZ1" s="204"/>
      <c r="AMA1" s="204"/>
      <c r="AMB1" s="204"/>
      <c r="AMC1" s="204"/>
      <c r="AMD1" s="204"/>
      <c r="AME1" s="204"/>
      <c r="AMF1" s="204"/>
      <c r="AMG1" s="204"/>
      <c r="AMH1" s="204"/>
      <c r="AMI1" s="204"/>
      <c r="AMJ1" s="204"/>
      <c r="AMK1" s="204"/>
      <c r="AML1" s="204"/>
      <c r="AMM1" s="204"/>
      <c r="AMN1" s="204"/>
      <c r="AMO1" s="204"/>
      <c r="AMP1" s="204"/>
      <c r="AMQ1" s="204"/>
      <c r="AMR1" s="204"/>
      <c r="AMS1" s="204"/>
      <c r="AMT1" s="204"/>
      <c r="AMU1" s="204"/>
      <c r="AMV1" s="204"/>
      <c r="AMW1" s="204"/>
      <c r="AMX1" s="205"/>
      <c r="AMY1" s="204"/>
      <c r="AMZ1" s="204"/>
      <c r="ANA1" s="204"/>
      <c r="ANB1" s="204"/>
      <c r="ANC1" s="204"/>
      <c r="AND1" s="204"/>
      <c r="ANE1" s="204"/>
      <c r="ANF1" s="204"/>
      <c r="ANG1" s="204"/>
      <c r="ANH1" s="204"/>
      <c r="ANI1" s="204"/>
      <c r="ANJ1" s="204"/>
      <c r="ANK1" s="204"/>
      <c r="ANL1" s="204"/>
      <c r="ANM1" s="204"/>
      <c r="ANN1" s="204"/>
      <c r="ANO1" s="204"/>
      <c r="ANP1" s="204"/>
      <c r="ANQ1" s="204"/>
      <c r="ANR1" s="204"/>
      <c r="ANS1" s="204"/>
      <c r="ANT1" s="204"/>
      <c r="ANU1" s="204"/>
      <c r="ANV1" s="204"/>
      <c r="ANW1" s="204"/>
      <c r="ANX1" s="204"/>
      <c r="ANY1" s="204"/>
      <c r="ANZ1" s="205"/>
      <c r="AOA1" s="204"/>
      <c r="AOB1" s="204"/>
      <c r="AOC1" s="204"/>
      <c r="AOD1" s="204"/>
      <c r="AOE1" s="204"/>
      <c r="AOF1" s="204"/>
      <c r="AOG1" s="204"/>
      <c r="AOH1" s="204"/>
      <c r="AOI1" s="204"/>
      <c r="AOJ1" s="204"/>
      <c r="AOK1" s="204"/>
      <c r="AOL1" s="204"/>
      <c r="AOM1" s="204"/>
      <c r="AON1" s="204"/>
      <c r="AOO1" s="204"/>
      <c r="AOP1" s="204"/>
      <c r="AOQ1" s="204"/>
      <c r="AOR1" s="204"/>
      <c r="AOS1" s="204"/>
      <c r="AOT1" s="204"/>
      <c r="AOU1" s="204"/>
      <c r="AOV1" s="204"/>
      <c r="AOW1" s="204"/>
      <c r="AOX1" s="204"/>
      <c r="AOY1" s="204"/>
      <c r="AOZ1" s="204"/>
      <c r="APA1" s="204"/>
      <c r="APB1" s="205"/>
      <c r="APC1" s="204"/>
      <c r="APD1" s="204"/>
      <c r="APE1" s="204"/>
      <c r="APF1" s="204"/>
      <c r="APG1" s="204"/>
      <c r="APH1" s="204"/>
      <c r="API1" s="204"/>
      <c r="APJ1" s="204"/>
      <c r="APK1" s="204"/>
      <c r="APL1" s="204"/>
      <c r="APM1" s="204"/>
      <c r="APN1" s="204"/>
      <c r="APO1" s="204"/>
      <c r="APP1" s="204"/>
      <c r="APQ1" s="204"/>
      <c r="APR1" s="204"/>
      <c r="APS1" s="204"/>
      <c r="APT1" s="204"/>
      <c r="APU1" s="204"/>
      <c r="APV1" s="204"/>
      <c r="APW1" s="204"/>
      <c r="APX1" s="204"/>
      <c r="APY1" s="204"/>
      <c r="APZ1" s="204"/>
      <c r="AQA1" s="204"/>
      <c r="AQB1" s="204"/>
      <c r="AQC1" s="204"/>
      <c r="AQD1" s="205"/>
      <c r="AQE1" s="204"/>
      <c r="AQF1" s="204"/>
      <c r="AQG1" s="204"/>
      <c r="AQH1" s="204"/>
      <c r="AQI1" s="204"/>
      <c r="AQJ1" s="204"/>
      <c r="AQK1" s="204"/>
      <c r="AQL1" s="204"/>
      <c r="AQM1" s="204"/>
      <c r="AQN1" s="204"/>
      <c r="AQO1" s="204"/>
      <c r="AQP1" s="204"/>
      <c r="AQQ1" s="204"/>
      <c r="AQR1" s="204"/>
      <c r="AQS1" s="204"/>
      <c r="AQT1" s="204"/>
      <c r="AQU1" s="204"/>
      <c r="AQV1" s="204"/>
      <c r="AQW1" s="204"/>
      <c r="AQX1" s="204"/>
      <c r="AQY1" s="204"/>
      <c r="AQZ1" s="204"/>
      <c r="ARA1" s="204"/>
      <c r="ARB1" s="204"/>
      <c r="ARC1" s="204"/>
      <c r="ARD1" s="204"/>
      <c r="ARE1" s="204"/>
      <c r="ARF1" s="205"/>
      <c r="ARG1" s="204"/>
      <c r="ARH1" s="204"/>
      <c r="ARI1" s="204"/>
      <c r="ARJ1" s="204"/>
      <c r="ARK1" s="204"/>
      <c r="ARL1" s="204"/>
      <c r="ARM1" s="204"/>
      <c r="ARN1" s="204"/>
      <c r="ARO1" s="204"/>
      <c r="ARP1" s="204"/>
      <c r="ARQ1" s="204"/>
      <c r="ARR1" s="204"/>
      <c r="ARS1" s="204"/>
      <c r="ART1" s="204"/>
      <c r="ARU1" s="204"/>
      <c r="ARV1" s="204"/>
      <c r="ARW1" s="204"/>
      <c r="ARX1" s="204"/>
      <c r="ARY1" s="204"/>
      <c r="ARZ1" s="204"/>
      <c r="ASA1" s="204"/>
      <c r="ASB1" s="204"/>
      <c r="ASC1" s="204"/>
      <c r="ASD1" s="204"/>
      <c r="ASE1" s="204"/>
      <c r="ASF1" s="204"/>
      <c r="ASG1" s="204"/>
      <c r="ASH1" s="205"/>
      <c r="ASI1" s="204"/>
      <c r="ASJ1" s="204"/>
      <c r="ASK1" s="204"/>
      <c r="ASL1" s="204"/>
      <c r="ASM1" s="204"/>
      <c r="ASN1" s="204"/>
      <c r="ASO1" s="204"/>
      <c r="ASP1" s="204"/>
      <c r="ASQ1" s="204"/>
      <c r="ASR1" s="204"/>
      <c r="ASS1" s="204"/>
      <c r="AST1" s="204"/>
      <c r="ASU1" s="204"/>
      <c r="ASV1" s="204"/>
      <c r="ASW1" s="204"/>
      <c r="ASX1" s="204"/>
      <c r="ASY1" s="204"/>
      <c r="ASZ1" s="204"/>
      <c r="ATA1" s="204"/>
      <c r="ATB1" s="204"/>
      <c r="ATC1" s="204"/>
      <c r="ATD1" s="204"/>
      <c r="ATE1" s="204"/>
      <c r="ATF1" s="204"/>
      <c r="ATG1" s="204"/>
      <c r="ATH1" s="204"/>
      <c r="ATI1" s="204"/>
      <c r="ATJ1" s="205"/>
      <c r="ATK1" s="204"/>
      <c r="ATL1" s="204"/>
      <c r="ATM1" s="204"/>
      <c r="ATN1" s="204"/>
      <c r="ATO1" s="204"/>
      <c r="ATP1" s="204"/>
      <c r="ATQ1" s="204"/>
      <c r="ATR1" s="204"/>
      <c r="ATS1" s="204"/>
      <c r="ATT1" s="204"/>
      <c r="ATU1" s="204"/>
      <c r="ATV1" s="204"/>
      <c r="ATW1" s="204"/>
      <c r="ATX1" s="204"/>
      <c r="ATY1" s="204"/>
      <c r="ATZ1" s="204"/>
      <c r="AUA1" s="204"/>
      <c r="AUB1" s="204"/>
      <c r="AUC1" s="204"/>
      <c r="AUD1" s="204"/>
      <c r="AUE1" s="204"/>
      <c r="AUF1" s="204"/>
      <c r="AUG1" s="204"/>
      <c r="AUH1" s="204"/>
      <c r="AUI1" s="204"/>
      <c r="AUJ1" s="204"/>
      <c r="AUK1" s="204"/>
      <c r="AUL1" s="205"/>
      <c r="AUM1" s="204"/>
      <c r="AUN1" s="204"/>
      <c r="AUO1" s="204"/>
      <c r="AUP1" s="204"/>
      <c r="AUQ1" s="204"/>
      <c r="AUR1" s="204"/>
      <c r="AUS1" s="204"/>
      <c r="AUT1" s="204"/>
      <c r="AUU1" s="204"/>
      <c r="AUV1" s="204"/>
      <c r="AUW1" s="204"/>
      <c r="AUX1" s="204"/>
      <c r="AUY1" s="204"/>
      <c r="AUZ1" s="204"/>
      <c r="AVA1" s="204"/>
      <c r="AVB1" s="204"/>
      <c r="AVC1" s="204"/>
      <c r="AVD1" s="204"/>
      <c r="AVE1" s="204"/>
      <c r="AVF1" s="204"/>
      <c r="AVG1" s="204"/>
      <c r="AVH1" s="204"/>
      <c r="AVI1" s="204"/>
      <c r="AVJ1" s="204"/>
      <c r="AVK1" s="204"/>
      <c r="AVL1" s="204"/>
      <c r="AVM1" s="204"/>
      <c r="AVN1" s="205"/>
      <c r="AVO1" s="204"/>
      <c r="AVP1" s="204"/>
      <c r="AVQ1" s="204"/>
      <c r="AVR1" s="204"/>
      <c r="AVS1" s="204"/>
      <c r="AVT1" s="204"/>
      <c r="AVU1" s="204"/>
      <c r="AVV1" s="204"/>
      <c r="AVW1" s="204"/>
      <c r="AVX1" s="204"/>
      <c r="AVY1" s="204"/>
      <c r="AVZ1" s="204"/>
      <c r="AWA1" s="204"/>
      <c r="AWB1" s="204"/>
      <c r="AWC1" s="204"/>
      <c r="AWD1" s="204"/>
      <c r="AWE1" s="204"/>
      <c r="AWF1" s="204"/>
      <c r="AWG1" s="204"/>
      <c r="AWH1" s="204"/>
      <c r="AWI1" s="204"/>
      <c r="AWJ1" s="204"/>
      <c r="AWK1" s="204"/>
      <c r="AWL1" s="204"/>
      <c r="AWM1" s="204"/>
      <c r="AWN1" s="204"/>
      <c r="AWO1" s="204"/>
      <c r="AWP1" s="205"/>
      <c r="AWQ1" s="204"/>
      <c r="AWR1" s="204"/>
      <c r="AWS1" s="204"/>
      <c r="AWT1" s="204"/>
      <c r="AWU1" s="204"/>
      <c r="AWV1" s="204"/>
      <c r="AWW1" s="204"/>
      <c r="AWX1" s="204"/>
      <c r="AWY1" s="204"/>
      <c r="AWZ1" s="204"/>
      <c r="AXA1" s="204"/>
      <c r="AXB1" s="204"/>
      <c r="AXC1" s="204"/>
      <c r="AXD1" s="204"/>
      <c r="AXE1" s="204"/>
      <c r="AXF1" s="204"/>
      <c r="AXG1" s="204"/>
      <c r="AXH1" s="204"/>
      <c r="AXI1" s="204"/>
      <c r="AXJ1" s="204"/>
      <c r="AXK1" s="204"/>
      <c r="AXL1" s="204"/>
      <c r="AXM1" s="204"/>
      <c r="AXN1" s="204"/>
      <c r="AXO1" s="204"/>
      <c r="AXP1" s="204"/>
      <c r="AXQ1" s="204"/>
      <c r="AXR1" s="205"/>
      <c r="AXS1" s="204"/>
      <c r="AXT1" s="204"/>
      <c r="AXU1" s="204"/>
      <c r="AXV1" s="204"/>
      <c r="AXW1" s="204"/>
      <c r="AXX1" s="204"/>
      <c r="AXY1" s="204"/>
      <c r="AXZ1" s="204"/>
      <c r="AYA1" s="204"/>
      <c r="AYB1" s="204"/>
      <c r="AYC1" s="204"/>
      <c r="AYD1" s="204"/>
      <c r="AYE1" s="204"/>
      <c r="AYF1" s="204"/>
      <c r="AYG1" s="204"/>
      <c r="AYH1" s="204"/>
      <c r="AYI1" s="204"/>
      <c r="AYJ1" s="204"/>
      <c r="AYK1" s="204"/>
      <c r="AYL1" s="204"/>
      <c r="AYM1" s="204"/>
      <c r="AYN1" s="204"/>
      <c r="AYO1" s="204"/>
      <c r="AYP1" s="204"/>
      <c r="AYQ1" s="204"/>
      <c r="AYR1" s="204"/>
      <c r="AYS1" s="204"/>
      <c r="AYT1" s="205"/>
      <c r="AYU1" s="204"/>
      <c r="AYV1" s="204"/>
      <c r="AYW1" s="204"/>
      <c r="AYX1" s="204"/>
      <c r="AYY1" s="204"/>
      <c r="AYZ1" s="204"/>
      <c r="AZA1" s="204"/>
      <c r="AZB1" s="204"/>
      <c r="AZC1" s="204"/>
      <c r="AZD1" s="204"/>
      <c r="AZE1" s="204"/>
      <c r="AZF1" s="204"/>
      <c r="AZG1" s="204"/>
      <c r="AZH1" s="204"/>
      <c r="AZI1" s="204"/>
      <c r="AZJ1" s="204"/>
      <c r="AZK1" s="204"/>
      <c r="AZL1" s="204"/>
      <c r="AZM1" s="204"/>
      <c r="AZN1" s="204"/>
      <c r="AZO1" s="204"/>
      <c r="AZP1" s="204"/>
      <c r="AZQ1" s="204"/>
      <c r="AZR1" s="204"/>
      <c r="AZS1" s="204"/>
      <c r="AZT1" s="204"/>
      <c r="AZU1" s="204"/>
      <c r="AZV1" s="205"/>
      <c r="AZW1" s="204"/>
      <c r="AZX1" s="204"/>
      <c r="AZY1" s="204"/>
      <c r="AZZ1" s="204"/>
      <c r="BAA1" s="204"/>
      <c r="BAB1" s="204"/>
      <c r="BAC1" s="204"/>
      <c r="BAD1" s="204"/>
      <c r="BAE1" s="204"/>
      <c r="BAF1" s="204"/>
      <c r="BAG1" s="204"/>
      <c r="BAH1" s="204"/>
      <c r="BAI1" s="204"/>
      <c r="BAJ1" s="204"/>
      <c r="BAK1" s="204"/>
      <c r="BAL1" s="204"/>
      <c r="BAM1" s="204"/>
      <c r="BAN1" s="204"/>
      <c r="BAO1" s="204"/>
      <c r="BAP1" s="204"/>
      <c r="BAQ1" s="204"/>
      <c r="BAR1" s="204"/>
      <c r="BAS1" s="204"/>
      <c r="BAT1" s="204"/>
      <c r="BAU1" s="204"/>
      <c r="BAV1" s="204"/>
      <c r="BAW1" s="204"/>
      <c r="BAX1" s="205"/>
      <c r="BAY1" s="204"/>
      <c r="BAZ1" s="204"/>
      <c r="BBA1" s="204"/>
      <c r="BBB1" s="204"/>
      <c r="BBC1" s="204"/>
      <c r="BBD1" s="204"/>
      <c r="BBE1" s="204"/>
      <c r="BBF1" s="204"/>
      <c r="BBG1" s="204"/>
      <c r="BBH1" s="204"/>
      <c r="BBI1" s="204"/>
      <c r="BBJ1" s="204"/>
      <c r="BBK1" s="204"/>
      <c r="BBL1" s="204"/>
      <c r="BBM1" s="204"/>
      <c r="BBN1" s="204"/>
      <c r="BBO1" s="204"/>
      <c r="BBP1" s="204"/>
      <c r="BBQ1" s="204"/>
      <c r="BBR1" s="204"/>
      <c r="BBS1" s="204"/>
      <c r="BBT1" s="204"/>
      <c r="BBU1" s="204"/>
      <c r="BBV1" s="204"/>
      <c r="BBW1" s="204"/>
      <c r="BBX1" s="204"/>
      <c r="BBY1" s="204"/>
      <c r="BBZ1" s="205"/>
      <c r="BCA1" s="204"/>
      <c r="BCB1" s="204"/>
      <c r="BCC1" s="204"/>
      <c r="BCD1" s="204"/>
      <c r="BCE1" s="204"/>
      <c r="BCF1" s="204"/>
      <c r="BCG1" s="204"/>
      <c r="BCH1" s="204"/>
      <c r="BCI1" s="204"/>
      <c r="BCJ1" s="204"/>
      <c r="BCK1" s="204"/>
      <c r="BCL1" s="204"/>
      <c r="BCM1" s="204"/>
      <c r="BCN1" s="204"/>
      <c r="BCO1" s="204"/>
      <c r="BCP1" s="204"/>
      <c r="BCQ1" s="204"/>
      <c r="BCR1" s="204"/>
      <c r="BCS1" s="204"/>
      <c r="BCT1" s="204"/>
      <c r="BCU1" s="204"/>
      <c r="BCV1" s="204"/>
      <c r="BCW1" s="204"/>
      <c r="BCX1" s="204"/>
      <c r="BCY1" s="204"/>
      <c r="BCZ1" s="204"/>
      <c r="BDA1" s="204"/>
      <c r="BDB1" s="205"/>
      <c r="BDC1" s="204"/>
      <c r="BDD1" s="204"/>
      <c r="BDE1" s="204"/>
      <c r="BDF1" s="204"/>
      <c r="BDG1" s="204"/>
      <c r="BDH1" s="204"/>
      <c r="BDI1" s="204"/>
      <c r="BDJ1" s="204"/>
      <c r="BDK1" s="204"/>
      <c r="BDL1" s="204"/>
      <c r="BDM1" s="204"/>
      <c r="BDN1" s="204"/>
      <c r="BDO1" s="204"/>
      <c r="BDP1" s="204"/>
      <c r="BDQ1" s="204"/>
      <c r="BDR1" s="204"/>
      <c r="BDS1" s="204"/>
      <c r="BDT1" s="204"/>
      <c r="BDU1" s="204"/>
      <c r="BDV1" s="204"/>
      <c r="BDW1" s="204"/>
      <c r="BDX1" s="204"/>
      <c r="BDY1" s="204"/>
      <c r="BDZ1" s="204"/>
      <c r="BEA1" s="204"/>
      <c r="BEB1" s="204"/>
      <c r="BEC1" s="204"/>
      <c r="BED1" s="205"/>
      <c r="BEE1" s="204"/>
      <c r="BEF1" s="204"/>
      <c r="BEG1" s="204"/>
      <c r="BEH1" s="204"/>
      <c r="BEI1" s="204"/>
      <c r="BEJ1" s="204"/>
      <c r="BEK1" s="204"/>
      <c r="BEL1" s="204"/>
      <c r="BEM1" s="204"/>
      <c r="BEN1" s="204"/>
      <c r="BEO1" s="204"/>
      <c r="BEP1" s="204"/>
      <c r="BEQ1" s="204"/>
      <c r="BER1" s="204"/>
      <c r="BES1" s="204"/>
      <c r="BET1" s="204"/>
      <c r="BEU1" s="204"/>
      <c r="BEV1" s="204"/>
      <c r="BEW1" s="204"/>
      <c r="BEX1" s="204"/>
      <c r="BEY1" s="204"/>
      <c r="BEZ1" s="204"/>
      <c r="BFA1" s="204"/>
      <c r="BFB1" s="204"/>
      <c r="BFC1" s="204"/>
      <c r="BFD1" s="204"/>
      <c r="BFE1" s="204"/>
      <c r="BFF1" s="205"/>
      <c r="BFG1" s="204"/>
      <c r="BFH1" s="204"/>
      <c r="BFI1" s="204"/>
      <c r="BFJ1" s="204"/>
      <c r="BFK1" s="204"/>
      <c r="BFL1" s="204"/>
      <c r="BFM1" s="204"/>
      <c r="BFN1" s="204"/>
      <c r="BFO1" s="204"/>
      <c r="BFP1" s="204"/>
      <c r="BFQ1" s="204"/>
      <c r="BFR1" s="204"/>
      <c r="BFS1" s="204"/>
      <c r="BFT1" s="204"/>
      <c r="BFU1" s="204"/>
      <c r="BFV1" s="204"/>
      <c r="BFW1" s="204"/>
      <c r="BFX1" s="204"/>
      <c r="BFY1" s="204"/>
      <c r="BFZ1" s="204"/>
      <c r="BGA1" s="204"/>
      <c r="BGB1" s="204"/>
      <c r="BGC1" s="204"/>
      <c r="BGD1" s="204"/>
      <c r="BGE1" s="204"/>
      <c r="BGF1" s="204"/>
      <c r="BGG1" s="204"/>
      <c r="BGH1" s="205"/>
      <c r="BGI1" s="204"/>
      <c r="BGJ1" s="204"/>
      <c r="BGK1" s="204"/>
      <c r="BGL1" s="204"/>
      <c r="BGM1" s="204"/>
      <c r="BGN1" s="204"/>
      <c r="BGO1" s="204"/>
      <c r="BGP1" s="204"/>
      <c r="BGQ1" s="204"/>
      <c r="BGR1" s="204"/>
      <c r="BGS1" s="204"/>
      <c r="BGT1" s="204"/>
      <c r="BGU1" s="204"/>
      <c r="BGV1" s="204"/>
      <c r="BGW1" s="204"/>
      <c r="BGX1" s="204"/>
      <c r="BGY1" s="204"/>
      <c r="BGZ1" s="204"/>
      <c r="BHA1" s="204"/>
      <c r="BHB1" s="204"/>
      <c r="BHC1" s="204"/>
      <c r="BHD1" s="204"/>
      <c r="BHE1" s="204"/>
      <c r="BHF1" s="204"/>
      <c r="BHG1" s="204"/>
      <c r="BHH1" s="204"/>
      <c r="BHI1" s="204"/>
      <c r="BHJ1" s="205"/>
      <c r="BHK1" s="204"/>
      <c r="BHL1" s="204"/>
      <c r="BHM1" s="204"/>
      <c r="BHN1" s="204"/>
      <c r="BHO1" s="204"/>
      <c r="BHP1" s="204"/>
      <c r="BHQ1" s="204"/>
      <c r="BHR1" s="204"/>
      <c r="BHS1" s="204"/>
      <c r="BHT1" s="204"/>
      <c r="BHU1" s="204"/>
      <c r="BHV1" s="204"/>
      <c r="BHW1" s="204"/>
      <c r="BHX1" s="204"/>
      <c r="BHY1" s="204"/>
      <c r="BHZ1" s="204"/>
      <c r="BIA1" s="204"/>
      <c r="BIB1" s="204"/>
      <c r="BIC1" s="204"/>
      <c r="BID1" s="204"/>
      <c r="BIE1" s="204"/>
      <c r="BIF1" s="204"/>
      <c r="BIG1" s="204"/>
      <c r="BIH1" s="204"/>
      <c r="BII1" s="204"/>
      <c r="BIJ1" s="204"/>
      <c r="BIK1" s="204"/>
      <c r="BIL1" s="205"/>
      <c r="BIM1" s="204"/>
      <c r="BIN1" s="204"/>
      <c r="BIO1" s="204"/>
      <c r="BIP1" s="204"/>
      <c r="BIQ1" s="204"/>
      <c r="BIR1" s="204"/>
      <c r="BIS1" s="204"/>
      <c r="BIT1" s="204"/>
      <c r="BIU1" s="204"/>
      <c r="BIV1" s="204"/>
      <c r="BIW1" s="204"/>
      <c r="BIX1" s="204"/>
      <c r="BIY1" s="204"/>
      <c r="BIZ1" s="204"/>
      <c r="BJA1" s="204"/>
      <c r="BJB1" s="204"/>
      <c r="BJC1" s="204"/>
      <c r="BJD1" s="204"/>
      <c r="BJE1" s="204"/>
      <c r="BJF1" s="204"/>
      <c r="BJG1" s="204"/>
      <c r="BJH1" s="204"/>
      <c r="BJI1" s="204"/>
      <c r="BJJ1" s="204"/>
      <c r="BJK1" s="204"/>
      <c r="BJL1" s="204"/>
      <c r="BJM1" s="204"/>
      <c r="BJN1" s="205"/>
      <c r="BJO1" s="204"/>
      <c r="BJP1" s="204"/>
      <c r="BJQ1" s="204"/>
      <c r="BJR1" s="204"/>
      <c r="BJS1" s="204"/>
      <c r="BJT1" s="204"/>
      <c r="BJU1" s="204"/>
      <c r="BJV1" s="204"/>
      <c r="BJW1" s="204"/>
      <c r="BJX1" s="204"/>
      <c r="BJY1" s="204"/>
      <c r="BJZ1" s="204"/>
      <c r="BKA1" s="204"/>
      <c r="BKB1" s="204"/>
      <c r="BKC1" s="204"/>
      <c r="BKD1" s="204"/>
      <c r="BKE1" s="204"/>
      <c r="BKF1" s="204"/>
      <c r="BKG1" s="204"/>
      <c r="BKH1" s="204"/>
      <c r="BKI1" s="204"/>
      <c r="BKJ1" s="204"/>
      <c r="BKK1" s="204"/>
      <c r="BKL1" s="204"/>
      <c r="BKM1" s="204"/>
      <c r="BKN1" s="204"/>
      <c r="BKO1" s="204"/>
      <c r="BKP1" s="205"/>
      <c r="BKQ1" s="204"/>
      <c r="BKR1" s="204"/>
      <c r="BKS1" s="204"/>
      <c r="BKT1" s="204"/>
      <c r="BKU1" s="204"/>
      <c r="BKV1" s="204"/>
      <c r="BKW1" s="204"/>
      <c r="BKX1" s="204"/>
      <c r="BKY1" s="204"/>
      <c r="BKZ1" s="204"/>
      <c r="BLA1" s="204"/>
      <c r="BLB1" s="204"/>
      <c r="BLC1" s="204"/>
      <c r="BLD1" s="204"/>
      <c r="BLE1" s="204"/>
      <c r="BLF1" s="204"/>
      <c r="BLG1" s="204"/>
      <c r="BLH1" s="204"/>
      <c r="BLI1" s="204"/>
      <c r="BLJ1" s="204"/>
      <c r="BLK1" s="204"/>
      <c r="BLL1" s="204"/>
      <c r="BLM1" s="204"/>
      <c r="BLN1" s="204"/>
      <c r="BLO1" s="204"/>
      <c r="BLP1" s="204"/>
      <c r="BLQ1" s="204"/>
      <c r="BLR1" s="205"/>
      <c r="BLS1" s="204"/>
      <c r="BLT1" s="204"/>
      <c r="BLU1" s="204"/>
      <c r="BLV1" s="204"/>
      <c r="BLW1" s="204"/>
      <c r="BLX1" s="204"/>
      <c r="BLY1" s="204"/>
      <c r="BLZ1" s="204"/>
      <c r="BMA1" s="204"/>
      <c r="BMB1" s="204"/>
      <c r="BMC1" s="204"/>
      <c r="BMD1" s="204"/>
      <c r="BME1" s="204"/>
      <c r="BMF1" s="204"/>
      <c r="BMG1" s="204"/>
      <c r="BMH1" s="204"/>
      <c r="BMI1" s="204"/>
      <c r="BMJ1" s="204"/>
      <c r="BMK1" s="204"/>
      <c r="BML1" s="204"/>
      <c r="BMM1" s="204"/>
      <c r="BMN1" s="204"/>
      <c r="BMO1" s="204"/>
      <c r="BMP1" s="204"/>
      <c r="BMQ1" s="204"/>
      <c r="BMR1" s="204"/>
      <c r="BMS1" s="204"/>
      <c r="BMT1" s="205"/>
      <c r="BMU1" s="204"/>
      <c r="BMV1" s="204"/>
      <c r="BMW1" s="204"/>
      <c r="BMX1" s="204"/>
      <c r="BMY1" s="204"/>
      <c r="BMZ1" s="204"/>
      <c r="BNA1" s="204"/>
      <c r="BNB1" s="204"/>
      <c r="BNC1" s="204"/>
      <c r="BND1" s="204"/>
      <c r="BNE1" s="204"/>
      <c r="BNF1" s="204"/>
      <c r="BNG1" s="204"/>
      <c r="BNH1" s="204"/>
      <c r="BNI1" s="204"/>
      <c r="BNJ1" s="204"/>
      <c r="BNK1" s="204"/>
      <c r="BNL1" s="204"/>
      <c r="BNM1" s="204"/>
      <c r="BNN1" s="204"/>
      <c r="BNO1" s="204"/>
      <c r="BNP1" s="204"/>
      <c r="BNQ1" s="204"/>
      <c r="BNR1" s="204"/>
      <c r="BNS1" s="204"/>
      <c r="BNT1" s="204"/>
      <c r="BNU1" s="204"/>
      <c r="BNV1" s="205"/>
      <c r="BNW1" s="204"/>
      <c r="BNX1" s="204"/>
      <c r="BNY1" s="204"/>
      <c r="BNZ1" s="204"/>
      <c r="BOA1" s="204"/>
      <c r="BOB1" s="204"/>
      <c r="BOC1" s="204"/>
      <c r="BOD1" s="204"/>
      <c r="BOE1" s="204"/>
      <c r="BOF1" s="204"/>
      <c r="BOG1" s="204"/>
      <c r="BOH1" s="204"/>
      <c r="BOI1" s="204"/>
      <c r="BOJ1" s="204"/>
      <c r="BOK1" s="204"/>
      <c r="BOL1" s="204"/>
      <c r="BOM1" s="204"/>
      <c r="BON1" s="204"/>
      <c r="BOO1" s="204"/>
      <c r="BOP1" s="204"/>
      <c r="BOQ1" s="204"/>
      <c r="BOR1" s="204"/>
      <c r="BOS1" s="204"/>
      <c r="BOT1" s="204"/>
      <c r="BOU1" s="204"/>
      <c r="BOV1" s="204"/>
      <c r="BOW1" s="204"/>
      <c r="BOX1" s="205"/>
      <c r="BOY1" s="204"/>
      <c r="BOZ1" s="204"/>
      <c r="BPA1" s="204"/>
      <c r="BPB1" s="204"/>
      <c r="BPC1" s="204"/>
      <c r="BPD1" s="204"/>
      <c r="BPE1" s="204"/>
      <c r="BPF1" s="204"/>
      <c r="BPG1" s="204"/>
      <c r="BPH1" s="204"/>
      <c r="BPI1" s="204"/>
      <c r="BPJ1" s="204"/>
      <c r="BPK1" s="204"/>
      <c r="BPL1" s="204"/>
      <c r="BPM1" s="204"/>
      <c r="BPN1" s="204"/>
      <c r="BPO1" s="204"/>
      <c r="BPP1" s="204"/>
      <c r="BPQ1" s="204"/>
      <c r="BPR1" s="204"/>
      <c r="BPS1" s="204"/>
      <c r="BPT1" s="204"/>
      <c r="BPU1" s="204"/>
      <c r="BPV1" s="204"/>
      <c r="BPW1" s="204"/>
      <c r="BPX1" s="204"/>
      <c r="BPY1" s="204"/>
      <c r="BPZ1" s="205"/>
      <c r="BQA1" s="204"/>
      <c r="BQB1" s="204"/>
      <c r="BQC1" s="204"/>
      <c r="BQD1" s="204"/>
      <c r="BQE1" s="204"/>
      <c r="BQF1" s="204"/>
      <c r="BQG1" s="204"/>
      <c r="BQH1" s="204"/>
      <c r="BQI1" s="204"/>
      <c r="BQJ1" s="204"/>
      <c r="BQK1" s="204"/>
      <c r="BQL1" s="204"/>
      <c r="BQM1" s="204"/>
      <c r="BQN1" s="204"/>
      <c r="BQO1" s="204"/>
      <c r="BQP1" s="204"/>
      <c r="BQQ1" s="204"/>
      <c r="BQR1" s="204"/>
      <c r="BQS1" s="204"/>
      <c r="BQT1" s="204"/>
      <c r="BQU1" s="204"/>
      <c r="BQV1" s="204"/>
      <c r="BQW1" s="204"/>
      <c r="BQX1" s="204"/>
      <c r="BQY1" s="204"/>
      <c r="BQZ1" s="204"/>
      <c r="BRA1" s="204"/>
      <c r="BRB1" s="205"/>
      <c r="BRC1" s="204"/>
      <c r="BRD1" s="204"/>
      <c r="BRE1" s="204"/>
      <c r="BRF1" s="204"/>
      <c r="BRG1" s="204"/>
      <c r="BRH1" s="204"/>
      <c r="BRI1" s="204"/>
      <c r="BRJ1" s="204"/>
      <c r="BRK1" s="204"/>
      <c r="BRL1" s="204"/>
      <c r="BRM1" s="204"/>
      <c r="BRN1" s="204"/>
      <c r="BRO1" s="204"/>
      <c r="BRP1" s="204"/>
      <c r="BRQ1" s="204"/>
      <c r="BRR1" s="204"/>
      <c r="BRS1" s="204"/>
      <c r="BRT1" s="204"/>
      <c r="BRU1" s="204"/>
      <c r="BRV1" s="204"/>
      <c r="BRW1" s="204"/>
      <c r="BRX1" s="204"/>
      <c r="BRY1" s="204"/>
      <c r="BRZ1" s="204"/>
      <c r="BSA1" s="204"/>
      <c r="BSB1" s="204"/>
      <c r="BSC1" s="204"/>
      <c r="BSD1" s="205"/>
      <c r="BSE1" s="204"/>
      <c r="BSF1" s="204"/>
      <c r="BSG1" s="204"/>
      <c r="BSH1" s="204"/>
      <c r="BSI1" s="204"/>
      <c r="BSJ1" s="204"/>
      <c r="BSK1" s="204"/>
      <c r="BSL1" s="204"/>
      <c r="BSM1" s="204"/>
      <c r="BSN1" s="204"/>
      <c r="BSO1" s="204"/>
      <c r="BSP1" s="204"/>
      <c r="BSQ1" s="204"/>
      <c r="BSR1" s="204"/>
      <c r="BSS1" s="204"/>
      <c r="BST1" s="204"/>
      <c r="BSU1" s="204"/>
      <c r="BSV1" s="204"/>
      <c r="BSW1" s="204"/>
      <c r="BSX1" s="204"/>
      <c r="BSY1" s="204"/>
      <c r="BSZ1" s="204"/>
      <c r="BTA1" s="204"/>
      <c r="BTB1" s="204"/>
      <c r="BTC1" s="204"/>
      <c r="BTD1" s="204"/>
      <c r="BTE1" s="204"/>
      <c r="BTF1" s="205"/>
      <c r="BTG1" s="204"/>
      <c r="BTH1" s="204"/>
      <c r="BTI1" s="204"/>
      <c r="BTJ1" s="204"/>
      <c r="BTK1" s="204"/>
      <c r="BTL1" s="204"/>
      <c r="BTM1" s="204"/>
      <c r="BTN1" s="204"/>
      <c r="BTO1" s="204"/>
      <c r="BTP1" s="204"/>
      <c r="BTQ1" s="204"/>
      <c r="BTR1" s="204"/>
      <c r="BTS1" s="204"/>
      <c r="BTT1" s="204"/>
      <c r="BTU1" s="204"/>
      <c r="BTV1" s="204"/>
      <c r="BTW1" s="204"/>
      <c r="BTX1" s="204"/>
      <c r="BTY1" s="204"/>
      <c r="BTZ1" s="204"/>
      <c r="BUA1" s="204"/>
      <c r="BUB1" s="204"/>
      <c r="BUC1" s="204"/>
      <c r="BUD1" s="204"/>
      <c r="BUE1" s="204"/>
      <c r="BUF1" s="204"/>
      <c r="BUG1" s="204"/>
      <c r="BUH1" s="205"/>
      <c r="BUI1" s="204"/>
      <c r="BUJ1" s="204"/>
      <c r="BUK1" s="204"/>
      <c r="BUL1" s="204"/>
      <c r="BUM1" s="204"/>
      <c r="BUN1" s="204"/>
      <c r="BUO1" s="204"/>
      <c r="BUP1" s="204"/>
      <c r="BUQ1" s="204"/>
      <c r="BUR1" s="204"/>
      <c r="BUS1" s="204"/>
      <c r="BUT1" s="204"/>
      <c r="BUU1" s="204"/>
      <c r="BUV1" s="204"/>
      <c r="BUW1" s="204"/>
      <c r="BUX1" s="204"/>
      <c r="BUY1" s="204"/>
      <c r="BUZ1" s="204"/>
      <c r="BVA1" s="204"/>
      <c r="BVB1" s="204"/>
      <c r="BVC1" s="204"/>
      <c r="BVD1" s="204"/>
      <c r="BVE1" s="204"/>
      <c r="BVF1" s="204"/>
      <c r="BVG1" s="204"/>
      <c r="BVH1" s="204"/>
      <c r="BVI1" s="204"/>
      <c r="BVJ1" s="205"/>
      <c r="BVK1" s="204"/>
      <c r="BVL1" s="204"/>
      <c r="BVM1" s="204"/>
      <c r="BVN1" s="204"/>
      <c r="BVO1" s="204"/>
      <c r="BVP1" s="204"/>
      <c r="BVQ1" s="204"/>
      <c r="BVR1" s="204"/>
      <c r="BVS1" s="204"/>
      <c r="BVT1" s="204"/>
      <c r="BVU1" s="204"/>
      <c r="BVV1" s="204"/>
      <c r="BVW1" s="204"/>
      <c r="BVX1" s="204"/>
      <c r="BVY1" s="204"/>
      <c r="BVZ1" s="204"/>
      <c r="BWA1" s="204"/>
      <c r="BWB1" s="204"/>
      <c r="BWC1" s="204"/>
      <c r="BWD1" s="204"/>
      <c r="BWE1" s="204"/>
      <c r="BWF1" s="204"/>
      <c r="BWG1" s="204"/>
      <c r="BWH1" s="204"/>
      <c r="BWI1" s="204"/>
      <c r="BWJ1" s="204"/>
      <c r="BWK1" s="204"/>
      <c r="BWL1" s="205"/>
      <c r="BWM1" s="204"/>
      <c r="BWN1" s="204"/>
      <c r="BWO1" s="204"/>
      <c r="BWP1" s="204"/>
      <c r="BWQ1" s="204"/>
      <c r="BWR1" s="204"/>
      <c r="BWS1" s="204"/>
      <c r="BWT1" s="204"/>
      <c r="BWU1" s="204"/>
      <c r="BWV1" s="204"/>
      <c r="BWW1" s="204"/>
      <c r="BWX1" s="204"/>
      <c r="BWY1" s="204"/>
      <c r="BWZ1" s="204"/>
      <c r="BXA1" s="204"/>
      <c r="BXB1" s="204"/>
      <c r="BXC1" s="204"/>
      <c r="BXD1" s="204"/>
      <c r="BXE1" s="204"/>
      <c r="BXF1" s="204"/>
      <c r="BXG1" s="204"/>
      <c r="BXH1" s="204"/>
      <c r="BXI1" s="204"/>
      <c r="BXJ1" s="204"/>
      <c r="BXK1" s="204"/>
      <c r="BXL1" s="204"/>
      <c r="BXM1" s="204"/>
      <c r="BXN1" s="205"/>
      <c r="BXO1" s="204"/>
      <c r="BXP1" s="204"/>
      <c r="BXQ1" s="204"/>
      <c r="BXR1" s="204"/>
      <c r="BXS1" s="204"/>
      <c r="BXT1" s="204"/>
      <c r="BXU1" s="204"/>
      <c r="BXV1" s="204"/>
      <c r="BXW1" s="204"/>
      <c r="BXX1" s="204"/>
      <c r="BXY1" s="204"/>
      <c r="BXZ1" s="204"/>
      <c r="BYA1" s="204"/>
      <c r="BYB1" s="204"/>
      <c r="BYC1" s="204"/>
      <c r="BYD1" s="204"/>
      <c r="BYE1" s="204"/>
      <c r="BYF1" s="204"/>
      <c r="BYG1" s="204"/>
      <c r="BYH1" s="204"/>
      <c r="BYI1" s="204"/>
      <c r="BYJ1" s="204"/>
      <c r="BYK1" s="204"/>
      <c r="BYL1" s="204"/>
      <c r="BYM1" s="204"/>
      <c r="BYN1" s="204"/>
      <c r="BYO1" s="204"/>
      <c r="BYP1" s="205"/>
      <c r="BYQ1" s="204"/>
      <c r="BYR1" s="204"/>
      <c r="BYS1" s="204"/>
      <c r="BYT1" s="204"/>
      <c r="BYU1" s="204"/>
      <c r="BYV1" s="204"/>
      <c r="BYW1" s="204"/>
      <c r="BYX1" s="204"/>
      <c r="BYY1" s="204"/>
      <c r="BYZ1" s="204"/>
      <c r="BZA1" s="204"/>
      <c r="BZB1" s="204"/>
      <c r="BZC1" s="204"/>
      <c r="BZD1" s="204"/>
      <c r="BZE1" s="204"/>
      <c r="BZF1" s="204"/>
      <c r="BZG1" s="204"/>
      <c r="BZH1" s="204"/>
      <c r="BZI1" s="204"/>
      <c r="BZJ1" s="204"/>
      <c r="BZK1" s="204"/>
      <c r="BZL1" s="204"/>
      <c r="BZM1" s="204"/>
      <c r="BZN1" s="204"/>
      <c r="BZO1" s="204"/>
      <c r="BZP1" s="204"/>
      <c r="BZQ1" s="204"/>
      <c r="BZR1" s="205"/>
      <c r="BZS1" s="204"/>
      <c r="BZT1" s="204"/>
      <c r="BZU1" s="204"/>
      <c r="BZV1" s="204"/>
      <c r="BZW1" s="204"/>
      <c r="BZX1" s="204"/>
      <c r="BZY1" s="204"/>
      <c r="BZZ1" s="204"/>
      <c r="CAA1" s="204"/>
      <c r="CAB1" s="204"/>
      <c r="CAC1" s="204"/>
      <c r="CAD1" s="204"/>
      <c r="CAE1" s="204"/>
      <c r="CAF1" s="204"/>
      <c r="CAG1" s="204"/>
      <c r="CAH1" s="204"/>
      <c r="CAI1" s="204"/>
      <c r="CAJ1" s="204"/>
      <c r="CAK1" s="204"/>
      <c r="CAL1" s="204"/>
      <c r="CAM1" s="204"/>
      <c r="CAN1" s="204"/>
      <c r="CAO1" s="204"/>
      <c r="CAP1" s="204"/>
      <c r="CAQ1" s="204"/>
      <c r="CAR1" s="204"/>
      <c r="CAS1" s="204"/>
      <c r="CAT1" s="205"/>
      <c r="CAU1" s="204"/>
      <c r="CAV1" s="204"/>
      <c r="CAW1" s="204"/>
      <c r="CAX1" s="204"/>
      <c r="CAY1" s="204"/>
      <c r="CAZ1" s="204"/>
      <c r="CBA1" s="204"/>
      <c r="CBB1" s="204"/>
      <c r="CBC1" s="204"/>
      <c r="CBD1" s="204"/>
      <c r="CBE1" s="204"/>
      <c r="CBF1" s="204"/>
      <c r="CBG1" s="204"/>
      <c r="CBH1" s="204"/>
      <c r="CBI1" s="204"/>
      <c r="CBJ1" s="204"/>
      <c r="CBK1" s="204"/>
      <c r="CBL1" s="204"/>
      <c r="CBM1" s="204"/>
      <c r="CBN1" s="204"/>
      <c r="CBO1" s="204"/>
      <c r="CBP1" s="204"/>
      <c r="CBQ1" s="204"/>
      <c r="CBR1" s="204"/>
      <c r="CBS1" s="204"/>
      <c r="CBT1" s="204"/>
      <c r="CBU1" s="204"/>
      <c r="CBV1" s="205"/>
      <c r="CBW1" s="204"/>
      <c r="CBX1" s="204"/>
      <c r="CBY1" s="204"/>
      <c r="CBZ1" s="204"/>
      <c r="CCA1" s="204"/>
      <c r="CCB1" s="204"/>
      <c r="CCC1" s="204"/>
      <c r="CCD1" s="204"/>
      <c r="CCE1" s="204"/>
      <c r="CCF1" s="204"/>
      <c r="CCG1" s="204"/>
      <c r="CCH1" s="204"/>
      <c r="CCI1" s="204"/>
      <c r="CCJ1" s="204"/>
      <c r="CCK1" s="204"/>
      <c r="CCL1" s="204"/>
      <c r="CCM1" s="204"/>
      <c r="CCN1" s="204"/>
      <c r="CCO1" s="204"/>
      <c r="CCP1" s="204"/>
      <c r="CCQ1" s="204"/>
      <c r="CCR1" s="204"/>
      <c r="CCS1" s="204"/>
      <c r="CCT1" s="204"/>
      <c r="CCU1" s="204"/>
      <c r="CCV1" s="204"/>
      <c r="CCW1" s="204"/>
      <c r="CCX1" s="205"/>
      <c r="CCY1" s="204"/>
      <c r="CCZ1" s="204"/>
      <c r="CDA1" s="204"/>
      <c r="CDB1" s="204"/>
      <c r="CDC1" s="204"/>
      <c r="CDD1" s="204"/>
      <c r="CDE1" s="204"/>
      <c r="CDF1" s="204"/>
      <c r="CDG1" s="204"/>
      <c r="CDH1" s="204"/>
      <c r="CDI1" s="204"/>
      <c r="CDJ1" s="204"/>
      <c r="CDK1" s="204"/>
      <c r="CDL1" s="204"/>
      <c r="CDM1" s="204"/>
      <c r="CDN1" s="204"/>
      <c r="CDO1" s="204"/>
      <c r="CDP1" s="204"/>
      <c r="CDQ1" s="204"/>
      <c r="CDR1" s="204"/>
      <c r="CDS1" s="204"/>
      <c r="CDT1" s="204"/>
      <c r="CDU1" s="204"/>
      <c r="CDV1" s="204"/>
      <c r="CDW1" s="204"/>
      <c r="CDX1" s="204"/>
      <c r="CDY1" s="204"/>
      <c r="CDZ1" s="205"/>
      <c r="CEA1" s="204"/>
      <c r="CEB1" s="204"/>
      <c r="CEC1" s="204"/>
      <c r="CED1" s="204"/>
      <c r="CEE1" s="204"/>
      <c r="CEF1" s="204"/>
      <c r="CEG1" s="204"/>
      <c r="CEH1" s="204"/>
      <c r="CEI1" s="204"/>
      <c r="CEJ1" s="204"/>
      <c r="CEK1" s="204"/>
      <c r="CEL1" s="204"/>
      <c r="CEM1" s="204"/>
      <c r="CEN1" s="204"/>
      <c r="CEO1" s="204"/>
      <c r="CEP1" s="204"/>
      <c r="CEQ1" s="204"/>
      <c r="CER1" s="204"/>
      <c r="CES1" s="204"/>
      <c r="CET1" s="204"/>
      <c r="CEU1" s="204"/>
      <c r="CEV1" s="204"/>
      <c r="CEW1" s="204"/>
      <c r="CEX1" s="204"/>
      <c r="CEY1" s="204"/>
      <c r="CEZ1" s="204"/>
      <c r="CFA1" s="204"/>
      <c r="CFB1" s="205"/>
      <c r="CFC1" s="204"/>
      <c r="CFD1" s="204"/>
      <c r="CFE1" s="204"/>
      <c r="CFF1" s="204"/>
      <c r="CFG1" s="204"/>
      <c r="CFH1" s="204"/>
      <c r="CFI1" s="204"/>
      <c r="CFJ1" s="204"/>
      <c r="CFK1" s="204"/>
      <c r="CFL1" s="204"/>
      <c r="CFM1" s="204"/>
      <c r="CFN1" s="204"/>
      <c r="CFO1" s="204"/>
      <c r="CFP1" s="204"/>
      <c r="CFQ1" s="204"/>
      <c r="CFR1" s="204"/>
      <c r="CFS1" s="204"/>
      <c r="CFT1" s="204"/>
      <c r="CFU1" s="204"/>
      <c r="CFV1" s="204"/>
      <c r="CFW1" s="204"/>
      <c r="CFX1" s="204"/>
      <c r="CFY1" s="204"/>
      <c r="CFZ1" s="204"/>
      <c r="CGA1" s="204"/>
      <c r="CGB1" s="204"/>
      <c r="CGC1" s="204"/>
      <c r="CGD1" s="205"/>
      <c r="CGE1" s="204"/>
      <c r="CGF1" s="204"/>
      <c r="CGG1" s="204"/>
      <c r="CGH1" s="204"/>
      <c r="CGI1" s="204"/>
      <c r="CGJ1" s="204"/>
      <c r="CGK1" s="204"/>
      <c r="CGL1" s="204"/>
      <c r="CGM1" s="204"/>
      <c r="CGN1" s="204"/>
      <c r="CGO1" s="204"/>
      <c r="CGP1" s="204"/>
      <c r="CGQ1" s="204"/>
      <c r="CGR1" s="204"/>
      <c r="CGS1" s="204"/>
      <c r="CGT1" s="204"/>
      <c r="CGU1" s="204"/>
      <c r="CGV1" s="204"/>
      <c r="CGW1" s="204"/>
      <c r="CGX1" s="204"/>
      <c r="CGY1" s="204"/>
      <c r="CGZ1" s="204"/>
      <c r="CHA1" s="204"/>
      <c r="CHB1" s="204"/>
      <c r="CHC1" s="204"/>
      <c r="CHD1" s="204"/>
      <c r="CHE1" s="204"/>
      <c r="CHF1" s="205"/>
      <c r="CHG1" s="204"/>
      <c r="CHH1" s="204"/>
      <c r="CHI1" s="204"/>
      <c r="CHJ1" s="204"/>
      <c r="CHK1" s="204"/>
      <c r="CHL1" s="204"/>
      <c r="CHM1" s="204"/>
      <c r="CHN1" s="204"/>
      <c r="CHO1" s="204"/>
      <c r="CHP1" s="204"/>
      <c r="CHQ1" s="204"/>
      <c r="CHR1" s="204"/>
      <c r="CHS1" s="204"/>
      <c r="CHT1" s="204"/>
      <c r="CHU1" s="204"/>
      <c r="CHV1" s="204"/>
      <c r="CHW1" s="204"/>
      <c r="CHX1" s="204"/>
      <c r="CHY1" s="204"/>
      <c r="CHZ1" s="204"/>
      <c r="CIA1" s="204"/>
      <c r="CIB1" s="204"/>
      <c r="CIC1" s="204"/>
      <c r="CID1" s="204"/>
      <c r="CIE1" s="204"/>
      <c r="CIF1" s="204"/>
      <c r="CIG1" s="204"/>
      <c r="CIH1" s="205"/>
      <c r="CII1" s="204"/>
      <c r="CIJ1" s="204"/>
      <c r="CIK1" s="204"/>
      <c r="CIL1" s="204"/>
      <c r="CIM1" s="204"/>
      <c r="CIN1" s="204"/>
      <c r="CIO1" s="204"/>
      <c r="CIP1" s="204"/>
      <c r="CIQ1" s="204"/>
      <c r="CIR1" s="204"/>
      <c r="CIS1" s="204"/>
      <c r="CIT1" s="204"/>
      <c r="CIU1" s="204"/>
      <c r="CIV1" s="204"/>
      <c r="CIW1" s="204"/>
      <c r="CIX1" s="204"/>
      <c r="CIY1" s="204"/>
      <c r="CIZ1" s="204"/>
      <c r="CJA1" s="204"/>
      <c r="CJB1" s="204"/>
      <c r="CJC1" s="204"/>
      <c r="CJD1" s="204"/>
      <c r="CJE1" s="204"/>
      <c r="CJF1" s="204"/>
      <c r="CJG1" s="204"/>
      <c r="CJH1" s="204"/>
      <c r="CJI1" s="204"/>
      <c r="CJJ1" s="205"/>
      <c r="CJK1" s="204"/>
      <c r="CJL1" s="204"/>
      <c r="CJM1" s="204"/>
      <c r="CJN1" s="204"/>
      <c r="CJO1" s="204"/>
      <c r="CJP1" s="204"/>
      <c r="CJQ1" s="204"/>
      <c r="CJR1" s="204"/>
      <c r="CJS1" s="204"/>
      <c r="CJT1" s="204"/>
      <c r="CJU1" s="204"/>
      <c r="CJV1" s="204"/>
      <c r="CJW1" s="204"/>
      <c r="CJX1" s="204"/>
      <c r="CJY1" s="204"/>
      <c r="CJZ1" s="204"/>
      <c r="CKA1" s="204"/>
      <c r="CKB1" s="204"/>
      <c r="CKC1" s="204"/>
      <c r="CKD1" s="204"/>
      <c r="CKE1" s="204"/>
      <c r="CKF1" s="204"/>
      <c r="CKG1" s="204"/>
      <c r="CKH1" s="204"/>
      <c r="CKI1" s="204"/>
      <c r="CKJ1" s="204"/>
      <c r="CKK1" s="204"/>
      <c r="CKL1" s="205"/>
      <c r="CKM1" s="204"/>
      <c r="CKN1" s="204"/>
      <c r="CKO1" s="204"/>
      <c r="CKP1" s="204"/>
      <c r="CKQ1" s="204"/>
      <c r="CKR1" s="204"/>
      <c r="CKS1" s="204"/>
      <c r="CKT1" s="204"/>
      <c r="CKU1" s="204"/>
      <c r="CKV1" s="204"/>
      <c r="CKW1" s="204"/>
      <c r="CKX1" s="204"/>
      <c r="CKY1" s="204"/>
      <c r="CKZ1" s="204"/>
      <c r="CLA1" s="204"/>
      <c r="CLB1" s="204"/>
      <c r="CLC1" s="204"/>
      <c r="CLD1" s="204"/>
      <c r="CLE1" s="204"/>
      <c r="CLF1" s="204"/>
      <c r="CLG1" s="204"/>
      <c r="CLH1" s="204"/>
      <c r="CLI1" s="204"/>
      <c r="CLJ1" s="204"/>
      <c r="CLK1" s="204"/>
      <c r="CLL1" s="204"/>
      <c r="CLM1" s="204"/>
      <c r="CLN1" s="205"/>
      <c r="CLO1" s="204"/>
      <c r="CLP1" s="204"/>
      <c r="CLQ1" s="204"/>
      <c r="CLR1" s="204"/>
      <c r="CLS1" s="204"/>
      <c r="CLT1" s="204"/>
      <c r="CLU1" s="204"/>
      <c r="CLV1" s="204"/>
      <c r="CLW1" s="204"/>
      <c r="CLX1" s="204"/>
      <c r="CLY1" s="204"/>
      <c r="CLZ1" s="204"/>
      <c r="CMA1" s="204"/>
      <c r="CMB1" s="204"/>
      <c r="CMC1" s="204"/>
      <c r="CMD1" s="204"/>
      <c r="CME1" s="204"/>
      <c r="CMF1" s="204"/>
      <c r="CMG1" s="204"/>
      <c r="CMH1" s="204"/>
      <c r="CMI1" s="204"/>
      <c r="CMJ1" s="204"/>
      <c r="CMK1" s="204"/>
      <c r="CML1" s="204"/>
      <c r="CMM1" s="204"/>
      <c r="CMN1" s="204"/>
      <c r="CMO1" s="204"/>
      <c r="CMP1" s="205"/>
      <c r="CMQ1" s="204"/>
      <c r="CMR1" s="204"/>
      <c r="CMS1" s="204"/>
      <c r="CMT1" s="204"/>
      <c r="CMU1" s="204"/>
      <c r="CMV1" s="204"/>
      <c r="CMW1" s="204"/>
      <c r="CMX1" s="204"/>
      <c r="CMY1" s="204"/>
      <c r="CMZ1" s="204"/>
      <c r="CNA1" s="204"/>
      <c r="CNB1" s="204"/>
      <c r="CNC1" s="204"/>
      <c r="CND1" s="204"/>
      <c r="CNE1" s="204"/>
      <c r="CNF1" s="204"/>
      <c r="CNG1" s="204"/>
      <c r="CNH1" s="204"/>
      <c r="CNI1" s="204"/>
      <c r="CNJ1" s="204"/>
      <c r="CNK1" s="204"/>
      <c r="CNL1" s="204"/>
      <c r="CNM1" s="204"/>
      <c r="CNN1" s="204"/>
      <c r="CNO1" s="204"/>
      <c r="CNP1" s="204"/>
      <c r="CNQ1" s="204"/>
      <c r="CNR1" s="205"/>
      <c r="CNS1" s="204"/>
      <c r="CNT1" s="204"/>
      <c r="CNU1" s="204"/>
      <c r="CNV1" s="204"/>
      <c r="CNW1" s="204"/>
      <c r="CNX1" s="204"/>
      <c r="CNY1" s="204"/>
      <c r="CNZ1" s="204"/>
      <c r="COA1" s="204"/>
      <c r="COB1" s="204"/>
      <c r="COC1" s="204"/>
      <c r="COD1" s="204"/>
      <c r="COE1" s="204"/>
      <c r="COF1" s="204"/>
      <c r="COG1" s="204"/>
      <c r="COH1" s="204"/>
      <c r="COI1" s="204"/>
      <c r="COJ1" s="204"/>
      <c r="COK1" s="204"/>
      <c r="COL1" s="204"/>
      <c r="COM1" s="204"/>
      <c r="CON1" s="204"/>
      <c r="COO1" s="204"/>
      <c r="COP1" s="204"/>
      <c r="COQ1" s="204"/>
      <c r="COR1" s="204"/>
      <c r="COS1" s="204"/>
      <c r="COT1" s="205"/>
      <c r="COU1" s="204"/>
      <c r="COV1" s="204"/>
      <c r="COW1" s="204"/>
      <c r="COX1" s="204"/>
      <c r="COY1" s="204"/>
      <c r="COZ1" s="204"/>
      <c r="CPA1" s="204"/>
      <c r="CPB1" s="204"/>
      <c r="CPC1" s="204"/>
      <c r="CPD1" s="204"/>
      <c r="CPE1" s="204"/>
      <c r="CPF1" s="204"/>
      <c r="CPG1" s="204"/>
      <c r="CPH1" s="204"/>
      <c r="CPI1" s="204"/>
      <c r="CPJ1" s="204"/>
      <c r="CPK1" s="204"/>
      <c r="CPL1" s="204"/>
      <c r="CPM1" s="204"/>
      <c r="CPN1" s="204"/>
      <c r="CPO1" s="204"/>
      <c r="CPP1" s="204"/>
      <c r="CPQ1" s="204"/>
      <c r="CPR1" s="204"/>
      <c r="CPS1" s="204"/>
      <c r="CPT1" s="204"/>
      <c r="CPU1" s="204"/>
      <c r="CPV1" s="205"/>
      <c r="CPW1" s="204"/>
      <c r="CPX1" s="204"/>
      <c r="CPY1" s="204"/>
      <c r="CPZ1" s="204"/>
      <c r="CQA1" s="204"/>
      <c r="CQB1" s="204"/>
      <c r="CQC1" s="204"/>
      <c r="CQD1" s="204"/>
      <c r="CQE1" s="204"/>
      <c r="CQF1" s="204"/>
      <c r="CQG1" s="204"/>
      <c r="CQH1" s="204"/>
      <c r="CQI1" s="204"/>
      <c r="CQJ1" s="204"/>
      <c r="CQK1" s="204"/>
      <c r="CQL1" s="204"/>
      <c r="CQM1" s="204"/>
      <c r="CQN1" s="204"/>
      <c r="CQO1" s="204"/>
      <c r="CQP1" s="204"/>
      <c r="CQQ1" s="204"/>
      <c r="CQR1" s="204"/>
      <c r="CQS1" s="204"/>
      <c r="CQT1" s="204"/>
      <c r="CQU1" s="204"/>
      <c r="CQV1" s="204"/>
      <c r="CQW1" s="204"/>
      <c r="CQX1" s="205"/>
      <c r="CQY1" s="204"/>
      <c r="CQZ1" s="204"/>
      <c r="CRA1" s="204"/>
      <c r="CRB1" s="204"/>
      <c r="CRC1" s="204"/>
      <c r="CRD1" s="204"/>
      <c r="CRE1" s="204"/>
      <c r="CRF1" s="204"/>
      <c r="CRG1" s="204"/>
      <c r="CRH1" s="204"/>
      <c r="CRI1" s="204"/>
      <c r="CRJ1" s="204"/>
      <c r="CRK1" s="204"/>
      <c r="CRL1" s="204"/>
      <c r="CRM1" s="204"/>
      <c r="CRN1" s="204"/>
      <c r="CRO1" s="204"/>
      <c r="CRP1" s="204"/>
      <c r="CRQ1" s="204"/>
      <c r="CRR1" s="204"/>
      <c r="CRS1" s="204"/>
      <c r="CRT1" s="204"/>
      <c r="CRU1" s="204"/>
      <c r="CRV1" s="204"/>
      <c r="CRW1" s="204"/>
      <c r="CRX1" s="204"/>
      <c r="CRY1" s="204"/>
      <c r="CRZ1" s="205"/>
      <c r="CSA1" s="204"/>
      <c r="CSB1" s="204"/>
      <c r="CSC1" s="204"/>
      <c r="CSD1" s="204"/>
      <c r="CSE1" s="204"/>
      <c r="CSF1" s="204"/>
      <c r="CSG1" s="204"/>
      <c r="CSH1" s="204"/>
      <c r="CSI1" s="204"/>
      <c r="CSJ1" s="204"/>
      <c r="CSK1" s="204"/>
      <c r="CSL1" s="204"/>
      <c r="CSM1" s="204"/>
      <c r="CSN1" s="204"/>
      <c r="CSO1" s="204"/>
      <c r="CSP1" s="204"/>
      <c r="CSQ1" s="204"/>
      <c r="CSR1" s="204"/>
      <c r="CSS1" s="204"/>
      <c r="CST1" s="204"/>
      <c r="CSU1" s="204"/>
      <c r="CSV1" s="204"/>
      <c r="CSW1" s="204"/>
      <c r="CSX1" s="204"/>
      <c r="CSY1" s="204"/>
      <c r="CSZ1" s="204"/>
      <c r="CTA1" s="204"/>
      <c r="CTB1" s="205"/>
      <c r="CTC1" s="204"/>
      <c r="CTD1" s="204"/>
      <c r="CTE1" s="204"/>
      <c r="CTF1" s="204"/>
      <c r="CTG1" s="204"/>
      <c r="CTH1" s="204"/>
      <c r="CTI1" s="204"/>
      <c r="CTJ1" s="204"/>
      <c r="CTK1" s="204"/>
      <c r="CTL1" s="204"/>
      <c r="CTM1" s="204"/>
      <c r="CTN1" s="204"/>
      <c r="CTO1" s="204"/>
      <c r="CTP1" s="204"/>
      <c r="CTQ1" s="204"/>
      <c r="CTR1" s="204"/>
      <c r="CTS1" s="204"/>
      <c r="CTT1" s="204"/>
      <c r="CTU1" s="204"/>
      <c r="CTV1" s="204"/>
      <c r="CTW1" s="204"/>
      <c r="CTX1" s="204"/>
      <c r="CTY1" s="204"/>
      <c r="CTZ1" s="204"/>
      <c r="CUA1" s="204"/>
      <c r="CUB1" s="204"/>
      <c r="CUC1" s="204"/>
      <c r="CUD1" s="205"/>
      <c r="CUE1" s="204"/>
      <c r="CUF1" s="204"/>
      <c r="CUG1" s="204"/>
      <c r="CUH1" s="204"/>
      <c r="CUI1" s="204"/>
      <c r="CUJ1" s="204"/>
      <c r="CUK1" s="204"/>
      <c r="CUL1" s="204"/>
      <c r="CUM1" s="204"/>
      <c r="CUN1" s="204"/>
      <c r="CUO1" s="204"/>
      <c r="CUP1" s="204"/>
      <c r="CUQ1" s="204"/>
      <c r="CUR1" s="204"/>
      <c r="CUS1" s="204"/>
      <c r="CUT1" s="204"/>
      <c r="CUU1" s="204"/>
      <c r="CUV1" s="204"/>
      <c r="CUW1" s="204"/>
      <c r="CUX1" s="204"/>
      <c r="CUY1" s="204"/>
      <c r="CUZ1" s="204"/>
      <c r="CVA1" s="204"/>
      <c r="CVB1" s="204"/>
      <c r="CVC1" s="204"/>
      <c r="CVD1" s="204"/>
      <c r="CVE1" s="204"/>
      <c r="CVF1" s="205"/>
      <c r="CVG1" s="204"/>
      <c r="CVH1" s="204"/>
      <c r="CVI1" s="204"/>
      <c r="CVJ1" s="204"/>
      <c r="CVK1" s="204"/>
      <c r="CVL1" s="204"/>
      <c r="CVM1" s="204"/>
      <c r="CVN1" s="204"/>
      <c r="CVO1" s="204"/>
      <c r="CVP1" s="204"/>
      <c r="CVQ1" s="204"/>
      <c r="CVR1" s="204"/>
      <c r="CVS1" s="204"/>
      <c r="CVT1" s="204"/>
      <c r="CVU1" s="204"/>
      <c r="CVV1" s="204"/>
      <c r="CVW1" s="204"/>
      <c r="CVX1" s="204"/>
      <c r="CVY1" s="204"/>
      <c r="CVZ1" s="204"/>
      <c r="CWA1" s="204"/>
      <c r="CWB1" s="204"/>
      <c r="CWC1" s="204"/>
      <c r="CWD1" s="204"/>
      <c r="CWE1" s="204"/>
      <c r="CWF1" s="204"/>
      <c r="CWG1" s="204"/>
      <c r="CWH1" s="205"/>
      <c r="CWI1" s="204"/>
      <c r="CWJ1" s="204"/>
      <c r="CWK1" s="204"/>
      <c r="CWL1" s="204"/>
      <c r="CWM1" s="204"/>
      <c r="CWN1" s="204"/>
      <c r="CWO1" s="204"/>
      <c r="CWP1" s="204"/>
      <c r="CWQ1" s="204"/>
      <c r="CWR1" s="204"/>
      <c r="CWS1" s="204"/>
      <c r="CWT1" s="204"/>
      <c r="CWU1" s="204"/>
      <c r="CWV1" s="204"/>
      <c r="CWW1" s="204"/>
      <c r="CWX1" s="204"/>
      <c r="CWY1" s="204"/>
      <c r="CWZ1" s="204"/>
      <c r="CXA1" s="204"/>
      <c r="CXB1" s="204"/>
      <c r="CXC1" s="204"/>
      <c r="CXD1" s="204"/>
      <c r="CXE1" s="204"/>
      <c r="CXF1" s="204"/>
      <c r="CXG1" s="204"/>
      <c r="CXH1" s="204"/>
      <c r="CXI1" s="204"/>
      <c r="CXJ1" s="205"/>
      <c r="CXK1" s="204"/>
      <c r="CXL1" s="204"/>
      <c r="CXM1" s="204"/>
      <c r="CXN1" s="204"/>
      <c r="CXO1" s="204"/>
      <c r="CXP1" s="204"/>
      <c r="CXQ1" s="204"/>
      <c r="CXR1" s="204"/>
      <c r="CXS1" s="204"/>
      <c r="CXT1" s="204"/>
      <c r="CXU1" s="204"/>
      <c r="CXV1" s="204"/>
      <c r="CXW1" s="204"/>
      <c r="CXX1" s="204"/>
      <c r="CXY1" s="204"/>
      <c r="CXZ1" s="204"/>
      <c r="CYA1" s="204"/>
      <c r="CYB1" s="204"/>
      <c r="CYC1" s="204"/>
      <c r="CYD1" s="204"/>
      <c r="CYE1" s="204"/>
      <c r="CYF1" s="204"/>
      <c r="CYG1" s="204"/>
      <c r="CYH1" s="204"/>
      <c r="CYI1" s="204"/>
      <c r="CYJ1" s="204"/>
      <c r="CYK1" s="204"/>
      <c r="CYL1" s="205"/>
      <c r="CYM1" s="204"/>
      <c r="CYN1" s="204"/>
      <c r="CYO1" s="204"/>
      <c r="CYP1" s="204"/>
      <c r="CYQ1" s="204"/>
      <c r="CYR1" s="204"/>
      <c r="CYS1" s="204"/>
      <c r="CYT1" s="204"/>
      <c r="CYU1" s="204"/>
      <c r="CYV1" s="204"/>
      <c r="CYW1" s="204"/>
      <c r="CYX1" s="204"/>
      <c r="CYY1" s="204"/>
      <c r="CYZ1" s="204"/>
      <c r="CZA1" s="204"/>
      <c r="CZB1" s="204"/>
      <c r="CZC1" s="204"/>
      <c r="CZD1" s="204"/>
      <c r="CZE1" s="204"/>
      <c r="CZF1" s="204"/>
      <c r="CZG1" s="204"/>
      <c r="CZH1" s="204"/>
      <c r="CZI1" s="204"/>
      <c r="CZJ1" s="204"/>
      <c r="CZK1" s="204"/>
      <c r="CZL1" s="204"/>
      <c r="CZM1" s="204"/>
      <c r="CZN1" s="205"/>
      <c r="CZO1" s="204"/>
      <c r="CZP1" s="204"/>
      <c r="CZQ1" s="204"/>
      <c r="CZR1" s="204"/>
      <c r="CZS1" s="204"/>
      <c r="CZT1" s="204"/>
      <c r="CZU1" s="204"/>
      <c r="CZV1" s="204"/>
      <c r="CZW1" s="204"/>
      <c r="CZX1" s="204"/>
      <c r="CZY1" s="204"/>
      <c r="CZZ1" s="204"/>
      <c r="DAA1" s="204"/>
      <c r="DAB1" s="204"/>
      <c r="DAC1" s="204"/>
      <c r="DAD1" s="204"/>
      <c r="DAE1" s="204"/>
      <c r="DAF1" s="204"/>
      <c r="DAG1" s="204"/>
      <c r="DAH1" s="204"/>
      <c r="DAI1" s="204"/>
      <c r="DAJ1" s="204"/>
      <c r="DAK1" s="204"/>
      <c r="DAL1" s="204"/>
      <c r="DAM1" s="204"/>
      <c r="DAN1" s="204"/>
      <c r="DAO1" s="204"/>
      <c r="DAP1" s="205"/>
      <c r="DAQ1" s="204"/>
      <c r="DAR1" s="204"/>
      <c r="DAS1" s="204"/>
      <c r="DAT1" s="204"/>
      <c r="DAU1" s="204"/>
      <c r="DAV1" s="204"/>
      <c r="DAW1" s="204"/>
      <c r="DAX1" s="204"/>
      <c r="DAY1" s="204"/>
      <c r="DAZ1" s="204"/>
      <c r="DBA1" s="204"/>
      <c r="DBB1" s="204"/>
      <c r="DBC1" s="204"/>
      <c r="DBD1" s="204"/>
      <c r="DBE1" s="204"/>
      <c r="DBF1" s="204"/>
      <c r="DBG1" s="204"/>
      <c r="DBH1" s="204"/>
      <c r="DBI1" s="204"/>
      <c r="DBJ1" s="204"/>
      <c r="DBK1" s="204"/>
      <c r="DBL1" s="204"/>
      <c r="DBM1" s="204"/>
      <c r="DBN1" s="204"/>
      <c r="DBO1" s="204"/>
      <c r="DBP1" s="204"/>
      <c r="DBQ1" s="204"/>
      <c r="DBR1" s="205"/>
      <c r="DBS1" s="204"/>
      <c r="DBT1" s="204"/>
      <c r="DBU1" s="204"/>
      <c r="DBV1" s="204"/>
      <c r="DBW1" s="204"/>
      <c r="DBX1" s="204"/>
      <c r="DBY1" s="204"/>
      <c r="DBZ1" s="204"/>
      <c r="DCA1" s="204"/>
      <c r="DCB1" s="204"/>
      <c r="DCC1" s="204"/>
      <c r="DCD1" s="204"/>
      <c r="DCE1" s="204"/>
      <c r="DCF1" s="204"/>
      <c r="DCG1" s="204"/>
      <c r="DCH1" s="204"/>
      <c r="DCI1" s="204"/>
      <c r="DCJ1" s="204"/>
      <c r="DCK1" s="204"/>
      <c r="DCL1" s="204"/>
      <c r="DCM1" s="204"/>
      <c r="DCN1" s="204"/>
      <c r="DCO1" s="204"/>
      <c r="DCP1" s="204"/>
      <c r="DCQ1" s="204"/>
      <c r="DCR1" s="204"/>
      <c r="DCS1" s="204"/>
      <c r="DCT1" s="205"/>
      <c r="DCU1" s="204"/>
      <c r="DCV1" s="204"/>
      <c r="DCW1" s="204"/>
      <c r="DCX1" s="204"/>
      <c r="DCY1" s="204"/>
      <c r="DCZ1" s="204"/>
      <c r="DDA1" s="204"/>
      <c r="DDB1" s="204"/>
      <c r="DDC1" s="204"/>
      <c r="DDD1" s="204"/>
      <c r="DDE1" s="204"/>
      <c r="DDF1" s="204"/>
      <c r="DDG1" s="204"/>
      <c r="DDH1" s="204"/>
      <c r="DDI1" s="204"/>
      <c r="DDJ1" s="204"/>
      <c r="DDK1" s="204"/>
      <c r="DDL1" s="204"/>
      <c r="DDM1" s="204"/>
      <c r="DDN1" s="204"/>
      <c r="DDO1" s="204"/>
      <c r="DDP1" s="204"/>
      <c r="DDQ1" s="204"/>
      <c r="DDR1" s="204"/>
      <c r="DDS1" s="204"/>
      <c r="DDT1" s="204"/>
      <c r="DDU1" s="204"/>
      <c r="DDV1" s="205"/>
      <c r="DDW1" s="204"/>
      <c r="DDX1" s="204"/>
      <c r="DDY1" s="204"/>
      <c r="DDZ1" s="204"/>
      <c r="DEA1" s="204"/>
      <c r="DEB1" s="204"/>
      <c r="DEC1" s="204"/>
      <c r="DED1" s="204"/>
      <c r="DEE1" s="204"/>
      <c r="DEF1" s="204"/>
      <c r="DEG1" s="204"/>
      <c r="DEH1" s="204"/>
      <c r="DEI1" s="204"/>
      <c r="DEJ1" s="204"/>
      <c r="DEK1" s="204"/>
      <c r="DEL1" s="204"/>
      <c r="DEM1" s="204"/>
      <c r="DEN1" s="204"/>
      <c r="DEO1" s="204"/>
      <c r="DEP1" s="204"/>
      <c r="DEQ1" s="204"/>
      <c r="DER1" s="204"/>
      <c r="DES1" s="204"/>
      <c r="DET1" s="204"/>
      <c r="DEU1" s="204"/>
      <c r="DEV1" s="204"/>
      <c r="DEW1" s="204"/>
      <c r="DEX1" s="205"/>
      <c r="DEY1" s="204"/>
      <c r="DEZ1" s="204"/>
      <c r="DFA1" s="204"/>
      <c r="DFB1" s="204"/>
      <c r="DFC1" s="204"/>
      <c r="DFD1" s="204"/>
      <c r="DFE1" s="204"/>
      <c r="DFF1" s="204"/>
      <c r="DFG1" s="204"/>
      <c r="DFH1" s="204"/>
      <c r="DFI1" s="204"/>
      <c r="DFJ1" s="204"/>
      <c r="DFK1" s="204"/>
      <c r="DFL1" s="204"/>
      <c r="DFM1" s="204"/>
      <c r="DFN1" s="204"/>
      <c r="DFO1" s="204"/>
      <c r="DFP1" s="204"/>
      <c r="DFQ1" s="204"/>
      <c r="DFR1" s="204"/>
      <c r="DFS1" s="204"/>
      <c r="DFT1" s="204"/>
      <c r="DFU1" s="204"/>
      <c r="DFV1" s="204"/>
      <c r="DFW1" s="204"/>
      <c r="DFX1" s="204"/>
      <c r="DFY1" s="204"/>
      <c r="DFZ1" s="205"/>
      <c r="DGA1" s="204"/>
      <c r="DGB1" s="204"/>
      <c r="DGC1" s="204"/>
      <c r="DGD1" s="204"/>
      <c r="DGE1" s="204"/>
      <c r="DGF1" s="204"/>
      <c r="DGG1" s="204"/>
      <c r="DGH1" s="204"/>
      <c r="DGI1" s="204"/>
      <c r="DGJ1" s="204"/>
      <c r="DGK1" s="204"/>
      <c r="DGL1" s="204"/>
      <c r="DGM1" s="204"/>
      <c r="DGN1" s="204"/>
      <c r="DGO1" s="204"/>
      <c r="DGP1" s="204"/>
      <c r="DGQ1" s="204"/>
      <c r="DGR1" s="204"/>
      <c r="DGS1" s="204"/>
      <c r="DGT1" s="204"/>
      <c r="DGU1" s="204"/>
      <c r="DGV1" s="204"/>
      <c r="DGW1" s="204"/>
      <c r="DGX1" s="204"/>
      <c r="DGY1" s="204"/>
      <c r="DGZ1" s="204"/>
      <c r="DHA1" s="204"/>
      <c r="DHB1" s="205"/>
      <c r="DHC1" s="204"/>
      <c r="DHD1" s="204"/>
      <c r="DHE1" s="204"/>
      <c r="DHF1" s="204"/>
      <c r="DHG1" s="204"/>
      <c r="DHH1" s="204"/>
      <c r="DHI1" s="204"/>
      <c r="DHJ1" s="204"/>
      <c r="DHK1" s="204"/>
      <c r="DHL1" s="204"/>
      <c r="DHM1" s="204"/>
      <c r="DHN1" s="204"/>
      <c r="DHO1" s="204"/>
      <c r="DHP1" s="204"/>
      <c r="DHQ1" s="204"/>
      <c r="DHR1" s="204"/>
      <c r="DHS1" s="204"/>
      <c r="DHT1" s="204"/>
      <c r="DHU1" s="204"/>
      <c r="DHV1" s="204"/>
      <c r="DHW1" s="204"/>
      <c r="DHX1" s="204"/>
      <c r="DHY1" s="204"/>
      <c r="DHZ1" s="204"/>
      <c r="DIA1" s="204"/>
      <c r="DIB1" s="204"/>
      <c r="DIC1" s="204"/>
      <c r="DID1" s="205"/>
      <c r="DIE1" s="204"/>
      <c r="DIF1" s="204"/>
      <c r="DIG1" s="204"/>
      <c r="DIH1" s="204"/>
      <c r="DII1" s="204"/>
      <c r="DIJ1" s="204"/>
      <c r="DIK1" s="204"/>
      <c r="DIL1" s="204"/>
      <c r="DIM1" s="204"/>
      <c r="DIN1" s="204"/>
      <c r="DIO1" s="204"/>
      <c r="DIP1" s="204"/>
      <c r="DIQ1" s="204"/>
      <c r="DIR1" s="204"/>
      <c r="DIS1" s="204"/>
      <c r="DIT1" s="204"/>
      <c r="DIU1" s="204"/>
      <c r="DIV1" s="204"/>
      <c r="DIW1" s="204"/>
      <c r="DIX1" s="204"/>
      <c r="DIY1" s="204"/>
      <c r="DIZ1" s="204"/>
      <c r="DJA1" s="204"/>
      <c r="DJB1" s="204"/>
      <c r="DJC1" s="204"/>
      <c r="DJD1" s="204"/>
      <c r="DJE1" s="204"/>
      <c r="DJF1" s="205"/>
      <c r="DJG1" s="204"/>
      <c r="DJH1" s="204"/>
      <c r="DJI1" s="204"/>
      <c r="DJJ1" s="204"/>
      <c r="DJK1" s="204"/>
      <c r="DJL1" s="204"/>
      <c r="DJM1" s="204"/>
      <c r="DJN1" s="204"/>
      <c r="DJO1" s="204"/>
      <c r="DJP1" s="204"/>
      <c r="DJQ1" s="204"/>
      <c r="DJR1" s="204"/>
      <c r="DJS1" s="204"/>
      <c r="DJT1" s="204"/>
      <c r="DJU1" s="204"/>
      <c r="DJV1" s="204"/>
      <c r="DJW1" s="204"/>
      <c r="DJX1" s="204"/>
      <c r="DJY1" s="204"/>
      <c r="DJZ1" s="204"/>
      <c r="DKA1" s="204"/>
      <c r="DKB1" s="204"/>
      <c r="DKC1" s="204"/>
      <c r="DKD1" s="204"/>
      <c r="DKE1" s="204"/>
      <c r="DKF1" s="204"/>
      <c r="DKG1" s="204"/>
      <c r="DKH1" s="205"/>
      <c r="DKI1" s="204"/>
      <c r="DKJ1" s="204"/>
      <c r="DKK1" s="204"/>
      <c r="DKL1" s="204"/>
      <c r="DKM1" s="204"/>
      <c r="DKN1" s="204"/>
      <c r="DKO1" s="204"/>
      <c r="DKP1" s="204"/>
      <c r="DKQ1" s="204"/>
      <c r="DKR1" s="204"/>
      <c r="DKS1" s="204"/>
      <c r="DKT1" s="204"/>
      <c r="DKU1" s="204"/>
      <c r="DKV1" s="204"/>
      <c r="DKW1" s="204"/>
      <c r="DKX1" s="204"/>
      <c r="DKY1" s="204"/>
      <c r="DKZ1" s="204"/>
      <c r="DLA1" s="204"/>
      <c r="DLB1" s="204"/>
      <c r="DLC1" s="204"/>
      <c r="DLD1" s="204"/>
      <c r="DLE1" s="204"/>
      <c r="DLF1" s="204"/>
      <c r="DLG1" s="204"/>
      <c r="DLH1" s="204"/>
      <c r="DLI1" s="204"/>
      <c r="DLJ1" s="205"/>
      <c r="DLK1" s="204"/>
      <c r="DLL1" s="204"/>
      <c r="DLM1" s="204"/>
      <c r="DLN1" s="204"/>
      <c r="DLO1" s="204"/>
      <c r="DLP1" s="204"/>
      <c r="DLQ1" s="204"/>
      <c r="DLR1" s="204"/>
      <c r="DLS1" s="204"/>
      <c r="DLT1" s="204"/>
      <c r="DLU1" s="204"/>
      <c r="DLV1" s="204"/>
      <c r="DLW1" s="204"/>
      <c r="DLX1" s="204"/>
      <c r="DLY1" s="204"/>
      <c r="DLZ1" s="204"/>
      <c r="DMA1" s="204"/>
      <c r="DMB1" s="204"/>
      <c r="DMC1" s="204"/>
      <c r="DMD1" s="204"/>
      <c r="DME1" s="204"/>
      <c r="DMF1" s="204"/>
      <c r="DMG1" s="204"/>
      <c r="DMH1" s="204"/>
      <c r="DMI1" s="204"/>
      <c r="DMJ1" s="204"/>
      <c r="DMK1" s="204"/>
      <c r="DML1" s="205"/>
      <c r="DMM1" s="204"/>
      <c r="DMN1" s="204"/>
      <c r="DMO1" s="204"/>
      <c r="DMP1" s="204"/>
      <c r="DMQ1" s="204"/>
      <c r="DMR1" s="204"/>
      <c r="DMS1" s="204"/>
      <c r="DMT1" s="204"/>
      <c r="DMU1" s="204"/>
      <c r="DMV1" s="204"/>
      <c r="DMW1" s="204"/>
      <c r="DMX1" s="204"/>
      <c r="DMY1" s="204"/>
      <c r="DMZ1" s="204"/>
      <c r="DNA1" s="204"/>
      <c r="DNB1" s="204"/>
      <c r="DNC1" s="204"/>
      <c r="DND1" s="204"/>
      <c r="DNE1" s="204"/>
      <c r="DNF1" s="204"/>
      <c r="DNG1" s="204"/>
      <c r="DNH1" s="204"/>
      <c r="DNI1" s="204"/>
      <c r="DNJ1" s="204"/>
      <c r="DNK1" s="204"/>
      <c r="DNL1" s="204"/>
      <c r="DNM1" s="204"/>
      <c r="DNN1" s="205"/>
      <c r="DNO1" s="204"/>
      <c r="DNP1" s="204"/>
      <c r="DNQ1" s="204"/>
      <c r="DNR1" s="204"/>
      <c r="DNS1" s="204"/>
      <c r="DNT1" s="204"/>
      <c r="DNU1" s="204"/>
      <c r="DNV1" s="204"/>
      <c r="DNW1" s="204"/>
      <c r="DNX1" s="204"/>
      <c r="DNY1" s="204"/>
      <c r="DNZ1" s="204"/>
      <c r="DOA1" s="204"/>
      <c r="DOB1" s="204"/>
      <c r="DOC1" s="204"/>
      <c r="DOD1" s="204"/>
      <c r="DOE1" s="204"/>
      <c r="DOF1" s="204"/>
      <c r="DOG1" s="204"/>
      <c r="DOH1" s="204"/>
      <c r="DOI1" s="204"/>
      <c r="DOJ1" s="204"/>
      <c r="DOK1" s="204"/>
      <c r="DOL1" s="204"/>
      <c r="DOM1" s="204"/>
      <c r="DON1" s="204"/>
      <c r="DOO1" s="204"/>
      <c r="DOP1" s="205"/>
      <c r="DOQ1" s="204"/>
      <c r="DOR1" s="204"/>
      <c r="DOS1" s="204"/>
      <c r="DOT1" s="204"/>
      <c r="DOU1" s="204"/>
      <c r="DOV1" s="204"/>
      <c r="DOW1" s="204"/>
      <c r="DOX1" s="204"/>
      <c r="DOY1" s="204"/>
      <c r="DOZ1" s="204"/>
      <c r="DPA1" s="204"/>
      <c r="DPB1" s="204"/>
      <c r="DPC1" s="204"/>
      <c r="DPD1" s="204"/>
      <c r="DPE1" s="204"/>
      <c r="DPF1" s="204"/>
      <c r="DPG1" s="204"/>
      <c r="DPH1" s="204"/>
      <c r="DPI1" s="204"/>
      <c r="DPJ1" s="204"/>
      <c r="DPK1" s="204"/>
      <c r="DPL1" s="204"/>
      <c r="DPM1" s="204"/>
      <c r="DPN1" s="204"/>
      <c r="DPO1" s="204"/>
      <c r="DPP1" s="204"/>
      <c r="DPQ1" s="204"/>
      <c r="DPR1" s="205"/>
      <c r="DPS1" s="204"/>
      <c r="DPT1" s="204"/>
      <c r="DPU1" s="204"/>
      <c r="DPV1" s="204"/>
      <c r="DPW1" s="204"/>
      <c r="DPX1" s="204"/>
      <c r="DPY1" s="204"/>
      <c r="DPZ1" s="204"/>
      <c r="DQA1" s="204"/>
      <c r="DQB1" s="204"/>
      <c r="DQC1" s="204"/>
      <c r="DQD1" s="204"/>
      <c r="DQE1" s="204"/>
      <c r="DQF1" s="204"/>
      <c r="DQG1" s="204"/>
      <c r="DQH1" s="204"/>
      <c r="DQI1" s="204"/>
      <c r="DQJ1" s="204"/>
      <c r="DQK1" s="204"/>
      <c r="DQL1" s="204"/>
      <c r="DQM1" s="204"/>
      <c r="DQN1" s="204"/>
      <c r="DQO1" s="204"/>
      <c r="DQP1" s="204"/>
      <c r="DQQ1" s="204"/>
      <c r="DQR1" s="204"/>
      <c r="DQS1" s="204"/>
      <c r="DQT1" s="205"/>
      <c r="DQU1" s="204"/>
      <c r="DQV1" s="204"/>
      <c r="DQW1" s="204"/>
      <c r="DQX1" s="204"/>
      <c r="DQY1" s="204"/>
      <c r="DQZ1" s="204"/>
      <c r="DRA1" s="204"/>
      <c r="DRB1" s="204"/>
      <c r="DRC1" s="204"/>
      <c r="DRD1" s="204"/>
      <c r="DRE1" s="204"/>
      <c r="DRF1" s="204"/>
      <c r="DRG1" s="204"/>
      <c r="DRH1" s="204"/>
      <c r="DRI1" s="204"/>
      <c r="DRJ1" s="204"/>
      <c r="DRK1" s="204"/>
      <c r="DRL1" s="204"/>
      <c r="DRM1" s="204"/>
      <c r="DRN1" s="204"/>
      <c r="DRO1" s="204"/>
      <c r="DRP1" s="204"/>
      <c r="DRQ1" s="204"/>
      <c r="DRR1" s="204"/>
      <c r="DRS1" s="204"/>
      <c r="DRT1" s="204"/>
      <c r="DRU1" s="204"/>
      <c r="DRV1" s="205"/>
      <c r="DRW1" s="204"/>
      <c r="DRX1" s="204"/>
      <c r="DRY1" s="204"/>
      <c r="DRZ1" s="204"/>
      <c r="DSA1" s="204"/>
      <c r="DSB1" s="204"/>
      <c r="DSC1" s="204"/>
      <c r="DSD1" s="204"/>
      <c r="DSE1" s="204"/>
      <c r="DSF1" s="204"/>
      <c r="DSG1" s="204"/>
      <c r="DSH1" s="204"/>
      <c r="DSI1" s="204"/>
      <c r="DSJ1" s="204"/>
      <c r="DSK1" s="204"/>
      <c r="DSL1" s="204"/>
      <c r="DSM1" s="204"/>
      <c r="DSN1" s="204"/>
      <c r="DSO1" s="204"/>
      <c r="DSP1" s="204"/>
      <c r="DSQ1" s="204"/>
      <c r="DSR1" s="204"/>
      <c r="DSS1" s="204"/>
      <c r="DST1" s="204"/>
      <c r="DSU1" s="204"/>
      <c r="DSV1" s="204"/>
      <c r="DSW1" s="204"/>
      <c r="DSX1" s="205"/>
      <c r="DSY1" s="204"/>
      <c r="DSZ1" s="204"/>
      <c r="DTA1" s="204"/>
      <c r="DTB1" s="204"/>
      <c r="DTC1" s="204"/>
      <c r="DTD1" s="204"/>
      <c r="DTE1" s="204"/>
      <c r="DTF1" s="204"/>
      <c r="DTG1" s="204"/>
      <c r="DTH1" s="204"/>
      <c r="DTI1" s="204"/>
      <c r="DTJ1" s="204"/>
      <c r="DTK1" s="204"/>
      <c r="DTL1" s="204"/>
      <c r="DTM1" s="204"/>
      <c r="DTN1" s="204"/>
      <c r="DTO1" s="204"/>
      <c r="DTP1" s="204"/>
      <c r="DTQ1" s="204"/>
      <c r="DTR1" s="204"/>
      <c r="DTS1" s="204"/>
      <c r="DTT1" s="204"/>
      <c r="DTU1" s="204"/>
      <c r="DTV1" s="204"/>
      <c r="DTW1" s="204"/>
      <c r="DTX1" s="204"/>
      <c r="DTY1" s="204"/>
      <c r="DTZ1" s="205"/>
      <c r="DUA1" s="204"/>
      <c r="DUB1" s="204"/>
      <c r="DUC1" s="204"/>
      <c r="DUD1" s="204"/>
      <c r="DUE1" s="204"/>
      <c r="DUF1" s="204"/>
      <c r="DUG1" s="204"/>
      <c r="DUH1" s="204"/>
      <c r="DUI1" s="204"/>
      <c r="DUJ1" s="204"/>
      <c r="DUK1" s="204"/>
      <c r="DUL1" s="204"/>
      <c r="DUM1" s="204"/>
      <c r="DUN1" s="204"/>
      <c r="DUO1" s="204"/>
      <c r="DUP1" s="204"/>
      <c r="DUQ1" s="204"/>
      <c r="DUR1" s="204"/>
      <c r="DUS1" s="204"/>
      <c r="DUT1" s="204"/>
      <c r="DUU1" s="204"/>
      <c r="DUV1" s="204"/>
      <c r="DUW1" s="204"/>
      <c r="DUX1" s="204"/>
      <c r="DUY1" s="204"/>
      <c r="DUZ1" s="204"/>
      <c r="DVA1" s="204"/>
      <c r="DVB1" s="205"/>
      <c r="DVC1" s="204"/>
      <c r="DVD1" s="204"/>
      <c r="DVE1" s="204"/>
      <c r="DVF1" s="204"/>
      <c r="DVG1" s="204"/>
      <c r="DVH1" s="204"/>
      <c r="DVI1" s="204"/>
      <c r="DVJ1" s="204"/>
      <c r="DVK1" s="204"/>
      <c r="DVL1" s="204"/>
      <c r="DVM1" s="204"/>
      <c r="DVN1" s="204"/>
      <c r="DVO1" s="204"/>
      <c r="DVP1" s="204"/>
      <c r="DVQ1" s="204"/>
      <c r="DVR1" s="204"/>
      <c r="DVS1" s="204"/>
      <c r="DVT1" s="204"/>
      <c r="DVU1" s="204"/>
      <c r="DVV1" s="204"/>
      <c r="DVW1" s="204"/>
      <c r="DVX1" s="204"/>
      <c r="DVY1" s="204"/>
      <c r="DVZ1" s="204"/>
      <c r="DWA1" s="204"/>
      <c r="DWB1" s="204"/>
      <c r="DWC1" s="204"/>
      <c r="DWD1" s="205"/>
      <c r="DWE1" s="204"/>
      <c r="DWF1" s="204"/>
      <c r="DWG1" s="204"/>
      <c r="DWH1" s="204"/>
      <c r="DWI1" s="204"/>
      <c r="DWJ1" s="204"/>
      <c r="DWK1" s="204"/>
      <c r="DWL1" s="204"/>
      <c r="DWM1" s="204"/>
      <c r="DWN1" s="204"/>
      <c r="DWO1" s="204"/>
      <c r="DWP1" s="204"/>
      <c r="DWQ1" s="204"/>
      <c r="DWR1" s="204"/>
      <c r="DWS1" s="204"/>
      <c r="DWT1" s="204"/>
      <c r="DWU1" s="204"/>
      <c r="DWV1" s="204"/>
      <c r="DWW1" s="204"/>
      <c r="DWX1" s="204"/>
      <c r="DWY1" s="204"/>
      <c r="DWZ1" s="204"/>
      <c r="DXA1" s="204"/>
      <c r="DXB1" s="204"/>
      <c r="DXC1" s="204"/>
      <c r="DXD1" s="204"/>
      <c r="DXE1" s="204"/>
      <c r="DXF1" s="205"/>
      <c r="DXG1" s="204"/>
      <c r="DXH1" s="204"/>
      <c r="DXI1" s="204"/>
      <c r="DXJ1" s="204"/>
      <c r="DXK1" s="204"/>
      <c r="DXL1" s="204"/>
      <c r="DXM1" s="204"/>
      <c r="DXN1" s="204"/>
      <c r="DXO1" s="204"/>
      <c r="DXP1" s="204"/>
      <c r="DXQ1" s="204"/>
      <c r="DXR1" s="204"/>
      <c r="DXS1" s="204"/>
      <c r="DXT1" s="204"/>
      <c r="DXU1" s="204"/>
      <c r="DXV1" s="204"/>
      <c r="DXW1" s="204"/>
      <c r="DXX1" s="204"/>
      <c r="DXY1" s="204"/>
      <c r="DXZ1" s="204"/>
      <c r="DYA1" s="204"/>
      <c r="DYB1" s="204"/>
      <c r="DYC1" s="204"/>
      <c r="DYD1" s="204"/>
      <c r="DYE1" s="204"/>
      <c r="DYF1" s="204"/>
      <c r="DYG1" s="204"/>
      <c r="DYH1" s="205"/>
      <c r="DYI1" s="204"/>
      <c r="DYJ1" s="204"/>
      <c r="DYK1" s="204"/>
      <c r="DYL1" s="204"/>
      <c r="DYM1" s="204"/>
      <c r="DYN1" s="204"/>
      <c r="DYO1" s="204"/>
      <c r="DYP1" s="204"/>
      <c r="DYQ1" s="204"/>
      <c r="DYR1" s="204"/>
      <c r="DYS1" s="204"/>
      <c r="DYT1" s="204"/>
      <c r="DYU1" s="204"/>
      <c r="DYV1" s="204"/>
      <c r="DYW1" s="204"/>
      <c r="DYX1" s="204"/>
      <c r="DYY1" s="204"/>
      <c r="DYZ1" s="204"/>
      <c r="DZA1" s="204"/>
      <c r="DZB1" s="204"/>
      <c r="DZC1" s="204"/>
      <c r="DZD1" s="204"/>
      <c r="DZE1" s="204"/>
      <c r="DZF1" s="204"/>
      <c r="DZG1" s="204"/>
      <c r="DZH1" s="204"/>
      <c r="DZI1" s="204"/>
      <c r="DZJ1" s="205"/>
      <c r="DZK1" s="204"/>
      <c r="DZL1" s="204"/>
      <c r="DZM1" s="204"/>
      <c r="DZN1" s="204"/>
      <c r="DZO1" s="204"/>
      <c r="DZP1" s="204"/>
      <c r="DZQ1" s="204"/>
      <c r="DZR1" s="204"/>
      <c r="DZS1" s="204"/>
      <c r="DZT1" s="204"/>
      <c r="DZU1" s="204"/>
      <c r="DZV1" s="204"/>
      <c r="DZW1" s="204"/>
      <c r="DZX1" s="204"/>
      <c r="DZY1" s="204"/>
      <c r="DZZ1" s="204"/>
      <c r="EAA1" s="204"/>
      <c r="EAB1" s="204"/>
      <c r="EAC1" s="204"/>
      <c r="EAD1" s="204"/>
      <c r="EAE1" s="204"/>
      <c r="EAF1" s="204"/>
      <c r="EAG1" s="204"/>
      <c r="EAH1" s="204"/>
      <c r="EAI1" s="204"/>
      <c r="EAJ1" s="204"/>
      <c r="EAK1" s="204"/>
      <c r="EAL1" s="205"/>
      <c r="EAM1" s="204"/>
      <c r="EAN1" s="204"/>
      <c r="EAO1" s="204"/>
      <c r="EAP1" s="204"/>
      <c r="EAQ1" s="204"/>
      <c r="EAR1" s="204"/>
      <c r="EAS1" s="204"/>
      <c r="EAT1" s="204"/>
      <c r="EAU1" s="204"/>
      <c r="EAV1" s="204"/>
      <c r="EAW1" s="204"/>
      <c r="EAX1" s="204"/>
      <c r="EAY1" s="204"/>
      <c r="EAZ1" s="204"/>
      <c r="EBA1" s="204"/>
      <c r="EBB1" s="204"/>
      <c r="EBC1" s="204"/>
      <c r="EBD1" s="204"/>
      <c r="EBE1" s="204"/>
      <c r="EBF1" s="204"/>
      <c r="EBG1" s="204"/>
      <c r="EBH1" s="204"/>
      <c r="EBI1" s="204"/>
      <c r="EBJ1" s="204"/>
      <c r="EBK1" s="204"/>
      <c r="EBL1" s="204"/>
      <c r="EBM1" s="204"/>
      <c r="EBN1" s="205"/>
      <c r="EBO1" s="204"/>
      <c r="EBP1" s="204"/>
      <c r="EBQ1" s="204"/>
      <c r="EBR1" s="204"/>
      <c r="EBS1" s="204"/>
      <c r="EBT1" s="204"/>
      <c r="EBU1" s="204"/>
      <c r="EBV1" s="204"/>
      <c r="EBW1" s="204"/>
      <c r="EBX1" s="204"/>
      <c r="EBY1" s="204"/>
      <c r="EBZ1" s="204"/>
      <c r="ECA1" s="204"/>
      <c r="ECB1" s="204"/>
      <c r="ECC1" s="204"/>
      <c r="ECD1" s="204"/>
      <c r="ECE1" s="204"/>
      <c r="ECF1" s="204"/>
      <c r="ECG1" s="204"/>
      <c r="ECH1" s="204"/>
      <c r="ECI1" s="204"/>
      <c r="ECJ1" s="204"/>
      <c r="ECK1" s="204"/>
      <c r="ECL1" s="204"/>
      <c r="ECM1" s="204"/>
      <c r="ECN1" s="204"/>
      <c r="ECO1" s="204"/>
      <c r="ECP1" s="205"/>
      <c r="ECQ1" s="204"/>
      <c r="ECR1" s="204"/>
      <c r="ECS1" s="204"/>
      <c r="ECT1" s="204"/>
      <c r="ECU1" s="204"/>
      <c r="ECV1" s="204"/>
      <c r="ECW1" s="204"/>
      <c r="ECX1" s="204"/>
      <c r="ECY1" s="204"/>
      <c r="ECZ1" s="204"/>
      <c r="EDA1" s="204"/>
      <c r="EDB1" s="204"/>
      <c r="EDC1" s="204"/>
      <c r="EDD1" s="204"/>
      <c r="EDE1" s="204"/>
      <c r="EDF1" s="204"/>
      <c r="EDG1" s="204"/>
      <c r="EDH1" s="204"/>
      <c r="EDI1" s="204"/>
      <c r="EDJ1" s="204"/>
      <c r="EDK1" s="204"/>
      <c r="EDL1" s="204"/>
      <c r="EDM1" s="204"/>
      <c r="EDN1" s="204"/>
      <c r="EDO1" s="204"/>
      <c r="EDP1" s="204"/>
      <c r="EDQ1" s="204"/>
      <c r="EDR1" s="205"/>
      <c r="EDS1" s="204"/>
      <c r="EDT1" s="204"/>
      <c r="EDU1" s="204"/>
      <c r="EDV1" s="204"/>
      <c r="EDW1" s="204"/>
      <c r="EDX1" s="204"/>
      <c r="EDY1" s="204"/>
      <c r="EDZ1" s="204"/>
      <c r="EEA1" s="204"/>
      <c r="EEB1" s="204"/>
      <c r="EEC1" s="204"/>
      <c r="EED1" s="204"/>
      <c r="EEE1" s="204"/>
      <c r="EEF1" s="204"/>
      <c r="EEG1" s="204"/>
      <c r="EEH1" s="204"/>
      <c r="EEI1" s="204"/>
      <c r="EEJ1" s="204"/>
      <c r="EEK1" s="204"/>
      <c r="EEL1" s="204"/>
      <c r="EEM1" s="204"/>
      <c r="EEN1" s="204"/>
      <c r="EEO1" s="204"/>
      <c r="EEP1" s="204"/>
      <c r="EEQ1" s="204"/>
      <c r="EER1" s="204"/>
      <c r="EES1" s="204"/>
      <c r="EET1" s="205"/>
      <c r="EEU1" s="204"/>
      <c r="EEV1" s="204"/>
      <c r="EEW1" s="204"/>
      <c r="EEX1" s="204"/>
      <c r="EEY1" s="204"/>
      <c r="EEZ1" s="204"/>
      <c r="EFA1" s="204"/>
      <c r="EFB1" s="204"/>
      <c r="EFC1" s="204"/>
      <c r="EFD1" s="204"/>
      <c r="EFE1" s="204"/>
      <c r="EFF1" s="204"/>
      <c r="EFG1" s="204"/>
      <c r="EFH1" s="204"/>
      <c r="EFI1" s="204"/>
      <c r="EFJ1" s="204"/>
      <c r="EFK1" s="204"/>
      <c r="EFL1" s="204"/>
      <c r="EFM1" s="204"/>
      <c r="EFN1" s="204"/>
      <c r="EFO1" s="204"/>
      <c r="EFP1" s="204"/>
      <c r="EFQ1" s="204"/>
      <c r="EFR1" s="204"/>
      <c r="EFS1" s="204"/>
      <c r="EFT1" s="204"/>
      <c r="EFU1" s="204"/>
      <c r="EFV1" s="205"/>
      <c r="EFW1" s="204"/>
      <c r="EFX1" s="204"/>
      <c r="EFY1" s="204"/>
      <c r="EFZ1" s="204"/>
      <c r="EGA1" s="204"/>
      <c r="EGB1" s="204"/>
      <c r="EGC1" s="204"/>
      <c r="EGD1" s="204"/>
      <c r="EGE1" s="204"/>
      <c r="EGF1" s="204"/>
      <c r="EGG1" s="204"/>
      <c r="EGH1" s="204"/>
      <c r="EGI1" s="204"/>
      <c r="EGJ1" s="204"/>
      <c r="EGK1" s="204"/>
      <c r="EGL1" s="204"/>
      <c r="EGM1" s="204"/>
      <c r="EGN1" s="204"/>
      <c r="EGO1" s="204"/>
      <c r="EGP1" s="204"/>
      <c r="EGQ1" s="204"/>
      <c r="EGR1" s="204"/>
      <c r="EGS1" s="204"/>
      <c r="EGT1" s="204"/>
      <c r="EGU1" s="204"/>
      <c r="EGV1" s="204"/>
      <c r="EGW1" s="204"/>
      <c r="EGX1" s="205"/>
      <c r="EGY1" s="204"/>
      <c r="EGZ1" s="204"/>
      <c r="EHA1" s="204"/>
      <c r="EHB1" s="204"/>
      <c r="EHC1" s="204"/>
      <c r="EHD1" s="204"/>
      <c r="EHE1" s="204"/>
      <c r="EHF1" s="204"/>
      <c r="EHG1" s="204"/>
      <c r="EHH1" s="204"/>
      <c r="EHI1" s="204"/>
      <c r="EHJ1" s="204"/>
      <c r="EHK1" s="204"/>
      <c r="EHL1" s="204"/>
      <c r="EHM1" s="204"/>
      <c r="EHN1" s="204"/>
      <c r="EHO1" s="204"/>
      <c r="EHP1" s="204"/>
      <c r="EHQ1" s="204"/>
      <c r="EHR1" s="204"/>
      <c r="EHS1" s="204"/>
      <c r="EHT1" s="204"/>
      <c r="EHU1" s="204"/>
      <c r="EHV1" s="204"/>
      <c r="EHW1" s="204"/>
      <c r="EHX1" s="204"/>
      <c r="EHY1" s="204"/>
      <c r="EHZ1" s="205"/>
      <c r="EIA1" s="204"/>
      <c r="EIB1" s="204"/>
      <c r="EIC1" s="204"/>
      <c r="EID1" s="204"/>
      <c r="EIE1" s="204"/>
      <c r="EIF1" s="204"/>
      <c r="EIG1" s="204"/>
      <c r="EIH1" s="204"/>
      <c r="EII1" s="204"/>
      <c r="EIJ1" s="204"/>
      <c r="EIK1" s="204"/>
      <c r="EIL1" s="204"/>
      <c r="EIM1" s="204"/>
      <c r="EIN1" s="204"/>
      <c r="EIO1" s="204"/>
      <c r="EIP1" s="204"/>
      <c r="EIQ1" s="204"/>
      <c r="EIR1" s="204"/>
      <c r="EIS1" s="204"/>
      <c r="EIT1" s="204"/>
      <c r="EIU1" s="204"/>
      <c r="EIV1" s="204"/>
      <c r="EIW1" s="204"/>
      <c r="EIX1" s="204"/>
      <c r="EIY1" s="204"/>
      <c r="EIZ1" s="204"/>
      <c r="EJA1" s="204"/>
      <c r="EJB1" s="205"/>
      <c r="EJC1" s="204"/>
      <c r="EJD1" s="204"/>
      <c r="EJE1" s="204"/>
      <c r="EJF1" s="204"/>
      <c r="EJG1" s="204"/>
      <c r="EJH1" s="204"/>
      <c r="EJI1" s="204"/>
      <c r="EJJ1" s="204"/>
      <c r="EJK1" s="204"/>
      <c r="EJL1" s="204"/>
      <c r="EJM1" s="204"/>
      <c r="EJN1" s="204"/>
      <c r="EJO1" s="204"/>
      <c r="EJP1" s="204"/>
      <c r="EJQ1" s="204"/>
      <c r="EJR1" s="204"/>
      <c r="EJS1" s="204"/>
      <c r="EJT1" s="204"/>
      <c r="EJU1" s="204"/>
      <c r="EJV1" s="204"/>
      <c r="EJW1" s="204"/>
      <c r="EJX1" s="204"/>
      <c r="EJY1" s="204"/>
      <c r="EJZ1" s="204"/>
      <c r="EKA1" s="204"/>
      <c r="EKB1" s="204"/>
      <c r="EKC1" s="204"/>
      <c r="EKD1" s="205"/>
      <c r="EKE1" s="204"/>
      <c r="EKF1" s="204"/>
      <c r="EKG1" s="204"/>
      <c r="EKH1" s="204"/>
      <c r="EKI1" s="204"/>
      <c r="EKJ1" s="204"/>
      <c r="EKK1" s="204"/>
      <c r="EKL1" s="204"/>
      <c r="EKM1" s="204"/>
      <c r="EKN1" s="204"/>
      <c r="EKO1" s="204"/>
      <c r="EKP1" s="204"/>
      <c r="EKQ1" s="204"/>
      <c r="EKR1" s="204"/>
      <c r="EKS1" s="204"/>
      <c r="EKT1" s="204"/>
      <c r="EKU1" s="204"/>
      <c r="EKV1" s="204"/>
      <c r="EKW1" s="204"/>
      <c r="EKX1" s="204"/>
      <c r="EKY1" s="204"/>
      <c r="EKZ1" s="204"/>
      <c r="ELA1" s="204"/>
      <c r="ELB1" s="204"/>
      <c r="ELC1" s="204"/>
      <c r="ELD1" s="204"/>
      <c r="ELE1" s="204"/>
      <c r="ELF1" s="205"/>
      <c r="ELG1" s="204"/>
      <c r="ELH1" s="204"/>
      <c r="ELI1" s="204"/>
      <c r="ELJ1" s="204"/>
      <c r="ELK1" s="204"/>
      <c r="ELL1" s="204"/>
      <c r="ELM1" s="204"/>
      <c r="ELN1" s="204"/>
      <c r="ELO1" s="204"/>
      <c r="ELP1" s="204"/>
      <c r="ELQ1" s="204"/>
      <c r="ELR1" s="204"/>
      <c r="ELS1" s="204"/>
      <c r="ELT1" s="204"/>
      <c r="ELU1" s="204"/>
      <c r="ELV1" s="204"/>
      <c r="ELW1" s="204"/>
      <c r="ELX1" s="204"/>
      <c r="ELY1" s="204"/>
      <c r="ELZ1" s="204"/>
      <c r="EMA1" s="204"/>
      <c r="EMB1" s="204"/>
      <c r="EMC1" s="204"/>
      <c r="EMD1" s="204"/>
      <c r="EME1" s="204"/>
      <c r="EMF1" s="204"/>
      <c r="EMG1" s="204"/>
      <c r="EMH1" s="205"/>
      <c r="EMI1" s="204"/>
      <c r="EMJ1" s="204"/>
      <c r="EMK1" s="204"/>
      <c r="EML1" s="204"/>
      <c r="EMM1" s="204"/>
      <c r="EMN1" s="204"/>
      <c r="EMO1" s="204"/>
      <c r="EMP1" s="204"/>
      <c r="EMQ1" s="204"/>
      <c r="EMR1" s="204"/>
      <c r="EMS1" s="204"/>
      <c r="EMT1" s="204"/>
      <c r="EMU1" s="204"/>
      <c r="EMV1" s="204"/>
      <c r="EMW1" s="204"/>
      <c r="EMX1" s="204"/>
      <c r="EMY1" s="204"/>
      <c r="EMZ1" s="204"/>
      <c r="ENA1" s="204"/>
      <c r="ENB1" s="204"/>
      <c r="ENC1" s="204"/>
      <c r="END1" s="204"/>
      <c r="ENE1" s="204"/>
      <c r="ENF1" s="204"/>
      <c r="ENG1" s="204"/>
      <c r="ENH1" s="204"/>
      <c r="ENI1" s="204"/>
      <c r="ENJ1" s="205"/>
      <c r="ENK1" s="204"/>
      <c r="ENL1" s="204"/>
      <c r="ENM1" s="204"/>
      <c r="ENN1" s="204"/>
      <c r="ENO1" s="204"/>
      <c r="ENP1" s="204"/>
      <c r="ENQ1" s="204"/>
      <c r="ENR1" s="204"/>
      <c r="ENS1" s="204"/>
      <c r="ENT1" s="204"/>
      <c r="ENU1" s="204"/>
      <c r="ENV1" s="204"/>
      <c r="ENW1" s="204"/>
      <c r="ENX1" s="204"/>
      <c r="ENY1" s="204"/>
      <c r="ENZ1" s="204"/>
      <c r="EOA1" s="204"/>
      <c r="EOB1" s="204"/>
      <c r="EOC1" s="204"/>
      <c r="EOD1" s="204"/>
      <c r="EOE1" s="204"/>
      <c r="EOF1" s="204"/>
      <c r="EOG1" s="204"/>
      <c r="EOH1" s="204"/>
      <c r="EOI1" s="204"/>
      <c r="EOJ1" s="204"/>
      <c r="EOK1" s="204"/>
      <c r="EOL1" s="205"/>
      <c r="EOM1" s="204"/>
      <c r="EON1" s="204"/>
      <c r="EOO1" s="204"/>
      <c r="EOP1" s="204"/>
      <c r="EOQ1" s="204"/>
      <c r="EOR1" s="204"/>
      <c r="EOS1" s="204"/>
      <c r="EOT1" s="204"/>
      <c r="EOU1" s="204"/>
      <c r="EOV1" s="204"/>
      <c r="EOW1" s="204"/>
      <c r="EOX1" s="204"/>
      <c r="EOY1" s="204"/>
      <c r="EOZ1" s="204"/>
      <c r="EPA1" s="204"/>
      <c r="EPB1" s="204"/>
      <c r="EPC1" s="204"/>
      <c r="EPD1" s="204"/>
      <c r="EPE1" s="204"/>
      <c r="EPF1" s="204"/>
      <c r="EPG1" s="204"/>
      <c r="EPH1" s="204"/>
      <c r="EPI1" s="204"/>
      <c r="EPJ1" s="204"/>
      <c r="EPK1" s="204"/>
      <c r="EPL1" s="204"/>
      <c r="EPM1" s="204"/>
      <c r="EPN1" s="205"/>
      <c r="EPO1" s="204"/>
      <c r="EPP1" s="204"/>
      <c r="EPQ1" s="204"/>
      <c r="EPR1" s="204"/>
      <c r="EPS1" s="204"/>
      <c r="EPT1" s="204"/>
      <c r="EPU1" s="204"/>
      <c r="EPV1" s="204"/>
      <c r="EPW1" s="204"/>
      <c r="EPX1" s="204"/>
      <c r="EPY1" s="204"/>
      <c r="EPZ1" s="204"/>
      <c r="EQA1" s="204"/>
      <c r="EQB1" s="204"/>
      <c r="EQC1" s="204"/>
      <c r="EQD1" s="204"/>
      <c r="EQE1" s="204"/>
      <c r="EQF1" s="204"/>
      <c r="EQG1" s="204"/>
      <c r="EQH1" s="204"/>
      <c r="EQI1" s="204"/>
      <c r="EQJ1" s="204"/>
      <c r="EQK1" s="204"/>
      <c r="EQL1" s="204"/>
      <c r="EQM1" s="204"/>
      <c r="EQN1" s="204"/>
      <c r="EQO1" s="204"/>
      <c r="EQP1" s="205"/>
      <c r="EQQ1" s="204"/>
      <c r="EQR1" s="204"/>
      <c r="EQS1" s="204"/>
      <c r="EQT1" s="204"/>
      <c r="EQU1" s="204"/>
      <c r="EQV1" s="204"/>
      <c r="EQW1" s="204"/>
      <c r="EQX1" s="204"/>
      <c r="EQY1" s="204"/>
      <c r="EQZ1" s="204"/>
      <c r="ERA1" s="204"/>
      <c r="ERB1" s="204"/>
      <c r="ERC1" s="204"/>
      <c r="ERD1" s="204"/>
      <c r="ERE1" s="204"/>
      <c r="ERF1" s="204"/>
      <c r="ERG1" s="204"/>
      <c r="ERH1" s="204"/>
      <c r="ERI1" s="204"/>
      <c r="ERJ1" s="204"/>
      <c r="ERK1" s="204"/>
      <c r="ERL1" s="204"/>
      <c r="ERM1" s="204"/>
      <c r="ERN1" s="204"/>
      <c r="ERO1" s="204"/>
      <c r="ERP1" s="204"/>
      <c r="ERQ1" s="204"/>
      <c r="ERR1" s="205"/>
      <c r="ERS1" s="204"/>
      <c r="ERT1" s="204"/>
      <c r="ERU1" s="204"/>
      <c r="ERV1" s="204"/>
      <c r="ERW1" s="204"/>
      <c r="ERX1" s="204"/>
      <c r="ERY1" s="204"/>
      <c r="ERZ1" s="204"/>
      <c r="ESA1" s="204"/>
      <c r="ESB1" s="204"/>
      <c r="ESC1" s="204"/>
      <c r="ESD1" s="204"/>
      <c r="ESE1" s="204"/>
      <c r="ESF1" s="204"/>
      <c r="ESG1" s="204"/>
      <c r="ESH1" s="204"/>
      <c r="ESI1" s="204"/>
      <c r="ESJ1" s="204"/>
      <c r="ESK1" s="204"/>
      <c r="ESL1" s="204"/>
      <c r="ESM1" s="204"/>
      <c r="ESN1" s="204"/>
      <c r="ESO1" s="204"/>
      <c r="ESP1" s="204"/>
      <c r="ESQ1" s="204"/>
      <c r="ESR1" s="204"/>
      <c r="ESS1" s="204"/>
      <c r="EST1" s="205"/>
      <c r="ESU1" s="204"/>
      <c r="ESV1" s="204"/>
      <c r="ESW1" s="204"/>
      <c r="ESX1" s="204"/>
      <c r="ESY1" s="204"/>
      <c r="ESZ1" s="204"/>
      <c r="ETA1" s="204"/>
      <c r="ETB1" s="204"/>
      <c r="ETC1" s="204"/>
      <c r="ETD1" s="204"/>
      <c r="ETE1" s="204"/>
      <c r="ETF1" s="204"/>
      <c r="ETG1" s="204"/>
      <c r="ETH1" s="204"/>
      <c r="ETI1" s="204"/>
      <c r="ETJ1" s="204"/>
      <c r="ETK1" s="204"/>
      <c r="ETL1" s="204"/>
      <c r="ETM1" s="204"/>
      <c r="ETN1" s="204"/>
      <c r="ETO1" s="204"/>
      <c r="ETP1" s="204"/>
      <c r="ETQ1" s="204"/>
      <c r="ETR1" s="204"/>
      <c r="ETS1" s="204"/>
      <c r="ETT1" s="204"/>
      <c r="ETU1" s="204"/>
      <c r="ETV1" s="205"/>
      <c r="ETW1" s="204"/>
      <c r="ETX1" s="204"/>
      <c r="ETY1" s="204"/>
      <c r="ETZ1" s="204"/>
      <c r="EUA1" s="204"/>
      <c r="EUB1" s="204"/>
      <c r="EUC1" s="204"/>
      <c r="EUD1" s="204"/>
      <c r="EUE1" s="204"/>
      <c r="EUF1" s="204"/>
      <c r="EUG1" s="204"/>
      <c r="EUH1" s="204"/>
      <c r="EUI1" s="204"/>
      <c r="EUJ1" s="204"/>
      <c r="EUK1" s="204"/>
      <c r="EUL1" s="204"/>
      <c r="EUM1" s="204"/>
      <c r="EUN1" s="204"/>
      <c r="EUO1" s="204"/>
      <c r="EUP1" s="204"/>
      <c r="EUQ1" s="204"/>
      <c r="EUR1" s="204"/>
      <c r="EUS1" s="204"/>
      <c r="EUT1" s="204"/>
      <c r="EUU1" s="204"/>
      <c r="EUV1" s="204"/>
      <c r="EUW1" s="204"/>
      <c r="EUX1" s="205"/>
      <c r="EUY1" s="204"/>
      <c r="EUZ1" s="204"/>
      <c r="EVA1" s="204"/>
      <c r="EVB1" s="204"/>
      <c r="EVC1" s="204"/>
      <c r="EVD1" s="204"/>
      <c r="EVE1" s="204"/>
      <c r="EVF1" s="204"/>
      <c r="EVG1" s="204"/>
      <c r="EVH1" s="204"/>
      <c r="EVI1" s="204"/>
      <c r="EVJ1" s="204"/>
      <c r="EVK1" s="204"/>
      <c r="EVL1" s="204"/>
      <c r="EVM1" s="204"/>
      <c r="EVN1" s="204"/>
      <c r="EVO1" s="204"/>
      <c r="EVP1" s="204"/>
      <c r="EVQ1" s="204"/>
      <c r="EVR1" s="204"/>
      <c r="EVS1" s="204"/>
      <c r="EVT1" s="204"/>
      <c r="EVU1" s="204"/>
      <c r="EVV1" s="204"/>
      <c r="EVW1" s="204"/>
      <c r="EVX1" s="204"/>
      <c r="EVY1" s="204"/>
      <c r="EVZ1" s="205"/>
      <c r="EWA1" s="204"/>
      <c r="EWB1" s="204"/>
      <c r="EWC1" s="204"/>
      <c r="EWD1" s="204"/>
      <c r="EWE1" s="204"/>
      <c r="EWF1" s="204"/>
      <c r="EWG1" s="204"/>
      <c r="EWH1" s="204"/>
      <c r="EWI1" s="204"/>
      <c r="EWJ1" s="204"/>
      <c r="EWK1" s="204"/>
      <c r="EWL1" s="204"/>
      <c r="EWM1" s="204"/>
      <c r="EWN1" s="204"/>
      <c r="EWO1" s="204"/>
      <c r="EWP1" s="204"/>
      <c r="EWQ1" s="204"/>
      <c r="EWR1" s="204"/>
      <c r="EWS1" s="204"/>
      <c r="EWT1" s="204"/>
      <c r="EWU1" s="204"/>
      <c r="EWV1" s="204"/>
      <c r="EWW1" s="204"/>
      <c r="EWX1" s="204"/>
      <c r="EWY1" s="204"/>
      <c r="EWZ1" s="204"/>
      <c r="EXA1" s="204"/>
      <c r="EXB1" s="205"/>
      <c r="EXC1" s="204"/>
      <c r="EXD1" s="204"/>
      <c r="EXE1" s="204"/>
      <c r="EXF1" s="204"/>
      <c r="EXG1" s="204"/>
      <c r="EXH1" s="204"/>
      <c r="EXI1" s="204"/>
      <c r="EXJ1" s="204"/>
      <c r="EXK1" s="204"/>
      <c r="EXL1" s="204"/>
      <c r="EXM1" s="204"/>
      <c r="EXN1" s="204"/>
      <c r="EXO1" s="204"/>
      <c r="EXP1" s="204"/>
      <c r="EXQ1" s="204"/>
      <c r="EXR1" s="204"/>
      <c r="EXS1" s="204"/>
      <c r="EXT1" s="204"/>
      <c r="EXU1" s="204"/>
      <c r="EXV1" s="204"/>
      <c r="EXW1" s="204"/>
      <c r="EXX1" s="204"/>
      <c r="EXY1" s="204"/>
      <c r="EXZ1" s="204"/>
      <c r="EYA1" s="204"/>
      <c r="EYB1" s="204"/>
      <c r="EYC1" s="204"/>
      <c r="EYD1" s="205"/>
      <c r="EYE1" s="204"/>
      <c r="EYF1" s="204"/>
      <c r="EYG1" s="204"/>
      <c r="EYH1" s="204"/>
      <c r="EYI1" s="204"/>
      <c r="EYJ1" s="204"/>
      <c r="EYK1" s="204"/>
      <c r="EYL1" s="204"/>
      <c r="EYM1" s="204"/>
      <c r="EYN1" s="204"/>
      <c r="EYO1" s="204"/>
      <c r="EYP1" s="204"/>
      <c r="EYQ1" s="204"/>
      <c r="EYR1" s="204"/>
      <c r="EYS1" s="204"/>
      <c r="EYT1" s="204"/>
      <c r="EYU1" s="204"/>
      <c r="EYV1" s="204"/>
      <c r="EYW1" s="204"/>
      <c r="EYX1" s="204"/>
      <c r="EYY1" s="204"/>
      <c r="EYZ1" s="204"/>
      <c r="EZA1" s="204"/>
      <c r="EZB1" s="204"/>
      <c r="EZC1" s="204"/>
      <c r="EZD1" s="204"/>
      <c r="EZE1" s="204"/>
      <c r="EZF1" s="205"/>
      <c r="EZG1" s="204"/>
      <c r="EZH1" s="204"/>
      <c r="EZI1" s="204"/>
      <c r="EZJ1" s="204"/>
      <c r="EZK1" s="204"/>
      <c r="EZL1" s="204"/>
      <c r="EZM1" s="204"/>
      <c r="EZN1" s="204"/>
      <c r="EZO1" s="204"/>
      <c r="EZP1" s="204"/>
      <c r="EZQ1" s="204"/>
      <c r="EZR1" s="204"/>
      <c r="EZS1" s="204"/>
      <c r="EZT1" s="204"/>
      <c r="EZU1" s="204"/>
      <c r="EZV1" s="204"/>
      <c r="EZW1" s="204"/>
      <c r="EZX1" s="204"/>
      <c r="EZY1" s="204"/>
      <c r="EZZ1" s="204"/>
      <c r="FAA1" s="204"/>
      <c r="FAB1" s="204"/>
      <c r="FAC1" s="204"/>
      <c r="FAD1" s="204"/>
      <c r="FAE1" s="204"/>
      <c r="FAF1" s="204"/>
      <c r="FAG1" s="204"/>
      <c r="FAH1" s="205"/>
      <c r="FAI1" s="204"/>
      <c r="FAJ1" s="204"/>
      <c r="FAK1" s="204"/>
      <c r="FAL1" s="204"/>
      <c r="FAM1" s="204"/>
      <c r="FAN1" s="204"/>
      <c r="FAO1" s="204"/>
      <c r="FAP1" s="204"/>
      <c r="FAQ1" s="204"/>
      <c r="FAR1" s="204"/>
      <c r="FAS1" s="204"/>
      <c r="FAT1" s="204"/>
      <c r="FAU1" s="204"/>
      <c r="FAV1" s="204"/>
      <c r="FAW1" s="204"/>
      <c r="FAX1" s="204"/>
      <c r="FAY1" s="204"/>
      <c r="FAZ1" s="204"/>
      <c r="FBA1" s="204"/>
      <c r="FBB1" s="204"/>
      <c r="FBC1" s="204"/>
      <c r="FBD1" s="204"/>
      <c r="FBE1" s="204"/>
      <c r="FBF1" s="204"/>
      <c r="FBG1" s="204"/>
      <c r="FBH1" s="204"/>
      <c r="FBI1" s="204"/>
      <c r="FBJ1" s="205"/>
      <c r="FBK1" s="204"/>
      <c r="FBL1" s="204"/>
      <c r="FBM1" s="204"/>
      <c r="FBN1" s="204"/>
      <c r="FBO1" s="204"/>
      <c r="FBP1" s="204"/>
      <c r="FBQ1" s="204"/>
      <c r="FBR1" s="204"/>
      <c r="FBS1" s="204"/>
      <c r="FBT1" s="204"/>
      <c r="FBU1" s="204"/>
      <c r="FBV1" s="204"/>
      <c r="FBW1" s="204"/>
      <c r="FBX1" s="204"/>
      <c r="FBY1" s="204"/>
      <c r="FBZ1" s="204"/>
      <c r="FCA1" s="204"/>
      <c r="FCB1" s="204"/>
      <c r="FCC1" s="204"/>
      <c r="FCD1" s="204"/>
      <c r="FCE1" s="204"/>
      <c r="FCF1" s="204"/>
      <c r="FCG1" s="204"/>
      <c r="FCH1" s="204"/>
      <c r="FCI1" s="204"/>
      <c r="FCJ1" s="204"/>
      <c r="FCK1" s="204"/>
      <c r="FCL1" s="205"/>
      <c r="FCM1" s="204"/>
      <c r="FCN1" s="204"/>
      <c r="FCO1" s="204"/>
      <c r="FCP1" s="204"/>
      <c r="FCQ1" s="204"/>
      <c r="FCR1" s="204"/>
      <c r="FCS1" s="204"/>
      <c r="FCT1" s="204"/>
      <c r="FCU1" s="204"/>
      <c r="FCV1" s="204"/>
      <c r="FCW1" s="204"/>
      <c r="FCX1" s="204"/>
      <c r="FCY1" s="204"/>
      <c r="FCZ1" s="204"/>
      <c r="FDA1" s="204"/>
      <c r="FDB1" s="204"/>
      <c r="FDC1" s="204"/>
      <c r="FDD1" s="204"/>
      <c r="FDE1" s="204"/>
      <c r="FDF1" s="204"/>
      <c r="FDG1" s="204"/>
      <c r="FDH1" s="204"/>
      <c r="FDI1" s="204"/>
      <c r="FDJ1" s="204"/>
      <c r="FDK1" s="204"/>
      <c r="FDL1" s="204"/>
      <c r="FDM1" s="204"/>
      <c r="FDN1" s="205"/>
      <c r="FDO1" s="204"/>
      <c r="FDP1" s="204"/>
      <c r="FDQ1" s="204"/>
      <c r="FDR1" s="204"/>
      <c r="FDS1" s="204"/>
      <c r="FDT1" s="204"/>
      <c r="FDU1" s="204"/>
      <c r="FDV1" s="204"/>
      <c r="FDW1" s="204"/>
      <c r="FDX1" s="204"/>
      <c r="FDY1" s="204"/>
      <c r="FDZ1" s="204"/>
      <c r="FEA1" s="204"/>
      <c r="FEB1" s="204"/>
      <c r="FEC1" s="204"/>
      <c r="FED1" s="204"/>
      <c r="FEE1" s="204"/>
      <c r="FEF1" s="204"/>
      <c r="FEG1" s="204"/>
      <c r="FEH1" s="204"/>
      <c r="FEI1" s="204"/>
      <c r="FEJ1" s="204"/>
      <c r="FEK1" s="204"/>
      <c r="FEL1" s="204"/>
      <c r="FEM1" s="204"/>
      <c r="FEN1" s="204"/>
      <c r="FEO1" s="204"/>
      <c r="FEP1" s="205"/>
      <c r="FEQ1" s="204"/>
      <c r="FER1" s="204"/>
      <c r="FES1" s="204"/>
      <c r="FET1" s="204"/>
      <c r="FEU1" s="204"/>
      <c r="FEV1" s="204"/>
      <c r="FEW1" s="204"/>
      <c r="FEX1" s="204"/>
      <c r="FEY1" s="204"/>
      <c r="FEZ1" s="204"/>
      <c r="FFA1" s="204"/>
      <c r="FFB1" s="204"/>
      <c r="FFC1" s="204"/>
      <c r="FFD1" s="204"/>
      <c r="FFE1" s="204"/>
      <c r="FFF1" s="204"/>
      <c r="FFG1" s="204"/>
      <c r="FFH1" s="204"/>
      <c r="FFI1" s="204"/>
      <c r="FFJ1" s="204"/>
      <c r="FFK1" s="204"/>
      <c r="FFL1" s="204"/>
      <c r="FFM1" s="204"/>
      <c r="FFN1" s="204"/>
      <c r="FFO1" s="204"/>
      <c r="FFP1" s="204"/>
      <c r="FFQ1" s="204"/>
      <c r="FFR1" s="205"/>
      <c r="FFS1" s="204"/>
      <c r="FFT1" s="204"/>
      <c r="FFU1" s="204"/>
      <c r="FFV1" s="204"/>
      <c r="FFW1" s="204"/>
      <c r="FFX1" s="204"/>
      <c r="FFY1" s="204"/>
      <c r="FFZ1" s="204"/>
      <c r="FGA1" s="204"/>
      <c r="FGB1" s="204"/>
      <c r="FGC1" s="204"/>
      <c r="FGD1" s="204"/>
      <c r="FGE1" s="204"/>
      <c r="FGF1" s="204"/>
      <c r="FGG1" s="204"/>
      <c r="FGH1" s="204"/>
      <c r="FGI1" s="204"/>
      <c r="FGJ1" s="204"/>
      <c r="FGK1" s="204"/>
      <c r="FGL1" s="204"/>
      <c r="FGM1" s="204"/>
      <c r="FGN1" s="204"/>
      <c r="FGO1" s="204"/>
      <c r="FGP1" s="204"/>
      <c r="FGQ1" s="204"/>
      <c r="FGR1" s="204"/>
      <c r="FGS1" s="204"/>
      <c r="FGT1" s="205"/>
      <c r="FGU1" s="204"/>
      <c r="FGV1" s="204"/>
      <c r="FGW1" s="204"/>
      <c r="FGX1" s="204"/>
      <c r="FGY1" s="204"/>
      <c r="FGZ1" s="204"/>
      <c r="FHA1" s="204"/>
      <c r="FHB1" s="204"/>
      <c r="FHC1" s="204"/>
      <c r="FHD1" s="204"/>
      <c r="FHE1" s="204"/>
      <c r="FHF1" s="204"/>
      <c r="FHG1" s="204"/>
      <c r="FHH1" s="204"/>
      <c r="FHI1" s="204"/>
      <c r="FHJ1" s="204"/>
      <c r="FHK1" s="204"/>
      <c r="FHL1" s="204"/>
      <c r="FHM1" s="204"/>
      <c r="FHN1" s="204"/>
      <c r="FHO1" s="204"/>
      <c r="FHP1" s="204"/>
      <c r="FHQ1" s="204"/>
      <c r="FHR1" s="204"/>
      <c r="FHS1" s="204"/>
      <c r="FHT1" s="204"/>
      <c r="FHU1" s="204"/>
      <c r="FHV1" s="205"/>
      <c r="FHW1" s="204"/>
      <c r="FHX1" s="204"/>
      <c r="FHY1" s="204"/>
      <c r="FHZ1" s="204"/>
      <c r="FIA1" s="204"/>
      <c r="FIB1" s="204"/>
      <c r="FIC1" s="204"/>
      <c r="FID1" s="204"/>
      <c r="FIE1" s="204"/>
      <c r="FIF1" s="204"/>
      <c r="FIG1" s="204"/>
      <c r="FIH1" s="204"/>
      <c r="FII1" s="204"/>
      <c r="FIJ1" s="204"/>
      <c r="FIK1" s="204"/>
      <c r="FIL1" s="204"/>
      <c r="FIM1" s="204"/>
      <c r="FIN1" s="204"/>
      <c r="FIO1" s="204"/>
      <c r="FIP1" s="204"/>
      <c r="FIQ1" s="204"/>
      <c r="FIR1" s="204"/>
      <c r="FIS1" s="204"/>
      <c r="FIT1" s="204"/>
      <c r="FIU1" s="204"/>
      <c r="FIV1" s="204"/>
      <c r="FIW1" s="204"/>
      <c r="FIX1" s="205"/>
      <c r="FIY1" s="204"/>
      <c r="FIZ1" s="204"/>
      <c r="FJA1" s="204"/>
      <c r="FJB1" s="204"/>
      <c r="FJC1" s="204"/>
      <c r="FJD1" s="204"/>
      <c r="FJE1" s="204"/>
      <c r="FJF1" s="204"/>
      <c r="FJG1" s="204"/>
      <c r="FJH1" s="204"/>
      <c r="FJI1" s="204"/>
      <c r="FJJ1" s="204"/>
      <c r="FJK1" s="204"/>
      <c r="FJL1" s="204"/>
      <c r="FJM1" s="204"/>
      <c r="FJN1" s="204"/>
      <c r="FJO1" s="204"/>
      <c r="FJP1" s="204"/>
      <c r="FJQ1" s="204"/>
      <c r="FJR1" s="204"/>
      <c r="FJS1" s="204"/>
      <c r="FJT1" s="204"/>
      <c r="FJU1" s="204"/>
      <c r="FJV1" s="204"/>
      <c r="FJW1" s="204"/>
      <c r="FJX1" s="204"/>
      <c r="FJY1" s="204"/>
      <c r="FJZ1" s="205"/>
      <c r="FKA1" s="204"/>
      <c r="FKB1" s="204"/>
      <c r="FKC1" s="204"/>
      <c r="FKD1" s="204"/>
      <c r="FKE1" s="204"/>
      <c r="FKF1" s="204"/>
      <c r="FKG1" s="204"/>
      <c r="FKH1" s="204"/>
      <c r="FKI1" s="204"/>
      <c r="FKJ1" s="204"/>
      <c r="FKK1" s="204"/>
      <c r="FKL1" s="204"/>
      <c r="FKM1" s="204"/>
      <c r="FKN1" s="204"/>
      <c r="FKO1" s="204"/>
      <c r="FKP1" s="204"/>
      <c r="FKQ1" s="204"/>
      <c r="FKR1" s="204"/>
      <c r="FKS1" s="204"/>
      <c r="FKT1" s="204"/>
      <c r="FKU1" s="204"/>
      <c r="FKV1" s="204"/>
      <c r="FKW1" s="204"/>
      <c r="FKX1" s="204"/>
      <c r="FKY1" s="204"/>
      <c r="FKZ1" s="204"/>
      <c r="FLA1" s="204"/>
      <c r="FLB1" s="205"/>
      <c r="FLC1" s="204"/>
      <c r="FLD1" s="204"/>
      <c r="FLE1" s="204"/>
      <c r="FLF1" s="204"/>
      <c r="FLG1" s="204"/>
      <c r="FLH1" s="204"/>
      <c r="FLI1" s="204"/>
      <c r="FLJ1" s="204"/>
      <c r="FLK1" s="204"/>
      <c r="FLL1" s="204"/>
      <c r="FLM1" s="204"/>
      <c r="FLN1" s="204"/>
      <c r="FLO1" s="204"/>
      <c r="FLP1" s="204"/>
      <c r="FLQ1" s="204"/>
      <c r="FLR1" s="204"/>
      <c r="FLS1" s="204"/>
      <c r="FLT1" s="204"/>
      <c r="FLU1" s="204"/>
      <c r="FLV1" s="204"/>
      <c r="FLW1" s="204"/>
      <c r="FLX1" s="204"/>
      <c r="FLY1" s="204"/>
      <c r="FLZ1" s="204"/>
      <c r="FMA1" s="204"/>
      <c r="FMB1" s="204"/>
      <c r="FMC1" s="204"/>
      <c r="FMD1" s="205"/>
      <c r="FME1" s="204"/>
      <c r="FMF1" s="204"/>
      <c r="FMG1" s="204"/>
      <c r="FMH1" s="204"/>
      <c r="FMI1" s="204"/>
      <c r="FMJ1" s="204"/>
      <c r="FMK1" s="204"/>
      <c r="FML1" s="204"/>
      <c r="FMM1" s="204"/>
      <c r="FMN1" s="204"/>
      <c r="FMO1" s="204"/>
      <c r="FMP1" s="204"/>
      <c r="FMQ1" s="204"/>
      <c r="FMR1" s="204"/>
      <c r="FMS1" s="204"/>
      <c r="FMT1" s="204"/>
      <c r="FMU1" s="204"/>
      <c r="FMV1" s="204"/>
      <c r="FMW1" s="204"/>
      <c r="FMX1" s="204"/>
      <c r="FMY1" s="204"/>
      <c r="FMZ1" s="204"/>
      <c r="FNA1" s="204"/>
      <c r="FNB1" s="204"/>
      <c r="FNC1" s="204"/>
      <c r="FND1" s="204"/>
      <c r="FNE1" s="204"/>
      <c r="FNF1" s="205"/>
      <c r="FNG1" s="204"/>
      <c r="FNH1" s="204"/>
      <c r="FNI1" s="204"/>
      <c r="FNJ1" s="204"/>
      <c r="FNK1" s="204"/>
      <c r="FNL1" s="204"/>
      <c r="FNM1" s="204"/>
      <c r="FNN1" s="204"/>
      <c r="FNO1" s="204"/>
      <c r="FNP1" s="204"/>
      <c r="FNQ1" s="204"/>
      <c r="FNR1" s="204"/>
      <c r="FNS1" s="204"/>
      <c r="FNT1" s="204"/>
      <c r="FNU1" s="204"/>
      <c r="FNV1" s="204"/>
      <c r="FNW1" s="204"/>
      <c r="FNX1" s="204"/>
      <c r="FNY1" s="204"/>
      <c r="FNZ1" s="204"/>
      <c r="FOA1" s="204"/>
      <c r="FOB1" s="204"/>
      <c r="FOC1" s="204"/>
      <c r="FOD1" s="204"/>
      <c r="FOE1" s="204"/>
      <c r="FOF1" s="204"/>
      <c r="FOG1" s="204"/>
      <c r="FOH1" s="205"/>
      <c r="FOI1" s="204"/>
      <c r="FOJ1" s="204"/>
      <c r="FOK1" s="204"/>
      <c r="FOL1" s="204"/>
      <c r="FOM1" s="204"/>
      <c r="FON1" s="204"/>
      <c r="FOO1" s="204"/>
      <c r="FOP1" s="204"/>
      <c r="FOQ1" s="204"/>
      <c r="FOR1" s="204"/>
      <c r="FOS1" s="204"/>
      <c r="FOT1" s="204"/>
      <c r="FOU1" s="204"/>
      <c r="FOV1" s="204"/>
      <c r="FOW1" s="204"/>
      <c r="FOX1" s="204"/>
      <c r="FOY1" s="204"/>
      <c r="FOZ1" s="204"/>
      <c r="FPA1" s="204"/>
      <c r="FPB1" s="204"/>
      <c r="FPC1" s="204"/>
      <c r="FPD1" s="204"/>
      <c r="FPE1" s="204"/>
      <c r="FPF1" s="204"/>
      <c r="FPG1" s="204"/>
      <c r="FPH1" s="204"/>
      <c r="FPI1" s="204"/>
      <c r="FPJ1" s="205"/>
      <c r="FPK1" s="204"/>
      <c r="FPL1" s="204"/>
      <c r="FPM1" s="204"/>
      <c r="FPN1" s="204"/>
      <c r="FPO1" s="204"/>
      <c r="FPP1" s="204"/>
      <c r="FPQ1" s="204"/>
      <c r="FPR1" s="204"/>
      <c r="FPS1" s="204"/>
      <c r="FPT1" s="204"/>
      <c r="FPU1" s="204"/>
      <c r="FPV1" s="204"/>
      <c r="FPW1" s="204"/>
      <c r="FPX1" s="204"/>
      <c r="FPY1" s="204"/>
      <c r="FPZ1" s="204"/>
      <c r="FQA1" s="204"/>
      <c r="FQB1" s="204"/>
      <c r="FQC1" s="204"/>
      <c r="FQD1" s="204"/>
      <c r="FQE1" s="204"/>
      <c r="FQF1" s="204"/>
      <c r="FQG1" s="204"/>
      <c r="FQH1" s="204"/>
      <c r="FQI1" s="204"/>
      <c r="FQJ1" s="204"/>
      <c r="FQK1" s="204"/>
      <c r="FQL1" s="205"/>
      <c r="FQM1" s="204"/>
      <c r="FQN1" s="204"/>
      <c r="FQO1" s="204"/>
      <c r="FQP1" s="204"/>
      <c r="FQQ1" s="204"/>
      <c r="FQR1" s="204"/>
      <c r="FQS1" s="204"/>
      <c r="FQT1" s="204"/>
      <c r="FQU1" s="204"/>
      <c r="FQV1" s="204"/>
      <c r="FQW1" s="204"/>
      <c r="FQX1" s="204"/>
      <c r="FQY1" s="204"/>
      <c r="FQZ1" s="204"/>
      <c r="FRA1" s="204"/>
      <c r="FRB1" s="204"/>
      <c r="FRC1" s="204"/>
      <c r="FRD1" s="204"/>
      <c r="FRE1" s="204"/>
      <c r="FRF1" s="204"/>
      <c r="FRG1" s="204"/>
      <c r="FRH1" s="204"/>
      <c r="FRI1" s="204"/>
      <c r="FRJ1" s="204"/>
      <c r="FRK1" s="204"/>
      <c r="FRL1" s="204"/>
      <c r="FRM1" s="204"/>
      <c r="FRN1" s="205"/>
      <c r="FRO1" s="204"/>
      <c r="FRP1" s="204"/>
      <c r="FRQ1" s="204"/>
      <c r="FRR1" s="204"/>
      <c r="FRS1" s="204"/>
      <c r="FRT1" s="204"/>
      <c r="FRU1" s="204"/>
      <c r="FRV1" s="204"/>
      <c r="FRW1" s="204"/>
      <c r="FRX1" s="204"/>
      <c r="FRY1" s="204"/>
      <c r="FRZ1" s="204"/>
      <c r="FSA1" s="204"/>
      <c r="FSB1" s="204"/>
      <c r="FSC1" s="204"/>
      <c r="FSD1" s="204"/>
      <c r="FSE1" s="204"/>
      <c r="FSF1" s="204"/>
      <c r="FSG1" s="204"/>
      <c r="FSH1" s="204"/>
      <c r="FSI1" s="204"/>
      <c r="FSJ1" s="204"/>
      <c r="FSK1" s="204"/>
      <c r="FSL1" s="204"/>
      <c r="FSM1" s="204"/>
      <c r="FSN1" s="204"/>
      <c r="FSO1" s="204"/>
      <c r="FSP1" s="205"/>
      <c r="FSQ1" s="204"/>
      <c r="FSR1" s="204"/>
      <c r="FSS1" s="204"/>
      <c r="FST1" s="204"/>
      <c r="FSU1" s="204"/>
      <c r="FSV1" s="204"/>
      <c r="FSW1" s="204"/>
      <c r="FSX1" s="204"/>
      <c r="FSY1" s="204"/>
      <c r="FSZ1" s="204"/>
      <c r="FTA1" s="204"/>
      <c r="FTB1" s="204"/>
      <c r="FTC1" s="204"/>
      <c r="FTD1" s="204"/>
      <c r="FTE1" s="204"/>
      <c r="FTF1" s="204"/>
      <c r="FTG1" s="204"/>
      <c r="FTH1" s="204"/>
      <c r="FTI1" s="204"/>
      <c r="FTJ1" s="204"/>
      <c r="FTK1" s="204"/>
      <c r="FTL1" s="204"/>
      <c r="FTM1" s="204"/>
      <c r="FTN1" s="204"/>
      <c r="FTO1" s="204"/>
      <c r="FTP1" s="204"/>
      <c r="FTQ1" s="204"/>
      <c r="FTR1" s="205"/>
      <c r="FTS1" s="204"/>
      <c r="FTT1" s="204"/>
      <c r="FTU1" s="204"/>
      <c r="FTV1" s="204"/>
      <c r="FTW1" s="204"/>
      <c r="FTX1" s="204"/>
      <c r="FTY1" s="204"/>
      <c r="FTZ1" s="204"/>
      <c r="FUA1" s="204"/>
      <c r="FUB1" s="204"/>
      <c r="FUC1" s="204"/>
      <c r="FUD1" s="204"/>
      <c r="FUE1" s="204"/>
      <c r="FUF1" s="204"/>
      <c r="FUG1" s="204"/>
      <c r="FUH1" s="204"/>
      <c r="FUI1" s="204"/>
      <c r="FUJ1" s="204"/>
      <c r="FUK1" s="204"/>
      <c r="FUL1" s="204"/>
      <c r="FUM1" s="204"/>
      <c r="FUN1" s="204"/>
      <c r="FUO1" s="204"/>
      <c r="FUP1" s="204"/>
      <c r="FUQ1" s="204"/>
      <c r="FUR1" s="204"/>
      <c r="FUS1" s="204"/>
      <c r="FUT1" s="205"/>
      <c r="FUU1" s="204"/>
      <c r="FUV1" s="204"/>
      <c r="FUW1" s="204"/>
      <c r="FUX1" s="204"/>
      <c r="FUY1" s="204"/>
      <c r="FUZ1" s="204"/>
      <c r="FVA1" s="204"/>
      <c r="FVB1" s="204"/>
      <c r="FVC1" s="204"/>
      <c r="FVD1" s="204"/>
      <c r="FVE1" s="204"/>
      <c r="FVF1" s="204"/>
      <c r="FVG1" s="204"/>
      <c r="FVH1" s="204"/>
      <c r="FVI1" s="204"/>
      <c r="FVJ1" s="204"/>
      <c r="FVK1" s="204"/>
      <c r="FVL1" s="204"/>
      <c r="FVM1" s="204"/>
      <c r="FVN1" s="204"/>
      <c r="FVO1" s="204"/>
      <c r="FVP1" s="204"/>
      <c r="FVQ1" s="204"/>
      <c r="FVR1" s="204"/>
      <c r="FVS1" s="204"/>
      <c r="FVT1" s="204"/>
      <c r="FVU1" s="204"/>
      <c r="FVV1" s="205"/>
      <c r="FVW1" s="204"/>
      <c r="FVX1" s="204"/>
      <c r="FVY1" s="204"/>
      <c r="FVZ1" s="204"/>
      <c r="FWA1" s="204"/>
      <c r="FWB1" s="204"/>
      <c r="FWC1" s="204"/>
      <c r="FWD1" s="204"/>
      <c r="FWE1" s="204"/>
      <c r="FWF1" s="204"/>
      <c r="FWG1" s="204"/>
      <c r="FWH1" s="204"/>
      <c r="FWI1" s="204"/>
      <c r="FWJ1" s="204"/>
      <c r="FWK1" s="204"/>
      <c r="FWL1" s="204"/>
      <c r="FWM1" s="204"/>
      <c r="FWN1" s="204"/>
      <c r="FWO1" s="204"/>
      <c r="FWP1" s="204"/>
      <c r="FWQ1" s="204"/>
      <c r="FWR1" s="204"/>
      <c r="FWS1" s="204"/>
      <c r="FWT1" s="204"/>
      <c r="FWU1" s="204"/>
      <c r="FWV1" s="204"/>
      <c r="FWW1" s="204"/>
      <c r="FWX1" s="205"/>
      <c r="FWY1" s="204"/>
      <c r="FWZ1" s="204"/>
      <c r="FXA1" s="204"/>
      <c r="FXB1" s="204"/>
      <c r="FXC1" s="204"/>
      <c r="FXD1" s="204"/>
      <c r="FXE1" s="204"/>
      <c r="FXF1" s="204"/>
      <c r="FXG1" s="204"/>
      <c r="FXH1" s="204"/>
      <c r="FXI1" s="204"/>
      <c r="FXJ1" s="204"/>
      <c r="FXK1" s="204"/>
      <c r="FXL1" s="204"/>
      <c r="FXM1" s="204"/>
      <c r="FXN1" s="204"/>
      <c r="FXO1" s="204"/>
      <c r="FXP1" s="204"/>
      <c r="FXQ1" s="204"/>
      <c r="FXR1" s="204"/>
      <c r="FXS1" s="204"/>
      <c r="FXT1" s="204"/>
      <c r="FXU1" s="204"/>
      <c r="FXV1" s="204"/>
      <c r="FXW1" s="204"/>
      <c r="FXX1" s="204"/>
      <c r="FXY1" s="204"/>
      <c r="FXZ1" s="205"/>
      <c r="FYA1" s="204"/>
      <c r="FYB1" s="204"/>
      <c r="FYC1" s="204"/>
      <c r="FYD1" s="204"/>
      <c r="FYE1" s="204"/>
      <c r="FYF1" s="204"/>
      <c r="FYG1" s="204"/>
      <c r="FYH1" s="204"/>
      <c r="FYI1" s="204"/>
      <c r="FYJ1" s="204"/>
      <c r="FYK1" s="204"/>
      <c r="FYL1" s="204"/>
      <c r="FYM1" s="204"/>
      <c r="FYN1" s="204"/>
      <c r="FYO1" s="204"/>
      <c r="FYP1" s="204"/>
      <c r="FYQ1" s="204"/>
      <c r="FYR1" s="204"/>
      <c r="FYS1" s="204"/>
      <c r="FYT1" s="204"/>
      <c r="FYU1" s="204"/>
      <c r="FYV1" s="204"/>
      <c r="FYW1" s="204"/>
      <c r="FYX1" s="204"/>
      <c r="FYY1" s="204"/>
      <c r="FYZ1" s="204"/>
      <c r="FZA1" s="204"/>
      <c r="FZB1" s="205"/>
      <c r="FZC1" s="204"/>
      <c r="FZD1" s="204"/>
      <c r="FZE1" s="204"/>
      <c r="FZF1" s="204"/>
      <c r="FZG1" s="204"/>
      <c r="FZH1" s="204"/>
      <c r="FZI1" s="204"/>
      <c r="FZJ1" s="204"/>
      <c r="FZK1" s="204"/>
      <c r="FZL1" s="204"/>
      <c r="FZM1" s="204"/>
      <c r="FZN1" s="204"/>
      <c r="FZO1" s="204"/>
      <c r="FZP1" s="204"/>
      <c r="FZQ1" s="204"/>
      <c r="FZR1" s="204"/>
      <c r="FZS1" s="204"/>
      <c r="FZT1" s="204"/>
      <c r="FZU1" s="204"/>
      <c r="FZV1" s="204"/>
      <c r="FZW1" s="204"/>
      <c r="FZX1" s="204"/>
      <c r="FZY1" s="204"/>
      <c r="FZZ1" s="204"/>
      <c r="GAA1" s="204"/>
      <c r="GAB1" s="204"/>
      <c r="GAC1" s="204"/>
      <c r="GAD1" s="205"/>
      <c r="GAE1" s="204"/>
      <c r="GAF1" s="204"/>
      <c r="GAG1" s="204"/>
      <c r="GAH1" s="204"/>
      <c r="GAI1" s="204"/>
      <c r="GAJ1" s="204"/>
      <c r="GAK1" s="204"/>
      <c r="GAL1" s="204"/>
      <c r="GAM1" s="204"/>
      <c r="GAN1" s="204"/>
      <c r="GAO1" s="204"/>
      <c r="GAP1" s="204"/>
      <c r="GAQ1" s="204"/>
      <c r="GAR1" s="204"/>
      <c r="GAS1" s="204"/>
      <c r="GAT1" s="204"/>
      <c r="GAU1" s="204"/>
      <c r="GAV1" s="204"/>
      <c r="GAW1" s="204"/>
      <c r="GAX1" s="204"/>
      <c r="GAY1" s="204"/>
      <c r="GAZ1" s="204"/>
      <c r="GBA1" s="204"/>
      <c r="GBB1" s="204"/>
      <c r="GBC1" s="204"/>
      <c r="GBD1" s="204"/>
      <c r="GBE1" s="204"/>
      <c r="GBF1" s="205"/>
      <c r="GBG1" s="204"/>
      <c r="GBH1" s="204"/>
      <c r="GBI1" s="204"/>
      <c r="GBJ1" s="204"/>
      <c r="GBK1" s="204"/>
      <c r="GBL1" s="204"/>
      <c r="GBM1" s="204"/>
      <c r="GBN1" s="204"/>
      <c r="GBO1" s="204"/>
      <c r="GBP1" s="204"/>
      <c r="GBQ1" s="204"/>
      <c r="GBR1" s="204"/>
      <c r="GBS1" s="204"/>
      <c r="GBT1" s="204"/>
      <c r="GBU1" s="204"/>
      <c r="GBV1" s="204"/>
      <c r="GBW1" s="204"/>
      <c r="GBX1" s="204"/>
      <c r="GBY1" s="204"/>
      <c r="GBZ1" s="204"/>
      <c r="GCA1" s="204"/>
      <c r="GCB1" s="204"/>
      <c r="GCC1" s="204"/>
      <c r="GCD1" s="204"/>
      <c r="GCE1" s="204"/>
      <c r="GCF1" s="204"/>
      <c r="GCG1" s="204"/>
      <c r="GCH1" s="205"/>
      <c r="GCI1" s="204"/>
      <c r="GCJ1" s="204"/>
      <c r="GCK1" s="204"/>
      <c r="GCL1" s="204"/>
      <c r="GCM1" s="204"/>
      <c r="GCN1" s="204"/>
      <c r="GCO1" s="204"/>
      <c r="GCP1" s="204"/>
      <c r="GCQ1" s="204"/>
      <c r="GCR1" s="204"/>
      <c r="GCS1" s="204"/>
      <c r="GCT1" s="204"/>
      <c r="GCU1" s="204"/>
      <c r="GCV1" s="204"/>
      <c r="GCW1" s="204"/>
      <c r="GCX1" s="204"/>
      <c r="GCY1" s="204"/>
      <c r="GCZ1" s="204"/>
      <c r="GDA1" s="204"/>
      <c r="GDB1" s="204"/>
      <c r="GDC1" s="204"/>
      <c r="GDD1" s="204"/>
      <c r="GDE1" s="204"/>
      <c r="GDF1" s="204"/>
      <c r="GDG1" s="204"/>
      <c r="GDH1" s="204"/>
      <c r="GDI1" s="204"/>
      <c r="GDJ1" s="205"/>
      <c r="GDK1" s="204"/>
      <c r="GDL1" s="204"/>
      <c r="GDM1" s="204"/>
      <c r="GDN1" s="204"/>
      <c r="GDO1" s="204"/>
      <c r="GDP1" s="204"/>
      <c r="GDQ1" s="204"/>
      <c r="GDR1" s="204"/>
      <c r="GDS1" s="204"/>
      <c r="GDT1" s="204"/>
      <c r="GDU1" s="204"/>
      <c r="GDV1" s="204"/>
      <c r="GDW1" s="204"/>
      <c r="GDX1" s="204"/>
      <c r="GDY1" s="204"/>
      <c r="GDZ1" s="204"/>
      <c r="GEA1" s="204"/>
      <c r="GEB1" s="204"/>
      <c r="GEC1" s="204"/>
      <c r="GED1" s="204"/>
      <c r="GEE1" s="204"/>
      <c r="GEF1" s="204"/>
      <c r="GEG1" s="204"/>
      <c r="GEH1" s="204"/>
      <c r="GEI1" s="204"/>
      <c r="GEJ1" s="204"/>
      <c r="GEK1" s="204"/>
      <c r="GEL1" s="205"/>
      <c r="GEM1" s="204"/>
      <c r="GEN1" s="204"/>
      <c r="GEO1" s="204"/>
      <c r="GEP1" s="204"/>
      <c r="GEQ1" s="204"/>
      <c r="GER1" s="204"/>
      <c r="GES1" s="204"/>
      <c r="GET1" s="204"/>
      <c r="GEU1" s="204"/>
      <c r="GEV1" s="204"/>
      <c r="GEW1" s="204"/>
      <c r="GEX1" s="204"/>
      <c r="GEY1" s="204"/>
      <c r="GEZ1" s="204"/>
      <c r="GFA1" s="204"/>
      <c r="GFB1" s="204"/>
      <c r="GFC1" s="204"/>
      <c r="GFD1" s="204"/>
      <c r="GFE1" s="204"/>
      <c r="GFF1" s="204"/>
      <c r="GFG1" s="204"/>
      <c r="GFH1" s="204"/>
      <c r="GFI1" s="204"/>
      <c r="GFJ1" s="204"/>
      <c r="GFK1" s="204"/>
      <c r="GFL1" s="204"/>
      <c r="GFM1" s="204"/>
      <c r="GFN1" s="205"/>
      <c r="GFO1" s="204"/>
      <c r="GFP1" s="204"/>
      <c r="GFQ1" s="204"/>
      <c r="GFR1" s="204"/>
      <c r="GFS1" s="204"/>
      <c r="GFT1" s="204"/>
      <c r="GFU1" s="204"/>
      <c r="GFV1" s="204"/>
      <c r="GFW1" s="204"/>
      <c r="GFX1" s="204"/>
      <c r="GFY1" s="204"/>
      <c r="GFZ1" s="204"/>
      <c r="GGA1" s="204"/>
      <c r="GGB1" s="204"/>
      <c r="GGC1" s="204"/>
      <c r="GGD1" s="204"/>
      <c r="GGE1" s="204"/>
      <c r="GGF1" s="204"/>
      <c r="GGG1" s="204"/>
      <c r="GGH1" s="204"/>
      <c r="GGI1" s="204"/>
      <c r="GGJ1" s="204"/>
      <c r="GGK1" s="204"/>
      <c r="GGL1" s="204"/>
      <c r="GGM1" s="204"/>
      <c r="GGN1" s="204"/>
      <c r="GGO1" s="204"/>
      <c r="GGP1" s="205"/>
      <c r="GGQ1" s="204"/>
      <c r="GGR1" s="204"/>
      <c r="GGS1" s="204"/>
      <c r="GGT1" s="204"/>
      <c r="GGU1" s="204"/>
      <c r="GGV1" s="204"/>
      <c r="GGW1" s="204"/>
      <c r="GGX1" s="204"/>
      <c r="GGY1" s="204"/>
      <c r="GGZ1" s="204"/>
      <c r="GHA1" s="204"/>
      <c r="GHB1" s="204"/>
      <c r="GHC1" s="204"/>
      <c r="GHD1" s="204"/>
      <c r="GHE1" s="204"/>
      <c r="GHF1" s="204"/>
      <c r="GHG1" s="204"/>
      <c r="GHH1" s="204"/>
      <c r="GHI1" s="204"/>
      <c r="GHJ1" s="204"/>
      <c r="GHK1" s="204"/>
      <c r="GHL1" s="204"/>
      <c r="GHM1" s="204"/>
      <c r="GHN1" s="204"/>
      <c r="GHO1" s="204"/>
      <c r="GHP1" s="204"/>
      <c r="GHQ1" s="204"/>
      <c r="GHR1" s="205"/>
      <c r="GHS1" s="204"/>
      <c r="GHT1" s="204"/>
      <c r="GHU1" s="204"/>
      <c r="GHV1" s="204"/>
      <c r="GHW1" s="204"/>
      <c r="GHX1" s="204"/>
      <c r="GHY1" s="204"/>
      <c r="GHZ1" s="204"/>
      <c r="GIA1" s="204"/>
      <c r="GIB1" s="204"/>
      <c r="GIC1" s="204"/>
      <c r="GID1" s="204"/>
      <c r="GIE1" s="204"/>
      <c r="GIF1" s="204"/>
      <c r="GIG1" s="204"/>
      <c r="GIH1" s="204"/>
      <c r="GII1" s="204"/>
      <c r="GIJ1" s="204"/>
      <c r="GIK1" s="204"/>
      <c r="GIL1" s="204"/>
      <c r="GIM1" s="204"/>
      <c r="GIN1" s="204"/>
      <c r="GIO1" s="204"/>
      <c r="GIP1" s="204"/>
      <c r="GIQ1" s="204"/>
      <c r="GIR1" s="204"/>
      <c r="GIS1" s="204"/>
      <c r="GIT1" s="205"/>
      <c r="GIU1" s="204"/>
      <c r="GIV1" s="204"/>
      <c r="GIW1" s="204"/>
      <c r="GIX1" s="204"/>
      <c r="GIY1" s="204"/>
      <c r="GIZ1" s="204"/>
      <c r="GJA1" s="204"/>
      <c r="GJB1" s="204"/>
      <c r="GJC1" s="204"/>
      <c r="GJD1" s="204"/>
      <c r="GJE1" s="204"/>
      <c r="GJF1" s="204"/>
      <c r="GJG1" s="204"/>
      <c r="GJH1" s="204"/>
      <c r="GJI1" s="204"/>
      <c r="GJJ1" s="204"/>
      <c r="GJK1" s="204"/>
      <c r="GJL1" s="204"/>
      <c r="GJM1" s="204"/>
      <c r="GJN1" s="204"/>
      <c r="GJO1" s="204"/>
      <c r="GJP1" s="204"/>
      <c r="GJQ1" s="204"/>
      <c r="GJR1" s="204"/>
      <c r="GJS1" s="204"/>
      <c r="GJT1" s="204"/>
      <c r="GJU1" s="204"/>
      <c r="GJV1" s="205"/>
      <c r="GJW1" s="204"/>
      <c r="GJX1" s="204"/>
      <c r="GJY1" s="204"/>
      <c r="GJZ1" s="204"/>
      <c r="GKA1" s="204"/>
      <c r="GKB1" s="204"/>
      <c r="GKC1" s="204"/>
      <c r="GKD1" s="204"/>
      <c r="GKE1" s="204"/>
      <c r="GKF1" s="204"/>
      <c r="GKG1" s="204"/>
      <c r="GKH1" s="204"/>
      <c r="GKI1" s="204"/>
      <c r="GKJ1" s="204"/>
      <c r="GKK1" s="204"/>
      <c r="GKL1" s="204"/>
      <c r="GKM1" s="204"/>
      <c r="GKN1" s="204"/>
      <c r="GKO1" s="204"/>
      <c r="GKP1" s="204"/>
      <c r="GKQ1" s="204"/>
      <c r="GKR1" s="204"/>
      <c r="GKS1" s="204"/>
      <c r="GKT1" s="204"/>
      <c r="GKU1" s="204"/>
      <c r="GKV1" s="204"/>
      <c r="GKW1" s="204"/>
      <c r="GKX1" s="205"/>
      <c r="GKY1" s="204"/>
      <c r="GKZ1" s="204"/>
      <c r="GLA1" s="204"/>
      <c r="GLB1" s="204"/>
      <c r="GLC1" s="204"/>
      <c r="GLD1" s="204"/>
      <c r="GLE1" s="204"/>
      <c r="GLF1" s="204"/>
      <c r="GLG1" s="204"/>
      <c r="GLH1" s="204"/>
      <c r="GLI1" s="204"/>
      <c r="GLJ1" s="204"/>
      <c r="GLK1" s="204"/>
      <c r="GLL1" s="204"/>
      <c r="GLM1" s="204"/>
      <c r="GLN1" s="204"/>
      <c r="GLO1" s="204"/>
      <c r="GLP1" s="204"/>
      <c r="GLQ1" s="204"/>
      <c r="GLR1" s="204"/>
      <c r="GLS1" s="204"/>
      <c r="GLT1" s="204"/>
      <c r="GLU1" s="204"/>
      <c r="GLV1" s="204"/>
      <c r="GLW1" s="204"/>
      <c r="GLX1" s="204"/>
      <c r="GLY1" s="204"/>
      <c r="GLZ1" s="205"/>
      <c r="GMA1" s="204"/>
      <c r="GMB1" s="204"/>
      <c r="GMC1" s="204"/>
      <c r="GMD1" s="204"/>
      <c r="GME1" s="204"/>
      <c r="GMF1" s="204"/>
      <c r="GMG1" s="204"/>
      <c r="GMH1" s="204"/>
      <c r="GMI1" s="204"/>
      <c r="GMJ1" s="204"/>
      <c r="GMK1" s="204"/>
      <c r="GML1" s="204"/>
      <c r="GMM1" s="204"/>
      <c r="GMN1" s="204"/>
      <c r="GMO1" s="204"/>
      <c r="GMP1" s="204"/>
      <c r="GMQ1" s="204"/>
      <c r="GMR1" s="204"/>
      <c r="GMS1" s="204"/>
      <c r="GMT1" s="204"/>
      <c r="GMU1" s="204"/>
      <c r="GMV1" s="204"/>
      <c r="GMW1" s="204"/>
      <c r="GMX1" s="204"/>
      <c r="GMY1" s="204"/>
      <c r="GMZ1" s="204"/>
      <c r="GNA1" s="204"/>
      <c r="GNB1" s="205"/>
      <c r="GNC1" s="204"/>
      <c r="GND1" s="204"/>
      <c r="GNE1" s="204"/>
      <c r="GNF1" s="204"/>
      <c r="GNG1" s="204"/>
      <c r="GNH1" s="204"/>
      <c r="GNI1" s="204"/>
      <c r="GNJ1" s="204"/>
      <c r="GNK1" s="204"/>
      <c r="GNL1" s="204"/>
      <c r="GNM1" s="204"/>
      <c r="GNN1" s="204"/>
      <c r="GNO1" s="204"/>
      <c r="GNP1" s="204"/>
      <c r="GNQ1" s="204"/>
      <c r="GNR1" s="204"/>
      <c r="GNS1" s="204"/>
      <c r="GNT1" s="204"/>
      <c r="GNU1" s="204"/>
      <c r="GNV1" s="204"/>
      <c r="GNW1" s="204"/>
      <c r="GNX1" s="204"/>
      <c r="GNY1" s="204"/>
      <c r="GNZ1" s="204"/>
      <c r="GOA1" s="204"/>
      <c r="GOB1" s="204"/>
      <c r="GOC1" s="204"/>
      <c r="GOD1" s="205"/>
      <c r="GOE1" s="204"/>
      <c r="GOF1" s="204"/>
      <c r="GOG1" s="204"/>
      <c r="GOH1" s="204"/>
      <c r="GOI1" s="204"/>
      <c r="GOJ1" s="204"/>
      <c r="GOK1" s="204"/>
      <c r="GOL1" s="204"/>
      <c r="GOM1" s="204"/>
      <c r="GON1" s="204"/>
      <c r="GOO1" s="204"/>
      <c r="GOP1" s="204"/>
      <c r="GOQ1" s="204"/>
      <c r="GOR1" s="204"/>
      <c r="GOS1" s="204"/>
      <c r="GOT1" s="204"/>
      <c r="GOU1" s="204"/>
      <c r="GOV1" s="204"/>
      <c r="GOW1" s="204"/>
      <c r="GOX1" s="204"/>
      <c r="GOY1" s="204"/>
      <c r="GOZ1" s="204"/>
      <c r="GPA1" s="204"/>
      <c r="GPB1" s="204"/>
      <c r="GPC1" s="204"/>
      <c r="GPD1" s="204"/>
      <c r="GPE1" s="204"/>
      <c r="GPF1" s="205"/>
      <c r="GPG1" s="204"/>
      <c r="GPH1" s="204"/>
      <c r="GPI1" s="204"/>
      <c r="GPJ1" s="204"/>
      <c r="GPK1" s="204"/>
      <c r="GPL1" s="204"/>
      <c r="GPM1" s="204"/>
      <c r="GPN1" s="204"/>
      <c r="GPO1" s="204"/>
      <c r="GPP1" s="204"/>
      <c r="GPQ1" s="204"/>
      <c r="GPR1" s="204"/>
      <c r="GPS1" s="204"/>
      <c r="GPT1" s="204"/>
      <c r="GPU1" s="204"/>
      <c r="GPV1" s="204"/>
      <c r="GPW1" s="204"/>
      <c r="GPX1" s="204"/>
      <c r="GPY1" s="204"/>
      <c r="GPZ1" s="204"/>
      <c r="GQA1" s="204"/>
      <c r="GQB1" s="204"/>
      <c r="GQC1" s="204"/>
      <c r="GQD1" s="204"/>
      <c r="GQE1" s="204"/>
      <c r="GQF1" s="204"/>
      <c r="GQG1" s="204"/>
      <c r="GQH1" s="205"/>
      <c r="GQI1" s="204"/>
      <c r="GQJ1" s="204"/>
      <c r="GQK1" s="204"/>
      <c r="GQL1" s="204"/>
      <c r="GQM1" s="204"/>
      <c r="GQN1" s="204"/>
      <c r="GQO1" s="204"/>
      <c r="GQP1" s="204"/>
      <c r="GQQ1" s="204"/>
      <c r="GQR1" s="204"/>
      <c r="GQS1" s="204"/>
      <c r="GQT1" s="204"/>
      <c r="GQU1" s="204"/>
      <c r="GQV1" s="204"/>
      <c r="GQW1" s="204"/>
      <c r="GQX1" s="204"/>
      <c r="GQY1" s="204"/>
      <c r="GQZ1" s="204"/>
      <c r="GRA1" s="204"/>
      <c r="GRB1" s="204"/>
      <c r="GRC1" s="204"/>
      <c r="GRD1" s="204"/>
      <c r="GRE1" s="204"/>
      <c r="GRF1" s="204"/>
      <c r="GRG1" s="204"/>
      <c r="GRH1" s="204"/>
      <c r="GRI1" s="204"/>
      <c r="GRJ1" s="205"/>
      <c r="GRK1" s="204"/>
      <c r="GRL1" s="204"/>
      <c r="GRM1" s="204"/>
      <c r="GRN1" s="204"/>
      <c r="GRO1" s="204"/>
      <c r="GRP1" s="204"/>
      <c r="GRQ1" s="204"/>
      <c r="GRR1" s="204"/>
      <c r="GRS1" s="204"/>
      <c r="GRT1" s="204"/>
      <c r="GRU1" s="204"/>
      <c r="GRV1" s="204"/>
      <c r="GRW1" s="204"/>
      <c r="GRX1" s="204"/>
      <c r="GRY1" s="204"/>
      <c r="GRZ1" s="204"/>
      <c r="GSA1" s="204"/>
      <c r="GSB1" s="204"/>
      <c r="GSC1" s="204"/>
      <c r="GSD1" s="204"/>
      <c r="GSE1" s="204"/>
      <c r="GSF1" s="204"/>
      <c r="GSG1" s="204"/>
      <c r="GSH1" s="204"/>
      <c r="GSI1" s="204"/>
      <c r="GSJ1" s="204"/>
      <c r="GSK1" s="204"/>
      <c r="GSL1" s="205"/>
      <c r="GSM1" s="204"/>
      <c r="GSN1" s="204"/>
      <c r="GSO1" s="204"/>
      <c r="GSP1" s="204"/>
      <c r="GSQ1" s="204"/>
      <c r="GSR1" s="204"/>
      <c r="GSS1" s="204"/>
      <c r="GST1" s="204"/>
      <c r="GSU1" s="204"/>
      <c r="GSV1" s="204"/>
      <c r="GSW1" s="204"/>
      <c r="GSX1" s="204"/>
      <c r="GSY1" s="204"/>
      <c r="GSZ1" s="204"/>
      <c r="GTA1" s="204"/>
      <c r="GTB1" s="204"/>
      <c r="GTC1" s="204"/>
      <c r="GTD1" s="204"/>
      <c r="GTE1" s="204"/>
      <c r="GTF1" s="204"/>
      <c r="GTG1" s="204"/>
      <c r="GTH1" s="204"/>
      <c r="GTI1" s="204"/>
      <c r="GTJ1" s="204"/>
      <c r="GTK1" s="204"/>
      <c r="GTL1" s="204"/>
      <c r="GTM1" s="204"/>
      <c r="GTN1" s="205"/>
      <c r="GTO1" s="204"/>
      <c r="GTP1" s="204"/>
      <c r="GTQ1" s="204"/>
      <c r="GTR1" s="204"/>
      <c r="GTS1" s="204"/>
      <c r="GTT1" s="204"/>
      <c r="GTU1" s="204"/>
      <c r="GTV1" s="204"/>
      <c r="GTW1" s="204"/>
      <c r="GTX1" s="204"/>
      <c r="GTY1" s="204"/>
      <c r="GTZ1" s="204"/>
      <c r="GUA1" s="204"/>
      <c r="GUB1" s="204"/>
      <c r="GUC1" s="204"/>
      <c r="GUD1" s="204"/>
      <c r="GUE1" s="204"/>
      <c r="GUF1" s="204"/>
      <c r="GUG1" s="204"/>
      <c r="GUH1" s="204"/>
      <c r="GUI1" s="204"/>
      <c r="GUJ1" s="204"/>
      <c r="GUK1" s="204"/>
      <c r="GUL1" s="204"/>
      <c r="GUM1" s="204"/>
      <c r="GUN1" s="204"/>
      <c r="GUO1" s="204"/>
      <c r="GUP1" s="205"/>
      <c r="GUQ1" s="204"/>
      <c r="GUR1" s="204"/>
      <c r="GUS1" s="204"/>
      <c r="GUT1" s="204"/>
      <c r="GUU1" s="204"/>
      <c r="GUV1" s="204"/>
      <c r="GUW1" s="204"/>
      <c r="GUX1" s="204"/>
      <c r="GUY1" s="204"/>
      <c r="GUZ1" s="204"/>
      <c r="GVA1" s="204"/>
      <c r="GVB1" s="204"/>
      <c r="GVC1" s="204"/>
      <c r="GVD1" s="204"/>
      <c r="GVE1" s="204"/>
      <c r="GVF1" s="204"/>
      <c r="GVG1" s="204"/>
      <c r="GVH1" s="204"/>
      <c r="GVI1" s="204"/>
      <c r="GVJ1" s="204"/>
      <c r="GVK1" s="204"/>
      <c r="GVL1" s="204"/>
      <c r="GVM1" s="204"/>
      <c r="GVN1" s="204"/>
      <c r="GVO1" s="204"/>
      <c r="GVP1" s="204"/>
      <c r="GVQ1" s="204"/>
      <c r="GVR1" s="205"/>
      <c r="GVS1" s="204"/>
      <c r="GVT1" s="204"/>
      <c r="GVU1" s="204"/>
      <c r="GVV1" s="204"/>
      <c r="GVW1" s="204"/>
      <c r="GVX1" s="204"/>
      <c r="GVY1" s="204"/>
      <c r="GVZ1" s="204"/>
      <c r="GWA1" s="204"/>
      <c r="GWB1" s="204"/>
      <c r="GWC1" s="204"/>
      <c r="GWD1" s="204"/>
      <c r="GWE1" s="204"/>
      <c r="GWF1" s="204"/>
      <c r="GWG1" s="204"/>
      <c r="GWH1" s="204"/>
      <c r="GWI1" s="204"/>
      <c r="GWJ1" s="204"/>
      <c r="GWK1" s="204"/>
      <c r="GWL1" s="204"/>
      <c r="GWM1" s="204"/>
      <c r="GWN1" s="204"/>
      <c r="GWO1" s="204"/>
      <c r="GWP1" s="204"/>
      <c r="GWQ1" s="204"/>
      <c r="GWR1" s="204"/>
      <c r="GWS1" s="204"/>
      <c r="GWT1" s="205"/>
      <c r="GWU1" s="204"/>
      <c r="GWV1" s="204"/>
      <c r="GWW1" s="204"/>
      <c r="GWX1" s="204"/>
      <c r="GWY1" s="204"/>
      <c r="GWZ1" s="204"/>
      <c r="GXA1" s="204"/>
      <c r="GXB1" s="204"/>
      <c r="GXC1" s="204"/>
      <c r="GXD1" s="204"/>
      <c r="GXE1" s="204"/>
      <c r="GXF1" s="204"/>
      <c r="GXG1" s="204"/>
      <c r="GXH1" s="204"/>
      <c r="GXI1" s="204"/>
      <c r="GXJ1" s="204"/>
      <c r="GXK1" s="204"/>
      <c r="GXL1" s="204"/>
      <c r="GXM1" s="204"/>
      <c r="GXN1" s="204"/>
      <c r="GXO1" s="204"/>
      <c r="GXP1" s="204"/>
      <c r="GXQ1" s="204"/>
      <c r="GXR1" s="204"/>
      <c r="GXS1" s="204"/>
      <c r="GXT1" s="204"/>
      <c r="GXU1" s="204"/>
      <c r="GXV1" s="205"/>
      <c r="GXW1" s="204"/>
      <c r="GXX1" s="204"/>
      <c r="GXY1" s="204"/>
      <c r="GXZ1" s="204"/>
      <c r="GYA1" s="204"/>
      <c r="GYB1" s="204"/>
      <c r="GYC1" s="204"/>
      <c r="GYD1" s="204"/>
      <c r="GYE1" s="204"/>
      <c r="GYF1" s="204"/>
      <c r="GYG1" s="204"/>
      <c r="GYH1" s="204"/>
      <c r="GYI1" s="204"/>
      <c r="GYJ1" s="204"/>
      <c r="GYK1" s="204"/>
      <c r="GYL1" s="204"/>
      <c r="GYM1" s="204"/>
      <c r="GYN1" s="204"/>
      <c r="GYO1" s="204"/>
      <c r="GYP1" s="204"/>
      <c r="GYQ1" s="204"/>
      <c r="GYR1" s="204"/>
      <c r="GYS1" s="204"/>
      <c r="GYT1" s="204"/>
      <c r="GYU1" s="204"/>
      <c r="GYV1" s="204"/>
      <c r="GYW1" s="204"/>
      <c r="GYX1" s="205"/>
      <c r="GYY1" s="204"/>
      <c r="GYZ1" s="204"/>
      <c r="GZA1" s="204"/>
      <c r="GZB1" s="204"/>
      <c r="GZC1" s="204"/>
      <c r="GZD1" s="204"/>
      <c r="GZE1" s="204"/>
      <c r="GZF1" s="204"/>
      <c r="GZG1" s="204"/>
      <c r="GZH1" s="204"/>
      <c r="GZI1" s="204"/>
      <c r="GZJ1" s="204"/>
      <c r="GZK1" s="204"/>
      <c r="GZL1" s="204"/>
      <c r="GZM1" s="204"/>
      <c r="GZN1" s="204"/>
      <c r="GZO1" s="204"/>
      <c r="GZP1" s="204"/>
      <c r="GZQ1" s="204"/>
      <c r="GZR1" s="204"/>
      <c r="GZS1" s="204"/>
      <c r="GZT1" s="204"/>
      <c r="GZU1" s="204"/>
      <c r="GZV1" s="204"/>
      <c r="GZW1" s="204"/>
      <c r="GZX1" s="204"/>
      <c r="GZY1" s="204"/>
      <c r="GZZ1" s="205"/>
      <c r="HAA1" s="204"/>
      <c r="HAB1" s="204"/>
      <c r="HAC1" s="204"/>
      <c r="HAD1" s="204"/>
      <c r="HAE1" s="204"/>
      <c r="HAF1" s="204"/>
      <c r="HAG1" s="204"/>
      <c r="HAH1" s="204"/>
      <c r="HAI1" s="204"/>
      <c r="HAJ1" s="204"/>
      <c r="HAK1" s="204"/>
      <c r="HAL1" s="204"/>
      <c r="HAM1" s="204"/>
      <c r="HAN1" s="204"/>
      <c r="HAO1" s="204"/>
      <c r="HAP1" s="204"/>
      <c r="HAQ1" s="204"/>
      <c r="HAR1" s="204"/>
      <c r="HAS1" s="204"/>
      <c r="HAT1" s="204"/>
      <c r="HAU1" s="204"/>
      <c r="HAV1" s="204"/>
      <c r="HAW1" s="204"/>
      <c r="HAX1" s="204"/>
      <c r="HAY1" s="204"/>
      <c r="HAZ1" s="204"/>
      <c r="HBA1" s="204"/>
      <c r="HBB1" s="205"/>
      <c r="HBC1" s="204"/>
      <c r="HBD1" s="204"/>
      <c r="HBE1" s="204"/>
      <c r="HBF1" s="204"/>
      <c r="HBG1" s="204"/>
      <c r="HBH1" s="204"/>
      <c r="HBI1" s="204"/>
      <c r="HBJ1" s="204"/>
      <c r="HBK1" s="204"/>
      <c r="HBL1" s="204"/>
      <c r="HBM1" s="204"/>
      <c r="HBN1" s="204"/>
      <c r="HBO1" s="204"/>
      <c r="HBP1" s="204"/>
      <c r="HBQ1" s="204"/>
      <c r="HBR1" s="204"/>
      <c r="HBS1" s="204"/>
      <c r="HBT1" s="204"/>
      <c r="HBU1" s="204"/>
      <c r="HBV1" s="204"/>
      <c r="HBW1" s="204"/>
      <c r="HBX1" s="204"/>
      <c r="HBY1" s="204"/>
      <c r="HBZ1" s="204"/>
      <c r="HCA1" s="204"/>
      <c r="HCB1" s="204"/>
      <c r="HCC1" s="204"/>
      <c r="HCD1" s="205"/>
      <c r="HCE1" s="204"/>
      <c r="HCF1" s="204"/>
      <c r="HCG1" s="204"/>
      <c r="HCH1" s="204"/>
      <c r="HCI1" s="204"/>
      <c r="HCJ1" s="204"/>
      <c r="HCK1" s="204"/>
      <c r="HCL1" s="204"/>
      <c r="HCM1" s="204"/>
      <c r="HCN1" s="204"/>
      <c r="HCO1" s="204"/>
      <c r="HCP1" s="204"/>
      <c r="HCQ1" s="204"/>
      <c r="HCR1" s="204"/>
      <c r="HCS1" s="204"/>
      <c r="HCT1" s="204"/>
      <c r="HCU1" s="204"/>
      <c r="HCV1" s="204"/>
      <c r="HCW1" s="204"/>
      <c r="HCX1" s="204"/>
      <c r="HCY1" s="204"/>
      <c r="HCZ1" s="204"/>
      <c r="HDA1" s="204"/>
      <c r="HDB1" s="204"/>
      <c r="HDC1" s="204"/>
      <c r="HDD1" s="204"/>
      <c r="HDE1" s="204"/>
      <c r="HDF1" s="205"/>
      <c r="HDG1" s="204"/>
      <c r="HDH1" s="204"/>
      <c r="HDI1" s="204"/>
      <c r="HDJ1" s="204"/>
      <c r="HDK1" s="204"/>
      <c r="HDL1" s="204"/>
      <c r="HDM1" s="204"/>
      <c r="HDN1" s="204"/>
      <c r="HDO1" s="204"/>
      <c r="HDP1" s="204"/>
      <c r="HDQ1" s="204"/>
      <c r="HDR1" s="204"/>
      <c r="HDS1" s="204"/>
      <c r="HDT1" s="204"/>
      <c r="HDU1" s="204"/>
      <c r="HDV1" s="204"/>
      <c r="HDW1" s="204"/>
      <c r="HDX1" s="204"/>
      <c r="HDY1" s="204"/>
      <c r="HDZ1" s="204"/>
      <c r="HEA1" s="204"/>
      <c r="HEB1" s="204"/>
      <c r="HEC1" s="204"/>
      <c r="HED1" s="204"/>
      <c r="HEE1" s="204"/>
      <c r="HEF1" s="204"/>
      <c r="HEG1" s="204"/>
      <c r="HEH1" s="205"/>
      <c r="HEI1" s="204"/>
      <c r="HEJ1" s="204"/>
      <c r="HEK1" s="204"/>
      <c r="HEL1" s="204"/>
      <c r="HEM1" s="204"/>
      <c r="HEN1" s="204"/>
      <c r="HEO1" s="204"/>
      <c r="HEP1" s="204"/>
      <c r="HEQ1" s="204"/>
      <c r="HER1" s="204"/>
      <c r="HES1" s="204"/>
      <c r="HET1" s="204"/>
      <c r="HEU1" s="204"/>
      <c r="HEV1" s="204"/>
      <c r="HEW1" s="204"/>
      <c r="HEX1" s="204"/>
      <c r="HEY1" s="204"/>
      <c r="HEZ1" s="204"/>
      <c r="HFA1" s="204"/>
      <c r="HFB1" s="204"/>
      <c r="HFC1" s="204"/>
      <c r="HFD1" s="204"/>
      <c r="HFE1" s="204"/>
      <c r="HFF1" s="204"/>
      <c r="HFG1" s="204"/>
      <c r="HFH1" s="204"/>
      <c r="HFI1" s="204"/>
      <c r="HFJ1" s="205"/>
      <c r="HFK1" s="204"/>
      <c r="HFL1" s="204"/>
      <c r="HFM1" s="204"/>
      <c r="HFN1" s="204"/>
      <c r="HFO1" s="204"/>
      <c r="HFP1" s="204"/>
      <c r="HFQ1" s="204"/>
      <c r="HFR1" s="204"/>
      <c r="HFS1" s="204"/>
      <c r="HFT1" s="204"/>
      <c r="HFU1" s="204"/>
      <c r="HFV1" s="204"/>
      <c r="HFW1" s="204"/>
      <c r="HFX1" s="204"/>
      <c r="HFY1" s="204"/>
      <c r="HFZ1" s="204"/>
      <c r="HGA1" s="204"/>
      <c r="HGB1" s="204"/>
      <c r="HGC1" s="204"/>
      <c r="HGD1" s="204"/>
      <c r="HGE1" s="204"/>
      <c r="HGF1" s="204"/>
      <c r="HGG1" s="204"/>
      <c r="HGH1" s="204"/>
      <c r="HGI1" s="204"/>
      <c r="HGJ1" s="204"/>
      <c r="HGK1" s="204"/>
      <c r="HGL1" s="205"/>
      <c r="HGM1" s="204"/>
      <c r="HGN1" s="204"/>
      <c r="HGO1" s="204"/>
      <c r="HGP1" s="204"/>
      <c r="HGQ1" s="204"/>
      <c r="HGR1" s="204"/>
      <c r="HGS1" s="204"/>
      <c r="HGT1" s="204"/>
      <c r="HGU1" s="204"/>
      <c r="HGV1" s="204"/>
      <c r="HGW1" s="204"/>
      <c r="HGX1" s="204"/>
      <c r="HGY1" s="204"/>
      <c r="HGZ1" s="204"/>
      <c r="HHA1" s="204"/>
      <c r="HHB1" s="204"/>
      <c r="HHC1" s="204"/>
      <c r="HHD1" s="204"/>
      <c r="HHE1" s="204"/>
      <c r="HHF1" s="204"/>
      <c r="HHG1" s="204"/>
      <c r="HHH1" s="204"/>
      <c r="HHI1" s="204"/>
      <c r="HHJ1" s="204"/>
      <c r="HHK1" s="204"/>
      <c r="HHL1" s="204"/>
      <c r="HHM1" s="204"/>
      <c r="HHN1" s="205"/>
      <c r="HHO1" s="204"/>
      <c r="HHP1" s="204"/>
      <c r="HHQ1" s="204"/>
      <c r="HHR1" s="204"/>
      <c r="HHS1" s="204"/>
      <c r="HHT1" s="204"/>
      <c r="HHU1" s="204"/>
      <c r="HHV1" s="204"/>
      <c r="HHW1" s="204"/>
      <c r="HHX1" s="204"/>
      <c r="HHY1" s="204"/>
      <c r="HHZ1" s="204"/>
      <c r="HIA1" s="204"/>
      <c r="HIB1" s="204"/>
      <c r="HIC1" s="204"/>
      <c r="HID1" s="204"/>
      <c r="HIE1" s="204"/>
      <c r="HIF1" s="204"/>
      <c r="HIG1" s="204"/>
      <c r="HIH1" s="204"/>
      <c r="HII1" s="204"/>
      <c r="HIJ1" s="204"/>
      <c r="HIK1" s="204"/>
      <c r="HIL1" s="204"/>
      <c r="HIM1" s="204"/>
      <c r="HIN1" s="204"/>
      <c r="HIO1" s="204"/>
      <c r="HIP1" s="205"/>
      <c r="HIQ1" s="204"/>
      <c r="HIR1" s="204"/>
      <c r="HIS1" s="204"/>
      <c r="HIT1" s="204"/>
      <c r="HIU1" s="204"/>
      <c r="HIV1" s="204"/>
      <c r="HIW1" s="204"/>
      <c r="HIX1" s="204"/>
      <c r="HIY1" s="204"/>
      <c r="HIZ1" s="204"/>
      <c r="HJA1" s="204"/>
      <c r="HJB1" s="204"/>
      <c r="HJC1" s="204"/>
      <c r="HJD1" s="204"/>
      <c r="HJE1" s="204"/>
      <c r="HJF1" s="204"/>
      <c r="HJG1" s="204"/>
      <c r="HJH1" s="204"/>
      <c r="HJI1" s="204"/>
      <c r="HJJ1" s="204"/>
      <c r="HJK1" s="204"/>
      <c r="HJL1" s="204"/>
      <c r="HJM1" s="204"/>
      <c r="HJN1" s="204"/>
      <c r="HJO1" s="204"/>
      <c r="HJP1" s="204"/>
      <c r="HJQ1" s="204"/>
      <c r="HJR1" s="205"/>
      <c r="HJS1" s="204"/>
      <c r="HJT1" s="204"/>
      <c r="HJU1" s="204"/>
      <c r="HJV1" s="204"/>
      <c r="HJW1" s="204"/>
      <c r="HJX1" s="204"/>
      <c r="HJY1" s="204"/>
      <c r="HJZ1" s="204"/>
      <c r="HKA1" s="204"/>
      <c r="HKB1" s="204"/>
      <c r="HKC1" s="204"/>
      <c r="HKD1" s="204"/>
      <c r="HKE1" s="204"/>
      <c r="HKF1" s="204"/>
      <c r="HKG1" s="204"/>
      <c r="HKH1" s="204"/>
      <c r="HKI1" s="204"/>
      <c r="HKJ1" s="204"/>
      <c r="HKK1" s="204"/>
      <c r="HKL1" s="204"/>
      <c r="HKM1" s="204"/>
      <c r="HKN1" s="204"/>
      <c r="HKO1" s="204"/>
      <c r="HKP1" s="204"/>
      <c r="HKQ1" s="204"/>
      <c r="HKR1" s="204"/>
      <c r="HKS1" s="204"/>
      <c r="HKT1" s="205"/>
      <c r="HKU1" s="204"/>
      <c r="HKV1" s="204"/>
      <c r="HKW1" s="204"/>
      <c r="HKX1" s="204"/>
      <c r="HKY1" s="204"/>
      <c r="HKZ1" s="204"/>
      <c r="HLA1" s="204"/>
      <c r="HLB1" s="204"/>
      <c r="HLC1" s="204"/>
      <c r="HLD1" s="204"/>
      <c r="HLE1" s="204"/>
      <c r="HLF1" s="204"/>
      <c r="HLG1" s="204"/>
      <c r="HLH1" s="204"/>
      <c r="HLI1" s="204"/>
      <c r="HLJ1" s="204"/>
      <c r="HLK1" s="204"/>
      <c r="HLL1" s="204"/>
      <c r="HLM1" s="204"/>
      <c r="HLN1" s="204"/>
      <c r="HLO1" s="204"/>
      <c r="HLP1" s="204"/>
      <c r="HLQ1" s="204"/>
      <c r="HLR1" s="204"/>
      <c r="HLS1" s="204"/>
      <c r="HLT1" s="204"/>
      <c r="HLU1" s="204"/>
      <c r="HLV1" s="205"/>
      <c r="HLW1" s="204"/>
      <c r="HLX1" s="204"/>
      <c r="HLY1" s="204"/>
      <c r="HLZ1" s="204"/>
      <c r="HMA1" s="204"/>
      <c r="HMB1" s="204"/>
      <c r="HMC1" s="204"/>
      <c r="HMD1" s="204"/>
      <c r="HME1" s="204"/>
      <c r="HMF1" s="204"/>
      <c r="HMG1" s="204"/>
      <c r="HMH1" s="204"/>
      <c r="HMI1" s="204"/>
      <c r="HMJ1" s="204"/>
      <c r="HMK1" s="204"/>
      <c r="HML1" s="204"/>
      <c r="HMM1" s="204"/>
      <c r="HMN1" s="204"/>
      <c r="HMO1" s="204"/>
      <c r="HMP1" s="204"/>
      <c r="HMQ1" s="204"/>
      <c r="HMR1" s="204"/>
      <c r="HMS1" s="204"/>
      <c r="HMT1" s="204"/>
      <c r="HMU1" s="204"/>
      <c r="HMV1" s="204"/>
      <c r="HMW1" s="204"/>
      <c r="HMX1" s="205"/>
      <c r="HMY1" s="204"/>
      <c r="HMZ1" s="204"/>
      <c r="HNA1" s="204"/>
      <c r="HNB1" s="204"/>
      <c r="HNC1" s="204"/>
      <c r="HND1" s="204"/>
      <c r="HNE1" s="204"/>
      <c r="HNF1" s="204"/>
      <c r="HNG1" s="204"/>
      <c r="HNH1" s="204"/>
      <c r="HNI1" s="204"/>
      <c r="HNJ1" s="204"/>
      <c r="HNK1" s="204"/>
      <c r="HNL1" s="204"/>
      <c r="HNM1" s="204"/>
      <c r="HNN1" s="204"/>
      <c r="HNO1" s="204"/>
      <c r="HNP1" s="204"/>
      <c r="HNQ1" s="204"/>
      <c r="HNR1" s="204"/>
      <c r="HNS1" s="204"/>
      <c r="HNT1" s="204"/>
      <c r="HNU1" s="204"/>
      <c r="HNV1" s="204"/>
      <c r="HNW1" s="204"/>
      <c r="HNX1" s="204"/>
      <c r="HNY1" s="204"/>
      <c r="HNZ1" s="205"/>
      <c r="HOA1" s="204"/>
      <c r="HOB1" s="204"/>
      <c r="HOC1" s="204"/>
      <c r="HOD1" s="204"/>
      <c r="HOE1" s="204"/>
      <c r="HOF1" s="204"/>
      <c r="HOG1" s="204"/>
      <c r="HOH1" s="204"/>
      <c r="HOI1" s="204"/>
      <c r="HOJ1" s="204"/>
      <c r="HOK1" s="204"/>
      <c r="HOL1" s="204"/>
      <c r="HOM1" s="204"/>
      <c r="HON1" s="204"/>
      <c r="HOO1" s="204"/>
      <c r="HOP1" s="204"/>
      <c r="HOQ1" s="204"/>
      <c r="HOR1" s="204"/>
      <c r="HOS1" s="204"/>
      <c r="HOT1" s="204"/>
      <c r="HOU1" s="204"/>
      <c r="HOV1" s="204"/>
      <c r="HOW1" s="204"/>
      <c r="HOX1" s="204"/>
      <c r="HOY1" s="204"/>
      <c r="HOZ1" s="204"/>
      <c r="HPA1" s="204"/>
      <c r="HPB1" s="205"/>
      <c r="HPC1" s="204"/>
      <c r="HPD1" s="204"/>
      <c r="HPE1" s="204"/>
      <c r="HPF1" s="204"/>
      <c r="HPG1" s="204"/>
      <c r="HPH1" s="204"/>
      <c r="HPI1" s="204"/>
      <c r="HPJ1" s="204"/>
      <c r="HPK1" s="204"/>
      <c r="HPL1" s="204"/>
      <c r="HPM1" s="204"/>
      <c r="HPN1" s="204"/>
      <c r="HPO1" s="204"/>
      <c r="HPP1" s="204"/>
      <c r="HPQ1" s="204"/>
      <c r="HPR1" s="204"/>
      <c r="HPS1" s="204"/>
      <c r="HPT1" s="204"/>
      <c r="HPU1" s="204"/>
      <c r="HPV1" s="204"/>
      <c r="HPW1" s="204"/>
      <c r="HPX1" s="204"/>
      <c r="HPY1" s="204"/>
      <c r="HPZ1" s="204"/>
      <c r="HQA1" s="204"/>
      <c r="HQB1" s="204"/>
      <c r="HQC1" s="204"/>
      <c r="HQD1" s="205"/>
      <c r="HQE1" s="204"/>
      <c r="HQF1" s="204"/>
      <c r="HQG1" s="204"/>
      <c r="HQH1" s="204"/>
      <c r="HQI1" s="204"/>
      <c r="HQJ1" s="204"/>
      <c r="HQK1" s="204"/>
      <c r="HQL1" s="204"/>
      <c r="HQM1" s="204"/>
      <c r="HQN1" s="204"/>
      <c r="HQO1" s="204"/>
      <c r="HQP1" s="204"/>
      <c r="HQQ1" s="204"/>
      <c r="HQR1" s="204"/>
      <c r="HQS1" s="204"/>
      <c r="HQT1" s="204"/>
      <c r="HQU1" s="204"/>
      <c r="HQV1" s="204"/>
      <c r="HQW1" s="204"/>
      <c r="HQX1" s="204"/>
      <c r="HQY1" s="204"/>
      <c r="HQZ1" s="204"/>
      <c r="HRA1" s="204"/>
      <c r="HRB1" s="204"/>
      <c r="HRC1" s="204"/>
      <c r="HRD1" s="204"/>
      <c r="HRE1" s="204"/>
      <c r="HRF1" s="205"/>
      <c r="HRG1" s="204"/>
      <c r="HRH1" s="204"/>
      <c r="HRI1" s="204"/>
      <c r="HRJ1" s="204"/>
      <c r="HRK1" s="204"/>
      <c r="HRL1" s="204"/>
      <c r="HRM1" s="204"/>
      <c r="HRN1" s="204"/>
      <c r="HRO1" s="204"/>
      <c r="HRP1" s="204"/>
      <c r="HRQ1" s="204"/>
      <c r="HRR1" s="204"/>
      <c r="HRS1" s="204"/>
      <c r="HRT1" s="204"/>
      <c r="HRU1" s="204"/>
      <c r="HRV1" s="204"/>
      <c r="HRW1" s="204"/>
      <c r="HRX1" s="204"/>
      <c r="HRY1" s="204"/>
      <c r="HRZ1" s="204"/>
      <c r="HSA1" s="204"/>
      <c r="HSB1" s="204"/>
      <c r="HSC1" s="204"/>
      <c r="HSD1" s="204"/>
      <c r="HSE1" s="204"/>
      <c r="HSF1" s="204"/>
      <c r="HSG1" s="204"/>
      <c r="HSH1" s="205"/>
      <c r="HSI1" s="204"/>
      <c r="HSJ1" s="204"/>
      <c r="HSK1" s="204"/>
      <c r="HSL1" s="204"/>
      <c r="HSM1" s="204"/>
      <c r="HSN1" s="204"/>
      <c r="HSO1" s="204"/>
      <c r="HSP1" s="204"/>
      <c r="HSQ1" s="204"/>
      <c r="HSR1" s="204"/>
      <c r="HSS1" s="204"/>
      <c r="HST1" s="204"/>
      <c r="HSU1" s="204"/>
      <c r="HSV1" s="204"/>
      <c r="HSW1" s="204"/>
      <c r="HSX1" s="204"/>
      <c r="HSY1" s="204"/>
      <c r="HSZ1" s="204"/>
      <c r="HTA1" s="204"/>
      <c r="HTB1" s="204"/>
      <c r="HTC1" s="204"/>
      <c r="HTD1" s="204"/>
      <c r="HTE1" s="204"/>
      <c r="HTF1" s="204"/>
      <c r="HTG1" s="204"/>
      <c r="HTH1" s="204"/>
      <c r="HTI1" s="204"/>
      <c r="HTJ1" s="205"/>
      <c r="HTK1" s="204"/>
      <c r="HTL1" s="204"/>
      <c r="HTM1" s="204"/>
      <c r="HTN1" s="204"/>
      <c r="HTO1" s="204"/>
      <c r="HTP1" s="204"/>
      <c r="HTQ1" s="204"/>
      <c r="HTR1" s="204"/>
      <c r="HTS1" s="204"/>
      <c r="HTT1" s="204"/>
      <c r="HTU1" s="204"/>
      <c r="HTV1" s="204"/>
      <c r="HTW1" s="204"/>
      <c r="HTX1" s="204"/>
      <c r="HTY1" s="204"/>
      <c r="HTZ1" s="204"/>
      <c r="HUA1" s="204"/>
      <c r="HUB1" s="204"/>
      <c r="HUC1" s="204"/>
      <c r="HUD1" s="204"/>
      <c r="HUE1" s="204"/>
      <c r="HUF1" s="204"/>
      <c r="HUG1" s="204"/>
      <c r="HUH1" s="204"/>
      <c r="HUI1" s="204"/>
      <c r="HUJ1" s="204"/>
      <c r="HUK1" s="204"/>
      <c r="HUL1" s="205"/>
      <c r="HUM1" s="204"/>
      <c r="HUN1" s="204"/>
      <c r="HUO1" s="204"/>
      <c r="HUP1" s="204"/>
      <c r="HUQ1" s="204"/>
      <c r="HUR1" s="204"/>
      <c r="HUS1" s="204"/>
      <c r="HUT1" s="204"/>
      <c r="HUU1" s="204"/>
      <c r="HUV1" s="204"/>
      <c r="HUW1" s="204"/>
      <c r="HUX1" s="204"/>
      <c r="HUY1" s="204"/>
      <c r="HUZ1" s="204"/>
      <c r="HVA1" s="204"/>
      <c r="HVB1" s="204"/>
      <c r="HVC1" s="204"/>
      <c r="HVD1" s="204"/>
      <c r="HVE1" s="204"/>
      <c r="HVF1" s="204"/>
      <c r="HVG1" s="204"/>
      <c r="HVH1" s="204"/>
      <c r="HVI1" s="204"/>
      <c r="HVJ1" s="204"/>
      <c r="HVK1" s="204"/>
      <c r="HVL1" s="204"/>
      <c r="HVM1" s="204"/>
      <c r="HVN1" s="205"/>
      <c r="HVO1" s="204"/>
      <c r="HVP1" s="204"/>
      <c r="HVQ1" s="204"/>
      <c r="HVR1" s="204"/>
      <c r="HVS1" s="204"/>
      <c r="HVT1" s="204"/>
      <c r="HVU1" s="204"/>
      <c r="HVV1" s="204"/>
      <c r="HVW1" s="204"/>
      <c r="HVX1" s="204"/>
      <c r="HVY1" s="204"/>
      <c r="HVZ1" s="204"/>
      <c r="HWA1" s="204"/>
      <c r="HWB1" s="204"/>
      <c r="HWC1" s="204"/>
      <c r="HWD1" s="204"/>
      <c r="HWE1" s="204"/>
      <c r="HWF1" s="204"/>
      <c r="HWG1" s="204"/>
      <c r="HWH1" s="204"/>
      <c r="HWI1" s="204"/>
      <c r="HWJ1" s="204"/>
      <c r="HWK1" s="204"/>
      <c r="HWL1" s="204"/>
      <c r="HWM1" s="204"/>
      <c r="HWN1" s="204"/>
      <c r="HWO1" s="204"/>
      <c r="HWP1" s="205"/>
      <c r="HWQ1" s="204"/>
      <c r="HWR1" s="204"/>
      <c r="HWS1" s="204"/>
      <c r="HWT1" s="204"/>
      <c r="HWU1" s="204"/>
      <c r="HWV1" s="204"/>
      <c r="HWW1" s="204"/>
      <c r="HWX1" s="204"/>
      <c r="HWY1" s="204"/>
      <c r="HWZ1" s="204"/>
      <c r="HXA1" s="204"/>
      <c r="HXB1" s="204"/>
      <c r="HXC1" s="204"/>
      <c r="HXD1" s="204"/>
      <c r="HXE1" s="204"/>
      <c r="HXF1" s="204"/>
      <c r="HXG1" s="204"/>
      <c r="HXH1" s="204"/>
      <c r="HXI1" s="204"/>
      <c r="HXJ1" s="204"/>
      <c r="HXK1" s="204"/>
      <c r="HXL1" s="204"/>
      <c r="HXM1" s="204"/>
      <c r="HXN1" s="204"/>
      <c r="HXO1" s="204"/>
      <c r="HXP1" s="204"/>
      <c r="HXQ1" s="204"/>
      <c r="HXR1" s="205"/>
      <c r="HXS1" s="204"/>
      <c r="HXT1" s="204"/>
      <c r="HXU1" s="204"/>
      <c r="HXV1" s="204"/>
      <c r="HXW1" s="204"/>
      <c r="HXX1" s="204"/>
      <c r="HXY1" s="204"/>
      <c r="HXZ1" s="204"/>
      <c r="HYA1" s="204"/>
      <c r="HYB1" s="204"/>
      <c r="HYC1" s="204"/>
      <c r="HYD1" s="204"/>
      <c r="HYE1" s="204"/>
      <c r="HYF1" s="204"/>
      <c r="HYG1" s="204"/>
      <c r="HYH1" s="204"/>
      <c r="HYI1" s="204"/>
      <c r="HYJ1" s="204"/>
      <c r="HYK1" s="204"/>
      <c r="HYL1" s="204"/>
      <c r="HYM1" s="204"/>
      <c r="HYN1" s="204"/>
      <c r="HYO1" s="204"/>
      <c r="HYP1" s="204"/>
      <c r="HYQ1" s="204"/>
      <c r="HYR1" s="204"/>
      <c r="HYS1" s="204"/>
      <c r="HYT1" s="205"/>
      <c r="HYU1" s="204"/>
      <c r="HYV1" s="204"/>
      <c r="HYW1" s="204"/>
      <c r="HYX1" s="204"/>
      <c r="HYY1" s="204"/>
      <c r="HYZ1" s="204"/>
      <c r="HZA1" s="204"/>
      <c r="HZB1" s="204"/>
      <c r="HZC1" s="204"/>
      <c r="HZD1" s="204"/>
      <c r="HZE1" s="204"/>
      <c r="HZF1" s="204"/>
      <c r="HZG1" s="204"/>
      <c r="HZH1" s="204"/>
      <c r="HZI1" s="204"/>
      <c r="HZJ1" s="204"/>
      <c r="HZK1" s="204"/>
      <c r="HZL1" s="204"/>
      <c r="HZM1" s="204"/>
      <c r="HZN1" s="204"/>
      <c r="HZO1" s="204"/>
      <c r="HZP1" s="204"/>
      <c r="HZQ1" s="204"/>
      <c r="HZR1" s="204"/>
      <c r="HZS1" s="204"/>
      <c r="HZT1" s="204"/>
      <c r="HZU1" s="204"/>
      <c r="HZV1" s="205"/>
      <c r="HZW1" s="204"/>
      <c r="HZX1" s="204"/>
      <c r="HZY1" s="204"/>
      <c r="HZZ1" s="204"/>
      <c r="IAA1" s="204"/>
      <c r="IAB1" s="204"/>
      <c r="IAC1" s="204"/>
      <c r="IAD1" s="204"/>
      <c r="IAE1" s="204"/>
      <c r="IAF1" s="204"/>
      <c r="IAG1" s="204"/>
      <c r="IAH1" s="204"/>
      <c r="IAI1" s="204"/>
      <c r="IAJ1" s="204"/>
      <c r="IAK1" s="204"/>
      <c r="IAL1" s="204"/>
      <c r="IAM1" s="204"/>
      <c r="IAN1" s="204"/>
      <c r="IAO1" s="204"/>
      <c r="IAP1" s="204"/>
      <c r="IAQ1" s="204"/>
      <c r="IAR1" s="204"/>
      <c r="IAS1" s="204"/>
      <c r="IAT1" s="204"/>
      <c r="IAU1" s="204"/>
      <c r="IAV1" s="204"/>
      <c r="IAW1" s="204"/>
      <c r="IAX1" s="205"/>
      <c r="IAY1" s="204"/>
      <c r="IAZ1" s="204"/>
      <c r="IBA1" s="204"/>
      <c r="IBB1" s="204"/>
      <c r="IBC1" s="204"/>
      <c r="IBD1" s="204"/>
      <c r="IBE1" s="204"/>
      <c r="IBF1" s="204"/>
      <c r="IBG1" s="204"/>
      <c r="IBH1" s="204"/>
      <c r="IBI1" s="204"/>
      <c r="IBJ1" s="204"/>
      <c r="IBK1" s="204"/>
      <c r="IBL1" s="204"/>
      <c r="IBM1" s="204"/>
      <c r="IBN1" s="204"/>
      <c r="IBO1" s="204"/>
      <c r="IBP1" s="204"/>
      <c r="IBQ1" s="204"/>
      <c r="IBR1" s="204"/>
      <c r="IBS1" s="204"/>
      <c r="IBT1" s="204"/>
      <c r="IBU1" s="204"/>
      <c r="IBV1" s="204"/>
      <c r="IBW1" s="204"/>
      <c r="IBX1" s="204"/>
      <c r="IBY1" s="204"/>
      <c r="IBZ1" s="205"/>
      <c r="ICA1" s="204"/>
      <c r="ICB1" s="204"/>
      <c r="ICC1" s="204"/>
      <c r="ICD1" s="204"/>
      <c r="ICE1" s="204"/>
      <c r="ICF1" s="204"/>
      <c r="ICG1" s="204"/>
      <c r="ICH1" s="204"/>
      <c r="ICI1" s="204"/>
      <c r="ICJ1" s="204"/>
      <c r="ICK1" s="204"/>
      <c r="ICL1" s="204"/>
      <c r="ICM1" s="204"/>
      <c r="ICN1" s="204"/>
      <c r="ICO1" s="204"/>
      <c r="ICP1" s="204"/>
      <c r="ICQ1" s="204"/>
      <c r="ICR1" s="204"/>
      <c r="ICS1" s="204"/>
      <c r="ICT1" s="204"/>
      <c r="ICU1" s="204"/>
      <c r="ICV1" s="204"/>
      <c r="ICW1" s="204"/>
      <c r="ICX1" s="204"/>
      <c r="ICY1" s="204"/>
      <c r="ICZ1" s="204"/>
      <c r="IDA1" s="204"/>
      <c r="IDB1" s="205"/>
      <c r="IDC1" s="204"/>
      <c r="IDD1" s="204"/>
      <c r="IDE1" s="204"/>
      <c r="IDF1" s="204"/>
      <c r="IDG1" s="204"/>
      <c r="IDH1" s="204"/>
      <c r="IDI1" s="204"/>
      <c r="IDJ1" s="204"/>
      <c r="IDK1" s="204"/>
      <c r="IDL1" s="204"/>
      <c r="IDM1" s="204"/>
      <c r="IDN1" s="204"/>
      <c r="IDO1" s="204"/>
      <c r="IDP1" s="204"/>
      <c r="IDQ1" s="204"/>
      <c r="IDR1" s="204"/>
      <c r="IDS1" s="204"/>
      <c r="IDT1" s="204"/>
      <c r="IDU1" s="204"/>
      <c r="IDV1" s="204"/>
      <c r="IDW1" s="204"/>
      <c r="IDX1" s="204"/>
      <c r="IDY1" s="204"/>
      <c r="IDZ1" s="204"/>
      <c r="IEA1" s="204"/>
      <c r="IEB1" s="204"/>
      <c r="IEC1" s="204"/>
      <c r="IED1" s="205"/>
      <c r="IEE1" s="204"/>
      <c r="IEF1" s="204"/>
      <c r="IEG1" s="204"/>
      <c r="IEH1" s="204"/>
      <c r="IEI1" s="204"/>
      <c r="IEJ1" s="204"/>
      <c r="IEK1" s="204"/>
      <c r="IEL1" s="204"/>
      <c r="IEM1" s="204"/>
      <c r="IEN1" s="204"/>
      <c r="IEO1" s="204"/>
      <c r="IEP1" s="204"/>
      <c r="IEQ1" s="204"/>
      <c r="IER1" s="204"/>
      <c r="IES1" s="204"/>
      <c r="IET1" s="204"/>
      <c r="IEU1" s="204"/>
      <c r="IEV1" s="204"/>
      <c r="IEW1" s="204"/>
      <c r="IEX1" s="204"/>
      <c r="IEY1" s="204"/>
      <c r="IEZ1" s="204"/>
      <c r="IFA1" s="204"/>
      <c r="IFB1" s="204"/>
      <c r="IFC1" s="204"/>
      <c r="IFD1" s="204"/>
      <c r="IFE1" s="204"/>
      <c r="IFF1" s="205"/>
      <c r="IFG1" s="204"/>
      <c r="IFH1" s="204"/>
      <c r="IFI1" s="204"/>
      <c r="IFJ1" s="204"/>
      <c r="IFK1" s="204"/>
      <c r="IFL1" s="204"/>
      <c r="IFM1" s="204"/>
      <c r="IFN1" s="204"/>
      <c r="IFO1" s="204"/>
      <c r="IFP1" s="204"/>
      <c r="IFQ1" s="204"/>
      <c r="IFR1" s="204"/>
      <c r="IFS1" s="204"/>
      <c r="IFT1" s="204"/>
      <c r="IFU1" s="204"/>
      <c r="IFV1" s="204"/>
      <c r="IFW1" s="204"/>
      <c r="IFX1" s="204"/>
      <c r="IFY1" s="204"/>
      <c r="IFZ1" s="204"/>
      <c r="IGA1" s="204"/>
      <c r="IGB1" s="204"/>
      <c r="IGC1" s="204"/>
      <c r="IGD1" s="204"/>
      <c r="IGE1" s="204"/>
      <c r="IGF1" s="204"/>
      <c r="IGG1" s="204"/>
      <c r="IGH1" s="205"/>
      <c r="IGI1" s="204"/>
      <c r="IGJ1" s="204"/>
      <c r="IGK1" s="204"/>
      <c r="IGL1" s="204"/>
      <c r="IGM1" s="204"/>
      <c r="IGN1" s="204"/>
      <c r="IGO1" s="204"/>
      <c r="IGP1" s="204"/>
      <c r="IGQ1" s="204"/>
      <c r="IGR1" s="204"/>
      <c r="IGS1" s="204"/>
      <c r="IGT1" s="204"/>
      <c r="IGU1" s="204"/>
      <c r="IGV1" s="204"/>
      <c r="IGW1" s="204"/>
      <c r="IGX1" s="204"/>
      <c r="IGY1" s="204"/>
      <c r="IGZ1" s="204"/>
      <c r="IHA1" s="204"/>
      <c r="IHB1" s="204"/>
      <c r="IHC1" s="204"/>
      <c r="IHD1" s="204"/>
      <c r="IHE1" s="204"/>
      <c r="IHF1" s="204"/>
      <c r="IHG1" s="204"/>
      <c r="IHH1" s="204"/>
      <c r="IHI1" s="204"/>
      <c r="IHJ1" s="205"/>
      <c r="IHK1" s="204"/>
      <c r="IHL1" s="204"/>
      <c r="IHM1" s="204"/>
      <c r="IHN1" s="204"/>
      <c r="IHO1" s="204"/>
      <c r="IHP1" s="204"/>
      <c r="IHQ1" s="204"/>
      <c r="IHR1" s="204"/>
      <c r="IHS1" s="204"/>
      <c r="IHT1" s="204"/>
      <c r="IHU1" s="204"/>
      <c r="IHV1" s="204"/>
      <c r="IHW1" s="204"/>
      <c r="IHX1" s="204"/>
      <c r="IHY1" s="204"/>
      <c r="IHZ1" s="204"/>
      <c r="IIA1" s="204"/>
      <c r="IIB1" s="204"/>
      <c r="IIC1" s="204"/>
      <c r="IID1" s="204"/>
      <c r="IIE1" s="204"/>
      <c r="IIF1" s="204"/>
      <c r="IIG1" s="204"/>
      <c r="IIH1" s="204"/>
      <c r="III1" s="204"/>
      <c r="IIJ1" s="204"/>
      <c r="IIK1" s="204"/>
      <c r="IIL1" s="205"/>
      <c r="IIM1" s="204"/>
      <c r="IIN1" s="204"/>
      <c r="IIO1" s="204"/>
      <c r="IIP1" s="204"/>
      <c r="IIQ1" s="204"/>
      <c r="IIR1" s="204"/>
      <c r="IIS1" s="204"/>
      <c r="IIT1" s="204"/>
      <c r="IIU1" s="204"/>
      <c r="IIV1" s="204"/>
      <c r="IIW1" s="204"/>
      <c r="IIX1" s="204"/>
      <c r="IIY1" s="204"/>
      <c r="IIZ1" s="204"/>
      <c r="IJA1" s="204"/>
      <c r="IJB1" s="204"/>
      <c r="IJC1" s="204"/>
      <c r="IJD1" s="204"/>
      <c r="IJE1" s="204"/>
      <c r="IJF1" s="204"/>
      <c r="IJG1" s="204"/>
      <c r="IJH1" s="204"/>
      <c r="IJI1" s="204"/>
      <c r="IJJ1" s="204"/>
      <c r="IJK1" s="204"/>
      <c r="IJL1" s="204"/>
      <c r="IJM1" s="204"/>
      <c r="IJN1" s="205"/>
      <c r="IJO1" s="204"/>
      <c r="IJP1" s="204"/>
      <c r="IJQ1" s="204"/>
      <c r="IJR1" s="204"/>
      <c r="IJS1" s="204"/>
      <c r="IJT1" s="204"/>
      <c r="IJU1" s="204"/>
      <c r="IJV1" s="204"/>
      <c r="IJW1" s="204"/>
      <c r="IJX1" s="204"/>
      <c r="IJY1" s="204"/>
      <c r="IJZ1" s="204"/>
      <c r="IKA1" s="204"/>
      <c r="IKB1" s="204"/>
      <c r="IKC1" s="204"/>
      <c r="IKD1" s="204"/>
      <c r="IKE1" s="204"/>
      <c r="IKF1" s="204"/>
      <c r="IKG1" s="204"/>
      <c r="IKH1" s="204"/>
      <c r="IKI1" s="204"/>
      <c r="IKJ1" s="204"/>
      <c r="IKK1" s="204"/>
      <c r="IKL1" s="204"/>
      <c r="IKM1" s="204"/>
      <c r="IKN1" s="204"/>
      <c r="IKO1" s="204"/>
      <c r="IKP1" s="205"/>
      <c r="IKQ1" s="204"/>
      <c r="IKR1" s="204"/>
      <c r="IKS1" s="204"/>
      <c r="IKT1" s="204"/>
      <c r="IKU1" s="204"/>
      <c r="IKV1" s="204"/>
      <c r="IKW1" s="204"/>
      <c r="IKX1" s="204"/>
      <c r="IKY1" s="204"/>
      <c r="IKZ1" s="204"/>
      <c r="ILA1" s="204"/>
      <c r="ILB1" s="204"/>
      <c r="ILC1" s="204"/>
      <c r="ILD1" s="204"/>
      <c r="ILE1" s="204"/>
      <c r="ILF1" s="204"/>
      <c r="ILG1" s="204"/>
      <c r="ILH1" s="204"/>
      <c r="ILI1" s="204"/>
      <c r="ILJ1" s="204"/>
      <c r="ILK1" s="204"/>
      <c r="ILL1" s="204"/>
      <c r="ILM1" s="204"/>
      <c r="ILN1" s="204"/>
      <c r="ILO1" s="204"/>
      <c r="ILP1" s="204"/>
      <c r="ILQ1" s="204"/>
      <c r="ILR1" s="205"/>
      <c r="ILS1" s="204"/>
      <c r="ILT1" s="204"/>
      <c r="ILU1" s="204"/>
      <c r="ILV1" s="204"/>
      <c r="ILW1" s="204"/>
      <c r="ILX1" s="204"/>
      <c r="ILY1" s="204"/>
      <c r="ILZ1" s="204"/>
      <c r="IMA1" s="204"/>
      <c r="IMB1" s="204"/>
      <c r="IMC1" s="204"/>
      <c r="IMD1" s="204"/>
      <c r="IME1" s="204"/>
      <c r="IMF1" s="204"/>
      <c r="IMG1" s="204"/>
      <c r="IMH1" s="204"/>
      <c r="IMI1" s="204"/>
      <c r="IMJ1" s="204"/>
      <c r="IMK1" s="204"/>
      <c r="IML1" s="204"/>
      <c r="IMM1" s="204"/>
      <c r="IMN1" s="204"/>
      <c r="IMO1" s="204"/>
      <c r="IMP1" s="204"/>
      <c r="IMQ1" s="204"/>
      <c r="IMR1" s="204"/>
      <c r="IMS1" s="204"/>
      <c r="IMT1" s="205"/>
      <c r="IMU1" s="204"/>
      <c r="IMV1" s="204"/>
      <c r="IMW1" s="204"/>
      <c r="IMX1" s="204"/>
      <c r="IMY1" s="204"/>
      <c r="IMZ1" s="204"/>
      <c r="INA1" s="204"/>
      <c r="INB1" s="204"/>
      <c r="INC1" s="204"/>
      <c r="IND1" s="204"/>
      <c r="INE1" s="204"/>
      <c r="INF1" s="204"/>
      <c r="ING1" s="204"/>
      <c r="INH1" s="204"/>
      <c r="INI1" s="204"/>
      <c r="INJ1" s="204"/>
      <c r="INK1" s="204"/>
      <c r="INL1" s="204"/>
      <c r="INM1" s="204"/>
      <c r="INN1" s="204"/>
      <c r="INO1" s="204"/>
      <c r="INP1" s="204"/>
      <c r="INQ1" s="204"/>
      <c r="INR1" s="204"/>
      <c r="INS1" s="204"/>
      <c r="INT1" s="204"/>
      <c r="INU1" s="204"/>
      <c r="INV1" s="205"/>
      <c r="INW1" s="204"/>
      <c r="INX1" s="204"/>
      <c r="INY1" s="204"/>
      <c r="INZ1" s="204"/>
      <c r="IOA1" s="204"/>
      <c r="IOB1" s="204"/>
      <c r="IOC1" s="204"/>
      <c r="IOD1" s="204"/>
      <c r="IOE1" s="204"/>
      <c r="IOF1" s="204"/>
      <c r="IOG1" s="204"/>
      <c r="IOH1" s="204"/>
      <c r="IOI1" s="204"/>
      <c r="IOJ1" s="204"/>
      <c r="IOK1" s="204"/>
      <c r="IOL1" s="204"/>
      <c r="IOM1" s="204"/>
      <c r="ION1" s="204"/>
      <c r="IOO1" s="204"/>
      <c r="IOP1" s="204"/>
      <c r="IOQ1" s="204"/>
      <c r="IOR1" s="204"/>
      <c r="IOS1" s="204"/>
      <c r="IOT1" s="204"/>
      <c r="IOU1" s="204"/>
      <c r="IOV1" s="204"/>
      <c r="IOW1" s="204"/>
      <c r="IOX1" s="205"/>
      <c r="IOY1" s="204"/>
      <c r="IOZ1" s="204"/>
      <c r="IPA1" s="204"/>
      <c r="IPB1" s="204"/>
      <c r="IPC1" s="204"/>
      <c r="IPD1" s="204"/>
      <c r="IPE1" s="204"/>
      <c r="IPF1" s="204"/>
      <c r="IPG1" s="204"/>
      <c r="IPH1" s="204"/>
      <c r="IPI1" s="204"/>
      <c r="IPJ1" s="204"/>
      <c r="IPK1" s="204"/>
      <c r="IPL1" s="204"/>
      <c r="IPM1" s="204"/>
      <c r="IPN1" s="204"/>
      <c r="IPO1" s="204"/>
      <c r="IPP1" s="204"/>
      <c r="IPQ1" s="204"/>
      <c r="IPR1" s="204"/>
      <c r="IPS1" s="204"/>
      <c r="IPT1" s="204"/>
      <c r="IPU1" s="204"/>
      <c r="IPV1" s="204"/>
      <c r="IPW1" s="204"/>
      <c r="IPX1" s="204"/>
      <c r="IPY1" s="204"/>
      <c r="IPZ1" s="205"/>
      <c r="IQA1" s="204"/>
      <c r="IQB1" s="204"/>
      <c r="IQC1" s="204"/>
      <c r="IQD1" s="204"/>
      <c r="IQE1" s="204"/>
      <c r="IQF1" s="204"/>
      <c r="IQG1" s="204"/>
      <c r="IQH1" s="204"/>
      <c r="IQI1" s="204"/>
      <c r="IQJ1" s="204"/>
      <c r="IQK1" s="204"/>
      <c r="IQL1" s="204"/>
      <c r="IQM1" s="204"/>
      <c r="IQN1" s="204"/>
      <c r="IQO1" s="204"/>
      <c r="IQP1" s="204"/>
      <c r="IQQ1" s="204"/>
      <c r="IQR1" s="204"/>
      <c r="IQS1" s="204"/>
      <c r="IQT1" s="204"/>
      <c r="IQU1" s="204"/>
      <c r="IQV1" s="204"/>
      <c r="IQW1" s="204"/>
      <c r="IQX1" s="204"/>
      <c r="IQY1" s="204"/>
      <c r="IQZ1" s="204"/>
      <c r="IRA1" s="204"/>
      <c r="IRB1" s="205"/>
      <c r="IRC1" s="204"/>
      <c r="IRD1" s="204"/>
      <c r="IRE1" s="204"/>
      <c r="IRF1" s="204"/>
      <c r="IRG1" s="204"/>
      <c r="IRH1" s="204"/>
      <c r="IRI1" s="204"/>
      <c r="IRJ1" s="204"/>
      <c r="IRK1" s="204"/>
      <c r="IRL1" s="204"/>
      <c r="IRM1" s="204"/>
      <c r="IRN1" s="204"/>
      <c r="IRO1" s="204"/>
      <c r="IRP1" s="204"/>
      <c r="IRQ1" s="204"/>
      <c r="IRR1" s="204"/>
      <c r="IRS1" s="204"/>
      <c r="IRT1" s="204"/>
      <c r="IRU1" s="204"/>
      <c r="IRV1" s="204"/>
      <c r="IRW1" s="204"/>
      <c r="IRX1" s="204"/>
      <c r="IRY1" s="204"/>
      <c r="IRZ1" s="204"/>
      <c r="ISA1" s="204"/>
      <c r="ISB1" s="204"/>
      <c r="ISC1" s="204"/>
      <c r="ISD1" s="205"/>
      <c r="ISE1" s="204"/>
      <c r="ISF1" s="204"/>
      <c r="ISG1" s="204"/>
      <c r="ISH1" s="204"/>
      <c r="ISI1" s="204"/>
      <c r="ISJ1" s="204"/>
      <c r="ISK1" s="204"/>
      <c r="ISL1" s="204"/>
      <c r="ISM1" s="204"/>
      <c r="ISN1" s="204"/>
      <c r="ISO1" s="204"/>
      <c r="ISP1" s="204"/>
      <c r="ISQ1" s="204"/>
      <c r="ISR1" s="204"/>
      <c r="ISS1" s="204"/>
      <c r="IST1" s="204"/>
      <c r="ISU1" s="204"/>
      <c r="ISV1" s="204"/>
      <c r="ISW1" s="204"/>
      <c r="ISX1" s="204"/>
      <c r="ISY1" s="204"/>
      <c r="ISZ1" s="204"/>
      <c r="ITA1" s="204"/>
      <c r="ITB1" s="204"/>
      <c r="ITC1" s="204"/>
      <c r="ITD1" s="204"/>
      <c r="ITE1" s="204"/>
      <c r="ITF1" s="205"/>
      <c r="ITG1" s="204"/>
      <c r="ITH1" s="204"/>
      <c r="ITI1" s="204"/>
      <c r="ITJ1" s="204"/>
      <c r="ITK1" s="204"/>
      <c r="ITL1" s="204"/>
      <c r="ITM1" s="204"/>
      <c r="ITN1" s="204"/>
      <c r="ITO1" s="204"/>
      <c r="ITP1" s="204"/>
      <c r="ITQ1" s="204"/>
      <c r="ITR1" s="204"/>
      <c r="ITS1" s="204"/>
      <c r="ITT1" s="204"/>
      <c r="ITU1" s="204"/>
      <c r="ITV1" s="204"/>
      <c r="ITW1" s="204"/>
      <c r="ITX1" s="204"/>
      <c r="ITY1" s="204"/>
      <c r="ITZ1" s="204"/>
      <c r="IUA1" s="204"/>
      <c r="IUB1" s="204"/>
      <c r="IUC1" s="204"/>
      <c r="IUD1" s="204"/>
      <c r="IUE1" s="204"/>
      <c r="IUF1" s="204"/>
      <c r="IUG1" s="204"/>
      <c r="IUH1" s="205"/>
      <c r="IUI1" s="204"/>
      <c r="IUJ1" s="204"/>
      <c r="IUK1" s="204"/>
      <c r="IUL1" s="204"/>
      <c r="IUM1" s="204"/>
      <c r="IUN1" s="204"/>
      <c r="IUO1" s="204"/>
      <c r="IUP1" s="204"/>
      <c r="IUQ1" s="204"/>
      <c r="IUR1" s="204"/>
      <c r="IUS1" s="204"/>
      <c r="IUT1" s="204"/>
      <c r="IUU1" s="204"/>
      <c r="IUV1" s="204"/>
      <c r="IUW1" s="204"/>
      <c r="IUX1" s="204"/>
      <c r="IUY1" s="204"/>
      <c r="IUZ1" s="204"/>
      <c r="IVA1" s="204"/>
      <c r="IVB1" s="204"/>
      <c r="IVC1" s="204"/>
      <c r="IVD1" s="204"/>
      <c r="IVE1" s="204"/>
      <c r="IVF1" s="204"/>
      <c r="IVG1" s="204"/>
      <c r="IVH1" s="204"/>
      <c r="IVI1" s="204"/>
      <c r="IVJ1" s="205"/>
      <c r="IVK1" s="204"/>
      <c r="IVL1" s="204"/>
      <c r="IVM1" s="204"/>
      <c r="IVN1" s="204"/>
      <c r="IVO1" s="204"/>
      <c r="IVP1" s="204"/>
      <c r="IVQ1" s="204"/>
      <c r="IVR1" s="204"/>
      <c r="IVS1" s="204"/>
      <c r="IVT1" s="204"/>
      <c r="IVU1" s="204"/>
      <c r="IVV1" s="204"/>
      <c r="IVW1" s="204"/>
      <c r="IVX1" s="204"/>
      <c r="IVY1" s="204"/>
      <c r="IVZ1" s="204"/>
      <c r="IWA1" s="204"/>
      <c r="IWB1" s="204"/>
      <c r="IWC1" s="204"/>
      <c r="IWD1" s="204"/>
      <c r="IWE1" s="204"/>
      <c r="IWF1" s="204"/>
      <c r="IWG1" s="204"/>
      <c r="IWH1" s="204"/>
      <c r="IWI1" s="204"/>
      <c r="IWJ1" s="204"/>
      <c r="IWK1" s="204"/>
      <c r="IWL1" s="205"/>
      <c r="IWM1" s="204"/>
      <c r="IWN1" s="204"/>
      <c r="IWO1" s="204"/>
      <c r="IWP1" s="204"/>
      <c r="IWQ1" s="204"/>
      <c r="IWR1" s="204"/>
      <c r="IWS1" s="204"/>
      <c r="IWT1" s="204"/>
      <c r="IWU1" s="204"/>
      <c r="IWV1" s="204"/>
      <c r="IWW1" s="204"/>
      <c r="IWX1" s="204"/>
      <c r="IWY1" s="204"/>
      <c r="IWZ1" s="204"/>
      <c r="IXA1" s="204"/>
      <c r="IXB1" s="204"/>
      <c r="IXC1" s="204"/>
      <c r="IXD1" s="204"/>
      <c r="IXE1" s="204"/>
      <c r="IXF1" s="204"/>
      <c r="IXG1" s="204"/>
      <c r="IXH1" s="204"/>
      <c r="IXI1" s="204"/>
      <c r="IXJ1" s="204"/>
      <c r="IXK1" s="204"/>
      <c r="IXL1" s="204"/>
      <c r="IXM1" s="204"/>
      <c r="IXN1" s="205"/>
      <c r="IXO1" s="204"/>
      <c r="IXP1" s="204"/>
      <c r="IXQ1" s="204"/>
      <c r="IXR1" s="204"/>
      <c r="IXS1" s="204"/>
      <c r="IXT1" s="204"/>
      <c r="IXU1" s="204"/>
      <c r="IXV1" s="204"/>
      <c r="IXW1" s="204"/>
      <c r="IXX1" s="204"/>
      <c r="IXY1" s="204"/>
      <c r="IXZ1" s="204"/>
      <c r="IYA1" s="204"/>
      <c r="IYB1" s="204"/>
      <c r="IYC1" s="204"/>
      <c r="IYD1" s="204"/>
      <c r="IYE1" s="204"/>
      <c r="IYF1" s="204"/>
      <c r="IYG1" s="204"/>
      <c r="IYH1" s="204"/>
      <c r="IYI1" s="204"/>
      <c r="IYJ1" s="204"/>
      <c r="IYK1" s="204"/>
      <c r="IYL1" s="204"/>
      <c r="IYM1" s="204"/>
      <c r="IYN1" s="204"/>
      <c r="IYO1" s="204"/>
      <c r="IYP1" s="205"/>
      <c r="IYQ1" s="204"/>
      <c r="IYR1" s="204"/>
      <c r="IYS1" s="204"/>
      <c r="IYT1" s="204"/>
      <c r="IYU1" s="204"/>
      <c r="IYV1" s="204"/>
      <c r="IYW1" s="204"/>
      <c r="IYX1" s="204"/>
      <c r="IYY1" s="204"/>
      <c r="IYZ1" s="204"/>
      <c r="IZA1" s="204"/>
      <c r="IZB1" s="204"/>
      <c r="IZC1" s="204"/>
      <c r="IZD1" s="204"/>
      <c r="IZE1" s="204"/>
      <c r="IZF1" s="204"/>
      <c r="IZG1" s="204"/>
      <c r="IZH1" s="204"/>
      <c r="IZI1" s="204"/>
      <c r="IZJ1" s="204"/>
      <c r="IZK1" s="204"/>
      <c r="IZL1" s="204"/>
      <c r="IZM1" s="204"/>
      <c r="IZN1" s="204"/>
      <c r="IZO1" s="204"/>
      <c r="IZP1" s="204"/>
      <c r="IZQ1" s="204"/>
      <c r="IZR1" s="205"/>
      <c r="IZS1" s="204"/>
      <c r="IZT1" s="204"/>
      <c r="IZU1" s="204"/>
      <c r="IZV1" s="204"/>
      <c r="IZW1" s="204"/>
      <c r="IZX1" s="204"/>
      <c r="IZY1" s="204"/>
      <c r="IZZ1" s="204"/>
      <c r="JAA1" s="204"/>
      <c r="JAB1" s="204"/>
      <c r="JAC1" s="204"/>
      <c r="JAD1" s="204"/>
      <c r="JAE1" s="204"/>
      <c r="JAF1" s="204"/>
      <c r="JAG1" s="204"/>
      <c r="JAH1" s="204"/>
      <c r="JAI1" s="204"/>
      <c r="JAJ1" s="204"/>
      <c r="JAK1" s="204"/>
      <c r="JAL1" s="204"/>
      <c r="JAM1" s="204"/>
      <c r="JAN1" s="204"/>
      <c r="JAO1" s="204"/>
      <c r="JAP1" s="204"/>
      <c r="JAQ1" s="204"/>
      <c r="JAR1" s="204"/>
      <c r="JAS1" s="204"/>
      <c r="JAT1" s="205"/>
      <c r="JAU1" s="204"/>
      <c r="JAV1" s="204"/>
      <c r="JAW1" s="204"/>
      <c r="JAX1" s="204"/>
      <c r="JAY1" s="204"/>
      <c r="JAZ1" s="204"/>
      <c r="JBA1" s="204"/>
      <c r="JBB1" s="204"/>
      <c r="JBC1" s="204"/>
      <c r="JBD1" s="204"/>
      <c r="JBE1" s="204"/>
      <c r="JBF1" s="204"/>
      <c r="JBG1" s="204"/>
      <c r="JBH1" s="204"/>
      <c r="JBI1" s="204"/>
      <c r="JBJ1" s="204"/>
      <c r="JBK1" s="204"/>
      <c r="JBL1" s="204"/>
      <c r="JBM1" s="204"/>
      <c r="JBN1" s="204"/>
      <c r="JBO1" s="204"/>
      <c r="JBP1" s="204"/>
      <c r="JBQ1" s="204"/>
      <c r="JBR1" s="204"/>
      <c r="JBS1" s="204"/>
      <c r="JBT1" s="204"/>
      <c r="JBU1" s="204"/>
      <c r="JBV1" s="205"/>
      <c r="JBW1" s="204"/>
      <c r="JBX1" s="204"/>
      <c r="JBY1" s="204"/>
      <c r="JBZ1" s="204"/>
      <c r="JCA1" s="204"/>
      <c r="JCB1" s="204"/>
      <c r="JCC1" s="204"/>
      <c r="JCD1" s="204"/>
      <c r="JCE1" s="204"/>
      <c r="JCF1" s="204"/>
      <c r="JCG1" s="204"/>
      <c r="JCH1" s="204"/>
      <c r="JCI1" s="204"/>
      <c r="JCJ1" s="204"/>
      <c r="JCK1" s="204"/>
      <c r="JCL1" s="204"/>
      <c r="JCM1" s="204"/>
      <c r="JCN1" s="204"/>
      <c r="JCO1" s="204"/>
      <c r="JCP1" s="204"/>
      <c r="JCQ1" s="204"/>
      <c r="JCR1" s="204"/>
      <c r="JCS1" s="204"/>
      <c r="JCT1" s="204"/>
      <c r="JCU1" s="204"/>
      <c r="JCV1" s="204"/>
      <c r="JCW1" s="204"/>
      <c r="JCX1" s="205"/>
      <c r="JCY1" s="204"/>
      <c r="JCZ1" s="204"/>
      <c r="JDA1" s="204"/>
      <c r="JDB1" s="204"/>
      <c r="JDC1" s="204"/>
      <c r="JDD1" s="204"/>
      <c r="JDE1" s="204"/>
      <c r="JDF1" s="204"/>
      <c r="JDG1" s="204"/>
      <c r="JDH1" s="204"/>
      <c r="JDI1" s="204"/>
      <c r="JDJ1" s="204"/>
      <c r="JDK1" s="204"/>
      <c r="JDL1" s="204"/>
      <c r="JDM1" s="204"/>
      <c r="JDN1" s="204"/>
      <c r="JDO1" s="204"/>
      <c r="JDP1" s="204"/>
      <c r="JDQ1" s="204"/>
      <c r="JDR1" s="204"/>
      <c r="JDS1" s="204"/>
      <c r="JDT1" s="204"/>
      <c r="JDU1" s="204"/>
      <c r="JDV1" s="204"/>
      <c r="JDW1" s="204"/>
      <c r="JDX1" s="204"/>
      <c r="JDY1" s="204"/>
      <c r="JDZ1" s="205"/>
      <c r="JEA1" s="204"/>
      <c r="JEB1" s="204"/>
      <c r="JEC1" s="204"/>
      <c r="JED1" s="204"/>
      <c r="JEE1" s="204"/>
      <c r="JEF1" s="204"/>
      <c r="JEG1" s="204"/>
      <c r="JEH1" s="204"/>
      <c r="JEI1" s="204"/>
      <c r="JEJ1" s="204"/>
      <c r="JEK1" s="204"/>
      <c r="JEL1" s="204"/>
      <c r="JEM1" s="204"/>
      <c r="JEN1" s="204"/>
      <c r="JEO1" s="204"/>
      <c r="JEP1" s="204"/>
      <c r="JEQ1" s="204"/>
      <c r="JER1" s="204"/>
      <c r="JES1" s="204"/>
      <c r="JET1" s="204"/>
      <c r="JEU1" s="204"/>
      <c r="JEV1" s="204"/>
      <c r="JEW1" s="204"/>
      <c r="JEX1" s="204"/>
      <c r="JEY1" s="204"/>
      <c r="JEZ1" s="204"/>
      <c r="JFA1" s="204"/>
      <c r="JFB1" s="205"/>
      <c r="JFC1" s="204"/>
      <c r="JFD1" s="204"/>
      <c r="JFE1" s="204"/>
      <c r="JFF1" s="204"/>
      <c r="JFG1" s="204"/>
      <c r="JFH1" s="204"/>
      <c r="JFI1" s="204"/>
      <c r="JFJ1" s="204"/>
      <c r="JFK1" s="204"/>
      <c r="JFL1" s="204"/>
      <c r="JFM1" s="204"/>
      <c r="JFN1" s="204"/>
      <c r="JFO1" s="204"/>
      <c r="JFP1" s="204"/>
      <c r="JFQ1" s="204"/>
      <c r="JFR1" s="204"/>
      <c r="JFS1" s="204"/>
      <c r="JFT1" s="204"/>
      <c r="JFU1" s="204"/>
      <c r="JFV1" s="204"/>
      <c r="JFW1" s="204"/>
      <c r="JFX1" s="204"/>
      <c r="JFY1" s="204"/>
      <c r="JFZ1" s="204"/>
      <c r="JGA1" s="204"/>
      <c r="JGB1" s="204"/>
      <c r="JGC1" s="204"/>
      <c r="JGD1" s="205"/>
      <c r="JGE1" s="204"/>
      <c r="JGF1" s="204"/>
      <c r="JGG1" s="204"/>
      <c r="JGH1" s="204"/>
      <c r="JGI1" s="204"/>
      <c r="JGJ1" s="204"/>
      <c r="JGK1" s="204"/>
      <c r="JGL1" s="204"/>
      <c r="JGM1" s="204"/>
      <c r="JGN1" s="204"/>
      <c r="JGO1" s="204"/>
      <c r="JGP1" s="204"/>
      <c r="JGQ1" s="204"/>
      <c r="JGR1" s="204"/>
      <c r="JGS1" s="204"/>
      <c r="JGT1" s="204"/>
      <c r="JGU1" s="204"/>
      <c r="JGV1" s="204"/>
      <c r="JGW1" s="204"/>
      <c r="JGX1" s="204"/>
      <c r="JGY1" s="204"/>
      <c r="JGZ1" s="204"/>
      <c r="JHA1" s="204"/>
      <c r="JHB1" s="204"/>
      <c r="JHC1" s="204"/>
      <c r="JHD1" s="204"/>
      <c r="JHE1" s="204"/>
      <c r="JHF1" s="205"/>
      <c r="JHG1" s="204"/>
      <c r="JHH1" s="204"/>
      <c r="JHI1" s="204"/>
      <c r="JHJ1" s="204"/>
      <c r="JHK1" s="204"/>
      <c r="JHL1" s="204"/>
      <c r="JHM1" s="204"/>
      <c r="JHN1" s="204"/>
      <c r="JHO1" s="204"/>
      <c r="JHP1" s="204"/>
      <c r="JHQ1" s="204"/>
      <c r="JHR1" s="204"/>
      <c r="JHS1" s="204"/>
      <c r="JHT1" s="204"/>
      <c r="JHU1" s="204"/>
      <c r="JHV1" s="204"/>
      <c r="JHW1" s="204"/>
      <c r="JHX1" s="204"/>
      <c r="JHY1" s="204"/>
      <c r="JHZ1" s="204"/>
      <c r="JIA1" s="204"/>
      <c r="JIB1" s="204"/>
      <c r="JIC1" s="204"/>
      <c r="JID1" s="204"/>
      <c r="JIE1" s="204"/>
      <c r="JIF1" s="204"/>
      <c r="JIG1" s="204"/>
      <c r="JIH1" s="205"/>
      <c r="JII1" s="204"/>
      <c r="JIJ1" s="204"/>
      <c r="JIK1" s="204"/>
      <c r="JIL1" s="204"/>
      <c r="JIM1" s="204"/>
      <c r="JIN1" s="204"/>
      <c r="JIO1" s="204"/>
      <c r="JIP1" s="204"/>
      <c r="JIQ1" s="204"/>
      <c r="JIR1" s="204"/>
      <c r="JIS1" s="204"/>
      <c r="JIT1" s="204"/>
      <c r="JIU1" s="204"/>
      <c r="JIV1" s="204"/>
      <c r="JIW1" s="204"/>
      <c r="JIX1" s="204"/>
      <c r="JIY1" s="204"/>
      <c r="JIZ1" s="204"/>
      <c r="JJA1" s="204"/>
      <c r="JJB1" s="204"/>
      <c r="JJC1" s="204"/>
      <c r="JJD1" s="204"/>
      <c r="JJE1" s="204"/>
      <c r="JJF1" s="204"/>
      <c r="JJG1" s="204"/>
      <c r="JJH1" s="204"/>
      <c r="JJI1" s="204"/>
      <c r="JJJ1" s="205"/>
      <c r="JJK1" s="204"/>
      <c r="JJL1" s="204"/>
      <c r="JJM1" s="204"/>
      <c r="JJN1" s="204"/>
      <c r="JJO1" s="204"/>
      <c r="JJP1" s="204"/>
      <c r="JJQ1" s="204"/>
      <c r="JJR1" s="204"/>
      <c r="JJS1" s="204"/>
      <c r="JJT1" s="204"/>
      <c r="JJU1" s="204"/>
      <c r="JJV1" s="204"/>
      <c r="JJW1" s="204"/>
      <c r="JJX1" s="204"/>
      <c r="JJY1" s="204"/>
      <c r="JJZ1" s="204"/>
      <c r="JKA1" s="204"/>
      <c r="JKB1" s="204"/>
      <c r="JKC1" s="204"/>
      <c r="JKD1" s="204"/>
      <c r="JKE1" s="204"/>
      <c r="JKF1" s="204"/>
      <c r="JKG1" s="204"/>
      <c r="JKH1" s="204"/>
      <c r="JKI1" s="204"/>
      <c r="JKJ1" s="204"/>
      <c r="JKK1" s="204"/>
      <c r="JKL1" s="205"/>
      <c r="JKM1" s="204"/>
      <c r="JKN1" s="204"/>
      <c r="JKO1" s="204"/>
      <c r="JKP1" s="204"/>
      <c r="JKQ1" s="204"/>
      <c r="JKR1" s="204"/>
      <c r="JKS1" s="204"/>
      <c r="JKT1" s="204"/>
      <c r="JKU1" s="204"/>
      <c r="JKV1" s="204"/>
      <c r="JKW1" s="204"/>
      <c r="JKX1" s="204"/>
      <c r="JKY1" s="204"/>
      <c r="JKZ1" s="204"/>
      <c r="JLA1" s="204"/>
      <c r="JLB1" s="204"/>
      <c r="JLC1" s="204"/>
      <c r="JLD1" s="204"/>
      <c r="JLE1" s="204"/>
      <c r="JLF1" s="204"/>
      <c r="JLG1" s="204"/>
      <c r="JLH1" s="204"/>
      <c r="JLI1" s="204"/>
      <c r="JLJ1" s="204"/>
      <c r="JLK1" s="204"/>
      <c r="JLL1" s="204"/>
      <c r="JLM1" s="204"/>
      <c r="JLN1" s="205"/>
      <c r="JLO1" s="204"/>
      <c r="JLP1" s="204"/>
      <c r="JLQ1" s="204"/>
      <c r="JLR1" s="204"/>
      <c r="JLS1" s="204"/>
      <c r="JLT1" s="204"/>
      <c r="JLU1" s="204"/>
      <c r="JLV1" s="204"/>
      <c r="JLW1" s="204"/>
      <c r="JLX1" s="204"/>
      <c r="JLY1" s="204"/>
      <c r="JLZ1" s="204"/>
      <c r="JMA1" s="204"/>
      <c r="JMB1" s="204"/>
      <c r="JMC1" s="204"/>
      <c r="JMD1" s="204"/>
      <c r="JME1" s="204"/>
      <c r="JMF1" s="204"/>
      <c r="JMG1" s="204"/>
      <c r="JMH1" s="204"/>
      <c r="JMI1" s="204"/>
      <c r="JMJ1" s="204"/>
      <c r="JMK1" s="204"/>
      <c r="JML1" s="204"/>
      <c r="JMM1" s="204"/>
      <c r="JMN1" s="204"/>
      <c r="JMO1" s="204"/>
      <c r="JMP1" s="205"/>
      <c r="JMQ1" s="204"/>
      <c r="JMR1" s="204"/>
      <c r="JMS1" s="204"/>
      <c r="JMT1" s="204"/>
      <c r="JMU1" s="204"/>
      <c r="JMV1" s="204"/>
      <c r="JMW1" s="204"/>
      <c r="JMX1" s="204"/>
      <c r="JMY1" s="204"/>
      <c r="JMZ1" s="204"/>
      <c r="JNA1" s="204"/>
      <c r="JNB1" s="204"/>
      <c r="JNC1" s="204"/>
      <c r="JND1" s="204"/>
      <c r="JNE1" s="204"/>
      <c r="JNF1" s="204"/>
      <c r="JNG1" s="204"/>
      <c r="JNH1" s="204"/>
      <c r="JNI1" s="204"/>
      <c r="JNJ1" s="204"/>
      <c r="JNK1" s="204"/>
      <c r="JNL1" s="204"/>
      <c r="JNM1" s="204"/>
      <c r="JNN1" s="204"/>
      <c r="JNO1" s="204"/>
      <c r="JNP1" s="204"/>
      <c r="JNQ1" s="204"/>
      <c r="JNR1" s="205"/>
      <c r="JNS1" s="204"/>
      <c r="JNT1" s="204"/>
      <c r="JNU1" s="204"/>
      <c r="JNV1" s="204"/>
      <c r="JNW1" s="204"/>
      <c r="JNX1" s="204"/>
      <c r="JNY1" s="204"/>
      <c r="JNZ1" s="204"/>
      <c r="JOA1" s="204"/>
      <c r="JOB1" s="204"/>
      <c r="JOC1" s="204"/>
      <c r="JOD1" s="204"/>
      <c r="JOE1" s="204"/>
      <c r="JOF1" s="204"/>
      <c r="JOG1" s="204"/>
      <c r="JOH1" s="204"/>
      <c r="JOI1" s="204"/>
      <c r="JOJ1" s="204"/>
      <c r="JOK1" s="204"/>
      <c r="JOL1" s="204"/>
      <c r="JOM1" s="204"/>
      <c r="JON1" s="204"/>
      <c r="JOO1" s="204"/>
      <c r="JOP1" s="204"/>
      <c r="JOQ1" s="204"/>
      <c r="JOR1" s="204"/>
      <c r="JOS1" s="204"/>
      <c r="JOT1" s="205"/>
      <c r="JOU1" s="204"/>
      <c r="JOV1" s="204"/>
      <c r="JOW1" s="204"/>
      <c r="JOX1" s="204"/>
      <c r="JOY1" s="204"/>
      <c r="JOZ1" s="204"/>
      <c r="JPA1" s="204"/>
      <c r="JPB1" s="204"/>
      <c r="JPC1" s="204"/>
      <c r="JPD1" s="204"/>
      <c r="JPE1" s="204"/>
      <c r="JPF1" s="204"/>
      <c r="JPG1" s="204"/>
      <c r="JPH1" s="204"/>
      <c r="JPI1" s="204"/>
      <c r="JPJ1" s="204"/>
      <c r="JPK1" s="204"/>
      <c r="JPL1" s="204"/>
      <c r="JPM1" s="204"/>
      <c r="JPN1" s="204"/>
      <c r="JPO1" s="204"/>
      <c r="JPP1" s="204"/>
      <c r="JPQ1" s="204"/>
      <c r="JPR1" s="204"/>
      <c r="JPS1" s="204"/>
      <c r="JPT1" s="204"/>
      <c r="JPU1" s="204"/>
      <c r="JPV1" s="205"/>
      <c r="JPW1" s="204"/>
      <c r="JPX1" s="204"/>
      <c r="JPY1" s="204"/>
      <c r="JPZ1" s="204"/>
      <c r="JQA1" s="204"/>
      <c r="JQB1" s="204"/>
      <c r="JQC1" s="204"/>
      <c r="JQD1" s="204"/>
      <c r="JQE1" s="204"/>
      <c r="JQF1" s="204"/>
      <c r="JQG1" s="204"/>
      <c r="JQH1" s="204"/>
      <c r="JQI1" s="204"/>
      <c r="JQJ1" s="204"/>
      <c r="JQK1" s="204"/>
      <c r="JQL1" s="204"/>
      <c r="JQM1" s="204"/>
      <c r="JQN1" s="204"/>
      <c r="JQO1" s="204"/>
      <c r="JQP1" s="204"/>
      <c r="JQQ1" s="204"/>
      <c r="JQR1" s="204"/>
      <c r="JQS1" s="204"/>
      <c r="JQT1" s="204"/>
      <c r="JQU1" s="204"/>
      <c r="JQV1" s="204"/>
      <c r="JQW1" s="204"/>
      <c r="JQX1" s="205"/>
      <c r="JQY1" s="204"/>
      <c r="JQZ1" s="204"/>
      <c r="JRA1" s="204"/>
      <c r="JRB1" s="204"/>
      <c r="JRC1" s="204"/>
      <c r="JRD1" s="204"/>
      <c r="JRE1" s="204"/>
      <c r="JRF1" s="204"/>
      <c r="JRG1" s="204"/>
      <c r="JRH1" s="204"/>
      <c r="JRI1" s="204"/>
      <c r="JRJ1" s="204"/>
      <c r="JRK1" s="204"/>
      <c r="JRL1" s="204"/>
      <c r="JRM1" s="204"/>
      <c r="JRN1" s="204"/>
      <c r="JRO1" s="204"/>
      <c r="JRP1" s="204"/>
      <c r="JRQ1" s="204"/>
      <c r="JRR1" s="204"/>
      <c r="JRS1" s="204"/>
      <c r="JRT1" s="204"/>
      <c r="JRU1" s="204"/>
      <c r="JRV1" s="204"/>
      <c r="JRW1" s="204"/>
      <c r="JRX1" s="204"/>
      <c r="JRY1" s="204"/>
      <c r="JRZ1" s="205"/>
      <c r="JSA1" s="204"/>
      <c r="JSB1" s="204"/>
      <c r="JSC1" s="204"/>
      <c r="JSD1" s="204"/>
      <c r="JSE1" s="204"/>
      <c r="JSF1" s="204"/>
      <c r="JSG1" s="204"/>
      <c r="JSH1" s="204"/>
      <c r="JSI1" s="204"/>
      <c r="JSJ1" s="204"/>
      <c r="JSK1" s="204"/>
      <c r="JSL1" s="204"/>
      <c r="JSM1" s="204"/>
      <c r="JSN1" s="204"/>
      <c r="JSO1" s="204"/>
      <c r="JSP1" s="204"/>
      <c r="JSQ1" s="204"/>
      <c r="JSR1" s="204"/>
      <c r="JSS1" s="204"/>
      <c r="JST1" s="204"/>
      <c r="JSU1" s="204"/>
      <c r="JSV1" s="204"/>
      <c r="JSW1" s="204"/>
      <c r="JSX1" s="204"/>
      <c r="JSY1" s="204"/>
      <c r="JSZ1" s="204"/>
      <c r="JTA1" s="204"/>
      <c r="JTB1" s="205"/>
      <c r="JTC1" s="204"/>
      <c r="JTD1" s="204"/>
      <c r="JTE1" s="204"/>
      <c r="JTF1" s="204"/>
      <c r="JTG1" s="204"/>
      <c r="JTH1" s="204"/>
      <c r="JTI1" s="204"/>
      <c r="JTJ1" s="204"/>
      <c r="JTK1" s="204"/>
      <c r="JTL1" s="204"/>
      <c r="JTM1" s="204"/>
      <c r="JTN1" s="204"/>
      <c r="JTO1" s="204"/>
      <c r="JTP1" s="204"/>
      <c r="JTQ1" s="204"/>
      <c r="JTR1" s="204"/>
      <c r="JTS1" s="204"/>
      <c r="JTT1" s="204"/>
      <c r="JTU1" s="204"/>
      <c r="JTV1" s="204"/>
      <c r="JTW1" s="204"/>
      <c r="JTX1" s="204"/>
      <c r="JTY1" s="204"/>
      <c r="JTZ1" s="204"/>
      <c r="JUA1" s="204"/>
      <c r="JUB1" s="204"/>
      <c r="JUC1" s="204"/>
      <c r="JUD1" s="205"/>
      <c r="JUE1" s="204"/>
      <c r="JUF1" s="204"/>
      <c r="JUG1" s="204"/>
      <c r="JUH1" s="204"/>
      <c r="JUI1" s="204"/>
      <c r="JUJ1" s="204"/>
      <c r="JUK1" s="204"/>
      <c r="JUL1" s="204"/>
      <c r="JUM1" s="204"/>
      <c r="JUN1" s="204"/>
      <c r="JUO1" s="204"/>
      <c r="JUP1" s="204"/>
      <c r="JUQ1" s="204"/>
      <c r="JUR1" s="204"/>
      <c r="JUS1" s="204"/>
      <c r="JUT1" s="204"/>
      <c r="JUU1" s="204"/>
      <c r="JUV1" s="204"/>
      <c r="JUW1" s="204"/>
      <c r="JUX1" s="204"/>
      <c r="JUY1" s="204"/>
      <c r="JUZ1" s="204"/>
      <c r="JVA1" s="204"/>
      <c r="JVB1" s="204"/>
      <c r="JVC1" s="204"/>
      <c r="JVD1" s="204"/>
      <c r="JVE1" s="204"/>
      <c r="JVF1" s="205"/>
      <c r="JVG1" s="204"/>
      <c r="JVH1" s="204"/>
      <c r="JVI1" s="204"/>
      <c r="JVJ1" s="204"/>
      <c r="JVK1" s="204"/>
      <c r="JVL1" s="204"/>
      <c r="JVM1" s="204"/>
      <c r="JVN1" s="204"/>
      <c r="JVO1" s="204"/>
      <c r="JVP1" s="204"/>
      <c r="JVQ1" s="204"/>
      <c r="JVR1" s="204"/>
      <c r="JVS1" s="204"/>
      <c r="JVT1" s="204"/>
      <c r="JVU1" s="204"/>
      <c r="JVV1" s="204"/>
      <c r="JVW1" s="204"/>
      <c r="JVX1" s="204"/>
      <c r="JVY1" s="204"/>
      <c r="JVZ1" s="204"/>
      <c r="JWA1" s="204"/>
      <c r="JWB1" s="204"/>
      <c r="JWC1" s="204"/>
      <c r="JWD1" s="204"/>
      <c r="JWE1" s="204"/>
      <c r="JWF1" s="204"/>
      <c r="JWG1" s="204"/>
      <c r="JWH1" s="205"/>
      <c r="JWI1" s="204"/>
      <c r="JWJ1" s="204"/>
      <c r="JWK1" s="204"/>
      <c r="JWL1" s="204"/>
      <c r="JWM1" s="204"/>
      <c r="JWN1" s="204"/>
      <c r="JWO1" s="204"/>
      <c r="JWP1" s="204"/>
      <c r="JWQ1" s="204"/>
      <c r="JWR1" s="204"/>
      <c r="JWS1" s="204"/>
      <c r="JWT1" s="204"/>
      <c r="JWU1" s="204"/>
      <c r="JWV1" s="204"/>
      <c r="JWW1" s="204"/>
      <c r="JWX1" s="204"/>
      <c r="JWY1" s="204"/>
      <c r="JWZ1" s="204"/>
      <c r="JXA1" s="204"/>
      <c r="JXB1" s="204"/>
      <c r="JXC1" s="204"/>
      <c r="JXD1" s="204"/>
      <c r="JXE1" s="204"/>
      <c r="JXF1" s="204"/>
      <c r="JXG1" s="204"/>
      <c r="JXH1" s="204"/>
      <c r="JXI1" s="204"/>
      <c r="JXJ1" s="205"/>
      <c r="JXK1" s="204"/>
      <c r="JXL1" s="204"/>
      <c r="JXM1" s="204"/>
      <c r="JXN1" s="204"/>
      <c r="JXO1" s="204"/>
      <c r="JXP1" s="204"/>
      <c r="JXQ1" s="204"/>
      <c r="JXR1" s="204"/>
      <c r="JXS1" s="204"/>
      <c r="JXT1" s="204"/>
      <c r="JXU1" s="204"/>
      <c r="JXV1" s="204"/>
      <c r="JXW1" s="204"/>
      <c r="JXX1" s="204"/>
      <c r="JXY1" s="204"/>
      <c r="JXZ1" s="204"/>
      <c r="JYA1" s="204"/>
      <c r="JYB1" s="204"/>
      <c r="JYC1" s="204"/>
      <c r="JYD1" s="204"/>
      <c r="JYE1" s="204"/>
      <c r="JYF1" s="204"/>
      <c r="JYG1" s="204"/>
      <c r="JYH1" s="204"/>
      <c r="JYI1" s="204"/>
      <c r="JYJ1" s="204"/>
      <c r="JYK1" s="204"/>
      <c r="JYL1" s="205"/>
      <c r="JYM1" s="204"/>
      <c r="JYN1" s="204"/>
      <c r="JYO1" s="204"/>
      <c r="JYP1" s="204"/>
      <c r="JYQ1" s="204"/>
      <c r="JYR1" s="204"/>
      <c r="JYS1" s="204"/>
      <c r="JYT1" s="204"/>
      <c r="JYU1" s="204"/>
      <c r="JYV1" s="204"/>
      <c r="JYW1" s="204"/>
      <c r="JYX1" s="204"/>
      <c r="JYY1" s="204"/>
      <c r="JYZ1" s="204"/>
      <c r="JZA1" s="204"/>
      <c r="JZB1" s="204"/>
      <c r="JZC1" s="204"/>
      <c r="JZD1" s="204"/>
      <c r="JZE1" s="204"/>
      <c r="JZF1" s="204"/>
      <c r="JZG1" s="204"/>
      <c r="JZH1" s="204"/>
      <c r="JZI1" s="204"/>
      <c r="JZJ1" s="204"/>
      <c r="JZK1" s="204"/>
      <c r="JZL1" s="204"/>
      <c r="JZM1" s="204"/>
      <c r="JZN1" s="205"/>
      <c r="JZO1" s="204"/>
      <c r="JZP1" s="204"/>
      <c r="JZQ1" s="204"/>
      <c r="JZR1" s="204"/>
      <c r="JZS1" s="204"/>
      <c r="JZT1" s="204"/>
      <c r="JZU1" s="204"/>
      <c r="JZV1" s="204"/>
      <c r="JZW1" s="204"/>
      <c r="JZX1" s="204"/>
      <c r="JZY1" s="204"/>
      <c r="JZZ1" s="204"/>
      <c r="KAA1" s="204"/>
      <c r="KAB1" s="204"/>
      <c r="KAC1" s="204"/>
      <c r="KAD1" s="204"/>
      <c r="KAE1" s="204"/>
      <c r="KAF1" s="204"/>
      <c r="KAG1" s="204"/>
      <c r="KAH1" s="204"/>
      <c r="KAI1" s="204"/>
      <c r="KAJ1" s="204"/>
      <c r="KAK1" s="204"/>
      <c r="KAL1" s="204"/>
      <c r="KAM1" s="204"/>
      <c r="KAN1" s="204"/>
      <c r="KAO1" s="204"/>
      <c r="KAP1" s="205"/>
      <c r="KAQ1" s="204"/>
      <c r="KAR1" s="204"/>
      <c r="KAS1" s="204"/>
      <c r="KAT1" s="204"/>
      <c r="KAU1" s="204"/>
      <c r="KAV1" s="204"/>
      <c r="KAW1" s="204"/>
      <c r="KAX1" s="204"/>
      <c r="KAY1" s="204"/>
      <c r="KAZ1" s="204"/>
      <c r="KBA1" s="204"/>
      <c r="KBB1" s="204"/>
      <c r="KBC1" s="204"/>
      <c r="KBD1" s="204"/>
      <c r="KBE1" s="204"/>
      <c r="KBF1" s="204"/>
      <c r="KBG1" s="204"/>
      <c r="KBH1" s="204"/>
      <c r="KBI1" s="204"/>
      <c r="KBJ1" s="204"/>
      <c r="KBK1" s="204"/>
      <c r="KBL1" s="204"/>
      <c r="KBM1" s="204"/>
      <c r="KBN1" s="204"/>
      <c r="KBO1" s="204"/>
      <c r="KBP1" s="204"/>
      <c r="KBQ1" s="204"/>
      <c r="KBR1" s="205"/>
      <c r="KBS1" s="204"/>
      <c r="KBT1" s="204"/>
      <c r="KBU1" s="204"/>
      <c r="KBV1" s="204"/>
      <c r="KBW1" s="204"/>
      <c r="KBX1" s="204"/>
      <c r="KBY1" s="204"/>
      <c r="KBZ1" s="204"/>
      <c r="KCA1" s="204"/>
      <c r="KCB1" s="204"/>
      <c r="KCC1" s="204"/>
      <c r="KCD1" s="204"/>
      <c r="KCE1" s="204"/>
      <c r="KCF1" s="204"/>
      <c r="KCG1" s="204"/>
      <c r="KCH1" s="204"/>
      <c r="KCI1" s="204"/>
      <c r="KCJ1" s="204"/>
      <c r="KCK1" s="204"/>
      <c r="KCL1" s="204"/>
      <c r="KCM1" s="204"/>
      <c r="KCN1" s="204"/>
      <c r="KCO1" s="204"/>
      <c r="KCP1" s="204"/>
      <c r="KCQ1" s="204"/>
      <c r="KCR1" s="204"/>
      <c r="KCS1" s="204"/>
      <c r="KCT1" s="205"/>
      <c r="KCU1" s="204"/>
      <c r="KCV1" s="204"/>
      <c r="KCW1" s="204"/>
      <c r="KCX1" s="204"/>
      <c r="KCY1" s="204"/>
      <c r="KCZ1" s="204"/>
      <c r="KDA1" s="204"/>
      <c r="KDB1" s="204"/>
      <c r="KDC1" s="204"/>
      <c r="KDD1" s="204"/>
      <c r="KDE1" s="204"/>
      <c r="KDF1" s="204"/>
      <c r="KDG1" s="204"/>
      <c r="KDH1" s="204"/>
      <c r="KDI1" s="204"/>
      <c r="KDJ1" s="204"/>
      <c r="KDK1" s="204"/>
      <c r="KDL1" s="204"/>
      <c r="KDM1" s="204"/>
      <c r="KDN1" s="204"/>
      <c r="KDO1" s="204"/>
      <c r="KDP1" s="204"/>
      <c r="KDQ1" s="204"/>
      <c r="KDR1" s="204"/>
      <c r="KDS1" s="204"/>
      <c r="KDT1" s="204"/>
      <c r="KDU1" s="204"/>
      <c r="KDV1" s="205"/>
      <c r="KDW1" s="204"/>
      <c r="KDX1" s="204"/>
      <c r="KDY1" s="204"/>
      <c r="KDZ1" s="204"/>
      <c r="KEA1" s="204"/>
      <c r="KEB1" s="204"/>
      <c r="KEC1" s="204"/>
      <c r="KED1" s="204"/>
      <c r="KEE1" s="204"/>
      <c r="KEF1" s="204"/>
      <c r="KEG1" s="204"/>
      <c r="KEH1" s="204"/>
      <c r="KEI1" s="204"/>
      <c r="KEJ1" s="204"/>
      <c r="KEK1" s="204"/>
      <c r="KEL1" s="204"/>
      <c r="KEM1" s="204"/>
      <c r="KEN1" s="204"/>
      <c r="KEO1" s="204"/>
      <c r="KEP1" s="204"/>
      <c r="KEQ1" s="204"/>
      <c r="KER1" s="204"/>
      <c r="KES1" s="204"/>
      <c r="KET1" s="204"/>
      <c r="KEU1" s="204"/>
      <c r="KEV1" s="204"/>
      <c r="KEW1" s="204"/>
      <c r="KEX1" s="205"/>
      <c r="KEY1" s="204"/>
      <c r="KEZ1" s="204"/>
      <c r="KFA1" s="204"/>
      <c r="KFB1" s="204"/>
      <c r="KFC1" s="204"/>
      <c r="KFD1" s="204"/>
      <c r="KFE1" s="204"/>
      <c r="KFF1" s="204"/>
      <c r="KFG1" s="204"/>
      <c r="KFH1" s="204"/>
      <c r="KFI1" s="204"/>
      <c r="KFJ1" s="204"/>
      <c r="KFK1" s="204"/>
      <c r="KFL1" s="204"/>
      <c r="KFM1" s="204"/>
      <c r="KFN1" s="204"/>
      <c r="KFO1" s="204"/>
      <c r="KFP1" s="204"/>
      <c r="KFQ1" s="204"/>
      <c r="KFR1" s="204"/>
      <c r="KFS1" s="204"/>
      <c r="KFT1" s="204"/>
      <c r="KFU1" s="204"/>
      <c r="KFV1" s="204"/>
      <c r="KFW1" s="204"/>
      <c r="KFX1" s="204"/>
      <c r="KFY1" s="204"/>
      <c r="KFZ1" s="205"/>
      <c r="KGA1" s="204"/>
      <c r="KGB1" s="204"/>
      <c r="KGC1" s="204"/>
      <c r="KGD1" s="204"/>
      <c r="KGE1" s="204"/>
      <c r="KGF1" s="204"/>
      <c r="KGG1" s="204"/>
      <c r="KGH1" s="204"/>
      <c r="KGI1" s="204"/>
      <c r="KGJ1" s="204"/>
      <c r="KGK1" s="204"/>
      <c r="KGL1" s="204"/>
      <c r="KGM1" s="204"/>
      <c r="KGN1" s="204"/>
      <c r="KGO1" s="204"/>
      <c r="KGP1" s="204"/>
      <c r="KGQ1" s="204"/>
      <c r="KGR1" s="204"/>
      <c r="KGS1" s="204"/>
      <c r="KGT1" s="204"/>
      <c r="KGU1" s="204"/>
      <c r="KGV1" s="204"/>
      <c r="KGW1" s="204"/>
      <c r="KGX1" s="204"/>
      <c r="KGY1" s="204"/>
      <c r="KGZ1" s="204"/>
      <c r="KHA1" s="204"/>
      <c r="KHB1" s="205"/>
      <c r="KHC1" s="204"/>
      <c r="KHD1" s="204"/>
      <c r="KHE1" s="204"/>
      <c r="KHF1" s="204"/>
      <c r="KHG1" s="204"/>
      <c r="KHH1" s="204"/>
      <c r="KHI1" s="204"/>
      <c r="KHJ1" s="204"/>
      <c r="KHK1" s="204"/>
      <c r="KHL1" s="204"/>
      <c r="KHM1" s="204"/>
      <c r="KHN1" s="204"/>
      <c r="KHO1" s="204"/>
      <c r="KHP1" s="204"/>
      <c r="KHQ1" s="204"/>
      <c r="KHR1" s="204"/>
      <c r="KHS1" s="204"/>
      <c r="KHT1" s="204"/>
      <c r="KHU1" s="204"/>
      <c r="KHV1" s="204"/>
      <c r="KHW1" s="204"/>
      <c r="KHX1" s="204"/>
      <c r="KHY1" s="204"/>
      <c r="KHZ1" s="204"/>
      <c r="KIA1" s="204"/>
      <c r="KIB1" s="204"/>
      <c r="KIC1" s="204"/>
      <c r="KID1" s="205"/>
      <c r="KIE1" s="204"/>
      <c r="KIF1" s="204"/>
      <c r="KIG1" s="204"/>
      <c r="KIH1" s="204"/>
      <c r="KII1" s="204"/>
      <c r="KIJ1" s="204"/>
      <c r="KIK1" s="204"/>
      <c r="KIL1" s="204"/>
      <c r="KIM1" s="204"/>
      <c r="KIN1" s="204"/>
      <c r="KIO1" s="204"/>
      <c r="KIP1" s="204"/>
      <c r="KIQ1" s="204"/>
      <c r="KIR1" s="204"/>
      <c r="KIS1" s="204"/>
      <c r="KIT1" s="204"/>
      <c r="KIU1" s="204"/>
      <c r="KIV1" s="204"/>
      <c r="KIW1" s="204"/>
      <c r="KIX1" s="204"/>
      <c r="KIY1" s="204"/>
      <c r="KIZ1" s="204"/>
      <c r="KJA1" s="204"/>
      <c r="KJB1" s="204"/>
      <c r="KJC1" s="204"/>
      <c r="KJD1" s="204"/>
      <c r="KJE1" s="204"/>
      <c r="KJF1" s="205"/>
      <c r="KJG1" s="204"/>
      <c r="KJH1" s="204"/>
      <c r="KJI1" s="204"/>
      <c r="KJJ1" s="204"/>
      <c r="KJK1" s="204"/>
      <c r="KJL1" s="204"/>
      <c r="KJM1" s="204"/>
      <c r="KJN1" s="204"/>
      <c r="KJO1" s="204"/>
      <c r="KJP1" s="204"/>
      <c r="KJQ1" s="204"/>
      <c r="KJR1" s="204"/>
      <c r="KJS1" s="204"/>
      <c r="KJT1" s="204"/>
      <c r="KJU1" s="204"/>
      <c r="KJV1" s="204"/>
      <c r="KJW1" s="204"/>
      <c r="KJX1" s="204"/>
      <c r="KJY1" s="204"/>
      <c r="KJZ1" s="204"/>
      <c r="KKA1" s="204"/>
      <c r="KKB1" s="204"/>
      <c r="KKC1" s="204"/>
      <c r="KKD1" s="204"/>
      <c r="KKE1" s="204"/>
      <c r="KKF1" s="204"/>
      <c r="KKG1" s="204"/>
      <c r="KKH1" s="205"/>
      <c r="KKI1" s="204"/>
      <c r="KKJ1" s="204"/>
      <c r="KKK1" s="204"/>
      <c r="KKL1" s="204"/>
      <c r="KKM1" s="204"/>
      <c r="KKN1" s="204"/>
      <c r="KKO1" s="204"/>
      <c r="KKP1" s="204"/>
      <c r="KKQ1" s="204"/>
      <c r="KKR1" s="204"/>
      <c r="KKS1" s="204"/>
      <c r="KKT1" s="204"/>
      <c r="KKU1" s="204"/>
      <c r="KKV1" s="204"/>
      <c r="KKW1" s="204"/>
      <c r="KKX1" s="204"/>
      <c r="KKY1" s="204"/>
      <c r="KKZ1" s="204"/>
      <c r="KLA1" s="204"/>
      <c r="KLB1" s="204"/>
      <c r="KLC1" s="204"/>
      <c r="KLD1" s="204"/>
      <c r="KLE1" s="204"/>
      <c r="KLF1" s="204"/>
      <c r="KLG1" s="204"/>
      <c r="KLH1" s="204"/>
      <c r="KLI1" s="204"/>
      <c r="KLJ1" s="205"/>
      <c r="KLK1" s="204"/>
      <c r="KLL1" s="204"/>
      <c r="KLM1" s="204"/>
      <c r="KLN1" s="204"/>
      <c r="KLO1" s="204"/>
      <c r="KLP1" s="204"/>
      <c r="KLQ1" s="204"/>
      <c r="KLR1" s="204"/>
      <c r="KLS1" s="204"/>
      <c r="KLT1" s="204"/>
      <c r="KLU1" s="204"/>
      <c r="KLV1" s="204"/>
      <c r="KLW1" s="204"/>
      <c r="KLX1" s="204"/>
      <c r="KLY1" s="204"/>
      <c r="KLZ1" s="204"/>
      <c r="KMA1" s="204"/>
      <c r="KMB1" s="204"/>
      <c r="KMC1" s="204"/>
      <c r="KMD1" s="204"/>
      <c r="KME1" s="204"/>
      <c r="KMF1" s="204"/>
      <c r="KMG1" s="204"/>
      <c r="KMH1" s="204"/>
      <c r="KMI1" s="204"/>
      <c r="KMJ1" s="204"/>
      <c r="KMK1" s="204"/>
      <c r="KML1" s="205"/>
      <c r="KMM1" s="204"/>
      <c r="KMN1" s="204"/>
      <c r="KMO1" s="204"/>
      <c r="KMP1" s="204"/>
      <c r="KMQ1" s="204"/>
      <c r="KMR1" s="204"/>
      <c r="KMS1" s="204"/>
      <c r="KMT1" s="204"/>
      <c r="KMU1" s="204"/>
      <c r="KMV1" s="204"/>
      <c r="KMW1" s="204"/>
      <c r="KMX1" s="204"/>
      <c r="KMY1" s="204"/>
      <c r="KMZ1" s="204"/>
      <c r="KNA1" s="204"/>
      <c r="KNB1" s="204"/>
      <c r="KNC1" s="204"/>
      <c r="KND1" s="204"/>
      <c r="KNE1" s="204"/>
      <c r="KNF1" s="204"/>
      <c r="KNG1" s="204"/>
      <c r="KNH1" s="204"/>
      <c r="KNI1" s="204"/>
      <c r="KNJ1" s="204"/>
      <c r="KNK1" s="204"/>
      <c r="KNL1" s="204"/>
      <c r="KNM1" s="204"/>
      <c r="KNN1" s="205"/>
      <c r="KNO1" s="204"/>
      <c r="KNP1" s="204"/>
      <c r="KNQ1" s="204"/>
      <c r="KNR1" s="204"/>
      <c r="KNS1" s="204"/>
      <c r="KNT1" s="204"/>
      <c r="KNU1" s="204"/>
      <c r="KNV1" s="204"/>
      <c r="KNW1" s="204"/>
      <c r="KNX1" s="204"/>
      <c r="KNY1" s="204"/>
      <c r="KNZ1" s="204"/>
      <c r="KOA1" s="204"/>
      <c r="KOB1" s="204"/>
      <c r="KOC1" s="204"/>
      <c r="KOD1" s="204"/>
      <c r="KOE1" s="204"/>
      <c r="KOF1" s="204"/>
      <c r="KOG1" s="204"/>
      <c r="KOH1" s="204"/>
      <c r="KOI1" s="204"/>
      <c r="KOJ1" s="204"/>
      <c r="KOK1" s="204"/>
      <c r="KOL1" s="204"/>
      <c r="KOM1" s="204"/>
      <c r="KON1" s="204"/>
      <c r="KOO1" s="204"/>
      <c r="KOP1" s="205"/>
      <c r="KOQ1" s="204"/>
      <c r="KOR1" s="204"/>
      <c r="KOS1" s="204"/>
      <c r="KOT1" s="204"/>
      <c r="KOU1" s="204"/>
      <c r="KOV1" s="204"/>
      <c r="KOW1" s="204"/>
      <c r="KOX1" s="204"/>
      <c r="KOY1" s="204"/>
      <c r="KOZ1" s="204"/>
      <c r="KPA1" s="204"/>
      <c r="KPB1" s="204"/>
      <c r="KPC1" s="204"/>
      <c r="KPD1" s="204"/>
      <c r="KPE1" s="204"/>
      <c r="KPF1" s="204"/>
      <c r="KPG1" s="204"/>
      <c r="KPH1" s="204"/>
      <c r="KPI1" s="204"/>
      <c r="KPJ1" s="204"/>
      <c r="KPK1" s="204"/>
      <c r="KPL1" s="204"/>
      <c r="KPM1" s="204"/>
      <c r="KPN1" s="204"/>
      <c r="KPO1" s="204"/>
      <c r="KPP1" s="204"/>
      <c r="KPQ1" s="204"/>
      <c r="KPR1" s="205"/>
      <c r="KPS1" s="204"/>
      <c r="KPT1" s="204"/>
      <c r="KPU1" s="204"/>
      <c r="KPV1" s="204"/>
      <c r="KPW1" s="204"/>
      <c r="KPX1" s="204"/>
      <c r="KPY1" s="204"/>
      <c r="KPZ1" s="204"/>
      <c r="KQA1" s="204"/>
      <c r="KQB1" s="204"/>
      <c r="KQC1" s="204"/>
      <c r="KQD1" s="204"/>
      <c r="KQE1" s="204"/>
      <c r="KQF1" s="204"/>
      <c r="KQG1" s="204"/>
      <c r="KQH1" s="204"/>
      <c r="KQI1" s="204"/>
      <c r="KQJ1" s="204"/>
      <c r="KQK1" s="204"/>
      <c r="KQL1" s="204"/>
      <c r="KQM1" s="204"/>
      <c r="KQN1" s="204"/>
      <c r="KQO1" s="204"/>
      <c r="KQP1" s="204"/>
      <c r="KQQ1" s="204"/>
      <c r="KQR1" s="204"/>
      <c r="KQS1" s="204"/>
      <c r="KQT1" s="205"/>
      <c r="KQU1" s="204"/>
      <c r="KQV1" s="204"/>
      <c r="KQW1" s="204"/>
      <c r="KQX1" s="204"/>
      <c r="KQY1" s="204"/>
      <c r="KQZ1" s="204"/>
      <c r="KRA1" s="204"/>
      <c r="KRB1" s="204"/>
      <c r="KRC1" s="204"/>
      <c r="KRD1" s="204"/>
      <c r="KRE1" s="204"/>
      <c r="KRF1" s="204"/>
      <c r="KRG1" s="204"/>
      <c r="KRH1" s="204"/>
      <c r="KRI1" s="204"/>
      <c r="KRJ1" s="204"/>
      <c r="KRK1" s="204"/>
      <c r="KRL1" s="204"/>
      <c r="KRM1" s="204"/>
      <c r="KRN1" s="204"/>
      <c r="KRO1" s="204"/>
      <c r="KRP1" s="204"/>
      <c r="KRQ1" s="204"/>
      <c r="KRR1" s="204"/>
      <c r="KRS1" s="204"/>
      <c r="KRT1" s="204"/>
      <c r="KRU1" s="204"/>
      <c r="KRV1" s="205"/>
      <c r="KRW1" s="204"/>
      <c r="KRX1" s="204"/>
      <c r="KRY1" s="204"/>
      <c r="KRZ1" s="204"/>
      <c r="KSA1" s="204"/>
      <c r="KSB1" s="204"/>
      <c r="KSC1" s="204"/>
      <c r="KSD1" s="204"/>
      <c r="KSE1" s="204"/>
      <c r="KSF1" s="204"/>
      <c r="KSG1" s="204"/>
      <c r="KSH1" s="204"/>
      <c r="KSI1" s="204"/>
      <c r="KSJ1" s="204"/>
      <c r="KSK1" s="204"/>
      <c r="KSL1" s="204"/>
      <c r="KSM1" s="204"/>
      <c r="KSN1" s="204"/>
      <c r="KSO1" s="204"/>
      <c r="KSP1" s="204"/>
      <c r="KSQ1" s="204"/>
      <c r="KSR1" s="204"/>
      <c r="KSS1" s="204"/>
      <c r="KST1" s="204"/>
      <c r="KSU1" s="204"/>
      <c r="KSV1" s="204"/>
      <c r="KSW1" s="204"/>
      <c r="KSX1" s="205"/>
      <c r="KSY1" s="204"/>
      <c r="KSZ1" s="204"/>
      <c r="KTA1" s="204"/>
      <c r="KTB1" s="204"/>
      <c r="KTC1" s="204"/>
      <c r="KTD1" s="204"/>
      <c r="KTE1" s="204"/>
      <c r="KTF1" s="204"/>
      <c r="KTG1" s="204"/>
      <c r="KTH1" s="204"/>
      <c r="KTI1" s="204"/>
      <c r="KTJ1" s="204"/>
      <c r="KTK1" s="204"/>
      <c r="KTL1" s="204"/>
      <c r="KTM1" s="204"/>
      <c r="KTN1" s="204"/>
      <c r="KTO1" s="204"/>
      <c r="KTP1" s="204"/>
      <c r="KTQ1" s="204"/>
      <c r="KTR1" s="204"/>
      <c r="KTS1" s="204"/>
      <c r="KTT1" s="204"/>
      <c r="KTU1" s="204"/>
      <c r="KTV1" s="204"/>
      <c r="KTW1" s="204"/>
      <c r="KTX1" s="204"/>
      <c r="KTY1" s="204"/>
      <c r="KTZ1" s="205"/>
      <c r="KUA1" s="204"/>
      <c r="KUB1" s="204"/>
      <c r="KUC1" s="204"/>
      <c r="KUD1" s="204"/>
      <c r="KUE1" s="204"/>
      <c r="KUF1" s="204"/>
      <c r="KUG1" s="204"/>
      <c r="KUH1" s="204"/>
      <c r="KUI1" s="204"/>
      <c r="KUJ1" s="204"/>
      <c r="KUK1" s="204"/>
      <c r="KUL1" s="204"/>
      <c r="KUM1" s="204"/>
      <c r="KUN1" s="204"/>
      <c r="KUO1" s="204"/>
      <c r="KUP1" s="204"/>
      <c r="KUQ1" s="204"/>
      <c r="KUR1" s="204"/>
      <c r="KUS1" s="204"/>
      <c r="KUT1" s="204"/>
      <c r="KUU1" s="204"/>
      <c r="KUV1" s="204"/>
      <c r="KUW1" s="204"/>
      <c r="KUX1" s="204"/>
      <c r="KUY1" s="204"/>
      <c r="KUZ1" s="204"/>
      <c r="KVA1" s="204"/>
      <c r="KVB1" s="205"/>
      <c r="KVC1" s="204"/>
      <c r="KVD1" s="204"/>
      <c r="KVE1" s="204"/>
      <c r="KVF1" s="204"/>
      <c r="KVG1" s="204"/>
      <c r="KVH1" s="204"/>
      <c r="KVI1" s="204"/>
      <c r="KVJ1" s="204"/>
      <c r="KVK1" s="204"/>
      <c r="KVL1" s="204"/>
      <c r="KVM1" s="204"/>
      <c r="KVN1" s="204"/>
      <c r="KVO1" s="204"/>
      <c r="KVP1" s="204"/>
      <c r="KVQ1" s="204"/>
      <c r="KVR1" s="204"/>
      <c r="KVS1" s="204"/>
      <c r="KVT1" s="204"/>
      <c r="KVU1" s="204"/>
      <c r="KVV1" s="204"/>
      <c r="KVW1" s="204"/>
      <c r="KVX1" s="204"/>
      <c r="KVY1" s="204"/>
      <c r="KVZ1" s="204"/>
      <c r="KWA1" s="204"/>
      <c r="KWB1" s="204"/>
      <c r="KWC1" s="204"/>
      <c r="KWD1" s="205"/>
      <c r="KWE1" s="204"/>
      <c r="KWF1" s="204"/>
      <c r="KWG1" s="204"/>
      <c r="KWH1" s="204"/>
      <c r="KWI1" s="204"/>
      <c r="KWJ1" s="204"/>
      <c r="KWK1" s="204"/>
      <c r="KWL1" s="204"/>
      <c r="KWM1" s="204"/>
      <c r="KWN1" s="204"/>
      <c r="KWO1" s="204"/>
      <c r="KWP1" s="204"/>
      <c r="KWQ1" s="204"/>
      <c r="KWR1" s="204"/>
      <c r="KWS1" s="204"/>
      <c r="KWT1" s="204"/>
      <c r="KWU1" s="204"/>
      <c r="KWV1" s="204"/>
      <c r="KWW1" s="204"/>
      <c r="KWX1" s="204"/>
      <c r="KWY1" s="204"/>
      <c r="KWZ1" s="204"/>
      <c r="KXA1" s="204"/>
      <c r="KXB1" s="204"/>
      <c r="KXC1" s="204"/>
      <c r="KXD1" s="204"/>
      <c r="KXE1" s="204"/>
      <c r="KXF1" s="205"/>
      <c r="KXG1" s="204"/>
      <c r="KXH1" s="204"/>
      <c r="KXI1" s="204"/>
      <c r="KXJ1" s="204"/>
      <c r="KXK1" s="204"/>
      <c r="KXL1" s="204"/>
      <c r="KXM1" s="204"/>
      <c r="KXN1" s="204"/>
      <c r="KXO1" s="204"/>
      <c r="KXP1" s="204"/>
      <c r="KXQ1" s="204"/>
      <c r="KXR1" s="204"/>
      <c r="KXS1" s="204"/>
      <c r="KXT1" s="204"/>
      <c r="KXU1" s="204"/>
      <c r="KXV1" s="204"/>
      <c r="KXW1" s="204"/>
      <c r="KXX1" s="204"/>
      <c r="KXY1" s="204"/>
      <c r="KXZ1" s="204"/>
      <c r="KYA1" s="204"/>
      <c r="KYB1" s="204"/>
      <c r="KYC1" s="204"/>
      <c r="KYD1" s="204"/>
      <c r="KYE1" s="204"/>
      <c r="KYF1" s="204"/>
      <c r="KYG1" s="204"/>
      <c r="KYH1" s="205"/>
      <c r="KYI1" s="204"/>
      <c r="KYJ1" s="204"/>
      <c r="KYK1" s="204"/>
      <c r="KYL1" s="204"/>
      <c r="KYM1" s="204"/>
      <c r="KYN1" s="204"/>
      <c r="KYO1" s="204"/>
      <c r="KYP1" s="204"/>
      <c r="KYQ1" s="204"/>
      <c r="KYR1" s="204"/>
      <c r="KYS1" s="204"/>
      <c r="KYT1" s="204"/>
      <c r="KYU1" s="204"/>
      <c r="KYV1" s="204"/>
      <c r="KYW1" s="204"/>
      <c r="KYX1" s="204"/>
      <c r="KYY1" s="204"/>
      <c r="KYZ1" s="204"/>
      <c r="KZA1" s="204"/>
      <c r="KZB1" s="204"/>
      <c r="KZC1" s="204"/>
      <c r="KZD1" s="204"/>
      <c r="KZE1" s="204"/>
      <c r="KZF1" s="204"/>
      <c r="KZG1" s="204"/>
      <c r="KZH1" s="204"/>
      <c r="KZI1" s="204"/>
      <c r="KZJ1" s="205"/>
      <c r="KZK1" s="204"/>
      <c r="KZL1" s="204"/>
      <c r="KZM1" s="204"/>
      <c r="KZN1" s="204"/>
      <c r="KZO1" s="204"/>
      <c r="KZP1" s="204"/>
      <c r="KZQ1" s="204"/>
      <c r="KZR1" s="204"/>
      <c r="KZS1" s="204"/>
      <c r="KZT1" s="204"/>
      <c r="KZU1" s="204"/>
      <c r="KZV1" s="204"/>
      <c r="KZW1" s="204"/>
      <c r="KZX1" s="204"/>
      <c r="KZY1" s="204"/>
      <c r="KZZ1" s="204"/>
      <c r="LAA1" s="204"/>
      <c r="LAB1" s="204"/>
      <c r="LAC1" s="204"/>
      <c r="LAD1" s="204"/>
      <c r="LAE1" s="204"/>
      <c r="LAF1" s="204"/>
      <c r="LAG1" s="204"/>
      <c r="LAH1" s="204"/>
      <c r="LAI1" s="204"/>
      <c r="LAJ1" s="204"/>
      <c r="LAK1" s="204"/>
      <c r="LAL1" s="205"/>
      <c r="LAM1" s="204"/>
      <c r="LAN1" s="204"/>
      <c r="LAO1" s="204"/>
      <c r="LAP1" s="204"/>
      <c r="LAQ1" s="204"/>
      <c r="LAR1" s="204"/>
      <c r="LAS1" s="204"/>
      <c r="LAT1" s="204"/>
      <c r="LAU1" s="204"/>
      <c r="LAV1" s="204"/>
      <c r="LAW1" s="204"/>
      <c r="LAX1" s="204"/>
      <c r="LAY1" s="204"/>
      <c r="LAZ1" s="204"/>
      <c r="LBA1" s="204"/>
      <c r="LBB1" s="204"/>
      <c r="LBC1" s="204"/>
      <c r="LBD1" s="204"/>
      <c r="LBE1" s="204"/>
      <c r="LBF1" s="204"/>
      <c r="LBG1" s="204"/>
      <c r="LBH1" s="204"/>
      <c r="LBI1" s="204"/>
      <c r="LBJ1" s="204"/>
      <c r="LBK1" s="204"/>
      <c r="LBL1" s="204"/>
      <c r="LBM1" s="204"/>
      <c r="LBN1" s="205"/>
      <c r="LBO1" s="204"/>
      <c r="LBP1" s="204"/>
      <c r="LBQ1" s="204"/>
      <c r="LBR1" s="204"/>
      <c r="LBS1" s="204"/>
      <c r="LBT1" s="204"/>
      <c r="LBU1" s="204"/>
      <c r="LBV1" s="204"/>
      <c r="LBW1" s="204"/>
      <c r="LBX1" s="204"/>
      <c r="LBY1" s="204"/>
      <c r="LBZ1" s="204"/>
      <c r="LCA1" s="204"/>
      <c r="LCB1" s="204"/>
      <c r="LCC1" s="204"/>
      <c r="LCD1" s="204"/>
      <c r="LCE1" s="204"/>
      <c r="LCF1" s="204"/>
      <c r="LCG1" s="204"/>
      <c r="LCH1" s="204"/>
      <c r="LCI1" s="204"/>
      <c r="LCJ1" s="204"/>
      <c r="LCK1" s="204"/>
      <c r="LCL1" s="204"/>
      <c r="LCM1" s="204"/>
      <c r="LCN1" s="204"/>
      <c r="LCO1" s="204"/>
      <c r="LCP1" s="205"/>
      <c r="LCQ1" s="204"/>
      <c r="LCR1" s="204"/>
      <c r="LCS1" s="204"/>
      <c r="LCT1" s="204"/>
      <c r="LCU1" s="204"/>
      <c r="LCV1" s="204"/>
      <c r="LCW1" s="204"/>
      <c r="LCX1" s="204"/>
      <c r="LCY1" s="204"/>
      <c r="LCZ1" s="204"/>
      <c r="LDA1" s="204"/>
      <c r="LDB1" s="204"/>
      <c r="LDC1" s="204"/>
      <c r="LDD1" s="204"/>
      <c r="LDE1" s="204"/>
      <c r="LDF1" s="204"/>
      <c r="LDG1" s="204"/>
      <c r="LDH1" s="204"/>
      <c r="LDI1" s="204"/>
      <c r="LDJ1" s="204"/>
      <c r="LDK1" s="204"/>
      <c r="LDL1" s="204"/>
      <c r="LDM1" s="204"/>
      <c r="LDN1" s="204"/>
      <c r="LDO1" s="204"/>
      <c r="LDP1" s="204"/>
      <c r="LDQ1" s="204"/>
      <c r="LDR1" s="205"/>
      <c r="LDS1" s="204"/>
      <c r="LDT1" s="204"/>
      <c r="LDU1" s="204"/>
      <c r="LDV1" s="204"/>
      <c r="LDW1" s="204"/>
      <c r="LDX1" s="204"/>
      <c r="LDY1" s="204"/>
      <c r="LDZ1" s="204"/>
      <c r="LEA1" s="204"/>
      <c r="LEB1" s="204"/>
      <c r="LEC1" s="204"/>
      <c r="LED1" s="204"/>
      <c r="LEE1" s="204"/>
      <c r="LEF1" s="204"/>
      <c r="LEG1" s="204"/>
      <c r="LEH1" s="204"/>
      <c r="LEI1" s="204"/>
      <c r="LEJ1" s="204"/>
      <c r="LEK1" s="204"/>
      <c r="LEL1" s="204"/>
      <c r="LEM1" s="204"/>
      <c r="LEN1" s="204"/>
      <c r="LEO1" s="204"/>
      <c r="LEP1" s="204"/>
      <c r="LEQ1" s="204"/>
      <c r="LER1" s="204"/>
      <c r="LES1" s="204"/>
      <c r="LET1" s="205"/>
      <c r="LEU1" s="204"/>
      <c r="LEV1" s="204"/>
      <c r="LEW1" s="204"/>
      <c r="LEX1" s="204"/>
      <c r="LEY1" s="204"/>
      <c r="LEZ1" s="204"/>
      <c r="LFA1" s="204"/>
      <c r="LFB1" s="204"/>
      <c r="LFC1" s="204"/>
      <c r="LFD1" s="204"/>
      <c r="LFE1" s="204"/>
      <c r="LFF1" s="204"/>
      <c r="LFG1" s="204"/>
      <c r="LFH1" s="204"/>
      <c r="LFI1" s="204"/>
      <c r="LFJ1" s="204"/>
      <c r="LFK1" s="204"/>
      <c r="LFL1" s="204"/>
      <c r="LFM1" s="204"/>
      <c r="LFN1" s="204"/>
      <c r="LFO1" s="204"/>
      <c r="LFP1" s="204"/>
      <c r="LFQ1" s="204"/>
      <c r="LFR1" s="204"/>
      <c r="LFS1" s="204"/>
      <c r="LFT1" s="204"/>
      <c r="LFU1" s="204"/>
      <c r="LFV1" s="205"/>
      <c r="LFW1" s="204"/>
      <c r="LFX1" s="204"/>
      <c r="LFY1" s="204"/>
      <c r="LFZ1" s="204"/>
      <c r="LGA1" s="204"/>
      <c r="LGB1" s="204"/>
      <c r="LGC1" s="204"/>
      <c r="LGD1" s="204"/>
      <c r="LGE1" s="204"/>
      <c r="LGF1" s="204"/>
      <c r="LGG1" s="204"/>
      <c r="LGH1" s="204"/>
      <c r="LGI1" s="204"/>
      <c r="LGJ1" s="204"/>
      <c r="LGK1" s="204"/>
      <c r="LGL1" s="204"/>
      <c r="LGM1" s="204"/>
      <c r="LGN1" s="204"/>
      <c r="LGO1" s="204"/>
      <c r="LGP1" s="204"/>
      <c r="LGQ1" s="204"/>
      <c r="LGR1" s="204"/>
      <c r="LGS1" s="204"/>
      <c r="LGT1" s="204"/>
      <c r="LGU1" s="204"/>
      <c r="LGV1" s="204"/>
      <c r="LGW1" s="204"/>
      <c r="LGX1" s="205"/>
      <c r="LGY1" s="204"/>
      <c r="LGZ1" s="204"/>
      <c r="LHA1" s="204"/>
      <c r="LHB1" s="204"/>
      <c r="LHC1" s="204"/>
      <c r="LHD1" s="204"/>
      <c r="LHE1" s="204"/>
      <c r="LHF1" s="204"/>
      <c r="LHG1" s="204"/>
      <c r="LHH1" s="204"/>
      <c r="LHI1" s="204"/>
      <c r="LHJ1" s="204"/>
      <c r="LHK1" s="204"/>
      <c r="LHL1" s="204"/>
      <c r="LHM1" s="204"/>
      <c r="LHN1" s="204"/>
      <c r="LHO1" s="204"/>
      <c r="LHP1" s="204"/>
      <c r="LHQ1" s="204"/>
      <c r="LHR1" s="204"/>
      <c r="LHS1" s="204"/>
      <c r="LHT1" s="204"/>
      <c r="LHU1" s="204"/>
      <c r="LHV1" s="204"/>
      <c r="LHW1" s="204"/>
      <c r="LHX1" s="204"/>
      <c r="LHY1" s="204"/>
      <c r="LHZ1" s="205"/>
      <c r="LIA1" s="204"/>
      <c r="LIB1" s="204"/>
      <c r="LIC1" s="204"/>
      <c r="LID1" s="204"/>
      <c r="LIE1" s="204"/>
      <c r="LIF1" s="204"/>
      <c r="LIG1" s="204"/>
      <c r="LIH1" s="204"/>
      <c r="LII1" s="204"/>
      <c r="LIJ1" s="204"/>
      <c r="LIK1" s="204"/>
      <c r="LIL1" s="204"/>
      <c r="LIM1" s="204"/>
      <c r="LIN1" s="204"/>
      <c r="LIO1" s="204"/>
      <c r="LIP1" s="204"/>
      <c r="LIQ1" s="204"/>
      <c r="LIR1" s="204"/>
      <c r="LIS1" s="204"/>
      <c r="LIT1" s="204"/>
      <c r="LIU1" s="204"/>
      <c r="LIV1" s="204"/>
      <c r="LIW1" s="204"/>
      <c r="LIX1" s="204"/>
      <c r="LIY1" s="204"/>
      <c r="LIZ1" s="204"/>
      <c r="LJA1" s="204"/>
      <c r="LJB1" s="205"/>
      <c r="LJC1" s="204"/>
      <c r="LJD1" s="204"/>
      <c r="LJE1" s="204"/>
      <c r="LJF1" s="204"/>
      <c r="LJG1" s="204"/>
      <c r="LJH1" s="204"/>
      <c r="LJI1" s="204"/>
      <c r="LJJ1" s="204"/>
      <c r="LJK1" s="204"/>
      <c r="LJL1" s="204"/>
      <c r="LJM1" s="204"/>
      <c r="LJN1" s="204"/>
      <c r="LJO1" s="204"/>
      <c r="LJP1" s="204"/>
      <c r="LJQ1" s="204"/>
      <c r="LJR1" s="204"/>
      <c r="LJS1" s="204"/>
      <c r="LJT1" s="204"/>
      <c r="LJU1" s="204"/>
      <c r="LJV1" s="204"/>
      <c r="LJW1" s="204"/>
      <c r="LJX1" s="204"/>
      <c r="LJY1" s="204"/>
      <c r="LJZ1" s="204"/>
      <c r="LKA1" s="204"/>
      <c r="LKB1" s="204"/>
      <c r="LKC1" s="204"/>
      <c r="LKD1" s="205"/>
      <c r="LKE1" s="204"/>
      <c r="LKF1" s="204"/>
      <c r="LKG1" s="204"/>
      <c r="LKH1" s="204"/>
      <c r="LKI1" s="204"/>
      <c r="LKJ1" s="204"/>
      <c r="LKK1" s="204"/>
      <c r="LKL1" s="204"/>
      <c r="LKM1" s="204"/>
      <c r="LKN1" s="204"/>
      <c r="LKO1" s="204"/>
      <c r="LKP1" s="204"/>
      <c r="LKQ1" s="204"/>
      <c r="LKR1" s="204"/>
      <c r="LKS1" s="204"/>
      <c r="LKT1" s="204"/>
      <c r="LKU1" s="204"/>
      <c r="LKV1" s="204"/>
      <c r="LKW1" s="204"/>
      <c r="LKX1" s="204"/>
      <c r="LKY1" s="204"/>
      <c r="LKZ1" s="204"/>
      <c r="LLA1" s="204"/>
      <c r="LLB1" s="204"/>
      <c r="LLC1" s="204"/>
      <c r="LLD1" s="204"/>
      <c r="LLE1" s="204"/>
      <c r="LLF1" s="205"/>
      <c r="LLG1" s="204"/>
      <c r="LLH1" s="204"/>
      <c r="LLI1" s="204"/>
      <c r="LLJ1" s="204"/>
      <c r="LLK1" s="204"/>
      <c r="LLL1" s="204"/>
      <c r="LLM1" s="204"/>
      <c r="LLN1" s="204"/>
      <c r="LLO1" s="204"/>
      <c r="LLP1" s="204"/>
      <c r="LLQ1" s="204"/>
      <c r="LLR1" s="204"/>
      <c r="LLS1" s="204"/>
      <c r="LLT1" s="204"/>
      <c r="LLU1" s="204"/>
      <c r="LLV1" s="204"/>
      <c r="LLW1" s="204"/>
      <c r="LLX1" s="204"/>
      <c r="LLY1" s="204"/>
      <c r="LLZ1" s="204"/>
      <c r="LMA1" s="204"/>
      <c r="LMB1" s="204"/>
      <c r="LMC1" s="204"/>
      <c r="LMD1" s="204"/>
      <c r="LME1" s="204"/>
      <c r="LMF1" s="204"/>
      <c r="LMG1" s="204"/>
      <c r="LMH1" s="205"/>
      <c r="LMI1" s="204"/>
      <c r="LMJ1" s="204"/>
      <c r="LMK1" s="204"/>
      <c r="LML1" s="204"/>
      <c r="LMM1" s="204"/>
      <c r="LMN1" s="204"/>
      <c r="LMO1" s="204"/>
      <c r="LMP1" s="204"/>
      <c r="LMQ1" s="204"/>
      <c r="LMR1" s="204"/>
      <c r="LMS1" s="204"/>
      <c r="LMT1" s="204"/>
      <c r="LMU1" s="204"/>
      <c r="LMV1" s="204"/>
      <c r="LMW1" s="204"/>
      <c r="LMX1" s="204"/>
      <c r="LMY1" s="204"/>
      <c r="LMZ1" s="204"/>
      <c r="LNA1" s="204"/>
      <c r="LNB1" s="204"/>
      <c r="LNC1" s="204"/>
      <c r="LND1" s="204"/>
      <c r="LNE1" s="204"/>
      <c r="LNF1" s="204"/>
      <c r="LNG1" s="204"/>
      <c r="LNH1" s="204"/>
      <c r="LNI1" s="204"/>
      <c r="LNJ1" s="205"/>
      <c r="LNK1" s="204"/>
      <c r="LNL1" s="204"/>
      <c r="LNM1" s="204"/>
      <c r="LNN1" s="204"/>
      <c r="LNO1" s="204"/>
      <c r="LNP1" s="204"/>
      <c r="LNQ1" s="204"/>
      <c r="LNR1" s="204"/>
      <c r="LNS1" s="204"/>
      <c r="LNT1" s="204"/>
      <c r="LNU1" s="204"/>
      <c r="LNV1" s="204"/>
      <c r="LNW1" s="204"/>
      <c r="LNX1" s="204"/>
      <c r="LNY1" s="204"/>
      <c r="LNZ1" s="204"/>
      <c r="LOA1" s="204"/>
      <c r="LOB1" s="204"/>
      <c r="LOC1" s="204"/>
      <c r="LOD1" s="204"/>
      <c r="LOE1" s="204"/>
      <c r="LOF1" s="204"/>
      <c r="LOG1" s="204"/>
      <c r="LOH1" s="204"/>
      <c r="LOI1" s="204"/>
      <c r="LOJ1" s="204"/>
      <c r="LOK1" s="204"/>
      <c r="LOL1" s="205"/>
      <c r="LOM1" s="204"/>
      <c r="LON1" s="204"/>
      <c r="LOO1" s="204"/>
      <c r="LOP1" s="204"/>
      <c r="LOQ1" s="204"/>
      <c r="LOR1" s="204"/>
      <c r="LOS1" s="204"/>
      <c r="LOT1" s="204"/>
      <c r="LOU1" s="204"/>
      <c r="LOV1" s="204"/>
      <c r="LOW1" s="204"/>
      <c r="LOX1" s="204"/>
      <c r="LOY1" s="204"/>
      <c r="LOZ1" s="204"/>
      <c r="LPA1" s="204"/>
      <c r="LPB1" s="204"/>
      <c r="LPC1" s="204"/>
      <c r="LPD1" s="204"/>
      <c r="LPE1" s="204"/>
      <c r="LPF1" s="204"/>
      <c r="LPG1" s="204"/>
      <c r="LPH1" s="204"/>
      <c r="LPI1" s="204"/>
      <c r="LPJ1" s="204"/>
      <c r="LPK1" s="204"/>
      <c r="LPL1" s="204"/>
      <c r="LPM1" s="204"/>
      <c r="LPN1" s="205"/>
      <c r="LPO1" s="204"/>
      <c r="LPP1" s="204"/>
      <c r="LPQ1" s="204"/>
      <c r="LPR1" s="204"/>
      <c r="LPS1" s="204"/>
      <c r="LPT1" s="204"/>
      <c r="LPU1" s="204"/>
      <c r="LPV1" s="204"/>
      <c r="LPW1" s="204"/>
      <c r="LPX1" s="204"/>
      <c r="LPY1" s="204"/>
      <c r="LPZ1" s="204"/>
      <c r="LQA1" s="204"/>
      <c r="LQB1" s="204"/>
      <c r="LQC1" s="204"/>
      <c r="LQD1" s="204"/>
      <c r="LQE1" s="204"/>
      <c r="LQF1" s="204"/>
      <c r="LQG1" s="204"/>
      <c r="LQH1" s="204"/>
      <c r="LQI1" s="204"/>
      <c r="LQJ1" s="204"/>
      <c r="LQK1" s="204"/>
      <c r="LQL1" s="204"/>
      <c r="LQM1" s="204"/>
      <c r="LQN1" s="204"/>
      <c r="LQO1" s="204"/>
      <c r="LQP1" s="205"/>
      <c r="LQQ1" s="204"/>
      <c r="LQR1" s="204"/>
      <c r="LQS1" s="204"/>
      <c r="LQT1" s="204"/>
      <c r="LQU1" s="204"/>
      <c r="LQV1" s="204"/>
      <c r="LQW1" s="204"/>
      <c r="LQX1" s="204"/>
      <c r="LQY1" s="204"/>
      <c r="LQZ1" s="204"/>
      <c r="LRA1" s="204"/>
      <c r="LRB1" s="204"/>
      <c r="LRC1" s="204"/>
      <c r="LRD1" s="204"/>
      <c r="LRE1" s="204"/>
      <c r="LRF1" s="204"/>
      <c r="LRG1" s="204"/>
      <c r="LRH1" s="204"/>
      <c r="LRI1" s="204"/>
      <c r="LRJ1" s="204"/>
      <c r="LRK1" s="204"/>
      <c r="LRL1" s="204"/>
      <c r="LRM1" s="204"/>
      <c r="LRN1" s="204"/>
      <c r="LRO1" s="204"/>
      <c r="LRP1" s="204"/>
      <c r="LRQ1" s="204"/>
      <c r="LRR1" s="205"/>
      <c r="LRS1" s="204"/>
      <c r="LRT1" s="204"/>
      <c r="LRU1" s="204"/>
      <c r="LRV1" s="204"/>
      <c r="LRW1" s="204"/>
      <c r="LRX1" s="204"/>
      <c r="LRY1" s="204"/>
      <c r="LRZ1" s="204"/>
      <c r="LSA1" s="204"/>
      <c r="LSB1" s="204"/>
      <c r="LSC1" s="204"/>
      <c r="LSD1" s="204"/>
      <c r="LSE1" s="204"/>
      <c r="LSF1" s="204"/>
      <c r="LSG1" s="204"/>
      <c r="LSH1" s="204"/>
      <c r="LSI1" s="204"/>
      <c r="LSJ1" s="204"/>
      <c r="LSK1" s="204"/>
      <c r="LSL1" s="204"/>
      <c r="LSM1" s="204"/>
      <c r="LSN1" s="204"/>
      <c r="LSO1" s="204"/>
      <c r="LSP1" s="204"/>
      <c r="LSQ1" s="204"/>
      <c r="LSR1" s="204"/>
      <c r="LSS1" s="204"/>
      <c r="LST1" s="205"/>
      <c r="LSU1" s="204"/>
      <c r="LSV1" s="204"/>
      <c r="LSW1" s="204"/>
      <c r="LSX1" s="204"/>
      <c r="LSY1" s="204"/>
      <c r="LSZ1" s="204"/>
      <c r="LTA1" s="204"/>
      <c r="LTB1" s="204"/>
      <c r="LTC1" s="204"/>
      <c r="LTD1" s="204"/>
      <c r="LTE1" s="204"/>
      <c r="LTF1" s="204"/>
      <c r="LTG1" s="204"/>
      <c r="LTH1" s="204"/>
      <c r="LTI1" s="204"/>
      <c r="LTJ1" s="204"/>
      <c r="LTK1" s="204"/>
      <c r="LTL1" s="204"/>
      <c r="LTM1" s="204"/>
      <c r="LTN1" s="204"/>
      <c r="LTO1" s="204"/>
      <c r="LTP1" s="204"/>
      <c r="LTQ1" s="204"/>
      <c r="LTR1" s="204"/>
      <c r="LTS1" s="204"/>
      <c r="LTT1" s="204"/>
      <c r="LTU1" s="204"/>
      <c r="LTV1" s="205"/>
      <c r="LTW1" s="204"/>
      <c r="LTX1" s="204"/>
      <c r="LTY1" s="204"/>
      <c r="LTZ1" s="204"/>
      <c r="LUA1" s="204"/>
      <c r="LUB1" s="204"/>
      <c r="LUC1" s="204"/>
      <c r="LUD1" s="204"/>
      <c r="LUE1" s="204"/>
      <c r="LUF1" s="204"/>
      <c r="LUG1" s="204"/>
      <c r="LUH1" s="204"/>
      <c r="LUI1" s="204"/>
      <c r="LUJ1" s="204"/>
      <c r="LUK1" s="204"/>
      <c r="LUL1" s="204"/>
      <c r="LUM1" s="204"/>
      <c r="LUN1" s="204"/>
      <c r="LUO1" s="204"/>
      <c r="LUP1" s="204"/>
      <c r="LUQ1" s="204"/>
      <c r="LUR1" s="204"/>
      <c r="LUS1" s="204"/>
      <c r="LUT1" s="204"/>
      <c r="LUU1" s="204"/>
      <c r="LUV1" s="204"/>
      <c r="LUW1" s="204"/>
      <c r="LUX1" s="205"/>
      <c r="LUY1" s="204"/>
      <c r="LUZ1" s="204"/>
      <c r="LVA1" s="204"/>
      <c r="LVB1" s="204"/>
      <c r="LVC1" s="204"/>
      <c r="LVD1" s="204"/>
      <c r="LVE1" s="204"/>
      <c r="LVF1" s="204"/>
      <c r="LVG1" s="204"/>
      <c r="LVH1" s="204"/>
      <c r="LVI1" s="204"/>
      <c r="LVJ1" s="204"/>
      <c r="LVK1" s="204"/>
      <c r="LVL1" s="204"/>
      <c r="LVM1" s="204"/>
      <c r="LVN1" s="204"/>
      <c r="LVO1" s="204"/>
      <c r="LVP1" s="204"/>
      <c r="LVQ1" s="204"/>
      <c r="LVR1" s="204"/>
      <c r="LVS1" s="204"/>
      <c r="LVT1" s="204"/>
      <c r="LVU1" s="204"/>
      <c r="LVV1" s="204"/>
      <c r="LVW1" s="204"/>
      <c r="LVX1" s="204"/>
      <c r="LVY1" s="204"/>
      <c r="LVZ1" s="205"/>
      <c r="LWA1" s="204"/>
      <c r="LWB1" s="204"/>
      <c r="LWC1" s="204"/>
      <c r="LWD1" s="204"/>
      <c r="LWE1" s="204"/>
      <c r="LWF1" s="204"/>
      <c r="LWG1" s="204"/>
      <c r="LWH1" s="204"/>
      <c r="LWI1" s="204"/>
      <c r="LWJ1" s="204"/>
      <c r="LWK1" s="204"/>
      <c r="LWL1" s="204"/>
      <c r="LWM1" s="204"/>
      <c r="LWN1" s="204"/>
      <c r="LWO1" s="204"/>
      <c r="LWP1" s="204"/>
      <c r="LWQ1" s="204"/>
      <c r="LWR1" s="204"/>
      <c r="LWS1" s="204"/>
      <c r="LWT1" s="204"/>
      <c r="LWU1" s="204"/>
      <c r="LWV1" s="204"/>
      <c r="LWW1" s="204"/>
      <c r="LWX1" s="204"/>
      <c r="LWY1" s="204"/>
      <c r="LWZ1" s="204"/>
      <c r="LXA1" s="204"/>
      <c r="LXB1" s="205"/>
      <c r="LXC1" s="204"/>
      <c r="LXD1" s="204"/>
      <c r="LXE1" s="204"/>
      <c r="LXF1" s="204"/>
      <c r="LXG1" s="204"/>
      <c r="LXH1" s="204"/>
      <c r="LXI1" s="204"/>
      <c r="LXJ1" s="204"/>
      <c r="LXK1" s="204"/>
      <c r="LXL1" s="204"/>
      <c r="LXM1" s="204"/>
      <c r="LXN1" s="204"/>
      <c r="LXO1" s="204"/>
      <c r="LXP1" s="204"/>
      <c r="LXQ1" s="204"/>
      <c r="LXR1" s="204"/>
      <c r="LXS1" s="204"/>
      <c r="LXT1" s="204"/>
      <c r="LXU1" s="204"/>
      <c r="LXV1" s="204"/>
      <c r="LXW1" s="204"/>
      <c r="LXX1" s="204"/>
      <c r="LXY1" s="204"/>
      <c r="LXZ1" s="204"/>
      <c r="LYA1" s="204"/>
      <c r="LYB1" s="204"/>
      <c r="LYC1" s="204"/>
      <c r="LYD1" s="205"/>
      <c r="LYE1" s="204"/>
      <c r="LYF1" s="204"/>
      <c r="LYG1" s="204"/>
      <c r="LYH1" s="204"/>
      <c r="LYI1" s="204"/>
      <c r="LYJ1" s="204"/>
      <c r="LYK1" s="204"/>
      <c r="LYL1" s="204"/>
      <c r="LYM1" s="204"/>
      <c r="LYN1" s="204"/>
      <c r="LYO1" s="204"/>
      <c r="LYP1" s="204"/>
      <c r="LYQ1" s="204"/>
      <c r="LYR1" s="204"/>
      <c r="LYS1" s="204"/>
      <c r="LYT1" s="204"/>
      <c r="LYU1" s="204"/>
      <c r="LYV1" s="204"/>
      <c r="LYW1" s="204"/>
      <c r="LYX1" s="204"/>
      <c r="LYY1" s="204"/>
      <c r="LYZ1" s="204"/>
      <c r="LZA1" s="204"/>
      <c r="LZB1" s="204"/>
      <c r="LZC1" s="204"/>
      <c r="LZD1" s="204"/>
      <c r="LZE1" s="204"/>
      <c r="LZF1" s="205"/>
      <c r="LZG1" s="204"/>
      <c r="LZH1" s="204"/>
      <c r="LZI1" s="204"/>
      <c r="LZJ1" s="204"/>
      <c r="LZK1" s="204"/>
      <c r="LZL1" s="204"/>
      <c r="LZM1" s="204"/>
      <c r="LZN1" s="204"/>
      <c r="LZO1" s="204"/>
      <c r="LZP1" s="204"/>
      <c r="LZQ1" s="204"/>
      <c r="LZR1" s="204"/>
      <c r="LZS1" s="204"/>
      <c r="LZT1" s="204"/>
      <c r="LZU1" s="204"/>
      <c r="LZV1" s="204"/>
      <c r="LZW1" s="204"/>
      <c r="LZX1" s="204"/>
      <c r="LZY1" s="204"/>
      <c r="LZZ1" s="204"/>
      <c r="MAA1" s="204"/>
      <c r="MAB1" s="204"/>
      <c r="MAC1" s="204"/>
      <c r="MAD1" s="204"/>
      <c r="MAE1" s="204"/>
      <c r="MAF1" s="204"/>
      <c r="MAG1" s="204"/>
      <c r="MAH1" s="205"/>
      <c r="MAI1" s="204"/>
      <c r="MAJ1" s="204"/>
      <c r="MAK1" s="204"/>
      <c r="MAL1" s="204"/>
      <c r="MAM1" s="204"/>
      <c r="MAN1" s="204"/>
      <c r="MAO1" s="204"/>
      <c r="MAP1" s="204"/>
      <c r="MAQ1" s="204"/>
      <c r="MAR1" s="204"/>
      <c r="MAS1" s="204"/>
      <c r="MAT1" s="204"/>
      <c r="MAU1" s="204"/>
      <c r="MAV1" s="204"/>
      <c r="MAW1" s="204"/>
      <c r="MAX1" s="204"/>
      <c r="MAY1" s="204"/>
      <c r="MAZ1" s="204"/>
      <c r="MBA1" s="204"/>
      <c r="MBB1" s="204"/>
      <c r="MBC1" s="204"/>
      <c r="MBD1" s="204"/>
      <c r="MBE1" s="204"/>
      <c r="MBF1" s="204"/>
      <c r="MBG1" s="204"/>
      <c r="MBH1" s="204"/>
      <c r="MBI1" s="204"/>
      <c r="MBJ1" s="205"/>
      <c r="MBK1" s="204"/>
      <c r="MBL1" s="204"/>
      <c r="MBM1" s="204"/>
      <c r="MBN1" s="204"/>
      <c r="MBO1" s="204"/>
      <c r="MBP1" s="204"/>
      <c r="MBQ1" s="204"/>
      <c r="MBR1" s="204"/>
      <c r="MBS1" s="204"/>
      <c r="MBT1" s="204"/>
      <c r="MBU1" s="204"/>
      <c r="MBV1" s="204"/>
      <c r="MBW1" s="204"/>
      <c r="MBX1" s="204"/>
      <c r="MBY1" s="204"/>
      <c r="MBZ1" s="204"/>
      <c r="MCA1" s="204"/>
      <c r="MCB1" s="204"/>
      <c r="MCC1" s="204"/>
      <c r="MCD1" s="204"/>
      <c r="MCE1" s="204"/>
      <c r="MCF1" s="204"/>
      <c r="MCG1" s="204"/>
      <c r="MCH1" s="204"/>
      <c r="MCI1" s="204"/>
      <c r="MCJ1" s="204"/>
      <c r="MCK1" s="204"/>
      <c r="MCL1" s="205"/>
      <c r="MCM1" s="204"/>
      <c r="MCN1" s="204"/>
      <c r="MCO1" s="204"/>
      <c r="MCP1" s="204"/>
      <c r="MCQ1" s="204"/>
      <c r="MCR1" s="204"/>
      <c r="MCS1" s="204"/>
      <c r="MCT1" s="204"/>
      <c r="MCU1" s="204"/>
      <c r="MCV1" s="204"/>
      <c r="MCW1" s="204"/>
      <c r="MCX1" s="204"/>
      <c r="MCY1" s="204"/>
      <c r="MCZ1" s="204"/>
      <c r="MDA1" s="204"/>
      <c r="MDB1" s="204"/>
      <c r="MDC1" s="204"/>
      <c r="MDD1" s="204"/>
      <c r="MDE1" s="204"/>
      <c r="MDF1" s="204"/>
      <c r="MDG1" s="204"/>
      <c r="MDH1" s="204"/>
      <c r="MDI1" s="204"/>
      <c r="MDJ1" s="204"/>
      <c r="MDK1" s="204"/>
      <c r="MDL1" s="204"/>
      <c r="MDM1" s="204"/>
      <c r="MDN1" s="205"/>
      <c r="MDO1" s="204"/>
      <c r="MDP1" s="204"/>
      <c r="MDQ1" s="204"/>
      <c r="MDR1" s="204"/>
      <c r="MDS1" s="204"/>
      <c r="MDT1" s="204"/>
      <c r="MDU1" s="204"/>
      <c r="MDV1" s="204"/>
      <c r="MDW1" s="204"/>
      <c r="MDX1" s="204"/>
      <c r="MDY1" s="204"/>
      <c r="MDZ1" s="204"/>
      <c r="MEA1" s="204"/>
      <c r="MEB1" s="204"/>
      <c r="MEC1" s="204"/>
      <c r="MED1" s="204"/>
      <c r="MEE1" s="204"/>
      <c r="MEF1" s="204"/>
      <c r="MEG1" s="204"/>
      <c r="MEH1" s="204"/>
      <c r="MEI1" s="204"/>
      <c r="MEJ1" s="204"/>
      <c r="MEK1" s="204"/>
      <c r="MEL1" s="204"/>
      <c r="MEM1" s="204"/>
      <c r="MEN1" s="204"/>
      <c r="MEO1" s="204"/>
      <c r="MEP1" s="205"/>
      <c r="MEQ1" s="204"/>
      <c r="MER1" s="204"/>
      <c r="MES1" s="204"/>
      <c r="MET1" s="204"/>
      <c r="MEU1" s="204"/>
      <c r="MEV1" s="204"/>
      <c r="MEW1" s="204"/>
      <c r="MEX1" s="204"/>
      <c r="MEY1" s="204"/>
      <c r="MEZ1" s="204"/>
      <c r="MFA1" s="204"/>
      <c r="MFB1" s="204"/>
      <c r="MFC1" s="204"/>
      <c r="MFD1" s="204"/>
      <c r="MFE1" s="204"/>
      <c r="MFF1" s="204"/>
      <c r="MFG1" s="204"/>
      <c r="MFH1" s="204"/>
      <c r="MFI1" s="204"/>
      <c r="MFJ1" s="204"/>
      <c r="MFK1" s="204"/>
      <c r="MFL1" s="204"/>
      <c r="MFM1" s="204"/>
      <c r="MFN1" s="204"/>
      <c r="MFO1" s="204"/>
      <c r="MFP1" s="204"/>
      <c r="MFQ1" s="204"/>
      <c r="MFR1" s="205"/>
      <c r="MFS1" s="204"/>
      <c r="MFT1" s="204"/>
      <c r="MFU1" s="204"/>
      <c r="MFV1" s="204"/>
      <c r="MFW1" s="204"/>
      <c r="MFX1" s="204"/>
      <c r="MFY1" s="204"/>
      <c r="MFZ1" s="204"/>
      <c r="MGA1" s="204"/>
      <c r="MGB1" s="204"/>
      <c r="MGC1" s="204"/>
      <c r="MGD1" s="204"/>
      <c r="MGE1" s="204"/>
      <c r="MGF1" s="204"/>
      <c r="MGG1" s="204"/>
      <c r="MGH1" s="204"/>
      <c r="MGI1" s="204"/>
      <c r="MGJ1" s="204"/>
      <c r="MGK1" s="204"/>
      <c r="MGL1" s="204"/>
      <c r="MGM1" s="204"/>
      <c r="MGN1" s="204"/>
      <c r="MGO1" s="204"/>
      <c r="MGP1" s="204"/>
      <c r="MGQ1" s="204"/>
      <c r="MGR1" s="204"/>
      <c r="MGS1" s="204"/>
      <c r="MGT1" s="205"/>
      <c r="MGU1" s="204"/>
      <c r="MGV1" s="204"/>
      <c r="MGW1" s="204"/>
      <c r="MGX1" s="204"/>
      <c r="MGY1" s="204"/>
      <c r="MGZ1" s="204"/>
      <c r="MHA1" s="204"/>
      <c r="MHB1" s="204"/>
      <c r="MHC1" s="204"/>
      <c r="MHD1" s="204"/>
      <c r="MHE1" s="204"/>
      <c r="MHF1" s="204"/>
      <c r="MHG1" s="204"/>
      <c r="MHH1" s="204"/>
      <c r="MHI1" s="204"/>
      <c r="MHJ1" s="204"/>
      <c r="MHK1" s="204"/>
      <c r="MHL1" s="204"/>
      <c r="MHM1" s="204"/>
      <c r="MHN1" s="204"/>
      <c r="MHO1" s="204"/>
      <c r="MHP1" s="204"/>
      <c r="MHQ1" s="204"/>
      <c r="MHR1" s="204"/>
      <c r="MHS1" s="204"/>
      <c r="MHT1" s="204"/>
      <c r="MHU1" s="204"/>
      <c r="MHV1" s="205"/>
      <c r="MHW1" s="204"/>
      <c r="MHX1" s="204"/>
      <c r="MHY1" s="204"/>
      <c r="MHZ1" s="204"/>
      <c r="MIA1" s="204"/>
      <c r="MIB1" s="204"/>
      <c r="MIC1" s="204"/>
      <c r="MID1" s="204"/>
      <c r="MIE1" s="204"/>
      <c r="MIF1" s="204"/>
      <c r="MIG1" s="204"/>
      <c r="MIH1" s="204"/>
      <c r="MII1" s="204"/>
      <c r="MIJ1" s="204"/>
      <c r="MIK1" s="204"/>
      <c r="MIL1" s="204"/>
      <c r="MIM1" s="204"/>
      <c r="MIN1" s="204"/>
      <c r="MIO1" s="204"/>
      <c r="MIP1" s="204"/>
      <c r="MIQ1" s="204"/>
      <c r="MIR1" s="204"/>
      <c r="MIS1" s="204"/>
      <c r="MIT1" s="204"/>
      <c r="MIU1" s="204"/>
      <c r="MIV1" s="204"/>
      <c r="MIW1" s="204"/>
      <c r="MIX1" s="205"/>
      <c r="MIY1" s="204"/>
      <c r="MIZ1" s="204"/>
      <c r="MJA1" s="204"/>
      <c r="MJB1" s="204"/>
      <c r="MJC1" s="204"/>
      <c r="MJD1" s="204"/>
      <c r="MJE1" s="204"/>
      <c r="MJF1" s="204"/>
      <c r="MJG1" s="204"/>
      <c r="MJH1" s="204"/>
      <c r="MJI1" s="204"/>
      <c r="MJJ1" s="204"/>
      <c r="MJK1" s="204"/>
      <c r="MJL1" s="204"/>
      <c r="MJM1" s="204"/>
      <c r="MJN1" s="204"/>
      <c r="MJO1" s="204"/>
      <c r="MJP1" s="204"/>
      <c r="MJQ1" s="204"/>
      <c r="MJR1" s="204"/>
      <c r="MJS1" s="204"/>
      <c r="MJT1" s="204"/>
      <c r="MJU1" s="204"/>
      <c r="MJV1" s="204"/>
      <c r="MJW1" s="204"/>
      <c r="MJX1" s="204"/>
      <c r="MJY1" s="204"/>
      <c r="MJZ1" s="205"/>
      <c r="MKA1" s="204"/>
      <c r="MKB1" s="204"/>
      <c r="MKC1" s="204"/>
      <c r="MKD1" s="204"/>
      <c r="MKE1" s="204"/>
      <c r="MKF1" s="204"/>
      <c r="MKG1" s="204"/>
      <c r="MKH1" s="204"/>
      <c r="MKI1" s="204"/>
      <c r="MKJ1" s="204"/>
      <c r="MKK1" s="204"/>
      <c r="MKL1" s="204"/>
      <c r="MKM1" s="204"/>
      <c r="MKN1" s="204"/>
      <c r="MKO1" s="204"/>
      <c r="MKP1" s="204"/>
      <c r="MKQ1" s="204"/>
      <c r="MKR1" s="204"/>
      <c r="MKS1" s="204"/>
      <c r="MKT1" s="204"/>
      <c r="MKU1" s="204"/>
      <c r="MKV1" s="204"/>
      <c r="MKW1" s="204"/>
      <c r="MKX1" s="204"/>
      <c r="MKY1" s="204"/>
      <c r="MKZ1" s="204"/>
      <c r="MLA1" s="204"/>
      <c r="MLB1" s="205"/>
      <c r="MLC1" s="204"/>
      <c r="MLD1" s="204"/>
      <c r="MLE1" s="204"/>
      <c r="MLF1" s="204"/>
      <c r="MLG1" s="204"/>
      <c r="MLH1" s="204"/>
      <c r="MLI1" s="204"/>
      <c r="MLJ1" s="204"/>
      <c r="MLK1" s="204"/>
      <c r="MLL1" s="204"/>
      <c r="MLM1" s="204"/>
      <c r="MLN1" s="204"/>
      <c r="MLO1" s="204"/>
      <c r="MLP1" s="204"/>
      <c r="MLQ1" s="204"/>
      <c r="MLR1" s="204"/>
      <c r="MLS1" s="204"/>
      <c r="MLT1" s="204"/>
      <c r="MLU1" s="204"/>
      <c r="MLV1" s="204"/>
      <c r="MLW1" s="204"/>
      <c r="MLX1" s="204"/>
      <c r="MLY1" s="204"/>
      <c r="MLZ1" s="204"/>
      <c r="MMA1" s="204"/>
      <c r="MMB1" s="204"/>
      <c r="MMC1" s="204"/>
      <c r="MMD1" s="205"/>
      <c r="MME1" s="204"/>
      <c r="MMF1" s="204"/>
      <c r="MMG1" s="204"/>
      <c r="MMH1" s="204"/>
      <c r="MMI1" s="204"/>
      <c r="MMJ1" s="204"/>
      <c r="MMK1" s="204"/>
      <c r="MML1" s="204"/>
      <c r="MMM1" s="204"/>
      <c r="MMN1" s="204"/>
      <c r="MMO1" s="204"/>
      <c r="MMP1" s="204"/>
      <c r="MMQ1" s="204"/>
      <c r="MMR1" s="204"/>
      <c r="MMS1" s="204"/>
      <c r="MMT1" s="204"/>
      <c r="MMU1" s="204"/>
      <c r="MMV1" s="204"/>
      <c r="MMW1" s="204"/>
      <c r="MMX1" s="204"/>
      <c r="MMY1" s="204"/>
      <c r="MMZ1" s="204"/>
      <c r="MNA1" s="204"/>
      <c r="MNB1" s="204"/>
      <c r="MNC1" s="204"/>
      <c r="MND1" s="204"/>
      <c r="MNE1" s="204"/>
      <c r="MNF1" s="205"/>
      <c r="MNG1" s="204"/>
      <c r="MNH1" s="204"/>
      <c r="MNI1" s="204"/>
      <c r="MNJ1" s="204"/>
      <c r="MNK1" s="204"/>
      <c r="MNL1" s="204"/>
      <c r="MNM1" s="204"/>
      <c r="MNN1" s="204"/>
      <c r="MNO1" s="204"/>
      <c r="MNP1" s="204"/>
      <c r="MNQ1" s="204"/>
      <c r="MNR1" s="204"/>
      <c r="MNS1" s="204"/>
      <c r="MNT1" s="204"/>
      <c r="MNU1" s="204"/>
      <c r="MNV1" s="204"/>
      <c r="MNW1" s="204"/>
      <c r="MNX1" s="204"/>
      <c r="MNY1" s="204"/>
      <c r="MNZ1" s="204"/>
      <c r="MOA1" s="204"/>
      <c r="MOB1" s="204"/>
      <c r="MOC1" s="204"/>
      <c r="MOD1" s="204"/>
      <c r="MOE1" s="204"/>
      <c r="MOF1" s="204"/>
      <c r="MOG1" s="204"/>
      <c r="MOH1" s="205"/>
      <c r="MOI1" s="204"/>
      <c r="MOJ1" s="204"/>
      <c r="MOK1" s="204"/>
      <c r="MOL1" s="204"/>
      <c r="MOM1" s="204"/>
      <c r="MON1" s="204"/>
      <c r="MOO1" s="204"/>
      <c r="MOP1" s="204"/>
      <c r="MOQ1" s="204"/>
      <c r="MOR1" s="204"/>
      <c r="MOS1" s="204"/>
      <c r="MOT1" s="204"/>
      <c r="MOU1" s="204"/>
      <c r="MOV1" s="204"/>
      <c r="MOW1" s="204"/>
      <c r="MOX1" s="204"/>
      <c r="MOY1" s="204"/>
      <c r="MOZ1" s="204"/>
      <c r="MPA1" s="204"/>
      <c r="MPB1" s="204"/>
      <c r="MPC1" s="204"/>
      <c r="MPD1" s="204"/>
      <c r="MPE1" s="204"/>
      <c r="MPF1" s="204"/>
      <c r="MPG1" s="204"/>
      <c r="MPH1" s="204"/>
      <c r="MPI1" s="204"/>
      <c r="MPJ1" s="205"/>
      <c r="MPK1" s="204"/>
      <c r="MPL1" s="204"/>
      <c r="MPM1" s="204"/>
      <c r="MPN1" s="204"/>
      <c r="MPO1" s="204"/>
      <c r="MPP1" s="204"/>
      <c r="MPQ1" s="204"/>
      <c r="MPR1" s="204"/>
      <c r="MPS1" s="204"/>
      <c r="MPT1" s="204"/>
      <c r="MPU1" s="204"/>
      <c r="MPV1" s="204"/>
      <c r="MPW1" s="204"/>
      <c r="MPX1" s="204"/>
      <c r="MPY1" s="204"/>
      <c r="MPZ1" s="204"/>
      <c r="MQA1" s="204"/>
      <c r="MQB1" s="204"/>
      <c r="MQC1" s="204"/>
      <c r="MQD1" s="204"/>
      <c r="MQE1" s="204"/>
      <c r="MQF1" s="204"/>
      <c r="MQG1" s="204"/>
      <c r="MQH1" s="204"/>
      <c r="MQI1" s="204"/>
      <c r="MQJ1" s="204"/>
      <c r="MQK1" s="204"/>
      <c r="MQL1" s="205"/>
      <c r="MQM1" s="204"/>
      <c r="MQN1" s="204"/>
      <c r="MQO1" s="204"/>
      <c r="MQP1" s="204"/>
      <c r="MQQ1" s="204"/>
      <c r="MQR1" s="204"/>
      <c r="MQS1" s="204"/>
      <c r="MQT1" s="204"/>
      <c r="MQU1" s="204"/>
      <c r="MQV1" s="204"/>
      <c r="MQW1" s="204"/>
      <c r="MQX1" s="204"/>
      <c r="MQY1" s="204"/>
      <c r="MQZ1" s="204"/>
      <c r="MRA1" s="204"/>
      <c r="MRB1" s="204"/>
      <c r="MRC1" s="204"/>
      <c r="MRD1" s="204"/>
      <c r="MRE1" s="204"/>
      <c r="MRF1" s="204"/>
      <c r="MRG1" s="204"/>
      <c r="MRH1" s="204"/>
      <c r="MRI1" s="204"/>
      <c r="MRJ1" s="204"/>
      <c r="MRK1" s="204"/>
      <c r="MRL1" s="204"/>
      <c r="MRM1" s="204"/>
      <c r="MRN1" s="205"/>
      <c r="MRO1" s="204"/>
      <c r="MRP1" s="204"/>
      <c r="MRQ1" s="204"/>
      <c r="MRR1" s="204"/>
      <c r="MRS1" s="204"/>
      <c r="MRT1" s="204"/>
      <c r="MRU1" s="204"/>
      <c r="MRV1" s="204"/>
      <c r="MRW1" s="204"/>
      <c r="MRX1" s="204"/>
      <c r="MRY1" s="204"/>
      <c r="MRZ1" s="204"/>
      <c r="MSA1" s="204"/>
      <c r="MSB1" s="204"/>
      <c r="MSC1" s="204"/>
      <c r="MSD1" s="204"/>
      <c r="MSE1" s="204"/>
      <c r="MSF1" s="204"/>
      <c r="MSG1" s="204"/>
      <c r="MSH1" s="204"/>
      <c r="MSI1" s="204"/>
      <c r="MSJ1" s="204"/>
      <c r="MSK1" s="204"/>
      <c r="MSL1" s="204"/>
      <c r="MSM1" s="204"/>
      <c r="MSN1" s="204"/>
      <c r="MSO1" s="204"/>
      <c r="MSP1" s="205"/>
      <c r="MSQ1" s="204"/>
      <c r="MSR1" s="204"/>
      <c r="MSS1" s="204"/>
      <c r="MST1" s="204"/>
      <c r="MSU1" s="204"/>
      <c r="MSV1" s="204"/>
      <c r="MSW1" s="204"/>
      <c r="MSX1" s="204"/>
      <c r="MSY1" s="204"/>
      <c r="MSZ1" s="204"/>
      <c r="MTA1" s="204"/>
      <c r="MTB1" s="204"/>
      <c r="MTC1" s="204"/>
      <c r="MTD1" s="204"/>
      <c r="MTE1" s="204"/>
      <c r="MTF1" s="204"/>
      <c r="MTG1" s="204"/>
      <c r="MTH1" s="204"/>
      <c r="MTI1" s="204"/>
      <c r="MTJ1" s="204"/>
      <c r="MTK1" s="204"/>
      <c r="MTL1" s="204"/>
      <c r="MTM1" s="204"/>
      <c r="MTN1" s="204"/>
      <c r="MTO1" s="204"/>
      <c r="MTP1" s="204"/>
      <c r="MTQ1" s="204"/>
      <c r="MTR1" s="205"/>
      <c r="MTS1" s="204"/>
      <c r="MTT1" s="204"/>
      <c r="MTU1" s="204"/>
      <c r="MTV1" s="204"/>
      <c r="MTW1" s="204"/>
      <c r="MTX1" s="204"/>
      <c r="MTY1" s="204"/>
      <c r="MTZ1" s="204"/>
      <c r="MUA1" s="204"/>
      <c r="MUB1" s="204"/>
      <c r="MUC1" s="204"/>
      <c r="MUD1" s="204"/>
      <c r="MUE1" s="204"/>
      <c r="MUF1" s="204"/>
      <c r="MUG1" s="204"/>
      <c r="MUH1" s="204"/>
      <c r="MUI1" s="204"/>
      <c r="MUJ1" s="204"/>
      <c r="MUK1" s="204"/>
      <c r="MUL1" s="204"/>
      <c r="MUM1" s="204"/>
      <c r="MUN1" s="204"/>
      <c r="MUO1" s="204"/>
      <c r="MUP1" s="204"/>
      <c r="MUQ1" s="204"/>
      <c r="MUR1" s="204"/>
      <c r="MUS1" s="204"/>
      <c r="MUT1" s="205"/>
      <c r="MUU1" s="204"/>
      <c r="MUV1" s="204"/>
      <c r="MUW1" s="204"/>
      <c r="MUX1" s="204"/>
      <c r="MUY1" s="204"/>
      <c r="MUZ1" s="204"/>
      <c r="MVA1" s="204"/>
      <c r="MVB1" s="204"/>
      <c r="MVC1" s="204"/>
      <c r="MVD1" s="204"/>
      <c r="MVE1" s="204"/>
      <c r="MVF1" s="204"/>
      <c r="MVG1" s="204"/>
      <c r="MVH1" s="204"/>
      <c r="MVI1" s="204"/>
      <c r="MVJ1" s="204"/>
      <c r="MVK1" s="204"/>
      <c r="MVL1" s="204"/>
      <c r="MVM1" s="204"/>
      <c r="MVN1" s="204"/>
      <c r="MVO1" s="204"/>
      <c r="MVP1" s="204"/>
      <c r="MVQ1" s="204"/>
      <c r="MVR1" s="204"/>
      <c r="MVS1" s="204"/>
      <c r="MVT1" s="204"/>
      <c r="MVU1" s="204"/>
      <c r="MVV1" s="205"/>
      <c r="MVW1" s="204"/>
      <c r="MVX1" s="204"/>
      <c r="MVY1" s="204"/>
      <c r="MVZ1" s="204"/>
      <c r="MWA1" s="204"/>
      <c r="MWB1" s="204"/>
      <c r="MWC1" s="204"/>
      <c r="MWD1" s="204"/>
      <c r="MWE1" s="204"/>
      <c r="MWF1" s="204"/>
      <c r="MWG1" s="204"/>
      <c r="MWH1" s="204"/>
      <c r="MWI1" s="204"/>
      <c r="MWJ1" s="204"/>
      <c r="MWK1" s="204"/>
      <c r="MWL1" s="204"/>
      <c r="MWM1" s="204"/>
      <c r="MWN1" s="204"/>
      <c r="MWO1" s="204"/>
      <c r="MWP1" s="204"/>
      <c r="MWQ1" s="204"/>
      <c r="MWR1" s="204"/>
      <c r="MWS1" s="204"/>
      <c r="MWT1" s="204"/>
      <c r="MWU1" s="204"/>
      <c r="MWV1" s="204"/>
      <c r="MWW1" s="204"/>
      <c r="MWX1" s="205"/>
      <c r="MWY1" s="204"/>
      <c r="MWZ1" s="204"/>
      <c r="MXA1" s="204"/>
      <c r="MXB1" s="204"/>
      <c r="MXC1" s="204"/>
      <c r="MXD1" s="204"/>
      <c r="MXE1" s="204"/>
      <c r="MXF1" s="204"/>
      <c r="MXG1" s="204"/>
      <c r="MXH1" s="204"/>
      <c r="MXI1" s="204"/>
      <c r="MXJ1" s="204"/>
      <c r="MXK1" s="204"/>
      <c r="MXL1" s="204"/>
      <c r="MXM1" s="204"/>
      <c r="MXN1" s="204"/>
      <c r="MXO1" s="204"/>
      <c r="MXP1" s="204"/>
      <c r="MXQ1" s="204"/>
      <c r="MXR1" s="204"/>
      <c r="MXS1" s="204"/>
      <c r="MXT1" s="204"/>
      <c r="MXU1" s="204"/>
      <c r="MXV1" s="204"/>
      <c r="MXW1" s="204"/>
      <c r="MXX1" s="204"/>
      <c r="MXY1" s="204"/>
      <c r="MXZ1" s="205"/>
      <c r="MYA1" s="204"/>
      <c r="MYB1" s="204"/>
      <c r="MYC1" s="204"/>
      <c r="MYD1" s="204"/>
      <c r="MYE1" s="204"/>
      <c r="MYF1" s="204"/>
      <c r="MYG1" s="204"/>
      <c r="MYH1" s="204"/>
      <c r="MYI1" s="204"/>
      <c r="MYJ1" s="204"/>
      <c r="MYK1" s="204"/>
      <c r="MYL1" s="204"/>
      <c r="MYM1" s="204"/>
      <c r="MYN1" s="204"/>
      <c r="MYO1" s="204"/>
      <c r="MYP1" s="204"/>
      <c r="MYQ1" s="204"/>
      <c r="MYR1" s="204"/>
      <c r="MYS1" s="204"/>
      <c r="MYT1" s="204"/>
      <c r="MYU1" s="204"/>
      <c r="MYV1" s="204"/>
      <c r="MYW1" s="204"/>
      <c r="MYX1" s="204"/>
      <c r="MYY1" s="204"/>
      <c r="MYZ1" s="204"/>
      <c r="MZA1" s="204"/>
      <c r="MZB1" s="205"/>
      <c r="MZC1" s="204"/>
      <c r="MZD1" s="204"/>
      <c r="MZE1" s="204"/>
      <c r="MZF1" s="204"/>
      <c r="MZG1" s="204"/>
      <c r="MZH1" s="204"/>
      <c r="MZI1" s="204"/>
      <c r="MZJ1" s="204"/>
      <c r="MZK1" s="204"/>
      <c r="MZL1" s="204"/>
      <c r="MZM1" s="204"/>
      <c r="MZN1" s="204"/>
      <c r="MZO1" s="204"/>
      <c r="MZP1" s="204"/>
      <c r="MZQ1" s="204"/>
      <c r="MZR1" s="204"/>
      <c r="MZS1" s="204"/>
      <c r="MZT1" s="204"/>
      <c r="MZU1" s="204"/>
      <c r="MZV1" s="204"/>
      <c r="MZW1" s="204"/>
      <c r="MZX1" s="204"/>
      <c r="MZY1" s="204"/>
      <c r="MZZ1" s="204"/>
      <c r="NAA1" s="204"/>
      <c r="NAB1" s="204"/>
      <c r="NAC1" s="204"/>
      <c r="NAD1" s="205"/>
      <c r="NAE1" s="204"/>
      <c r="NAF1" s="204"/>
      <c r="NAG1" s="204"/>
      <c r="NAH1" s="204"/>
      <c r="NAI1" s="204"/>
      <c r="NAJ1" s="204"/>
      <c r="NAK1" s="204"/>
      <c r="NAL1" s="204"/>
      <c r="NAM1" s="204"/>
      <c r="NAN1" s="204"/>
      <c r="NAO1" s="204"/>
      <c r="NAP1" s="204"/>
      <c r="NAQ1" s="204"/>
      <c r="NAR1" s="204"/>
      <c r="NAS1" s="204"/>
      <c r="NAT1" s="204"/>
      <c r="NAU1" s="204"/>
      <c r="NAV1" s="204"/>
      <c r="NAW1" s="204"/>
      <c r="NAX1" s="204"/>
      <c r="NAY1" s="204"/>
      <c r="NAZ1" s="204"/>
      <c r="NBA1" s="204"/>
      <c r="NBB1" s="204"/>
      <c r="NBC1" s="204"/>
      <c r="NBD1" s="204"/>
      <c r="NBE1" s="204"/>
      <c r="NBF1" s="205"/>
      <c r="NBG1" s="204"/>
      <c r="NBH1" s="204"/>
      <c r="NBI1" s="204"/>
      <c r="NBJ1" s="204"/>
      <c r="NBK1" s="204"/>
      <c r="NBL1" s="204"/>
      <c r="NBM1" s="204"/>
      <c r="NBN1" s="204"/>
      <c r="NBO1" s="204"/>
      <c r="NBP1" s="204"/>
      <c r="NBQ1" s="204"/>
      <c r="NBR1" s="204"/>
      <c r="NBS1" s="204"/>
      <c r="NBT1" s="204"/>
      <c r="NBU1" s="204"/>
      <c r="NBV1" s="204"/>
      <c r="NBW1" s="204"/>
      <c r="NBX1" s="204"/>
      <c r="NBY1" s="204"/>
      <c r="NBZ1" s="204"/>
      <c r="NCA1" s="204"/>
      <c r="NCB1" s="204"/>
      <c r="NCC1" s="204"/>
      <c r="NCD1" s="204"/>
      <c r="NCE1" s="204"/>
      <c r="NCF1" s="204"/>
      <c r="NCG1" s="204"/>
      <c r="NCH1" s="205"/>
      <c r="NCI1" s="204"/>
      <c r="NCJ1" s="204"/>
      <c r="NCK1" s="204"/>
      <c r="NCL1" s="204"/>
      <c r="NCM1" s="204"/>
      <c r="NCN1" s="204"/>
      <c r="NCO1" s="204"/>
      <c r="NCP1" s="204"/>
      <c r="NCQ1" s="204"/>
      <c r="NCR1" s="204"/>
      <c r="NCS1" s="204"/>
      <c r="NCT1" s="204"/>
      <c r="NCU1" s="204"/>
      <c r="NCV1" s="204"/>
      <c r="NCW1" s="204"/>
      <c r="NCX1" s="204"/>
      <c r="NCY1" s="204"/>
      <c r="NCZ1" s="204"/>
      <c r="NDA1" s="204"/>
      <c r="NDB1" s="204"/>
      <c r="NDC1" s="204"/>
      <c r="NDD1" s="204"/>
      <c r="NDE1" s="204"/>
      <c r="NDF1" s="204"/>
      <c r="NDG1" s="204"/>
      <c r="NDH1" s="204"/>
      <c r="NDI1" s="204"/>
      <c r="NDJ1" s="205"/>
      <c r="NDK1" s="204"/>
      <c r="NDL1" s="204"/>
      <c r="NDM1" s="204"/>
      <c r="NDN1" s="204"/>
      <c r="NDO1" s="204"/>
      <c r="NDP1" s="204"/>
      <c r="NDQ1" s="204"/>
      <c r="NDR1" s="204"/>
      <c r="NDS1" s="204"/>
      <c r="NDT1" s="204"/>
      <c r="NDU1" s="204"/>
      <c r="NDV1" s="204"/>
      <c r="NDW1" s="204"/>
      <c r="NDX1" s="204"/>
      <c r="NDY1" s="204"/>
      <c r="NDZ1" s="204"/>
      <c r="NEA1" s="204"/>
      <c r="NEB1" s="204"/>
      <c r="NEC1" s="204"/>
      <c r="NED1" s="204"/>
      <c r="NEE1" s="204"/>
      <c r="NEF1" s="204"/>
      <c r="NEG1" s="204"/>
      <c r="NEH1" s="204"/>
      <c r="NEI1" s="204"/>
      <c r="NEJ1" s="204"/>
      <c r="NEK1" s="204"/>
      <c r="NEL1" s="205"/>
      <c r="NEM1" s="204"/>
      <c r="NEN1" s="204"/>
      <c r="NEO1" s="204"/>
      <c r="NEP1" s="204"/>
      <c r="NEQ1" s="204"/>
      <c r="NER1" s="204"/>
      <c r="NES1" s="204"/>
      <c r="NET1" s="204"/>
      <c r="NEU1" s="204"/>
      <c r="NEV1" s="204"/>
      <c r="NEW1" s="204"/>
      <c r="NEX1" s="204"/>
      <c r="NEY1" s="204"/>
      <c r="NEZ1" s="204"/>
      <c r="NFA1" s="204"/>
      <c r="NFB1" s="204"/>
      <c r="NFC1" s="204"/>
      <c r="NFD1" s="204"/>
      <c r="NFE1" s="204"/>
      <c r="NFF1" s="204"/>
      <c r="NFG1" s="204"/>
      <c r="NFH1" s="204"/>
      <c r="NFI1" s="204"/>
      <c r="NFJ1" s="204"/>
      <c r="NFK1" s="204"/>
      <c r="NFL1" s="204"/>
      <c r="NFM1" s="204"/>
      <c r="NFN1" s="205"/>
      <c r="NFO1" s="204"/>
      <c r="NFP1" s="204"/>
      <c r="NFQ1" s="204"/>
      <c r="NFR1" s="204"/>
      <c r="NFS1" s="204"/>
      <c r="NFT1" s="204"/>
      <c r="NFU1" s="204"/>
      <c r="NFV1" s="204"/>
      <c r="NFW1" s="204"/>
      <c r="NFX1" s="204"/>
      <c r="NFY1" s="204"/>
      <c r="NFZ1" s="204"/>
      <c r="NGA1" s="204"/>
      <c r="NGB1" s="204"/>
      <c r="NGC1" s="204"/>
      <c r="NGD1" s="204"/>
      <c r="NGE1" s="204"/>
      <c r="NGF1" s="204"/>
      <c r="NGG1" s="204"/>
      <c r="NGH1" s="204"/>
      <c r="NGI1" s="204"/>
      <c r="NGJ1" s="204"/>
      <c r="NGK1" s="204"/>
      <c r="NGL1" s="204"/>
      <c r="NGM1" s="204"/>
      <c r="NGN1" s="204"/>
      <c r="NGO1" s="204"/>
      <c r="NGP1" s="205"/>
      <c r="NGQ1" s="204"/>
      <c r="NGR1" s="204"/>
      <c r="NGS1" s="204"/>
      <c r="NGT1" s="204"/>
      <c r="NGU1" s="204"/>
      <c r="NGV1" s="204"/>
      <c r="NGW1" s="204"/>
      <c r="NGX1" s="204"/>
      <c r="NGY1" s="204"/>
      <c r="NGZ1" s="204"/>
      <c r="NHA1" s="204"/>
      <c r="NHB1" s="204"/>
      <c r="NHC1" s="204"/>
      <c r="NHD1" s="204"/>
      <c r="NHE1" s="204"/>
      <c r="NHF1" s="204"/>
      <c r="NHG1" s="204"/>
      <c r="NHH1" s="204"/>
      <c r="NHI1" s="204"/>
      <c r="NHJ1" s="204"/>
      <c r="NHK1" s="204"/>
      <c r="NHL1" s="204"/>
      <c r="NHM1" s="204"/>
      <c r="NHN1" s="204"/>
      <c r="NHO1" s="204"/>
      <c r="NHP1" s="204"/>
      <c r="NHQ1" s="204"/>
      <c r="NHR1" s="205"/>
      <c r="NHS1" s="204"/>
      <c r="NHT1" s="204"/>
      <c r="NHU1" s="204"/>
      <c r="NHV1" s="204"/>
      <c r="NHW1" s="204"/>
      <c r="NHX1" s="204"/>
      <c r="NHY1" s="204"/>
      <c r="NHZ1" s="204"/>
      <c r="NIA1" s="204"/>
      <c r="NIB1" s="204"/>
      <c r="NIC1" s="204"/>
      <c r="NID1" s="204"/>
      <c r="NIE1" s="204"/>
      <c r="NIF1" s="204"/>
      <c r="NIG1" s="204"/>
      <c r="NIH1" s="204"/>
      <c r="NII1" s="204"/>
      <c r="NIJ1" s="204"/>
      <c r="NIK1" s="204"/>
      <c r="NIL1" s="204"/>
      <c r="NIM1" s="204"/>
      <c r="NIN1" s="204"/>
      <c r="NIO1" s="204"/>
      <c r="NIP1" s="204"/>
      <c r="NIQ1" s="204"/>
      <c r="NIR1" s="204"/>
      <c r="NIS1" s="204"/>
      <c r="NIT1" s="205"/>
      <c r="NIU1" s="204"/>
      <c r="NIV1" s="204"/>
      <c r="NIW1" s="204"/>
      <c r="NIX1" s="204"/>
      <c r="NIY1" s="204"/>
      <c r="NIZ1" s="204"/>
      <c r="NJA1" s="204"/>
      <c r="NJB1" s="204"/>
      <c r="NJC1" s="204"/>
      <c r="NJD1" s="204"/>
      <c r="NJE1" s="204"/>
      <c r="NJF1" s="204"/>
      <c r="NJG1" s="204"/>
      <c r="NJH1" s="204"/>
      <c r="NJI1" s="204"/>
      <c r="NJJ1" s="204"/>
      <c r="NJK1" s="204"/>
      <c r="NJL1" s="204"/>
      <c r="NJM1" s="204"/>
      <c r="NJN1" s="204"/>
      <c r="NJO1" s="204"/>
      <c r="NJP1" s="204"/>
      <c r="NJQ1" s="204"/>
      <c r="NJR1" s="204"/>
      <c r="NJS1" s="204"/>
      <c r="NJT1" s="204"/>
      <c r="NJU1" s="204"/>
      <c r="NJV1" s="205"/>
      <c r="NJW1" s="204"/>
      <c r="NJX1" s="204"/>
      <c r="NJY1" s="204"/>
      <c r="NJZ1" s="204"/>
      <c r="NKA1" s="204"/>
      <c r="NKB1" s="204"/>
      <c r="NKC1" s="204"/>
      <c r="NKD1" s="204"/>
      <c r="NKE1" s="204"/>
      <c r="NKF1" s="204"/>
      <c r="NKG1" s="204"/>
      <c r="NKH1" s="204"/>
      <c r="NKI1" s="204"/>
      <c r="NKJ1" s="204"/>
      <c r="NKK1" s="204"/>
      <c r="NKL1" s="204"/>
      <c r="NKM1" s="204"/>
      <c r="NKN1" s="204"/>
      <c r="NKO1" s="204"/>
      <c r="NKP1" s="204"/>
      <c r="NKQ1" s="204"/>
      <c r="NKR1" s="204"/>
      <c r="NKS1" s="204"/>
      <c r="NKT1" s="204"/>
      <c r="NKU1" s="204"/>
      <c r="NKV1" s="204"/>
      <c r="NKW1" s="204"/>
      <c r="NKX1" s="205"/>
      <c r="NKY1" s="204"/>
      <c r="NKZ1" s="204"/>
      <c r="NLA1" s="204"/>
      <c r="NLB1" s="204"/>
      <c r="NLC1" s="204"/>
      <c r="NLD1" s="204"/>
      <c r="NLE1" s="204"/>
      <c r="NLF1" s="204"/>
      <c r="NLG1" s="204"/>
      <c r="NLH1" s="204"/>
      <c r="NLI1" s="204"/>
      <c r="NLJ1" s="204"/>
      <c r="NLK1" s="204"/>
      <c r="NLL1" s="204"/>
      <c r="NLM1" s="204"/>
      <c r="NLN1" s="204"/>
      <c r="NLO1" s="204"/>
      <c r="NLP1" s="204"/>
      <c r="NLQ1" s="204"/>
      <c r="NLR1" s="204"/>
      <c r="NLS1" s="204"/>
      <c r="NLT1" s="204"/>
      <c r="NLU1" s="204"/>
      <c r="NLV1" s="204"/>
      <c r="NLW1" s="204"/>
      <c r="NLX1" s="204"/>
      <c r="NLY1" s="204"/>
      <c r="NLZ1" s="205"/>
      <c r="NMA1" s="204"/>
      <c r="NMB1" s="204"/>
      <c r="NMC1" s="204"/>
      <c r="NMD1" s="204"/>
      <c r="NME1" s="204"/>
      <c r="NMF1" s="204"/>
      <c r="NMG1" s="204"/>
      <c r="NMH1" s="204"/>
      <c r="NMI1" s="204"/>
      <c r="NMJ1" s="204"/>
      <c r="NMK1" s="204"/>
      <c r="NML1" s="204"/>
      <c r="NMM1" s="204"/>
      <c r="NMN1" s="204"/>
      <c r="NMO1" s="204"/>
      <c r="NMP1" s="204"/>
      <c r="NMQ1" s="204"/>
      <c r="NMR1" s="204"/>
      <c r="NMS1" s="204"/>
      <c r="NMT1" s="204"/>
      <c r="NMU1" s="204"/>
      <c r="NMV1" s="204"/>
      <c r="NMW1" s="204"/>
      <c r="NMX1" s="204"/>
      <c r="NMY1" s="204"/>
      <c r="NMZ1" s="204"/>
      <c r="NNA1" s="204"/>
      <c r="NNB1" s="205"/>
      <c r="NNC1" s="204"/>
      <c r="NND1" s="204"/>
      <c r="NNE1" s="204"/>
      <c r="NNF1" s="204"/>
      <c r="NNG1" s="204"/>
      <c r="NNH1" s="204"/>
      <c r="NNI1" s="204"/>
      <c r="NNJ1" s="204"/>
      <c r="NNK1" s="204"/>
      <c r="NNL1" s="204"/>
      <c r="NNM1" s="204"/>
      <c r="NNN1" s="204"/>
      <c r="NNO1" s="204"/>
      <c r="NNP1" s="204"/>
      <c r="NNQ1" s="204"/>
      <c r="NNR1" s="204"/>
      <c r="NNS1" s="204"/>
      <c r="NNT1" s="204"/>
      <c r="NNU1" s="204"/>
      <c r="NNV1" s="204"/>
      <c r="NNW1" s="204"/>
      <c r="NNX1" s="204"/>
      <c r="NNY1" s="204"/>
      <c r="NNZ1" s="204"/>
      <c r="NOA1" s="204"/>
      <c r="NOB1" s="204"/>
      <c r="NOC1" s="204"/>
      <c r="NOD1" s="205"/>
      <c r="NOE1" s="204"/>
      <c r="NOF1" s="204"/>
      <c r="NOG1" s="204"/>
      <c r="NOH1" s="204"/>
      <c r="NOI1" s="204"/>
      <c r="NOJ1" s="204"/>
      <c r="NOK1" s="204"/>
      <c r="NOL1" s="204"/>
      <c r="NOM1" s="204"/>
      <c r="NON1" s="204"/>
      <c r="NOO1" s="204"/>
      <c r="NOP1" s="204"/>
      <c r="NOQ1" s="204"/>
      <c r="NOR1" s="204"/>
      <c r="NOS1" s="204"/>
      <c r="NOT1" s="204"/>
      <c r="NOU1" s="204"/>
      <c r="NOV1" s="204"/>
      <c r="NOW1" s="204"/>
      <c r="NOX1" s="204"/>
      <c r="NOY1" s="204"/>
      <c r="NOZ1" s="204"/>
      <c r="NPA1" s="204"/>
      <c r="NPB1" s="204"/>
      <c r="NPC1" s="204"/>
      <c r="NPD1" s="204"/>
      <c r="NPE1" s="204"/>
      <c r="NPF1" s="205"/>
      <c r="NPG1" s="204"/>
      <c r="NPH1" s="204"/>
      <c r="NPI1" s="204"/>
      <c r="NPJ1" s="204"/>
      <c r="NPK1" s="204"/>
      <c r="NPL1" s="204"/>
      <c r="NPM1" s="204"/>
      <c r="NPN1" s="204"/>
      <c r="NPO1" s="204"/>
      <c r="NPP1" s="204"/>
      <c r="NPQ1" s="204"/>
      <c r="NPR1" s="204"/>
      <c r="NPS1" s="204"/>
      <c r="NPT1" s="204"/>
      <c r="NPU1" s="204"/>
      <c r="NPV1" s="204"/>
      <c r="NPW1" s="204"/>
      <c r="NPX1" s="204"/>
      <c r="NPY1" s="204"/>
      <c r="NPZ1" s="204"/>
      <c r="NQA1" s="204"/>
      <c r="NQB1" s="204"/>
      <c r="NQC1" s="204"/>
      <c r="NQD1" s="204"/>
      <c r="NQE1" s="204"/>
      <c r="NQF1" s="204"/>
      <c r="NQG1" s="204"/>
      <c r="NQH1" s="205"/>
      <c r="NQI1" s="204"/>
      <c r="NQJ1" s="204"/>
      <c r="NQK1" s="204"/>
      <c r="NQL1" s="204"/>
      <c r="NQM1" s="204"/>
      <c r="NQN1" s="204"/>
      <c r="NQO1" s="204"/>
      <c r="NQP1" s="204"/>
      <c r="NQQ1" s="204"/>
      <c r="NQR1" s="204"/>
      <c r="NQS1" s="204"/>
      <c r="NQT1" s="204"/>
      <c r="NQU1" s="204"/>
      <c r="NQV1" s="204"/>
      <c r="NQW1" s="204"/>
      <c r="NQX1" s="204"/>
      <c r="NQY1" s="204"/>
      <c r="NQZ1" s="204"/>
      <c r="NRA1" s="204"/>
      <c r="NRB1" s="204"/>
      <c r="NRC1" s="204"/>
      <c r="NRD1" s="204"/>
      <c r="NRE1" s="204"/>
      <c r="NRF1" s="204"/>
      <c r="NRG1" s="204"/>
      <c r="NRH1" s="204"/>
      <c r="NRI1" s="204"/>
      <c r="NRJ1" s="205"/>
      <c r="NRK1" s="204"/>
      <c r="NRL1" s="204"/>
      <c r="NRM1" s="204"/>
      <c r="NRN1" s="204"/>
      <c r="NRO1" s="204"/>
      <c r="NRP1" s="204"/>
      <c r="NRQ1" s="204"/>
      <c r="NRR1" s="204"/>
      <c r="NRS1" s="204"/>
      <c r="NRT1" s="204"/>
      <c r="NRU1" s="204"/>
      <c r="NRV1" s="204"/>
      <c r="NRW1" s="204"/>
      <c r="NRX1" s="204"/>
      <c r="NRY1" s="204"/>
      <c r="NRZ1" s="204"/>
      <c r="NSA1" s="204"/>
      <c r="NSB1" s="204"/>
      <c r="NSC1" s="204"/>
      <c r="NSD1" s="204"/>
      <c r="NSE1" s="204"/>
      <c r="NSF1" s="204"/>
      <c r="NSG1" s="204"/>
      <c r="NSH1" s="204"/>
      <c r="NSI1" s="204"/>
      <c r="NSJ1" s="204"/>
      <c r="NSK1" s="204"/>
      <c r="NSL1" s="205"/>
      <c r="NSM1" s="204"/>
      <c r="NSN1" s="204"/>
      <c r="NSO1" s="204"/>
      <c r="NSP1" s="204"/>
      <c r="NSQ1" s="204"/>
      <c r="NSR1" s="204"/>
      <c r="NSS1" s="204"/>
      <c r="NST1" s="204"/>
      <c r="NSU1" s="204"/>
      <c r="NSV1" s="204"/>
      <c r="NSW1" s="204"/>
      <c r="NSX1" s="204"/>
      <c r="NSY1" s="204"/>
      <c r="NSZ1" s="204"/>
      <c r="NTA1" s="204"/>
      <c r="NTB1" s="204"/>
      <c r="NTC1" s="204"/>
      <c r="NTD1" s="204"/>
      <c r="NTE1" s="204"/>
      <c r="NTF1" s="204"/>
      <c r="NTG1" s="204"/>
      <c r="NTH1" s="204"/>
      <c r="NTI1" s="204"/>
      <c r="NTJ1" s="204"/>
      <c r="NTK1" s="204"/>
      <c r="NTL1" s="204"/>
      <c r="NTM1" s="204"/>
      <c r="NTN1" s="205"/>
      <c r="NTO1" s="204"/>
      <c r="NTP1" s="204"/>
      <c r="NTQ1" s="204"/>
      <c r="NTR1" s="204"/>
      <c r="NTS1" s="204"/>
      <c r="NTT1" s="204"/>
      <c r="NTU1" s="204"/>
      <c r="NTV1" s="204"/>
      <c r="NTW1" s="204"/>
      <c r="NTX1" s="204"/>
      <c r="NTY1" s="204"/>
      <c r="NTZ1" s="204"/>
      <c r="NUA1" s="204"/>
      <c r="NUB1" s="204"/>
      <c r="NUC1" s="204"/>
      <c r="NUD1" s="204"/>
      <c r="NUE1" s="204"/>
      <c r="NUF1" s="204"/>
      <c r="NUG1" s="204"/>
      <c r="NUH1" s="204"/>
      <c r="NUI1" s="204"/>
      <c r="NUJ1" s="204"/>
      <c r="NUK1" s="204"/>
      <c r="NUL1" s="204"/>
      <c r="NUM1" s="204"/>
      <c r="NUN1" s="204"/>
      <c r="NUO1" s="204"/>
      <c r="NUP1" s="205"/>
      <c r="NUQ1" s="204"/>
      <c r="NUR1" s="204"/>
      <c r="NUS1" s="204"/>
      <c r="NUT1" s="204"/>
      <c r="NUU1" s="204"/>
      <c r="NUV1" s="204"/>
      <c r="NUW1" s="204"/>
      <c r="NUX1" s="204"/>
      <c r="NUY1" s="204"/>
      <c r="NUZ1" s="204"/>
      <c r="NVA1" s="204"/>
      <c r="NVB1" s="204"/>
      <c r="NVC1" s="204"/>
      <c r="NVD1" s="204"/>
      <c r="NVE1" s="204"/>
      <c r="NVF1" s="204"/>
      <c r="NVG1" s="204"/>
      <c r="NVH1" s="204"/>
      <c r="NVI1" s="204"/>
      <c r="NVJ1" s="204"/>
      <c r="NVK1" s="204"/>
      <c r="NVL1" s="204"/>
      <c r="NVM1" s="204"/>
      <c r="NVN1" s="204"/>
      <c r="NVO1" s="204"/>
      <c r="NVP1" s="204"/>
      <c r="NVQ1" s="204"/>
      <c r="NVR1" s="205"/>
      <c r="NVS1" s="204"/>
      <c r="NVT1" s="204"/>
      <c r="NVU1" s="204"/>
      <c r="NVV1" s="204"/>
      <c r="NVW1" s="204"/>
      <c r="NVX1" s="204"/>
      <c r="NVY1" s="204"/>
      <c r="NVZ1" s="204"/>
      <c r="NWA1" s="204"/>
      <c r="NWB1" s="204"/>
      <c r="NWC1" s="204"/>
      <c r="NWD1" s="204"/>
      <c r="NWE1" s="204"/>
      <c r="NWF1" s="204"/>
      <c r="NWG1" s="204"/>
      <c r="NWH1" s="204"/>
      <c r="NWI1" s="204"/>
      <c r="NWJ1" s="204"/>
      <c r="NWK1" s="204"/>
      <c r="NWL1" s="204"/>
      <c r="NWM1" s="204"/>
      <c r="NWN1" s="204"/>
      <c r="NWO1" s="204"/>
      <c r="NWP1" s="204"/>
      <c r="NWQ1" s="204"/>
      <c r="NWR1" s="204"/>
      <c r="NWS1" s="204"/>
      <c r="NWT1" s="205"/>
      <c r="NWU1" s="204"/>
      <c r="NWV1" s="204"/>
      <c r="NWW1" s="204"/>
      <c r="NWX1" s="204"/>
      <c r="NWY1" s="204"/>
      <c r="NWZ1" s="204"/>
      <c r="NXA1" s="204"/>
      <c r="NXB1" s="204"/>
      <c r="NXC1" s="204"/>
      <c r="NXD1" s="204"/>
      <c r="NXE1" s="204"/>
      <c r="NXF1" s="204"/>
      <c r="NXG1" s="204"/>
      <c r="NXH1" s="204"/>
      <c r="NXI1" s="204"/>
      <c r="NXJ1" s="204"/>
      <c r="NXK1" s="204"/>
      <c r="NXL1" s="204"/>
      <c r="NXM1" s="204"/>
      <c r="NXN1" s="204"/>
      <c r="NXO1" s="204"/>
      <c r="NXP1" s="204"/>
      <c r="NXQ1" s="204"/>
      <c r="NXR1" s="204"/>
      <c r="NXS1" s="204"/>
      <c r="NXT1" s="204"/>
      <c r="NXU1" s="204"/>
      <c r="NXV1" s="205"/>
      <c r="NXW1" s="204"/>
      <c r="NXX1" s="204"/>
      <c r="NXY1" s="204"/>
      <c r="NXZ1" s="204"/>
      <c r="NYA1" s="204"/>
      <c r="NYB1" s="204"/>
      <c r="NYC1" s="204"/>
      <c r="NYD1" s="204"/>
      <c r="NYE1" s="204"/>
      <c r="NYF1" s="204"/>
      <c r="NYG1" s="204"/>
      <c r="NYH1" s="204"/>
      <c r="NYI1" s="204"/>
      <c r="NYJ1" s="204"/>
      <c r="NYK1" s="204"/>
      <c r="NYL1" s="204"/>
      <c r="NYM1" s="204"/>
      <c r="NYN1" s="204"/>
      <c r="NYO1" s="204"/>
      <c r="NYP1" s="204"/>
      <c r="NYQ1" s="204"/>
      <c r="NYR1" s="204"/>
      <c r="NYS1" s="204"/>
      <c r="NYT1" s="204"/>
      <c r="NYU1" s="204"/>
      <c r="NYV1" s="204"/>
      <c r="NYW1" s="204"/>
      <c r="NYX1" s="205"/>
      <c r="NYY1" s="204"/>
      <c r="NYZ1" s="204"/>
      <c r="NZA1" s="204"/>
      <c r="NZB1" s="204"/>
      <c r="NZC1" s="204"/>
      <c r="NZD1" s="204"/>
      <c r="NZE1" s="204"/>
      <c r="NZF1" s="204"/>
      <c r="NZG1" s="204"/>
      <c r="NZH1" s="204"/>
      <c r="NZI1" s="204"/>
      <c r="NZJ1" s="204"/>
      <c r="NZK1" s="204"/>
      <c r="NZL1" s="204"/>
      <c r="NZM1" s="204"/>
      <c r="NZN1" s="204"/>
      <c r="NZO1" s="204"/>
      <c r="NZP1" s="204"/>
      <c r="NZQ1" s="204"/>
      <c r="NZR1" s="204"/>
      <c r="NZS1" s="204"/>
      <c r="NZT1" s="204"/>
      <c r="NZU1" s="204"/>
      <c r="NZV1" s="204"/>
      <c r="NZW1" s="204"/>
      <c r="NZX1" s="204"/>
      <c r="NZY1" s="204"/>
      <c r="NZZ1" s="205"/>
      <c r="OAA1" s="204"/>
      <c r="OAB1" s="204"/>
      <c r="OAC1" s="204"/>
      <c r="OAD1" s="204"/>
      <c r="OAE1" s="204"/>
      <c r="OAF1" s="204"/>
      <c r="OAG1" s="204"/>
      <c r="OAH1" s="204"/>
      <c r="OAI1" s="204"/>
      <c r="OAJ1" s="204"/>
      <c r="OAK1" s="204"/>
      <c r="OAL1" s="204"/>
      <c r="OAM1" s="204"/>
      <c r="OAN1" s="204"/>
      <c r="OAO1" s="204"/>
      <c r="OAP1" s="204"/>
      <c r="OAQ1" s="204"/>
      <c r="OAR1" s="204"/>
      <c r="OAS1" s="204"/>
      <c r="OAT1" s="204"/>
      <c r="OAU1" s="204"/>
      <c r="OAV1" s="204"/>
      <c r="OAW1" s="204"/>
      <c r="OAX1" s="204"/>
      <c r="OAY1" s="204"/>
      <c r="OAZ1" s="204"/>
      <c r="OBA1" s="204"/>
      <c r="OBB1" s="205"/>
      <c r="OBC1" s="204"/>
      <c r="OBD1" s="204"/>
      <c r="OBE1" s="204"/>
      <c r="OBF1" s="204"/>
      <c r="OBG1" s="204"/>
      <c r="OBH1" s="204"/>
      <c r="OBI1" s="204"/>
      <c r="OBJ1" s="204"/>
      <c r="OBK1" s="204"/>
      <c r="OBL1" s="204"/>
      <c r="OBM1" s="204"/>
      <c r="OBN1" s="204"/>
      <c r="OBO1" s="204"/>
      <c r="OBP1" s="204"/>
      <c r="OBQ1" s="204"/>
      <c r="OBR1" s="204"/>
      <c r="OBS1" s="204"/>
      <c r="OBT1" s="204"/>
      <c r="OBU1" s="204"/>
      <c r="OBV1" s="204"/>
      <c r="OBW1" s="204"/>
      <c r="OBX1" s="204"/>
      <c r="OBY1" s="204"/>
      <c r="OBZ1" s="204"/>
      <c r="OCA1" s="204"/>
      <c r="OCB1" s="204"/>
      <c r="OCC1" s="204"/>
      <c r="OCD1" s="205"/>
      <c r="OCE1" s="204"/>
      <c r="OCF1" s="204"/>
      <c r="OCG1" s="204"/>
      <c r="OCH1" s="204"/>
      <c r="OCI1" s="204"/>
      <c r="OCJ1" s="204"/>
      <c r="OCK1" s="204"/>
      <c r="OCL1" s="204"/>
      <c r="OCM1" s="204"/>
      <c r="OCN1" s="204"/>
      <c r="OCO1" s="204"/>
      <c r="OCP1" s="204"/>
      <c r="OCQ1" s="204"/>
      <c r="OCR1" s="204"/>
      <c r="OCS1" s="204"/>
      <c r="OCT1" s="204"/>
      <c r="OCU1" s="204"/>
      <c r="OCV1" s="204"/>
      <c r="OCW1" s="204"/>
      <c r="OCX1" s="204"/>
      <c r="OCY1" s="204"/>
      <c r="OCZ1" s="204"/>
      <c r="ODA1" s="204"/>
      <c r="ODB1" s="204"/>
      <c r="ODC1" s="204"/>
      <c r="ODD1" s="204"/>
      <c r="ODE1" s="204"/>
      <c r="ODF1" s="205"/>
      <c r="ODG1" s="204"/>
      <c r="ODH1" s="204"/>
      <c r="ODI1" s="204"/>
      <c r="ODJ1" s="204"/>
      <c r="ODK1" s="204"/>
      <c r="ODL1" s="204"/>
      <c r="ODM1" s="204"/>
      <c r="ODN1" s="204"/>
      <c r="ODO1" s="204"/>
      <c r="ODP1" s="204"/>
      <c r="ODQ1" s="204"/>
      <c r="ODR1" s="204"/>
      <c r="ODS1" s="204"/>
      <c r="ODT1" s="204"/>
      <c r="ODU1" s="204"/>
      <c r="ODV1" s="204"/>
      <c r="ODW1" s="204"/>
      <c r="ODX1" s="204"/>
      <c r="ODY1" s="204"/>
      <c r="ODZ1" s="204"/>
      <c r="OEA1" s="204"/>
      <c r="OEB1" s="204"/>
      <c r="OEC1" s="204"/>
      <c r="OED1" s="204"/>
      <c r="OEE1" s="204"/>
      <c r="OEF1" s="204"/>
      <c r="OEG1" s="204"/>
      <c r="OEH1" s="205"/>
      <c r="OEI1" s="204"/>
      <c r="OEJ1" s="204"/>
      <c r="OEK1" s="204"/>
      <c r="OEL1" s="204"/>
      <c r="OEM1" s="204"/>
      <c r="OEN1" s="204"/>
      <c r="OEO1" s="204"/>
      <c r="OEP1" s="204"/>
      <c r="OEQ1" s="204"/>
      <c r="OER1" s="204"/>
      <c r="OES1" s="204"/>
      <c r="OET1" s="204"/>
      <c r="OEU1" s="204"/>
      <c r="OEV1" s="204"/>
      <c r="OEW1" s="204"/>
      <c r="OEX1" s="204"/>
      <c r="OEY1" s="204"/>
      <c r="OEZ1" s="204"/>
      <c r="OFA1" s="204"/>
      <c r="OFB1" s="204"/>
      <c r="OFC1" s="204"/>
      <c r="OFD1" s="204"/>
      <c r="OFE1" s="204"/>
      <c r="OFF1" s="204"/>
      <c r="OFG1" s="204"/>
      <c r="OFH1" s="204"/>
      <c r="OFI1" s="204"/>
      <c r="OFJ1" s="205"/>
      <c r="OFK1" s="204"/>
      <c r="OFL1" s="204"/>
      <c r="OFM1" s="204"/>
      <c r="OFN1" s="204"/>
      <c r="OFO1" s="204"/>
      <c r="OFP1" s="204"/>
      <c r="OFQ1" s="204"/>
      <c r="OFR1" s="204"/>
      <c r="OFS1" s="204"/>
      <c r="OFT1" s="204"/>
      <c r="OFU1" s="204"/>
      <c r="OFV1" s="204"/>
      <c r="OFW1" s="204"/>
      <c r="OFX1" s="204"/>
      <c r="OFY1" s="204"/>
      <c r="OFZ1" s="204"/>
      <c r="OGA1" s="204"/>
      <c r="OGB1" s="204"/>
      <c r="OGC1" s="204"/>
      <c r="OGD1" s="204"/>
      <c r="OGE1" s="204"/>
      <c r="OGF1" s="204"/>
      <c r="OGG1" s="204"/>
      <c r="OGH1" s="204"/>
      <c r="OGI1" s="204"/>
      <c r="OGJ1" s="204"/>
      <c r="OGK1" s="204"/>
      <c r="OGL1" s="205"/>
      <c r="OGM1" s="204"/>
      <c r="OGN1" s="204"/>
      <c r="OGO1" s="204"/>
      <c r="OGP1" s="204"/>
      <c r="OGQ1" s="204"/>
      <c r="OGR1" s="204"/>
      <c r="OGS1" s="204"/>
      <c r="OGT1" s="204"/>
      <c r="OGU1" s="204"/>
      <c r="OGV1" s="204"/>
      <c r="OGW1" s="204"/>
      <c r="OGX1" s="204"/>
      <c r="OGY1" s="204"/>
      <c r="OGZ1" s="204"/>
      <c r="OHA1" s="204"/>
      <c r="OHB1" s="204"/>
      <c r="OHC1" s="204"/>
      <c r="OHD1" s="204"/>
      <c r="OHE1" s="204"/>
      <c r="OHF1" s="204"/>
      <c r="OHG1" s="204"/>
      <c r="OHH1" s="204"/>
      <c r="OHI1" s="204"/>
      <c r="OHJ1" s="204"/>
      <c r="OHK1" s="204"/>
      <c r="OHL1" s="204"/>
      <c r="OHM1" s="204"/>
      <c r="OHN1" s="205"/>
      <c r="OHO1" s="204"/>
      <c r="OHP1" s="204"/>
      <c r="OHQ1" s="204"/>
      <c r="OHR1" s="204"/>
      <c r="OHS1" s="204"/>
      <c r="OHT1" s="204"/>
      <c r="OHU1" s="204"/>
      <c r="OHV1" s="204"/>
      <c r="OHW1" s="204"/>
      <c r="OHX1" s="204"/>
      <c r="OHY1" s="204"/>
      <c r="OHZ1" s="204"/>
      <c r="OIA1" s="204"/>
      <c r="OIB1" s="204"/>
      <c r="OIC1" s="204"/>
      <c r="OID1" s="204"/>
      <c r="OIE1" s="204"/>
      <c r="OIF1" s="204"/>
      <c r="OIG1" s="204"/>
      <c r="OIH1" s="204"/>
      <c r="OII1" s="204"/>
      <c r="OIJ1" s="204"/>
      <c r="OIK1" s="204"/>
      <c r="OIL1" s="204"/>
      <c r="OIM1" s="204"/>
      <c r="OIN1" s="204"/>
      <c r="OIO1" s="204"/>
      <c r="OIP1" s="205"/>
      <c r="OIQ1" s="204"/>
      <c r="OIR1" s="204"/>
      <c r="OIS1" s="204"/>
      <c r="OIT1" s="204"/>
      <c r="OIU1" s="204"/>
      <c r="OIV1" s="204"/>
      <c r="OIW1" s="204"/>
      <c r="OIX1" s="204"/>
      <c r="OIY1" s="204"/>
      <c r="OIZ1" s="204"/>
      <c r="OJA1" s="204"/>
      <c r="OJB1" s="204"/>
      <c r="OJC1" s="204"/>
      <c r="OJD1" s="204"/>
      <c r="OJE1" s="204"/>
      <c r="OJF1" s="204"/>
      <c r="OJG1" s="204"/>
      <c r="OJH1" s="204"/>
      <c r="OJI1" s="204"/>
      <c r="OJJ1" s="204"/>
      <c r="OJK1" s="204"/>
      <c r="OJL1" s="204"/>
      <c r="OJM1" s="204"/>
      <c r="OJN1" s="204"/>
      <c r="OJO1" s="204"/>
      <c r="OJP1" s="204"/>
      <c r="OJQ1" s="204"/>
      <c r="OJR1" s="205"/>
      <c r="OJS1" s="204"/>
      <c r="OJT1" s="204"/>
      <c r="OJU1" s="204"/>
      <c r="OJV1" s="204"/>
      <c r="OJW1" s="204"/>
      <c r="OJX1" s="204"/>
      <c r="OJY1" s="204"/>
      <c r="OJZ1" s="204"/>
      <c r="OKA1" s="204"/>
      <c r="OKB1" s="204"/>
      <c r="OKC1" s="204"/>
      <c r="OKD1" s="204"/>
      <c r="OKE1" s="204"/>
      <c r="OKF1" s="204"/>
      <c r="OKG1" s="204"/>
      <c r="OKH1" s="204"/>
      <c r="OKI1" s="204"/>
      <c r="OKJ1" s="204"/>
      <c r="OKK1" s="204"/>
      <c r="OKL1" s="204"/>
      <c r="OKM1" s="204"/>
      <c r="OKN1" s="204"/>
      <c r="OKO1" s="204"/>
      <c r="OKP1" s="204"/>
      <c r="OKQ1" s="204"/>
      <c r="OKR1" s="204"/>
      <c r="OKS1" s="204"/>
      <c r="OKT1" s="205"/>
      <c r="OKU1" s="204"/>
      <c r="OKV1" s="204"/>
      <c r="OKW1" s="204"/>
      <c r="OKX1" s="204"/>
      <c r="OKY1" s="204"/>
      <c r="OKZ1" s="204"/>
      <c r="OLA1" s="204"/>
      <c r="OLB1" s="204"/>
      <c r="OLC1" s="204"/>
      <c r="OLD1" s="204"/>
      <c r="OLE1" s="204"/>
      <c r="OLF1" s="204"/>
      <c r="OLG1" s="204"/>
      <c r="OLH1" s="204"/>
      <c r="OLI1" s="204"/>
      <c r="OLJ1" s="204"/>
      <c r="OLK1" s="204"/>
      <c r="OLL1" s="204"/>
      <c r="OLM1" s="204"/>
      <c r="OLN1" s="204"/>
      <c r="OLO1" s="204"/>
      <c r="OLP1" s="204"/>
      <c r="OLQ1" s="204"/>
      <c r="OLR1" s="204"/>
      <c r="OLS1" s="204"/>
      <c r="OLT1" s="204"/>
      <c r="OLU1" s="204"/>
      <c r="OLV1" s="205"/>
      <c r="OLW1" s="204"/>
      <c r="OLX1" s="204"/>
      <c r="OLY1" s="204"/>
      <c r="OLZ1" s="204"/>
      <c r="OMA1" s="204"/>
      <c r="OMB1" s="204"/>
      <c r="OMC1" s="204"/>
      <c r="OMD1" s="204"/>
      <c r="OME1" s="204"/>
      <c r="OMF1" s="204"/>
      <c r="OMG1" s="204"/>
      <c r="OMH1" s="204"/>
      <c r="OMI1" s="204"/>
      <c r="OMJ1" s="204"/>
      <c r="OMK1" s="204"/>
      <c r="OML1" s="204"/>
      <c r="OMM1" s="204"/>
      <c r="OMN1" s="204"/>
      <c r="OMO1" s="204"/>
      <c r="OMP1" s="204"/>
      <c r="OMQ1" s="204"/>
      <c r="OMR1" s="204"/>
      <c r="OMS1" s="204"/>
      <c r="OMT1" s="204"/>
      <c r="OMU1" s="204"/>
      <c r="OMV1" s="204"/>
      <c r="OMW1" s="204"/>
      <c r="OMX1" s="205"/>
      <c r="OMY1" s="204"/>
      <c r="OMZ1" s="204"/>
      <c r="ONA1" s="204"/>
      <c r="ONB1" s="204"/>
      <c r="ONC1" s="204"/>
      <c r="OND1" s="204"/>
      <c r="ONE1" s="204"/>
      <c r="ONF1" s="204"/>
      <c r="ONG1" s="204"/>
      <c r="ONH1" s="204"/>
      <c r="ONI1" s="204"/>
      <c r="ONJ1" s="204"/>
      <c r="ONK1" s="204"/>
      <c r="ONL1" s="204"/>
      <c r="ONM1" s="204"/>
      <c r="ONN1" s="204"/>
      <c r="ONO1" s="204"/>
      <c r="ONP1" s="204"/>
      <c r="ONQ1" s="204"/>
      <c r="ONR1" s="204"/>
      <c r="ONS1" s="204"/>
      <c r="ONT1" s="204"/>
      <c r="ONU1" s="204"/>
      <c r="ONV1" s="204"/>
      <c r="ONW1" s="204"/>
      <c r="ONX1" s="204"/>
      <c r="ONY1" s="204"/>
      <c r="ONZ1" s="205"/>
      <c r="OOA1" s="204"/>
      <c r="OOB1" s="204"/>
      <c r="OOC1" s="204"/>
      <c r="OOD1" s="204"/>
      <c r="OOE1" s="204"/>
      <c r="OOF1" s="204"/>
      <c r="OOG1" s="204"/>
      <c r="OOH1" s="204"/>
      <c r="OOI1" s="204"/>
      <c r="OOJ1" s="204"/>
      <c r="OOK1" s="204"/>
      <c r="OOL1" s="204"/>
      <c r="OOM1" s="204"/>
      <c r="OON1" s="204"/>
      <c r="OOO1" s="204"/>
      <c r="OOP1" s="204"/>
      <c r="OOQ1" s="204"/>
      <c r="OOR1" s="204"/>
      <c r="OOS1" s="204"/>
      <c r="OOT1" s="204"/>
      <c r="OOU1" s="204"/>
      <c r="OOV1" s="204"/>
      <c r="OOW1" s="204"/>
      <c r="OOX1" s="204"/>
      <c r="OOY1" s="204"/>
      <c r="OOZ1" s="204"/>
      <c r="OPA1" s="204"/>
      <c r="OPB1" s="205"/>
      <c r="OPC1" s="204"/>
      <c r="OPD1" s="204"/>
      <c r="OPE1" s="204"/>
      <c r="OPF1" s="204"/>
      <c r="OPG1" s="204"/>
      <c r="OPH1" s="204"/>
      <c r="OPI1" s="204"/>
      <c r="OPJ1" s="204"/>
      <c r="OPK1" s="204"/>
      <c r="OPL1" s="204"/>
      <c r="OPM1" s="204"/>
      <c r="OPN1" s="204"/>
      <c r="OPO1" s="204"/>
      <c r="OPP1" s="204"/>
      <c r="OPQ1" s="204"/>
      <c r="OPR1" s="204"/>
      <c r="OPS1" s="204"/>
      <c r="OPT1" s="204"/>
      <c r="OPU1" s="204"/>
      <c r="OPV1" s="204"/>
      <c r="OPW1" s="204"/>
      <c r="OPX1" s="204"/>
      <c r="OPY1" s="204"/>
      <c r="OPZ1" s="204"/>
      <c r="OQA1" s="204"/>
      <c r="OQB1" s="204"/>
      <c r="OQC1" s="204"/>
      <c r="OQD1" s="205"/>
      <c r="OQE1" s="204"/>
      <c r="OQF1" s="204"/>
      <c r="OQG1" s="204"/>
      <c r="OQH1" s="204"/>
      <c r="OQI1" s="204"/>
      <c r="OQJ1" s="204"/>
      <c r="OQK1" s="204"/>
      <c r="OQL1" s="204"/>
      <c r="OQM1" s="204"/>
      <c r="OQN1" s="204"/>
      <c r="OQO1" s="204"/>
      <c r="OQP1" s="204"/>
      <c r="OQQ1" s="204"/>
      <c r="OQR1" s="204"/>
      <c r="OQS1" s="204"/>
      <c r="OQT1" s="204"/>
      <c r="OQU1" s="204"/>
      <c r="OQV1" s="204"/>
      <c r="OQW1" s="204"/>
      <c r="OQX1" s="204"/>
      <c r="OQY1" s="204"/>
      <c r="OQZ1" s="204"/>
      <c r="ORA1" s="204"/>
      <c r="ORB1" s="204"/>
      <c r="ORC1" s="204"/>
      <c r="ORD1" s="204"/>
      <c r="ORE1" s="204"/>
      <c r="ORF1" s="205"/>
      <c r="ORG1" s="204"/>
      <c r="ORH1" s="204"/>
      <c r="ORI1" s="204"/>
      <c r="ORJ1" s="204"/>
      <c r="ORK1" s="204"/>
      <c r="ORL1" s="204"/>
      <c r="ORM1" s="204"/>
      <c r="ORN1" s="204"/>
      <c r="ORO1" s="204"/>
      <c r="ORP1" s="204"/>
      <c r="ORQ1" s="204"/>
      <c r="ORR1" s="204"/>
      <c r="ORS1" s="204"/>
      <c r="ORT1" s="204"/>
      <c r="ORU1" s="204"/>
      <c r="ORV1" s="204"/>
      <c r="ORW1" s="204"/>
      <c r="ORX1" s="204"/>
      <c r="ORY1" s="204"/>
      <c r="ORZ1" s="204"/>
      <c r="OSA1" s="204"/>
      <c r="OSB1" s="204"/>
      <c r="OSC1" s="204"/>
      <c r="OSD1" s="204"/>
      <c r="OSE1" s="204"/>
      <c r="OSF1" s="204"/>
      <c r="OSG1" s="204"/>
      <c r="OSH1" s="205"/>
      <c r="OSI1" s="204"/>
      <c r="OSJ1" s="204"/>
      <c r="OSK1" s="204"/>
      <c r="OSL1" s="204"/>
      <c r="OSM1" s="204"/>
      <c r="OSN1" s="204"/>
      <c r="OSO1" s="204"/>
      <c r="OSP1" s="204"/>
      <c r="OSQ1" s="204"/>
      <c r="OSR1" s="204"/>
      <c r="OSS1" s="204"/>
      <c r="OST1" s="204"/>
      <c r="OSU1" s="204"/>
      <c r="OSV1" s="204"/>
      <c r="OSW1" s="204"/>
      <c r="OSX1" s="204"/>
      <c r="OSY1" s="204"/>
      <c r="OSZ1" s="204"/>
      <c r="OTA1" s="204"/>
      <c r="OTB1" s="204"/>
      <c r="OTC1" s="204"/>
      <c r="OTD1" s="204"/>
      <c r="OTE1" s="204"/>
      <c r="OTF1" s="204"/>
      <c r="OTG1" s="204"/>
      <c r="OTH1" s="204"/>
      <c r="OTI1" s="204"/>
      <c r="OTJ1" s="205"/>
      <c r="OTK1" s="204"/>
      <c r="OTL1" s="204"/>
      <c r="OTM1" s="204"/>
      <c r="OTN1" s="204"/>
      <c r="OTO1" s="204"/>
      <c r="OTP1" s="204"/>
      <c r="OTQ1" s="204"/>
      <c r="OTR1" s="204"/>
      <c r="OTS1" s="204"/>
      <c r="OTT1" s="204"/>
      <c r="OTU1" s="204"/>
      <c r="OTV1" s="204"/>
      <c r="OTW1" s="204"/>
      <c r="OTX1" s="204"/>
      <c r="OTY1" s="204"/>
      <c r="OTZ1" s="204"/>
      <c r="OUA1" s="204"/>
      <c r="OUB1" s="204"/>
      <c r="OUC1" s="204"/>
      <c r="OUD1" s="204"/>
      <c r="OUE1" s="204"/>
      <c r="OUF1" s="204"/>
      <c r="OUG1" s="204"/>
      <c r="OUH1" s="204"/>
      <c r="OUI1" s="204"/>
      <c r="OUJ1" s="204"/>
      <c r="OUK1" s="204"/>
      <c r="OUL1" s="205"/>
      <c r="OUM1" s="204"/>
      <c r="OUN1" s="204"/>
      <c r="OUO1" s="204"/>
      <c r="OUP1" s="204"/>
      <c r="OUQ1" s="204"/>
      <c r="OUR1" s="204"/>
      <c r="OUS1" s="204"/>
      <c r="OUT1" s="204"/>
      <c r="OUU1" s="204"/>
      <c r="OUV1" s="204"/>
      <c r="OUW1" s="204"/>
      <c r="OUX1" s="204"/>
      <c r="OUY1" s="204"/>
      <c r="OUZ1" s="204"/>
      <c r="OVA1" s="204"/>
      <c r="OVB1" s="204"/>
      <c r="OVC1" s="204"/>
      <c r="OVD1" s="204"/>
      <c r="OVE1" s="204"/>
      <c r="OVF1" s="204"/>
      <c r="OVG1" s="204"/>
      <c r="OVH1" s="204"/>
      <c r="OVI1" s="204"/>
      <c r="OVJ1" s="204"/>
      <c r="OVK1" s="204"/>
      <c r="OVL1" s="204"/>
      <c r="OVM1" s="204"/>
      <c r="OVN1" s="205"/>
      <c r="OVO1" s="204"/>
      <c r="OVP1" s="204"/>
      <c r="OVQ1" s="204"/>
      <c r="OVR1" s="204"/>
      <c r="OVS1" s="204"/>
      <c r="OVT1" s="204"/>
      <c r="OVU1" s="204"/>
      <c r="OVV1" s="204"/>
      <c r="OVW1" s="204"/>
      <c r="OVX1" s="204"/>
      <c r="OVY1" s="204"/>
      <c r="OVZ1" s="204"/>
      <c r="OWA1" s="204"/>
      <c r="OWB1" s="204"/>
      <c r="OWC1" s="204"/>
      <c r="OWD1" s="204"/>
      <c r="OWE1" s="204"/>
      <c r="OWF1" s="204"/>
      <c r="OWG1" s="204"/>
      <c r="OWH1" s="204"/>
      <c r="OWI1" s="204"/>
      <c r="OWJ1" s="204"/>
      <c r="OWK1" s="204"/>
      <c r="OWL1" s="204"/>
      <c r="OWM1" s="204"/>
      <c r="OWN1" s="204"/>
      <c r="OWO1" s="204"/>
      <c r="OWP1" s="205"/>
      <c r="OWQ1" s="204"/>
      <c r="OWR1" s="204"/>
      <c r="OWS1" s="204"/>
      <c r="OWT1" s="204"/>
      <c r="OWU1" s="204"/>
      <c r="OWV1" s="204"/>
      <c r="OWW1" s="204"/>
      <c r="OWX1" s="204"/>
      <c r="OWY1" s="204"/>
      <c r="OWZ1" s="204"/>
      <c r="OXA1" s="204"/>
      <c r="OXB1" s="204"/>
      <c r="OXC1" s="204"/>
      <c r="OXD1" s="204"/>
      <c r="OXE1" s="204"/>
      <c r="OXF1" s="204"/>
      <c r="OXG1" s="204"/>
      <c r="OXH1" s="204"/>
      <c r="OXI1" s="204"/>
      <c r="OXJ1" s="204"/>
      <c r="OXK1" s="204"/>
      <c r="OXL1" s="204"/>
      <c r="OXM1" s="204"/>
      <c r="OXN1" s="204"/>
      <c r="OXO1" s="204"/>
      <c r="OXP1" s="204"/>
      <c r="OXQ1" s="204"/>
      <c r="OXR1" s="205"/>
      <c r="OXS1" s="204"/>
      <c r="OXT1" s="204"/>
      <c r="OXU1" s="204"/>
      <c r="OXV1" s="204"/>
      <c r="OXW1" s="204"/>
      <c r="OXX1" s="204"/>
      <c r="OXY1" s="204"/>
      <c r="OXZ1" s="204"/>
      <c r="OYA1" s="204"/>
      <c r="OYB1" s="204"/>
      <c r="OYC1" s="204"/>
      <c r="OYD1" s="204"/>
      <c r="OYE1" s="204"/>
      <c r="OYF1" s="204"/>
      <c r="OYG1" s="204"/>
      <c r="OYH1" s="204"/>
      <c r="OYI1" s="204"/>
      <c r="OYJ1" s="204"/>
      <c r="OYK1" s="204"/>
      <c r="OYL1" s="204"/>
      <c r="OYM1" s="204"/>
      <c r="OYN1" s="204"/>
      <c r="OYO1" s="204"/>
      <c r="OYP1" s="204"/>
      <c r="OYQ1" s="204"/>
      <c r="OYR1" s="204"/>
      <c r="OYS1" s="204"/>
      <c r="OYT1" s="205"/>
      <c r="OYU1" s="204"/>
      <c r="OYV1" s="204"/>
      <c r="OYW1" s="204"/>
      <c r="OYX1" s="204"/>
      <c r="OYY1" s="204"/>
      <c r="OYZ1" s="204"/>
      <c r="OZA1" s="204"/>
      <c r="OZB1" s="204"/>
      <c r="OZC1" s="204"/>
      <c r="OZD1" s="204"/>
      <c r="OZE1" s="204"/>
      <c r="OZF1" s="204"/>
      <c r="OZG1" s="204"/>
      <c r="OZH1" s="204"/>
      <c r="OZI1" s="204"/>
      <c r="OZJ1" s="204"/>
      <c r="OZK1" s="204"/>
      <c r="OZL1" s="204"/>
      <c r="OZM1" s="204"/>
      <c r="OZN1" s="204"/>
      <c r="OZO1" s="204"/>
      <c r="OZP1" s="204"/>
      <c r="OZQ1" s="204"/>
      <c r="OZR1" s="204"/>
      <c r="OZS1" s="204"/>
      <c r="OZT1" s="204"/>
      <c r="OZU1" s="204"/>
      <c r="OZV1" s="205"/>
      <c r="OZW1" s="204"/>
      <c r="OZX1" s="204"/>
      <c r="OZY1" s="204"/>
      <c r="OZZ1" s="204"/>
      <c r="PAA1" s="204"/>
      <c r="PAB1" s="204"/>
      <c r="PAC1" s="204"/>
      <c r="PAD1" s="204"/>
      <c r="PAE1" s="204"/>
      <c r="PAF1" s="204"/>
      <c r="PAG1" s="204"/>
      <c r="PAH1" s="204"/>
      <c r="PAI1" s="204"/>
      <c r="PAJ1" s="204"/>
      <c r="PAK1" s="204"/>
      <c r="PAL1" s="204"/>
      <c r="PAM1" s="204"/>
      <c r="PAN1" s="204"/>
      <c r="PAO1" s="204"/>
      <c r="PAP1" s="204"/>
      <c r="PAQ1" s="204"/>
      <c r="PAR1" s="204"/>
      <c r="PAS1" s="204"/>
      <c r="PAT1" s="204"/>
      <c r="PAU1" s="204"/>
      <c r="PAV1" s="204"/>
      <c r="PAW1" s="204"/>
      <c r="PAX1" s="205"/>
      <c r="PAY1" s="204"/>
      <c r="PAZ1" s="204"/>
      <c r="PBA1" s="204"/>
      <c r="PBB1" s="204"/>
      <c r="PBC1" s="204"/>
      <c r="PBD1" s="204"/>
      <c r="PBE1" s="204"/>
      <c r="PBF1" s="204"/>
      <c r="PBG1" s="204"/>
      <c r="PBH1" s="204"/>
      <c r="PBI1" s="204"/>
      <c r="PBJ1" s="204"/>
      <c r="PBK1" s="204"/>
      <c r="PBL1" s="204"/>
      <c r="PBM1" s="204"/>
      <c r="PBN1" s="204"/>
      <c r="PBO1" s="204"/>
      <c r="PBP1" s="204"/>
      <c r="PBQ1" s="204"/>
      <c r="PBR1" s="204"/>
      <c r="PBS1" s="204"/>
      <c r="PBT1" s="204"/>
      <c r="PBU1" s="204"/>
      <c r="PBV1" s="204"/>
      <c r="PBW1" s="204"/>
      <c r="PBX1" s="204"/>
      <c r="PBY1" s="204"/>
      <c r="PBZ1" s="205"/>
      <c r="PCA1" s="204"/>
      <c r="PCB1" s="204"/>
      <c r="PCC1" s="204"/>
      <c r="PCD1" s="204"/>
      <c r="PCE1" s="204"/>
      <c r="PCF1" s="204"/>
      <c r="PCG1" s="204"/>
      <c r="PCH1" s="204"/>
      <c r="PCI1" s="204"/>
      <c r="PCJ1" s="204"/>
      <c r="PCK1" s="204"/>
      <c r="PCL1" s="204"/>
      <c r="PCM1" s="204"/>
      <c r="PCN1" s="204"/>
      <c r="PCO1" s="204"/>
      <c r="PCP1" s="204"/>
      <c r="PCQ1" s="204"/>
      <c r="PCR1" s="204"/>
      <c r="PCS1" s="204"/>
      <c r="PCT1" s="204"/>
      <c r="PCU1" s="204"/>
      <c r="PCV1" s="204"/>
      <c r="PCW1" s="204"/>
      <c r="PCX1" s="204"/>
      <c r="PCY1" s="204"/>
      <c r="PCZ1" s="204"/>
      <c r="PDA1" s="204"/>
      <c r="PDB1" s="205"/>
      <c r="PDC1" s="204"/>
      <c r="PDD1" s="204"/>
      <c r="PDE1" s="204"/>
      <c r="PDF1" s="204"/>
      <c r="PDG1" s="204"/>
      <c r="PDH1" s="204"/>
      <c r="PDI1" s="204"/>
      <c r="PDJ1" s="204"/>
      <c r="PDK1" s="204"/>
      <c r="PDL1" s="204"/>
      <c r="PDM1" s="204"/>
      <c r="PDN1" s="204"/>
      <c r="PDO1" s="204"/>
      <c r="PDP1" s="204"/>
      <c r="PDQ1" s="204"/>
      <c r="PDR1" s="204"/>
      <c r="PDS1" s="204"/>
      <c r="PDT1" s="204"/>
      <c r="PDU1" s="204"/>
      <c r="PDV1" s="204"/>
      <c r="PDW1" s="204"/>
      <c r="PDX1" s="204"/>
      <c r="PDY1" s="204"/>
      <c r="PDZ1" s="204"/>
      <c r="PEA1" s="204"/>
      <c r="PEB1" s="204"/>
      <c r="PEC1" s="204"/>
      <c r="PED1" s="205"/>
      <c r="PEE1" s="204"/>
      <c r="PEF1" s="204"/>
      <c r="PEG1" s="204"/>
      <c r="PEH1" s="204"/>
      <c r="PEI1" s="204"/>
      <c r="PEJ1" s="204"/>
      <c r="PEK1" s="204"/>
      <c r="PEL1" s="204"/>
      <c r="PEM1" s="204"/>
      <c r="PEN1" s="204"/>
      <c r="PEO1" s="204"/>
      <c r="PEP1" s="204"/>
      <c r="PEQ1" s="204"/>
      <c r="PER1" s="204"/>
      <c r="PES1" s="204"/>
      <c r="PET1" s="204"/>
      <c r="PEU1" s="204"/>
      <c r="PEV1" s="204"/>
      <c r="PEW1" s="204"/>
      <c r="PEX1" s="204"/>
      <c r="PEY1" s="204"/>
      <c r="PEZ1" s="204"/>
      <c r="PFA1" s="204"/>
      <c r="PFB1" s="204"/>
      <c r="PFC1" s="204"/>
      <c r="PFD1" s="204"/>
      <c r="PFE1" s="204"/>
      <c r="PFF1" s="205"/>
      <c r="PFG1" s="204"/>
      <c r="PFH1" s="204"/>
      <c r="PFI1" s="204"/>
      <c r="PFJ1" s="204"/>
      <c r="PFK1" s="204"/>
      <c r="PFL1" s="204"/>
      <c r="PFM1" s="204"/>
      <c r="PFN1" s="204"/>
      <c r="PFO1" s="204"/>
      <c r="PFP1" s="204"/>
      <c r="PFQ1" s="204"/>
      <c r="PFR1" s="204"/>
      <c r="PFS1" s="204"/>
      <c r="PFT1" s="204"/>
      <c r="PFU1" s="204"/>
      <c r="PFV1" s="204"/>
      <c r="PFW1" s="204"/>
      <c r="PFX1" s="204"/>
      <c r="PFY1" s="204"/>
      <c r="PFZ1" s="204"/>
      <c r="PGA1" s="204"/>
      <c r="PGB1" s="204"/>
      <c r="PGC1" s="204"/>
      <c r="PGD1" s="204"/>
      <c r="PGE1" s="204"/>
      <c r="PGF1" s="204"/>
      <c r="PGG1" s="204"/>
      <c r="PGH1" s="205"/>
      <c r="PGI1" s="204"/>
      <c r="PGJ1" s="204"/>
      <c r="PGK1" s="204"/>
      <c r="PGL1" s="204"/>
      <c r="PGM1" s="204"/>
      <c r="PGN1" s="204"/>
      <c r="PGO1" s="204"/>
      <c r="PGP1" s="204"/>
      <c r="PGQ1" s="204"/>
      <c r="PGR1" s="204"/>
      <c r="PGS1" s="204"/>
      <c r="PGT1" s="204"/>
      <c r="PGU1" s="204"/>
      <c r="PGV1" s="204"/>
      <c r="PGW1" s="204"/>
      <c r="PGX1" s="204"/>
      <c r="PGY1" s="204"/>
      <c r="PGZ1" s="204"/>
      <c r="PHA1" s="204"/>
      <c r="PHB1" s="204"/>
      <c r="PHC1" s="204"/>
      <c r="PHD1" s="204"/>
      <c r="PHE1" s="204"/>
      <c r="PHF1" s="204"/>
      <c r="PHG1" s="204"/>
      <c r="PHH1" s="204"/>
      <c r="PHI1" s="204"/>
      <c r="PHJ1" s="205"/>
      <c r="PHK1" s="204"/>
      <c r="PHL1" s="204"/>
      <c r="PHM1" s="204"/>
      <c r="PHN1" s="204"/>
      <c r="PHO1" s="204"/>
      <c r="PHP1" s="204"/>
      <c r="PHQ1" s="204"/>
      <c r="PHR1" s="204"/>
      <c r="PHS1" s="204"/>
      <c r="PHT1" s="204"/>
      <c r="PHU1" s="204"/>
      <c r="PHV1" s="204"/>
      <c r="PHW1" s="204"/>
      <c r="PHX1" s="204"/>
      <c r="PHY1" s="204"/>
      <c r="PHZ1" s="204"/>
      <c r="PIA1" s="204"/>
      <c r="PIB1" s="204"/>
      <c r="PIC1" s="204"/>
      <c r="PID1" s="204"/>
      <c r="PIE1" s="204"/>
      <c r="PIF1" s="204"/>
      <c r="PIG1" s="204"/>
      <c r="PIH1" s="204"/>
      <c r="PII1" s="204"/>
      <c r="PIJ1" s="204"/>
      <c r="PIK1" s="204"/>
      <c r="PIL1" s="205"/>
      <c r="PIM1" s="204"/>
      <c r="PIN1" s="204"/>
      <c r="PIO1" s="204"/>
      <c r="PIP1" s="204"/>
      <c r="PIQ1" s="204"/>
      <c r="PIR1" s="204"/>
      <c r="PIS1" s="204"/>
      <c r="PIT1" s="204"/>
      <c r="PIU1" s="204"/>
      <c r="PIV1" s="204"/>
      <c r="PIW1" s="204"/>
      <c r="PIX1" s="204"/>
      <c r="PIY1" s="204"/>
      <c r="PIZ1" s="204"/>
      <c r="PJA1" s="204"/>
      <c r="PJB1" s="204"/>
      <c r="PJC1" s="204"/>
      <c r="PJD1" s="204"/>
      <c r="PJE1" s="204"/>
      <c r="PJF1" s="204"/>
      <c r="PJG1" s="204"/>
      <c r="PJH1" s="204"/>
      <c r="PJI1" s="204"/>
      <c r="PJJ1" s="204"/>
      <c r="PJK1" s="204"/>
      <c r="PJL1" s="204"/>
      <c r="PJM1" s="204"/>
      <c r="PJN1" s="205"/>
      <c r="PJO1" s="204"/>
      <c r="PJP1" s="204"/>
      <c r="PJQ1" s="204"/>
      <c r="PJR1" s="204"/>
      <c r="PJS1" s="204"/>
      <c r="PJT1" s="204"/>
      <c r="PJU1" s="204"/>
      <c r="PJV1" s="204"/>
      <c r="PJW1" s="204"/>
      <c r="PJX1" s="204"/>
      <c r="PJY1" s="204"/>
      <c r="PJZ1" s="204"/>
      <c r="PKA1" s="204"/>
      <c r="PKB1" s="204"/>
      <c r="PKC1" s="204"/>
      <c r="PKD1" s="204"/>
      <c r="PKE1" s="204"/>
      <c r="PKF1" s="204"/>
      <c r="PKG1" s="204"/>
      <c r="PKH1" s="204"/>
      <c r="PKI1" s="204"/>
      <c r="PKJ1" s="204"/>
      <c r="PKK1" s="204"/>
      <c r="PKL1" s="204"/>
      <c r="PKM1" s="204"/>
      <c r="PKN1" s="204"/>
      <c r="PKO1" s="204"/>
      <c r="PKP1" s="205"/>
      <c r="PKQ1" s="204"/>
      <c r="PKR1" s="204"/>
      <c r="PKS1" s="204"/>
      <c r="PKT1" s="204"/>
      <c r="PKU1" s="204"/>
      <c r="PKV1" s="204"/>
      <c r="PKW1" s="204"/>
      <c r="PKX1" s="204"/>
      <c r="PKY1" s="204"/>
      <c r="PKZ1" s="204"/>
      <c r="PLA1" s="204"/>
      <c r="PLB1" s="204"/>
      <c r="PLC1" s="204"/>
      <c r="PLD1" s="204"/>
      <c r="PLE1" s="204"/>
      <c r="PLF1" s="204"/>
      <c r="PLG1" s="204"/>
      <c r="PLH1" s="204"/>
      <c r="PLI1" s="204"/>
      <c r="PLJ1" s="204"/>
      <c r="PLK1" s="204"/>
      <c r="PLL1" s="204"/>
      <c r="PLM1" s="204"/>
      <c r="PLN1" s="204"/>
      <c r="PLO1" s="204"/>
      <c r="PLP1" s="204"/>
      <c r="PLQ1" s="204"/>
      <c r="PLR1" s="205"/>
      <c r="PLS1" s="204"/>
      <c r="PLT1" s="204"/>
      <c r="PLU1" s="204"/>
      <c r="PLV1" s="204"/>
      <c r="PLW1" s="204"/>
      <c r="PLX1" s="204"/>
      <c r="PLY1" s="204"/>
      <c r="PLZ1" s="204"/>
      <c r="PMA1" s="204"/>
      <c r="PMB1" s="204"/>
      <c r="PMC1" s="204"/>
      <c r="PMD1" s="204"/>
      <c r="PME1" s="204"/>
      <c r="PMF1" s="204"/>
      <c r="PMG1" s="204"/>
      <c r="PMH1" s="204"/>
      <c r="PMI1" s="204"/>
      <c r="PMJ1" s="204"/>
      <c r="PMK1" s="204"/>
      <c r="PML1" s="204"/>
      <c r="PMM1" s="204"/>
      <c r="PMN1" s="204"/>
      <c r="PMO1" s="204"/>
      <c r="PMP1" s="204"/>
      <c r="PMQ1" s="204"/>
      <c r="PMR1" s="204"/>
      <c r="PMS1" s="204"/>
      <c r="PMT1" s="205"/>
      <c r="PMU1" s="204"/>
      <c r="PMV1" s="204"/>
      <c r="PMW1" s="204"/>
      <c r="PMX1" s="204"/>
      <c r="PMY1" s="204"/>
      <c r="PMZ1" s="204"/>
      <c r="PNA1" s="204"/>
      <c r="PNB1" s="204"/>
      <c r="PNC1" s="204"/>
      <c r="PND1" s="204"/>
      <c r="PNE1" s="204"/>
      <c r="PNF1" s="204"/>
      <c r="PNG1" s="204"/>
      <c r="PNH1" s="204"/>
      <c r="PNI1" s="204"/>
      <c r="PNJ1" s="204"/>
      <c r="PNK1" s="204"/>
      <c r="PNL1" s="204"/>
      <c r="PNM1" s="204"/>
      <c r="PNN1" s="204"/>
      <c r="PNO1" s="204"/>
      <c r="PNP1" s="204"/>
      <c r="PNQ1" s="204"/>
      <c r="PNR1" s="204"/>
      <c r="PNS1" s="204"/>
      <c r="PNT1" s="204"/>
      <c r="PNU1" s="204"/>
      <c r="PNV1" s="205"/>
      <c r="PNW1" s="204"/>
      <c r="PNX1" s="204"/>
      <c r="PNY1" s="204"/>
      <c r="PNZ1" s="204"/>
      <c r="POA1" s="204"/>
      <c r="POB1" s="204"/>
      <c r="POC1" s="204"/>
      <c r="POD1" s="204"/>
      <c r="POE1" s="204"/>
      <c r="POF1" s="204"/>
      <c r="POG1" s="204"/>
      <c r="POH1" s="204"/>
      <c r="POI1" s="204"/>
      <c r="POJ1" s="204"/>
      <c r="POK1" s="204"/>
      <c r="POL1" s="204"/>
      <c r="POM1" s="204"/>
      <c r="PON1" s="204"/>
      <c r="POO1" s="204"/>
      <c r="POP1" s="204"/>
      <c r="POQ1" s="204"/>
      <c r="POR1" s="204"/>
      <c r="POS1" s="204"/>
      <c r="POT1" s="204"/>
      <c r="POU1" s="204"/>
      <c r="POV1" s="204"/>
      <c r="POW1" s="204"/>
      <c r="POX1" s="205"/>
      <c r="POY1" s="204"/>
      <c r="POZ1" s="204"/>
      <c r="PPA1" s="204"/>
      <c r="PPB1" s="204"/>
      <c r="PPC1" s="204"/>
      <c r="PPD1" s="204"/>
      <c r="PPE1" s="204"/>
      <c r="PPF1" s="204"/>
      <c r="PPG1" s="204"/>
      <c r="PPH1" s="204"/>
      <c r="PPI1" s="204"/>
      <c r="PPJ1" s="204"/>
      <c r="PPK1" s="204"/>
      <c r="PPL1" s="204"/>
      <c r="PPM1" s="204"/>
      <c r="PPN1" s="204"/>
      <c r="PPO1" s="204"/>
      <c r="PPP1" s="204"/>
      <c r="PPQ1" s="204"/>
      <c r="PPR1" s="204"/>
      <c r="PPS1" s="204"/>
      <c r="PPT1" s="204"/>
      <c r="PPU1" s="204"/>
      <c r="PPV1" s="204"/>
      <c r="PPW1" s="204"/>
      <c r="PPX1" s="204"/>
      <c r="PPY1" s="204"/>
      <c r="PPZ1" s="205"/>
      <c r="PQA1" s="204"/>
      <c r="PQB1" s="204"/>
      <c r="PQC1" s="204"/>
      <c r="PQD1" s="204"/>
      <c r="PQE1" s="204"/>
      <c r="PQF1" s="204"/>
      <c r="PQG1" s="204"/>
      <c r="PQH1" s="204"/>
      <c r="PQI1" s="204"/>
      <c r="PQJ1" s="204"/>
      <c r="PQK1" s="204"/>
      <c r="PQL1" s="204"/>
      <c r="PQM1" s="204"/>
      <c r="PQN1" s="204"/>
      <c r="PQO1" s="204"/>
      <c r="PQP1" s="204"/>
      <c r="PQQ1" s="204"/>
      <c r="PQR1" s="204"/>
      <c r="PQS1" s="204"/>
      <c r="PQT1" s="204"/>
      <c r="PQU1" s="204"/>
      <c r="PQV1" s="204"/>
      <c r="PQW1" s="204"/>
      <c r="PQX1" s="204"/>
      <c r="PQY1" s="204"/>
      <c r="PQZ1" s="204"/>
      <c r="PRA1" s="204"/>
      <c r="PRB1" s="205"/>
      <c r="PRC1" s="204"/>
      <c r="PRD1" s="204"/>
      <c r="PRE1" s="204"/>
      <c r="PRF1" s="204"/>
      <c r="PRG1" s="204"/>
      <c r="PRH1" s="204"/>
      <c r="PRI1" s="204"/>
      <c r="PRJ1" s="204"/>
      <c r="PRK1" s="204"/>
      <c r="PRL1" s="204"/>
      <c r="PRM1" s="204"/>
      <c r="PRN1" s="204"/>
      <c r="PRO1" s="204"/>
      <c r="PRP1" s="204"/>
      <c r="PRQ1" s="204"/>
      <c r="PRR1" s="204"/>
      <c r="PRS1" s="204"/>
      <c r="PRT1" s="204"/>
      <c r="PRU1" s="204"/>
      <c r="PRV1" s="204"/>
      <c r="PRW1" s="204"/>
      <c r="PRX1" s="204"/>
      <c r="PRY1" s="204"/>
      <c r="PRZ1" s="204"/>
      <c r="PSA1" s="204"/>
      <c r="PSB1" s="204"/>
      <c r="PSC1" s="204"/>
      <c r="PSD1" s="205"/>
      <c r="PSE1" s="204"/>
      <c r="PSF1" s="204"/>
      <c r="PSG1" s="204"/>
      <c r="PSH1" s="204"/>
      <c r="PSI1" s="204"/>
      <c r="PSJ1" s="204"/>
      <c r="PSK1" s="204"/>
      <c r="PSL1" s="204"/>
      <c r="PSM1" s="204"/>
      <c r="PSN1" s="204"/>
      <c r="PSO1" s="204"/>
      <c r="PSP1" s="204"/>
      <c r="PSQ1" s="204"/>
      <c r="PSR1" s="204"/>
      <c r="PSS1" s="204"/>
      <c r="PST1" s="204"/>
      <c r="PSU1" s="204"/>
      <c r="PSV1" s="204"/>
      <c r="PSW1" s="204"/>
      <c r="PSX1" s="204"/>
      <c r="PSY1" s="204"/>
      <c r="PSZ1" s="204"/>
      <c r="PTA1" s="204"/>
      <c r="PTB1" s="204"/>
      <c r="PTC1" s="204"/>
      <c r="PTD1" s="204"/>
      <c r="PTE1" s="204"/>
      <c r="PTF1" s="205"/>
      <c r="PTG1" s="204"/>
      <c r="PTH1" s="204"/>
      <c r="PTI1" s="204"/>
      <c r="PTJ1" s="204"/>
      <c r="PTK1" s="204"/>
      <c r="PTL1" s="204"/>
      <c r="PTM1" s="204"/>
      <c r="PTN1" s="204"/>
      <c r="PTO1" s="204"/>
      <c r="PTP1" s="204"/>
      <c r="PTQ1" s="204"/>
      <c r="PTR1" s="204"/>
      <c r="PTS1" s="204"/>
      <c r="PTT1" s="204"/>
      <c r="PTU1" s="204"/>
      <c r="PTV1" s="204"/>
      <c r="PTW1" s="204"/>
      <c r="PTX1" s="204"/>
      <c r="PTY1" s="204"/>
      <c r="PTZ1" s="204"/>
      <c r="PUA1" s="204"/>
      <c r="PUB1" s="204"/>
      <c r="PUC1" s="204"/>
      <c r="PUD1" s="204"/>
      <c r="PUE1" s="204"/>
      <c r="PUF1" s="204"/>
      <c r="PUG1" s="204"/>
      <c r="PUH1" s="205"/>
      <c r="PUI1" s="204"/>
      <c r="PUJ1" s="204"/>
      <c r="PUK1" s="204"/>
      <c r="PUL1" s="204"/>
      <c r="PUM1" s="204"/>
      <c r="PUN1" s="204"/>
      <c r="PUO1" s="204"/>
      <c r="PUP1" s="204"/>
      <c r="PUQ1" s="204"/>
      <c r="PUR1" s="204"/>
      <c r="PUS1" s="204"/>
      <c r="PUT1" s="204"/>
      <c r="PUU1" s="204"/>
      <c r="PUV1" s="204"/>
      <c r="PUW1" s="204"/>
      <c r="PUX1" s="204"/>
      <c r="PUY1" s="204"/>
      <c r="PUZ1" s="204"/>
      <c r="PVA1" s="204"/>
      <c r="PVB1" s="204"/>
      <c r="PVC1" s="204"/>
      <c r="PVD1" s="204"/>
      <c r="PVE1" s="204"/>
      <c r="PVF1" s="204"/>
      <c r="PVG1" s="204"/>
      <c r="PVH1" s="204"/>
      <c r="PVI1" s="204"/>
      <c r="PVJ1" s="205"/>
      <c r="PVK1" s="204"/>
      <c r="PVL1" s="204"/>
      <c r="PVM1" s="204"/>
      <c r="PVN1" s="204"/>
      <c r="PVO1" s="204"/>
      <c r="PVP1" s="204"/>
      <c r="PVQ1" s="204"/>
      <c r="PVR1" s="204"/>
      <c r="PVS1" s="204"/>
      <c r="PVT1" s="204"/>
      <c r="PVU1" s="204"/>
      <c r="PVV1" s="204"/>
      <c r="PVW1" s="204"/>
      <c r="PVX1" s="204"/>
      <c r="PVY1" s="204"/>
      <c r="PVZ1" s="204"/>
      <c r="PWA1" s="204"/>
      <c r="PWB1" s="204"/>
      <c r="PWC1" s="204"/>
      <c r="PWD1" s="204"/>
      <c r="PWE1" s="204"/>
      <c r="PWF1" s="204"/>
      <c r="PWG1" s="204"/>
      <c r="PWH1" s="204"/>
      <c r="PWI1" s="204"/>
      <c r="PWJ1" s="204"/>
      <c r="PWK1" s="204"/>
      <c r="PWL1" s="205"/>
      <c r="PWM1" s="204"/>
      <c r="PWN1" s="204"/>
      <c r="PWO1" s="204"/>
      <c r="PWP1" s="204"/>
      <c r="PWQ1" s="204"/>
      <c r="PWR1" s="204"/>
      <c r="PWS1" s="204"/>
      <c r="PWT1" s="204"/>
      <c r="PWU1" s="204"/>
      <c r="PWV1" s="204"/>
      <c r="PWW1" s="204"/>
      <c r="PWX1" s="204"/>
      <c r="PWY1" s="204"/>
      <c r="PWZ1" s="204"/>
      <c r="PXA1" s="204"/>
      <c r="PXB1" s="204"/>
      <c r="PXC1" s="204"/>
      <c r="PXD1" s="204"/>
      <c r="PXE1" s="204"/>
      <c r="PXF1" s="204"/>
      <c r="PXG1" s="204"/>
      <c r="PXH1" s="204"/>
      <c r="PXI1" s="204"/>
      <c r="PXJ1" s="204"/>
      <c r="PXK1" s="204"/>
      <c r="PXL1" s="204"/>
      <c r="PXM1" s="204"/>
      <c r="PXN1" s="205"/>
      <c r="PXO1" s="204"/>
      <c r="PXP1" s="204"/>
      <c r="PXQ1" s="204"/>
      <c r="PXR1" s="204"/>
      <c r="PXS1" s="204"/>
      <c r="PXT1" s="204"/>
      <c r="PXU1" s="204"/>
      <c r="PXV1" s="204"/>
      <c r="PXW1" s="204"/>
      <c r="PXX1" s="204"/>
      <c r="PXY1" s="204"/>
      <c r="PXZ1" s="204"/>
      <c r="PYA1" s="204"/>
      <c r="PYB1" s="204"/>
      <c r="PYC1" s="204"/>
      <c r="PYD1" s="204"/>
      <c r="PYE1" s="204"/>
      <c r="PYF1" s="204"/>
      <c r="PYG1" s="204"/>
      <c r="PYH1" s="204"/>
      <c r="PYI1" s="204"/>
      <c r="PYJ1" s="204"/>
      <c r="PYK1" s="204"/>
      <c r="PYL1" s="204"/>
      <c r="PYM1" s="204"/>
      <c r="PYN1" s="204"/>
      <c r="PYO1" s="204"/>
      <c r="PYP1" s="205"/>
      <c r="PYQ1" s="204"/>
      <c r="PYR1" s="204"/>
      <c r="PYS1" s="204"/>
      <c r="PYT1" s="204"/>
      <c r="PYU1" s="204"/>
      <c r="PYV1" s="204"/>
      <c r="PYW1" s="204"/>
      <c r="PYX1" s="204"/>
      <c r="PYY1" s="204"/>
      <c r="PYZ1" s="204"/>
      <c r="PZA1" s="204"/>
      <c r="PZB1" s="204"/>
      <c r="PZC1" s="204"/>
      <c r="PZD1" s="204"/>
      <c r="PZE1" s="204"/>
      <c r="PZF1" s="204"/>
      <c r="PZG1" s="204"/>
      <c r="PZH1" s="204"/>
      <c r="PZI1" s="204"/>
      <c r="PZJ1" s="204"/>
      <c r="PZK1" s="204"/>
      <c r="PZL1" s="204"/>
      <c r="PZM1" s="204"/>
      <c r="PZN1" s="204"/>
      <c r="PZO1" s="204"/>
      <c r="PZP1" s="204"/>
      <c r="PZQ1" s="204"/>
      <c r="PZR1" s="205"/>
      <c r="PZS1" s="204"/>
      <c r="PZT1" s="204"/>
      <c r="PZU1" s="204"/>
      <c r="PZV1" s="204"/>
      <c r="PZW1" s="204"/>
      <c r="PZX1" s="204"/>
      <c r="PZY1" s="204"/>
      <c r="PZZ1" s="204"/>
      <c r="QAA1" s="204"/>
      <c r="QAB1" s="204"/>
      <c r="QAC1" s="204"/>
      <c r="QAD1" s="204"/>
      <c r="QAE1" s="204"/>
      <c r="QAF1" s="204"/>
      <c r="QAG1" s="204"/>
      <c r="QAH1" s="204"/>
      <c r="QAI1" s="204"/>
      <c r="QAJ1" s="204"/>
      <c r="QAK1" s="204"/>
      <c r="QAL1" s="204"/>
      <c r="QAM1" s="204"/>
      <c r="QAN1" s="204"/>
      <c r="QAO1" s="204"/>
      <c r="QAP1" s="204"/>
      <c r="QAQ1" s="204"/>
      <c r="QAR1" s="204"/>
      <c r="QAS1" s="204"/>
      <c r="QAT1" s="205"/>
      <c r="QAU1" s="204"/>
      <c r="QAV1" s="204"/>
      <c r="QAW1" s="204"/>
      <c r="QAX1" s="204"/>
      <c r="QAY1" s="204"/>
      <c r="QAZ1" s="204"/>
      <c r="QBA1" s="204"/>
      <c r="QBB1" s="204"/>
      <c r="QBC1" s="204"/>
      <c r="QBD1" s="204"/>
      <c r="QBE1" s="204"/>
      <c r="QBF1" s="204"/>
      <c r="QBG1" s="204"/>
      <c r="QBH1" s="204"/>
      <c r="QBI1" s="204"/>
      <c r="QBJ1" s="204"/>
      <c r="QBK1" s="204"/>
      <c r="QBL1" s="204"/>
      <c r="QBM1" s="204"/>
      <c r="QBN1" s="204"/>
      <c r="QBO1" s="204"/>
      <c r="QBP1" s="204"/>
      <c r="QBQ1" s="204"/>
      <c r="QBR1" s="204"/>
      <c r="QBS1" s="204"/>
      <c r="QBT1" s="204"/>
      <c r="QBU1" s="204"/>
      <c r="QBV1" s="205"/>
      <c r="QBW1" s="204"/>
      <c r="QBX1" s="204"/>
      <c r="QBY1" s="204"/>
      <c r="QBZ1" s="204"/>
      <c r="QCA1" s="204"/>
      <c r="QCB1" s="204"/>
      <c r="QCC1" s="204"/>
      <c r="QCD1" s="204"/>
      <c r="QCE1" s="204"/>
      <c r="QCF1" s="204"/>
      <c r="QCG1" s="204"/>
      <c r="QCH1" s="204"/>
      <c r="QCI1" s="204"/>
      <c r="QCJ1" s="204"/>
      <c r="QCK1" s="204"/>
      <c r="QCL1" s="204"/>
      <c r="QCM1" s="204"/>
      <c r="QCN1" s="204"/>
      <c r="QCO1" s="204"/>
      <c r="QCP1" s="204"/>
      <c r="QCQ1" s="204"/>
      <c r="QCR1" s="204"/>
      <c r="QCS1" s="204"/>
      <c r="QCT1" s="204"/>
      <c r="QCU1" s="204"/>
      <c r="QCV1" s="204"/>
      <c r="QCW1" s="204"/>
      <c r="QCX1" s="205"/>
      <c r="QCY1" s="204"/>
      <c r="QCZ1" s="204"/>
      <c r="QDA1" s="204"/>
      <c r="QDB1" s="204"/>
      <c r="QDC1" s="204"/>
      <c r="QDD1" s="204"/>
      <c r="QDE1" s="204"/>
      <c r="QDF1" s="204"/>
      <c r="QDG1" s="204"/>
      <c r="QDH1" s="204"/>
      <c r="QDI1" s="204"/>
      <c r="QDJ1" s="204"/>
      <c r="QDK1" s="204"/>
      <c r="QDL1" s="204"/>
      <c r="QDM1" s="204"/>
      <c r="QDN1" s="204"/>
      <c r="QDO1" s="204"/>
      <c r="QDP1" s="204"/>
      <c r="QDQ1" s="204"/>
      <c r="QDR1" s="204"/>
      <c r="QDS1" s="204"/>
      <c r="QDT1" s="204"/>
      <c r="QDU1" s="204"/>
      <c r="QDV1" s="204"/>
      <c r="QDW1" s="204"/>
      <c r="QDX1" s="204"/>
      <c r="QDY1" s="204"/>
      <c r="QDZ1" s="205"/>
      <c r="QEA1" s="204"/>
      <c r="QEB1" s="204"/>
      <c r="QEC1" s="204"/>
      <c r="QED1" s="204"/>
      <c r="QEE1" s="204"/>
      <c r="QEF1" s="204"/>
      <c r="QEG1" s="204"/>
      <c r="QEH1" s="204"/>
      <c r="QEI1" s="204"/>
      <c r="QEJ1" s="204"/>
      <c r="QEK1" s="204"/>
      <c r="QEL1" s="204"/>
      <c r="QEM1" s="204"/>
      <c r="QEN1" s="204"/>
      <c r="QEO1" s="204"/>
      <c r="QEP1" s="204"/>
      <c r="QEQ1" s="204"/>
      <c r="QER1" s="204"/>
      <c r="QES1" s="204"/>
      <c r="QET1" s="204"/>
      <c r="QEU1" s="204"/>
      <c r="QEV1" s="204"/>
      <c r="QEW1" s="204"/>
      <c r="QEX1" s="204"/>
      <c r="QEY1" s="204"/>
      <c r="QEZ1" s="204"/>
      <c r="QFA1" s="204"/>
      <c r="QFB1" s="205"/>
      <c r="QFC1" s="204"/>
      <c r="QFD1" s="204"/>
      <c r="QFE1" s="204"/>
      <c r="QFF1" s="204"/>
      <c r="QFG1" s="204"/>
      <c r="QFH1" s="204"/>
      <c r="QFI1" s="204"/>
      <c r="QFJ1" s="204"/>
      <c r="QFK1" s="204"/>
      <c r="QFL1" s="204"/>
      <c r="QFM1" s="204"/>
      <c r="QFN1" s="204"/>
      <c r="QFO1" s="204"/>
      <c r="QFP1" s="204"/>
      <c r="QFQ1" s="204"/>
      <c r="QFR1" s="204"/>
      <c r="QFS1" s="204"/>
      <c r="QFT1" s="204"/>
      <c r="QFU1" s="204"/>
      <c r="QFV1" s="204"/>
      <c r="QFW1" s="204"/>
      <c r="QFX1" s="204"/>
      <c r="QFY1" s="204"/>
      <c r="QFZ1" s="204"/>
      <c r="QGA1" s="204"/>
      <c r="QGB1" s="204"/>
      <c r="QGC1" s="204"/>
      <c r="QGD1" s="205"/>
      <c r="QGE1" s="204"/>
      <c r="QGF1" s="204"/>
      <c r="QGG1" s="204"/>
      <c r="QGH1" s="204"/>
      <c r="QGI1" s="204"/>
      <c r="QGJ1" s="204"/>
      <c r="QGK1" s="204"/>
      <c r="QGL1" s="204"/>
      <c r="QGM1" s="204"/>
      <c r="QGN1" s="204"/>
      <c r="QGO1" s="204"/>
      <c r="QGP1" s="204"/>
      <c r="QGQ1" s="204"/>
      <c r="QGR1" s="204"/>
      <c r="QGS1" s="204"/>
      <c r="QGT1" s="204"/>
      <c r="QGU1" s="204"/>
      <c r="QGV1" s="204"/>
      <c r="QGW1" s="204"/>
      <c r="QGX1" s="204"/>
      <c r="QGY1" s="204"/>
      <c r="QGZ1" s="204"/>
      <c r="QHA1" s="204"/>
      <c r="QHB1" s="204"/>
      <c r="QHC1" s="204"/>
      <c r="QHD1" s="204"/>
      <c r="QHE1" s="204"/>
      <c r="QHF1" s="205"/>
      <c r="QHG1" s="204"/>
      <c r="QHH1" s="204"/>
      <c r="QHI1" s="204"/>
      <c r="QHJ1" s="204"/>
      <c r="QHK1" s="204"/>
      <c r="QHL1" s="204"/>
      <c r="QHM1" s="204"/>
      <c r="QHN1" s="204"/>
      <c r="QHO1" s="204"/>
      <c r="QHP1" s="204"/>
      <c r="QHQ1" s="204"/>
      <c r="QHR1" s="204"/>
      <c r="QHS1" s="204"/>
      <c r="QHT1" s="204"/>
      <c r="QHU1" s="204"/>
      <c r="QHV1" s="204"/>
      <c r="QHW1" s="204"/>
      <c r="QHX1" s="204"/>
      <c r="QHY1" s="204"/>
      <c r="QHZ1" s="204"/>
      <c r="QIA1" s="204"/>
      <c r="QIB1" s="204"/>
      <c r="QIC1" s="204"/>
      <c r="QID1" s="204"/>
      <c r="QIE1" s="204"/>
      <c r="QIF1" s="204"/>
      <c r="QIG1" s="204"/>
      <c r="QIH1" s="205"/>
      <c r="QII1" s="204"/>
      <c r="QIJ1" s="204"/>
      <c r="QIK1" s="204"/>
      <c r="QIL1" s="204"/>
      <c r="QIM1" s="204"/>
      <c r="QIN1" s="204"/>
      <c r="QIO1" s="204"/>
      <c r="QIP1" s="204"/>
      <c r="QIQ1" s="204"/>
      <c r="QIR1" s="204"/>
      <c r="QIS1" s="204"/>
      <c r="QIT1" s="204"/>
      <c r="QIU1" s="204"/>
      <c r="QIV1" s="204"/>
      <c r="QIW1" s="204"/>
      <c r="QIX1" s="204"/>
      <c r="QIY1" s="204"/>
      <c r="QIZ1" s="204"/>
      <c r="QJA1" s="204"/>
      <c r="QJB1" s="204"/>
      <c r="QJC1" s="204"/>
      <c r="QJD1" s="204"/>
      <c r="QJE1" s="204"/>
      <c r="QJF1" s="204"/>
      <c r="QJG1" s="204"/>
      <c r="QJH1" s="204"/>
      <c r="QJI1" s="204"/>
      <c r="QJJ1" s="205"/>
      <c r="QJK1" s="204"/>
      <c r="QJL1" s="204"/>
      <c r="QJM1" s="204"/>
      <c r="QJN1" s="204"/>
      <c r="QJO1" s="204"/>
      <c r="QJP1" s="204"/>
      <c r="QJQ1" s="204"/>
      <c r="QJR1" s="204"/>
      <c r="QJS1" s="204"/>
      <c r="QJT1" s="204"/>
      <c r="QJU1" s="204"/>
      <c r="QJV1" s="204"/>
      <c r="QJW1" s="204"/>
      <c r="QJX1" s="204"/>
      <c r="QJY1" s="204"/>
      <c r="QJZ1" s="204"/>
      <c r="QKA1" s="204"/>
      <c r="QKB1" s="204"/>
      <c r="QKC1" s="204"/>
      <c r="QKD1" s="204"/>
      <c r="QKE1" s="204"/>
      <c r="QKF1" s="204"/>
      <c r="QKG1" s="204"/>
      <c r="QKH1" s="204"/>
      <c r="QKI1" s="204"/>
      <c r="QKJ1" s="204"/>
      <c r="QKK1" s="204"/>
      <c r="QKL1" s="205"/>
      <c r="QKM1" s="204"/>
      <c r="QKN1" s="204"/>
      <c r="QKO1" s="204"/>
      <c r="QKP1" s="204"/>
      <c r="QKQ1" s="204"/>
      <c r="QKR1" s="204"/>
      <c r="QKS1" s="204"/>
      <c r="QKT1" s="204"/>
      <c r="QKU1" s="204"/>
      <c r="QKV1" s="204"/>
      <c r="QKW1" s="204"/>
      <c r="QKX1" s="204"/>
      <c r="QKY1" s="204"/>
      <c r="QKZ1" s="204"/>
      <c r="QLA1" s="204"/>
      <c r="QLB1" s="204"/>
      <c r="QLC1" s="204"/>
      <c r="QLD1" s="204"/>
      <c r="QLE1" s="204"/>
      <c r="QLF1" s="204"/>
      <c r="QLG1" s="204"/>
      <c r="QLH1" s="204"/>
      <c r="QLI1" s="204"/>
      <c r="QLJ1" s="204"/>
      <c r="QLK1" s="204"/>
      <c r="QLL1" s="204"/>
      <c r="QLM1" s="204"/>
      <c r="QLN1" s="205"/>
      <c r="QLO1" s="204"/>
      <c r="QLP1" s="204"/>
      <c r="QLQ1" s="204"/>
      <c r="QLR1" s="204"/>
      <c r="QLS1" s="204"/>
      <c r="QLT1" s="204"/>
      <c r="QLU1" s="204"/>
      <c r="QLV1" s="204"/>
      <c r="QLW1" s="204"/>
      <c r="QLX1" s="204"/>
      <c r="QLY1" s="204"/>
      <c r="QLZ1" s="204"/>
      <c r="QMA1" s="204"/>
      <c r="QMB1" s="204"/>
      <c r="QMC1" s="204"/>
      <c r="QMD1" s="204"/>
      <c r="QME1" s="204"/>
      <c r="QMF1" s="204"/>
      <c r="QMG1" s="204"/>
      <c r="QMH1" s="204"/>
      <c r="QMI1" s="204"/>
      <c r="QMJ1" s="204"/>
      <c r="QMK1" s="204"/>
      <c r="QML1" s="204"/>
      <c r="QMM1" s="204"/>
      <c r="QMN1" s="204"/>
      <c r="QMO1" s="204"/>
      <c r="QMP1" s="205"/>
      <c r="QMQ1" s="204"/>
      <c r="QMR1" s="204"/>
      <c r="QMS1" s="204"/>
      <c r="QMT1" s="204"/>
      <c r="QMU1" s="204"/>
      <c r="QMV1" s="204"/>
      <c r="QMW1" s="204"/>
      <c r="QMX1" s="204"/>
      <c r="QMY1" s="204"/>
      <c r="QMZ1" s="204"/>
      <c r="QNA1" s="204"/>
      <c r="QNB1" s="204"/>
      <c r="QNC1" s="204"/>
      <c r="QND1" s="204"/>
      <c r="QNE1" s="204"/>
      <c r="QNF1" s="204"/>
      <c r="QNG1" s="204"/>
      <c r="QNH1" s="204"/>
      <c r="QNI1" s="204"/>
      <c r="QNJ1" s="204"/>
      <c r="QNK1" s="204"/>
      <c r="QNL1" s="204"/>
      <c r="QNM1" s="204"/>
      <c r="QNN1" s="204"/>
      <c r="QNO1" s="204"/>
      <c r="QNP1" s="204"/>
      <c r="QNQ1" s="204"/>
      <c r="QNR1" s="205"/>
      <c r="QNS1" s="204"/>
      <c r="QNT1" s="204"/>
      <c r="QNU1" s="204"/>
      <c r="QNV1" s="204"/>
      <c r="QNW1" s="204"/>
      <c r="QNX1" s="204"/>
      <c r="QNY1" s="204"/>
      <c r="QNZ1" s="204"/>
      <c r="QOA1" s="204"/>
      <c r="QOB1" s="204"/>
      <c r="QOC1" s="204"/>
      <c r="QOD1" s="204"/>
      <c r="QOE1" s="204"/>
      <c r="QOF1" s="204"/>
      <c r="QOG1" s="204"/>
      <c r="QOH1" s="204"/>
      <c r="QOI1" s="204"/>
      <c r="QOJ1" s="204"/>
      <c r="QOK1" s="204"/>
      <c r="QOL1" s="204"/>
      <c r="QOM1" s="204"/>
      <c r="QON1" s="204"/>
      <c r="QOO1" s="204"/>
      <c r="QOP1" s="204"/>
      <c r="QOQ1" s="204"/>
      <c r="QOR1" s="204"/>
      <c r="QOS1" s="204"/>
      <c r="QOT1" s="205"/>
      <c r="QOU1" s="204"/>
      <c r="QOV1" s="204"/>
      <c r="QOW1" s="204"/>
      <c r="QOX1" s="204"/>
      <c r="QOY1" s="204"/>
      <c r="QOZ1" s="204"/>
      <c r="QPA1" s="204"/>
      <c r="QPB1" s="204"/>
      <c r="QPC1" s="204"/>
      <c r="QPD1" s="204"/>
      <c r="QPE1" s="204"/>
      <c r="QPF1" s="204"/>
      <c r="QPG1" s="204"/>
      <c r="QPH1" s="204"/>
      <c r="QPI1" s="204"/>
      <c r="QPJ1" s="204"/>
      <c r="QPK1" s="204"/>
      <c r="QPL1" s="204"/>
      <c r="QPM1" s="204"/>
      <c r="QPN1" s="204"/>
      <c r="QPO1" s="204"/>
      <c r="QPP1" s="204"/>
      <c r="QPQ1" s="204"/>
      <c r="QPR1" s="204"/>
      <c r="QPS1" s="204"/>
      <c r="QPT1" s="204"/>
      <c r="QPU1" s="204"/>
      <c r="QPV1" s="205"/>
      <c r="QPW1" s="204"/>
      <c r="QPX1" s="204"/>
      <c r="QPY1" s="204"/>
      <c r="QPZ1" s="204"/>
      <c r="QQA1" s="204"/>
      <c r="QQB1" s="204"/>
      <c r="QQC1" s="204"/>
      <c r="QQD1" s="204"/>
      <c r="QQE1" s="204"/>
      <c r="QQF1" s="204"/>
      <c r="QQG1" s="204"/>
      <c r="QQH1" s="204"/>
      <c r="QQI1" s="204"/>
      <c r="QQJ1" s="204"/>
      <c r="QQK1" s="204"/>
      <c r="QQL1" s="204"/>
      <c r="QQM1" s="204"/>
      <c r="QQN1" s="204"/>
      <c r="QQO1" s="204"/>
      <c r="QQP1" s="204"/>
      <c r="QQQ1" s="204"/>
      <c r="QQR1" s="204"/>
      <c r="QQS1" s="204"/>
      <c r="QQT1" s="204"/>
      <c r="QQU1" s="204"/>
      <c r="QQV1" s="204"/>
      <c r="QQW1" s="204"/>
      <c r="QQX1" s="205"/>
      <c r="QQY1" s="204"/>
      <c r="QQZ1" s="204"/>
      <c r="QRA1" s="204"/>
      <c r="QRB1" s="204"/>
      <c r="QRC1" s="204"/>
      <c r="QRD1" s="204"/>
      <c r="QRE1" s="204"/>
      <c r="QRF1" s="204"/>
      <c r="QRG1" s="204"/>
      <c r="QRH1" s="204"/>
      <c r="QRI1" s="204"/>
      <c r="QRJ1" s="204"/>
      <c r="QRK1" s="204"/>
      <c r="QRL1" s="204"/>
      <c r="QRM1" s="204"/>
      <c r="QRN1" s="204"/>
      <c r="QRO1" s="204"/>
      <c r="QRP1" s="204"/>
      <c r="QRQ1" s="204"/>
      <c r="QRR1" s="204"/>
      <c r="QRS1" s="204"/>
      <c r="QRT1" s="204"/>
      <c r="QRU1" s="204"/>
      <c r="QRV1" s="204"/>
      <c r="QRW1" s="204"/>
      <c r="QRX1" s="204"/>
      <c r="QRY1" s="204"/>
      <c r="QRZ1" s="205"/>
      <c r="QSA1" s="204"/>
      <c r="QSB1" s="204"/>
      <c r="QSC1" s="204"/>
      <c r="QSD1" s="204"/>
      <c r="QSE1" s="204"/>
      <c r="QSF1" s="204"/>
      <c r="QSG1" s="204"/>
      <c r="QSH1" s="204"/>
      <c r="QSI1" s="204"/>
      <c r="QSJ1" s="204"/>
      <c r="QSK1" s="204"/>
      <c r="QSL1" s="204"/>
      <c r="QSM1" s="204"/>
      <c r="QSN1" s="204"/>
      <c r="QSO1" s="204"/>
      <c r="QSP1" s="204"/>
      <c r="QSQ1" s="204"/>
      <c r="QSR1" s="204"/>
      <c r="QSS1" s="204"/>
      <c r="QST1" s="204"/>
      <c r="QSU1" s="204"/>
      <c r="QSV1" s="204"/>
      <c r="QSW1" s="204"/>
      <c r="QSX1" s="204"/>
      <c r="QSY1" s="204"/>
      <c r="QSZ1" s="204"/>
      <c r="QTA1" s="204"/>
      <c r="QTB1" s="205"/>
      <c r="QTC1" s="204"/>
      <c r="QTD1" s="204"/>
      <c r="QTE1" s="204"/>
      <c r="QTF1" s="204"/>
      <c r="QTG1" s="204"/>
      <c r="QTH1" s="204"/>
      <c r="QTI1" s="204"/>
      <c r="QTJ1" s="204"/>
      <c r="QTK1" s="204"/>
      <c r="QTL1" s="204"/>
      <c r="QTM1" s="204"/>
      <c r="QTN1" s="204"/>
      <c r="QTO1" s="204"/>
      <c r="QTP1" s="204"/>
      <c r="QTQ1" s="204"/>
      <c r="QTR1" s="204"/>
      <c r="QTS1" s="204"/>
      <c r="QTT1" s="204"/>
      <c r="QTU1" s="204"/>
      <c r="QTV1" s="204"/>
      <c r="QTW1" s="204"/>
      <c r="QTX1" s="204"/>
      <c r="QTY1" s="204"/>
      <c r="QTZ1" s="204"/>
      <c r="QUA1" s="204"/>
      <c r="QUB1" s="204"/>
      <c r="QUC1" s="204"/>
      <c r="QUD1" s="205"/>
      <c r="QUE1" s="204"/>
      <c r="QUF1" s="204"/>
      <c r="QUG1" s="204"/>
      <c r="QUH1" s="204"/>
      <c r="QUI1" s="204"/>
      <c r="QUJ1" s="204"/>
      <c r="QUK1" s="204"/>
      <c r="QUL1" s="204"/>
      <c r="QUM1" s="204"/>
      <c r="QUN1" s="204"/>
      <c r="QUO1" s="204"/>
      <c r="QUP1" s="204"/>
      <c r="QUQ1" s="204"/>
      <c r="QUR1" s="204"/>
      <c r="QUS1" s="204"/>
      <c r="QUT1" s="204"/>
      <c r="QUU1" s="204"/>
      <c r="QUV1" s="204"/>
      <c r="QUW1" s="204"/>
      <c r="QUX1" s="204"/>
      <c r="QUY1" s="204"/>
      <c r="QUZ1" s="204"/>
      <c r="QVA1" s="204"/>
      <c r="QVB1" s="204"/>
      <c r="QVC1" s="204"/>
      <c r="QVD1" s="204"/>
      <c r="QVE1" s="204"/>
      <c r="QVF1" s="205"/>
      <c r="QVG1" s="204"/>
      <c r="QVH1" s="204"/>
      <c r="QVI1" s="204"/>
      <c r="QVJ1" s="204"/>
      <c r="QVK1" s="204"/>
      <c r="QVL1" s="204"/>
      <c r="QVM1" s="204"/>
      <c r="QVN1" s="204"/>
      <c r="QVO1" s="204"/>
      <c r="QVP1" s="204"/>
      <c r="QVQ1" s="204"/>
      <c r="QVR1" s="204"/>
      <c r="QVS1" s="204"/>
      <c r="QVT1" s="204"/>
      <c r="QVU1" s="204"/>
      <c r="QVV1" s="204"/>
      <c r="QVW1" s="204"/>
      <c r="QVX1" s="204"/>
      <c r="QVY1" s="204"/>
      <c r="QVZ1" s="204"/>
      <c r="QWA1" s="204"/>
      <c r="QWB1" s="204"/>
      <c r="QWC1" s="204"/>
      <c r="QWD1" s="204"/>
      <c r="QWE1" s="204"/>
      <c r="QWF1" s="204"/>
      <c r="QWG1" s="204"/>
      <c r="QWH1" s="205"/>
      <c r="QWI1" s="204"/>
      <c r="QWJ1" s="204"/>
      <c r="QWK1" s="204"/>
      <c r="QWL1" s="204"/>
      <c r="QWM1" s="204"/>
      <c r="QWN1" s="204"/>
      <c r="QWO1" s="204"/>
      <c r="QWP1" s="204"/>
      <c r="QWQ1" s="204"/>
      <c r="QWR1" s="204"/>
      <c r="QWS1" s="204"/>
      <c r="QWT1" s="204"/>
      <c r="QWU1" s="204"/>
      <c r="QWV1" s="204"/>
      <c r="QWW1" s="204"/>
      <c r="QWX1" s="204"/>
      <c r="QWY1" s="204"/>
      <c r="QWZ1" s="204"/>
      <c r="QXA1" s="204"/>
      <c r="QXB1" s="204"/>
      <c r="QXC1" s="204"/>
      <c r="QXD1" s="204"/>
      <c r="QXE1" s="204"/>
      <c r="QXF1" s="204"/>
      <c r="QXG1" s="204"/>
      <c r="QXH1" s="204"/>
      <c r="QXI1" s="204"/>
      <c r="QXJ1" s="205"/>
      <c r="QXK1" s="204"/>
      <c r="QXL1" s="204"/>
      <c r="QXM1" s="204"/>
      <c r="QXN1" s="204"/>
      <c r="QXO1" s="204"/>
      <c r="QXP1" s="204"/>
      <c r="QXQ1" s="204"/>
      <c r="QXR1" s="204"/>
      <c r="QXS1" s="204"/>
      <c r="QXT1" s="204"/>
      <c r="QXU1" s="204"/>
      <c r="QXV1" s="204"/>
      <c r="QXW1" s="204"/>
      <c r="QXX1" s="204"/>
      <c r="QXY1" s="204"/>
      <c r="QXZ1" s="204"/>
      <c r="QYA1" s="204"/>
      <c r="QYB1" s="204"/>
      <c r="QYC1" s="204"/>
      <c r="QYD1" s="204"/>
      <c r="QYE1" s="204"/>
      <c r="QYF1" s="204"/>
      <c r="QYG1" s="204"/>
      <c r="QYH1" s="204"/>
      <c r="QYI1" s="204"/>
      <c r="QYJ1" s="204"/>
      <c r="QYK1" s="204"/>
      <c r="QYL1" s="205"/>
      <c r="QYM1" s="204"/>
      <c r="QYN1" s="204"/>
      <c r="QYO1" s="204"/>
      <c r="QYP1" s="204"/>
      <c r="QYQ1" s="204"/>
      <c r="QYR1" s="204"/>
      <c r="QYS1" s="204"/>
      <c r="QYT1" s="204"/>
      <c r="QYU1" s="204"/>
      <c r="QYV1" s="204"/>
      <c r="QYW1" s="204"/>
      <c r="QYX1" s="204"/>
      <c r="QYY1" s="204"/>
      <c r="QYZ1" s="204"/>
      <c r="QZA1" s="204"/>
      <c r="QZB1" s="204"/>
      <c r="QZC1" s="204"/>
      <c r="QZD1" s="204"/>
      <c r="QZE1" s="204"/>
      <c r="QZF1" s="204"/>
      <c r="QZG1" s="204"/>
      <c r="QZH1" s="204"/>
      <c r="QZI1" s="204"/>
      <c r="QZJ1" s="204"/>
      <c r="QZK1" s="204"/>
      <c r="QZL1" s="204"/>
      <c r="QZM1" s="204"/>
      <c r="QZN1" s="205"/>
      <c r="QZO1" s="204"/>
      <c r="QZP1" s="204"/>
      <c r="QZQ1" s="204"/>
      <c r="QZR1" s="204"/>
      <c r="QZS1" s="204"/>
      <c r="QZT1" s="204"/>
      <c r="QZU1" s="204"/>
      <c r="QZV1" s="204"/>
      <c r="QZW1" s="204"/>
      <c r="QZX1" s="204"/>
      <c r="QZY1" s="204"/>
      <c r="QZZ1" s="204"/>
      <c r="RAA1" s="204"/>
      <c r="RAB1" s="204"/>
      <c r="RAC1" s="204"/>
      <c r="RAD1" s="204"/>
      <c r="RAE1" s="204"/>
      <c r="RAF1" s="204"/>
      <c r="RAG1" s="204"/>
      <c r="RAH1" s="204"/>
      <c r="RAI1" s="204"/>
      <c r="RAJ1" s="204"/>
      <c r="RAK1" s="204"/>
      <c r="RAL1" s="204"/>
      <c r="RAM1" s="204"/>
      <c r="RAN1" s="204"/>
      <c r="RAO1" s="204"/>
      <c r="RAP1" s="205"/>
      <c r="RAQ1" s="204"/>
      <c r="RAR1" s="204"/>
      <c r="RAS1" s="204"/>
      <c r="RAT1" s="204"/>
      <c r="RAU1" s="204"/>
      <c r="RAV1" s="204"/>
      <c r="RAW1" s="204"/>
      <c r="RAX1" s="204"/>
      <c r="RAY1" s="204"/>
      <c r="RAZ1" s="204"/>
      <c r="RBA1" s="204"/>
      <c r="RBB1" s="204"/>
      <c r="RBC1" s="204"/>
      <c r="RBD1" s="204"/>
      <c r="RBE1" s="204"/>
      <c r="RBF1" s="204"/>
      <c r="RBG1" s="204"/>
      <c r="RBH1" s="204"/>
      <c r="RBI1" s="204"/>
      <c r="RBJ1" s="204"/>
      <c r="RBK1" s="204"/>
      <c r="RBL1" s="204"/>
      <c r="RBM1" s="204"/>
      <c r="RBN1" s="204"/>
      <c r="RBO1" s="204"/>
      <c r="RBP1" s="204"/>
      <c r="RBQ1" s="204"/>
      <c r="RBR1" s="205"/>
      <c r="RBS1" s="204"/>
      <c r="RBT1" s="204"/>
      <c r="RBU1" s="204"/>
      <c r="RBV1" s="204"/>
      <c r="RBW1" s="204"/>
      <c r="RBX1" s="204"/>
      <c r="RBY1" s="204"/>
      <c r="RBZ1" s="204"/>
      <c r="RCA1" s="204"/>
      <c r="RCB1" s="204"/>
      <c r="RCC1" s="204"/>
      <c r="RCD1" s="204"/>
      <c r="RCE1" s="204"/>
      <c r="RCF1" s="204"/>
      <c r="RCG1" s="204"/>
      <c r="RCH1" s="204"/>
      <c r="RCI1" s="204"/>
      <c r="RCJ1" s="204"/>
      <c r="RCK1" s="204"/>
      <c r="RCL1" s="204"/>
      <c r="RCM1" s="204"/>
      <c r="RCN1" s="204"/>
      <c r="RCO1" s="204"/>
      <c r="RCP1" s="204"/>
      <c r="RCQ1" s="204"/>
      <c r="RCR1" s="204"/>
      <c r="RCS1" s="204"/>
      <c r="RCT1" s="205"/>
      <c r="RCU1" s="204"/>
      <c r="RCV1" s="204"/>
      <c r="RCW1" s="204"/>
      <c r="RCX1" s="204"/>
      <c r="RCY1" s="204"/>
      <c r="RCZ1" s="204"/>
      <c r="RDA1" s="204"/>
      <c r="RDB1" s="204"/>
      <c r="RDC1" s="204"/>
      <c r="RDD1" s="204"/>
      <c r="RDE1" s="204"/>
      <c r="RDF1" s="204"/>
      <c r="RDG1" s="204"/>
      <c r="RDH1" s="204"/>
      <c r="RDI1" s="204"/>
      <c r="RDJ1" s="204"/>
      <c r="RDK1" s="204"/>
      <c r="RDL1" s="204"/>
      <c r="RDM1" s="204"/>
      <c r="RDN1" s="204"/>
      <c r="RDO1" s="204"/>
      <c r="RDP1" s="204"/>
      <c r="RDQ1" s="204"/>
      <c r="RDR1" s="204"/>
      <c r="RDS1" s="204"/>
      <c r="RDT1" s="204"/>
      <c r="RDU1" s="204"/>
      <c r="RDV1" s="205"/>
      <c r="RDW1" s="204"/>
      <c r="RDX1" s="204"/>
      <c r="RDY1" s="204"/>
      <c r="RDZ1" s="204"/>
      <c r="REA1" s="204"/>
      <c r="REB1" s="204"/>
      <c r="REC1" s="204"/>
      <c r="RED1" s="204"/>
      <c r="REE1" s="204"/>
      <c r="REF1" s="204"/>
      <c r="REG1" s="204"/>
      <c r="REH1" s="204"/>
      <c r="REI1" s="204"/>
      <c r="REJ1" s="204"/>
      <c r="REK1" s="204"/>
      <c r="REL1" s="204"/>
      <c r="REM1" s="204"/>
      <c r="REN1" s="204"/>
      <c r="REO1" s="204"/>
      <c r="REP1" s="204"/>
      <c r="REQ1" s="204"/>
      <c r="RER1" s="204"/>
      <c r="RES1" s="204"/>
      <c r="RET1" s="204"/>
      <c r="REU1" s="204"/>
      <c r="REV1" s="204"/>
      <c r="REW1" s="204"/>
      <c r="REX1" s="205"/>
      <c r="REY1" s="204"/>
      <c r="REZ1" s="204"/>
      <c r="RFA1" s="204"/>
      <c r="RFB1" s="204"/>
      <c r="RFC1" s="204"/>
      <c r="RFD1" s="204"/>
      <c r="RFE1" s="204"/>
      <c r="RFF1" s="204"/>
      <c r="RFG1" s="204"/>
      <c r="RFH1" s="204"/>
      <c r="RFI1" s="204"/>
      <c r="RFJ1" s="204"/>
      <c r="RFK1" s="204"/>
      <c r="RFL1" s="204"/>
      <c r="RFM1" s="204"/>
      <c r="RFN1" s="204"/>
      <c r="RFO1" s="204"/>
      <c r="RFP1" s="204"/>
      <c r="RFQ1" s="204"/>
      <c r="RFR1" s="204"/>
      <c r="RFS1" s="204"/>
      <c r="RFT1" s="204"/>
      <c r="RFU1" s="204"/>
      <c r="RFV1" s="204"/>
      <c r="RFW1" s="204"/>
      <c r="RFX1" s="204"/>
      <c r="RFY1" s="204"/>
      <c r="RFZ1" s="205"/>
      <c r="RGA1" s="204"/>
      <c r="RGB1" s="204"/>
      <c r="RGC1" s="204"/>
      <c r="RGD1" s="204"/>
      <c r="RGE1" s="204"/>
      <c r="RGF1" s="204"/>
      <c r="RGG1" s="204"/>
      <c r="RGH1" s="204"/>
      <c r="RGI1" s="204"/>
      <c r="RGJ1" s="204"/>
      <c r="RGK1" s="204"/>
      <c r="RGL1" s="204"/>
      <c r="RGM1" s="204"/>
      <c r="RGN1" s="204"/>
      <c r="RGO1" s="204"/>
      <c r="RGP1" s="204"/>
      <c r="RGQ1" s="204"/>
      <c r="RGR1" s="204"/>
      <c r="RGS1" s="204"/>
      <c r="RGT1" s="204"/>
      <c r="RGU1" s="204"/>
      <c r="RGV1" s="204"/>
      <c r="RGW1" s="204"/>
      <c r="RGX1" s="204"/>
      <c r="RGY1" s="204"/>
      <c r="RGZ1" s="204"/>
      <c r="RHA1" s="204"/>
      <c r="RHB1" s="205"/>
      <c r="RHC1" s="204"/>
      <c r="RHD1" s="204"/>
      <c r="RHE1" s="204"/>
      <c r="RHF1" s="204"/>
      <c r="RHG1" s="204"/>
      <c r="RHH1" s="204"/>
      <c r="RHI1" s="204"/>
      <c r="RHJ1" s="204"/>
      <c r="RHK1" s="204"/>
      <c r="RHL1" s="204"/>
      <c r="RHM1" s="204"/>
      <c r="RHN1" s="204"/>
      <c r="RHO1" s="204"/>
      <c r="RHP1" s="204"/>
      <c r="RHQ1" s="204"/>
      <c r="RHR1" s="204"/>
      <c r="RHS1" s="204"/>
      <c r="RHT1" s="204"/>
      <c r="RHU1" s="204"/>
      <c r="RHV1" s="204"/>
      <c r="RHW1" s="204"/>
      <c r="RHX1" s="204"/>
      <c r="RHY1" s="204"/>
      <c r="RHZ1" s="204"/>
      <c r="RIA1" s="204"/>
      <c r="RIB1" s="204"/>
      <c r="RIC1" s="204"/>
      <c r="RID1" s="205"/>
      <c r="RIE1" s="204"/>
      <c r="RIF1" s="204"/>
      <c r="RIG1" s="204"/>
      <c r="RIH1" s="204"/>
      <c r="RII1" s="204"/>
      <c r="RIJ1" s="204"/>
      <c r="RIK1" s="204"/>
      <c r="RIL1" s="204"/>
      <c r="RIM1" s="204"/>
      <c r="RIN1" s="204"/>
      <c r="RIO1" s="204"/>
      <c r="RIP1" s="204"/>
      <c r="RIQ1" s="204"/>
      <c r="RIR1" s="204"/>
      <c r="RIS1" s="204"/>
      <c r="RIT1" s="204"/>
      <c r="RIU1" s="204"/>
      <c r="RIV1" s="204"/>
      <c r="RIW1" s="204"/>
      <c r="RIX1" s="204"/>
      <c r="RIY1" s="204"/>
      <c r="RIZ1" s="204"/>
      <c r="RJA1" s="204"/>
      <c r="RJB1" s="204"/>
      <c r="RJC1" s="204"/>
      <c r="RJD1" s="204"/>
      <c r="RJE1" s="204"/>
      <c r="RJF1" s="205"/>
      <c r="RJG1" s="204"/>
      <c r="RJH1" s="204"/>
      <c r="RJI1" s="204"/>
      <c r="RJJ1" s="204"/>
      <c r="RJK1" s="204"/>
      <c r="RJL1" s="204"/>
      <c r="RJM1" s="204"/>
      <c r="RJN1" s="204"/>
      <c r="RJO1" s="204"/>
      <c r="RJP1" s="204"/>
      <c r="RJQ1" s="204"/>
      <c r="RJR1" s="204"/>
      <c r="RJS1" s="204"/>
      <c r="RJT1" s="204"/>
      <c r="RJU1" s="204"/>
      <c r="RJV1" s="204"/>
      <c r="RJW1" s="204"/>
      <c r="RJX1" s="204"/>
      <c r="RJY1" s="204"/>
      <c r="RJZ1" s="204"/>
      <c r="RKA1" s="204"/>
      <c r="RKB1" s="204"/>
      <c r="RKC1" s="204"/>
      <c r="RKD1" s="204"/>
      <c r="RKE1" s="204"/>
      <c r="RKF1" s="204"/>
      <c r="RKG1" s="204"/>
      <c r="RKH1" s="205"/>
      <c r="RKI1" s="204"/>
      <c r="RKJ1" s="204"/>
      <c r="RKK1" s="204"/>
      <c r="RKL1" s="204"/>
      <c r="RKM1" s="204"/>
      <c r="RKN1" s="204"/>
      <c r="RKO1" s="204"/>
      <c r="RKP1" s="204"/>
      <c r="RKQ1" s="204"/>
      <c r="RKR1" s="204"/>
      <c r="RKS1" s="204"/>
      <c r="RKT1" s="204"/>
      <c r="RKU1" s="204"/>
      <c r="RKV1" s="204"/>
      <c r="RKW1" s="204"/>
      <c r="RKX1" s="204"/>
      <c r="RKY1" s="204"/>
      <c r="RKZ1" s="204"/>
      <c r="RLA1" s="204"/>
      <c r="RLB1" s="204"/>
      <c r="RLC1" s="204"/>
      <c r="RLD1" s="204"/>
      <c r="RLE1" s="204"/>
      <c r="RLF1" s="204"/>
      <c r="RLG1" s="204"/>
      <c r="RLH1" s="204"/>
      <c r="RLI1" s="204"/>
      <c r="RLJ1" s="205"/>
      <c r="RLK1" s="204"/>
      <c r="RLL1" s="204"/>
      <c r="RLM1" s="204"/>
      <c r="RLN1" s="204"/>
      <c r="RLO1" s="204"/>
      <c r="RLP1" s="204"/>
      <c r="RLQ1" s="204"/>
      <c r="RLR1" s="204"/>
      <c r="RLS1" s="204"/>
      <c r="RLT1" s="204"/>
      <c r="RLU1" s="204"/>
      <c r="RLV1" s="204"/>
      <c r="RLW1" s="204"/>
      <c r="RLX1" s="204"/>
      <c r="RLY1" s="204"/>
      <c r="RLZ1" s="204"/>
      <c r="RMA1" s="204"/>
      <c r="RMB1" s="204"/>
      <c r="RMC1" s="204"/>
      <c r="RMD1" s="204"/>
      <c r="RME1" s="204"/>
      <c r="RMF1" s="204"/>
      <c r="RMG1" s="204"/>
      <c r="RMH1" s="204"/>
      <c r="RMI1" s="204"/>
      <c r="RMJ1" s="204"/>
      <c r="RMK1" s="204"/>
      <c r="RML1" s="205"/>
      <c r="RMM1" s="204"/>
      <c r="RMN1" s="204"/>
      <c r="RMO1" s="204"/>
      <c r="RMP1" s="204"/>
      <c r="RMQ1" s="204"/>
      <c r="RMR1" s="204"/>
      <c r="RMS1" s="204"/>
      <c r="RMT1" s="204"/>
      <c r="RMU1" s="204"/>
      <c r="RMV1" s="204"/>
      <c r="RMW1" s="204"/>
      <c r="RMX1" s="204"/>
      <c r="RMY1" s="204"/>
      <c r="RMZ1" s="204"/>
      <c r="RNA1" s="204"/>
      <c r="RNB1" s="204"/>
      <c r="RNC1" s="204"/>
      <c r="RND1" s="204"/>
      <c r="RNE1" s="204"/>
      <c r="RNF1" s="204"/>
      <c r="RNG1" s="204"/>
      <c r="RNH1" s="204"/>
      <c r="RNI1" s="204"/>
      <c r="RNJ1" s="204"/>
      <c r="RNK1" s="204"/>
      <c r="RNL1" s="204"/>
      <c r="RNM1" s="204"/>
      <c r="RNN1" s="205"/>
      <c r="RNO1" s="204"/>
      <c r="RNP1" s="204"/>
      <c r="RNQ1" s="204"/>
      <c r="RNR1" s="204"/>
      <c r="RNS1" s="204"/>
      <c r="RNT1" s="204"/>
      <c r="RNU1" s="204"/>
      <c r="RNV1" s="204"/>
      <c r="RNW1" s="204"/>
      <c r="RNX1" s="204"/>
      <c r="RNY1" s="204"/>
      <c r="RNZ1" s="204"/>
      <c r="ROA1" s="204"/>
      <c r="ROB1" s="204"/>
      <c r="ROC1" s="204"/>
      <c r="ROD1" s="204"/>
      <c r="ROE1" s="204"/>
      <c r="ROF1" s="204"/>
      <c r="ROG1" s="204"/>
      <c r="ROH1" s="204"/>
      <c r="ROI1" s="204"/>
      <c r="ROJ1" s="204"/>
      <c r="ROK1" s="204"/>
      <c r="ROL1" s="204"/>
      <c r="ROM1" s="204"/>
      <c r="RON1" s="204"/>
      <c r="ROO1" s="204"/>
      <c r="ROP1" s="205"/>
      <c r="ROQ1" s="204"/>
      <c r="ROR1" s="204"/>
      <c r="ROS1" s="204"/>
      <c r="ROT1" s="204"/>
      <c r="ROU1" s="204"/>
      <c r="ROV1" s="204"/>
      <c r="ROW1" s="204"/>
      <c r="ROX1" s="204"/>
      <c r="ROY1" s="204"/>
      <c r="ROZ1" s="204"/>
      <c r="RPA1" s="204"/>
      <c r="RPB1" s="204"/>
      <c r="RPC1" s="204"/>
      <c r="RPD1" s="204"/>
      <c r="RPE1" s="204"/>
      <c r="RPF1" s="204"/>
      <c r="RPG1" s="204"/>
      <c r="RPH1" s="204"/>
      <c r="RPI1" s="204"/>
      <c r="RPJ1" s="204"/>
      <c r="RPK1" s="204"/>
      <c r="RPL1" s="204"/>
      <c r="RPM1" s="204"/>
      <c r="RPN1" s="204"/>
      <c r="RPO1" s="204"/>
      <c r="RPP1" s="204"/>
      <c r="RPQ1" s="204"/>
      <c r="RPR1" s="205"/>
      <c r="RPS1" s="204"/>
      <c r="RPT1" s="204"/>
      <c r="RPU1" s="204"/>
      <c r="RPV1" s="204"/>
      <c r="RPW1" s="204"/>
      <c r="RPX1" s="204"/>
      <c r="RPY1" s="204"/>
      <c r="RPZ1" s="204"/>
      <c r="RQA1" s="204"/>
      <c r="RQB1" s="204"/>
      <c r="RQC1" s="204"/>
      <c r="RQD1" s="204"/>
      <c r="RQE1" s="204"/>
      <c r="RQF1" s="204"/>
      <c r="RQG1" s="204"/>
      <c r="RQH1" s="204"/>
      <c r="RQI1" s="204"/>
      <c r="RQJ1" s="204"/>
      <c r="RQK1" s="204"/>
      <c r="RQL1" s="204"/>
      <c r="RQM1" s="204"/>
      <c r="RQN1" s="204"/>
      <c r="RQO1" s="204"/>
      <c r="RQP1" s="204"/>
      <c r="RQQ1" s="204"/>
      <c r="RQR1" s="204"/>
      <c r="RQS1" s="204"/>
      <c r="RQT1" s="205"/>
      <c r="RQU1" s="204"/>
      <c r="RQV1" s="204"/>
      <c r="RQW1" s="204"/>
      <c r="RQX1" s="204"/>
      <c r="RQY1" s="204"/>
      <c r="RQZ1" s="204"/>
      <c r="RRA1" s="204"/>
      <c r="RRB1" s="204"/>
      <c r="RRC1" s="204"/>
      <c r="RRD1" s="204"/>
      <c r="RRE1" s="204"/>
      <c r="RRF1" s="204"/>
      <c r="RRG1" s="204"/>
      <c r="RRH1" s="204"/>
      <c r="RRI1" s="204"/>
      <c r="RRJ1" s="204"/>
      <c r="RRK1" s="204"/>
      <c r="RRL1" s="204"/>
      <c r="RRM1" s="204"/>
      <c r="RRN1" s="204"/>
      <c r="RRO1" s="204"/>
      <c r="RRP1" s="204"/>
      <c r="RRQ1" s="204"/>
      <c r="RRR1" s="204"/>
      <c r="RRS1" s="204"/>
      <c r="RRT1" s="204"/>
      <c r="RRU1" s="204"/>
      <c r="RRV1" s="205"/>
      <c r="RRW1" s="204"/>
      <c r="RRX1" s="204"/>
      <c r="RRY1" s="204"/>
      <c r="RRZ1" s="204"/>
      <c r="RSA1" s="204"/>
      <c r="RSB1" s="204"/>
      <c r="RSC1" s="204"/>
      <c r="RSD1" s="204"/>
      <c r="RSE1" s="204"/>
      <c r="RSF1" s="204"/>
      <c r="RSG1" s="204"/>
      <c r="RSH1" s="204"/>
      <c r="RSI1" s="204"/>
      <c r="RSJ1" s="204"/>
      <c r="RSK1" s="204"/>
      <c r="RSL1" s="204"/>
      <c r="RSM1" s="204"/>
      <c r="RSN1" s="204"/>
      <c r="RSO1" s="204"/>
      <c r="RSP1" s="204"/>
      <c r="RSQ1" s="204"/>
      <c r="RSR1" s="204"/>
      <c r="RSS1" s="204"/>
      <c r="RST1" s="204"/>
      <c r="RSU1" s="204"/>
      <c r="RSV1" s="204"/>
      <c r="RSW1" s="204"/>
      <c r="RSX1" s="205"/>
      <c r="RSY1" s="204"/>
      <c r="RSZ1" s="204"/>
      <c r="RTA1" s="204"/>
      <c r="RTB1" s="204"/>
      <c r="RTC1" s="204"/>
      <c r="RTD1" s="204"/>
      <c r="RTE1" s="204"/>
      <c r="RTF1" s="204"/>
      <c r="RTG1" s="204"/>
      <c r="RTH1" s="204"/>
      <c r="RTI1" s="204"/>
      <c r="RTJ1" s="204"/>
      <c r="RTK1" s="204"/>
      <c r="RTL1" s="204"/>
      <c r="RTM1" s="204"/>
      <c r="RTN1" s="204"/>
      <c r="RTO1" s="204"/>
      <c r="RTP1" s="204"/>
      <c r="RTQ1" s="204"/>
      <c r="RTR1" s="204"/>
      <c r="RTS1" s="204"/>
      <c r="RTT1" s="204"/>
      <c r="RTU1" s="204"/>
      <c r="RTV1" s="204"/>
      <c r="RTW1" s="204"/>
      <c r="RTX1" s="204"/>
      <c r="RTY1" s="204"/>
      <c r="RTZ1" s="205"/>
      <c r="RUA1" s="204"/>
      <c r="RUB1" s="204"/>
      <c r="RUC1" s="204"/>
      <c r="RUD1" s="204"/>
      <c r="RUE1" s="204"/>
      <c r="RUF1" s="204"/>
      <c r="RUG1" s="204"/>
      <c r="RUH1" s="204"/>
      <c r="RUI1" s="204"/>
      <c r="RUJ1" s="204"/>
      <c r="RUK1" s="204"/>
      <c r="RUL1" s="204"/>
      <c r="RUM1" s="204"/>
      <c r="RUN1" s="204"/>
      <c r="RUO1" s="204"/>
      <c r="RUP1" s="204"/>
      <c r="RUQ1" s="204"/>
      <c r="RUR1" s="204"/>
      <c r="RUS1" s="204"/>
      <c r="RUT1" s="204"/>
      <c r="RUU1" s="204"/>
      <c r="RUV1" s="204"/>
      <c r="RUW1" s="204"/>
      <c r="RUX1" s="204"/>
      <c r="RUY1" s="204"/>
      <c r="RUZ1" s="204"/>
      <c r="RVA1" s="204"/>
      <c r="RVB1" s="205"/>
      <c r="RVC1" s="204"/>
      <c r="RVD1" s="204"/>
      <c r="RVE1" s="204"/>
      <c r="RVF1" s="204"/>
      <c r="RVG1" s="204"/>
      <c r="RVH1" s="204"/>
      <c r="RVI1" s="204"/>
      <c r="RVJ1" s="204"/>
      <c r="RVK1" s="204"/>
      <c r="RVL1" s="204"/>
      <c r="RVM1" s="204"/>
      <c r="RVN1" s="204"/>
      <c r="RVO1" s="204"/>
      <c r="RVP1" s="204"/>
      <c r="RVQ1" s="204"/>
      <c r="RVR1" s="204"/>
      <c r="RVS1" s="204"/>
      <c r="RVT1" s="204"/>
      <c r="RVU1" s="204"/>
      <c r="RVV1" s="204"/>
      <c r="RVW1" s="204"/>
      <c r="RVX1" s="204"/>
      <c r="RVY1" s="204"/>
      <c r="RVZ1" s="204"/>
      <c r="RWA1" s="204"/>
      <c r="RWB1" s="204"/>
      <c r="RWC1" s="204"/>
      <c r="RWD1" s="205"/>
      <c r="RWE1" s="204"/>
      <c r="RWF1" s="204"/>
      <c r="RWG1" s="204"/>
      <c r="RWH1" s="204"/>
      <c r="RWI1" s="204"/>
      <c r="RWJ1" s="204"/>
      <c r="RWK1" s="204"/>
      <c r="RWL1" s="204"/>
      <c r="RWM1" s="204"/>
      <c r="RWN1" s="204"/>
      <c r="RWO1" s="204"/>
      <c r="RWP1" s="204"/>
      <c r="RWQ1" s="204"/>
      <c r="RWR1" s="204"/>
      <c r="RWS1" s="204"/>
      <c r="RWT1" s="204"/>
      <c r="RWU1" s="204"/>
      <c r="RWV1" s="204"/>
      <c r="RWW1" s="204"/>
      <c r="RWX1" s="204"/>
      <c r="RWY1" s="204"/>
      <c r="RWZ1" s="204"/>
      <c r="RXA1" s="204"/>
      <c r="RXB1" s="204"/>
      <c r="RXC1" s="204"/>
      <c r="RXD1" s="204"/>
      <c r="RXE1" s="204"/>
      <c r="RXF1" s="205"/>
      <c r="RXG1" s="204"/>
      <c r="RXH1" s="204"/>
      <c r="RXI1" s="204"/>
      <c r="RXJ1" s="204"/>
      <c r="RXK1" s="204"/>
      <c r="RXL1" s="204"/>
      <c r="RXM1" s="204"/>
      <c r="RXN1" s="204"/>
      <c r="RXO1" s="204"/>
      <c r="RXP1" s="204"/>
      <c r="RXQ1" s="204"/>
      <c r="RXR1" s="204"/>
      <c r="RXS1" s="204"/>
      <c r="RXT1" s="204"/>
      <c r="RXU1" s="204"/>
      <c r="RXV1" s="204"/>
      <c r="RXW1" s="204"/>
      <c r="RXX1" s="204"/>
      <c r="RXY1" s="204"/>
      <c r="RXZ1" s="204"/>
      <c r="RYA1" s="204"/>
      <c r="RYB1" s="204"/>
      <c r="RYC1" s="204"/>
      <c r="RYD1" s="204"/>
      <c r="RYE1" s="204"/>
      <c r="RYF1" s="204"/>
      <c r="RYG1" s="204"/>
      <c r="RYH1" s="205"/>
      <c r="RYI1" s="204"/>
      <c r="RYJ1" s="204"/>
      <c r="RYK1" s="204"/>
      <c r="RYL1" s="204"/>
      <c r="RYM1" s="204"/>
      <c r="RYN1" s="204"/>
      <c r="RYO1" s="204"/>
      <c r="RYP1" s="204"/>
      <c r="RYQ1" s="204"/>
      <c r="RYR1" s="204"/>
      <c r="RYS1" s="204"/>
      <c r="RYT1" s="204"/>
      <c r="RYU1" s="204"/>
      <c r="RYV1" s="204"/>
      <c r="RYW1" s="204"/>
      <c r="RYX1" s="204"/>
      <c r="RYY1" s="204"/>
      <c r="RYZ1" s="204"/>
      <c r="RZA1" s="204"/>
      <c r="RZB1" s="204"/>
      <c r="RZC1" s="204"/>
      <c r="RZD1" s="204"/>
      <c r="RZE1" s="204"/>
      <c r="RZF1" s="204"/>
      <c r="RZG1" s="204"/>
      <c r="RZH1" s="204"/>
      <c r="RZI1" s="204"/>
      <c r="RZJ1" s="205"/>
      <c r="RZK1" s="204"/>
      <c r="RZL1" s="204"/>
      <c r="RZM1" s="204"/>
      <c r="RZN1" s="204"/>
      <c r="RZO1" s="204"/>
      <c r="RZP1" s="204"/>
      <c r="RZQ1" s="204"/>
      <c r="RZR1" s="204"/>
      <c r="RZS1" s="204"/>
      <c r="RZT1" s="204"/>
      <c r="RZU1" s="204"/>
      <c r="RZV1" s="204"/>
      <c r="RZW1" s="204"/>
      <c r="RZX1" s="204"/>
      <c r="RZY1" s="204"/>
      <c r="RZZ1" s="204"/>
      <c r="SAA1" s="204"/>
      <c r="SAB1" s="204"/>
      <c r="SAC1" s="204"/>
      <c r="SAD1" s="204"/>
      <c r="SAE1" s="204"/>
      <c r="SAF1" s="204"/>
      <c r="SAG1" s="204"/>
      <c r="SAH1" s="204"/>
      <c r="SAI1" s="204"/>
      <c r="SAJ1" s="204"/>
      <c r="SAK1" s="204"/>
      <c r="SAL1" s="205"/>
      <c r="SAM1" s="204"/>
      <c r="SAN1" s="204"/>
      <c r="SAO1" s="204"/>
      <c r="SAP1" s="204"/>
      <c r="SAQ1" s="204"/>
      <c r="SAR1" s="204"/>
      <c r="SAS1" s="204"/>
      <c r="SAT1" s="204"/>
      <c r="SAU1" s="204"/>
      <c r="SAV1" s="204"/>
      <c r="SAW1" s="204"/>
      <c r="SAX1" s="204"/>
      <c r="SAY1" s="204"/>
      <c r="SAZ1" s="204"/>
      <c r="SBA1" s="204"/>
      <c r="SBB1" s="204"/>
      <c r="SBC1" s="204"/>
      <c r="SBD1" s="204"/>
      <c r="SBE1" s="204"/>
      <c r="SBF1" s="204"/>
      <c r="SBG1" s="204"/>
      <c r="SBH1" s="204"/>
      <c r="SBI1" s="204"/>
      <c r="SBJ1" s="204"/>
      <c r="SBK1" s="204"/>
      <c r="SBL1" s="204"/>
      <c r="SBM1" s="204"/>
      <c r="SBN1" s="205"/>
      <c r="SBO1" s="204"/>
      <c r="SBP1" s="204"/>
      <c r="SBQ1" s="204"/>
      <c r="SBR1" s="204"/>
      <c r="SBS1" s="204"/>
      <c r="SBT1" s="204"/>
      <c r="SBU1" s="204"/>
      <c r="SBV1" s="204"/>
      <c r="SBW1" s="204"/>
      <c r="SBX1" s="204"/>
      <c r="SBY1" s="204"/>
      <c r="SBZ1" s="204"/>
      <c r="SCA1" s="204"/>
      <c r="SCB1" s="204"/>
      <c r="SCC1" s="204"/>
      <c r="SCD1" s="204"/>
      <c r="SCE1" s="204"/>
      <c r="SCF1" s="204"/>
      <c r="SCG1" s="204"/>
      <c r="SCH1" s="204"/>
      <c r="SCI1" s="204"/>
      <c r="SCJ1" s="204"/>
      <c r="SCK1" s="204"/>
      <c r="SCL1" s="204"/>
      <c r="SCM1" s="204"/>
      <c r="SCN1" s="204"/>
      <c r="SCO1" s="204"/>
      <c r="SCP1" s="205"/>
      <c r="SCQ1" s="204"/>
      <c r="SCR1" s="204"/>
      <c r="SCS1" s="204"/>
      <c r="SCT1" s="204"/>
      <c r="SCU1" s="204"/>
      <c r="SCV1" s="204"/>
      <c r="SCW1" s="204"/>
      <c r="SCX1" s="204"/>
      <c r="SCY1" s="204"/>
      <c r="SCZ1" s="204"/>
      <c r="SDA1" s="204"/>
      <c r="SDB1" s="204"/>
      <c r="SDC1" s="204"/>
      <c r="SDD1" s="204"/>
      <c r="SDE1" s="204"/>
      <c r="SDF1" s="204"/>
      <c r="SDG1" s="204"/>
      <c r="SDH1" s="204"/>
      <c r="SDI1" s="204"/>
      <c r="SDJ1" s="204"/>
      <c r="SDK1" s="204"/>
      <c r="SDL1" s="204"/>
      <c r="SDM1" s="204"/>
      <c r="SDN1" s="204"/>
      <c r="SDO1" s="204"/>
      <c r="SDP1" s="204"/>
      <c r="SDQ1" s="204"/>
      <c r="SDR1" s="205"/>
      <c r="SDS1" s="204"/>
      <c r="SDT1" s="204"/>
      <c r="SDU1" s="204"/>
      <c r="SDV1" s="204"/>
      <c r="SDW1" s="204"/>
      <c r="SDX1" s="204"/>
      <c r="SDY1" s="204"/>
      <c r="SDZ1" s="204"/>
      <c r="SEA1" s="204"/>
      <c r="SEB1" s="204"/>
      <c r="SEC1" s="204"/>
      <c r="SED1" s="204"/>
      <c r="SEE1" s="204"/>
      <c r="SEF1" s="204"/>
      <c r="SEG1" s="204"/>
      <c r="SEH1" s="204"/>
      <c r="SEI1" s="204"/>
      <c r="SEJ1" s="204"/>
      <c r="SEK1" s="204"/>
      <c r="SEL1" s="204"/>
      <c r="SEM1" s="204"/>
      <c r="SEN1" s="204"/>
      <c r="SEO1" s="204"/>
      <c r="SEP1" s="204"/>
      <c r="SEQ1" s="204"/>
      <c r="SER1" s="204"/>
      <c r="SES1" s="204"/>
      <c r="SET1" s="205"/>
      <c r="SEU1" s="204"/>
      <c r="SEV1" s="204"/>
      <c r="SEW1" s="204"/>
      <c r="SEX1" s="204"/>
      <c r="SEY1" s="204"/>
      <c r="SEZ1" s="204"/>
      <c r="SFA1" s="204"/>
      <c r="SFB1" s="204"/>
      <c r="SFC1" s="204"/>
      <c r="SFD1" s="204"/>
      <c r="SFE1" s="204"/>
      <c r="SFF1" s="204"/>
      <c r="SFG1" s="204"/>
      <c r="SFH1" s="204"/>
      <c r="SFI1" s="204"/>
      <c r="SFJ1" s="204"/>
      <c r="SFK1" s="204"/>
      <c r="SFL1" s="204"/>
      <c r="SFM1" s="204"/>
      <c r="SFN1" s="204"/>
      <c r="SFO1" s="204"/>
      <c r="SFP1" s="204"/>
      <c r="SFQ1" s="204"/>
      <c r="SFR1" s="204"/>
      <c r="SFS1" s="204"/>
      <c r="SFT1" s="204"/>
      <c r="SFU1" s="204"/>
      <c r="SFV1" s="205"/>
      <c r="SFW1" s="204"/>
      <c r="SFX1" s="204"/>
      <c r="SFY1" s="204"/>
      <c r="SFZ1" s="204"/>
      <c r="SGA1" s="204"/>
      <c r="SGB1" s="204"/>
      <c r="SGC1" s="204"/>
      <c r="SGD1" s="204"/>
      <c r="SGE1" s="204"/>
      <c r="SGF1" s="204"/>
      <c r="SGG1" s="204"/>
      <c r="SGH1" s="204"/>
      <c r="SGI1" s="204"/>
      <c r="SGJ1" s="204"/>
      <c r="SGK1" s="204"/>
      <c r="SGL1" s="204"/>
      <c r="SGM1" s="204"/>
      <c r="SGN1" s="204"/>
      <c r="SGO1" s="204"/>
      <c r="SGP1" s="204"/>
      <c r="SGQ1" s="204"/>
      <c r="SGR1" s="204"/>
      <c r="SGS1" s="204"/>
      <c r="SGT1" s="204"/>
      <c r="SGU1" s="204"/>
      <c r="SGV1" s="204"/>
      <c r="SGW1" s="204"/>
      <c r="SGX1" s="205"/>
      <c r="SGY1" s="204"/>
      <c r="SGZ1" s="204"/>
      <c r="SHA1" s="204"/>
      <c r="SHB1" s="204"/>
      <c r="SHC1" s="204"/>
      <c r="SHD1" s="204"/>
      <c r="SHE1" s="204"/>
      <c r="SHF1" s="204"/>
      <c r="SHG1" s="204"/>
      <c r="SHH1" s="204"/>
      <c r="SHI1" s="204"/>
      <c r="SHJ1" s="204"/>
      <c r="SHK1" s="204"/>
      <c r="SHL1" s="204"/>
      <c r="SHM1" s="204"/>
      <c r="SHN1" s="204"/>
      <c r="SHO1" s="204"/>
      <c r="SHP1" s="204"/>
      <c r="SHQ1" s="204"/>
      <c r="SHR1" s="204"/>
      <c r="SHS1" s="204"/>
      <c r="SHT1" s="204"/>
      <c r="SHU1" s="204"/>
      <c r="SHV1" s="204"/>
      <c r="SHW1" s="204"/>
      <c r="SHX1" s="204"/>
      <c r="SHY1" s="204"/>
      <c r="SHZ1" s="205"/>
      <c r="SIA1" s="204"/>
      <c r="SIB1" s="204"/>
      <c r="SIC1" s="204"/>
      <c r="SID1" s="204"/>
      <c r="SIE1" s="204"/>
      <c r="SIF1" s="204"/>
      <c r="SIG1" s="204"/>
      <c r="SIH1" s="204"/>
      <c r="SII1" s="204"/>
      <c r="SIJ1" s="204"/>
      <c r="SIK1" s="204"/>
      <c r="SIL1" s="204"/>
      <c r="SIM1" s="204"/>
      <c r="SIN1" s="204"/>
      <c r="SIO1" s="204"/>
      <c r="SIP1" s="204"/>
      <c r="SIQ1" s="204"/>
      <c r="SIR1" s="204"/>
      <c r="SIS1" s="204"/>
      <c r="SIT1" s="204"/>
      <c r="SIU1" s="204"/>
      <c r="SIV1" s="204"/>
      <c r="SIW1" s="204"/>
      <c r="SIX1" s="204"/>
      <c r="SIY1" s="204"/>
      <c r="SIZ1" s="204"/>
      <c r="SJA1" s="204"/>
      <c r="SJB1" s="205"/>
      <c r="SJC1" s="204"/>
      <c r="SJD1" s="204"/>
      <c r="SJE1" s="204"/>
      <c r="SJF1" s="204"/>
      <c r="SJG1" s="204"/>
      <c r="SJH1" s="204"/>
      <c r="SJI1" s="204"/>
      <c r="SJJ1" s="204"/>
      <c r="SJK1" s="204"/>
      <c r="SJL1" s="204"/>
      <c r="SJM1" s="204"/>
      <c r="SJN1" s="204"/>
      <c r="SJO1" s="204"/>
      <c r="SJP1" s="204"/>
      <c r="SJQ1" s="204"/>
      <c r="SJR1" s="204"/>
      <c r="SJS1" s="204"/>
      <c r="SJT1" s="204"/>
      <c r="SJU1" s="204"/>
      <c r="SJV1" s="204"/>
      <c r="SJW1" s="204"/>
      <c r="SJX1" s="204"/>
      <c r="SJY1" s="204"/>
      <c r="SJZ1" s="204"/>
      <c r="SKA1" s="204"/>
      <c r="SKB1" s="204"/>
      <c r="SKC1" s="204"/>
      <c r="SKD1" s="205"/>
      <c r="SKE1" s="204"/>
      <c r="SKF1" s="204"/>
      <c r="SKG1" s="204"/>
      <c r="SKH1" s="204"/>
      <c r="SKI1" s="204"/>
      <c r="SKJ1" s="204"/>
      <c r="SKK1" s="204"/>
      <c r="SKL1" s="204"/>
      <c r="SKM1" s="204"/>
      <c r="SKN1" s="204"/>
      <c r="SKO1" s="204"/>
      <c r="SKP1" s="204"/>
      <c r="SKQ1" s="204"/>
      <c r="SKR1" s="204"/>
      <c r="SKS1" s="204"/>
      <c r="SKT1" s="204"/>
      <c r="SKU1" s="204"/>
      <c r="SKV1" s="204"/>
      <c r="SKW1" s="204"/>
      <c r="SKX1" s="204"/>
      <c r="SKY1" s="204"/>
      <c r="SKZ1" s="204"/>
      <c r="SLA1" s="204"/>
      <c r="SLB1" s="204"/>
      <c r="SLC1" s="204"/>
      <c r="SLD1" s="204"/>
      <c r="SLE1" s="204"/>
      <c r="SLF1" s="205"/>
      <c r="SLG1" s="204"/>
      <c r="SLH1" s="204"/>
      <c r="SLI1" s="204"/>
      <c r="SLJ1" s="204"/>
      <c r="SLK1" s="204"/>
      <c r="SLL1" s="204"/>
      <c r="SLM1" s="204"/>
      <c r="SLN1" s="204"/>
      <c r="SLO1" s="204"/>
      <c r="SLP1" s="204"/>
      <c r="SLQ1" s="204"/>
      <c r="SLR1" s="204"/>
      <c r="SLS1" s="204"/>
      <c r="SLT1" s="204"/>
      <c r="SLU1" s="204"/>
      <c r="SLV1" s="204"/>
      <c r="SLW1" s="204"/>
      <c r="SLX1" s="204"/>
      <c r="SLY1" s="204"/>
      <c r="SLZ1" s="204"/>
      <c r="SMA1" s="204"/>
      <c r="SMB1" s="204"/>
      <c r="SMC1" s="204"/>
      <c r="SMD1" s="204"/>
      <c r="SME1" s="204"/>
      <c r="SMF1" s="204"/>
      <c r="SMG1" s="204"/>
      <c r="SMH1" s="205"/>
      <c r="SMI1" s="204"/>
      <c r="SMJ1" s="204"/>
      <c r="SMK1" s="204"/>
      <c r="SML1" s="204"/>
      <c r="SMM1" s="204"/>
      <c r="SMN1" s="204"/>
      <c r="SMO1" s="204"/>
      <c r="SMP1" s="204"/>
      <c r="SMQ1" s="204"/>
      <c r="SMR1" s="204"/>
      <c r="SMS1" s="204"/>
      <c r="SMT1" s="204"/>
      <c r="SMU1" s="204"/>
      <c r="SMV1" s="204"/>
      <c r="SMW1" s="204"/>
      <c r="SMX1" s="204"/>
      <c r="SMY1" s="204"/>
      <c r="SMZ1" s="204"/>
      <c r="SNA1" s="204"/>
      <c r="SNB1" s="204"/>
      <c r="SNC1" s="204"/>
      <c r="SND1" s="204"/>
      <c r="SNE1" s="204"/>
      <c r="SNF1" s="204"/>
      <c r="SNG1" s="204"/>
      <c r="SNH1" s="204"/>
      <c r="SNI1" s="204"/>
      <c r="SNJ1" s="205"/>
      <c r="SNK1" s="204"/>
      <c r="SNL1" s="204"/>
      <c r="SNM1" s="204"/>
      <c r="SNN1" s="204"/>
      <c r="SNO1" s="204"/>
      <c r="SNP1" s="204"/>
      <c r="SNQ1" s="204"/>
      <c r="SNR1" s="204"/>
      <c r="SNS1" s="204"/>
      <c r="SNT1" s="204"/>
      <c r="SNU1" s="204"/>
      <c r="SNV1" s="204"/>
      <c r="SNW1" s="204"/>
      <c r="SNX1" s="204"/>
      <c r="SNY1" s="204"/>
      <c r="SNZ1" s="204"/>
      <c r="SOA1" s="204"/>
      <c r="SOB1" s="204"/>
      <c r="SOC1" s="204"/>
      <c r="SOD1" s="204"/>
      <c r="SOE1" s="204"/>
      <c r="SOF1" s="204"/>
      <c r="SOG1" s="204"/>
      <c r="SOH1" s="204"/>
      <c r="SOI1" s="204"/>
      <c r="SOJ1" s="204"/>
      <c r="SOK1" s="204"/>
      <c r="SOL1" s="205"/>
      <c r="SOM1" s="204"/>
      <c r="SON1" s="204"/>
      <c r="SOO1" s="204"/>
      <c r="SOP1" s="204"/>
      <c r="SOQ1" s="204"/>
      <c r="SOR1" s="204"/>
      <c r="SOS1" s="204"/>
      <c r="SOT1" s="204"/>
      <c r="SOU1" s="204"/>
      <c r="SOV1" s="204"/>
      <c r="SOW1" s="204"/>
      <c r="SOX1" s="204"/>
      <c r="SOY1" s="204"/>
      <c r="SOZ1" s="204"/>
      <c r="SPA1" s="204"/>
      <c r="SPB1" s="204"/>
      <c r="SPC1" s="204"/>
      <c r="SPD1" s="204"/>
      <c r="SPE1" s="204"/>
      <c r="SPF1" s="204"/>
      <c r="SPG1" s="204"/>
      <c r="SPH1" s="204"/>
      <c r="SPI1" s="204"/>
      <c r="SPJ1" s="204"/>
      <c r="SPK1" s="204"/>
      <c r="SPL1" s="204"/>
      <c r="SPM1" s="204"/>
      <c r="SPN1" s="205"/>
      <c r="SPO1" s="204"/>
      <c r="SPP1" s="204"/>
      <c r="SPQ1" s="204"/>
      <c r="SPR1" s="204"/>
      <c r="SPS1" s="204"/>
      <c r="SPT1" s="204"/>
      <c r="SPU1" s="204"/>
      <c r="SPV1" s="204"/>
      <c r="SPW1" s="204"/>
      <c r="SPX1" s="204"/>
      <c r="SPY1" s="204"/>
      <c r="SPZ1" s="204"/>
      <c r="SQA1" s="204"/>
      <c r="SQB1" s="204"/>
      <c r="SQC1" s="204"/>
      <c r="SQD1" s="204"/>
      <c r="SQE1" s="204"/>
      <c r="SQF1" s="204"/>
      <c r="SQG1" s="204"/>
      <c r="SQH1" s="204"/>
      <c r="SQI1" s="204"/>
      <c r="SQJ1" s="204"/>
      <c r="SQK1" s="204"/>
      <c r="SQL1" s="204"/>
      <c r="SQM1" s="204"/>
      <c r="SQN1" s="204"/>
      <c r="SQO1" s="204"/>
      <c r="SQP1" s="205"/>
      <c r="SQQ1" s="204"/>
      <c r="SQR1" s="204"/>
      <c r="SQS1" s="204"/>
      <c r="SQT1" s="204"/>
      <c r="SQU1" s="204"/>
      <c r="SQV1" s="204"/>
      <c r="SQW1" s="204"/>
      <c r="SQX1" s="204"/>
      <c r="SQY1" s="204"/>
      <c r="SQZ1" s="204"/>
      <c r="SRA1" s="204"/>
      <c r="SRB1" s="204"/>
      <c r="SRC1" s="204"/>
      <c r="SRD1" s="204"/>
      <c r="SRE1" s="204"/>
      <c r="SRF1" s="204"/>
      <c r="SRG1" s="204"/>
      <c r="SRH1" s="204"/>
      <c r="SRI1" s="204"/>
      <c r="SRJ1" s="204"/>
      <c r="SRK1" s="204"/>
      <c r="SRL1" s="204"/>
      <c r="SRM1" s="204"/>
      <c r="SRN1" s="204"/>
      <c r="SRO1" s="204"/>
      <c r="SRP1" s="204"/>
      <c r="SRQ1" s="204"/>
      <c r="SRR1" s="205"/>
      <c r="SRS1" s="204"/>
      <c r="SRT1" s="204"/>
      <c r="SRU1" s="204"/>
      <c r="SRV1" s="204"/>
      <c r="SRW1" s="204"/>
      <c r="SRX1" s="204"/>
      <c r="SRY1" s="204"/>
      <c r="SRZ1" s="204"/>
      <c r="SSA1" s="204"/>
      <c r="SSB1" s="204"/>
      <c r="SSC1" s="204"/>
      <c r="SSD1" s="204"/>
      <c r="SSE1" s="204"/>
      <c r="SSF1" s="204"/>
      <c r="SSG1" s="204"/>
      <c r="SSH1" s="204"/>
      <c r="SSI1" s="204"/>
      <c r="SSJ1" s="204"/>
      <c r="SSK1" s="204"/>
      <c r="SSL1" s="204"/>
      <c r="SSM1" s="204"/>
      <c r="SSN1" s="204"/>
      <c r="SSO1" s="204"/>
      <c r="SSP1" s="204"/>
      <c r="SSQ1" s="204"/>
      <c r="SSR1" s="204"/>
      <c r="SSS1" s="204"/>
      <c r="SST1" s="205"/>
      <c r="SSU1" s="204"/>
      <c r="SSV1" s="204"/>
      <c r="SSW1" s="204"/>
      <c r="SSX1" s="204"/>
      <c r="SSY1" s="204"/>
      <c r="SSZ1" s="204"/>
      <c r="STA1" s="204"/>
      <c r="STB1" s="204"/>
      <c r="STC1" s="204"/>
      <c r="STD1" s="204"/>
      <c r="STE1" s="204"/>
      <c r="STF1" s="204"/>
      <c r="STG1" s="204"/>
      <c r="STH1" s="204"/>
      <c r="STI1" s="204"/>
      <c r="STJ1" s="204"/>
      <c r="STK1" s="204"/>
      <c r="STL1" s="204"/>
      <c r="STM1" s="204"/>
      <c r="STN1" s="204"/>
      <c r="STO1" s="204"/>
      <c r="STP1" s="204"/>
      <c r="STQ1" s="204"/>
      <c r="STR1" s="204"/>
      <c r="STS1" s="204"/>
      <c r="STT1" s="204"/>
      <c r="STU1" s="204"/>
      <c r="STV1" s="205"/>
      <c r="STW1" s="204"/>
      <c r="STX1" s="204"/>
      <c r="STY1" s="204"/>
      <c r="STZ1" s="204"/>
      <c r="SUA1" s="204"/>
      <c r="SUB1" s="204"/>
      <c r="SUC1" s="204"/>
      <c r="SUD1" s="204"/>
      <c r="SUE1" s="204"/>
      <c r="SUF1" s="204"/>
      <c r="SUG1" s="204"/>
      <c r="SUH1" s="204"/>
      <c r="SUI1" s="204"/>
      <c r="SUJ1" s="204"/>
      <c r="SUK1" s="204"/>
      <c r="SUL1" s="204"/>
      <c r="SUM1" s="204"/>
      <c r="SUN1" s="204"/>
      <c r="SUO1" s="204"/>
      <c r="SUP1" s="204"/>
      <c r="SUQ1" s="204"/>
      <c r="SUR1" s="204"/>
      <c r="SUS1" s="204"/>
      <c r="SUT1" s="204"/>
      <c r="SUU1" s="204"/>
      <c r="SUV1" s="204"/>
      <c r="SUW1" s="204"/>
      <c r="SUX1" s="205"/>
      <c r="SUY1" s="204"/>
      <c r="SUZ1" s="204"/>
      <c r="SVA1" s="204"/>
      <c r="SVB1" s="204"/>
      <c r="SVC1" s="204"/>
      <c r="SVD1" s="204"/>
      <c r="SVE1" s="204"/>
      <c r="SVF1" s="204"/>
      <c r="SVG1" s="204"/>
      <c r="SVH1" s="204"/>
      <c r="SVI1" s="204"/>
      <c r="SVJ1" s="204"/>
      <c r="SVK1" s="204"/>
      <c r="SVL1" s="204"/>
      <c r="SVM1" s="204"/>
      <c r="SVN1" s="204"/>
      <c r="SVO1" s="204"/>
      <c r="SVP1" s="204"/>
      <c r="SVQ1" s="204"/>
      <c r="SVR1" s="204"/>
      <c r="SVS1" s="204"/>
      <c r="SVT1" s="204"/>
      <c r="SVU1" s="204"/>
      <c r="SVV1" s="204"/>
      <c r="SVW1" s="204"/>
      <c r="SVX1" s="204"/>
      <c r="SVY1" s="204"/>
      <c r="SVZ1" s="205"/>
      <c r="SWA1" s="204"/>
      <c r="SWB1" s="204"/>
      <c r="SWC1" s="204"/>
      <c r="SWD1" s="204"/>
      <c r="SWE1" s="204"/>
      <c r="SWF1" s="204"/>
      <c r="SWG1" s="204"/>
      <c r="SWH1" s="204"/>
      <c r="SWI1" s="204"/>
      <c r="SWJ1" s="204"/>
      <c r="SWK1" s="204"/>
      <c r="SWL1" s="204"/>
      <c r="SWM1" s="204"/>
      <c r="SWN1" s="204"/>
      <c r="SWO1" s="204"/>
      <c r="SWP1" s="204"/>
      <c r="SWQ1" s="204"/>
      <c r="SWR1" s="204"/>
      <c r="SWS1" s="204"/>
      <c r="SWT1" s="204"/>
      <c r="SWU1" s="204"/>
      <c r="SWV1" s="204"/>
      <c r="SWW1" s="204"/>
      <c r="SWX1" s="204"/>
      <c r="SWY1" s="204"/>
      <c r="SWZ1" s="204"/>
      <c r="SXA1" s="204"/>
      <c r="SXB1" s="205"/>
      <c r="SXC1" s="204"/>
      <c r="SXD1" s="204"/>
      <c r="SXE1" s="204"/>
      <c r="SXF1" s="204"/>
      <c r="SXG1" s="204"/>
      <c r="SXH1" s="204"/>
      <c r="SXI1" s="204"/>
      <c r="SXJ1" s="204"/>
      <c r="SXK1" s="204"/>
      <c r="SXL1" s="204"/>
      <c r="SXM1" s="204"/>
      <c r="SXN1" s="204"/>
      <c r="SXO1" s="204"/>
      <c r="SXP1" s="204"/>
      <c r="SXQ1" s="204"/>
      <c r="SXR1" s="204"/>
      <c r="SXS1" s="204"/>
      <c r="SXT1" s="204"/>
      <c r="SXU1" s="204"/>
      <c r="SXV1" s="204"/>
      <c r="SXW1" s="204"/>
      <c r="SXX1" s="204"/>
      <c r="SXY1" s="204"/>
      <c r="SXZ1" s="204"/>
      <c r="SYA1" s="204"/>
      <c r="SYB1" s="204"/>
      <c r="SYC1" s="204"/>
      <c r="SYD1" s="205"/>
      <c r="SYE1" s="204"/>
      <c r="SYF1" s="204"/>
      <c r="SYG1" s="204"/>
      <c r="SYH1" s="204"/>
      <c r="SYI1" s="204"/>
      <c r="SYJ1" s="204"/>
      <c r="SYK1" s="204"/>
      <c r="SYL1" s="204"/>
      <c r="SYM1" s="204"/>
      <c r="SYN1" s="204"/>
      <c r="SYO1" s="204"/>
      <c r="SYP1" s="204"/>
      <c r="SYQ1" s="204"/>
      <c r="SYR1" s="204"/>
      <c r="SYS1" s="204"/>
      <c r="SYT1" s="204"/>
      <c r="SYU1" s="204"/>
      <c r="SYV1" s="204"/>
      <c r="SYW1" s="204"/>
      <c r="SYX1" s="204"/>
      <c r="SYY1" s="204"/>
      <c r="SYZ1" s="204"/>
      <c r="SZA1" s="204"/>
      <c r="SZB1" s="204"/>
      <c r="SZC1" s="204"/>
      <c r="SZD1" s="204"/>
      <c r="SZE1" s="204"/>
      <c r="SZF1" s="205"/>
      <c r="SZG1" s="204"/>
      <c r="SZH1" s="204"/>
      <c r="SZI1" s="204"/>
      <c r="SZJ1" s="204"/>
      <c r="SZK1" s="204"/>
      <c r="SZL1" s="204"/>
      <c r="SZM1" s="204"/>
      <c r="SZN1" s="204"/>
      <c r="SZO1" s="204"/>
      <c r="SZP1" s="204"/>
      <c r="SZQ1" s="204"/>
      <c r="SZR1" s="204"/>
      <c r="SZS1" s="204"/>
      <c r="SZT1" s="204"/>
      <c r="SZU1" s="204"/>
      <c r="SZV1" s="204"/>
      <c r="SZW1" s="204"/>
      <c r="SZX1" s="204"/>
      <c r="SZY1" s="204"/>
      <c r="SZZ1" s="204"/>
      <c r="TAA1" s="204"/>
      <c r="TAB1" s="204"/>
      <c r="TAC1" s="204"/>
      <c r="TAD1" s="204"/>
      <c r="TAE1" s="204"/>
      <c r="TAF1" s="204"/>
      <c r="TAG1" s="204"/>
      <c r="TAH1" s="205"/>
      <c r="TAI1" s="204"/>
      <c r="TAJ1" s="204"/>
      <c r="TAK1" s="204"/>
      <c r="TAL1" s="204"/>
      <c r="TAM1" s="204"/>
      <c r="TAN1" s="204"/>
      <c r="TAO1" s="204"/>
      <c r="TAP1" s="204"/>
      <c r="TAQ1" s="204"/>
      <c r="TAR1" s="204"/>
      <c r="TAS1" s="204"/>
      <c r="TAT1" s="204"/>
      <c r="TAU1" s="204"/>
      <c r="TAV1" s="204"/>
      <c r="TAW1" s="204"/>
      <c r="TAX1" s="204"/>
      <c r="TAY1" s="204"/>
      <c r="TAZ1" s="204"/>
      <c r="TBA1" s="204"/>
      <c r="TBB1" s="204"/>
      <c r="TBC1" s="204"/>
      <c r="TBD1" s="204"/>
      <c r="TBE1" s="204"/>
      <c r="TBF1" s="204"/>
      <c r="TBG1" s="204"/>
      <c r="TBH1" s="204"/>
      <c r="TBI1" s="204"/>
      <c r="TBJ1" s="205"/>
      <c r="TBK1" s="204"/>
      <c r="TBL1" s="204"/>
      <c r="TBM1" s="204"/>
      <c r="TBN1" s="204"/>
      <c r="TBO1" s="204"/>
      <c r="TBP1" s="204"/>
      <c r="TBQ1" s="204"/>
      <c r="TBR1" s="204"/>
      <c r="TBS1" s="204"/>
      <c r="TBT1" s="204"/>
      <c r="TBU1" s="204"/>
      <c r="TBV1" s="204"/>
      <c r="TBW1" s="204"/>
      <c r="TBX1" s="204"/>
      <c r="TBY1" s="204"/>
      <c r="TBZ1" s="204"/>
      <c r="TCA1" s="204"/>
      <c r="TCB1" s="204"/>
      <c r="TCC1" s="204"/>
      <c r="TCD1" s="204"/>
      <c r="TCE1" s="204"/>
      <c r="TCF1" s="204"/>
      <c r="TCG1" s="204"/>
      <c r="TCH1" s="204"/>
      <c r="TCI1" s="204"/>
      <c r="TCJ1" s="204"/>
      <c r="TCK1" s="204"/>
      <c r="TCL1" s="205"/>
      <c r="TCM1" s="204"/>
      <c r="TCN1" s="204"/>
      <c r="TCO1" s="204"/>
      <c r="TCP1" s="204"/>
      <c r="TCQ1" s="204"/>
      <c r="TCR1" s="204"/>
      <c r="TCS1" s="204"/>
      <c r="TCT1" s="204"/>
      <c r="TCU1" s="204"/>
      <c r="TCV1" s="204"/>
      <c r="TCW1" s="204"/>
      <c r="TCX1" s="204"/>
      <c r="TCY1" s="204"/>
      <c r="TCZ1" s="204"/>
      <c r="TDA1" s="204"/>
      <c r="TDB1" s="204"/>
      <c r="TDC1" s="204"/>
      <c r="TDD1" s="204"/>
      <c r="TDE1" s="204"/>
      <c r="TDF1" s="204"/>
      <c r="TDG1" s="204"/>
      <c r="TDH1" s="204"/>
      <c r="TDI1" s="204"/>
      <c r="TDJ1" s="204"/>
      <c r="TDK1" s="204"/>
      <c r="TDL1" s="204"/>
      <c r="TDM1" s="204"/>
      <c r="TDN1" s="205"/>
      <c r="TDO1" s="204"/>
      <c r="TDP1" s="204"/>
      <c r="TDQ1" s="204"/>
      <c r="TDR1" s="204"/>
      <c r="TDS1" s="204"/>
      <c r="TDT1" s="204"/>
      <c r="TDU1" s="204"/>
      <c r="TDV1" s="204"/>
      <c r="TDW1" s="204"/>
      <c r="TDX1" s="204"/>
      <c r="TDY1" s="204"/>
      <c r="TDZ1" s="204"/>
      <c r="TEA1" s="204"/>
      <c r="TEB1" s="204"/>
      <c r="TEC1" s="204"/>
      <c r="TED1" s="204"/>
      <c r="TEE1" s="204"/>
      <c r="TEF1" s="204"/>
      <c r="TEG1" s="204"/>
      <c r="TEH1" s="204"/>
      <c r="TEI1" s="204"/>
      <c r="TEJ1" s="204"/>
      <c r="TEK1" s="204"/>
      <c r="TEL1" s="204"/>
      <c r="TEM1" s="204"/>
      <c r="TEN1" s="204"/>
      <c r="TEO1" s="204"/>
      <c r="TEP1" s="205"/>
      <c r="TEQ1" s="204"/>
      <c r="TER1" s="204"/>
      <c r="TES1" s="204"/>
      <c r="TET1" s="204"/>
      <c r="TEU1" s="204"/>
      <c r="TEV1" s="204"/>
      <c r="TEW1" s="204"/>
      <c r="TEX1" s="204"/>
      <c r="TEY1" s="204"/>
      <c r="TEZ1" s="204"/>
      <c r="TFA1" s="204"/>
      <c r="TFB1" s="204"/>
      <c r="TFC1" s="204"/>
      <c r="TFD1" s="204"/>
      <c r="TFE1" s="204"/>
      <c r="TFF1" s="204"/>
      <c r="TFG1" s="204"/>
      <c r="TFH1" s="204"/>
      <c r="TFI1" s="204"/>
      <c r="TFJ1" s="204"/>
      <c r="TFK1" s="204"/>
      <c r="TFL1" s="204"/>
      <c r="TFM1" s="204"/>
      <c r="TFN1" s="204"/>
      <c r="TFO1" s="204"/>
      <c r="TFP1" s="204"/>
      <c r="TFQ1" s="204"/>
      <c r="TFR1" s="205"/>
      <c r="TFS1" s="204"/>
      <c r="TFT1" s="204"/>
      <c r="TFU1" s="204"/>
      <c r="TFV1" s="204"/>
      <c r="TFW1" s="204"/>
      <c r="TFX1" s="204"/>
      <c r="TFY1" s="204"/>
      <c r="TFZ1" s="204"/>
      <c r="TGA1" s="204"/>
      <c r="TGB1" s="204"/>
      <c r="TGC1" s="204"/>
      <c r="TGD1" s="204"/>
      <c r="TGE1" s="204"/>
      <c r="TGF1" s="204"/>
      <c r="TGG1" s="204"/>
      <c r="TGH1" s="204"/>
      <c r="TGI1" s="204"/>
      <c r="TGJ1" s="204"/>
      <c r="TGK1" s="204"/>
      <c r="TGL1" s="204"/>
      <c r="TGM1" s="204"/>
      <c r="TGN1" s="204"/>
      <c r="TGO1" s="204"/>
      <c r="TGP1" s="204"/>
      <c r="TGQ1" s="204"/>
      <c r="TGR1" s="204"/>
      <c r="TGS1" s="204"/>
      <c r="TGT1" s="205"/>
      <c r="TGU1" s="204"/>
      <c r="TGV1" s="204"/>
      <c r="TGW1" s="204"/>
      <c r="TGX1" s="204"/>
      <c r="TGY1" s="204"/>
      <c r="TGZ1" s="204"/>
      <c r="THA1" s="204"/>
      <c r="THB1" s="204"/>
      <c r="THC1" s="204"/>
      <c r="THD1" s="204"/>
      <c r="THE1" s="204"/>
      <c r="THF1" s="204"/>
      <c r="THG1" s="204"/>
      <c r="THH1" s="204"/>
      <c r="THI1" s="204"/>
      <c r="THJ1" s="204"/>
      <c r="THK1" s="204"/>
      <c r="THL1" s="204"/>
      <c r="THM1" s="204"/>
      <c r="THN1" s="204"/>
      <c r="THO1" s="204"/>
      <c r="THP1" s="204"/>
      <c r="THQ1" s="204"/>
      <c r="THR1" s="204"/>
      <c r="THS1" s="204"/>
      <c r="THT1" s="204"/>
      <c r="THU1" s="204"/>
      <c r="THV1" s="205"/>
      <c r="THW1" s="204"/>
      <c r="THX1" s="204"/>
      <c r="THY1" s="204"/>
      <c r="THZ1" s="204"/>
      <c r="TIA1" s="204"/>
      <c r="TIB1" s="204"/>
      <c r="TIC1" s="204"/>
      <c r="TID1" s="204"/>
      <c r="TIE1" s="204"/>
      <c r="TIF1" s="204"/>
      <c r="TIG1" s="204"/>
      <c r="TIH1" s="204"/>
      <c r="TII1" s="204"/>
      <c r="TIJ1" s="204"/>
      <c r="TIK1" s="204"/>
      <c r="TIL1" s="204"/>
      <c r="TIM1" s="204"/>
      <c r="TIN1" s="204"/>
      <c r="TIO1" s="204"/>
      <c r="TIP1" s="204"/>
      <c r="TIQ1" s="204"/>
      <c r="TIR1" s="204"/>
      <c r="TIS1" s="204"/>
      <c r="TIT1" s="204"/>
      <c r="TIU1" s="204"/>
      <c r="TIV1" s="204"/>
      <c r="TIW1" s="204"/>
      <c r="TIX1" s="205"/>
      <c r="TIY1" s="204"/>
      <c r="TIZ1" s="204"/>
      <c r="TJA1" s="204"/>
      <c r="TJB1" s="204"/>
      <c r="TJC1" s="204"/>
      <c r="TJD1" s="204"/>
      <c r="TJE1" s="204"/>
      <c r="TJF1" s="204"/>
      <c r="TJG1" s="204"/>
      <c r="TJH1" s="204"/>
      <c r="TJI1" s="204"/>
      <c r="TJJ1" s="204"/>
      <c r="TJK1" s="204"/>
      <c r="TJL1" s="204"/>
      <c r="TJM1" s="204"/>
      <c r="TJN1" s="204"/>
      <c r="TJO1" s="204"/>
      <c r="TJP1" s="204"/>
      <c r="TJQ1" s="204"/>
      <c r="TJR1" s="204"/>
      <c r="TJS1" s="204"/>
      <c r="TJT1" s="204"/>
      <c r="TJU1" s="204"/>
      <c r="TJV1" s="204"/>
      <c r="TJW1" s="204"/>
      <c r="TJX1" s="204"/>
      <c r="TJY1" s="204"/>
      <c r="TJZ1" s="205"/>
      <c r="TKA1" s="204"/>
      <c r="TKB1" s="204"/>
      <c r="TKC1" s="204"/>
      <c r="TKD1" s="204"/>
      <c r="TKE1" s="204"/>
      <c r="TKF1" s="204"/>
      <c r="TKG1" s="204"/>
      <c r="TKH1" s="204"/>
      <c r="TKI1" s="204"/>
      <c r="TKJ1" s="204"/>
      <c r="TKK1" s="204"/>
      <c r="TKL1" s="204"/>
      <c r="TKM1" s="204"/>
      <c r="TKN1" s="204"/>
      <c r="TKO1" s="204"/>
      <c r="TKP1" s="204"/>
      <c r="TKQ1" s="204"/>
      <c r="TKR1" s="204"/>
      <c r="TKS1" s="204"/>
      <c r="TKT1" s="204"/>
      <c r="TKU1" s="204"/>
      <c r="TKV1" s="204"/>
      <c r="TKW1" s="204"/>
      <c r="TKX1" s="204"/>
      <c r="TKY1" s="204"/>
      <c r="TKZ1" s="204"/>
      <c r="TLA1" s="204"/>
      <c r="TLB1" s="205"/>
      <c r="TLC1" s="204"/>
      <c r="TLD1" s="204"/>
      <c r="TLE1" s="204"/>
      <c r="TLF1" s="204"/>
      <c r="TLG1" s="204"/>
      <c r="TLH1" s="204"/>
      <c r="TLI1" s="204"/>
      <c r="TLJ1" s="204"/>
      <c r="TLK1" s="204"/>
      <c r="TLL1" s="204"/>
      <c r="TLM1" s="204"/>
      <c r="TLN1" s="204"/>
      <c r="TLO1" s="204"/>
      <c r="TLP1" s="204"/>
      <c r="TLQ1" s="204"/>
      <c r="TLR1" s="204"/>
      <c r="TLS1" s="204"/>
      <c r="TLT1" s="204"/>
      <c r="TLU1" s="204"/>
      <c r="TLV1" s="204"/>
      <c r="TLW1" s="204"/>
      <c r="TLX1" s="204"/>
      <c r="TLY1" s="204"/>
      <c r="TLZ1" s="204"/>
      <c r="TMA1" s="204"/>
      <c r="TMB1" s="204"/>
      <c r="TMC1" s="204"/>
      <c r="TMD1" s="205"/>
      <c r="TME1" s="204"/>
      <c r="TMF1" s="204"/>
      <c r="TMG1" s="204"/>
      <c r="TMH1" s="204"/>
      <c r="TMI1" s="204"/>
      <c r="TMJ1" s="204"/>
      <c r="TMK1" s="204"/>
      <c r="TML1" s="204"/>
      <c r="TMM1" s="204"/>
      <c r="TMN1" s="204"/>
      <c r="TMO1" s="204"/>
      <c r="TMP1" s="204"/>
      <c r="TMQ1" s="204"/>
      <c r="TMR1" s="204"/>
      <c r="TMS1" s="204"/>
      <c r="TMT1" s="204"/>
      <c r="TMU1" s="204"/>
      <c r="TMV1" s="204"/>
      <c r="TMW1" s="204"/>
      <c r="TMX1" s="204"/>
      <c r="TMY1" s="204"/>
      <c r="TMZ1" s="204"/>
      <c r="TNA1" s="204"/>
      <c r="TNB1" s="204"/>
      <c r="TNC1" s="204"/>
      <c r="TND1" s="204"/>
      <c r="TNE1" s="204"/>
      <c r="TNF1" s="205"/>
      <c r="TNG1" s="204"/>
      <c r="TNH1" s="204"/>
      <c r="TNI1" s="204"/>
      <c r="TNJ1" s="204"/>
      <c r="TNK1" s="204"/>
      <c r="TNL1" s="204"/>
      <c r="TNM1" s="204"/>
      <c r="TNN1" s="204"/>
      <c r="TNO1" s="204"/>
      <c r="TNP1" s="204"/>
      <c r="TNQ1" s="204"/>
      <c r="TNR1" s="204"/>
      <c r="TNS1" s="204"/>
      <c r="TNT1" s="204"/>
      <c r="TNU1" s="204"/>
      <c r="TNV1" s="204"/>
      <c r="TNW1" s="204"/>
      <c r="TNX1" s="204"/>
      <c r="TNY1" s="204"/>
      <c r="TNZ1" s="204"/>
      <c r="TOA1" s="204"/>
      <c r="TOB1" s="204"/>
      <c r="TOC1" s="204"/>
      <c r="TOD1" s="204"/>
      <c r="TOE1" s="204"/>
      <c r="TOF1" s="204"/>
      <c r="TOG1" s="204"/>
      <c r="TOH1" s="205"/>
      <c r="TOI1" s="204"/>
      <c r="TOJ1" s="204"/>
      <c r="TOK1" s="204"/>
      <c r="TOL1" s="204"/>
      <c r="TOM1" s="204"/>
      <c r="TON1" s="204"/>
      <c r="TOO1" s="204"/>
      <c r="TOP1" s="204"/>
      <c r="TOQ1" s="204"/>
      <c r="TOR1" s="204"/>
      <c r="TOS1" s="204"/>
      <c r="TOT1" s="204"/>
      <c r="TOU1" s="204"/>
      <c r="TOV1" s="204"/>
      <c r="TOW1" s="204"/>
      <c r="TOX1" s="204"/>
      <c r="TOY1" s="204"/>
      <c r="TOZ1" s="204"/>
      <c r="TPA1" s="204"/>
      <c r="TPB1" s="204"/>
      <c r="TPC1" s="204"/>
      <c r="TPD1" s="204"/>
      <c r="TPE1" s="204"/>
      <c r="TPF1" s="204"/>
      <c r="TPG1" s="204"/>
      <c r="TPH1" s="204"/>
      <c r="TPI1" s="204"/>
      <c r="TPJ1" s="205"/>
      <c r="TPK1" s="204"/>
      <c r="TPL1" s="204"/>
      <c r="TPM1" s="204"/>
      <c r="TPN1" s="204"/>
      <c r="TPO1" s="204"/>
      <c r="TPP1" s="204"/>
      <c r="TPQ1" s="204"/>
      <c r="TPR1" s="204"/>
      <c r="TPS1" s="204"/>
      <c r="TPT1" s="204"/>
      <c r="TPU1" s="204"/>
      <c r="TPV1" s="204"/>
      <c r="TPW1" s="204"/>
      <c r="TPX1" s="204"/>
      <c r="TPY1" s="204"/>
      <c r="TPZ1" s="204"/>
      <c r="TQA1" s="204"/>
      <c r="TQB1" s="204"/>
      <c r="TQC1" s="204"/>
      <c r="TQD1" s="204"/>
      <c r="TQE1" s="204"/>
      <c r="TQF1" s="204"/>
      <c r="TQG1" s="204"/>
      <c r="TQH1" s="204"/>
      <c r="TQI1" s="204"/>
      <c r="TQJ1" s="204"/>
      <c r="TQK1" s="204"/>
      <c r="TQL1" s="205"/>
      <c r="TQM1" s="204"/>
      <c r="TQN1" s="204"/>
      <c r="TQO1" s="204"/>
      <c r="TQP1" s="204"/>
      <c r="TQQ1" s="204"/>
      <c r="TQR1" s="204"/>
      <c r="TQS1" s="204"/>
      <c r="TQT1" s="204"/>
      <c r="TQU1" s="204"/>
      <c r="TQV1" s="204"/>
      <c r="TQW1" s="204"/>
      <c r="TQX1" s="204"/>
      <c r="TQY1" s="204"/>
      <c r="TQZ1" s="204"/>
      <c r="TRA1" s="204"/>
      <c r="TRB1" s="204"/>
      <c r="TRC1" s="204"/>
      <c r="TRD1" s="204"/>
      <c r="TRE1" s="204"/>
      <c r="TRF1" s="204"/>
      <c r="TRG1" s="204"/>
      <c r="TRH1" s="204"/>
      <c r="TRI1" s="204"/>
      <c r="TRJ1" s="204"/>
      <c r="TRK1" s="204"/>
      <c r="TRL1" s="204"/>
      <c r="TRM1" s="204"/>
      <c r="TRN1" s="205"/>
      <c r="TRO1" s="204"/>
      <c r="TRP1" s="204"/>
      <c r="TRQ1" s="204"/>
      <c r="TRR1" s="204"/>
      <c r="TRS1" s="204"/>
      <c r="TRT1" s="204"/>
      <c r="TRU1" s="204"/>
      <c r="TRV1" s="204"/>
      <c r="TRW1" s="204"/>
      <c r="TRX1" s="204"/>
      <c r="TRY1" s="204"/>
      <c r="TRZ1" s="204"/>
      <c r="TSA1" s="204"/>
      <c r="TSB1" s="204"/>
      <c r="TSC1" s="204"/>
      <c r="TSD1" s="204"/>
      <c r="TSE1" s="204"/>
      <c r="TSF1" s="204"/>
      <c r="TSG1" s="204"/>
      <c r="TSH1" s="204"/>
      <c r="TSI1" s="204"/>
      <c r="TSJ1" s="204"/>
      <c r="TSK1" s="204"/>
      <c r="TSL1" s="204"/>
      <c r="TSM1" s="204"/>
      <c r="TSN1" s="204"/>
      <c r="TSO1" s="204"/>
      <c r="TSP1" s="205"/>
      <c r="TSQ1" s="204"/>
      <c r="TSR1" s="204"/>
      <c r="TSS1" s="204"/>
      <c r="TST1" s="204"/>
      <c r="TSU1" s="204"/>
      <c r="TSV1" s="204"/>
      <c r="TSW1" s="204"/>
      <c r="TSX1" s="204"/>
      <c r="TSY1" s="204"/>
      <c r="TSZ1" s="204"/>
      <c r="TTA1" s="204"/>
      <c r="TTB1" s="204"/>
      <c r="TTC1" s="204"/>
      <c r="TTD1" s="204"/>
      <c r="TTE1" s="204"/>
      <c r="TTF1" s="204"/>
      <c r="TTG1" s="204"/>
      <c r="TTH1" s="204"/>
      <c r="TTI1" s="204"/>
      <c r="TTJ1" s="204"/>
      <c r="TTK1" s="204"/>
      <c r="TTL1" s="204"/>
      <c r="TTM1" s="204"/>
      <c r="TTN1" s="204"/>
      <c r="TTO1" s="204"/>
      <c r="TTP1" s="204"/>
      <c r="TTQ1" s="204"/>
      <c r="TTR1" s="205"/>
      <c r="TTS1" s="204"/>
      <c r="TTT1" s="204"/>
      <c r="TTU1" s="204"/>
      <c r="TTV1" s="204"/>
      <c r="TTW1" s="204"/>
      <c r="TTX1" s="204"/>
      <c r="TTY1" s="204"/>
      <c r="TTZ1" s="204"/>
      <c r="TUA1" s="204"/>
      <c r="TUB1" s="204"/>
      <c r="TUC1" s="204"/>
      <c r="TUD1" s="204"/>
      <c r="TUE1" s="204"/>
      <c r="TUF1" s="204"/>
      <c r="TUG1" s="204"/>
      <c r="TUH1" s="204"/>
      <c r="TUI1" s="204"/>
      <c r="TUJ1" s="204"/>
      <c r="TUK1" s="204"/>
      <c r="TUL1" s="204"/>
      <c r="TUM1" s="204"/>
      <c r="TUN1" s="204"/>
      <c r="TUO1" s="204"/>
      <c r="TUP1" s="204"/>
      <c r="TUQ1" s="204"/>
      <c r="TUR1" s="204"/>
      <c r="TUS1" s="204"/>
      <c r="TUT1" s="205"/>
      <c r="TUU1" s="204"/>
      <c r="TUV1" s="204"/>
      <c r="TUW1" s="204"/>
      <c r="TUX1" s="204"/>
      <c r="TUY1" s="204"/>
      <c r="TUZ1" s="204"/>
      <c r="TVA1" s="204"/>
      <c r="TVB1" s="204"/>
      <c r="TVC1" s="204"/>
      <c r="TVD1" s="204"/>
      <c r="TVE1" s="204"/>
      <c r="TVF1" s="204"/>
      <c r="TVG1" s="204"/>
      <c r="TVH1" s="204"/>
      <c r="TVI1" s="204"/>
      <c r="TVJ1" s="204"/>
      <c r="TVK1" s="204"/>
      <c r="TVL1" s="204"/>
      <c r="TVM1" s="204"/>
      <c r="TVN1" s="204"/>
      <c r="TVO1" s="204"/>
      <c r="TVP1" s="204"/>
      <c r="TVQ1" s="204"/>
      <c r="TVR1" s="204"/>
      <c r="TVS1" s="204"/>
      <c r="TVT1" s="204"/>
      <c r="TVU1" s="204"/>
      <c r="TVV1" s="205"/>
      <c r="TVW1" s="204"/>
      <c r="TVX1" s="204"/>
      <c r="TVY1" s="204"/>
      <c r="TVZ1" s="204"/>
      <c r="TWA1" s="204"/>
      <c r="TWB1" s="204"/>
      <c r="TWC1" s="204"/>
      <c r="TWD1" s="204"/>
      <c r="TWE1" s="204"/>
      <c r="TWF1" s="204"/>
      <c r="TWG1" s="204"/>
      <c r="TWH1" s="204"/>
      <c r="TWI1" s="204"/>
      <c r="TWJ1" s="204"/>
      <c r="TWK1" s="204"/>
      <c r="TWL1" s="204"/>
      <c r="TWM1" s="204"/>
      <c r="TWN1" s="204"/>
      <c r="TWO1" s="204"/>
      <c r="TWP1" s="204"/>
      <c r="TWQ1" s="204"/>
      <c r="TWR1" s="204"/>
      <c r="TWS1" s="204"/>
      <c r="TWT1" s="204"/>
      <c r="TWU1" s="204"/>
      <c r="TWV1" s="204"/>
      <c r="TWW1" s="204"/>
      <c r="TWX1" s="205"/>
      <c r="TWY1" s="204"/>
      <c r="TWZ1" s="204"/>
      <c r="TXA1" s="204"/>
      <c r="TXB1" s="204"/>
      <c r="TXC1" s="204"/>
      <c r="TXD1" s="204"/>
      <c r="TXE1" s="204"/>
      <c r="TXF1" s="204"/>
      <c r="TXG1" s="204"/>
      <c r="TXH1" s="204"/>
      <c r="TXI1" s="204"/>
      <c r="TXJ1" s="204"/>
      <c r="TXK1" s="204"/>
      <c r="TXL1" s="204"/>
      <c r="TXM1" s="204"/>
      <c r="TXN1" s="204"/>
      <c r="TXO1" s="204"/>
      <c r="TXP1" s="204"/>
      <c r="TXQ1" s="204"/>
      <c r="TXR1" s="204"/>
      <c r="TXS1" s="204"/>
      <c r="TXT1" s="204"/>
      <c r="TXU1" s="204"/>
      <c r="TXV1" s="204"/>
      <c r="TXW1" s="204"/>
      <c r="TXX1" s="204"/>
      <c r="TXY1" s="204"/>
      <c r="TXZ1" s="205"/>
      <c r="TYA1" s="204"/>
      <c r="TYB1" s="204"/>
      <c r="TYC1" s="204"/>
      <c r="TYD1" s="204"/>
      <c r="TYE1" s="204"/>
      <c r="TYF1" s="204"/>
      <c r="TYG1" s="204"/>
      <c r="TYH1" s="204"/>
      <c r="TYI1" s="204"/>
      <c r="TYJ1" s="204"/>
      <c r="TYK1" s="204"/>
      <c r="TYL1" s="204"/>
      <c r="TYM1" s="204"/>
      <c r="TYN1" s="204"/>
      <c r="TYO1" s="204"/>
      <c r="TYP1" s="204"/>
      <c r="TYQ1" s="204"/>
      <c r="TYR1" s="204"/>
      <c r="TYS1" s="204"/>
      <c r="TYT1" s="204"/>
      <c r="TYU1" s="204"/>
      <c r="TYV1" s="204"/>
      <c r="TYW1" s="204"/>
      <c r="TYX1" s="204"/>
      <c r="TYY1" s="204"/>
      <c r="TYZ1" s="204"/>
      <c r="TZA1" s="204"/>
      <c r="TZB1" s="205"/>
      <c r="TZC1" s="204"/>
      <c r="TZD1" s="204"/>
      <c r="TZE1" s="204"/>
      <c r="TZF1" s="204"/>
      <c r="TZG1" s="204"/>
      <c r="TZH1" s="204"/>
      <c r="TZI1" s="204"/>
      <c r="TZJ1" s="204"/>
      <c r="TZK1" s="204"/>
      <c r="TZL1" s="204"/>
      <c r="TZM1" s="204"/>
      <c r="TZN1" s="204"/>
      <c r="TZO1" s="204"/>
      <c r="TZP1" s="204"/>
      <c r="TZQ1" s="204"/>
      <c r="TZR1" s="204"/>
      <c r="TZS1" s="204"/>
      <c r="TZT1" s="204"/>
      <c r="TZU1" s="204"/>
      <c r="TZV1" s="204"/>
      <c r="TZW1" s="204"/>
      <c r="TZX1" s="204"/>
      <c r="TZY1" s="204"/>
      <c r="TZZ1" s="204"/>
      <c r="UAA1" s="204"/>
      <c r="UAB1" s="204"/>
      <c r="UAC1" s="204"/>
      <c r="UAD1" s="205"/>
      <c r="UAE1" s="204"/>
      <c r="UAF1" s="204"/>
      <c r="UAG1" s="204"/>
      <c r="UAH1" s="204"/>
      <c r="UAI1" s="204"/>
      <c r="UAJ1" s="204"/>
      <c r="UAK1" s="204"/>
      <c r="UAL1" s="204"/>
      <c r="UAM1" s="204"/>
      <c r="UAN1" s="204"/>
      <c r="UAO1" s="204"/>
      <c r="UAP1" s="204"/>
      <c r="UAQ1" s="204"/>
      <c r="UAR1" s="204"/>
      <c r="UAS1" s="204"/>
      <c r="UAT1" s="204"/>
      <c r="UAU1" s="204"/>
      <c r="UAV1" s="204"/>
      <c r="UAW1" s="204"/>
      <c r="UAX1" s="204"/>
      <c r="UAY1" s="204"/>
      <c r="UAZ1" s="204"/>
      <c r="UBA1" s="204"/>
      <c r="UBB1" s="204"/>
      <c r="UBC1" s="204"/>
      <c r="UBD1" s="204"/>
      <c r="UBE1" s="204"/>
      <c r="UBF1" s="205"/>
      <c r="UBG1" s="204"/>
      <c r="UBH1" s="204"/>
      <c r="UBI1" s="204"/>
      <c r="UBJ1" s="204"/>
      <c r="UBK1" s="204"/>
      <c r="UBL1" s="204"/>
      <c r="UBM1" s="204"/>
      <c r="UBN1" s="204"/>
      <c r="UBO1" s="204"/>
      <c r="UBP1" s="204"/>
      <c r="UBQ1" s="204"/>
      <c r="UBR1" s="204"/>
      <c r="UBS1" s="204"/>
      <c r="UBT1" s="204"/>
      <c r="UBU1" s="204"/>
      <c r="UBV1" s="204"/>
      <c r="UBW1" s="204"/>
      <c r="UBX1" s="204"/>
      <c r="UBY1" s="204"/>
      <c r="UBZ1" s="204"/>
      <c r="UCA1" s="204"/>
      <c r="UCB1" s="204"/>
      <c r="UCC1" s="204"/>
      <c r="UCD1" s="204"/>
      <c r="UCE1" s="204"/>
      <c r="UCF1" s="204"/>
      <c r="UCG1" s="204"/>
      <c r="UCH1" s="205"/>
      <c r="UCI1" s="204"/>
      <c r="UCJ1" s="204"/>
      <c r="UCK1" s="204"/>
      <c r="UCL1" s="204"/>
      <c r="UCM1" s="204"/>
      <c r="UCN1" s="204"/>
      <c r="UCO1" s="204"/>
      <c r="UCP1" s="204"/>
      <c r="UCQ1" s="204"/>
      <c r="UCR1" s="204"/>
      <c r="UCS1" s="204"/>
      <c r="UCT1" s="204"/>
      <c r="UCU1" s="204"/>
      <c r="UCV1" s="204"/>
      <c r="UCW1" s="204"/>
      <c r="UCX1" s="204"/>
      <c r="UCY1" s="204"/>
      <c r="UCZ1" s="204"/>
      <c r="UDA1" s="204"/>
      <c r="UDB1" s="204"/>
      <c r="UDC1" s="204"/>
      <c r="UDD1" s="204"/>
      <c r="UDE1" s="204"/>
      <c r="UDF1" s="204"/>
      <c r="UDG1" s="204"/>
      <c r="UDH1" s="204"/>
      <c r="UDI1" s="204"/>
      <c r="UDJ1" s="205"/>
      <c r="UDK1" s="204"/>
      <c r="UDL1" s="204"/>
      <c r="UDM1" s="204"/>
      <c r="UDN1" s="204"/>
      <c r="UDO1" s="204"/>
      <c r="UDP1" s="204"/>
      <c r="UDQ1" s="204"/>
      <c r="UDR1" s="204"/>
      <c r="UDS1" s="204"/>
      <c r="UDT1" s="204"/>
      <c r="UDU1" s="204"/>
      <c r="UDV1" s="204"/>
      <c r="UDW1" s="204"/>
      <c r="UDX1" s="204"/>
      <c r="UDY1" s="204"/>
      <c r="UDZ1" s="204"/>
      <c r="UEA1" s="204"/>
      <c r="UEB1" s="204"/>
      <c r="UEC1" s="204"/>
      <c r="UED1" s="204"/>
      <c r="UEE1" s="204"/>
      <c r="UEF1" s="204"/>
      <c r="UEG1" s="204"/>
      <c r="UEH1" s="204"/>
      <c r="UEI1" s="204"/>
      <c r="UEJ1" s="204"/>
      <c r="UEK1" s="204"/>
      <c r="UEL1" s="205"/>
      <c r="UEM1" s="204"/>
      <c r="UEN1" s="204"/>
      <c r="UEO1" s="204"/>
      <c r="UEP1" s="204"/>
      <c r="UEQ1" s="204"/>
      <c r="UER1" s="204"/>
      <c r="UES1" s="204"/>
      <c r="UET1" s="204"/>
      <c r="UEU1" s="204"/>
      <c r="UEV1" s="204"/>
      <c r="UEW1" s="204"/>
      <c r="UEX1" s="204"/>
      <c r="UEY1" s="204"/>
      <c r="UEZ1" s="204"/>
      <c r="UFA1" s="204"/>
      <c r="UFB1" s="204"/>
      <c r="UFC1" s="204"/>
      <c r="UFD1" s="204"/>
      <c r="UFE1" s="204"/>
      <c r="UFF1" s="204"/>
      <c r="UFG1" s="204"/>
      <c r="UFH1" s="204"/>
      <c r="UFI1" s="204"/>
      <c r="UFJ1" s="204"/>
      <c r="UFK1" s="204"/>
      <c r="UFL1" s="204"/>
      <c r="UFM1" s="204"/>
      <c r="UFN1" s="205"/>
      <c r="UFO1" s="204"/>
      <c r="UFP1" s="204"/>
      <c r="UFQ1" s="204"/>
      <c r="UFR1" s="204"/>
      <c r="UFS1" s="204"/>
      <c r="UFT1" s="204"/>
      <c r="UFU1" s="204"/>
      <c r="UFV1" s="204"/>
      <c r="UFW1" s="204"/>
      <c r="UFX1" s="204"/>
      <c r="UFY1" s="204"/>
      <c r="UFZ1" s="204"/>
      <c r="UGA1" s="204"/>
      <c r="UGB1" s="204"/>
      <c r="UGC1" s="204"/>
      <c r="UGD1" s="204"/>
      <c r="UGE1" s="204"/>
      <c r="UGF1" s="204"/>
      <c r="UGG1" s="204"/>
      <c r="UGH1" s="204"/>
      <c r="UGI1" s="204"/>
      <c r="UGJ1" s="204"/>
      <c r="UGK1" s="204"/>
      <c r="UGL1" s="204"/>
      <c r="UGM1" s="204"/>
      <c r="UGN1" s="204"/>
      <c r="UGO1" s="204"/>
      <c r="UGP1" s="205"/>
      <c r="UGQ1" s="204"/>
      <c r="UGR1" s="204"/>
      <c r="UGS1" s="204"/>
      <c r="UGT1" s="204"/>
      <c r="UGU1" s="204"/>
      <c r="UGV1" s="204"/>
      <c r="UGW1" s="204"/>
      <c r="UGX1" s="204"/>
      <c r="UGY1" s="204"/>
      <c r="UGZ1" s="204"/>
      <c r="UHA1" s="204"/>
      <c r="UHB1" s="204"/>
      <c r="UHC1" s="204"/>
      <c r="UHD1" s="204"/>
      <c r="UHE1" s="204"/>
      <c r="UHF1" s="204"/>
      <c r="UHG1" s="204"/>
      <c r="UHH1" s="204"/>
      <c r="UHI1" s="204"/>
      <c r="UHJ1" s="204"/>
      <c r="UHK1" s="204"/>
      <c r="UHL1" s="204"/>
      <c r="UHM1" s="204"/>
      <c r="UHN1" s="204"/>
      <c r="UHO1" s="204"/>
      <c r="UHP1" s="204"/>
      <c r="UHQ1" s="204"/>
      <c r="UHR1" s="205"/>
      <c r="UHS1" s="204"/>
      <c r="UHT1" s="204"/>
      <c r="UHU1" s="204"/>
      <c r="UHV1" s="204"/>
      <c r="UHW1" s="204"/>
      <c r="UHX1" s="204"/>
      <c r="UHY1" s="204"/>
      <c r="UHZ1" s="204"/>
      <c r="UIA1" s="204"/>
      <c r="UIB1" s="204"/>
      <c r="UIC1" s="204"/>
      <c r="UID1" s="204"/>
      <c r="UIE1" s="204"/>
      <c r="UIF1" s="204"/>
      <c r="UIG1" s="204"/>
      <c r="UIH1" s="204"/>
      <c r="UII1" s="204"/>
      <c r="UIJ1" s="204"/>
      <c r="UIK1" s="204"/>
      <c r="UIL1" s="204"/>
      <c r="UIM1" s="204"/>
      <c r="UIN1" s="204"/>
      <c r="UIO1" s="204"/>
      <c r="UIP1" s="204"/>
      <c r="UIQ1" s="204"/>
      <c r="UIR1" s="204"/>
      <c r="UIS1" s="204"/>
      <c r="UIT1" s="205"/>
      <c r="UIU1" s="204"/>
      <c r="UIV1" s="204"/>
      <c r="UIW1" s="204"/>
      <c r="UIX1" s="204"/>
      <c r="UIY1" s="204"/>
      <c r="UIZ1" s="204"/>
      <c r="UJA1" s="204"/>
      <c r="UJB1" s="204"/>
      <c r="UJC1" s="204"/>
      <c r="UJD1" s="204"/>
      <c r="UJE1" s="204"/>
      <c r="UJF1" s="204"/>
      <c r="UJG1" s="204"/>
      <c r="UJH1" s="204"/>
      <c r="UJI1" s="204"/>
      <c r="UJJ1" s="204"/>
      <c r="UJK1" s="204"/>
      <c r="UJL1" s="204"/>
      <c r="UJM1" s="204"/>
      <c r="UJN1" s="204"/>
      <c r="UJO1" s="204"/>
      <c r="UJP1" s="204"/>
      <c r="UJQ1" s="204"/>
      <c r="UJR1" s="204"/>
      <c r="UJS1" s="204"/>
      <c r="UJT1" s="204"/>
      <c r="UJU1" s="204"/>
      <c r="UJV1" s="205"/>
      <c r="UJW1" s="204"/>
      <c r="UJX1" s="204"/>
      <c r="UJY1" s="204"/>
      <c r="UJZ1" s="204"/>
      <c r="UKA1" s="204"/>
      <c r="UKB1" s="204"/>
      <c r="UKC1" s="204"/>
      <c r="UKD1" s="204"/>
      <c r="UKE1" s="204"/>
      <c r="UKF1" s="204"/>
      <c r="UKG1" s="204"/>
      <c r="UKH1" s="204"/>
      <c r="UKI1" s="204"/>
      <c r="UKJ1" s="204"/>
      <c r="UKK1" s="204"/>
      <c r="UKL1" s="204"/>
      <c r="UKM1" s="204"/>
      <c r="UKN1" s="204"/>
      <c r="UKO1" s="204"/>
      <c r="UKP1" s="204"/>
      <c r="UKQ1" s="204"/>
      <c r="UKR1" s="204"/>
      <c r="UKS1" s="204"/>
      <c r="UKT1" s="204"/>
      <c r="UKU1" s="204"/>
      <c r="UKV1" s="204"/>
      <c r="UKW1" s="204"/>
      <c r="UKX1" s="205"/>
      <c r="UKY1" s="204"/>
      <c r="UKZ1" s="204"/>
      <c r="ULA1" s="204"/>
      <c r="ULB1" s="204"/>
      <c r="ULC1" s="204"/>
      <c r="ULD1" s="204"/>
      <c r="ULE1" s="204"/>
      <c r="ULF1" s="204"/>
      <c r="ULG1" s="204"/>
      <c r="ULH1" s="204"/>
      <c r="ULI1" s="204"/>
      <c r="ULJ1" s="204"/>
      <c r="ULK1" s="204"/>
      <c r="ULL1" s="204"/>
      <c r="ULM1" s="204"/>
      <c r="ULN1" s="204"/>
      <c r="ULO1" s="204"/>
      <c r="ULP1" s="204"/>
      <c r="ULQ1" s="204"/>
      <c r="ULR1" s="204"/>
      <c r="ULS1" s="204"/>
      <c r="ULT1" s="204"/>
      <c r="ULU1" s="204"/>
      <c r="ULV1" s="204"/>
      <c r="ULW1" s="204"/>
      <c r="ULX1" s="204"/>
      <c r="ULY1" s="204"/>
      <c r="ULZ1" s="205"/>
      <c r="UMA1" s="204"/>
      <c r="UMB1" s="204"/>
      <c r="UMC1" s="204"/>
      <c r="UMD1" s="204"/>
      <c r="UME1" s="204"/>
      <c r="UMF1" s="204"/>
      <c r="UMG1" s="204"/>
      <c r="UMH1" s="204"/>
      <c r="UMI1" s="204"/>
      <c r="UMJ1" s="204"/>
      <c r="UMK1" s="204"/>
      <c r="UML1" s="204"/>
      <c r="UMM1" s="204"/>
      <c r="UMN1" s="204"/>
      <c r="UMO1" s="204"/>
      <c r="UMP1" s="204"/>
      <c r="UMQ1" s="204"/>
      <c r="UMR1" s="204"/>
      <c r="UMS1" s="204"/>
      <c r="UMT1" s="204"/>
      <c r="UMU1" s="204"/>
      <c r="UMV1" s="204"/>
      <c r="UMW1" s="204"/>
      <c r="UMX1" s="204"/>
      <c r="UMY1" s="204"/>
      <c r="UMZ1" s="204"/>
      <c r="UNA1" s="204"/>
      <c r="UNB1" s="205"/>
      <c r="UNC1" s="204"/>
      <c r="UND1" s="204"/>
      <c r="UNE1" s="204"/>
      <c r="UNF1" s="204"/>
      <c r="UNG1" s="204"/>
      <c r="UNH1" s="204"/>
      <c r="UNI1" s="204"/>
      <c r="UNJ1" s="204"/>
      <c r="UNK1" s="204"/>
      <c r="UNL1" s="204"/>
      <c r="UNM1" s="204"/>
      <c r="UNN1" s="204"/>
      <c r="UNO1" s="204"/>
      <c r="UNP1" s="204"/>
      <c r="UNQ1" s="204"/>
      <c r="UNR1" s="204"/>
      <c r="UNS1" s="204"/>
      <c r="UNT1" s="204"/>
      <c r="UNU1" s="204"/>
      <c r="UNV1" s="204"/>
      <c r="UNW1" s="204"/>
      <c r="UNX1" s="204"/>
      <c r="UNY1" s="204"/>
      <c r="UNZ1" s="204"/>
      <c r="UOA1" s="204"/>
      <c r="UOB1" s="204"/>
      <c r="UOC1" s="204"/>
      <c r="UOD1" s="205"/>
      <c r="UOE1" s="204"/>
      <c r="UOF1" s="204"/>
      <c r="UOG1" s="204"/>
      <c r="UOH1" s="204"/>
      <c r="UOI1" s="204"/>
      <c r="UOJ1" s="204"/>
      <c r="UOK1" s="204"/>
      <c r="UOL1" s="204"/>
      <c r="UOM1" s="204"/>
      <c r="UON1" s="204"/>
      <c r="UOO1" s="204"/>
      <c r="UOP1" s="204"/>
      <c r="UOQ1" s="204"/>
      <c r="UOR1" s="204"/>
      <c r="UOS1" s="204"/>
      <c r="UOT1" s="204"/>
      <c r="UOU1" s="204"/>
      <c r="UOV1" s="204"/>
      <c r="UOW1" s="204"/>
      <c r="UOX1" s="204"/>
      <c r="UOY1" s="204"/>
      <c r="UOZ1" s="204"/>
      <c r="UPA1" s="204"/>
      <c r="UPB1" s="204"/>
      <c r="UPC1" s="204"/>
      <c r="UPD1" s="204"/>
      <c r="UPE1" s="204"/>
      <c r="UPF1" s="205"/>
      <c r="UPG1" s="204"/>
      <c r="UPH1" s="204"/>
      <c r="UPI1" s="204"/>
      <c r="UPJ1" s="204"/>
      <c r="UPK1" s="204"/>
      <c r="UPL1" s="204"/>
      <c r="UPM1" s="204"/>
      <c r="UPN1" s="204"/>
      <c r="UPO1" s="204"/>
      <c r="UPP1" s="204"/>
      <c r="UPQ1" s="204"/>
      <c r="UPR1" s="204"/>
      <c r="UPS1" s="204"/>
      <c r="UPT1" s="204"/>
      <c r="UPU1" s="204"/>
      <c r="UPV1" s="204"/>
      <c r="UPW1" s="204"/>
      <c r="UPX1" s="204"/>
      <c r="UPY1" s="204"/>
      <c r="UPZ1" s="204"/>
      <c r="UQA1" s="204"/>
      <c r="UQB1" s="204"/>
      <c r="UQC1" s="204"/>
      <c r="UQD1" s="204"/>
      <c r="UQE1" s="204"/>
      <c r="UQF1" s="204"/>
      <c r="UQG1" s="204"/>
      <c r="UQH1" s="205"/>
      <c r="UQI1" s="204"/>
      <c r="UQJ1" s="204"/>
      <c r="UQK1" s="204"/>
      <c r="UQL1" s="204"/>
      <c r="UQM1" s="204"/>
      <c r="UQN1" s="204"/>
      <c r="UQO1" s="204"/>
      <c r="UQP1" s="204"/>
      <c r="UQQ1" s="204"/>
      <c r="UQR1" s="204"/>
      <c r="UQS1" s="204"/>
      <c r="UQT1" s="204"/>
      <c r="UQU1" s="204"/>
      <c r="UQV1" s="204"/>
      <c r="UQW1" s="204"/>
      <c r="UQX1" s="204"/>
      <c r="UQY1" s="204"/>
      <c r="UQZ1" s="204"/>
      <c r="URA1" s="204"/>
      <c r="URB1" s="204"/>
      <c r="URC1" s="204"/>
      <c r="URD1" s="204"/>
      <c r="URE1" s="204"/>
      <c r="URF1" s="204"/>
      <c r="URG1" s="204"/>
      <c r="URH1" s="204"/>
      <c r="URI1" s="204"/>
      <c r="URJ1" s="205"/>
      <c r="URK1" s="204"/>
      <c r="URL1" s="204"/>
      <c r="URM1" s="204"/>
      <c r="URN1" s="204"/>
      <c r="URO1" s="204"/>
      <c r="URP1" s="204"/>
      <c r="URQ1" s="204"/>
      <c r="URR1" s="204"/>
      <c r="URS1" s="204"/>
      <c r="URT1" s="204"/>
      <c r="URU1" s="204"/>
      <c r="URV1" s="204"/>
      <c r="URW1" s="204"/>
      <c r="URX1" s="204"/>
      <c r="URY1" s="204"/>
      <c r="URZ1" s="204"/>
      <c r="USA1" s="204"/>
      <c r="USB1" s="204"/>
      <c r="USC1" s="204"/>
      <c r="USD1" s="204"/>
      <c r="USE1" s="204"/>
      <c r="USF1" s="204"/>
      <c r="USG1" s="204"/>
      <c r="USH1" s="204"/>
      <c r="USI1" s="204"/>
      <c r="USJ1" s="204"/>
      <c r="USK1" s="204"/>
      <c r="USL1" s="205"/>
      <c r="USM1" s="204"/>
      <c r="USN1" s="204"/>
      <c r="USO1" s="204"/>
      <c r="USP1" s="204"/>
      <c r="USQ1" s="204"/>
      <c r="USR1" s="204"/>
      <c r="USS1" s="204"/>
      <c r="UST1" s="204"/>
      <c r="USU1" s="204"/>
      <c r="USV1" s="204"/>
      <c r="USW1" s="204"/>
      <c r="USX1" s="204"/>
      <c r="USY1" s="204"/>
      <c r="USZ1" s="204"/>
      <c r="UTA1" s="204"/>
      <c r="UTB1" s="204"/>
      <c r="UTC1" s="204"/>
      <c r="UTD1" s="204"/>
      <c r="UTE1" s="204"/>
      <c r="UTF1" s="204"/>
      <c r="UTG1" s="204"/>
      <c r="UTH1" s="204"/>
      <c r="UTI1" s="204"/>
      <c r="UTJ1" s="204"/>
      <c r="UTK1" s="204"/>
      <c r="UTL1" s="204"/>
      <c r="UTM1" s="204"/>
      <c r="UTN1" s="205"/>
      <c r="UTO1" s="204"/>
      <c r="UTP1" s="204"/>
      <c r="UTQ1" s="204"/>
      <c r="UTR1" s="204"/>
      <c r="UTS1" s="204"/>
      <c r="UTT1" s="204"/>
      <c r="UTU1" s="204"/>
      <c r="UTV1" s="204"/>
      <c r="UTW1" s="204"/>
      <c r="UTX1" s="204"/>
      <c r="UTY1" s="204"/>
      <c r="UTZ1" s="204"/>
      <c r="UUA1" s="204"/>
      <c r="UUB1" s="204"/>
      <c r="UUC1" s="204"/>
      <c r="UUD1" s="204"/>
      <c r="UUE1" s="204"/>
      <c r="UUF1" s="204"/>
      <c r="UUG1" s="204"/>
      <c r="UUH1" s="204"/>
      <c r="UUI1" s="204"/>
      <c r="UUJ1" s="204"/>
      <c r="UUK1" s="204"/>
      <c r="UUL1" s="204"/>
      <c r="UUM1" s="204"/>
      <c r="UUN1" s="204"/>
      <c r="UUO1" s="204"/>
      <c r="UUP1" s="205"/>
      <c r="UUQ1" s="204"/>
      <c r="UUR1" s="204"/>
      <c r="UUS1" s="204"/>
      <c r="UUT1" s="204"/>
      <c r="UUU1" s="204"/>
      <c r="UUV1" s="204"/>
      <c r="UUW1" s="204"/>
      <c r="UUX1" s="204"/>
      <c r="UUY1" s="204"/>
      <c r="UUZ1" s="204"/>
      <c r="UVA1" s="204"/>
      <c r="UVB1" s="204"/>
      <c r="UVC1" s="204"/>
      <c r="UVD1" s="204"/>
      <c r="UVE1" s="204"/>
      <c r="UVF1" s="204"/>
      <c r="UVG1" s="204"/>
      <c r="UVH1" s="204"/>
      <c r="UVI1" s="204"/>
      <c r="UVJ1" s="204"/>
      <c r="UVK1" s="204"/>
      <c r="UVL1" s="204"/>
      <c r="UVM1" s="204"/>
      <c r="UVN1" s="204"/>
      <c r="UVO1" s="204"/>
      <c r="UVP1" s="204"/>
      <c r="UVQ1" s="204"/>
      <c r="UVR1" s="205"/>
      <c r="UVS1" s="204"/>
      <c r="UVT1" s="204"/>
      <c r="UVU1" s="204"/>
      <c r="UVV1" s="204"/>
      <c r="UVW1" s="204"/>
      <c r="UVX1" s="204"/>
      <c r="UVY1" s="204"/>
      <c r="UVZ1" s="204"/>
      <c r="UWA1" s="204"/>
      <c r="UWB1" s="204"/>
      <c r="UWC1" s="204"/>
      <c r="UWD1" s="204"/>
      <c r="UWE1" s="204"/>
      <c r="UWF1" s="204"/>
      <c r="UWG1" s="204"/>
      <c r="UWH1" s="204"/>
      <c r="UWI1" s="204"/>
      <c r="UWJ1" s="204"/>
      <c r="UWK1" s="204"/>
      <c r="UWL1" s="204"/>
      <c r="UWM1" s="204"/>
      <c r="UWN1" s="204"/>
      <c r="UWO1" s="204"/>
      <c r="UWP1" s="204"/>
      <c r="UWQ1" s="204"/>
      <c r="UWR1" s="204"/>
      <c r="UWS1" s="204"/>
      <c r="UWT1" s="205"/>
      <c r="UWU1" s="204"/>
      <c r="UWV1" s="204"/>
      <c r="UWW1" s="204"/>
      <c r="UWX1" s="204"/>
      <c r="UWY1" s="204"/>
      <c r="UWZ1" s="204"/>
      <c r="UXA1" s="204"/>
      <c r="UXB1" s="204"/>
      <c r="UXC1" s="204"/>
      <c r="UXD1" s="204"/>
      <c r="UXE1" s="204"/>
      <c r="UXF1" s="204"/>
      <c r="UXG1" s="204"/>
      <c r="UXH1" s="204"/>
      <c r="UXI1" s="204"/>
      <c r="UXJ1" s="204"/>
      <c r="UXK1" s="204"/>
      <c r="UXL1" s="204"/>
      <c r="UXM1" s="204"/>
      <c r="UXN1" s="204"/>
      <c r="UXO1" s="204"/>
      <c r="UXP1" s="204"/>
      <c r="UXQ1" s="204"/>
      <c r="UXR1" s="204"/>
      <c r="UXS1" s="204"/>
      <c r="UXT1" s="204"/>
      <c r="UXU1" s="204"/>
      <c r="UXV1" s="205"/>
      <c r="UXW1" s="204"/>
      <c r="UXX1" s="204"/>
      <c r="UXY1" s="204"/>
      <c r="UXZ1" s="204"/>
      <c r="UYA1" s="204"/>
      <c r="UYB1" s="204"/>
      <c r="UYC1" s="204"/>
      <c r="UYD1" s="204"/>
      <c r="UYE1" s="204"/>
      <c r="UYF1" s="204"/>
      <c r="UYG1" s="204"/>
      <c r="UYH1" s="204"/>
      <c r="UYI1" s="204"/>
      <c r="UYJ1" s="204"/>
      <c r="UYK1" s="204"/>
      <c r="UYL1" s="204"/>
      <c r="UYM1" s="204"/>
      <c r="UYN1" s="204"/>
      <c r="UYO1" s="204"/>
      <c r="UYP1" s="204"/>
      <c r="UYQ1" s="204"/>
      <c r="UYR1" s="204"/>
      <c r="UYS1" s="204"/>
      <c r="UYT1" s="204"/>
      <c r="UYU1" s="204"/>
      <c r="UYV1" s="204"/>
      <c r="UYW1" s="204"/>
      <c r="UYX1" s="205"/>
      <c r="UYY1" s="204"/>
      <c r="UYZ1" s="204"/>
      <c r="UZA1" s="204"/>
      <c r="UZB1" s="204"/>
      <c r="UZC1" s="204"/>
      <c r="UZD1" s="204"/>
      <c r="UZE1" s="204"/>
      <c r="UZF1" s="204"/>
      <c r="UZG1" s="204"/>
      <c r="UZH1" s="204"/>
      <c r="UZI1" s="204"/>
      <c r="UZJ1" s="204"/>
      <c r="UZK1" s="204"/>
      <c r="UZL1" s="204"/>
      <c r="UZM1" s="204"/>
      <c r="UZN1" s="204"/>
      <c r="UZO1" s="204"/>
      <c r="UZP1" s="204"/>
      <c r="UZQ1" s="204"/>
      <c r="UZR1" s="204"/>
      <c r="UZS1" s="204"/>
      <c r="UZT1" s="204"/>
      <c r="UZU1" s="204"/>
      <c r="UZV1" s="204"/>
      <c r="UZW1" s="204"/>
      <c r="UZX1" s="204"/>
      <c r="UZY1" s="204"/>
      <c r="UZZ1" s="205"/>
      <c r="VAA1" s="204"/>
      <c r="VAB1" s="204"/>
      <c r="VAC1" s="204"/>
      <c r="VAD1" s="204"/>
      <c r="VAE1" s="204"/>
      <c r="VAF1" s="204"/>
      <c r="VAG1" s="204"/>
      <c r="VAH1" s="204"/>
      <c r="VAI1" s="204"/>
      <c r="VAJ1" s="204"/>
      <c r="VAK1" s="204"/>
      <c r="VAL1" s="204"/>
      <c r="VAM1" s="204"/>
      <c r="VAN1" s="204"/>
      <c r="VAO1" s="204"/>
      <c r="VAP1" s="204"/>
      <c r="VAQ1" s="204"/>
      <c r="VAR1" s="204"/>
      <c r="VAS1" s="204"/>
      <c r="VAT1" s="204"/>
      <c r="VAU1" s="204"/>
      <c r="VAV1" s="204"/>
      <c r="VAW1" s="204"/>
      <c r="VAX1" s="204"/>
      <c r="VAY1" s="204"/>
      <c r="VAZ1" s="204"/>
      <c r="VBA1" s="204"/>
      <c r="VBB1" s="205"/>
      <c r="VBC1" s="204"/>
      <c r="VBD1" s="204"/>
      <c r="VBE1" s="204"/>
      <c r="VBF1" s="204"/>
      <c r="VBG1" s="204"/>
      <c r="VBH1" s="204"/>
      <c r="VBI1" s="204"/>
      <c r="VBJ1" s="204"/>
      <c r="VBK1" s="204"/>
      <c r="VBL1" s="204"/>
      <c r="VBM1" s="204"/>
      <c r="VBN1" s="204"/>
      <c r="VBO1" s="204"/>
      <c r="VBP1" s="204"/>
      <c r="VBQ1" s="204"/>
      <c r="VBR1" s="204"/>
      <c r="VBS1" s="204"/>
      <c r="VBT1" s="204"/>
      <c r="VBU1" s="204"/>
      <c r="VBV1" s="204"/>
      <c r="VBW1" s="204"/>
      <c r="VBX1" s="204"/>
      <c r="VBY1" s="204"/>
      <c r="VBZ1" s="204"/>
      <c r="VCA1" s="204"/>
      <c r="VCB1" s="204"/>
      <c r="VCC1" s="204"/>
      <c r="VCD1" s="205"/>
      <c r="VCE1" s="204"/>
      <c r="VCF1" s="204"/>
      <c r="VCG1" s="204"/>
      <c r="VCH1" s="204"/>
      <c r="VCI1" s="204"/>
      <c r="VCJ1" s="204"/>
      <c r="VCK1" s="204"/>
      <c r="VCL1" s="204"/>
      <c r="VCM1" s="204"/>
      <c r="VCN1" s="204"/>
      <c r="VCO1" s="204"/>
      <c r="VCP1" s="204"/>
      <c r="VCQ1" s="204"/>
      <c r="VCR1" s="204"/>
      <c r="VCS1" s="204"/>
      <c r="VCT1" s="204"/>
      <c r="VCU1" s="204"/>
      <c r="VCV1" s="204"/>
      <c r="VCW1" s="204"/>
      <c r="VCX1" s="204"/>
      <c r="VCY1" s="204"/>
      <c r="VCZ1" s="204"/>
      <c r="VDA1" s="204"/>
      <c r="VDB1" s="204"/>
      <c r="VDC1" s="204"/>
      <c r="VDD1" s="204"/>
      <c r="VDE1" s="204"/>
      <c r="VDF1" s="205"/>
      <c r="VDG1" s="204"/>
      <c r="VDH1" s="204"/>
      <c r="VDI1" s="204"/>
      <c r="VDJ1" s="204"/>
      <c r="VDK1" s="204"/>
      <c r="VDL1" s="204"/>
      <c r="VDM1" s="204"/>
      <c r="VDN1" s="204"/>
      <c r="VDO1" s="204"/>
      <c r="VDP1" s="204"/>
      <c r="VDQ1" s="204"/>
      <c r="VDR1" s="204"/>
      <c r="VDS1" s="204"/>
      <c r="VDT1" s="204"/>
      <c r="VDU1" s="204"/>
      <c r="VDV1" s="204"/>
      <c r="VDW1" s="204"/>
      <c r="VDX1" s="204"/>
      <c r="VDY1" s="204"/>
      <c r="VDZ1" s="204"/>
      <c r="VEA1" s="204"/>
      <c r="VEB1" s="204"/>
      <c r="VEC1" s="204"/>
      <c r="VED1" s="204"/>
      <c r="VEE1" s="204"/>
      <c r="VEF1" s="204"/>
      <c r="VEG1" s="204"/>
      <c r="VEH1" s="205"/>
      <c r="VEI1" s="204"/>
      <c r="VEJ1" s="204"/>
      <c r="VEK1" s="204"/>
      <c r="VEL1" s="204"/>
      <c r="VEM1" s="204"/>
      <c r="VEN1" s="204"/>
      <c r="VEO1" s="204"/>
      <c r="VEP1" s="204"/>
      <c r="VEQ1" s="204"/>
      <c r="VER1" s="204"/>
      <c r="VES1" s="204"/>
      <c r="VET1" s="204"/>
      <c r="VEU1" s="204"/>
      <c r="VEV1" s="204"/>
      <c r="VEW1" s="204"/>
      <c r="VEX1" s="204"/>
      <c r="VEY1" s="204"/>
      <c r="VEZ1" s="204"/>
      <c r="VFA1" s="204"/>
      <c r="VFB1" s="204"/>
      <c r="VFC1" s="204"/>
      <c r="VFD1" s="204"/>
      <c r="VFE1" s="204"/>
      <c r="VFF1" s="204"/>
      <c r="VFG1" s="204"/>
      <c r="VFH1" s="204"/>
      <c r="VFI1" s="204"/>
      <c r="VFJ1" s="205"/>
      <c r="VFK1" s="204"/>
      <c r="VFL1" s="204"/>
      <c r="VFM1" s="204"/>
      <c r="VFN1" s="204"/>
      <c r="VFO1" s="204"/>
      <c r="VFP1" s="204"/>
      <c r="VFQ1" s="204"/>
      <c r="VFR1" s="204"/>
      <c r="VFS1" s="204"/>
      <c r="VFT1" s="204"/>
      <c r="VFU1" s="204"/>
      <c r="VFV1" s="204"/>
      <c r="VFW1" s="204"/>
      <c r="VFX1" s="204"/>
      <c r="VFY1" s="204"/>
      <c r="VFZ1" s="204"/>
      <c r="VGA1" s="204"/>
      <c r="VGB1" s="204"/>
      <c r="VGC1" s="204"/>
      <c r="VGD1" s="204"/>
      <c r="VGE1" s="204"/>
      <c r="VGF1" s="204"/>
      <c r="VGG1" s="204"/>
      <c r="VGH1" s="204"/>
      <c r="VGI1" s="204"/>
      <c r="VGJ1" s="204"/>
      <c r="VGK1" s="204"/>
      <c r="VGL1" s="205"/>
      <c r="VGM1" s="204"/>
      <c r="VGN1" s="204"/>
      <c r="VGO1" s="204"/>
      <c r="VGP1" s="204"/>
      <c r="VGQ1" s="204"/>
      <c r="VGR1" s="204"/>
      <c r="VGS1" s="204"/>
      <c r="VGT1" s="204"/>
      <c r="VGU1" s="204"/>
      <c r="VGV1" s="204"/>
      <c r="VGW1" s="204"/>
      <c r="VGX1" s="204"/>
      <c r="VGY1" s="204"/>
      <c r="VGZ1" s="204"/>
      <c r="VHA1" s="204"/>
      <c r="VHB1" s="204"/>
      <c r="VHC1" s="204"/>
      <c r="VHD1" s="204"/>
      <c r="VHE1" s="204"/>
      <c r="VHF1" s="204"/>
      <c r="VHG1" s="204"/>
      <c r="VHH1" s="204"/>
      <c r="VHI1" s="204"/>
      <c r="VHJ1" s="204"/>
      <c r="VHK1" s="204"/>
      <c r="VHL1" s="204"/>
      <c r="VHM1" s="204"/>
      <c r="VHN1" s="205"/>
      <c r="VHO1" s="204"/>
      <c r="VHP1" s="204"/>
      <c r="VHQ1" s="204"/>
      <c r="VHR1" s="204"/>
      <c r="VHS1" s="204"/>
      <c r="VHT1" s="204"/>
      <c r="VHU1" s="204"/>
      <c r="VHV1" s="204"/>
      <c r="VHW1" s="204"/>
      <c r="VHX1" s="204"/>
      <c r="VHY1" s="204"/>
      <c r="VHZ1" s="204"/>
      <c r="VIA1" s="204"/>
      <c r="VIB1" s="204"/>
      <c r="VIC1" s="204"/>
      <c r="VID1" s="204"/>
      <c r="VIE1" s="204"/>
      <c r="VIF1" s="204"/>
      <c r="VIG1" s="204"/>
      <c r="VIH1" s="204"/>
      <c r="VII1" s="204"/>
      <c r="VIJ1" s="204"/>
      <c r="VIK1" s="204"/>
      <c r="VIL1" s="204"/>
      <c r="VIM1" s="204"/>
      <c r="VIN1" s="204"/>
      <c r="VIO1" s="204"/>
      <c r="VIP1" s="205"/>
      <c r="VIQ1" s="204"/>
      <c r="VIR1" s="204"/>
      <c r="VIS1" s="204"/>
      <c r="VIT1" s="204"/>
      <c r="VIU1" s="204"/>
      <c r="VIV1" s="204"/>
      <c r="VIW1" s="204"/>
      <c r="VIX1" s="204"/>
      <c r="VIY1" s="204"/>
      <c r="VIZ1" s="204"/>
      <c r="VJA1" s="204"/>
      <c r="VJB1" s="204"/>
      <c r="VJC1" s="204"/>
      <c r="VJD1" s="204"/>
      <c r="VJE1" s="204"/>
      <c r="VJF1" s="204"/>
      <c r="VJG1" s="204"/>
      <c r="VJH1" s="204"/>
      <c r="VJI1" s="204"/>
      <c r="VJJ1" s="204"/>
      <c r="VJK1" s="204"/>
      <c r="VJL1" s="204"/>
      <c r="VJM1" s="204"/>
      <c r="VJN1" s="204"/>
      <c r="VJO1" s="204"/>
      <c r="VJP1" s="204"/>
      <c r="VJQ1" s="204"/>
      <c r="VJR1" s="205"/>
      <c r="VJS1" s="204"/>
      <c r="VJT1" s="204"/>
      <c r="VJU1" s="204"/>
      <c r="VJV1" s="204"/>
      <c r="VJW1" s="204"/>
      <c r="VJX1" s="204"/>
      <c r="VJY1" s="204"/>
      <c r="VJZ1" s="204"/>
      <c r="VKA1" s="204"/>
      <c r="VKB1" s="204"/>
      <c r="VKC1" s="204"/>
      <c r="VKD1" s="204"/>
      <c r="VKE1" s="204"/>
      <c r="VKF1" s="204"/>
      <c r="VKG1" s="204"/>
      <c r="VKH1" s="204"/>
      <c r="VKI1" s="204"/>
      <c r="VKJ1" s="204"/>
      <c r="VKK1" s="204"/>
      <c r="VKL1" s="204"/>
      <c r="VKM1" s="204"/>
      <c r="VKN1" s="204"/>
      <c r="VKO1" s="204"/>
      <c r="VKP1" s="204"/>
      <c r="VKQ1" s="204"/>
      <c r="VKR1" s="204"/>
      <c r="VKS1" s="204"/>
      <c r="VKT1" s="205"/>
      <c r="VKU1" s="204"/>
      <c r="VKV1" s="204"/>
      <c r="VKW1" s="204"/>
      <c r="VKX1" s="204"/>
      <c r="VKY1" s="204"/>
      <c r="VKZ1" s="204"/>
      <c r="VLA1" s="204"/>
      <c r="VLB1" s="204"/>
      <c r="VLC1" s="204"/>
      <c r="VLD1" s="204"/>
      <c r="VLE1" s="204"/>
      <c r="VLF1" s="204"/>
      <c r="VLG1" s="204"/>
      <c r="VLH1" s="204"/>
      <c r="VLI1" s="204"/>
      <c r="VLJ1" s="204"/>
      <c r="VLK1" s="204"/>
      <c r="VLL1" s="204"/>
      <c r="VLM1" s="204"/>
      <c r="VLN1" s="204"/>
      <c r="VLO1" s="204"/>
      <c r="VLP1" s="204"/>
      <c r="VLQ1" s="204"/>
      <c r="VLR1" s="204"/>
      <c r="VLS1" s="204"/>
      <c r="VLT1" s="204"/>
      <c r="VLU1" s="204"/>
      <c r="VLV1" s="205"/>
      <c r="VLW1" s="204"/>
      <c r="VLX1" s="204"/>
      <c r="VLY1" s="204"/>
      <c r="VLZ1" s="204"/>
      <c r="VMA1" s="204"/>
      <c r="VMB1" s="204"/>
      <c r="VMC1" s="204"/>
      <c r="VMD1" s="204"/>
      <c r="VME1" s="204"/>
      <c r="VMF1" s="204"/>
      <c r="VMG1" s="204"/>
      <c r="VMH1" s="204"/>
      <c r="VMI1" s="204"/>
      <c r="VMJ1" s="204"/>
      <c r="VMK1" s="204"/>
      <c r="VML1" s="204"/>
      <c r="VMM1" s="204"/>
      <c r="VMN1" s="204"/>
      <c r="VMO1" s="204"/>
      <c r="VMP1" s="204"/>
      <c r="VMQ1" s="204"/>
      <c r="VMR1" s="204"/>
      <c r="VMS1" s="204"/>
      <c r="VMT1" s="204"/>
      <c r="VMU1" s="204"/>
      <c r="VMV1" s="204"/>
      <c r="VMW1" s="204"/>
      <c r="VMX1" s="205"/>
      <c r="VMY1" s="204"/>
      <c r="VMZ1" s="204"/>
      <c r="VNA1" s="204"/>
      <c r="VNB1" s="204"/>
      <c r="VNC1" s="204"/>
      <c r="VND1" s="204"/>
      <c r="VNE1" s="204"/>
      <c r="VNF1" s="204"/>
      <c r="VNG1" s="204"/>
      <c r="VNH1" s="204"/>
      <c r="VNI1" s="204"/>
      <c r="VNJ1" s="204"/>
      <c r="VNK1" s="204"/>
      <c r="VNL1" s="204"/>
      <c r="VNM1" s="204"/>
      <c r="VNN1" s="204"/>
      <c r="VNO1" s="204"/>
      <c r="VNP1" s="204"/>
      <c r="VNQ1" s="204"/>
      <c r="VNR1" s="204"/>
      <c r="VNS1" s="204"/>
      <c r="VNT1" s="204"/>
      <c r="VNU1" s="204"/>
      <c r="VNV1" s="204"/>
      <c r="VNW1" s="204"/>
      <c r="VNX1" s="204"/>
      <c r="VNY1" s="204"/>
      <c r="VNZ1" s="205"/>
      <c r="VOA1" s="204"/>
      <c r="VOB1" s="204"/>
      <c r="VOC1" s="204"/>
      <c r="VOD1" s="204"/>
      <c r="VOE1" s="204"/>
      <c r="VOF1" s="204"/>
      <c r="VOG1" s="204"/>
      <c r="VOH1" s="204"/>
      <c r="VOI1" s="204"/>
      <c r="VOJ1" s="204"/>
      <c r="VOK1" s="204"/>
      <c r="VOL1" s="204"/>
      <c r="VOM1" s="204"/>
      <c r="VON1" s="204"/>
      <c r="VOO1" s="204"/>
      <c r="VOP1" s="204"/>
      <c r="VOQ1" s="204"/>
      <c r="VOR1" s="204"/>
      <c r="VOS1" s="204"/>
      <c r="VOT1" s="204"/>
      <c r="VOU1" s="204"/>
      <c r="VOV1" s="204"/>
      <c r="VOW1" s="204"/>
      <c r="VOX1" s="204"/>
      <c r="VOY1" s="204"/>
      <c r="VOZ1" s="204"/>
      <c r="VPA1" s="204"/>
      <c r="VPB1" s="205"/>
      <c r="VPC1" s="204"/>
      <c r="VPD1" s="204"/>
      <c r="VPE1" s="204"/>
      <c r="VPF1" s="204"/>
      <c r="VPG1" s="204"/>
      <c r="VPH1" s="204"/>
      <c r="VPI1" s="204"/>
      <c r="VPJ1" s="204"/>
      <c r="VPK1" s="204"/>
      <c r="VPL1" s="204"/>
      <c r="VPM1" s="204"/>
      <c r="VPN1" s="204"/>
      <c r="VPO1" s="204"/>
      <c r="VPP1" s="204"/>
      <c r="VPQ1" s="204"/>
      <c r="VPR1" s="204"/>
      <c r="VPS1" s="204"/>
      <c r="VPT1" s="204"/>
      <c r="VPU1" s="204"/>
      <c r="VPV1" s="204"/>
      <c r="VPW1" s="204"/>
      <c r="VPX1" s="204"/>
      <c r="VPY1" s="204"/>
      <c r="VPZ1" s="204"/>
      <c r="VQA1" s="204"/>
      <c r="VQB1" s="204"/>
      <c r="VQC1" s="204"/>
      <c r="VQD1" s="205"/>
      <c r="VQE1" s="204"/>
      <c r="VQF1" s="204"/>
      <c r="VQG1" s="204"/>
      <c r="VQH1" s="204"/>
      <c r="VQI1" s="204"/>
      <c r="VQJ1" s="204"/>
      <c r="VQK1" s="204"/>
      <c r="VQL1" s="204"/>
      <c r="VQM1" s="204"/>
      <c r="VQN1" s="204"/>
      <c r="VQO1" s="204"/>
      <c r="VQP1" s="204"/>
      <c r="VQQ1" s="204"/>
      <c r="VQR1" s="204"/>
      <c r="VQS1" s="204"/>
      <c r="VQT1" s="204"/>
      <c r="VQU1" s="204"/>
      <c r="VQV1" s="204"/>
      <c r="VQW1" s="204"/>
      <c r="VQX1" s="204"/>
      <c r="VQY1" s="204"/>
      <c r="VQZ1" s="204"/>
      <c r="VRA1" s="204"/>
      <c r="VRB1" s="204"/>
      <c r="VRC1" s="204"/>
      <c r="VRD1" s="204"/>
      <c r="VRE1" s="204"/>
      <c r="VRF1" s="205"/>
      <c r="VRG1" s="204"/>
      <c r="VRH1" s="204"/>
      <c r="VRI1" s="204"/>
      <c r="VRJ1" s="204"/>
      <c r="VRK1" s="204"/>
      <c r="VRL1" s="204"/>
      <c r="VRM1" s="204"/>
      <c r="VRN1" s="204"/>
      <c r="VRO1" s="204"/>
      <c r="VRP1" s="204"/>
      <c r="VRQ1" s="204"/>
      <c r="VRR1" s="204"/>
      <c r="VRS1" s="204"/>
      <c r="VRT1" s="204"/>
      <c r="VRU1" s="204"/>
      <c r="VRV1" s="204"/>
      <c r="VRW1" s="204"/>
      <c r="VRX1" s="204"/>
      <c r="VRY1" s="204"/>
      <c r="VRZ1" s="204"/>
      <c r="VSA1" s="204"/>
      <c r="VSB1" s="204"/>
      <c r="VSC1" s="204"/>
      <c r="VSD1" s="204"/>
      <c r="VSE1" s="204"/>
      <c r="VSF1" s="204"/>
      <c r="VSG1" s="204"/>
      <c r="VSH1" s="205"/>
      <c r="VSI1" s="204"/>
      <c r="VSJ1" s="204"/>
      <c r="VSK1" s="204"/>
      <c r="VSL1" s="204"/>
      <c r="VSM1" s="204"/>
      <c r="VSN1" s="204"/>
      <c r="VSO1" s="204"/>
      <c r="VSP1" s="204"/>
      <c r="VSQ1" s="204"/>
      <c r="VSR1" s="204"/>
      <c r="VSS1" s="204"/>
      <c r="VST1" s="204"/>
      <c r="VSU1" s="204"/>
      <c r="VSV1" s="204"/>
      <c r="VSW1" s="204"/>
      <c r="VSX1" s="204"/>
      <c r="VSY1" s="204"/>
      <c r="VSZ1" s="204"/>
      <c r="VTA1" s="204"/>
      <c r="VTB1" s="204"/>
      <c r="VTC1" s="204"/>
      <c r="VTD1" s="204"/>
      <c r="VTE1" s="204"/>
      <c r="VTF1" s="204"/>
      <c r="VTG1" s="204"/>
      <c r="VTH1" s="204"/>
      <c r="VTI1" s="204"/>
      <c r="VTJ1" s="205"/>
      <c r="VTK1" s="204"/>
      <c r="VTL1" s="204"/>
      <c r="VTM1" s="204"/>
      <c r="VTN1" s="204"/>
      <c r="VTO1" s="204"/>
      <c r="VTP1" s="204"/>
      <c r="VTQ1" s="204"/>
      <c r="VTR1" s="204"/>
      <c r="VTS1" s="204"/>
      <c r="VTT1" s="204"/>
      <c r="VTU1" s="204"/>
      <c r="VTV1" s="204"/>
      <c r="VTW1" s="204"/>
      <c r="VTX1" s="204"/>
      <c r="VTY1" s="204"/>
      <c r="VTZ1" s="204"/>
      <c r="VUA1" s="204"/>
      <c r="VUB1" s="204"/>
      <c r="VUC1" s="204"/>
      <c r="VUD1" s="204"/>
      <c r="VUE1" s="204"/>
      <c r="VUF1" s="204"/>
      <c r="VUG1" s="204"/>
      <c r="VUH1" s="204"/>
      <c r="VUI1" s="204"/>
      <c r="VUJ1" s="204"/>
      <c r="VUK1" s="204"/>
      <c r="VUL1" s="205"/>
      <c r="VUM1" s="204"/>
      <c r="VUN1" s="204"/>
      <c r="VUO1" s="204"/>
      <c r="VUP1" s="204"/>
      <c r="VUQ1" s="204"/>
      <c r="VUR1" s="204"/>
      <c r="VUS1" s="204"/>
      <c r="VUT1" s="204"/>
      <c r="VUU1" s="204"/>
      <c r="VUV1" s="204"/>
      <c r="VUW1" s="204"/>
      <c r="VUX1" s="204"/>
      <c r="VUY1" s="204"/>
      <c r="VUZ1" s="204"/>
      <c r="VVA1" s="204"/>
      <c r="VVB1" s="204"/>
      <c r="VVC1" s="204"/>
      <c r="VVD1" s="204"/>
      <c r="VVE1" s="204"/>
      <c r="VVF1" s="204"/>
      <c r="VVG1" s="204"/>
      <c r="VVH1" s="204"/>
      <c r="VVI1" s="204"/>
      <c r="VVJ1" s="204"/>
      <c r="VVK1" s="204"/>
      <c r="VVL1" s="204"/>
      <c r="VVM1" s="204"/>
      <c r="VVN1" s="205"/>
      <c r="VVO1" s="204"/>
      <c r="VVP1" s="204"/>
      <c r="VVQ1" s="204"/>
      <c r="VVR1" s="204"/>
      <c r="VVS1" s="204"/>
      <c r="VVT1" s="204"/>
      <c r="VVU1" s="204"/>
      <c r="VVV1" s="204"/>
      <c r="VVW1" s="204"/>
      <c r="VVX1" s="204"/>
      <c r="VVY1" s="204"/>
      <c r="VVZ1" s="204"/>
      <c r="VWA1" s="204"/>
      <c r="VWB1" s="204"/>
      <c r="VWC1" s="204"/>
      <c r="VWD1" s="204"/>
      <c r="VWE1" s="204"/>
      <c r="VWF1" s="204"/>
      <c r="VWG1" s="204"/>
      <c r="VWH1" s="204"/>
      <c r="VWI1" s="204"/>
      <c r="VWJ1" s="204"/>
      <c r="VWK1" s="204"/>
      <c r="VWL1" s="204"/>
      <c r="VWM1" s="204"/>
      <c r="VWN1" s="204"/>
      <c r="VWO1" s="204"/>
      <c r="VWP1" s="205"/>
      <c r="VWQ1" s="204"/>
      <c r="VWR1" s="204"/>
      <c r="VWS1" s="204"/>
      <c r="VWT1" s="204"/>
      <c r="VWU1" s="204"/>
      <c r="VWV1" s="204"/>
      <c r="VWW1" s="204"/>
      <c r="VWX1" s="204"/>
      <c r="VWY1" s="204"/>
      <c r="VWZ1" s="204"/>
      <c r="VXA1" s="204"/>
      <c r="VXB1" s="204"/>
      <c r="VXC1" s="204"/>
      <c r="VXD1" s="204"/>
      <c r="VXE1" s="204"/>
      <c r="VXF1" s="204"/>
      <c r="VXG1" s="204"/>
      <c r="VXH1" s="204"/>
      <c r="VXI1" s="204"/>
      <c r="VXJ1" s="204"/>
      <c r="VXK1" s="204"/>
      <c r="VXL1" s="204"/>
      <c r="VXM1" s="204"/>
      <c r="VXN1" s="204"/>
      <c r="VXO1" s="204"/>
      <c r="VXP1" s="204"/>
      <c r="VXQ1" s="204"/>
      <c r="VXR1" s="205"/>
      <c r="VXS1" s="204"/>
      <c r="VXT1" s="204"/>
      <c r="VXU1" s="204"/>
      <c r="VXV1" s="204"/>
      <c r="VXW1" s="204"/>
      <c r="VXX1" s="204"/>
      <c r="VXY1" s="204"/>
      <c r="VXZ1" s="204"/>
      <c r="VYA1" s="204"/>
      <c r="VYB1" s="204"/>
      <c r="VYC1" s="204"/>
      <c r="VYD1" s="204"/>
      <c r="VYE1" s="204"/>
      <c r="VYF1" s="204"/>
      <c r="VYG1" s="204"/>
      <c r="VYH1" s="204"/>
      <c r="VYI1" s="204"/>
      <c r="VYJ1" s="204"/>
      <c r="VYK1" s="204"/>
      <c r="VYL1" s="204"/>
      <c r="VYM1" s="204"/>
      <c r="VYN1" s="204"/>
      <c r="VYO1" s="204"/>
      <c r="VYP1" s="204"/>
      <c r="VYQ1" s="204"/>
      <c r="VYR1" s="204"/>
      <c r="VYS1" s="204"/>
      <c r="VYT1" s="205"/>
      <c r="VYU1" s="204"/>
      <c r="VYV1" s="204"/>
      <c r="VYW1" s="204"/>
      <c r="VYX1" s="204"/>
      <c r="VYY1" s="204"/>
      <c r="VYZ1" s="204"/>
      <c r="VZA1" s="204"/>
      <c r="VZB1" s="204"/>
      <c r="VZC1" s="204"/>
      <c r="VZD1" s="204"/>
      <c r="VZE1" s="204"/>
      <c r="VZF1" s="204"/>
      <c r="VZG1" s="204"/>
      <c r="VZH1" s="204"/>
      <c r="VZI1" s="204"/>
      <c r="VZJ1" s="204"/>
      <c r="VZK1" s="204"/>
      <c r="VZL1" s="204"/>
      <c r="VZM1" s="204"/>
      <c r="VZN1" s="204"/>
      <c r="VZO1" s="204"/>
      <c r="VZP1" s="204"/>
      <c r="VZQ1" s="204"/>
      <c r="VZR1" s="204"/>
      <c r="VZS1" s="204"/>
      <c r="VZT1" s="204"/>
      <c r="VZU1" s="204"/>
      <c r="VZV1" s="205"/>
      <c r="VZW1" s="204"/>
      <c r="VZX1" s="204"/>
      <c r="VZY1" s="204"/>
      <c r="VZZ1" s="204"/>
      <c r="WAA1" s="204"/>
      <c r="WAB1" s="204"/>
      <c r="WAC1" s="204"/>
      <c r="WAD1" s="204"/>
      <c r="WAE1" s="204"/>
      <c r="WAF1" s="204"/>
      <c r="WAG1" s="204"/>
      <c r="WAH1" s="204"/>
      <c r="WAI1" s="204"/>
      <c r="WAJ1" s="204"/>
      <c r="WAK1" s="204"/>
      <c r="WAL1" s="204"/>
      <c r="WAM1" s="204"/>
      <c r="WAN1" s="204"/>
      <c r="WAO1" s="204"/>
      <c r="WAP1" s="204"/>
      <c r="WAQ1" s="204"/>
      <c r="WAR1" s="204"/>
      <c r="WAS1" s="204"/>
      <c r="WAT1" s="204"/>
      <c r="WAU1" s="204"/>
      <c r="WAV1" s="204"/>
      <c r="WAW1" s="204"/>
      <c r="WAX1" s="205"/>
      <c r="WAY1" s="204"/>
      <c r="WAZ1" s="204"/>
      <c r="WBA1" s="204"/>
      <c r="WBB1" s="204"/>
      <c r="WBC1" s="204"/>
      <c r="WBD1" s="204"/>
      <c r="WBE1" s="204"/>
      <c r="WBF1" s="204"/>
      <c r="WBG1" s="204"/>
      <c r="WBH1" s="204"/>
      <c r="WBI1" s="204"/>
      <c r="WBJ1" s="204"/>
      <c r="WBK1" s="204"/>
      <c r="WBL1" s="204"/>
      <c r="WBM1" s="204"/>
      <c r="WBN1" s="204"/>
      <c r="WBO1" s="204"/>
      <c r="WBP1" s="204"/>
      <c r="WBQ1" s="204"/>
      <c r="WBR1" s="204"/>
      <c r="WBS1" s="204"/>
      <c r="WBT1" s="204"/>
      <c r="WBU1" s="204"/>
      <c r="WBV1" s="204"/>
      <c r="WBW1" s="204"/>
      <c r="WBX1" s="204"/>
      <c r="WBY1" s="204"/>
      <c r="WBZ1" s="205"/>
      <c r="WCA1" s="204"/>
      <c r="WCB1" s="204"/>
      <c r="WCC1" s="204"/>
      <c r="WCD1" s="204"/>
      <c r="WCE1" s="204"/>
      <c r="WCF1" s="204"/>
      <c r="WCG1" s="204"/>
      <c r="WCH1" s="204"/>
      <c r="WCI1" s="204"/>
      <c r="WCJ1" s="204"/>
      <c r="WCK1" s="204"/>
      <c r="WCL1" s="204"/>
      <c r="WCM1" s="204"/>
      <c r="WCN1" s="204"/>
      <c r="WCO1" s="204"/>
      <c r="WCP1" s="204"/>
      <c r="WCQ1" s="204"/>
      <c r="WCR1" s="204"/>
      <c r="WCS1" s="204"/>
      <c r="WCT1" s="204"/>
      <c r="WCU1" s="204"/>
      <c r="WCV1" s="204"/>
      <c r="WCW1" s="204"/>
      <c r="WCX1" s="204"/>
      <c r="WCY1" s="204"/>
      <c r="WCZ1" s="204"/>
      <c r="WDA1" s="204"/>
      <c r="WDB1" s="205"/>
      <c r="WDC1" s="204"/>
      <c r="WDD1" s="204"/>
      <c r="WDE1" s="204"/>
      <c r="WDF1" s="204"/>
      <c r="WDG1" s="204"/>
      <c r="WDH1" s="204"/>
      <c r="WDI1" s="204"/>
      <c r="WDJ1" s="204"/>
      <c r="WDK1" s="204"/>
      <c r="WDL1" s="204"/>
      <c r="WDM1" s="204"/>
      <c r="WDN1" s="204"/>
      <c r="WDO1" s="204"/>
      <c r="WDP1" s="204"/>
      <c r="WDQ1" s="204"/>
      <c r="WDR1" s="204"/>
      <c r="WDS1" s="204"/>
      <c r="WDT1" s="204"/>
      <c r="WDU1" s="204"/>
      <c r="WDV1" s="204"/>
      <c r="WDW1" s="204"/>
      <c r="WDX1" s="204"/>
      <c r="WDY1" s="204"/>
      <c r="WDZ1" s="204"/>
      <c r="WEA1" s="204"/>
      <c r="WEB1" s="204"/>
      <c r="WEC1" s="204"/>
      <c r="WED1" s="205"/>
      <c r="WEE1" s="204"/>
      <c r="WEF1" s="204"/>
      <c r="WEG1" s="204"/>
      <c r="WEH1" s="204"/>
      <c r="WEI1" s="204"/>
      <c r="WEJ1" s="204"/>
      <c r="WEK1" s="204"/>
      <c r="WEL1" s="204"/>
      <c r="WEM1" s="204"/>
      <c r="WEN1" s="204"/>
      <c r="WEO1" s="204"/>
      <c r="WEP1" s="204"/>
      <c r="WEQ1" s="204"/>
      <c r="WER1" s="204"/>
      <c r="WES1" s="204"/>
      <c r="WET1" s="204"/>
      <c r="WEU1" s="204"/>
      <c r="WEV1" s="204"/>
      <c r="WEW1" s="204"/>
      <c r="WEX1" s="204"/>
      <c r="WEY1" s="204"/>
      <c r="WEZ1" s="204"/>
      <c r="WFA1" s="204"/>
      <c r="WFB1" s="204"/>
      <c r="WFC1" s="204"/>
      <c r="WFD1" s="204"/>
      <c r="WFE1" s="204"/>
      <c r="WFF1" s="205"/>
      <c r="WFG1" s="204"/>
      <c r="WFH1" s="204"/>
      <c r="WFI1" s="204"/>
      <c r="WFJ1" s="204"/>
      <c r="WFK1" s="204"/>
      <c r="WFL1" s="204"/>
      <c r="WFM1" s="204"/>
      <c r="WFN1" s="204"/>
      <c r="WFO1" s="204"/>
      <c r="WFP1" s="204"/>
      <c r="WFQ1" s="204"/>
      <c r="WFR1" s="204"/>
      <c r="WFS1" s="204"/>
      <c r="WFT1" s="204"/>
      <c r="WFU1" s="204"/>
      <c r="WFV1" s="204"/>
      <c r="WFW1" s="204"/>
      <c r="WFX1" s="204"/>
      <c r="WFY1" s="204"/>
      <c r="WFZ1" s="204"/>
      <c r="WGA1" s="204"/>
      <c r="WGB1" s="204"/>
      <c r="WGC1" s="204"/>
      <c r="WGD1" s="204"/>
      <c r="WGE1" s="204"/>
      <c r="WGF1" s="204"/>
      <c r="WGG1" s="204"/>
      <c r="WGH1" s="205"/>
      <c r="WGI1" s="204"/>
      <c r="WGJ1" s="204"/>
      <c r="WGK1" s="204"/>
      <c r="WGL1" s="204"/>
      <c r="WGM1" s="204"/>
      <c r="WGN1" s="204"/>
      <c r="WGO1" s="204"/>
      <c r="WGP1" s="204"/>
      <c r="WGQ1" s="204"/>
      <c r="WGR1" s="204"/>
      <c r="WGS1" s="204"/>
      <c r="WGT1" s="204"/>
      <c r="WGU1" s="204"/>
      <c r="WGV1" s="204"/>
      <c r="WGW1" s="204"/>
      <c r="WGX1" s="204"/>
      <c r="WGY1" s="204"/>
      <c r="WGZ1" s="204"/>
      <c r="WHA1" s="204"/>
      <c r="WHB1" s="204"/>
      <c r="WHC1" s="204"/>
      <c r="WHD1" s="204"/>
      <c r="WHE1" s="204"/>
      <c r="WHF1" s="204"/>
      <c r="WHG1" s="204"/>
      <c r="WHH1" s="204"/>
      <c r="WHI1" s="204"/>
      <c r="WHJ1" s="205"/>
      <c r="WHK1" s="204"/>
      <c r="WHL1" s="204"/>
      <c r="WHM1" s="204"/>
      <c r="WHN1" s="204"/>
      <c r="WHO1" s="204"/>
      <c r="WHP1" s="204"/>
      <c r="WHQ1" s="204"/>
      <c r="WHR1" s="204"/>
      <c r="WHS1" s="204"/>
      <c r="WHT1" s="204"/>
      <c r="WHU1" s="204"/>
      <c r="WHV1" s="204"/>
      <c r="WHW1" s="204"/>
      <c r="WHX1" s="204"/>
      <c r="WHY1" s="204"/>
      <c r="WHZ1" s="204"/>
      <c r="WIA1" s="204"/>
      <c r="WIB1" s="204"/>
      <c r="WIC1" s="204"/>
      <c r="WID1" s="204"/>
      <c r="WIE1" s="204"/>
      <c r="WIF1" s="204"/>
      <c r="WIG1" s="204"/>
      <c r="WIH1" s="204"/>
      <c r="WII1" s="204"/>
      <c r="WIJ1" s="204"/>
      <c r="WIK1" s="204"/>
      <c r="WIL1" s="205"/>
      <c r="WIM1" s="204"/>
      <c r="WIN1" s="204"/>
      <c r="WIO1" s="204"/>
      <c r="WIP1" s="204"/>
      <c r="WIQ1" s="204"/>
      <c r="WIR1" s="204"/>
      <c r="WIS1" s="204"/>
      <c r="WIT1" s="204"/>
      <c r="WIU1" s="204"/>
      <c r="WIV1" s="204"/>
      <c r="WIW1" s="204"/>
      <c r="WIX1" s="204"/>
      <c r="WIY1" s="204"/>
      <c r="WIZ1" s="204"/>
      <c r="WJA1" s="204"/>
      <c r="WJB1" s="204"/>
      <c r="WJC1" s="204"/>
      <c r="WJD1" s="204"/>
      <c r="WJE1" s="204"/>
      <c r="WJF1" s="204"/>
      <c r="WJG1" s="204"/>
      <c r="WJH1" s="204"/>
      <c r="WJI1" s="204"/>
      <c r="WJJ1" s="204"/>
      <c r="WJK1" s="204"/>
      <c r="WJL1" s="204"/>
      <c r="WJM1" s="204"/>
      <c r="WJN1" s="205"/>
      <c r="WJO1" s="204"/>
      <c r="WJP1" s="204"/>
      <c r="WJQ1" s="204"/>
      <c r="WJR1" s="204"/>
      <c r="WJS1" s="204"/>
      <c r="WJT1" s="204"/>
      <c r="WJU1" s="204"/>
      <c r="WJV1" s="204"/>
      <c r="WJW1" s="204"/>
      <c r="WJX1" s="204"/>
      <c r="WJY1" s="204"/>
      <c r="WJZ1" s="204"/>
      <c r="WKA1" s="204"/>
      <c r="WKB1" s="204"/>
      <c r="WKC1" s="204"/>
      <c r="WKD1" s="204"/>
      <c r="WKE1" s="204"/>
      <c r="WKF1" s="204"/>
      <c r="WKG1" s="204"/>
      <c r="WKH1" s="204"/>
      <c r="WKI1" s="204"/>
      <c r="WKJ1" s="204"/>
      <c r="WKK1" s="204"/>
      <c r="WKL1" s="204"/>
      <c r="WKM1" s="204"/>
      <c r="WKN1" s="204"/>
      <c r="WKO1" s="204"/>
      <c r="WKP1" s="205"/>
      <c r="WKQ1" s="204"/>
      <c r="WKR1" s="204"/>
      <c r="WKS1" s="204"/>
      <c r="WKT1" s="204"/>
      <c r="WKU1" s="204"/>
      <c r="WKV1" s="204"/>
      <c r="WKW1" s="204"/>
      <c r="WKX1" s="204"/>
      <c r="WKY1" s="204"/>
      <c r="WKZ1" s="204"/>
      <c r="WLA1" s="204"/>
      <c r="WLB1" s="204"/>
      <c r="WLC1" s="204"/>
      <c r="WLD1" s="204"/>
      <c r="WLE1" s="204"/>
      <c r="WLF1" s="204"/>
      <c r="WLG1" s="204"/>
      <c r="WLH1" s="204"/>
      <c r="WLI1" s="204"/>
      <c r="WLJ1" s="204"/>
      <c r="WLK1" s="204"/>
      <c r="WLL1" s="204"/>
      <c r="WLM1" s="204"/>
      <c r="WLN1" s="204"/>
      <c r="WLO1" s="204"/>
      <c r="WLP1" s="204"/>
      <c r="WLQ1" s="204"/>
      <c r="WLR1" s="205"/>
      <c r="WLS1" s="204"/>
      <c r="WLT1" s="204"/>
      <c r="WLU1" s="204"/>
      <c r="WLV1" s="204"/>
      <c r="WLW1" s="204"/>
      <c r="WLX1" s="204"/>
      <c r="WLY1" s="204"/>
      <c r="WLZ1" s="204"/>
      <c r="WMA1" s="204"/>
      <c r="WMB1" s="204"/>
      <c r="WMC1" s="204"/>
      <c r="WMD1" s="204"/>
      <c r="WME1" s="204"/>
      <c r="WMF1" s="204"/>
      <c r="WMG1" s="204"/>
      <c r="WMH1" s="204"/>
      <c r="WMI1" s="204"/>
      <c r="WMJ1" s="204"/>
      <c r="WMK1" s="204"/>
      <c r="WML1" s="204"/>
      <c r="WMM1" s="204"/>
      <c r="WMN1" s="204"/>
      <c r="WMO1" s="204"/>
      <c r="WMP1" s="204"/>
      <c r="WMQ1" s="204"/>
      <c r="WMR1" s="204"/>
      <c r="WMS1" s="204"/>
      <c r="WMT1" s="205"/>
      <c r="WMU1" s="204"/>
      <c r="WMV1" s="204"/>
      <c r="WMW1" s="204"/>
      <c r="WMX1" s="204"/>
      <c r="WMY1" s="204"/>
      <c r="WMZ1" s="204"/>
      <c r="WNA1" s="204"/>
      <c r="WNB1" s="204"/>
      <c r="WNC1" s="204"/>
      <c r="WND1" s="204"/>
      <c r="WNE1" s="204"/>
      <c r="WNF1" s="204"/>
      <c r="WNG1" s="204"/>
      <c r="WNH1" s="204"/>
      <c r="WNI1" s="204"/>
      <c r="WNJ1" s="204"/>
      <c r="WNK1" s="204"/>
      <c r="WNL1" s="204"/>
      <c r="WNM1" s="204"/>
      <c r="WNN1" s="204"/>
      <c r="WNO1" s="204"/>
      <c r="WNP1" s="204"/>
      <c r="WNQ1" s="204"/>
      <c r="WNR1" s="204"/>
      <c r="WNS1" s="204"/>
      <c r="WNT1" s="204"/>
      <c r="WNU1" s="204"/>
      <c r="WNV1" s="205"/>
      <c r="WNW1" s="204"/>
      <c r="WNX1" s="204"/>
      <c r="WNY1" s="204"/>
      <c r="WNZ1" s="204"/>
      <c r="WOA1" s="204"/>
      <c r="WOB1" s="204"/>
      <c r="WOC1" s="204"/>
      <c r="WOD1" s="204"/>
      <c r="WOE1" s="204"/>
      <c r="WOF1" s="204"/>
      <c r="WOG1" s="204"/>
      <c r="WOH1" s="204"/>
      <c r="WOI1" s="204"/>
      <c r="WOJ1" s="204"/>
      <c r="WOK1" s="204"/>
      <c r="WOL1" s="204"/>
      <c r="WOM1" s="204"/>
      <c r="WON1" s="204"/>
      <c r="WOO1" s="204"/>
      <c r="WOP1" s="204"/>
      <c r="WOQ1" s="204"/>
      <c r="WOR1" s="204"/>
      <c r="WOS1" s="204"/>
      <c r="WOT1" s="204"/>
      <c r="WOU1" s="204"/>
      <c r="WOV1" s="204"/>
      <c r="WOW1" s="204"/>
      <c r="WOX1" s="205"/>
      <c r="WOY1" s="204"/>
      <c r="WOZ1" s="204"/>
      <c r="WPA1" s="204"/>
      <c r="WPB1" s="204"/>
      <c r="WPC1" s="204"/>
      <c r="WPD1" s="204"/>
      <c r="WPE1" s="204"/>
      <c r="WPF1" s="204"/>
      <c r="WPG1" s="204"/>
      <c r="WPH1" s="204"/>
      <c r="WPI1" s="204"/>
      <c r="WPJ1" s="204"/>
      <c r="WPK1" s="204"/>
      <c r="WPL1" s="204"/>
      <c r="WPM1" s="204"/>
      <c r="WPN1" s="204"/>
      <c r="WPO1" s="204"/>
      <c r="WPP1" s="204"/>
      <c r="WPQ1" s="204"/>
      <c r="WPR1" s="204"/>
      <c r="WPS1" s="204"/>
      <c r="WPT1" s="204"/>
      <c r="WPU1" s="204"/>
      <c r="WPV1" s="204"/>
      <c r="WPW1" s="204"/>
      <c r="WPX1" s="204"/>
      <c r="WPY1" s="204"/>
      <c r="WPZ1" s="205"/>
      <c r="WQA1" s="204"/>
      <c r="WQB1" s="204"/>
      <c r="WQC1" s="204"/>
      <c r="WQD1" s="204"/>
      <c r="WQE1" s="204"/>
      <c r="WQF1" s="204"/>
      <c r="WQG1" s="204"/>
      <c r="WQH1" s="204"/>
      <c r="WQI1" s="204"/>
      <c r="WQJ1" s="204"/>
      <c r="WQK1" s="204"/>
      <c r="WQL1" s="204"/>
      <c r="WQM1" s="204"/>
      <c r="WQN1" s="204"/>
      <c r="WQO1" s="204"/>
      <c r="WQP1" s="204"/>
      <c r="WQQ1" s="204"/>
      <c r="WQR1" s="204"/>
      <c r="WQS1" s="204"/>
      <c r="WQT1" s="204"/>
      <c r="WQU1" s="204"/>
      <c r="WQV1" s="204"/>
      <c r="WQW1" s="204"/>
      <c r="WQX1" s="204"/>
      <c r="WQY1" s="204"/>
      <c r="WQZ1" s="204"/>
      <c r="WRA1" s="204"/>
      <c r="WRB1" s="205"/>
      <c r="WRC1" s="204"/>
      <c r="WRD1" s="204"/>
      <c r="WRE1" s="204"/>
      <c r="WRF1" s="204"/>
      <c r="WRG1" s="204"/>
      <c r="WRH1" s="204"/>
      <c r="WRI1" s="204"/>
      <c r="WRJ1" s="204"/>
      <c r="WRK1" s="204"/>
      <c r="WRL1" s="204"/>
      <c r="WRM1" s="204"/>
      <c r="WRN1" s="204"/>
      <c r="WRO1" s="204"/>
      <c r="WRP1" s="204"/>
      <c r="WRQ1" s="204"/>
      <c r="WRR1" s="204"/>
      <c r="WRS1" s="204"/>
      <c r="WRT1" s="204"/>
      <c r="WRU1" s="204"/>
      <c r="WRV1" s="204"/>
      <c r="WRW1" s="204"/>
      <c r="WRX1" s="204"/>
      <c r="WRY1" s="204"/>
      <c r="WRZ1" s="204"/>
      <c r="WSA1" s="204"/>
      <c r="WSB1" s="204"/>
      <c r="WSC1" s="204"/>
      <c r="WSD1" s="205"/>
      <c r="WSE1" s="204"/>
      <c r="WSF1" s="204"/>
      <c r="WSG1" s="204"/>
      <c r="WSH1" s="204"/>
      <c r="WSI1" s="204"/>
      <c r="WSJ1" s="204"/>
      <c r="WSK1" s="204"/>
      <c r="WSL1" s="204"/>
      <c r="WSM1" s="204"/>
      <c r="WSN1" s="204"/>
      <c r="WSO1" s="204"/>
      <c r="WSP1" s="204"/>
      <c r="WSQ1" s="204"/>
      <c r="WSR1" s="204"/>
      <c r="WSS1" s="204"/>
      <c r="WST1" s="204"/>
      <c r="WSU1" s="204"/>
      <c r="WSV1" s="204"/>
      <c r="WSW1" s="204"/>
      <c r="WSX1" s="204"/>
      <c r="WSY1" s="204"/>
      <c r="WSZ1" s="204"/>
      <c r="WTA1" s="204"/>
      <c r="WTB1" s="204"/>
      <c r="WTC1" s="204"/>
      <c r="WTD1" s="204"/>
      <c r="WTE1" s="204"/>
      <c r="WTF1" s="205"/>
      <c r="WTG1" s="204"/>
      <c r="WTH1" s="204"/>
      <c r="WTI1" s="204"/>
      <c r="WTJ1" s="204"/>
      <c r="WTK1" s="204"/>
      <c r="WTL1" s="204"/>
      <c r="WTM1" s="204"/>
      <c r="WTN1" s="204"/>
      <c r="WTO1" s="204"/>
      <c r="WTP1" s="204"/>
      <c r="WTQ1" s="204"/>
      <c r="WTR1" s="204"/>
      <c r="WTS1" s="204"/>
      <c r="WTT1" s="204"/>
      <c r="WTU1" s="204"/>
      <c r="WTV1" s="204"/>
      <c r="WTW1" s="204"/>
      <c r="WTX1" s="204"/>
      <c r="WTY1" s="204"/>
      <c r="WTZ1" s="204"/>
      <c r="WUA1" s="204"/>
      <c r="WUB1" s="204"/>
      <c r="WUC1" s="204"/>
      <c r="WUD1" s="204"/>
      <c r="WUE1" s="204"/>
      <c r="WUF1" s="204"/>
      <c r="WUG1" s="204"/>
      <c r="WUH1" s="205"/>
      <c r="WUI1" s="204"/>
      <c r="WUJ1" s="204"/>
      <c r="WUK1" s="204"/>
      <c r="WUL1" s="204"/>
      <c r="WUM1" s="204"/>
      <c r="WUN1" s="204"/>
      <c r="WUO1" s="204"/>
      <c r="WUP1" s="204"/>
      <c r="WUQ1" s="204"/>
      <c r="WUR1" s="204"/>
      <c r="WUS1" s="204"/>
      <c r="WUT1" s="204"/>
      <c r="WUU1" s="204"/>
      <c r="WUV1" s="204"/>
      <c r="WUW1" s="204"/>
      <c r="WUX1" s="204"/>
      <c r="WUY1" s="204"/>
      <c r="WUZ1" s="204"/>
      <c r="WVA1" s="204"/>
      <c r="WVB1" s="204"/>
      <c r="WVC1" s="204"/>
      <c r="WVD1" s="204"/>
      <c r="WVE1" s="204"/>
      <c r="WVF1" s="204"/>
      <c r="WVG1" s="204"/>
      <c r="WVH1" s="204"/>
      <c r="WVI1" s="204"/>
      <c r="WVJ1" s="205"/>
      <c r="WVK1" s="204"/>
      <c r="WVL1" s="204"/>
      <c r="WVM1" s="204"/>
      <c r="WVN1" s="204"/>
      <c r="WVO1" s="204"/>
      <c r="WVP1" s="204"/>
      <c r="WVQ1" s="204"/>
      <c r="WVR1" s="204"/>
      <c r="WVS1" s="204"/>
      <c r="WVT1" s="204"/>
      <c r="WVU1" s="204"/>
      <c r="WVV1" s="204"/>
      <c r="WVW1" s="204"/>
      <c r="WVX1" s="204"/>
      <c r="WVY1" s="204"/>
      <c r="WVZ1" s="204"/>
      <c r="WWA1" s="204"/>
      <c r="WWB1" s="204"/>
      <c r="WWC1" s="204"/>
      <c r="WWD1" s="204"/>
      <c r="WWE1" s="204"/>
      <c r="WWF1" s="204"/>
      <c r="WWG1" s="204"/>
      <c r="WWH1" s="204"/>
      <c r="WWI1" s="204"/>
      <c r="WWJ1" s="204"/>
      <c r="WWK1" s="204"/>
      <c r="WWL1" s="205"/>
      <c r="WWM1" s="204"/>
      <c r="WWN1" s="204"/>
      <c r="WWO1" s="204"/>
      <c r="WWP1" s="204"/>
      <c r="WWQ1" s="204"/>
      <c r="WWR1" s="204"/>
      <c r="WWS1" s="204"/>
      <c r="WWT1" s="204"/>
      <c r="WWU1" s="204"/>
      <c r="WWV1" s="204"/>
      <c r="WWW1" s="204"/>
      <c r="WWX1" s="204"/>
      <c r="WWY1" s="204"/>
      <c r="WWZ1" s="204"/>
      <c r="WXA1" s="204"/>
      <c r="WXB1" s="204"/>
      <c r="WXC1" s="204"/>
      <c r="WXD1" s="204"/>
      <c r="WXE1" s="204"/>
      <c r="WXF1" s="204"/>
      <c r="WXG1" s="204"/>
      <c r="WXH1" s="204"/>
      <c r="WXI1" s="204"/>
      <c r="WXJ1" s="204"/>
      <c r="WXK1" s="204"/>
      <c r="WXL1" s="204"/>
      <c r="WXM1" s="204"/>
      <c r="WXN1" s="205"/>
      <c r="WXO1" s="204"/>
      <c r="WXP1" s="204"/>
      <c r="WXQ1" s="204"/>
      <c r="WXR1" s="204"/>
      <c r="WXS1" s="204"/>
      <c r="WXT1" s="204"/>
      <c r="WXU1" s="204"/>
      <c r="WXV1" s="204"/>
      <c r="WXW1" s="204"/>
      <c r="WXX1" s="204"/>
      <c r="WXY1" s="204"/>
      <c r="WXZ1" s="204"/>
      <c r="WYA1" s="204"/>
      <c r="WYB1" s="204"/>
      <c r="WYC1" s="204"/>
      <c r="WYD1" s="204"/>
      <c r="WYE1" s="204"/>
      <c r="WYF1" s="204"/>
      <c r="WYG1" s="204"/>
      <c r="WYH1" s="204"/>
      <c r="WYI1" s="204"/>
      <c r="WYJ1" s="204"/>
      <c r="WYK1" s="204"/>
      <c r="WYL1" s="204"/>
      <c r="WYM1" s="204"/>
      <c r="WYN1" s="204"/>
      <c r="WYO1" s="204"/>
      <c r="WYP1" s="205"/>
      <c r="WYQ1" s="204"/>
      <c r="WYR1" s="204"/>
      <c r="WYS1" s="204"/>
      <c r="WYT1" s="204"/>
      <c r="WYU1" s="204"/>
      <c r="WYV1" s="204"/>
      <c r="WYW1" s="204"/>
      <c r="WYX1" s="204"/>
      <c r="WYY1" s="204"/>
      <c r="WYZ1" s="204"/>
      <c r="WZA1" s="204"/>
      <c r="WZB1" s="204"/>
      <c r="WZC1" s="204"/>
      <c r="WZD1" s="204"/>
      <c r="WZE1" s="204"/>
      <c r="WZF1" s="204"/>
      <c r="WZG1" s="204"/>
      <c r="WZH1" s="204"/>
      <c r="WZI1" s="204"/>
      <c r="WZJ1" s="204"/>
      <c r="WZK1" s="204"/>
      <c r="WZL1" s="204"/>
      <c r="WZM1" s="204"/>
      <c r="WZN1" s="204"/>
      <c r="WZO1" s="204"/>
      <c r="WZP1" s="204"/>
      <c r="WZQ1" s="204"/>
      <c r="WZR1" s="205"/>
      <c r="WZS1" s="204"/>
      <c r="WZT1" s="204"/>
      <c r="WZU1" s="204"/>
      <c r="WZV1" s="204"/>
      <c r="WZW1" s="204"/>
      <c r="WZX1" s="204"/>
      <c r="WZY1" s="204"/>
      <c r="WZZ1" s="204"/>
      <c r="XAA1" s="204"/>
      <c r="XAB1" s="204"/>
      <c r="XAC1" s="204"/>
      <c r="XAD1" s="204"/>
      <c r="XAE1" s="204"/>
      <c r="XAF1" s="204"/>
      <c r="XAG1" s="204"/>
      <c r="XAH1" s="204"/>
      <c r="XAI1" s="204"/>
      <c r="XAJ1" s="204"/>
      <c r="XAK1" s="204"/>
      <c r="XAL1" s="204"/>
      <c r="XAM1" s="204"/>
      <c r="XAN1" s="204"/>
      <c r="XAO1" s="204"/>
      <c r="XAP1" s="204"/>
      <c r="XAQ1" s="204"/>
      <c r="XAR1" s="204"/>
      <c r="XAS1" s="204"/>
      <c r="XAT1" s="205"/>
      <c r="XAU1" s="204"/>
      <c r="XAV1" s="204"/>
      <c r="XAW1" s="204"/>
      <c r="XAX1" s="204"/>
      <c r="XAY1" s="204"/>
      <c r="XAZ1" s="204"/>
      <c r="XBA1" s="204"/>
      <c r="XBB1" s="204"/>
      <c r="XBC1" s="204"/>
      <c r="XBD1" s="204"/>
      <c r="XBE1" s="204"/>
      <c r="XBF1" s="204"/>
      <c r="XBG1" s="204"/>
      <c r="XBH1" s="204"/>
      <c r="XBI1" s="204"/>
      <c r="XBJ1" s="204"/>
      <c r="XBK1" s="204"/>
      <c r="XBL1" s="204"/>
      <c r="XBM1" s="204"/>
      <c r="XBN1" s="204"/>
      <c r="XBO1" s="204"/>
      <c r="XBP1" s="204"/>
      <c r="XBQ1" s="204"/>
      <c r="XBR1" s="204"/>
      <c r="XBS1" s="204"/>
      <c r="XBT1" s="204"/>
      <c r="XBU1" s="204"/>
      <c r="XBV1" s="205"/>
      <c r="XBW1" s="204"/>
      <c r="XBX1" s="204"/>
      <c r="XBY1" s="204"/>
      <c r="XBZ1" s="204"/>
      <c r="XCA1" s="204"/>
      <c r="XCB1" s="204"/>
      <c r="XCC1" s="204"/>
      <c r="XCD1" s="204"/>
      <c r="XCE1" s="204"/>
      <c r="XCF1" s="204"/>
      <c r="XCG1" s="204"/>
      <c r="XCH1" s="204"/>
      <c r="XCI1" s="204"/>
      <c r="XCJ1" s="204"/>
      <c r="XCK1" s="204"/>
      <c r="XCL1" s="204"/>
      <c r="XCM1" s="204"/>
      <c r="XCN1" s="204"/>
      <c r="XCO1" s="204"/>
      <c r="XCP1" s="204"/>
      <c r="XCQ1" s="204"/>
      <c r="XCR1" s="204"/>
      <c r="XCS1" s="204"/>
      <c r="XCT1" s="204"/>
      <c r="XCU1" s="204"/>
      <c r="XCV1" s="204"/>
      <c r="XCW1" s="204"/>
      <c r="XCX1" s="205"/>
      <c r="XCY1" s="204"/>
      <c r="XCZ1" s="204"/>
      <c r="XDA1" s="204"/>
      <c r="XDB1" s="204"/>
      <c r="XDC1" s="204"/>
      <c r="XDD1" s="204"/>
      <c r="XDE1" s="204"/>
      <c r="XDF1" s="204"/>
      <c r="XDG1" s="204"/>
      <c r="XDH1" s="204"/>
      <c r="XDI1" s="204"/>
      <c r="XDJ1" s="204"/>
      <c r="XDK1" s="204"/>
      <c r="XDL1" s="204"/>
      <c r="XDM1" s="204"/>
      <c r="XDN1" s="204"/>
      <c r="XDO1" s="204"/>
      <c r="XDP1" s="204"/>
      <c r="XDQ1" s="204"/>
      <c r="XDR1" s="204"/>
      <c r="XDS1" s="204"/>
      <c r="XDT1" s="204"/>
      <c r="XDU1" s="204"/>
      <c r="XDV1" s="204"/>
      <c r="XDW1" s="204"/>
      <c r="XDX1" s="204"/>
      <c r="XDY1" s="204"/>
      <c r="XDZ1" s="205"/>
      <c r="XEA1" s="204"/>
      <c r="XEB1" s="204"/>
      <c r="XEC1" s="204"/>
      <c r="XED1" s="204"/>
      <c r="XEE1" s="204"/>
      <c r="XEF1" s="204"/>
      <c r="XEG1" s="204"/>
      <c r="XEH1" s="204"/>
      <c r="XEI1" s="204"/>
      <c r="XEJ1" s="204"/>
      <c r="XEK1" s="204"/>
      <c r="XEL1" s="204"/>
      <c r="XEM1" s="204"/>
      <c r="XEN1" s="204"/>
      <c r="XEO1" s="204"/>
      <c r="XEP1" s="204"/>
      <c r="XEQ1" s="204"/>
      <c r="XER1" s="204"/>
      <c r="XES1" s="204"/>
      <c r="XET1" s="204"/>
      <c r="XEU1" s="204"/>
      <c r="XEV1" s="204"/>
    </row>
    <row r="2" spans="1:16376" s="86" customFormat="1" ht="59.25" customHeight="1">
      <c r="A2" s="252"/>
      <c r="B2" s="89"/>
      <c r="C2" s="89"/>
      <c r="D2" s="88"/>
      <c r="E2" s="88"/>
      <c r="F2" s="88"/>
      <c r="G2" s="88"/>
      <c r="H2" s="88"/>
      <c r="I2" s="88"/>
      <c r="J2" s="89"/>
      <c r="K2" s="103"/>
      <c r="L2" s="253"/>
      <c r="M2" s="199"/>
      <c r="N2" s="105"/>
      <c r="O2" s="105"/>
      <c r="P2" s="203"/>
      <c r="Q2" s="203"/>
      <c r="R2" s="203"/>
      <c r="S2" s="203"/>
      <c r="T2" s="87"/>
      <c r="U2" s="87"/>
      <c r="V2" s="87"/>
      <c r="W2" s="88"/>
      <c r="X2" s="249"/>
      <c r="Y2" s="88"/>
      <c r="Z2" s="250"/>
      <c r="AA2" s="87"/>
      <c r="AB2" s="250"/>
      <c r="AC2" s="250"/>
      <c r="AD2" s="250"/>
      <c r="AE2" s="87"/>
      <c r="AF2" s="88"/>
      <c r="AG2" s="88"/>
      <c r="AH2" s="88"/>
      <c r="AI2" s="224"/>
      <c r="AJ2" s="225"/>
      <c r="AK2" s="224"/>
      <c r="AL2" s="224"/>
      <c r="AM2" s="224"/>
      <c r="AN2" s="224"/>
    </row>
    <row r="3" spans="1:16376" s="86" customFormat="1" ht="59.25" customHeight="1">
      <c r="A3" s="104"/>
      <c r="B3" s="83"/>
      <c r="C3" s="83"/>
      <c r="D3" s="83"/>
      <c r="E3" s="83"/>
      <c r="F3" s="90"/>
      <c r="G3" s="85"/>
      <c r="H3" s="85"/>
      <c r="I3" s="83"/>
      <c r="J3" s="83"/>
      <c r="K3" s="83"/>
      <c r="L3" s="83"/>
      <c r="M3" s="84"/>
      <c r="N3" s="83"/>
      <c r="O3" s="85"/>
      <c r="P3" s="83"/>
      <c r="Q3" s="83"/>
      <c r="R3" s="83"/>
      <c r="S3" s="248"/>
      <c r="T3" s="248"/>
      <c r="U3" s="248"/>
      <c r="V3" s="248"/>
      <c r="W3" s="5"/>
      <c r="X3"/>
      <c r="Y3"/>
      <c r="Z3" s="333"/>
      <c r="AA3"/>
      <c r="AB3"/>
      <c r="AC3" s="333"/>
      <c r="AD3" s="333"/>
      <c r="AE3" s="333"/>
      <c r="AF3" s="5"/>
      <c r="AG3"/>
      <c r="AH3"/>
      <c r="AI3"/>
      <c r="AJ3"/>
      <c r="AK3"/>
    </row>
    <row r="4" spans="1:16376" s="86" customFormat="1" ht="59.25" customHeight="1">
      <c r="A4" s="104"/>
      <c r="B4" s="83"/>
      <c r="C4" s="83"/>
      <c r="D4" s="83"/>
      <c r="E4" s="83"/>
      <c r="F4" s="90"/>
      <c r="G4" s="85"/>
      <c r="H4" s="85"/>
      <c r="I4" s="83"/>
      <c r="J4" s="83"/>
      <c r="K4" s="83"/>
      <c r="L4" s="83"/>
      <c r="M4" s="84"/>
      <c r="N4" s="83"/>
      <c r="O4" s="85"/>
      <c r="P4" s="83"/>
      <c r="Q4" s="83"/>
      <c r="R4" s="83"/>
      <c r="S4" s="248"/>
      <c r="T4" s="248"/>
      <c r="U4" s="248"/>
      <c r="V4" s="248"/>
      <c r="W4" s="5"/>
      <c r="X4"/>
      <c r="Y4"/>
      <c r="Z4" s="333"/>
      <c r="AA4"/>
      <c r="AB4"/>
      <c r="AC4" s="333"/>
      <c r="AD4" s="333"/>
      <c r="AE4" s="333"/>
      <c r="AF4" s="5"/>
      <c r="AG4"/>
      <c r="AH4"/>
      <c r="AI4"/>
      <c r="AJ4"/>
      <c r="AK4"/>
    </row>
    <row r="5" spans="1:16376" s="86" customFormat="1" ht="59.25" customHeight="1">
      <c r="A5" s="104"/>
      <c r="B5" s="83"/>
      <c r="C5" s="83"/>
      <c r="D5" s="83"/>
      <c r="E5" s="83"/>
      <c r="F5" s="90"/>
      <c r="G5" s="85"/>
      <c r="H5" s="85"/>
      <c r="I5" s="83"/>
      <c r="J5" s="83"/>
      <c r="K5" s="83"/>
      <c r="L5" s="83"/>
      <c r="M5" s="84"/>
      <c r="N5" s="83"/>
      <c r="O5" s="85"/>
      <c r="P5" s="83"/>
      <c r="Q5" s="83"/>
      <c r="R5" s="83"/>
      <c r="S5" s="248"/>
      <c r="T5" s="248"/>
      <c r="U5" s="248"/>
      <c r="V5" s="248"/>
      <c r="W5" s="5"/>
      <c r="X5"/>
      <c r="Y5"/>
      <c r="Z5" s="333"/>
      <c r="AA5"/>
      <c r="AB5"/>
      <c r="AC5" s="333"/>
      <c r="AD5" s="333"/>
      <c r="AE5" s="333"/>
      <c r="AF5" s="5"/>
      <c r="AG5"/>
      <c r="AH5"/>
      <c r="AI5"/>
      <c r="AJ5"/>
      <c r="AK5"/>
    </row>
  </sheetData>
  <autoFilter ref="A1:AK1"/>
  <printOptions headings="1" gridLines="1"/>
  <pageMargins left="0.23622047244094491" right="0.23622047244094491" top="0.74803149606299213" bottom="0.74803149606299213" header="0.31496062992125984" footer="0.31496062992125984"/>
  <pageSetup paperSize="8" scale="53" orientation="landscape" r:id="rId1"/>
  <headerFooter alignWithMargins="0">
    <oddHeader>&amp;C&amp;D      &amp;T</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3"/>
  <sheetViews>
    <sheetView zoomScale="50" zoomScaleNormal="50" workbookViewId="0">
      <selection activeCell="C15" sqref="C15"/>
    </sheetView>
  </sheetViews>
  <sheetFormatPr baseColWidth="10" defaultColWidth="11.453125" defaultRowHeight="14"/>
  <cols>
    <col min="1" max="1" width="11.453125" style="316"/>
    <col min="2" max="2" width="31.1796875" style="316" customWidth="1"/>
    <col min="3" max="3" width="27.453125" style="316" customWidth="1"/>
    <col min="4" max="4" width="19" style="316" customWidth="1"/>
    <col min="5" max="5" width="14.26953125" style="316" customWidth="1"/>
    <col min="6" max="6" width="45.453125" style="316" customWidth="1"/>
    <col min="7" max="7" width="22.81640625" style="316" customWidth="1"/>
    <col min="8" max="8" width="52.453125" style="316" customWidth="1"/>
    <col min="9" max="9" width="23.1796875" style="316" customWidth="1"/>
    <col min="10" max="12" width="15.7265625" style="316" customWidth="1"/>
    <col min="13" max="14" width="18.26953125" style="316" customWidth="1"/>
    <col min="15" max="15" width="29.54296875" style="316" customWidth="1"/>
    <col min="16" max="16384" width="11.453125" style="316"/>
  </cols>
  <sheetData>
    <row r="1" spans="1:15" ht="31">
      <c r="A1" s="256" t="s">
        <v>38</v>
      </c>
      <c r="B1" s="256" t="s">
        <v>15</v>
      </c>
      <c r="C1" s="256" t="s">
        <v>16</v>
      </c>
      <c r="D1" s="256" t="s">
        <v>17</v>
      </c>
      <c r="E1" s="256" t="s">
        <v>37</v>
      </c>
      <c r="F1" s="313" t="s">
        <v>18</v>
      </c>
      <c r="G1" s="258" t="s">
        <v>19</v>
      </c>
      <c r="H1" s="257" t="s">
        <v>35</v>
      </c>
      <c r="I1" s="257" t="s">
        <v>1521</v>
      </c>
      <c r="J1" s="259" t="s">
        <v>3630</v>
      </c>
      <c r="K1" s="313" t="s">
        <v>3631</v>
      </c>
      <c r="L1" s="313" t="s">
        <v>3632</v>
      </c>
      <c r="M1" s="314" t="s">
        <v>4034</v>
      </c>
      <c r="N1" s="314" t="s">
        <v>4035</v>
      </c>
      <c r="O1" s="315" t="s">
        <v>4036</v>
      </c>
    </row>
    <row r="2" spans="1:15" ht="59.15" customHeight="1">
      <c r="A2" s="319"/>
      <c r="B2" s="320"/>
      <c r="C2" s="320"/>
      <c r="D2" s="320"/>
      <c r="E2" s="319"/>
      <c r="F2" s="320"/>
      <c r="G2" s="320"/>
      <c r="H2" s="321"/>
      <c r="I2" s="322"/>
      <c r="J2" s="319"/>
      <c r="K2" s="323"/>
      <c r="L2" s="323"/>
      <c r="M2" s="320"/>
      <c r="N2" s="320"/>
      <c r="O2" s="320"/>
    </row>
    <row r="3" spans="1:15" ht="59.15" customHeight="1"/>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
  <sheetViews>
    <sheetView zoomScale="40" zoomScaleNormal="40" workbookViewId="0">
      <selection activeCell="M2" sqref="M2"/>
    </sheetView>
  </sheetViews>
  <sheetFormatPr baseColWidth="10" defaultColWidth="11.453125" defaultRowHeight="14"/>
  <cols>
    <col min="1" max="1" width="12.7265625" style="317" customWidth="1"/>
    <col min="2" max="2" width="60.7265625" style="316" customWidth="1"/>
    <col min="3" max="3" width="19.7265625" style="316" customWidth="1"/>
    <col min="4" max="4" width="18.81640625" style="316" customWidth="1"/>
    <col min="5" max="5" width="18.1796875" style="316" customWidth="1"/>
    <col min="6" max="6" width="47.26953125" style="316" customWidth="1"/>
    <col min="7" max="7" width="30.7265625" style="316" customWidth="1"/>
    <col min="8" max="8" width="29.453125" style="318" customWidth="1"/>
    <col min="9" max="9" width="20.7265625" style="318" customWidth="1"/>
    <col min="10" max="10" width="18.7265625" style="317" customWidth="1"/>
    <col min="11" max="12" width="16.81640625" style="317" customWidth="1"/>
    <col min="13" max="13" width="15.453125" style="316" customWidth="1"/>
    <col min="14" max="16384" width="11.453125" style="316"/>
  </cols>
  <sheetData>
    <row r="1" spans="1:13" ht="53.25" customHeight="1">
      <c r="A1" s="256" t="s">
        <v>38</v>
      </c>
      <c r="B1" s="256" t="s">
        <v>15</v>
      </c>
      <c r="C1" s="256" t="s">
        <v>16</v>
      </c>
      <c r="D1" s="256" t="s">
        <v>17</v>
      </c>
      <c r="E1" s="256" t="s">
        <v>37</v>
      </c>
      <c r="F1" s="313" t="s">
        <v>18</v>
      </c>
      <c r="G1" s="258" t="s">
        <v>19</v>
      </c>
      <c r="H1" s="258" t="s">
        <v>20</v>
      </c>
      <c r="I1" s="257" t="s">
        <v>36</v>
      </c>
      <c r="J1" s="257" t="s">
        <v>3629</v>
      </c>
      <c r="K1" s="313" t="s">
        <v>3630</v>
      </c>
      <c r="L1" s="313" t="s">
        <v>3631</v>
      </c>
      <c r="M1" s="313" t="s">
        <v>4239</v>
      </c>
    </row>
    <row r="2" spans="1:13" ht="50.25" customHeight="1">
      <c r="A2" s="320"/>
      <c r="B2" s="320"/>
      <c r="C2" s="320"/>
      <c r="D2" s="320"/>
      <c r="E2" s="319"/>
      <c r="F2" s="320"/>
      <c r="G2" s="320"/>
      <c r="H2" s="320"/>
      <c r="I2" s="322"/>
      <c r="J2" s="323"/>
      <c r="K2" s="323"/>
      <c r="L2" s="323"/>
      <c r="M2" s="323"/>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72"/>
  <sheetViews>
    <sheetView topLeftCell="A358" workbookViewId="0">
      <selection activeCell="B372" sqref="B372:H372"/>
    </sheetView>
  </sheetViews>
  <sheetFormatPr baseColWidth="10" defaultColWidth="9.1796875" defaultRowHeight="12.5"/>
  <cols>
    <col min="1" max="1" width="18.7265625" customWidth="1"/>
    <col min="12" max="12" width="25.1796875" customWidth="1"/>
  </cols>
  <sheetData>
    <row r="1" spans="1:12" ht="21">
      <c r="A1" s="91" t="s">
        <v>39</v>
      </c>
      <c r="B1" s="92" t="s">
        <v>26</v>
      </c>
      <c r="C1" s="93" t="s">
        <v>27</v>
      </c>
      <c r="D1" s="94" t="s">
        <v>5</v>
      </c>
      <c r="E1" s="95" t="s">
        <v>28</v>
      </c>
      <c r="F1" s="91" t="s">
        <v>33</v>
      </c>
      <c r="G1" s="91" t="s">
        <v>0</v>
      </c>
      <c r="H1" s="96" t="s">
        <v>31</v>
      </c>
    </row>
    <row r="2" spans="1:12" s="4" customFormat="1" ht="23">
      <c r="A2" s="152">
        <v>42431</v>
      </c>
      <c r="B2" s="147" t="s">
        <v>699</v>
      </c>
      <c r="C2" s="147" t="s">
        <v>33</v>
      </c>
      <c r="D2" s="148" t="s">
        <v>700</v>
      </c>
      <c r="E2" s="149" t="s">
        <v>701</v>
      </c>
      <c r="F2" s="150" t="s">
        <v>703</v>
      </c>
      <c r="G2" s="151" t="s">
        <v>702</v>
      </c>
      <c r="H2" s="147" t="s">
        <v>0</v>
      </c>
    </row>
    <row r="3" spans="1:12" ht="13">
      <c r="A3" s="109">
        <v>42443.662928240738</v>
      </c>
      <c r="B3" s="142">
        <v>2</v>
      </c>
      <c r="C3" s="143">
        <v>2.821869488536155E-2</v>
      </c>
      <c r="D3" s="131">
        <v>2</v>
      </c>
      <c r="E3" s="74">
        <v>14</v>
      </c>
      <c r="F3" s="97">
        <v>34</v>
      </c>
      <c r="G3" s="120">
        <v>517</v>
      </c>
      <c r="H3" s="123">
        <v>567</v>
      </c>
      <c r="L3" s="109"/>
    </row>
    <row r="4" spans="1:12" ht="13">
      <c r="A4" s="109">
        <v>42447.470497685186</v>
      </c>
      <c r="B4" s="142">
        <v>2</v>
      </c>
      <c r="C4" s="143">
        <v>3.3391915641476276E-2</v>
      </c>
      <c r="D4" s="131">
        <v>2</v>
      </c>
      <c r="E4" s="74">
        <v>17</v>
      </c>
      <c r="F4" s="97">
        <v>33</v>
      </c>
      <c r="G4" s="120">
        <v>517</v>
      </c>
      <c r="H4" s="123">
        <v>569</v>
      </c>
    </row>
    <row r="5" spans="1:12" ht="13">
      <c r="A5" s="109">
        <v>42453.688113425924</v>
      </c>
      <c r="B5" s="142">
        <v>1</v>
      </c>
      <c r="C5" s="143">
        <v>2.2608695652173914E-2</v>
      </c>
      <c r="D5" s="131">
        <v>1</v>
      </c>
      <c r="E5" s="74">
        <v>12</v>
      </c>
      <c r="F5" s="97">
        <v>49</v>
      </c>
      <c r="G5" s="120">
        <v>513</v>
      </c>
      <c r="H5" s="123">
        <v>575</v>
      </c>
    </row>
    <row r="6" spans="1:12" ht="13">
      <c r="A6" s="109">
        <v>42458.493194444447</v>
      </c>
      <c r="B6" s="142">
        <v>1</v>
      </c>
      <c r="C6" s="143">
        <v>2.2608695652173914E-2</v>
      </c>
      <c r="D6" s="131">
        <v>1</v>
      </c>
      <c r="E6" s="74">
        <v>12</v>
      </c>
      <c r="F6" s="97">
        <v>50</v>
      </c>
      <c r="G6" s="120">
        <v>512</v>
      </c>
      <c r="H6" s="123">
        <v>575</v>
      </c>
    </row>
    <row r="7" spans="1:12" ht="13">
      <c r="A7" s="109">
        <v>42464.458564814813</v>
      </c>
      <c r="B7" s="142">
        <v>1</v>
      </c>
      <c r="C7" s="143">
        <v>1.5625E-2</v>
      </c>
      <c r="D7" s="131">
        <v>1</v>
      </c>
      <c r="E7" s="74">
        <v>8</v>
      </c>
      <c r="F7" s="97">
        <v>50</v>
      </c>
      <c r="G7" s="120">
        <v>517</v>
      </c>
      <c r="H7" s="123">
        <v>576</v>
      </c>
    </row>
    <row r="8" spans="1:12" ht="13">
      <c r="A8" s="109">
        <v>42471.518078703702</v>
      </c>
      <c r="B8" s="142">
        <v>1</v>
      </c>
      <c r="C8" s="143">
        <v>2.2727272727272728E-2</v>
      </c>
      <c r="D8" s="131">
        <v>1</v>
      </c>
      <c r="E8" s="74">
        <v>11</v>
      </c>
      <c r="F8" s="97">
        <v>42</v>
      </c>
      <c r="G8" s="120">
        <v>474</v>
      </c>
      <c r="H8" s="123">
        <v>528</v>
      </c>
    </row>
    <row r="9" spans="1:12" ht="13">
      <c r="A9" s="109">
        <v>42478.426689814813</v>
      </c>
      <c r="B9" s="142">
        <v>2</v>
      </c>
      <c r="C9" s="143">
        <v>2.072538860103627E-2</v>
      </c>
      <c r="D9" s="131">
        <v>2</v>
      </c>
      <c r="E9" s="74">
        <v>10</v>
      </c>
      <c r="F9" s="97">
        <v>58</v>
      </c>
      <c r="G9" s="120">
        <v>509</v>
      </c>
      <c r="H9" s="123">
        <v>579</v>
      </c>
    </row>
    <row r="10" spans="1:12" ht="13">
      <c r="A10" s="109">
        <v>42486.500972222224</v>
      </c>
      <c r="B10" s="142">
        <v>1</v>
      </c>
      <c r="C10" s="143">
        <v>1.5463917525773196E-2</v>
      </c>
      <c r="D10" s="131">
        <v>1</v>
      </c>
      <c r="E10" s="74">
        <v>8</v>
      </c>
      <c r="F10" s="97">
        <v>65</v>
      </c>
      <c r="G10" s="120">
        <v>508</v>
      </c>
      <c r="H10" s="123">
        <v>582</v>
      </c>
    </row>
    <row r="11" spans="1:12" ht="13">
      <c r="A11" s="109">
        <v>42492.465543981481</v>
      </c>
      <c r="B11" s="142">
        <v>1</v>
      </c>
      <c r="C11" s="143">
        <v>5.1369863013698627E-3</v>
      </c>
      <c r="D11" s="131">
        <v>1</v>
      </c>
      <c r="E11" s="74">
        <v>2</v>
      </c>
      <c r="F11" s="97">
        <v>61</v>
      </c>
      <c r="G11" s="120">
        <v>520</v>
      </c>
      <c r="H11" s="123">
        <v>584</v>
      </c>
    </row>
    <row r="12" spans="1:12" ht="13">
      <c r="A12" s="109">
        <v>42499.392997685187</v>
      </c>
      <c r="B12" s="142">
        <v>1</v>
      </c>
      <c r="C12" s="143">
        <v>5.1194539249146756E-3</v>
      </c>
      <c r="D12" s="131">
        <v>1</v>
      </c>
      <c r="E12" s="74">
        <v>2</v>
      </c>
      <c r="F12" s="97">
        <v>64</v>
      </c>
      <c r="G12" s="120">
        <v>519</v>
      </c>
      <c r="H12" s="123">
        <v>586</v>
      </c>
    </row>
    <row r="13" spans="1:12" ht="13">
      <c r="A13" s="109">
        <v>42501.614201388889</v>
      </c>
      <c r="B13" s="142">
        <v>1</v>
      </c>
      <c r="C13" s="143">
        <v>3.3955857385398981E-3</v>
      </c>
      <c r="D13" s="131">
        <v>1</v>
      </c>
      <c r="E13" s="74">
        <v>1</v>
      </c>
      <c r="F13" s="97">
        <v>63</v>
      </c>
      <c r="G13" s="120">
        <v>524</v>
      </c>
      <c r="H13" s="123">
        <v>589</v>
      </c>
    </row>
    <row r="14" spans="1:12" ht="13">
      <c r="A14" s="109">
        <v>42513.448692129627</v>
      </c>
      <c r="B14" s="142">
        <v>2</v>
      </c>
      <c r="C14" s="143">
        <v>5.084745762711864E-3</v>
      </c>
      <c r="D14" s="131">
        <v>2</v>
      </c>
      <c r="E14" s="74">
        <v>1</v>
      </c>
      <c r="F14" s="97">
        <v>81</v>
      </c>
      <c r="G14" s="120">
        <v>506</v>
      </c>
      <c r="H14" s="123">
        <v>590</v>
      </c>
    </row>
    <row r="15" spans="1:12" ht="13">
      <c r="A15" s="109">
        <v>42520.420659722222</v>
      </c>
      <c r="B15" s="142">
        <v>2</v>
      </c>
      <c r="C15" s="143">
        <v>8.3612040133779261E-3</v>
      </c>
      <c r="D15" s="131">
        <v>2</v>
      </c>
      <c r="E15" s="74">
        <v>3</v>
      </c>
      <c r="F15" s="97">
        <v>81</v>
      </c>
      <c r="G15" s="120">
        <v>512</v>
      </c>
      <c r="H15" s="123">
        <v>598</v>
      </c>
    </row>
    <row r="16" spans="1:12" ht="13">
      <c r="A16" s="109">
        <v>42527.402800925927</v>
      </c>
      <c r="B16" s="142">
        <v>2</v>
      </c>
      <c r="C16" s="143">
        <v>8.4175084175084174E-3</v>
      </c>
      <c r="D16" s="131">
        <v>2</v>
      </c>
      <c r="E16" s="74">
        <v>3</v>
      </c>
      <c r="F16" s="97">
        <v>67</v>
      </c>
      <c r="G16" s="120">
        <v>522</v>
      </c>
      <c r="H16" s="123">
        <v>594</v>
      </c>
    </row>
    <row r="17" spans="1:8" ht="13">
      <c r="A17" s="109">
        <v>42534.468252314815</v>
      </c>
      <c r="B17" s="142">
        <v>2</v>
      </c>
      <c r="C17" s="143">
        <v>8.4317032040472171E-3</v>
      </c>
      <c r="D17" s="131">
        <v>2</v>
      </c>
      <c r="E17" s="74">
        <v>3</v>
      </c>
      <c r="F17" s="97">
        <v>63</v>
      </c>
      <c r="G17" s="120">
        <v>525</v>
      </c>
      <c r="H17" s="123">
        <v>593</v>
      </c>
    </row>
    <row r="18" spans="1:8" ht="13">
      <c r="A18" s="109">
        <v>42541.450694444444</v>
      </c>
      <c r="B18" s="142">
        <v>2</v>
      </c>
      <c r="C18" s="143">
        <v>8.4459459459459464E-3</v>
      </c>
      <c r="D18" s="131">
        <v>2</v>
      </c>
      <c r="E18" s="74">
        <v>3</v>
      </c>
      <c r="F18" s="97">
        <v>64</v>
      </c>
      <c r="G18" s="120">
        <v>523</v>
      </c>
      <c r="H18" s="123">
        <v>592</v>
      </c>
    </row>
    <row r="19" spans="1:8" ht="13">
      <c r="A19" s="109">
        <v>42548.44153935185</v>
      </c>
      <c r="B19" s="142">
        <v>2</v>
      </c>
      <c r="C19" s="143">
        <v>1.1784511784511785E-2</v>
      </c>
      <c r="D19" s="131">
        <v>2</v>
      </c>
      <c r="E19" s="74">
        <v>5</v>
      </c>
      <c r="F19" s="97">
        <v>73</v>
      </c>
      <c r="G19" s="120">
        <v>514</v>
      </c>
      <c r="H19" s="123">
        <v>594</v>
      </c>
    </row>
    <row r="20" spans="1:8" ht="13">
      <c r="A20" s="109">
        <v>42551.608217592591</v>
      </c>
      <c r="B20" s="142">
        <v>2</v>
      </c>
      <c r="C20" s="143">
        <v>1.0118043844856661E-2</v>
      </c>
      <c r="D20" s="131">
        <v>2</v>
      </c>
      <c r="E20" s="74">
        <v>4</v>
      </c>
      <c r="F20" s="97">
        <v>71</v>
      </c>
      <c r="G20" s="120">
        <v>516</v>
      </c>
      <c r="H20" s="123">
        <v>593</v>
      </c>
    </row>
    <row r="21" spans="1:8" ht="13">
      <c r="A21" s="109">
        <v>42555.431388888886</v>
      </c>
      <c r="B21" s="142">
        <v>2</v>
      </c>
      <c r="C21" s="143">
        <v>1.5100671140939598E-2</v>
      </c>
      <c r="D21" s="131">
        <v>2</v>
      </c>
      <c r="E21" s="74">
        <v>7</v>
      </c>
      <c r="F21" s="97">
        <v>58</v>
      </c>
      <c r="G21" s="120">
        <v>529</v>
      </c>
      <c r="H21" s="123">
        <v>596</v>
      </c>
    </row>
    <row r="22" spans="1:8" ht="13">
      <c r="A22" s="109">
        <v>42556.423009259262</v>
      </c>
      <c r="B22" s="142">
        <v>2</v>
      </c>
      <c r="C22" s="143">
        <v>1.5126050420168067E-2</v>
      </c>
      <c r="D22" s="131">
        <v>2</v>
      </c>
      <c r="E22" s="74">
        <v>7</v>
      </c>
      <c r="F22" s="97">
        <v>58</v>
      </c>
      <c r="G22" s="120">
        <v>528</v>
      </c>
      <c r="H22" s="123">
        <v>595</v>
      </c>
    </row>
    <row r="23" spans="1:8" ht="13">
      <c r="A23" s="109">
        <v>42562.479687500003</v>
      </c>
      <c r="B23" s="142">
        <v>2</v>
      </c>
      <c r="C23" s="143">
        <v>1.6722408026755852E-2</v>
      </c>
      <c r="D23" s="131">
        <v>2</v>
      </c>
      <c r="E23" s="74">
        <v>8</v>
      </c>
      <c r="F23" s="97">
        <v>55</v>
      </c>
      <c r="G23" s="120">
        <v>533</v>
      </c>
      <c r="H23" s="123">
        <v>598</v>
      </c>
    </row>
    <row r="24" spans="1:8" ht="13">
      <c r="A24" s="109">
        <v>42569.409317129626</v>
      </c>
      <c r="B24" s="142">
        <v>2</v>
      </c>
      <c r="C24" s="143">
        <v>1.5025041736227046E-2</v>
      </c>
      <c r="D24" s="131">
        <v>2</v>
      </c>
      <c r="E24" s="74">
        <v>7</v>
      </c>
      <c r="F24" s="97">
        <v>53</v>
      </c>
      <c r="G24" s="120">
        <v>537</v>
      </c>
      <c r="H24" s="123">
        <v>599</v>
      </c>
    </row>
    <row r="25" spans="1:8" ht="13">
      <c r="A25" s="109">
        <v>42576.426493055558</v>
      </c>
      <c r="B25" s="142">
        <v>2</v>
      </c>
      <c r="C25" s="143">
        <v>1.6666666666666666E-2</v>
      </c>
      <c r="D25" s="131">
        <v>2</v>
      </c>
      <c r="E25" s="74">
        <v>8</v>
      </c>
      <c r="F25" s="97">
        <v>66</v>
      </c>
      <c r="G25" s="120">
        <v>524</v>
      </c>
      <c r="H25" s="123">
        <v>600</v>
      </c>
    </row>
    <row r="26" spans="1:8" ht="13">
      <c r="A26" s="109">
        <v>42583.395636574074</v>
      </c>
      <c r="B26" s="142">
        <v>4</v>
      </c>
      <c r="C26" s="143">
        <v>2.1702838063439065E-2</v>
      </c>
      <c r="D26" s="131">
        <v>4</v>
      </c>
      <c r="E26" s="74">
        <v>9</v>
      </c>
      <c r="F26" s="97">
        <v>59</v>
      </c>
      <c r="G26" s="120">
        <v>527</v>
      </c>
      <c r="H26" s="123">
        <v>599</v>
      </c>
    </row>
    <row r="27" spans="1:8" ht="13">
      <c r="A27" s="109">
        <v>42590.397152777776</v>
      </c>
      <c r="B27" s="142">
        <v>5</v>
      </c>
      <c r="C27" s="143">
        <v>0.02</v>
      </c>
      <c r="D27" s="131">
        <v>5</v>
      </c>
      <c r="E27" s="74">
        <v>7</v>
      </c>
      <c r="F27" s="97">
        <v>57</v>
      </c>
      <c r="G27" s="120">
        <v>531</v>
      </c>
      <c r="H27" s="123">
        <v>600</v>
      </c>
    </row>
    <row r="28" spans="1:8" ht="13">
      <c r="A28" s="109">
        <v>42598.423692129632</v>
      </c>
      <c r="B28" s="142">
        <v>3</v>
      </c>
      <c r="C28" s="143">
        <v>1.1608623548922056E-2</v>
      </c>
      <c r="D28" s="131">
        <v>3</v>
      </c>
      <c r="E28" s="74">
        <v>4</v>
      </c>
      <c r="F28" s="97">
        <v>57</v>
      </c>
      <c r="G28" s="120">
        <v>539</v>
      </c>
      <c r="H28" s="123">
        <v>603</v>
      </c>
    </row>
    <row r="29" spans="1:8" ht="13">
      <c r="A29" s="109">
        <v>42604.56925925926</v>
      </c>
      <c r="B29" s="142">
        <v>3</v>
      </c>
      <c r="C29" s="143">
        <v>1.1570247933884297E-2</v>
      </c>
      <c r="D29" s="131">
        <v>3</v>
      </c>
      <c r="E29" s="74">
        <v>4</v>
      </c>
      <c r="F29" s="97">
        <v>92</v>
      </c>
      <c r="G29" s="120">
        <v>506</v>
      </c>
      <c r="H29" s="123">
        <v>605</v>
      </c>
    </row>
    <row r="30" spans="1:8" ht="13">
      <c r="A30" s="109">
        <v>42611.436157407406</v>
      </c>
      <c r="B30" s="142">
        <v>3</v>
      </c>
      <c r="C30" s="143">
        <v>1.1532125205930808E-2</v>
      </c>
      <c r="D30" s="131">
        <v>3</v>
      </c>
      <c r="E30" s="74">
        <v>4</v>
      </c>
      <c r="F30" s="97">
        <v>91</v>
      </c>
      <c r="G30" s="120">
        <v>509</v>
      </c>
      <c r="H30" s="123">
        <v>607</v>
      </c>
    </row>
    <row r="31" spans="1:8" ht="13">
      <c r="A31" s="109">
        <v>42618.48710648148</v>
      </c>
      <c r="B31" s="142">
        <v>4</v>
      </c>
      <c r="C31" s="143">
        <v>3.1147540983606559E-2</v>
      </c>
      <c r="D31" s="131">
        <v>4</v>
      </c>
      <c r="E31" s="74">
        <v>15</v>
      </c>
      <c r="F31" s="97">
        <v>85</v>
      </c>
      <c r="G31" s="120">
        <v>506</v>
      </c>
      <c r="H31" s="123">
        <v>610</v>
      </c>
    </row>
    <row r="32" spans="1:8" ht="13">
      <c r="A32" s="109">
        <v>42625.401377314818</v>
      </c>
      <c r="B32" s="142">
        <v>4</v>
      </c>
      <c r="C32" s="143">
        <v>3.4426229508196723E-2</v>
      </c>
      <c r="D32" s="131">
        <v>4</v>
      </c>
      <c r="E32" s="74">
        <v>17</v>
      </c>
      <c r="F32" s="97">
        <v>83</v>
      </c>
      <c r="G32" s="120">
        <v>506</v>
      </c>
      <c r="H32" s="123">
        <v>610</v>
      </c>
    </row>
    <row r="33" spans="1:8" ht="13">
      <c r="A33" s="109">
        <v>42632.449699074074</v>
      </c>
      <c r="B33" s="142">
        <v>2</v>
      </c>
      <c r="C33" s="143">
        <v>3.2755298651252408E-2</v>
      </c>
      <c r="D33" s="131">
        <v>2</v>
      </c>
      <c r="E33" s="74">
        <v>15</v>
      </c>
      <c r="F33" s="97">
        <v>74</v>
      </c>
      <c r="G33" s="120">
        <v>428</v>
      </c>
      <c r="H33" s="123">
        <v>519</v>
      </c>
    </row>
    <row r="34" spans="1:8" ht="13">
      <c r="A34" s="109">
        <v>42639.392222222225</v>
      </c>
      <c r="B34" s="142">
        <v>2</v>
      </c>
      <c r="C34" s="143">
        <v>3.2882011605415859E-2</v>
      </c>
      <c r="D34" s="131">
        <v>2</v>
      </c>
      <c r="E34" s="74">
        <v>15</v>
      </c>
      <c r="F34" s="97">
        <v>82</v>
      </c>
      <c r="G34" s="120">
        <v>418</v>
      </c>
      <c r="H34" s="123">
        <v>517</v>
      </c>
    </row>
    <row r="35" spans="1:8" ht="13">
      <c r="A35" s="109">
        <v>42646.483842592592</v>
      </c>
      <c r="B35" s="142">
        <v>3</v>
      </c>
      <c r="C35" s="143">
        <v>4.0618955512572531E-2</v>
      </c>
      <c r="D35" s="131">
        <v>3</v>
      </c>
      <c r="E35" s="74">
        <v>18</v>
      </c>
      <c r="F35" s="97">
        <v>75</v>
      </c>
      <c r="G35" s="120">
        <v>421</v>
      </c>
      <c r="H35" s="123">
        <v>517</v>
      </c>
    </row>
    <row r="36" spans="1:8" ht="13">
      <c r="A36" s="109">
        <v>42653.408587962964</v>
      </c>
      <c r="B36" s="142">
        <v>3</v>
      </c>
      <c r="C36" s="143">
        <v>1.5444015444015444E-2</v>
      </c>
      <c r="D36" s="131">
        <v>3</v>
      </c>
      <c r="E36" s="74">
        <v>5</v>
      </c>
      <c r="F36" s="97">
        <v>76</v>
      </c>
      <c r="G36" s="120">
        <v>434</v>
      </c>
      <c r="H36" s="123">
        <v>518</v>
      </c>
    </row>
    <row r="37" spans="1:8" ht="13">
      <c r="A37" s="109">
        <v>42660.441608796296</v>
      </c>
      <c r="B37" s="142">
        <v>7</v>
      </c>
      <c r="C37" s="143">
        <v>2.7914614121510674E-2</v>
      </c>
      <c r="D37" s="131">
        <v>7</v>
      </c>
      <c r="E37" s="74">
        <v>10</v>
      </c>
      <c r="F37" s="97">
        <v>80</v>
      </c>
      <c r="G37" s="120">
        <v>512</v>
      </c>
      <c r="H37" s="123">
        <v>609</v>
      </c>
    </row>
    <row r="38" spans="1:8" ht="13">
      <c r="A38" s="109">
        <v>42667.413321759261</v>
      </c>
      <c r="B38" s="142">
        <v>7</v>
      </c>
      <c r="C38" s="143">
        <v>2.6272577996715927E-2</v>
      </c>
      <c r="D38" s="131">
        <v>7</v>
      </c>
      <c r="E38" s="74">
        <v>9</v>
      </c>
      <c r="F38" s="97">
        <v>87</v>
      </c>
      <c r="G38" s="120">
        <v>506</v>
      </c>
      <c r="H38" s="123">
        <v>609</v>
      </c>
    </row>
    <row r="39" spans="1:8" ht="13">
      <c r="A39" s="109">
        <v>42676.452511574076</v>
      </c>
      <c r="B39" s="142">
        <v>7</v>
      </c>
      <c r="C39" s="143">
        <v>4.1050903119868636E-2</v>
      </c>
      <c r="D39" s="131">
        <v>7</v>
      </c>
      <c r="E39" s="74">
        <v>18</v>
      </c>
      <c r="F39" s="97">
        <v>70</v>
      </c>
      <c r="G39" s="120">
        <v>514</v>
      </c>
      <c r="H39" s="123">
        <v>609</v>
      </c>
    </row>
    <row r="40" spans="1:8" ht="13">
      <c r="A40" s="109">
        <v>42681.405451388891</v>
      </c>
      <c r="B40" s="142">
        <v>8</v>
      </c>
      <c r="C40" s="143">
        <v>4.1118421052631582E-2</v>
      </c>
      <c r="D40" s="131">
        <v>8</v>
      </c>
      <c r="E40" s="74">
        <v>17</v>
      </c>
      <c r="F40" s="97">
        <v>69</v>
      </c>
      <c r="G40" s="120">
        <v>514</v>
      </c>
      <c r="H40" s="123">
        <v>608</v>
      </c>
    </row>
    <row r="41" spans="1:8" ht="13">
      <c r="A41" s="109">
        <v>42683.719085648147</v>
      </c>
      <c r="B41" s="142">
        <v>9</v>
      </c>
      <c r="C41" s="143">
        <v>2.9605263157894735E-2</v>
      </c>
      <c r="D41" s="131">
        <v>9</v>
      </c>
      <c r="E41" s="74">
        <v>9</v>
      </c>
      <c r="F41" s="97">
        <v>67</v>
      </c>
      <c r="G41" s="120">
        <v>523</v>
      </c>
      <c r="H41" s="123">
        <v>608</v>
      </c>
    </row>
    <row r="42" spans="1:8" ht="13">
      <c r="A42" s="109">
        <v>42688.424861111111</v>
      </c>
      <c r="B42" s="142">
        <v>11</v>
      </c>
      <c r="C42" s="143">
        <v>2.7914614121510674E-2</v>
      </c>
      <c r="D42" s="131">
        <v>11</v>
      </c>
      <c r="E42" s="74">
        <v>6</v>
      </c>
      <c r="F42" s="97">
        <v>69</v>
      </c>
      <c r="G42" s="120">
        <v>523</v>
      </c>
      <c r="H42" s="123">
        <v>609</v>
      </c>
    </row>
    <row r="43" spans="1:8" ht="13">
      <c r="A43" s="109">
        <v>42695.437754629631</v>
      </c>
      <c r="B43" s="142">
        <v>13</v>
      </c>
      <c r="C43" s="143">
        <v>2.7914614121510674E-2</v>
      </c>
      <c r="D43" s="131">
        <v>13</v>
      </c>
      <c r="E43" s="74">
        <v>4</v>
      </c>
      <c r="F43" s="97">
        <v>70</v>
      </c>
      <c r="G43" s="120">
        <v>522</v>
      </c>
      <c r="H43" s="123">
        <v>609</v>
      </c>
    </row>
    <row r="44" spans="1:8" ht="13">
      <c r="A44" s="109">
        <v>42702.4216087963</v>
      </c>
      <c r="B44" s="142">
        <v>14</v>
      </c>
      <c r="C44" s="143">
        <v>2.7914614121510674E-2</v>
      </c>
      <c r="D44" s="131">
        <v>14</v>
      </c>
      <c r="E44" s="74">
        <v>3</v>
      </c>
      <c r="F44" s="97">
        <v>71</v>
      </c>
      <c r="G44" s="120">
        <v>521</v>
      </c>
      <c r="H44" s="123">
        <v>609</v>
      </c>
    </row>
    <row r="45" spans="1:8" ht="13">
      <c r="A45" s="109">
        <v>42709.40519675926</v>
      </c>
      <c r="B45" s="142">
        <v>14</v>
      </c>
      <c r="C45" s="143">
        <v>8.2101806239737271E-2</v>
      </c>
      <c r="D45" s="131">
        <v>14</v>
      </c>
      <c r="E45" s="74">
        <v>36</v>
      </c>
      <c r="F45" s="97">
        <v>36</v>
      </c>
      <c r="G45" s="120">
        <v>523</v>
      </c>
      <c r="H45" s="123">
        <v>609</v>
      </c>
    </row>
    <row r="46" spans="1:8" ht="13">
      <c r="A46" s="109">
        <v>42711.355162037034</v>
      </c>
      <c r="B46" s="142">
        <v>14</v>
      </c>
      <c r="C46" s="143">
        <v>8.3743842364532015E-2</v>
      </c>
      <c r="D46" s="131">
        <v>14</v>
      </c>
      <c r="E46" s="74">
        <v>37</v>
      </c>
      <c r="F46" s="97">
        <v>36</v>
      </c>
      <c r="G46" s="120">
        <v>522</v>
      </c>
      <c r="H46" s="123">
        <v>609</v>
      </c>
    </row>
    <row r="47" spans="1:8" ht="13">
      <c r="A47" s="109">
        <v>42716.424583333333</v>
      </c>
      <c r="B47" s="142">
        <v>13</v>
      </c>
      <c r="C47" s="143">
        <v>9.2105263157894732E-2</v>
      </c>
      <c r="D47" s="131">
        <v>13</v>
      </c>
      <c r="E47" s="74">
        <v>43</v>
      </c>
      <c r="F47" s="97">
        <v>27</v>
      </c>
      <c r="G47" s="120">
        <v>525</v>
      </c>
      <c r="H47" s="123">
        <v>608</v>
      </c>
    </row>
    <row r="48" spans="1:8" ht="13">
      <c r="A48" s="109">
        <v>42724.459814814814</v>
      </c>
      <c r="B48" s="142">
        <v>12</v>
      </c>
      <c r="C48" s="143">
        <v>7.7429983525535415E-2</v>
      </c>
      <c r="D48" s="131">
        <v>12</v>
      </c>
      <c r="E48" s="74">
        <v>35</v>
      </c>
      <c r="F48" s="97">
        <v>27</v>
      </c>
      <c r="G48" s="120">
        <v>533</v>
      </c>
      <c r="H48" s="123">
        <v>607</v>
      </c>
    </row>
    <row r="49" spans="1:8" ht="13">
      <c r="A49" s="109">
        <v>42727.404166666667</v>
      </c>
      <c r="B49" s="142">
        <v>12</v>
      </c>
      <c r="C49" s="143">
        <v>7.6158940397350994E-2</v>
      </c>
      <c r="D49" s="131">
        <v>12</v>
      </c>
      <c r="E49" s="74">
        <v>34</v>
      </c>
      <c r="F49" s="97">
        <v>37</v>
      </c>
      <c r="G49" s="120">
        <v>521</v>
      </c>
      <c r="H49" s="123">
        <v>604</v>
      </c>
    </row>
    <row r="50" spans="1:8" ht="13">
      <c r="A50" s="109">
        <v>42738.449259259258</v>
      </c>
      <c r="B50" s="142">
        <v>14</v>
      </c>
      <c r="C50" s="143">
        <v>8.2781456953642391E-2</v>
      </c>
      <c r="D50" s="131">
        <v>14</v>
      </c>
      <c r="E50" s="74">
        <v>36</v>
      </c>
      <c r="F50" s="97">
        <v>34</v>
      </c>
      <c r="G50" s="120">
        <v>520</v>
      </c>
      <c r="H50" s="123">
        <v>604</v>
      </c>
    </row>
    <row r="51" spans="1:8" ht="13">
      <c r="A51" s="109">
        <v>42744.466435185182</v>
      </c>
      <c r="B51" s="142">
        <v>14</v>
      </c>
      <c r="C51" s="143">
        <v>8.4437086092715233E-2</v>
      </c>
      <c r="D51" s="131">
        <v>14</v>
      </c>
      <c r="E51" s="74">
        <v>37</v>
      </c>
      <c r="F51" s="97">
        <v>42</v>
      </c>
      <c r="G51" s="120">
        <v>511</v>
      </c>
      <c r="H51" s="123">
        <v>604</v>
      </c>
    </row>
    <row r="52" spans="1:8" ht="13">
      <c r="A52" s="109">
        <v>42751.422847222224</v>
      </c>
      <c r="B52" s="142">
        <v>14</v>
      </c>
      <c r="C52" s="143">
        <v>8.2781456953642391E-2</v>
      </c>
      <c r="D52" s="131">
        <v>14</v>
      </c>
      <c r="E52" s="74">
        <v>36</v>
      </c>
      <c r="F52" s="97">
        <v>39</v>
      </c>
      <c r="G52" s="120">
        <v>515</v>
      </c>
      <c r="H52" s="123">
        <v>604</v>
      </c>
    </row>
    <row r="53" spans="1:8" ht="13">
      <c r="A53" s="109">
        <v>42758.444837962961</v>
      </c>
      <c r="B53" s="142">
        <v>13</v>
      </c>
      <c r="C53" s="143">
        <v>8.6505190311418678E-2</v>
      </c>
      <c r="D53" s="131">
        <v>13</v>
      </c>
      <c r="E53" s="74">
        <v>37</v>
      </c>
      <c r="F53" s="97">
        <v>64</v>
      </c>
      <c r="G53" s="120">
        <v>464</v>
      </c>
      <c r="H53" s="123">
        <v>578</v>
      </c>
    </row>
    <row r="54" spans="1:8" ht="13">
      <c r="A54" s="109">
        <v>42765.454861111109</v>
      </c>
      <c r="B54" s="142">
        <v>43</v>
      </c>
      <c r="C54" s="143">
        <v>8.6522462562396013E-2</v>
      </c>
      <c r="D54" s="131">
        <v>43</v>
      </c>
      <c r="E54" s="74">
        <v>9</v>
      </c>
      <c r="F54" s="97">
        <v>62</v>
      </c>
      <c r="G54" s="120">
        <v>487</v>
      </c>
      <c r="H54" s="123">
        <v>601</v>
      </c>
    </row>
    <row r="55" spans="1:8" ht="13">
      <c r="A55" s="109">
        <v>42772.428946759261</v>
      </c>
      <c r="B55" s="142">
        <v>43</v>
      </c>
      <c r="C55" s="143">
        <v>9.6505823627287851E-2</v>
      </c>
      <c r="D55" s="131">
        <v>43</v>
      </c>
      <c r="E55" s="74">
        <v>15</v>
      </c>
      <c r="F55" s="97">
        <v>57</v>
      </c>
      <c r="G55" s="120">
        <v>486</v>
      </c>
      <c r="H55" s="123">
        <v>601</v>
      </c>
    </row>
    <row r="56" spans="1:8" ht="13">
      <c r="A56" s="109">
        <v>42779.419340277775</v>
      </c>
      <c r="B56" s="142">
        <v>43</v>
      </c>
      <c r="C56" s="143">
        <v>9.1819699499165269E-2</v>
      </c>
      <c r="D56" s="131">
        <v>43</v>
      </c>
      <c r="E56" s="74">
        <v>12</v>
      </c>
      <c r="F56" s="97">
        <v>57</v>
      </c>
      <c r="G56" s="120">
        <v>487</v>
      </c>
      <c r="H56" s="123">
        <v>599</v>
      </c>
    </row>
    <row r="57" spans="1:8" ht="13">
      <c r="A57" s="109">
        <v>42786.431423611109</v>
      </c>
      <c r="B57" s="142">
        <v>45</v>
      </c>
      <c r="C57" s="143">
        <v>9.3489148580968282E-2</v>
      </c>
      <c r="D57" s="131">
        <v>45</v>
      </c>
      <c r="E57" s="74">
        <v>11</v>
      </c>
      <c r="F57" s="97">
        <v>59</v>
      </c>
      <c r="G57" s="120">
        <v>484</v>
      </c>
      <c r="H57" s="123">
        <v>599</v>
      </c>
    </row>
    <row r="58" spans="1:8" ht="13">
      <c r="A58" s="109">
        <v>42793.410162037035</v>
      </c>
      <c r="B58" s="142">
        <v>18</v>
      </c>
      <c r="C58" s="143">
        <v>5.016722408026756E-2</v>
      </c>
      <c r="D58" s="131">
        <v>18</v>
      </c>
      <c r="E58" s="74">
        <v>12</v>
      </c>
      <c r="F58" s="97">
        <v>63</v>
      </c>
      <c r="G58" s="120">
        <v>505</v>
      </c>
      <c r="H58" s="123">
        <v>598</v>
      </c>
    </row>
    <row r="59" spans="1:8" ht="13">
      <c r="A59" s="109">
        <v>42800.431817129633</v>
      </c>
      <c r="B59" s="142">
        <v>21</v>
      </c>
      <c r="C59" s="143">
        <v>5.2100840336134456E-2</v>
      </c>
      <c r="D59" s="131">
        <v>21</v>
      </c>
      <c r="E59" s="74">
        <v>10</v>
      </c>
      <c r="F59" s="97">
        <v>62</v>
      </c>
      <c r="G59" s="120">
        <v>502</v>
      </c>
      <c r="H59" s="123">
        <v>595</v>
      </c>
    </row>
    <row r="60" spans="1:8" ht="13">
      <c r="A60" s="109">
        <v>42804.467083333337</v>
      </c>
      <c r="B60" s="142">
        <v>21</v>
      </c>
      <c r="C60" s="143">
        <v>5.1926298157453935E-2</v>
      </c>
      <c r="D60" s="131">
        <v>21</v>
      </c>
      <c r="E60" s="74">
        <v>10</v>
      </c>
      <c r="F60" s="97">
        <v>61</v>
      </c>
      <c r="G60" s="120">
        <v>505</v>
      </c>
      <c r="H60" s="123">
        <v>597</v>
      </c>
    </row>
    <row r="61" spans="1:8" ht="13">
      <c r="A61" s="109">
        <v>42807.493483796294</v>
      </c>
      <c r="B61" s="142">
        <v>21</v>
      </c>
      <c r="C61" s="143">
        <v>5.1926298157453935E-2</v>
      </c>
      <c r="D61" s="131">
        <v>21</v>
      </c>
      <c r="E61" s="74">
        <v>10</v>
      </c>
      <c r="F61" s="97">
        <v>60</v>
      </c>
      <c r="G61" s="120">
        <v>506</v>
      </c>
      <c r="H61" s="123">
        <v>597</v>
      </c>
    </row>
    <row r="62" spans="1:8" ht="13">
      <c r="A62" s="109">
        <v>42814.69222222222</v>
      </c>
      <c r="B62" s="142">
        <v>22</v>
      </c>
      <c r="C62" s="143">
        <v>5.3601340033500838E-2</v>
      </c>
      <c r="D62" s="131">
        <v>22</v>
      </c>
      <c r="E62" s="74">
        <v>10</v>
      </c>
      <c r="F62" s="97">
        <v>62</v>
      </c>
      <c r="G62" s="120">
        <v>503</v>
      </c>
      <c r="H62" s="123">
        <v>597</v>
      </c>
    </row>
    <row r="63" spans="1:8" ht="13">
      <c r="A63" s="109">
        <v>42821.480046296296</v>
      </c>
      <c r="B63" s="142">
        <v>24</v>
      </c>
      <c r="C63" s="143">
        <v>5.5183946488294312E-2</v>
      </c>
      <c r="D63" s="131">
        <v>24</v>
      </c>
      <c r="E63" s="74">
        <v>9</v>
      </c>
      <c r="F63" s="97">
        <v>75</v>
      </c>
      <c r="G63" s="120">
        <v>490</v>
      </c>
      <c r="H63" s="123">
        <v>598</v>
      </c>
    </row>
    <row r="64" spans="1:8" ht="13">
      <c r="A64" s="109">
        <v>42828.420694444445</v>
      </c>
      <c r="B64" s="142">
        <v>24</v>
      </c>
      <c r="C64" s="143">
        <v>6.3651591289782247E-2</v>
      </c>
      <c r="D64" s="131">
        <v>24</v>
      </c>
      <c r="E64" s="74">
        <v>14</v>
      </c>
      <c r="F64" s="97">
        <v>62</v>
      </c>
      <c r="G64" s="120">
        <v>497</v>
      </c>
      <c r="H64" s="123">
        <v>597</v>
      </c>
    </row>
    <row r="65" spans="1:8" ht="13">
      <c r="A65" s="109">
        <v>42835.393483796295</v>
      </c>
      <c r="B65" s="142">
        <v>21</v>
      </c>
      <c r="C65" s="143">
        <v>6.030150753768844E-2</v>
      </c>
      <c r="D65" s="131">
        <v>21</v>
      </c>
      <c r="E65" s="74">
        <v>15</v>
      </c>
      <c r="F65" s="97">
        <v>53</v>
      </c>
      <c r="G65" s="120">
        <v>508</v>
      </c>
      <c r="H65" s="123">
        <v>597</v>
      </c>
    </row>
    <row r="66" spans="1:8" ht="13">
      <c r="A66" s="109">
        <v>42843.497013888889</v>
      </c>
      <c r="B66" s="142">
        <v>22</v>
      </c>
      <c r="C66" s="143">
        <v>6.2080536912751678E-2</v>
      </c>
      <c r="D66" s="131">
        <v>22</v>
      </c>
      <c r="E66" s="74">
        <v>15</v>
      </c>
      <c r="F66" s="97">
        <v>51</v>
      </c>
      <c r="G66" s="120">
        <v>508</v>
      </c>
      <c r="H66" s="123">
        <v>596</v>
      </c>
    </row>
    <row r="67" spans="1:8" ht="13">
      <c r="A67" s="109">
        <v>42849.415648148148</v>
      </c>
      <c r="B67" s="142">
        <v>22</v>
      </c>
      <c r="C67" s="143">
        <v>6.0504201680672269E-2</v>
      </c>
      <c r="D67" s="131">
        <v>22</v>
      </c>
      <c r="E67" s="74">
        <v>14</v>
      </c>
      <c r="F67" s="97">
        <v>56</v>
      </c>
      <c r="G67" s="120">
        <v>503</v>
      </c>
      <c r="H67" s="123">
        <v>595</v>
      </c>
    </row>
    <row r="68" spans="1:8" ht="13">
      <c r="A68" s="109">
        <v>42857.627905092595</v>
      </c>
      <c r="B68" s="142">
        <v>24</v>
      </c>
      <c r="C68" s="143">
        <v>7.407407407407407E-2</v>
      </c>
      <c r="D68" s="131">
        <v>24</v>
      </c>
      <c r="E68" s="74">
        <v>20</v>
      </c>
      <c r="F68" s="97">
        <v>40</v>
      </c>
      <c r="G68" s="120">
        <v>510</v>
      </c>
      <c r="H68" s="123">
        <v>594</v>
      </c>
    </row>
    <row r="69" spans="1:8" ht="13">
      <c r="A69" s="109">
        <v>42864.412465277775</v>
      </c>
      <c r="B69" s="142">
        <v>24</v>
      </c>
      <c r="C69" s="143">
        <v>7.407407407407407E-2</v>
      </c>
      <c r="D69" s="131">
        <v>24</v>
      </c>
      <c r="E69" s="74">
        <v>20</v>
      </c>
      <c r="F69" s="97">
        <v>42</v>
      </c>
      <c r="G69" s="120">
        <v>508</v>
      </c>
      <c r="H69" s="123">
        <v>594</v>
      </c>
    </row>
    <row r="70" spans="1:8" ht="13">
      <c r="A70" s="109">
        <v>42870.423726851855</v>
      </c>
      <c r="B70" s="142">
        <v>24</v>
      </c>
      <c r="C70" s="143">
        <v>7.575757575757576E-2</v>
      </c>
      <c r="D70" s="131">
        <v>24</v>
      </c>
      <c r="E70" s="74">
        <v>21</v>
      </c>
      <c r="F70" s="97">
        <v>41</v>
      </c>
      <c r="G70" s="120">
        <v>508</v>
      </c>
      <c r="H70" s="123">
        <v>594</v>
      </c>
    </row>
    <row r="71" spans="1:8" ht="13">
      <c r="A71" s="109">
        <v>42877.638171296298</v>
      </c>
      <c r="B71" s="142">
        <v>22</v>
      </c>
      <c r="C71" s="143">
        <v>6.9536423841059597E-2</v>
      </c>
      <c r="D71" s="131">
        <v>22</v>
      </c>
      <c r="E71" s="74">
        <v>20</v>
      </c>
      <c r="F71" s="97">
        <v>42</v>
      </c>
      <c r="G71" s="120">
        <v>520</v>
      </c>
      <c r="H71" s="123">
        <v>604</v>
      </c>
    </row>
    <row r="72" spans="1:8" ht="13">
      <c r="A72" s="109">
        <v>42884.443055555559</v>
      </c>
      <c r="B72" s="142">
        <v>23</v>
      </c>
      <c r="C72" s="143">
        <v>7.0957095709570955E-2</v>
      </c>
      <c r="D72" s="131">
        <v>23</v>
      </c>
      <c r="E72" s="74">
        <v>20</v>
      </c>
      <c r="F72" s="97">
        <v>43</v>
      </c>
      <c r="G72" s="120">
        <v>520</v>
      </c>
      <c r="H72" s="123">
        <v>606</v>
      </c>
    </row>
    <row r="73" spans="1:8" ht="13">
      <c r="A73" s="109">
        <v>42892.41547453704</v>
      </c>
      <c r="B73" s="142">
        <v>25</v>
      </c>
      <c r="C73" s="143">
        <v>6.8292682926829273E-2</v>
      </c>
      <c r="D73" s="131">
        <v>25</v>
      </c>
      <c r="E73" s="74">
        <v>17</v>
      </c>
      <c r="F73" s="97">
        <v>41</v>
      </c>
      <c r="G73" s="120">
        <v>532</v>
      </c>
      <c r="H73" s="123">
        <v>615</v>
      </c>
    </row>
    <row r="74" spans="1:8" ht="13">
      <c r="A74" s="109">
        <v>42898.416620370372</v>
      </c>
      <c r="B74" s="142">
        <v>26</v>
      </c>
      <c r="C74" s="143">
        <v>6.9918699186991867E-2</v>
      </c>
      <c r="D74" s="131">
        <v>26</v>
      </c>
      <c r="E74" s="74">
        <v>17</v>
      </c>
      <c r="F74" s="97">
        <v>40</v>
      </c>
      <c r="G74" s="120">
        <v>532</v>
      </c>
      <c r="H74" s="123">
        <v>615</v>
      </c>
    </row>
    <row r="75" spans="1:8" ht="13">
      <c r="A75" s="109">
        <v>42905.427789351852</v>
      </c>
      <c r="B75" s="142">
        <v>26</v>
      </c>
      <c r="C75" s="143">
        <v>6.6558441558441553E-2</v>
      </c>
      <c r="D75" s="131">
        <v>26</v>
      </c>
      <c r="E75" s="74">
        <v>15</v>
      </c>
      <c r="F75" s="97">
        <v>40</v>
      </c>
      <c r="G75" s="120">
        <v>535</v>
      </c>
      <c r="H75" s="123">
        <v>616</v>
      </c>
    </row>
    <row r="76" spans="1:8" ht="13">
      <c r="A76" s="109">
        <v>42907.806296296294</v>
      </c>
      <c r="B76" s="142">
        <v>2</v>
      </c>
      <c r="C76" s="143">
        <v>2.7918781725888325E-2</v>
      </c>
      <c r="D76" s="131">
        <v>2</v>
      </c>
      <c r="E76" s="74">
        <v>9</v>
      </c>
      <c r="F76" s="97">
        <v>39</v>
      </c>
      <c r="G76" s="120">
        <v>344</v>
      </c>
      <c r="H76" s="123">
        <v>394</v>
      </c>
    </row>
    <row r="77" spans="1:8" ht="13">
      <c r="A77" s="109">
        <v>42909.422650462962</v>
      </c>
      <c r="B77" s="142">
        <v>2</v>
      </c>
      <c r="C77" s="143">
        <v>7.6142131979695434E-3</v>
      </c>
      <c r="D77" s="131">
        <v>2</v>
      </c>
      <c r="E77" s="74">
        <v>1</v>
      </c>
      <c r="F77" s="97">
        <v>21</v>
      </c>
      <c r="G77" s="120">
        <v>370</v>
      </c>
      <c r="H77" s="123">
        <v>394</v>
      </c>
    </row>
    <row r="78" spans="1:8" ht="13">
      <c r="A78" s="109">
        <v>42913.476689814815</v>
      </c>
      <c r="B78" s="142">
        <v>1</v>
      </c>
      <c r="C78" s="143">
        <v>7.6335877862595417E-3</v>
      </c>
      <c r="D78" s="131">
        <v>1</v>
      </c>
      <c r="E78" s="74">
        <v>2</v>
      </c>
      <c r="F78" s="97">
        <v>20</v>
      </c>
      <c r="G78" s="120">
        <v>370</v>
      </c>
      <c r="H78" s="123">
        <v>393</v>
      </c>
    </row>
    <row r="79" spans="1:8" ht="13">
      <c r="A79" s="109">
        <v>42919.410949074074</v>
      </c>
      <c r="B79" s="142">
        <v>2</v>
      </c>
      <c r="C79" s="143">
        <v>2.2959183673469389E-2</v>
      </c>
      <c r="D79" s="131">
        <v>2</v>
      </c>
      <c r="E79" s="74">
        <v>7</v>
      </c>
      <c r="F79" s="97">
        <v>18</v>
      </c>
      <c r="G79" s="120">
        <v>365</v>
      </c>
      <c r="H79" s="123">
        <v>392</v>
      </c>
    </row>
    <row r="80" spans="1:8" ht="13">
      <c r="A80" s="109">
        <v>42926.393206018518</v>
      </c>
      <c r="B80" s="142">
        <v>1</v>
      </c>
      <c r="C80" s="143">
        <v>2.2959183673469389E-2</v>
      </c>
      <c r="D80" s="131">
        <v>1</v>
      </c>
      <c r="E80" s="74">
        <v>8</v>
      </c>
      <c r="F80" s="97">
        <v>17</v>
      </c>
      <c r="G80" s="120">
        <v>366</v>
      </c>
      <c r="H80" s="123">
        <v>392</v>
      </c>
    </row>
    <row r="81" spans="1:8" ht="13">
      <c r="A81" s="109">
        <v>42933.385069444441</v>
      </c>
      <c r="B81" s="142">
        <v>1</v>
      </c>
      <c r="C81" s="143">
        <v>2.0408163265306121E-2</v>
      </c>
      <c r="D81" s="131">
        <v>1</v>
      </c>
      <c r="E81" s="74">
        <v>7</v>
      </c>
      <c r="F81" s="97">
        <v>16</v>
      </c>
      <c r="G81" s="120">
        <v>368</v>
      </c>
      <c r="H81" s="123">
        <v>392</v>
      </c>
    </row>
    <row r="82" spans="1:8" ht="13">
      <c r="A82" s="109">
        <v>42940.390914351854</v>
      </c>
      <c r="B82" s="142">
        <v>0</v>
      </c>
      <c r="C82" s="143">
        <v>1.5267175572519083E-2</v>
      </c>
      <c r="D82" s="131">
        <v>0</v>
      </c>
      <c r="E82" s="74">
        <v>6</v>
      </c>
      <c r="F82" s="97">
        <v>13</v>
      </c>
      <c r="G82" s="120">
        <v>374</v>
      </c>
      <c r="H82" s="123">
        <v>393</v>
      </c>
    </row>
    <row r="83" spans="1:8" ht="13">
      <c r="A83" s="109">
        <v>42947.39471064815</v>
      </c>
      <c r="B83" s="142">
        <v>0</v>
      </c>
      <c r="C83" s="143">
        <v>1.5306122448979591E-2</v>
      </c>
      <c r="D83" s="131">
        <v>0</v>
      </c>
      <c r="E83" s="74">
        <v>6</v>
      </c>
      <c r="F83" s="97">
        <v>10</v>
      </c>
      <c r="G83" s="120">
        <v>376</v>
      </c>
      <c r="H83" s="123">
        <v>392</v>
      </c>
    </row>
    <row r="84" spans="1:8" ht="13">
      <c r="A84" s="109">
        <v>42954.406840277778</v>
      </c>
      <c r="B84" s="142">
        <v>0</v>
      </c>
      <c r="C84" s="143">
        <v>2.5510204081632654E-2</v>
      </c>
      <c r="D84" s="131">
        <v>0</v>
      </c>
      <c r="E84" s="74">
        <v>10</v>
      </c>
      <c r="F84" s="97">
        <v>17</v>
      </c>
      <c r="G84" s="120">
        <v>365</v>
      </c>
      <c r="H84" s="123">
        <v>392</v>
      </c>
    </row>
    <row r="85" spans="1:8" ht="13">
      <c r="A85" s="109">
        <v>42963.385335648149</v>
      </c>
      <c r="B85" s="142">
        <v>0</v>
      </c>
      <c r="C85" s="143">
        <v>2.0356234096692113E-2</v>
      </c>
      <c r="D85" s="131">
        <v>0</v>
      </c>
      <c r="E85" s="74">
        <v>8</v>
      </c>
      <c r="F85" s="97">
        <v>15</v>
      </c>
      <c r="G85" s="120">
        <v>370</v>
      </c>
      <c r="H85" s="123">
        <v>393</v>
      </c>
    </row>
    <row r="86" spans="1:8" ht="13">
      <c r="A86" s="109">
        <v>42968.391273148147</v>
      </c>
      <c r="B86" s="142">
        <v>0</v>
      </c>
      <c r="C86" s="143">
        <v>2.0356234096692113E-2</v>
      </c>
      <c r="D86" s="131">
        <v>0</v>
      </c>
      <c r="E86" s="74">
        <v>8</v>
      </c>
      <c r="F86" s="97">
        <v>15</v>
      </c>
      <c r="G86" s="120">
        <v>370</v>
      </c>
      <c r="H86" s="123">
        <v>393</v>
      </c>
    </row>
    <row r="87" spans="1:8" ht="13">
      <c r="A87" s="109">
        <v>42975.422824074078</v>
      </c>
      <c r="B87" s="142">
        <v>0</v>
      </c>
      <c r="C87" s="143">
        <v>2.030456852791878E-2</v>
      </c>
      <c r="D87" s="131">
        <v>0</v>
      </c>
      <c r="E87" s="74">
        <v>8</v>
      </c>
      <c r="F87" s="97">
        <v>16</v>
      </c>
      <c r="G87" s="120">
        <v>370</v>
      </c>
      <c r="H87" s="123">
        <v>394</v>
      </c>
    </row>
    <row r="88" spans="1:8" ht="13">
      <c r="A88" s="109">
        <v>42982.432986111111</v>
      </c>
      <c r="B88" s="142">
        <v>1</v>
      </c>
      <c r="C88" s="143">
        <v>1.015228426395939E-2</v>
      </c>
      <c r="D88" s="131">
        <v>1</v>
      </c>
      <c r="E88" s="74">
        <v>3</v>
      </c>
      <c r="F88" s="97">
        <v>36</v>
      </c>
      <c r="G88" s="120">
        <v>354</v>
      </c>
      <c r="H88" s="123">
        <v>394</v>
      </c>
    </row>
    <row r="89" spans="1:8" ht="13">
      <c r="A89" s="109">
        <v>42989.397499999999</v>
      </c>
      <c r="B89" s="142">
        <v>1</v>
      </c>
      <c r="C89" s="143">
        <v>1.0126582278481013E-2</v>
      </c>
      <c r="D89" s="131">
        <v>1</v>
      </c>
      <c r="E89" s="74">
        <v>3</v>
      </c>
      <c r="F89" s="97">
        <v>33</v>
      </c>
      <c r="G89" s="120">
        <v>358</v>
      </c>
      <c r="H89" s="123">
        <v>395</v>
      </c>
    </row>
    <row r="90" spans="1:8" ht="13">
      <c r="A90" s="109">
        <v>42996.404398148145</v>
      </c>
      <c r="B90" s="142">
        <v>1</v>
      </c>
      <c r="C90" s="143">
        <v>1.0101010101010102E-2</v>
      </c>
      <c r="D90" s="131">
        <v>1</v>
      </c>
      <c r="E90" s="74">
        <v>3</v>
      </c>
      <c r="F90" s="97">
        <v>30</v>
      </c>
      <c r="G90" s="120">
        <v>362</v>
      </c>
      <c r="H90" s="123">
        <v>396</v>
      </c>
    </row>
    <row r="91" spans="1:8" ht="13">
      <c r="A91" s="109">
        <v>43003.401979166665</v>
      </c>
      <c r="B91" s="142">
        <v>1</v>
      </c>
      <c r="C91" s="143">
        <v>2.5188916876574307E-3</v>
      </c>
      <c r="D91" s="131">
        <v>1</v>
      </c>
      <c r="E91" s="74">
        <v>0</v>
      </c>
      <c r="F91" s="97">
        <v>30</v>
      </c>
      <c r="G91" s="120">
        <v>366</v>
      </c>
      <c r="H91" s="123">
        <v>397</v>
      </c>
    </row>
    <row r="92" spans="1:8" ht="13">
      <c r="A92" s="109">
        <v>43010.441296296296</v>
      </c>
      <c r="B92" s="142">
        <v>1</v>
      </c>
      <c r="C92" s="143">
        <v>1.0126582278481013E-2</v>
      </c>
      <c r="D92" s="131">
        <v>1</v>
      </c>
      <c r="E92" s="74">
        <v>3</v>
      </c>
      <c r="F92" s="97">
        <v>71</v>
      </c>
      <c r="G92" s="120">
        <v>320</v>
      </c>
      <c r="H92" s="123">
        <v>395</v>
      </c>
    </row>
    <row r="93" spans="1:8" ht="13">
      <c r="A93" s="109">
        <v>43017.393703703703</v>
      </c>
      <c r="B93" s="142">
        <v>1</v>
      </c>
      <c r="C93" s="143">
        <v>7.556675062972292E-3</v>
      </c>
      <c r="D93" s="131">
        <v>1</v>
      </c>
      <c r="E93" s="74">
        <v>2</v>
      </c>
      <c r="F93" s="97">
        <v>70</v>
      </c>
      <c r="G93" s="120">
        <v>324</v>
      </c>
      <c r="H93" s="123">
        <v>397</v>
      </c>
    </row>
    <row r="94" spans="1:8" ht="13">
      <c r="A94" s="109">
        <v>43052.41815972222</v>
      </c>
      <c r="B94" s="142">
        <v>1</v>
      </c>
      <c r="C94" s="143">
        <v>1.2658227848101266E-2</v>
      </c>
      <c r="D94" s="131">
        <v>1</v>
      </c>
      <c r="E94" s="74">
        <v>4</v>
      </c>
      <c r="F94" s="97">
        <v>63</v>
      </c>
      <c r="G94" s="120">
        <v>327</v>
      </c>
      <c r="H94" s="123">
        <v>395</v>
      </c>
    </row>
    <row r="95" spans="1:8" ht="13">
      <c r="A95" s="109">
        <v>43059.415752314817</v>
      </c>
      <c r="B95" s="142">
        <v>1</v>
      </c>
      <c r="C95" s="143">
        <v>1.2500000000000001E-2</v>
      </c>
      <c r="D95" s="131">
        <v>1</v>
      </c>
      <c r="E95" s="74">
        <v>4</v>
      </c>
      <c r="F95" s="97">
        <v>57</v>
      </c>
      <c r="G95" s="120">
        <v>338</v>
      </c>
      <c r="H95" s="123">
        <v>400</v>
      </c>
    </row>
    <row r="96" spans="1:8" ht="13">
      <c r="A96" s="109">
        <v>43066.419722222221</v>
      </c>
      <c r="B96" s="142">
        <v>1</v>
      </c>
      <c r="C96" s="143">
        <v>1.0050251256281407E-2</v>
      </c>
      <c r="D96" s="131">
        <v>1</v>
      </c>
      <c r="E96" s="74">
        <v>3</v>
      </c>
      <c r="F96" s="97">
        <v>52</v>
      </c>
      <c r="G96" s="120">
        <v>342</v>
      </c>
      <c r="H96" s="123">
        <v>398</v>
      </c>
    </row>
    <row r="97" spans="1:8" ht="13">
      <c r="A97" s="109">
        <v>43073.472060185188</v>
      </c>
      <c r="B97" s="142">
        <v>1</v>
      </c>
      <c r="C97" s="143">
        <v>9.06801007556675E-2</v>
      </c>
      <c r="D97" s="131">
        <v>1</v>
      </c>
      <c r="E97" s="74">
        <v>35</v>
      </c>
      <c r="F97" s="97">
        <v>40</v>
      </c>
      <c r="G97" s="120">
        <v>321</v>
      </c>
      <c r="H97" s="123">
        <v>397</v>
      </c>
    </row>
    <row r="98" spans="1:8" ht="13">
      <c r="A98" s="109">
        <v>43080.455069444448</v>
      </c>
      <c r="B98" s="142">
        <v>1</v>
      </c>
      <c r="C98" s="143">
        <v>8.1841432225063945E-2</v>
      </c>
      <c r="D98" s="131">
        <v>1</v>
      </c>
      <c r="E98" s="74">
        <v>31</v>
      </c>
      <c r="F98" s="97">
        <v>37</v>
      </c>
      <c r="G98" s="120">
        <v>322</v>
      </c>
      <c r="H98" s="123">
        <v>391</v>
      </c>
    </row>
    <row r="99" spans="1:8" ht="13">
      <c r="A99" s="109">
        <v>43088.486770833333</v>
      </c>
      <c r="B99" s="142">
        <v>0</v>
      </c>
      <c r="C99" s="143">
        <v>7.6726342710997444E-3</v>
      </c>
      <c r="D99" s="131">
        <v>0</v>
      </c>
      <c r="E99" s="74">
        <v>3</v>
      </c>
      <c r="F99" s="97">
        <v>26</v>
      </c>
      <c r="G99" s="120">
        <v>362</v>
      </c>
      <c r="H99" s="123">
        <v>391</v>
      </c>
    </row>
    <row r="100" spans="1:8" ht="13">
      <c r="A100" s="109">
        <v>43089.682349537034</v>
      </c>
      <c r="B100" s="142">
        <v>0</v>
      </c>
      <c r="C100" s="143">
        <v>7.6726342710997444E-3</v>
      </c>
      <c r="D100" s="131">
        <v>0</v>
      </c>
      <c r="E100" s="74">
        <v>3</v>
      </c>
      <c r="F100" s="97">
        <v>26</v>
      </c>
      <c r="G100" s="120">
        <v>362</v>
      </c>
      <c r="H100" s="123">
        <v>391</v>
      </c>
    </row>
    <row r="101" spans="1:8" ht="13">
      <c r="A101" s="109">
        <v>43103.58153935185</v>
      </c>
      <c r="B101" s="142">
        <v>3</v>
      </c>
      <c r="C101" s="143">
        <v>1.0230179028132993E-2</v>
      </c>
      <c r="D101" s="131">
        <v>3</v>
      </c>
      <c r="E101" s="74">
        <v>1</v>
      </c>
      <c r="F101" s="97">
        <v>38</v>
      </c>
      <c r="G101" s="120">
        <v>349</v>
      </c>
      <c r="H101" s="123">
        <v>391</v>
      </c>
    </row>
    <row r="102" spans="1:8" ht="13">
      <c r="A102" s="109">
        <v>43108.370289351849</v>
      </c>
      <c r="B102" s="142">
        <v>0</v>
      </c>
      <c r="C102" s="143">
        <v>0</v>
      </c>
      <c r="D102" s="131">
        <v>0</v>
      </c>
      <c r="E102" s="74">
        <v>0</v>
      </c>
      <c r="F102" s="97">
        <v>39</v>
      </c>
      <c r="G102" s="120">
        <v>352</v>
      </c>
      <c r="H102" s="123">
        <v>391</v>
      </c>
    </row>
    <row r="103" spans="1:8" ht="13">
      <c r="A103" s="109">
        <v>43115.449513888889</v>
      </c>
      <c r="B103" s="142">
        <v>0</v>
      </c>
      <c r="C103" s="143">
        <v>0</v>
      </c>
      <c r="D103" s="131">
        <v>0</v>
      </c>
      <c r="E103" s="74">
        <v>0</v>
      </c>
      <c r="F103" s="97">
        <v>39</v>
      </c>
      <c r="G103" s="120">
        <v>352</v>
      </c>
      <c r="H103" s="123">
        <v>391</v>
      </c>
    </row>
    <row r="104" spans="1:8" ht="13">
      <c r="A104" s="109">
        <v>43122.579826388886</v>
      </c>
      <c r="B104" s="142">
        <v>0</v>
      </c>
      <c r="C104" s="143">
        <v>0</v>
      </c>
      <c r="D104" s="131">
        <v>0</v>
      </c>
      <c r="E104" s="74">
        <v>0</v>
      </c>
      <c r="F104" s="97">
        <v>39</v>
      </c>
      <c r="G104" s="120">
        <v>352</v>
      </c>
      <c r="H104" s="123">
        <v>391</v>
      </c>
    </row>
    <row r="105" spans="1:8" ht="13">
      <c r="A105" s="109">
        <v>43129.460289351853</v>
      </c>
      <c r="B105" s="142">
        <v>0</v>
      </c>
      <c r="C105" s="143">
        <v>0</v>
      </c>
      <c r="D105" s="131">
        <v>0</v>
      </c>
      <c r="E105" s="74">
        <v>0</v>
      </c>
      <c r="F105" s="97">
        <v>39</v>
      </c>
      <c r="G105" s="120">
        <v>352</v>
      </c>
      <c r="H105" s="123">
        <v>391</v>
      </c>
    </row>
    <row r="106" spans="1:8" ht="13">
      <c r="A106" s="109">
        <v>43136.411041666666</v>
      </c>
      <c r="B106" s="142">
        <v>0</v>
      </c>
      <c r="C106" s="143">
        <v>5.3030303030303032E-2</v>
      </c>
      <c r="D106" s="131">
        <v>0</v>
      </c>
      <c r="E106" s="74">
        <v>21</v>
      </c>
      <c r="F106" s="97">
        <v>19</v>
      </c>
      <c r="G106" s="120">
        <v>356</v>
      </c>
      <c r="H106" s="123">
        <v>396</v>
      </c>
    </row>
    <row r="107" spans="1:8" ht="13">
      <c r="A107" s="109">
        <v>43143.413668981484</v>
      </c>
      <c r="B107" s="142">
        <v>0</v>
      </c>
      <c r="C107" s="143">
        <v>7.6335877862595417E-3</v>
      </c>
      <c r="D107" s="131">
        <v>0</v>
      </c>
      <c r="E107" s="74">
        <v>3</v>
      </c>
      <c r="F107" s="97">
        <v>19</v>
      </c>
      <c r="G107" s="120">
        <v>371</v>
      </c>
      <c r="H107" s="123">
        <v>393</v>
      </c>
    </row>
    <row r="108" spans="1:8" ht="13">
      <c r="A108" s="109">
        <v>43150.375810185185</v>
      </c>
      <c r="B108" s="142">
        <v>0</v>
      </c>
      <c r="C108" s="143">
        <v>7.6335877862595417E-3</v>
      </c>
      <c r="D108" s="131">
        <v>0</v>
      </c>
      <c r="E108" s="74">
        <v>3</v>
      </c>
      <c r="F108" s="97">
        <v>19</v>
      </c>
      <c r="G108" s="120">
        <v>371</v>
      </c>
      <c r="H108" s="123">
        <v>393</v>
      </c>
    </row>
    <row r="109" spans="1:8" ht="13">
      <c r="A109" s="109">
        <v>43152.592013888891</v>
      </c>
      <c r="B109" s="142">
        <v>0</v>
      </c>
      <c r="C109" s="143">
        <v>7.6726342710997444E-3</v>
      </c>
      <c r="D109" s="131">
        <v>0</v>
      </c>
      <c r="E109" s="74">
        <v>3</v>
      </c>
      <c r="F109" s="97">
        <v>18</v>
      </c>
      <c r="G109" s="120">
        <v>370</v>
      </c>
      <c r="H109" s="123">
        <v>391</v>
      </c>
    </row>
    <row r="110" spans="1:8" ht="13">
      <c r="A110" s="109">
        <v>43157.407962962963</v>
      </c>
      <c r="B110" s="142">
        <v>0</v>
      </c>
      <c r="C110" s="143">
        <v>7.6923076923076927E-3</v>
      </c>
      <c r="D110" s="131">
        <v>0</v>
      </c>
      <c r="E110" s="74">
        <v>3</v>
      </c>
      <c r="F110" s="97">
        <v>16</v>
      </c>
      <c r="G110" s="120">
        <v>371</v>
      </c>
      <c r="H110" s="123">
        <v>390</v>
      </c>
    </row>
    <row r="111" spans="1:8" ht="13">
      <c r="A111" s="109">
        <v>43164.383379629631</v>
      </c>
      <c r="B111" s="142">
        <v>0</v>
      </c>
      <c r="C111" s="143">
        <v>3.0927835051546393E-2</v>
      </c>
      <c r="D111" s="131">
        <v>0</v>
      </c>
      <c r="E111" s="74">
        <v>12</v>
      </c>
      <c r="F111" s="97">
        <v>17</v>
      </c>
      <c r="G111" s="120">
        <v>359</v>
      </c>
      <c r="H111" s="123">
        <v>388</v>
      </c>
    </row>
    <row r="112" spans="1:8" ht="13">
      <c r="A112" s="109">
        <v>43171.388379629629</v>
      </c>
      <c r="B112" s="142">
        <v>0</v>
      </c>
      <c r="C112" s="143">
        <v>3.1007751937984496E-2</v>
      </c>
      <c r="D112" s="131">
        <v>0</v>
      </c>
      <c r="E112" s="74">
        <v>12</v>
      </c>
      <c r="F112" s="97">
        <v>17</v>
      </c>
      <c r="G112" s="120">
        <v>358</v>
      </c>
      <c r="H112" s="123">
        <v>387</v>
      </c>
    </row>
    <row r="113" spans="1:8" ht="13">
      <c r="A113" s="109">
        <v>43178.445347222223</v>
      </c>
      <c r="B113" s="142">
        <v>0</v>
      </c>
      <c r="C113" s="143">
        <v>3.1088082901554404E-2</v>
      </c>
      <c r="D113" s="131">
        <v>0</v>
      </c>
      <c r="E113" s="74">
        <v>12</v>
      </c>
      <c r="F113" s="97">
        <v>16</v>
      </c>
      <c r="G113" s="120">
        <v>358</v>
      </c>
      <c r="H113" s="123">
        <v>386</v>
      </c>
    </row>
    <row r="114" spans="1:8" ht="13">
      <c r="A114" s="109">
        <v>43185.404189814813</v>
      </c>
      <c r="B114" s="142">
        <v>0</v>
      </c>
      <c r="C114" s="143">
        <v>3.1007751937984496E-2</v>
      </c>
      <c r="D114" s="131">
        <v>0</v>
      </c>
      <c r="E114" s="74">
        <v>12</v>
      </c>
      <c r="F114" s="97">
        <v>13</v>
      </c>
      <c r="G114" s="120">
        <v>362</v>
      </c>
      <c r="H114" s="123">
        <v>387</v>
      </c>
    </row>
    <row r="115" spans="1:8" ht="13">
      <c r="A115" s="109">
        <v>43193.452361111114</v>
      </c>
      <c r="B115" s="142">
        <v>3</v>
      </c>
      <c r="C115" s="143">
        <v>1.0638297872340425E-2</v>
      </c>
      <c r="D115" s="131">
        <v>3</v>
      </c>
      <c r="E115" s="74">
        <v>1</v>
      </c>
      <c r="F115" s="97">
        <v>18</v>
      </c>
      <c r="G115" s="120">
        <v>354</v>
      </c>
      <c r="H115" s="123">
        <v>376</v>
      </c>
    </row>
    <row r="116" spans="1:8" ht="13">
      <c r="A116" s="109">
        <v>43199.398043981484</v>
      </c>
      <c r="B116" s="142">
        <v>3</v>
      </c>
      <c r="C116" s="143">
        <v>1.0638297872340425E-2</v>
      </c>
      <c r="D116" s="131">
        <v>3</v>
      </c>
      <c r="E116" s="74">
        <v>1</v>
      </c>
      <c r="F116" s="97">
        <v>20</v>
      </c>
      <c r="G116" s="120">
        <v>352</v>
      </c>
      <c r="H116" s="123">
        <v>376</v>
      </c>
    </row>
    <row r="117" spans="1:8" ht="13">
      <c r="A117" s="109">
        <v>43206.408252314817</v>
      </c>
      <c r="B117" s="142">
        <v>3</v>
      </c>
      <c r="C117" s="143">
        <v>7.6923076923076927E-3</v>
      </c>
      <c r="D117" s="131">
        <v>3</v>
      </c>
      <c r="E117" s="74">
        <v>0</v>
      </c>
      <c r="F117" s="97">
        <v>22</v>
      </c>
      <c r="G117" s="120">
        <v>365</v>
      </c>
      <c r="H117" s="123">
        <v>390</v>
      </c>
    </row>
    <row r="118" spans="1:8" ht="13">
      <c r="A118" s="109">
        <v>43213.378425925926</v>
      </c>
      <c r="B118" s="142">
        <v>3</v>
      </c>
      <c r="C118" s="143">
        <v>7.6726342710997444E-3</v>
      </c>
      <c r="D118" s="131">
        <v>3</v>
      </c>
      <c r="E118" s="74">
        <v>0</v>
      </c>
      <c r="F118" s="97">
        <v>21</v>
      </c>
      <c r="G118" s="120">
        <v>367</v>
      </c>
      <c r="H118" s="123">
        <v>391</v>
      </c>
    </row>
    <row r="119" spans="1:8" ht="13">
      <c r="A119" s="109">
        <v>43220.36215277778</v>
      </c>
      <c r="B119" s="142">
        <v>3</v>
      </c>
      <c r="C119" s="143">
        <v>2.3076923076923078E-2</v>
      </c>
      <c r="D119" s="131">
        <v>3</v>
      </c>
      <c r="E119" s="74">
        <v>6</v>
      </c>
      <c r="F119" s="97">
        <v>20</v>
      </c>
      <c r="G119" s="120">
        <v>361</v>
      </c>
      <c r="H119" s="123">
        <v>390</v>
      </c>
    </row>
    <row r="120" spans="1:8" ht="13">
      <c r="A120" s="109">
        <v>43227.467719907407</v>
      </c>
      <c r="B120" s="142">
        <v>3</v>
      </c>
      <c r="C120" s="143">
        <v>2.3076923076923078E-2</v>
      </c>
      <c r="D120" s="131">
        <v>3</v>
      </c>
      <c r="E120" s="74">
        <v>6</v>
      </c>
      <c r="F120" s="97">
        <v>20</v>
      </c>
      <c r="G120" s="120">
        <v>361</v>
      </c>
      <c r="H120" s="123">
        <v>390</v>
      </c>
    </row>
    <row r="121" spans="1:8" ht="13">
      <c r="A121" s="109">
        <v>43234.410115740742</v>
      </c>
      <c r="B121" s="142">
        <v>3</v>
      </c>
      <c r="C121" s="143">
        <v>2.3076923076923078E-2</v>
      </c>
      <c r="D121" s="131">
        <v>3</v>
      </c>
      <c r="E121" s="74">
        <v>6</v>
      </c>
      <c r="F121" s="97">
        <v>20</v>
      </c>
      <c r="G121" s="120">
        <v>361</v>
      </c>
      <c r="H121" s="123">
        <v>390</v>
      </c>
    </row>
    <row r="122" spans="1:8" ht="13">
      <c r="A122" s="109">
        <v>43242.390057870369</v>
      </c>
      <c r="B122" s="142">
        <v>3</v>
      </c>
      <c r="C122" s="143">
        <v>2.313624678663239E-2</v>
      </c>
      <c r="D122" s="131">
        <v>3</v>
      </c>
      <c r="E122" s="74">
        <v>6</v>
      </c>
      <c r="F122" s="97">
        <v>19</v>
      </c>
      <c r="G122" s="120">
        <v>361</v>
      </c>
      <c r="H122" s="123">
        <v>389</v>
      </c>
    </row>
    <row r="123" spans="1:8" ht="13">
      <c r="A123" s="109">
        <v>43243.687222222223</v>
      </c>
      <c r="B123" s="142">
        <v>3</v>
      </c>
      <c r="C123" s="143">
        <v>2.3017902813299233E-2</v>
      </c>
      <c r="D123" s="131">
        <v>3</v>
      </c>
      <c r="E123" s="74">
        <v>6</v>
      </c>
      <c r="F123" s="97">
        <v>19</v>
      </c>
      <c r="G123" s="120">
        <v>363</v>
      </c>
      <c r="H123" s="123">
        <v>391</v>
      </c>
    </row>
    <row r="124" spans="1:8" ht="13">
      <c r="A124" s="109">
        <v>43248.382199074076</v>
      </c>
      <c r="B124" s="142">
        <v>3</v>
      </c>
      <c r="C124" s="143">
        <v>2.0460358056265986E-2</v>
      </c>
      <c r="D124" s="131">
        <v>3</v>
      </c>
      <c r="E124" s="74">
        <v>5</v>
      </c>
      <c r="F124" s="97">
        <v>19</v>
      </c>
      <c r="G124" s="120">
        <v>364</v>
      </c>
      <c r="H124" s="123">
        <v>391</v>
      </c>
    </row>
    <row r="125" spans="1:8" ht="13">
      <c r="A125" s="109">
        <v>43255.37226851852</v>
      </c>
      <c r="B125" s="142">
        <v>3</v>
      </c>
      <c r="C125" s="143">
        <v>3.0690537084398978E-2</v>
      </c>
      <c r="D125" s="131">
        <v>3</v>
      </c>
      <c r="E125" s="74">
        <v>9</v>
      </c>
      <c r="F125" s="97">
        <v>19</v>
      </c>
      <c r="G125" s="120">
        <v>360</v>
      </c>
      <c r="H125" s="123">
        <v>391</v>
      </c>
    </row>
    <row r="126" spans="1:8" ht="13">
      <c r="A126" s="109">
        <v>43262.366631944446</v>
      </c>
      <c r="B126" s="142">
        <v>1</v>
      </c>
      <c r="C126" s="143">
        <v>2.5510204081632654E-2</v>
      </c>
      <c r="D126" s="131">
        <v>1</v>
      </c>
      <c r="E126" s="74">
        <v>9</v>
      </c>
      <c r="F126" s="97">
        <v>21</v>
      </c>
      <c r="G126" s="120">
        <v>361</v>
      </c>
      <c r="H126" s="123">
        <v>392</v>
      </c>
    </row>
    <row r="127" spans="1:8" ht="13">
      <c r="A127" s="109">
        <v>43269.350752314815</v>
      </c>
      <c r="B127" s="142">
        <v>1</v>
      </c>
      <c r="C127" s="143">
        <v>1.5189873417721518E-2</v>
      </c>
      <c r="D127" s="131">
        <v>1</v>
      </c>
      <c r="E127" s="74">
        <v>5</v>
      </c>
      <c r="F127" s="97">
        <v>15</v>
      </c>
      <c r="G127" s="120">
        <v>374</v>
      </c>
      <c r="H127" s="123">
        <v>395</v>
      </c>
    </row>
    <row r="128" spans="1:8" ht="13">
      <c r="A128" s="109">
        <v>43276.346168981479</v>
      </c>
      <c r="B128" s="142">
        <v>1</v>
      </c>
      <c r="C128" s="226">
        <v>5.0505050505050509E-3</v>
      </c>
      <c r="D128" s="131">
        <v>1</v>
      </c>
      <c r="E128" s="74">
        <v>1</v>
      </c>
      <c r="F128" s="97">
        <v>8</v>
      </c>
      <c r="G128" s="120">
        <v>386</v>
      </c>
      <c r="H128" s="123">
        <v>396</v>
      </c>
    </row>
    <row r="129" spans="1:8" ht="13">
      <c r="A129" s="109">
        <v>43283.354733796295</v>
      </c>
      <c r="B129" s="142">
        <v>1</v>
      </c>
      <c r="C129" s="226">
        <v>7.556675062972292E-3</v>
      </c>
      <c r="D129" s="131">
        <v>1</v>
      </c>
      <c r="E129" s="74">
        <v>2</v>
      </c>
      <c r="F129" s="97">
        <v>6</v>
      </c>
      <c r="G129" s="120">
        <v>388</v>
      </c>
      <c r="H129" s="123">
        <v>397</v>
      </c>
    </row>
    <row r="130" spans="1:8" ht="13">
      <c r="A130" s="109">
        <v>43290.366689814815</v>
      </c>
      <c r="B130" s="142">
        <v>1</v>
      </c>
      <c r="C130" s="226">
        <v>7.556675062972292E-3</v>
      </c>
      <c r="D130" s="131">
        <v>1</v>
      </c>
      <c r="E130" s="74">
        <v>2</v>
      </c>
      <c r="F130" s="97">
        <v>6</v>
      </c>
      <c r="G130" s="120">
        <v>388</v>
      </c>
      <c r="H130" s="123">
        <v>397</v>
      </c>
    </row>
    <row r="131" spans="1:8" ht="13">
      <c r="A131" s="109">
        <v>43297.399791666663</v>
      </c>
      <c r="B131" s="142">
        <v>1</v>
      </c>
      <c r="C131" s="226">
        <v>7.4999999999999997E-3</v>
      </c>
      <c r="D131" s="131">
        <v>1</v>
      </c>
      <c r="E131" s="74">
        <v>2</v>
      </c>
      <c r="F131" s="97">
        <v>6</v>
      </c>
      <c r="G131" s="120">
        <v>391</v>
      </c>
      <c r="H131" s="123">
        <v>400</v>
      </c>
    </row>
    <row r="132" spans="1:8" ht="13">
      <c r="A132" s="109">
        <v>43304.369664351849</v>
      </c>
      <c r="B132" s="142">
        <v>1</v>
      </c>
      <c r="C132" s="226">
        <v>7.4999999999999997E-3</v>
      </c>
      <c r="D132" s="131">
        <v>1</v>
      </c>
      <c r="E132" s="74">
        <v>2</v>
      </c>
      <c r="F132" s="97">
        <v>4</v>
      </c>
      <c r="G132" s="120">
        <v>393</v>
      </c>
      <c r="H132" s="123">
        <v>400</v>
      </c>
    </row>
    <row r="133" spans="1:8" ht="13">
      <c r="A133" s="109">
        <v>43311.449664351851</v>
      </c>
      <c r="B133" s="142">
        <v>1</v>
      </c>
      <c r="C133" s="226">
        <v>5.0125313283208017E-3</v>
      </c>
      <c r="D133" s="131">
        <v>1</v>
      </c>
      <c r="E133" s="74">
        <v>1</v>
      </c>
      <c r="F133" s="97">
        <v>2</v>
      </c>
      <c r="G133" s="120">
        <v>395</v>
      </c>
      <c r="H133" s="123">
        <v>399</v>
      </c>
    </row>
    <row r="134" spans="1:8" ht="13">
      <c r="A134" s="109">
        <v>43318.403958333336</v>
      </c>
      <c r="B134" s="142">
        <v>1</v>
      </c>
      <c r="C134" s="226">
        <v>4.9875311720698253E-3</v>
      </c>
      <c r="D134" s="131">
        <v>1</v>
      </c>
      <c r="E134" s="74">
        <v>1</v>
      </c>
      <c r="F134" s="97">
        <v>3</v>
      </c>
      <c r="G134" s="120">
        <v>396</v>
      </c>
      <c r="H134" s="123">
        <v>401</v>
      </c>
    </row>
    <row r="135" spans="1:8" ht="13">
      <c r="A135" s="109">
        <v>43322.432754629626</v>
      </c>
      <c r="B135" s="142">
        <v>1</v>
      </c>
      <c r="C135" s="226">
        <v>2.5000000000000001E-3</v>
      </c>
      <c r="D135" s="131">
        <v>1</v>
      </c>
      <c r="E135" s="74">
        <v>0</v>
      </c>
      <c r="F135" s="97">
        <v>3</v>
      </c>
      <c r="G135" s="120">
        <v>396</v>
      </c>
      <c r="H135" s="123">
        <v>400</v>
      </c>
    </row>
    <row r="136" spans="1:8" ht="13">
      <c r="A136" s="109">
        <v>43325.367858796293</v>
      </c>
      <c r="B136" s="142">
        <v>1</v>
      </c>
      <c r="C136" s="226">
        <v>2.5000000000000001E-3</v>
      </c>
      <c r="D136" s="131">
        <v>1</v>
      </c>
      <c r="E136" s="74">
        <v>0</v>
      </c>
      <c r="F136" s="97">
        <v>3</v>
      </c>
      <c r="G136" s="120">
        <v>396</v>
      </c>
      <c r="H136" s="123">
        <v>400</v>
      </c>
    </row>
    <row r="137" spans="1:8" ht="13">
      <c r="A137" s="109">
        <v>43332.382407407407</v>
      </c>
      <c r="B137" s="142">
        <v>1</v>
      </c>
      <c r="C137" s="226">
        <v>2.5000000000000001E-3</v>
      </c>
      <c r="D137" s="131">
        <v>1</v>
      </c>
      <c r="E137" s="74">
        <v>0</v>
      </c>
      <c r="F137" s="97">
        <v>3</v>
      </c>
      <c r="G137" s="120">
        <v>396</v>
      </c>
      <c r="H137" s="123">
        <v>400</v>
      </c>
    </row>
    <row r="138" spans="1:8" ht="13">
      <c r="A138" s="109">
        <v>43334.436527777776</v>
      </c>
      <c r="B138" s="142">
        <v>1</v>
      </c>
      <c r="C138" s="226">
        <v>2.5000000000000001E-3</v>
      </c>
      <c r="D138" s="131">
        <v>1</v>
      </c>
      <c r="E138" s="74">
        <v>0</v>
      </c>
      <c r="F138" s="97">
        <v>3</v>
      </c>
      <c r="G138" s="120">
        <v>396</v>
      </c>
      <c r="H138" s="123">
        <v>400</v>
      </c>
    </row>
    <row r="139" spans="1:8" ht="13">
      <c r="A139" s="109">
        <v>43339.3825</v>
      </c>
      <c r="B139" s="142">
        <v>1</v>
      </c>
      <c r="C139" s="226">
        <v>2.5062656641604009E-3</v>
      </c>
      <c r="D139" s="131">
        <v>1</v>
      </c>
      <c r="E139" s="74">
        <v>0</v>
      </c>
      <c r="F139" s="97">
        <v>3</v>
      </c>
      <c r="G139" s="120">
        <v>395</v>
      </c>
      <c r="H139" s="123">
        <v>399</v>
      </c>
    </row>
    <row r="140" spans="1:8" ht="13">
      <c r="A140" s="109">
        <v>43346.37228009259</v>
      </c>
      <c r="B140" s="142">
        <v>1</v>
      </c>
      <c r="C140" s="226">
        <v>2.5062656641604009E-3</v>
      </c>
      <c r="D140" s="131">
        <v>1</v>
      </c>
      <c r="E140" s="74">
        <v>0</v>
      </c>
      <c r="F140" s="97">
        <v>16</v>
      </c>
      <c r="G140" s="120">
        <v>382</v>
      </c>
      <c r="H140" s="123">
        <v>399</v>
      </c>
    </row>
    <row r="141" spans="1:8" ht="13">
      <c r="A141" s="109">
        <v>43353.36791666667</v>
      </c>
      <c r="B141" s="142">
        <v>1</v>
      </c>
      <c r="C141" s="226">
        <v>2.5062656641604009E-3</v>
      </c>
      <c r="D141" s="131">
        <v>1</v>
      </c>
      <c r="E141" s="74">
        <v>0</v>
      </c>
      <c r="F141" s="97">
        <v>16</v>
      </c>
      <c r="G141" s="120">
        <v>382</v>
      </c>
      <c r="H141" s="123">
        <v>399</v>
      </c>
    </row>
    <row r="142" spans="1:8" ht="13">
      <c r="A142" s="109">
        <v>43360.381782407407</v>
      </c>
      <c r="B142" s="142">
        <v>1</v>
      </c>
      <c r="C142" s="226">
        <v>2.5000000000000001E-3</v>
      </c>
      <c r="D142" s="131">
        <v>1</v>
      </c>
      <c r="E142" s="74">
        <v>0</v>
      </c>
      <c r="F142" s="97">
        <v>16</v>
      </c>
      <c r="G142" s="120">
        <v>383</v>
      </c>
      <c r="H142" s="123">
        <v>400</v>
      </c>
    </row>
    <row r="143" spans="1:8" ht="13">
      <c r="A143" s="109">
        <v>43367.369826388887</v>
      </c>
      <c r="B143" s="142">
        <v>1</v>
      </c>
      <c r="C143" s="226">
        <v>2.5000000000000001E-3</v>
      </c>
      <c r="D143" s="131">
        <v>1</v>
      </c>
      <c r="E143" s="74">
        <v>0</v>
      </c>
      <c r="F143" s="97">
        <v>15</v>
      </c>
      <c r="G143" s="120">
        <v>384</v>
      </c>
      <c r="H143" s="123">
        <v>400</v>
      </c>
    </row>
    <row r="144" spans="1:8" ht="13">
      <c r="A144" s="109">
        <v>43369.458877314813</v>
      </c>
      <c r="B144" s="142">
        <v>1</v>
      </c>
      <c r="C144" s="226">
        <v>2.5000000000000001E-3</v>
      </c>
      <c r="D144" s="131">
        <v>1</v>
      </c>
      <c r="E144" s="74">
        <v>0</v>
      </c>
      <c r="F144" s="97">
        <v>15</v>
      </c>
      <c r="G144" s="120">
        <v>384</v>
      </c>
      <c r="H144" s="123">
        <v>400</v>
      </c>
    </row>
    <row r="145" spans="1:8" ht="13">
      <c r="A145" s="109">
        <v>43374.346979166665</v>
      </c>
      <c r="B145" s="142">
        <v>1</v>
      </c>
      <c r="C145" s="226">
        <v>2.5062656641604009E-3</v>
      </c>
      <c r="D145" s="131">
        <v>1</v>
      </c>
      <c r="E145" s="74">
        <v>0</v>
      </c>
      <c r="F145" s="97">
        <v>45</v>
      </c>
      <c r="G145" s="120">
        <v>353</v>
      </c>
      <c r="H145" s="123">
        <v>399</v>
      </c>
    </row>
    <row r="146" spans="1:8" ht="13">
      <c r="A146" s="109">
        <v>43381.365787037037</v>
      </c>
      <c r="B146" s="142">
        <v>1</v>
      </c>
      <c r="C146" s="226">
        <v>2.5188916876574307E-3</v>
      </c>
      <c r="D146" s="131">
        <v>1</v>
      </c>
      <c r="E146" s="74">
        <v>0</v>
      </c>
      <c r="F146" s="97">
        <v>44</v>
      </c>
      <c r="G146" s="120">
        <v>352</v>
      </c>
      <c r="H146" s="123">
        <v>397</v>
      </c>
    </row>
    <row r="147" spans="1:8" ht="13">
      <c r="A147" s="109">
        <v>43388.369270833333</v>
      </c>
      <c r="B147" s="142">
        <v>0</v>
      </c>
      <c r="C147" s="226">
        <v>0</v>
      </c>
      <c r="D147" s="131">
        <v>0</v>
      </c>
      <c r="E147" s="74">
        <v>0</v>
      </c>
      <c r="F147" s="97">
        <v>43</v>
      </c>
      <c r="G147" s="120">
        <v>356</v>
      </c>
      <c r="H147" s="123">
        <v>399</v>
      </c>
    </row>
    <row r="148" spans="1:8" ht="13">
      <c r="A148" s="109">
        <v>43395.373333333337</v>
      </c>
      <c r="B148" s="142">
        <v>0</v>
      </c>
      <c r="C148" s="226">
        <v>0</v>
      </c>
      <c r="D148" s="131">
        <v>0</v>
      </c>
      <c r="E148" s="74">
        <v>0</v>
      </c>
      <c r="F148" s="97">
        <v>44</v>
      </c>
      <c r="G148" s="120">
        <v>355</v>
      </c>
      <c r="H148" s="123">
        <v>399</v>
      </c>
    </row>
    <row r="149" spans="1:8" ht="13">
      <c r="A149" s="109">
        <v>43402.361041666663</v>
      </c>
      <c r="B149" s="142">
        <v>0</v>
      </c>
      <c r="C149" s="226">
        <v>0</v>
      </c>
      <c r="D149" s="131">
        <v>0</v>
      </c>
      <c r="E149" s="74">
        <v>0</v>
      </c>
      <c r="F149" s="97">
        <v>43</v>
      </c>
      <c r="G149" s="120">
        <v>356</v>
      </c>
      <c r="H149" s="123">
        <v>399</v>
      </c>
    </row>
    <row r="150" spans="1:8" ht="13">
      <c r="A150" s="109">
        <v>43409.382037037038</v>
      </c>
      <c r="B150" s="142">
        <v>0</v>
      </c>
      <c r="C150" s="226">
        <v>1.0050251256281407E-2</v>
      </c>
      <c r="D150" s="131">
        <v>0</v>
      </c>
      <c r="E150" s="74">
        <v>4</v>
      </c>
      <c r="F150" s="97">
        <v>33</v>
      </c>
      <c r="G150" s="120">
        <v>361</v>
      </c>
      <c r="H150" s="123">
        <v>398</v>
      </c>
    </row>
    <row r="151" spans="1:8" ht="13">
      <c r="A151" s="109">
        <v>43416.371331018519</v>
      </c>
      <c r="B151" s="142">
        <v>0</v>
      </c>
      <c r="C151" s="226">
        <v>5.0377833753148613E-3</v>
      </c>
      <c r="D151" s="131">
        <v>0</v>
      </c>
      <c r="E151" s="74">
        <v>2</v>
      </c>
      <c r="F151" s="97">
        <v>30</v>
      </c>
      <c r="G151" s="120">
        <v>365</v>
      </c>
      <c r="H151" s="123">
        <v>397</v>
      </c>
    </row>
    <row r="152" spans="1:8" ht="13">
      <c r="A152" s="109">
        <v>43423.361805555556</v>
      </c>
      <c r="B152" s="142">
        <v>0</v>
      </c>
      <c r="C152" s="226">
        <v>5.0377833753148613E-3</v>
      </c>
      <c r="D152" s="131">
        <v>0</v>
      </c>
      <c r="E152" s="74">
        <v>2</v>
      </c>
      <c r="F152" s="97">
        <v>28</v>
      </c>
      <c r="G152" s="120">
        <v>367</v>
      </c>
      <c r="H152" s="123">
        <v>397</v>
      </c>
    </row>
    <row r="153" spans="1:8" ht="13">
      <c r="A153" s="109">
        <v>43426.409212962964</v>
      </c>
      <c r="B153" s="142">
        <v>0</v>
      </c>
      <c r="C153" s="226">
        <v>5.0505050505050509E-3</v>
      </c>
      <c r="D153" s="131">
        <v>0</v>
      </c>
      <c r="E153" s="74">
        <v>2</v>
      </c>
      <c r="F153" s="97">
        <v>12</v>
      </c>
      <c r="G153" s="120">
        <v>382</v>
      </c>
      <c r="H153" s="123">
        <v>396</v>
      </c>
    </row>
    <row r="154" spans="1:8" ht="13">
      <c r="A154" s="109">
        <v>43430.383738425924</v>
      </c>
      <c r="B154" s="142">
        <v>0</v>
      </c>
      <c r="C154" s="226">
        <v>5.0505050505050509E-3</v>
      </c>
      <c r="D154" s="131">
        <v>0</v>
      </c>
      <c r="E154" s="74">
        <v>2</v>
      </c>
      <c r="F154" s="97">
        <v>8</v>
      </c>
      <c r="G154" s="120">
        <v>386</v>
      </c>
      <c r="H154" s="123">
        <v>396</v>
      </c>
    </row>
    <row r="155" spans="1:8" ht="13">
      <c r="A155" s="109">
        <v>43437.409456018519</v>
      </c>
      <c r="B155" s="142">
        <v>0</v>
      </c>
      <c r="C155" s="226">
        <v>7.556675062972292E-3</v>
      </c>
      <c r="D155" s="131">
        <v>0</v>
      </c>
      <c r="E155" s="74">
        <v>3</v>
      </c>
      <c r="F155" s="97">
        <v>53</v>
      </c>
      <c r="G155" s="120">
        <v>341</v>
      </c>
      <c r="H155" s="123">
        <v>397</v>
      </c>
    </row>
    <row r="156" spans="1:8" ht="13">
      <c r="A156" s="109">
        <v>43444.407638888886</v>
      </c>
      <c r="B156" s="142">
        <v>0</v>
      </c>
      <c r="C156" s="226">
        <v>7.556675062972292E-3</v>
      </c>
      <c r="D156" s="131">
        <v>0</v>
      </c>
      <c r="E156" s="74">
        <v>3</v>
      </c>
      <c r="F156" s="97">
        <v>54</v>
      </c>
      <c r="G156" s="120">
        <v>340</v>
      </c>
      <c r="H156" s="123">
        <v>397</v>
      </c>
    </row>
    <row r="157" spans="1:8" ht="13">
      <c r="A157" s="109">
        <v>43451.406400462962</v>
      </c>
      <c r="B157" s="142">
        <v>0</v>
      </c>
      <c r="C157" s="226">
        <v>5.0377833753148613E-3</v>
      </c>
      <c r="D157" s="131">
        <v>0</v>
      </c>
      <c r="E157" s="74">
        <v>2</v>
      </c>
      <c r="F157" s="97">
        <v>42</v>
      </c>
      <c r="G157" s="120">
        <v>353</v>
      </c>
      <c r="H157" s="123">
        <v>397</v>
      </c>
    </row>
    <row r="158" spans="1:8" ht="13">
      <c r="A158" s="109">
        <v>43452.428657407407</v>
      </c>
      <c r="B158" s="142">
        <v>0</v>
      </c>
      <c r="C158" s="226">
        <v>5.0377833753148613E-3</v>
      </c>
      <c r="D158" s="131">
        <v>0</v>
      </c>
      <c r="E158" s="74">
        <v>2</v>
      </c>
      <c r="F158" s="97">
        <v>42</v>
      </c>
      <c r="G158" s="120">
        <v>353</v>
      </c>
      <c r="H158" s="123">
        <v>397</v>
      </c>
    </row>
    <row r="159" spans="1:8" ht="13">
      <c r="A159" s="109">
        <v>43472.396597222221</v>
      </c>
      <c r="B159" s="142">
        <v>0</v>
      </c>
      <c r="C159" s="226">
        <v>5.0125313283208017E-3</v>
      </c>
      <c r="D159" s="131">
        <v>0</v>
      </c>
      <c r="E159" s="74">
        <v>2</v>
      </c>
      <c r="F159" s="97">
        <v>55</v>
      </c>
      <c r="G159" s="120">
        <v>342</v>
      </c>
      <c r="H159" s="123">
        <v>399</v>
      </c>
    </row>
    <row r="160" spans="1:8" ht="13">
      <c r="A160" s="109">
        <v>43479.388379629629</v>
      </c>
      <c r="B160" s="142">
        <v>0</v>
      </c>
      <c r="C160" s="226">
        <v>2.4937655860349127E-3</v>
      </c>
      <c r="D160" s="131">
        <v>0</v>
      </c>
      <c r="E160" s="74">
        <v>1</v>
      </c>
      <c r="F160" s="97">
        <v>53</v>
      </c>
      <c r="G160" s="120">
        <v>347</v>
      </c>
      <c r="H160" s="123">
        <v>401</v>
      </c>
    </row>
    <row r="161" spans="1:8" ht="13">
      <c r="A161" s="109">
        <v>43486.372627314813</v>
      </c>
      <c r="B161" s="142">
        <v>0</v>
      </c>
      <c r="C161" s="226">
        <v>2.4937655860349127E-3</v>
      </c>
      <c r="D161" s="131">
        <v>0</v>
      </c>
      <c r="E161" s="74">
        <v>1</v>
      </c>
      <c r="F161" s="97">
        <v>52</v>
      </c>
      <c r="G161" s="120">
        <v>348</v>
      </c>
      <c r="H161" s="123">
        <v>401</v>
      </c>
    </row>
    <row r="162" spans="1:8" ht="13">
      <c r="A162" s="109">
        <v>43487.48400462963</v>
      </c>
      <c r="B162" s="142">
        <v>0</v>
      </c>
      <c r="C162" s="226">
        <v>2.4937655860349127E-3</v>
      </c>
      <c r="D162" s="131">
        <v>0</v>
      </c>
      <c r="E162" s="74">
        <v>1</v>
      </c>
      <c r="F162" s="97">
        <v>50</v>
      </c>
      <c r="G162" s="120">
        <v>350</v>
      </c>
      <c r="H162" s="123">
        <v>401</v>
      </c>
    </row>
    <row r="163" spans="1:8" ht="13">
      <c r="A163" s="109">
        <v>43489.582592592589</v>
      </c>
      <c r="B163" s="142">
        <v>0</v>
      </c>
      <c r="C163" s="226">
        <v>2.4813895781637717E-3</v>
      </c>
      <c r="D163" s="131">
        <v>0</v>
      </c>
      <c r="E163" s="74">
        <v>1</v>
      </c>
      <c r="F163" s="97">
        <v>50</v>
      </c>
      <c r="G163" s="120">
        <v>352</v>
      </c>
      <c r="H163" s="123">
        <v>403</v>
      </c>
    </row>
    <row r="164" spans="1:8" ht="13">
      <c r="A164" s="109">
        <v>43493.3518287037</v>
      </c>
      <c r="B164" s="142">
        <v>0</v>
      </c>
      <c r="C164" s="226">
        <v>2.4691358024691358E-3</v>
      </c>
      <c r="D164" s="131">
        <v>0</v>
      </c>
      <c r="E164" s="74">
        <v>1</v>
      </c>
      <c r="F164" s="97">
        <v>50</v>
      </c>
      <c r="G164" s="120">
        <v>354</v>
      </c>
      <c r="H164" s="123">
        <v>405</v>
      </c>
    </row>
    <row r="165" spans="1:8" ht="13">
      <c r="A165" s="109">
        <v>43497.463148148148</v>
      </c>
      <c r="B165" s="142">
        <v>0</v>
      </c>
      <c r="C165" s="226">
        <v>2.4691358024691358E-3</v>
      </c>
      <c r="D165" s="131">
        <v>0</v>
      </c>
      <c r="E165" s="74">
        <v>1</v>
      </c>
      <c r="F165" s="97">
        <v>21</v>
      </c>
      <c r="G165" s="120">
        <v>383</v>
      </c>
      <c r="H165" s="123">
        <v>405</v>
      </c>
    </row>
    <row r="166" spans="1:8" ht="13">
      <c r="A166" s="109">
        <v>43500.380393518521</v>
      </c>
      <c r="B166" s="142">
        <v>0</v>
      </c>
      <c r="C166" s="226">
        <v>2.4691358024691358E-3</v>
      </c>
      <c r="D166" s="131">
        <v>0</v>
      </c>
      <c r="E166" s="74">
        <v>1</v>
      </c>
      <c r="F166" s="97">
        <v>21</v>
      </c>
      <c r="G166" s="120">
        <v>383</v>
      </c>
      <c r="H166" s="123">
        <v>405</v>
      </c>
    </row>
    <row r="167" spans="1:8" ht="13">
      <c r="A167" s="109">
        <v>43501.446250000001</v>
      </c>
      <c r="B167" s="142">
        <v>0</v>
      </c>
      <c r="C167" s="226">
        <v>2.4691358024691358E-3</v>
      </c>
      <c r="D167" s="131">
        <v>0</v>
      </c>
      <c r="E167" s="74">
        <v>1</v>
      </c>
      <c r="F167" s="97">
        <v>21</v>
      </c>
      <c r="G167" s="120">
        <v>383</v>
      </c>
      <c r="H167" s="123">
        <v>405</v>
      </c>
    </row>
    <row r="168" spans="1:8" ht="13">
      <c r="A168" s="109">
        <v>43503.378287037034</v>
      </c>
      <c r="B168" s="142">
        <v>0</v>
      </c>
      <c r="C168" s="226">
        <v>0</v>
      </c>
      <c r="D168" s="131">
        <v>0</v>
      </c>
      <c r="E168" s="74">
        <v>0</v>
      </c>
      <c r="F168" s="97">
        <v>21</v>
      </c>
      <c r="G168" s="120">
        <v>384</v>
      </c>
      <c r="H168" s="123">
        <v>405</v>
      </c>
    </row>
    <row r="169" spans="1:8" ht="13">
      <c r="A169" s="109">
        <v>43507.381967592592</v>
      </c>
      <c r="B169" s="142">
        <v>0</v>
      </c>
      <c r="C169" s="226">
        <v>0</v>
      </c>
      <c r="D169" s="131">
        <v>0</v>
      </c>
      <c r="E169" s="74">
        <v>0</v>
      </c>
      <c r="F169" s="97">
        <v>20</v>
      </c>
      <c r="G169" s="120">
        <v>385</v>
      </c>
      <c r="H169" s="123">
        <v>405</v>
      </c>
    </row>
    <row r="170" spans="1:8" ht="13">
      <c r="A170" s="109">
        <v>43514.363067129627</v>
      </c>
      <c r="B170" s="142">
        <v>0</v>
      </c>
      <c r="C170" s="226">
        <v>0</v>
      </c>
      <c r="D170" s="131">
        <v>0</v>
      </c>
      <c r="E170" s="74">
        <v>0</v>
      </c>
      <c r="F170" s="97">
        <v>20</v>
      </c>
      <c r="G170" s="120">
        <v>388</v>
      </c>
      <c r="H170" s="123">
        <v>408</v>
      </c>
    </row>
    <row r="171" spans="1:8" ht="13">
      <c r="A171" s="109">
        <v>43515.343761574077</v>
      </c>
      <c r="B171" s="142">
        <v>0</v>
      </c>
      <c r="C171" s="226">
        <v>0</v>
      </c>
      <c r="D171" s="131">
        <v>0</v>
      </c>
      <c r="E171" s="74">
        <v>0</v>
      </c>
      <c r="F171" s="97">
        <v>17</v>
      </c>
      <c r="G171" s="120">
        <v>373</v>
      </c>
      <c r="H171" s="123">
        <v>390</v>
      </c>
    </row>
    <row r="172" spans="1:8" ht="13">
      <c r="A172" s="109">
        <v>43521.384652777779</v>
      </c>
      <c r="B172" s="142">
        <v>0</v>
      </c>
      <c r="C172" s="226">
        <v>0</v>
      </c>
      <c r="D172" s="131">
        <v>0</v>
      </c>
      <c r="E172" s="74">
        <v>0</v>
      </c>
      <c r="F172" s="97">
        <v>16</v>
      </c>
      <c r="G172" s="120">
        <v>375</v>
      </c>
      <c r="H172" s="123">
        <v>391</v>
      </c>
    </row>
    <row r="173" spans="1:8" ht="13">
      <c r="A173" s="109">
        <v>43528.37431712963</v>
      </c>
      <c r="B173" s="142">
        <v>0</v>
      </c>
      <c r="C173" s="226">
        <v>2.3076923076923078E-2</v>
      </c>
      <c r="D173" s="131">
        <v>0</v>
      </c>
      <c r="E173" s="74">
        <v>9</v>
      </c>
      <c r="F173" s="97">
        <v>20</v>
      </c>
      <c r="G173" s="120">
        <v>361</v>
      </c>
      <c r="H173" s="123">
        <v>390</v>
      </c>
    </row>
    <row r="174" spans="1:8" ht="13">
      <c r="A174" s="109">
        <v>43528.402071759258</v>
      </c>
      <c r="B174" s="142">
        <v>0</v>
      </c>
      <c r="C174" s="226">
        <v>2.0512820512820513E-2</v>
      </c>
      <c r="D174" s="131">
        <v>0</v>
      </c>
      <c r="E174" s="74">
        <v>8</v>
      </c>
      <c r="F174" s="97">
        <v>20</v>
      </c>
      <c r="G174" s="120">
        <v>362</v>
      </c>
      <c r="H174" s="123">
        <v>390</v>
      </c>
    </row>
    <row r="175" spans="1:8" ht="13">
      <c r="A175" s="109">
        <v>43529.374386574076</v>
      </c>
      <c r="B175" s="142">
        <v>0</v>
      </c>
      <c r="C175" s="226">
        <v>2.5641025641025641E-3</v>
      </c>
      <c r="D175" s="131">
        <v>0</v>
      </c>
      <c r="E175" s="74">
        <v>1</v>
      </c>
      <c r="F175" s="97">
        <v>20</v>
      </c>
      <c r="G175" s="120">
        <v>369</v>
      </c>
      <c r="H175" s="123">
        <v>390</v>
      </c>
    </row>
    <row r="176" spans="1:8" ht="13">
      <c r="A176" s="109">
        <v>43529.397326388891</v>
      </c>
      <c r="B176" s="142">
        <v>0</v>
      </c>
      <c r="C176" s="226">
        <v>0</v>
      </c>
      <c r="D176" s="131">
        <v>0</v>
      </c>
      <c r="E176" s="74">
        <v>0</v>
      </c>
      <c r="F176" s="97">
        <v>20</v>
      </c>
      <c r="G176" s="120">
        <v>370</v>
      </c>
      <c r="H176" s="123">
        <v>390</v>
      </c>
    </row>
    <row r="177" spans="1:8" ht="13">
      <c r="A177" s="109">
        <v>43529.401006944441</v>
      </c>
      <c r="B177" s="142">
        <v>0</v>
      </c>
      <c r="C177" s="226">
        <v>0</v>
      </c>
      <c r="D177" s="131">
        <v>0</v>
      </c>
      <c r="E177" s="74">
        <v>0</v>
      </c>
      <c r="F177" s="97">
        <v>20</v>
      </c>
      <c r="G177" s="120">
        <v>371</v>
      </c>
      <c r="H177" s="123">
        <v>391</v>
      </c>
    </row>
    <row r="178" spans="1:8" ht="13">
      <c r="A178" s="109">
        <v>43535.366701388892</v>
      </c>
      <c r="B178" s="142">
        <v>0</v>
      </c>
      <c r="C178" s="226">
        <v>0</v>
      </c>
      <c r="D178" s="131">
        <v>0</v>
      </c>
      <c r="E178" s="74">
        <v>0</v>
      </c>
      <c r="F178" s="97">
        <v>20</v>
      </c>
      <c r="G178" s="120">
        <v>371</v>
      </c>
      <c r="H178" s="123">
        <v>391</v>
      </c>
    </row>
    <row r="179" spans="1:8" ht="13">
      <c r="A179" s="109">
        <v>43536.682210648149</v>
      </c>
      <c r="B179" s="142">
        <v>0</v>
      </c>
      <c r="C179" s="226">
        <v>0</v>
      </c>
      <c r="D179" s="131">
        <v>0</v>
      </c>
      <c r="E179" s="74">
        <v>0</v>
      </c>
      <c r="F179" s="97">
        <v>34</v>
      </c>
      <c r="G179" s="120">
        <v>376</v>
      </c>
      <c r="H179" s="123">
        <v>410</v>
      </c>
    </row>
    <row r="180" spans="1:8" ht="13">
      <c r="A180" s="109">
        <v>43542.36146990741</v>
      </c>
      <c r="B180" s="142">
        <v>0</v>
      </c>
      <c r="C180" s="226">
        <v>0</v>
      </c>
      <c r="D180" s="131">
        <v>0</v>
      </c>
      <c r="E180" s="74">
        <v>0</v>
      </c>
      <c r="F180" s="97">
        <v>34</v>
      </c>
      <c r="G180" s="120">
        <v>376</v>
      </c>
      <c r="H180" s="123">
        <v>410</v>
      </c>
    </row>
    <row r="181" spans="1:8" ht="13">
      <c r="A181" s="109">
        <v>43549.36136574074</v>
      </c>
      <c r="B181" s="142">
        <v>0</v>
      </c>
      <c r="C181" s="226">
        <v>0</v>
      </c>
      <c r="D181" s="131">
        <v>0</v>
      </c>
      <c r="E181" s="74">
        <v>0</v>
      </c>
      <c r="F181" s="97">
        <v>32</v>
      </c>
      <c r="G181" s="120">
        <v>380</v>
      </c>
      <c r="H181" s="123">
        <v>412</v>
      </c>
    </row>
    <row r="182" spans="1:8" ht="13">
      <c r="A182" s="109">
        <v>43556.380243055559</v>
      </c>
      <c r="B182" s="142">
        <v>0</v>
      </c>
      <c r="C182" s="226">
        <v>2.4271844660194173E-3</v>
      </c>
      <c r="D182" s="131">
        <v>0</v>
      </c>
      <c r="E182" s="74">
        <v>1</v>
      </c>
      <c r="F182" s="97">
        <v>66</v>
      </c>
      <c r="G182" s="120">
        <v>345</v>
      </c>
      <c r="H182" s="123">
        <v>412</v>
      </c>
    </row>
    <row r="183" spans="1:8" ht="13">
      <c r="A183" s="109">
        <v>43020.753796296296</v>
      </c>
      <c r="B183" s="142">
        <v>0</v>
      </c>
      <c r="C183" s="226">
        <v>0</v>
      </c>
      <c r="D183" s="131">
        <v>0</v>
      </c>
      <c r="E183" s="74">
        <v>0</v>
      </c>
      <c r="F183" s="97">
        <v>66</v>
      </c>
      <c r="G183" s="120">
        <v>347</v>
      </c>
      <c r="H183" s="123">
        <v>413</v>
      </c>
    </row>
    <row r="184" spans="1:8" ht="13">
      <c r="A184" s="109">
        <v>43563.378865740742</v>
      </c>
      <c r="B184" s="142">
        <v>0</v>
      </c>
      <c r="C184" s="226">
        <v>0</v>
      </c>
      <c r="D184" s="131">
        <v>0</v>
      </c>
      <c r="E184" s="74">
        <v>0</v>
      </c>
      <c r="F184" s="97">
        <v>66</v>
      </c>
      <c r="G184" s="120">
        <v>346</v>
      </c>
      <c r="H184" s="123">
        <v>412</v>
      </c>
    </row>
    <row r="185" spans="1:8" ht="13">
      <c r="A185" s="109">
        <v>43570.370023148149</v>
      </c>
      <c r="B185" s="142">
        <v>0</v>
      </c>
      <c r="C185" s="226">
        <v>0</v>
      </c>
      <c r="D185" s="131">
        <v>0</v>
      </c>
      <c r="E185" s="74">
        <v>0</v>
      </c>
      <c r="F185" s="97">
        <v>66</v>
      </c>
      <c r="G185" s="120">
        <v>345</v>
      </c>
      <c r="H185" s="123">
        <v>411</v>
      </c>
    </row>
    <row r="186" spans="1:8" ht="13">
      <c r="A186" s="109">
        <v>43578.348298611112</v>
      </c>
      <c r="B186" s="142">
        <v>0</v>
      </c>
      <c r="C186" s="226">
        <v>0</v>
      </c>
      <c r="D186" s="131">
        <v>0</v>
      </c>
      <c r="E186" s="74">
        <v>0</v>
      </c>
      <c r="F186" s="97">
        <v>66</v>
      </c>
      <c r="G186" s="120">
        <v>347</v>
      </c>
      <c r="H186" s="123">
        <v>413</v>
      </c>
    </row>
    <row r="187" spans="1:8" ht="13">
      <c r="A187" s="109">
        <v>43579.47216435185</v>
      </c>
      <c r="B187" s="142">
        <v>0</v>
      </c>
      <c r="C187" s="226">
        <v>0</v>
      </c>
      <c r="D187" s="131">
        <v>0</v>
      </c>
      <c r="E187" s="74">
        <v>0</v>
      </c>
      <c r="F187" s="97">
        <v>66</v>
      </c>
      <c r="G187" s="120">
        <v>345</v>
      </c>
      <c r="H187" s="123">
        <v>411</v>
      </c>
    </row>
    <row r="188" spans="1:8" ht="13">
      <c r="A188" s="109">
        <v>43584.36273148148</v>
      </c>
      <c r="B188" s="142">
        <v>0</v>
      </c>
      <c r="C188" s="226">
        <v>0</v>
      </c>
      <c r="D188" s="131">
        <v>0</v>
      </c>
      <c r="E188" s="74">
        <v>0</v>
      </c>
      <c r="F188" s="97">
        <v>61</v>
      </c>
      <c r="G188" s="120">
        <v>350</v>
      </c>
      <c r="H188" s="123">
        <v>411</v>
      </c>
    </row>
    <row r="189" spans="1:8" ht="13">
      <c r="A189" s="109">
        <v>43585.63385416667</v>
      </c>
      <c r="B189" s="142">
        <v>0</v>
      </c>
      <c r="C189" s="226">
        <v>0</v>
      </c>
      <c r="D189" s="131">
        <v>0</v>
      </c>
      <c r="E189" s="74">
        <v>0</v>
      </c>
      <c r="F189" s="97">
        <v>38</v>
      </c>
      <c r="G189" s="120">
        <v>371</v>
      </c>
      <c r="H189" s="123">
        <v>409</v>
      </c>
    </row>
    <row r="190" spans="1:8" ht="13">
      <c r="A190" s="109">
        <v>43591.357754629629</v>
      </c>
      <c r="B190" s="142">
        <v>0</v>
      </c>
      <c r="C190" s="226">
        <v>0</v>
      </c>
      <c r="D190" s="131">
        <v>0</v>
      </c>
      <c r="E190" s="74">
        <v>0</v>
      </c>
      <c r="F190" s="97">
        <v>54</v>
      </c>
      <c r="G190" s="120">
        <v>355</v>
      </c>
      <c r="H190" s="123">
        <v>409</v>
      </c>
    </row>
    <row r="191" spans="1:8" ht="13">
      <c r="A191" s="109">
        <v>43598.368483796294</v>
      </c>
      <c r="B191" s="142">
        <v>0</v>
      </c>
      <c r="C191" s="226">
        <v>0</v>
      </c>
      <c r="D191" s="131">
        <v>0</v>
      </c>
      <c r="E191" s="74">
        <v>0</v>
      </c>
      <c r="F191" s="97">
        <v>54</v>
      </c>
      <c r="G191" s="120">
        <v>357</v>
      </c>
      <c r="H191" s="123">
        <v>411</v>
      </c>
    </row>
    <row r="192" spans="1:8" ht="13">
      <c r="A192" s="109">
        <v>43605.363726851851</v>
      </c>
      <c r="B192" s="142">
        <v>0</v>
      </c>
      <c r="C192" s="226">
        <v>0</v>
      </c>
      <c r="D192" s="131">
        <v>0</v>
      </c>
      <c r="E192" s="74">
        <v>0</v>
      </c>
      <c r="F192" s="97">
        <v>54</v>
      </c>
      <c r="G192" s="120">
        <v>357</v>
      </c>
      <c r="H192" s="123">
        <v>411</v>
      </c>
    </row>
    <row r="193" spans="1:8" ht="13">
      <c r="A193" s="109">
        <v>43612.360543981478</v>
      </c>
      <c r="B193" s="142">
        <v>0</v>
      </c>
      <c r="C193" s="226">
        <v>0</v>
      </c>
      <c r="D193" s="131">
        <v>0</v>
      </c>
      <c r="E193" s="74">
        <v>0</v>
      </c>
      <c r="F193" s="97">
        <v>52</v>
      </c>
      <c r="G193" s="120">
        <v>359</v>
      </c>
      <c r="H193" s="123">
        <v>411</v>
      </c>
    </row>
    <row r="194" spans="1:8" ht="13">
      <c r="A194" s="109">
        <v>43613.367118055554</v>
      </c>
      <c r="B194" s="142">
        <v>0</v>
      </c>
      <c r="C194" s="226">
        <v>0</v>
      </c>
      <c r="D194" s="131">
        <v>0</v>
      </c>
      <c r="E194" s="74">
        <v>0</v>
      </c>
      <c r="F194" s="97">
        <v>23</v>
      </c>
      <c r="G194" s="120">
        <v>388</v>
      </c>
      <c r="H194" s="123">
        <v>411</v>
      </c>
    </row>
    <row r="195" spans="1:8" ht="13">
      <c r="A195" s="109">
        <v>43619.349097222221</v>
      </c>
      <c r="B195" s="142">
        <v>0</v>
      </c>
      <c r="C195" s="226">
        <v>0</v>
      </c>
      <c r="D195" s="131">
        <v>0</v>
      </c>
      <c r="E195" s="74">
        <v>0</v>
      </c>
      <c r="F195" s="97">
        <v>25</v>
      </c>
      <c r="G195" s="120">
        <v>386</v>
      </c>
      <c r="H195" s="123">
        <v>411</v>
      </c>
    </row>
    <row r="196" spans="1:8" ht="13">
      <c r="A196" s="109">
        <v>43627.392824074072</v>
      </c>
      <c r="B196" s="142">
        <v>0</v>
      </c>
      <c r="C196" s="226">
        <v>0</v>
      </c>
      <c r="D196" s="131">
        <v>0</v>
      </c>
      <c r="E196" s="74">
        <v>0</v>
      </c>
      <c r="F196" s="97">
        <v>25</v>
      </c>
      <c r="G196" s="120">
        <v>387</v>
      </c>
      <c r="H196" s="123">
        <v>412</v>
      </c>
    </row>
    <row r="197" spans="1:8" ht="13">
      <c r="A197" s="109">
        <v>43633.345590277779</v>
      </c>
      <c r="B197" s="142">
        <v>0</v>
      </c>
      <c r="C197" s="226">
        <v>0</v>
      </c>
      <c r="D197" s="131">
        <v>0</v>
      </c>
      <c r="E197" s="74">
        <v>0</v>
      </c>
      <c r="F197" s="97">
        <v>20</v>
      </c>
      <c r="G197" s="120">
        <v>392</v>
      </c>
      <c r="H197" s="123">
        <v>412</v>
      </c>
    </row>
    <row r="198" spans="1:8" ht="13">
      <c r="A198" s="109">
        <v>43640.341331018521</v>
      </c>
      <c r="B198" s="142">
        <v>0</v>
      </c>
      <c r="C198" s="226">
        <v>0</v>
      </c>
      <c r="D198" s="131">
        <v>0</v>
      </c>
      <c r="E198" s="74">
        <v>0</v>
      </c>
      <c r="F198" s="97">
        <v>16</v>
      </c>
      <c r="G198" s="120">
        <v>393</v>
      </c>
      <c r="H198" s="123">
        <v>409</v>
      </c>
    </row>
    <row r="199" spans="1:8" ht="13">
      <c r="A199" s="109">
        <v>43647.363483796296</v>
      </c>
      <c r="B199" s="142">
        <v>0</v>
      </c>
      <c r="C199" s="226">
        <v>2.4630541871921183E-3</v>
      </c>
      <c r="D199" s="131">
        <v>0</v>
      </c>
      <c r="E199" s="74">
        <v>1</v>
      </c>
      <c r="F199" s="97">
        <v>3</v>
      </c>
      <c r="G199" s="120">
        <v>402</v>
      </c>
      <c r="H199" s="123">
        <v>406</v>
      </c>
    </row>
    <row r="200" spans="1:8" ht="13">
      <c r="A200" s="109">
        <v>43654.368356481478</v>
      </c>
      <c r="B200" s="142">
        <v>0</v>
      </c>
      <c r="C200" s="226">
        <v>0</v>
      </c>
      <c r="D200" s="131">
        <v>0</v>
      </c>
      <c r="E200" s="74">
        <v>0</v>
      </c>
      <c r="F200" s="97">
        <v>14</v>
      </c>
      <c r="G200" s="120">
        <v>393</v>
      </c>
      <c r="H200" s="123">
        <v>407</v>
      </c>
    </row>
    <row r="201" spans="1:8" ht="13">
      <c r="A201" s="109">
        <v>43661.37945601852</v>
      </c>
      <c r="B201" s="142">
        <v>0</v>
      </c>
      <c r="C201" s="226">
        <v>0</v>
      </c>
      <c r="D201" s="131">
        <v>0</v>
      </c>
      <c r="E201" s="74">
        <v>0</v>
      </c>
      <c r="F201" s="97">
        <v>13</v>
      </c>
      <c r="G201" s="120">
        <v>393</v>
      </c>
      <c r="H201" s="123">
        <v>406</v>
      </c>
    </row>
    <row r="202" spans="1:8" ht="13">
      <c r="A202" s="109">
        <v>43668.38045138889</v>
      </c>
      <c r="B202" s="142">
        <v>0</v>
      </c>
      <c r="C202" s="226">
        <v>0</v>
      </c>
      <c r="D202" s="131">
        <v>0</v>
      </c>
      <c r="E202" s="74">
        <v>0</v>
      </c>
      <c r="F202" s="97">
        <v>13</v>
      </c>
      <c r="G202" s="120">
        <v>393</v>
      </c>
      <c r="H202" s="123">
        <v>406</v>
      </c>
    </row>
    <row r="203" spans="1:8" ht="13">
      <c r="A203" s="109">
        <v>43675.387349537035</v>
      </c>
      <c r="B203" s="142">
        <v>0</v>
      </c>
      <c r="C203" s="226">
        <v>0</v>
      </c>
      <c r="D203" s="131">
        <v>0</v>
      </c>
      <c r="E203" s="74">
        <v>0</v>
      </c>
      <c r="F203" s="97">
        <v>13</v>
      </c>
      <c r="G203" s="120">
        <v>393</v>
      </c>
      <c r="H203" s="123">
        <v>406</v>
      </c>
    </row>
    <row r="204" spans="1:8" ht="13">
      <c r="A204" s="109">
        <v>43682.390405092592</v>
      </c>
      <c r="B204" s="142">
        <v>0</v>
      </c>
      <c r="C204" s="226">
        <v>0</v>
      </c>
      <c r="D204" s="131">
        <v>0</v>
      </c>
      <c r="E204" s="74">
        <v>0</v>
      </c>
      <c r="F204" s="97">
        <v>28</v>
      </c>
      <c r="G204" s="120">
        <v>378</v>
      </c>
      <c r="H204" s="123">
        <v>406</v>
      </c>
    </row>
    <row r="205" spans="1:8" ht="13">
      <c r="A205" s="109">
        <v>43689.3753125</v>
      </c>
      <c r="B205" s="142">
        <v>0</v>
      </c>
      <c r="C205" s="226">
        <v>0</v>
      </c>
      <c r="D205" s="131">
        <v>0</v>
      </c>
      <c r="E205" s="74">
        <v>0</v>
      </c>
      <c r="F205" s="97">
        <v>28</v>
      </c>
      <c r="G205" s="120">
        <v>378</v>
      </c>
      <c r="H205" s="123">
        <v>406</v>
      </c>
    </row>
    <row r="206" spans="1:8" ht="13">
      <c r="A206" s="109">
        <v>43696.392048611109</v>
      </c>
      <c r="B206" s="142">
        <v>0</v>
      </c>
      <c r="C206" s="226">
        <v>0</v>
      </c>
      <c r="D206" s="131">
        <v>0</v>
      </c>
      <c r="E206" s="74">
        <v>0</v>
      </c>
      <c r="F206" s="97">
        <v>28</v>
      </c>
      <c r="G206" s="120">
        <v>378</v>
      </c>
      <c r="H206" s="123">
        <v>406</v>
      </c>
    </row>
    <row r="207" spans="1:8" ht="13">
      <c r="A207" s="109">
        <v>43703.37091435185</v>
      </c>
      <c r="B207" s="142">
        <v>0</v>
      </c>
      <c r="C207" s="226">
        <v>0</v>
      </c>
      <c r="D207" s="131">
        <v>0</v>
      </c>
      <c r="E207" s="74">
        <v>0</v>
      </c>
      <c r="F207" s="97">
        <v>28</v>
      </c>
      <c r="G207" s="120">
        <v>378</v>
      </c>
      <c r="H207" s="123">
        <v>406</v>
      </c>
    </row>
    <row r="208" spans="1:8" ht="13">
      <c r="A208" s="109">
        <v>43710.361805555556</v>
      </c>
      <c r="B208" s="142">
        <v>0</v>
      </c>
      <c r="C208" s="226">
        <v>7.3710073710073713E-3</v>
      </c>
      <c r="D208" s="131">
        <v>0</v>
      </c>
      <c r="E208" s="74">
        <v>3</v>
      </c>
      <c r="F208" s="97">
        <v>39</v>
      </c>
      <c r="G208" s="120">
        <v>365</v>
      </c>
      <c r="H208" s="123">
        <v>407</v>
      </c>
    </row>
    <row r="209" spans="1:8" ht="13">
      <c r="A209" s="109">
        <v>43717.379988425928</v>
      </c>
      <c r="B209" s="142">
        <v>0</v>
      </c>
      <c r="C209" s="226">
        <v>7.3529411764705881E-3</v>
      </c>
      <c r="D209" s="131">
        <v>0</v>
      </c>
      <c r="E209" s="74">
        <v>3</v>
      </c>
      <c r="F209" s="97">
        <v>34</v>
      </c>
      <c r="G209" s="120">
        <v>371</v>
      </c>
      <c r="H209" s="123">
        <v>408</v>
      </c>
    </row>
    <row r="210" spans="1:8" ht="13">
      <c r="A210" s="109">
        <v>43724.392997685187</v>
      </c>
      <c r="B210" s="142">
        <v>0</v>
      </c>
      <c r="C210" s="226">
        <v>0</v>
      </c>
      <c r="D210" s="131">
        <v>0</v>
      </c>
      <c r="E210" s="74">
        <v>0</v>
      </c>
      <c r="F210" s="97">
        <v>32</v>
      </c>
      <c r="G210" s="120">
        <v>376</v>
      </c>
      <c r="H210" s="123">
        <v>408</v>
      </c>
    </row>
    <row r="211" spans="1:8" ht="13">
      <c r="A211" s="109">
        <v>43731.389456018522</v>
      </c>
      <c r="B211" s="142">
        <v>0</v>
      </c>
      <c r="C211" s="226">
        <v>0</v>
      </c>
      <c r="D211" s="131">
        <v>0</v>
      </c>
      <c r="E211" s="74">
        <v>0</v>
      </c>
      <c r="F211" s="97">
        <v>25</v>
      </c>
      <c r="G211" s="120">
        <v>382</v>
      </c>
      <c r="H211" s="123">
        <v>407</v>
      </c>
    </row>
    <row r="212" spans="1:8" ht="13">
      <c r="A212" s="109">
        <v>43738.383437500001</v>
      </c>
      <c r="B212" s="142">
        <v>0</v>
      </c>
      <c r="C212" s="226">
        <v>0</v>
      </c>
      <c r="D212" s="131">
        <v>0</v>
      </c>
      <c r="E212" s="74">
        <v>0</v>
      </c>
      <c r="F212" s="97">
        <v>20</v>
      </c>
      <c r="G212" s="120">
        <v>386</v>
      </c>
      <c r="H212" s="123">
        <v>406</v>
      </c>
    </row>
    <row r="213" spans="1:8" ht="13">
      <c r="A213" s="109">
        <v>43745.399351851855</v>
      </c>
      <c r="B213" s="142">
        <v>0</v>
      </c>
      <c r="C213" s="226">
        <v>0</v>
      </c>
      <c r="D213" s="131">
        <v>0</v>
      </c>
      <c r="E213" s="74">
        <v>0</v>
      </c>
      <c r="F213" s="97">
        <v>36</v>
      </c>
      <c r="G213" s="120">
        <v>370</v>
      </c>
      <c r="H213" s="123">
        <v>406</v>
      </c>
    </row>
    <row r="214" spans="1:8" ht="13">
      <c r="A214" s="109">
        <v>43752.388599537036</v>
      </c>
      <c r="B214" s="142">
        <v>0</v>
      </c>
      <c r="C214" s="226">
        <v>0</v>
      </c>
      <c r="D214" s="131">
        <v>0</v>
      </c>
      <c r="E214" s="74">
        <v>0</v>
      </c>
      <c r="F214" s="97">
        <v>36</v>
      </c>
      <c r="G214" s="120">
        <v>371</v>
      </c>
      <c r="H214" s="123">
        <v>407</v>
      </c>
    </row>
    <row r="215" spans="1:8" ht="13">
      <c r="A215" s="109">
        <v>43753.558171296296</v>
      </c>
      <c r="B215" s="142">
        <v>0</v>
      </c>
      <c r="C215" s="226">
        <v>0</v>
      </c>
      <c r="D215" s="131">
        <v>0</v>
      </c>
      <c r="E215" s="74">
        <v>0</v>
      </c>
      <c r="F215" s="97">
        <v>36</v>
      </c>
      <c r="G215" s="120">
        <v>371</v>
      </c>
      <c r="H215" s="123">
        <v>407</v>
      </c>
    </row>
    <row r="216" spans="1:8" ht="13">
      <c r="A216" s="109">
        <v>43759.38076388889</v>
      </c>
      <c r="B216" s="142">
        <v>0</v>
      </c>
      <c r="C216" s="226">
        <v>0</v>
      </c>
      <c r="D216" s="131">
        <v>0</v>
      </c>
      <c r="E216" s="74">
        <v>0</v>
      </c>
      <c r="F216" s="97">
        <v>34</v>
      </c>
      <c r="G216" s="120">
        <v>374</v>
      </c>
      <c r="H216" s="123">
        <v>408</v>
      </c>
    </row>
    <row r="217" spans="1:8" ht="13">
      <c r="A217" s="109">
        <v>43766.395856481482</v>
      </c>
      <c r="B217" s="142">
        <v>0</v>
      </c>
      <c r="C217" s="226">
        <v>0</v>
      </c>
      <c r="D217" s="131">
        <v>0</v>
      </c>
      <c r="E217" s="74">
        <v>0</v>
      </c>
      <c r="F217" s="97">
        <v>33</v>
      </c>
      <c r="G217" s="120">
        <v>376</v>
      </c>
      <c r="H217" s="123">
        <v>409</v>
      </c>
    </row>
    <row r="218" spans="1:8" ht="13">
      <c r="A218" s="109">
        <v>43773.354618055557</v>
      </c>
      <c r="B218" s="142">
        <v>0</v>
      </c>
      <c r="C218" s="226">
        <v>0</v>
      </c>
      <c r="D218" s="131">
        <v>0</v>
      </c>
      <c r="E218" s="74">
        <v>0</v>
      </c>
      <c r="F218" s="97">
        <v>44</v>
      </c>
      <c r="G218" s="120">
        <v>366</v>
      </c>
      <c r="H218" s="123">
        <v>410</v>
      </c>
    </row>
    <row r="219" spans="1:8" ht="13">
      <c r="A219" s="109">
        <v>43773.502511574072</v>
      </c>
      <c r="B219" s="142">
        <v>0</v>
      </c>
      <c r="C219" s="226">
        <v>0</v>
      </c>
      <c r="D219" s="131">
        <v>0</v>
      </c>
      <c r="E219" s="74">
        <v>0</v>
      </c>
      <c r="F219" s="97">
        <v>44</v>
      </c>
      <c r="G219" s="120">
        <v>366</v>
      </c>
      <c r="H219" s="123">
        <v>410</v>
      </c>
    </row>
    <row r="220" spans="1:8" ht="13">
      <c r="A220" s="109">
        <v>43773.660729166666</v>
      </c>
      <c r="B220" s="142">
        <v>0</v>
      </c>
      <c r="C220" s="226">
        <v>0</v>
      </c>
      <c r="D220" s="131">
        <v>0</v>
      </c>
      <c r="E220" s="74">
        <v>0</v>
      </c>
      <c r="F220" s="97">
        <v>43</v>
      </c>
      <c r="G220" s="120">
        <v>367</v>
      </c>
      <c r="H220" s="123">
        <v>410</v>
      </c>
    </row>
    <row r="221" spans="1:8" ht="13">
      <c r="A221" s="109">
        <v>43781.368414351855</v>
      </c>
      <c r="B221" s="142">
        <v>0</v>
      </c>
      <c r="C221" s="226">
        <v>0</v>
      </c>
      <c r="D221" s="131">
        <v>0</v>
      </c>
      <c r="E221" s="74">
        <v>0</v>
      </c>
      <c r="F221" s="97">
        <v>43</v>
      </c>
      <c r="G221" s="120">
        <v>367</v>
      </c>
      <c r="H221" s="123">
        <v>410</v>
      </c>
    </row>
    <row r="222" spans="1:8" ht="13">
      <c r="A222" s="109">
        <v>43787.38077546296</v>
      </c>
      <c r="B222" s="142">
        <v>0</v>
      </c>
      <c r="C222" s="226">
        <v>0</v>
      </c>
      <c r="D222" s="131">
        <v>0</v>
      </c>
      <c r="E222" s="74">
        <v>0</v>
      </c>
      <c r="F222" s="97">
        <v>42</v>
      </c>
      <c r="G222" s="120">
        <v>369</v>
      </c>
      <c r="H222" s="123">
        <v>411</v>
      </c>
    </row>
    <row r="223" spans="1:8" ht="13">
      <c r="A223" s="109">
        <v>43794.366423611114</v>
      </c>
      <c r="B223" s="142">
        <v>0</v>
      </c>
      <c r="C223" s="226">
        <v>0</v>
      </c>
      <c r="D223" s="131">
        <v>0</v>
      </c>
      <c r="E223" s="74">
        <v>0</v>
      </c>
      <c r="F223" s="97">
        <v>43</v>
      </c>
      <c r="G223" s="120">
        <v>370</v>
      </c>
      <c r="H223" s="123">
        <v>413</v>
      </c>
    </row>
    <row r="224" spans="1:8" ht="13">
      <c r="A224" s="109">
        <v>43801.358495370368</v>
      </c>
      <c r="B224" s="142">
        <v>0</v>
      </c>
      <c r="C224" s="226">
        <v>2.4154589371980675E-3</v>
      </c>
      <c r="D224" s="131">
        <v>0</v>
      </c>
      <c r="E224" s="74">
        <v>1</v>
      </c>
      <c r="F224" s="97">
        <v>34</v>
      </c>
      <c r="G224" s="120">
        <v>379</v>
      </c>
      <c r="H224" s="123">
        <v>414</v>
      </c>
    </row>
    <row r="225" spans="1:8" ht="13">
      <c r="A225" s="109">
        <v>43808.358506944445</v>
      </c>
      <c r="B225" s="142">
        <v>0</v>
      </c>
      <c r="C225" s="226">
        <v>2.4154589371980675E-3</v>
      </c>
      <c r="D225" s="131">
        <v>0</v>
      </c>
      <c r="E225" s="74">
        <v>1</v>
      </c>
      <c r="F225" s="97">
        <v>19</v>
      </c>
      <c r="G225" s="120">
        <v>394</v>
      </c>
      <c r="H225" s="123">
        <v>414</v>
      </c>
    </row>
    <row r="226" spans="1:8" ht="13">
      <c r="A226" s="109">
        <v>43815.398472222223</v>
      </c>
      <c r="B226" s="142">
        <v>0</v>
      </c>
      <c r="C226" s="226">
        <v>0</v>
      </c>
      <c r="D226" s="131">
        <v>0</v>
      </c>
      <c r="E226" s="74">
        <v>0</v>
      </c>
      <c r="F226" s="97">
        <v>18</v>
      </c>
      <c r="G226" s="120">
        <v>398</v>
      </c>
      <c r="H226" s="123">
        <v>416</v>
      </c>
    </row>
    <row r="227" spans="1:8" ht="13">
      <c r="A227" s="109">
        <v>43822.45685185185</v>
      </c>
      <c r="B227" s="142">
        <v>0</v>
      </c>
      <c r="C227" s="226">
        <v>0</v>
      </c>
      <c r="D227" s="131">
        <v>0</v>
      </c>
      <c r="E227" s="74">
        <v>0</v>
      </c>
      <c r="F227" s="97">
        <v>12</v>
      </c>
      <c r="G227" s="120">
        <v>406</v>
      </c>
      <c r="H227" s="123">
        <v>418</v>
      </c>
    </row>
    <row r="228" spans="1:8" ht="13">
      <c r="A228" s="109">
        <v>43836.386435185188</v>
      </c>
      <c r="B228" s="142">
        <v>0</v>
      </c>
      <c r="C228" s="226">
        <v>0</v>
      </c>
      <c r="D228" s="131">
        <v>0</v>
      </c>
      <c r="E228" s="74">
        <v>0</v>
      </c>
      <c r="F228" s="97">
        <v>48</v>
      </c>
      <c r="G228" s="120">
        <v>370</v>
      </c>
      <c r="H228" s="123">
        <v>418</v>
      </c>
    </row>
    <row r="229" spans="1:8" ht="13">
      <c r="A229" s="109">
        <v>43837.401597222219</v>
      </c>
      <c r="B229" s="142">
        <v>0</v>
      </c>
      <c r="C229" s="226">
        <v>0</v>
      </c>
      <c r="D229" s="131">
        <v>0</v>
      </c>
      <c r="E229" s="74">
        <v>0</v>
      </c>
      <c r="F229" s="97">
        <v>48</v>
      </c>
      <c r="G229" s="120">
        <v>370</v>
      </c>
      <c r="H229" s="123">
        <v>418</v>
      </c>
    </row>
    <row r="230" spans="1:8" ht="13">
      <c r="A230" s="109">
        <v>43843.365740740737</v>
      </c>
      <c r="B230" s="142">
        <v>0</v>
      </c>
      <c r="C230" s="226">
        <v>0</v>
      </c>
      <c r="D230" s="131">
        <v>0</v>
      </c>
      <c r="E230" s="74">
        <v>0</v>
      </c>
      <c r="F230" s="97">
        <v>48</v>
      </c>
      <c r="G230" s="120">
        <v>369</v>
      </c>
      <c r="H230" s="123">
        <v>417</v>
      </c>
    </row>
    <row r="231" spans="1:8" ht="13">
      <c r="A231" s="109">
        <v>43850.385671296295</v>
      </c>
      <c r="B231" s="142">
        <v>0</v>
      </c>
      <c r="C231" s="226">
        <v>0</v>
      </c>
      <c r="D231" s="131">
        <v>0</v>
      </c>
      <c r="E231" s="74">
        <v>0</v>
      </c>
      <c r="F231" s="97">
        <v>45</v>
      </c>
      <c r="G231" s="120">
        <v>363</v>
      </c>
      <c r="H231" s="123">
        <v>408</v>
      </c>
    </row>
    <row r="232" spans="1:8" ht="13">
      <c r="A232" s="109">
        <v>43851.484826388885</v>
      </c>
      <c r="B232" s="142">
        <v>0</v>
      </c>
      <c r="C232" s="226">
        <v>0</v>
      </c>
      <c r="D232" s="131">
        <v>0</v>
      </c>
      <c r="E232" s="74">
        <v>0</v>
      </c>
      <c r="F232" s="97">
        <v>43</v>
      </c>
      <c r="G232" s="120">
        <v>365</v>
      </c>
      <c r="H232" s="123">
        <v>408</v>
      </c>
    </row>
    <row r="233" spans="1:8" ht="13">
      <c r="A233" s="109">
        <v>43857.38989583333</v>
      </c>
      <c r="B233" s="142">
        <v>0</v>
      </c>
      <c r="C233" s="226">
        <v>0</v>
      </c>
      <c r="D233" s="131">
        <v>0</v>
      </c>
      <c r="E233" s="74">
        <v>0</v>
      </c>
      <c r="F233" s="97">
        <v>42</v>
      </c>
      <c r="G233" s="120">
        <v>365</v>
      </c>
      <c r="H233" s="123">
        <v>407</v>
      </c>
    </row>
    <row r="234" spans="1:8" ht="13">
      <c r="A234" s="109">
        <v>43864.371423611112</v>
      </c>
      <c r="B234" s="142">
        <v>0</v>
      </c>
      <c r="C234" s="226">
        <v>0</v>
      </c>
      <c r="D234" s="131">
        <v>0</v>
      </c>
      <c r="E234" s="74">
        <v>0</v>
      </c>
      <c r="F234" s="97">
        <v>46</v>
      </c>
      <c r="G234" s="120">
        <v>373</v>
      </c>
      <c r="H234" s="123">
        <v>419</v>
      </c>
    </row>
    <row r="235" spans="1:8" ht="13">
      <c r="A235" s="109">
        <v>43871.374374999999</v>
      </c>
      <c r="B235" s="142">
        <v>0</v>
      </c>
      <c r="C235" s="226">
        <v>7.1770334928229667E-3</v>
      </c>
      <c r="D235" s="131">
        <v>0</v>
      </c>
      <c r="E235" s="74">
        <v>3</v>
      </c>
      <c r="F235" s="97">
        <v>43</v>
      </c>
      <c r="G235" s="120">
        <v>372</v>
      </c>
      <c r="H235" s="123">
        <v>418</v>
      </c>
    </row>
    <row r="236" spans="1:8" ht="13">
      <c r="A236" s="109">
        <v>43878.386111111111</v>
      </c>
      <c r="B236" s="142">
        <v>0</v>
      </c>
      <c r="C236" s="226">
        <v>0</v>
      </c>
      <c r="D236" s="131">
        <v>0</v>
      </c>
      <c r="E236" s="74">
        <v>0</v>
      </c>
      <c r="F236" s="97">
        <v>42</v>
      </c>
      <c r="G236" s="120">
        <v>378</v>
      </c>
      <c r="H236" s="123">
        <v>420</v>
      </c>
    </row>
    <row r="237" spans="1:8" ht="13">
      <c r="A237" s="109">
        <v>43885.366875</v>
      </c>
      <c r="B237" s="142">
        <v>0</v>
      </c>
      <c r="C237" s="226">
        <v>0</v>
      </c>
      <c r="D237" s="131">
        <v>0</v>
      </c>
      <c r="E237" s="74">
        <v>0</v>
      </c>
      <c r="F237" s="97">
        <v>42</v>
      </c>
      <c r="G237" s="120">
        <v>377</v>
      </c>
      <c r="H237" s="123">
        <v>419</v>
      </c>
    </row>
    <row r="238" spans="1:8" ht="13">
      <c r="A238" s="109">
        <v>43892.406678240739</v>
      </c>
      <c r="B238" s="142">
        <v>0</v>
      </c>
      <c r="C238" s="226">
        <v>5.1764705882352942E-2</v>
      </c>
      <c r="D238" s="131">
        <v>0</v>
      </c>
      <c r="E238" s="74">
        <v>22</v>
      </c>
      <c r="F238" s="97">
        <v>32</v>
      </c>
      <c r="G238" s="120">
        <v>371</v>
      </c>
      <c r="H238" s="123">
        <v>425</v>
      </c>
    </row>
    <row r="239" spans="1:8" ht="13">
      <c r="A239" s="109">
        <v>43893.427129629628</v>
      </c>
      <c r="B239" s="142">
        <v>0</v>
      </c>
      <c r="C239" s="226">
        <v>0</v>
      </c>
      <c r="D239" s="131">
        <v>0</v>
      </c>
      <c r="E239" s="74">
        <v>0</v>
      </c>
      <c r="F239" s="97">
        <v>32</v>
      </c>
      <c r="G239" s="120">
        <v>393</v>
      </c>
      <c r="H239" s="123">
        <v>425</v>
      </c>
    </row>
    <row r="240" spans="1:8" ht="13">
      <c r="A240" s="109">
        <v>43899.372465277775</v>
      </c>
      <c r="B240" s="142">
        <v>0</v>
      </c>
      <c r="C240" s="226">
        <v>0</v>
      </c>
      <c r="D240" s="131">
        <v>0</v>
      </c>
      <c r="E240" s="74">
        <v>0</v>
      </c>
      <c r="F240" s="97">
        <v>32</v>
      </c>
      <c r="G240" s="120">
        <v>393</v>
      </c>
      <c r="H240" s="123">
        <v>425</v>
      </c>
    </row>
    <row r="241" spans="1:8" ht="13">
      <c r="A241" s="109">
        <v>43901.550729166665</v>
      </c>
      <c r="B241" s="142">
        <v>0</v>
      </c>
      <c r="C241" s="226">
        <v>0</v>
      </c>
      <c r="D241" s="131">
        <v>0</v>
      </c>
      <c r="E241" s="74">
        <v>0</v>
      </c>
      <c r="F241" s="97">
        <v>31</v>
      </c>
      <c r="G241" s="120">
        <v>396</v>
      </c>
      <c r="H241" s="123">
        <v>427</v>
      </c>
    </row>
    <row r="242" spans="1:8" ht="13">
      <c r="A242" s="109">
        <v>43906.331064814818</v>
      </c>
      <c r="B242" s="142">
        <v>0</v>
      </c>
      <c r="C242" s="226">
        <v>0</v>
      </c>
      <c r="D242" s="131">
        <v>0</v>
      </c>
      <c r="E242" s="74">
        <v>0</v>
      </c>
      <c r="F242" s="97">
        <v>31</v>
      </c>
      <c r="G242" s="120">
        <v>396</v>
      </c>
      <c r="H242" s="123">
        <v>427</v>
      </c>
    </row>
    <row r="243" spans="1:8" ht="13">
      <c r="A243" s="109">
        <v>43913.361354166664</v>
      </c>
      <c r="B243" s="142">
        <v>0</v>
      </c>
      <c r="C243" s="226">
        <v>0</v>
      </c>
      <c r="D243" s="131">
        <v>0</v>
      </c>
      <c r="E243" s="74">
        <v>0</v>
      </c>
      <c r="F243" s="97">
        <v>28</v>
      </c>
      <c r="G243" s="120">
        <v>399</v>
      </c>
      <c r="H243" s="123">
        <v>427</v>
      </c>
    </row>
    <row r="244" spans="1:8" ht="13">
      <c r="A244" s="109">
        <v>43920.360949074071</v>
      </c>
      <c r="B244" s="142">
        <v>0</v>
      </c>
      <c r="C244" s="226">
        <v>0</v>
      </c>
      <c r="D244" s="131">
        <v>0</v>
      </c>
      <c r="E244" s="74">
        <v>0</v>
      </c>
      <c r="F244" s="97">
        <v>24</v>
      </c>
      <c r="G244" s="120">
        <v>405</v>
      </c>
      <c r="H244" s="123">
        <v>429</v>
      </c>
    </row>
    <row r="245" spans="1:8" ht="13">
      <c r="A245" s="109">
        <v>43927.354837962965</v>
      </c>
      <c r="B245" s="142">
        <v>1</v>
      </c>
      <c r="C245" s="226">
        <v>4.6511627906976744E-3</v>
      </c>
      <c r="D245" s="131">
        <v>1</v>
      </c>
      <c r="E245" s="74">
        <v>1</v>
      </c>
      <c r="F245" s="97">
        <v>36</v>
      </c>
      <c r="G245" s="120">
        <v>392</v>
      </c>
      <c r="H245" s="123">
        <v>430</v>
      </c>
    </row>
    <row r="246" spans="1:8" ht="13">
      <c r="A246" s="109">
        <v>43928.353414351855</v>
      </c>
      <c r="B246" s="142">
        <v>0</v>
      </c>
      <c r="C246" s="226">
        <v>2.3255813953488372E-3</v>
      </c>
      <c r="D246" s="131">
        <v>0</v>
      </c>
      <c r="E246" s="74">
        <v>1</v>
      </c>
      <c r="F246" s="97">
        <v>36</v>
      </c>
      <c r="G246" s="120">
        <v>393</v>
      </c>
      <c r="H246" s="123">
        <v>430</v>
      </c>
    </row>
    <row r="247" spans="1:8" ht="13">
      <c r="A247" s="109">
        <v>43935.348449074074</v>
      </c>
      <c r="B247" s="142">
        <v>0</v>
      </c>
      <c r="C247" s="226">
        <v>2.3255813953488372E-3</v>
      </c>
      <c r="D247" s="131">
        <v>0</v>
      </c>
      <c r="E247" s="74">
        <v>1</v>
      </c>
      <c r="F247" s="97">
        <v>36</v>
      </c>
      <c r="G247" s="120">
        <v>393</v>
      </c>
      <c r="H247" s="123">
        <v>430</v>
      </c>
    </row>
    <row r="248" spans="1:8" ht="13">
      <c r="A248" s="109">
        <v>43941.354861111111</v>
      </c>
      <c r="B248" s="142">
        <v>0</v>
      </c>
      <c r="C248" s="226">
        <v>0</v>
      </c>
      <c r="D248" s="131">
        <v>0</v>
      </c>
      <c r="E248" s="74">
        <v>0</v>
      </c>
      <c r="F248" s="97">
        <v>36</v>
      </c>
      <c r="G248" s="120">
        <v>395</v>
      </c>
      <c r="H248" s="123">
        <v>431</v>
      </c>
    </row>
    <row r="249" spans="1:8" ht="13">
      <c r="A249" s="109">
        <v>43948.354699074072</v>
      </c>
      <c r="B249" s="142">
        <v>0</v>
      </c>
      <c r="C249" s="226">
        <v>0</v>
      </c>
      <c r="D249" s="131">
        <v>0</v>
      </c>
      <c r="E249" s="74">
        <v>0</v>
      </c>
      <c r="F249" s="97">
        <v>35</v>
      </c>
      <c r="G249" s="120">
        <v>396</v>
      </c>
      <c r="H249" s="123">
        <v>431</v>
      </c>
    </row>
    <row r="250" spans="1:8" ht="13">
      <c r="A250" s="109">
        <v>43955.353738425925</v>
      </c>
      <c r="B250" s="142">
        <v>0</v>
      </c>
      <c r="C250" s="226">
        <v>9.2807424593967514E-3</v>
      </c>
      <c r="D250" s="131">
        <v>0</v>
      </c>
      <c r="E250" s="74">
        <v>4</v>
      </c>
      <c r="F250" s="97">
        <v>65</v>
      </c>
      <c r="G250" s="120">
        <v>362</v>
      </c>
      <c r="H250" s="123">
        <v>431</v>
      </c>
    </row>
    <row r="251" spans="1:8" ht="13">
      <c r="A251" s="109">
        <v>43962.358344907407</v>
      </c>
      <c r="B251" s="142">
        <v>0</v>
      </c>
      <c r="C251" s="226">
        <v>9.2807424593967514E-3</v>
      </c>
      <c r="D251" s="131">
        <v>0</v>
      </c>
      <c r="E251" s="74">
        <v>4</v>
      </c>
      <c r="F251" s="97">
        <v>64</v>
      </c>
      <c r="G251" s="120">
        <v>363</v>
      </c>
      <c r="H251" s="123">
        <v>431</v>
      </c>
    </row>
    <row r="252" spans="1:8" ht="13">
      <c r="A252" s="109">
        <v>43963.348483796297</v>
      </c>
      <c r="B252" s="142">
        <v>0</v>
      </c>
      <c r="C252" s="226">
        <v>6.9605568445475635E-3</v>
      </c>
      <c r="D252" s="131">
        <v>0</v>
      </c>
      <c r="E252" s="74">
        <v>3</v>
      </c>
      <c r="F252" s="97">
        <v>64</v>
      </c>
      <c r="G252" s="120">
        <v>364</v>
      </c>
      <c r="H252" s="123">
        <v>431</v>
      </c>
    </row>
    <row r="253" spans="1:8" ht="13">
      <c r="A253" s="109">
        <v>43969.356006944443</v>
      </c>
      <c r="B253" s="142">
        <v>0</v>
      </c>
      <c r="C253" s="226">
        <v>6.9605568445475635E-3</v>
      </c>
      <c r="D253" s="131">
        <v>0</v>
      </c>
      <c r="E253" s="74">
        <v>3</v>
      </c>
      <c r="F253" s="97">
        <v>64</v>
      </c>
      <c r="G253" s="120">
        <v>364</v>
      </c>
      <c r="H253" s="123">
        <v>431</v>
      </c>
    </row>
    <row r="254" spans="1:8" ht="13">
      <c r="A254" s="109">
        <v>43976.371319444443</v>
      </c>
      <c r="B254" s="142">
        <v>0</v>
      </c>
      <c r="C254" s="226">
        <v>6.9444444444444441E-3</v>
      </c>
      <c r="D254" s="131">
        <v>0</v>
      </c>
      <c r="E254" s="74">
        <v>3</v>
      </c>
      <c r="F254" s="97">
        <v>64</v>
      </c>
      <c r="G254" s="120">
        <v>365</v>
      </c>
      <c r="H254" s="123">
        <v>432</v>
      </c>
    </row>
    <row r="255" spans="1:8" ht="13">
      <c r="A255" s="109">
        <v>43977.493715277778</v>
      </c>
      <c r="B255" s="142">
        <v>0</v>
      </c>
      <c r="C255" s="226">
        <v>0</v>
      </c>
      <c r="D255" s="131">
        <v>0</v>
      </c>
      <c r="E255" s="74">
        <v>0</v>
      </c>
      <c r="F255" s="97">
        <v>63</v>
      </c>
      <c r="G255" s="120">
        <v>369</v>
      </c>
      <c r="H255" s="123">
        <v>432</v>
      </c>
    </row>
    <row r="256" spans="1:8" ht="13">
      <c r="A256" s="109">
        <v>43984.347997685189</v>
      </c>
      <c r="B256" s="142">
        <v>0</v>
      </c>
      <c r="C256" s="226">
        <v>1.3888888888888888E-2</v>
      </c>
      <c r="D256" s="131">
        <v>0</v>
      </c>
      <c r="E256" s="74">
        <v>6</v>
      </c>
      <c r="F256" s="97">
        <v>59</v>
      </c>
      <c r="G256" s="120">
        <v>367</v>
      </c>
      <c r="H256" s="123">
        <v>432</v>
      </c>
    </row>
    <row r="257" spans="1:8" ht="13">
      <c r="A257" s="109">
        <v>43990.359988425924</v>
      </c>
      <c r="B257" s="142">
        <v>0</v>
      </c>
      <c r="C257" s="226">
        <v>9.2378752886836026E-3</v>
      </c>
      <c r="D257" s="131">
        <v>0</v>
      </c>
      <c r="E257" s="74">
        <v>4</v>
      </c>
      <c r="F257" s="97">
        <v>58</v>
      </c>
      <c r="G257" s="120">
        <v>371</v>
      </c>
      <c r="H257" s="123">
        <v>433</v>
      </c>
    </row>
    <row r="258" spans="1:8" ht="13">
      <c r="A258" s="109">
        <v>43997.354687500003</v>
      </c>
      <c r="B258" s="142">
        <v>0</v>
      </c>
      <c r="C258" s="226">
        <v>9.2378752886836026E-3</v>
      </c>
      <c r="D258" s="131">
        <v>0</v>
      </c>
      <c r="E258" s="74">
        <v>4</v>
      </c>
      <c r="F258" s="97">
        <v>56</v>
      </c>
      <c r="G258" s="120">
        <v>373</v>
      </c>
      <c r="H258" s="123">
        <v>433</v>
      </c>
    </row>
    <row r="259" spans="1:8" ht="13">
      <c r="A259" s="109">
        <v>44004.317812499998</v>
      </c>
      <c r="B259" s="142">
        <v>0</v>
      </c>
      <c r="C259" s="226">
        <v>9.1954022988505746E-3</v>
      </c>
      <c r="D259" s="131">
        <v>0</v>
      </c>
      <c r="E259" s="74">
        <v>4</v>
      </c>
      <c r="F259" s="97">
        <v>56</v>
      </c>
      <c r="G259" s="120">
        <v>375</v>
      </c>
      <c r="H259" s="123">
        <v>435</v>
      </c>
    </row>
    <row r="260" spans="1:8" ht="13">
      <c r="A260" s="109">
        <v>44011.350543981483</v>
      </c>
      <c r="B260" s="142">
        <v>0</v>
      </c>
      <c r="C260" s="226">
        <v>0.11290322580645161</v>
      </c>
      <c r="D260" s="131">
        <v>0</v>
      </c>
      <c r="E260" s="74">
        <v>49</v>
      </c>
      <c r="F260" s="97">
        <v>9</v>
      </c>
      <c r="G260" s="120">
        <v>376</v>
      </c>
      <c r="H260" s="123">
        <v>434</v>
      </c>
    </row>
    <row r="261" spans="1:8" ht="13">
      <c r="A261" s="109">
        <v>44018.34716435185</v>
      </c>
      <c r="B261" s="142">
        <v>0</v>
      </c>
      <c r="C261" s="226">
        <v>4.6189376443418015E-2</v>
      </c>
      <c r="D261" s="131">
        <v>0</v>
      </c>
      <c r="E261" s="74">
        <v>20</v>
      </c>
      <c r="F261" s="97">
        <v>45</v>
      </c>
      <c r="G261" s="120">
        <v>368</v>
      </c>
      <c r="H261" s="123">
        <v>433</v>
      </c>
    </row>
    <row r="262" spans="1:8" ht="13">
      <c r="A262" s="109">
        <v>44019.454363425924</v>
      </c>
      <c r="B262" s="142">
        <v>0</v>
      </c>
      <c r="C262" s="226">
        <v>2.3094688221709007E-3</v>
      </c>
      <c r="D262" s="131">
        <v>0</v>
      </c>
      <c r="E262" s="74">
        <v>1</v>
      </c>
      <c r="F262" s="97">
        <v>45</v>
      </c>
      <c r="G262" s="120">
        <v>387</v>
      </c>
      <c r="H262" s="123">
        <v>433</v>
      </c>
    </row>
    <row r="263" spans="1:8" ht="13">
      <c r="A263" s="109">
        <v>44027.361134259256</v>
      </c>
      <c r="B263" s="142">
        <v>0</v>
      </c>
      <c r="C263" s="226">
        <v>2.3094688221709007E-3</v>
      </c>
      <c r="D263" s="131">
        <v>0</v>
      </c>
      <c r="E263" s="74">
        <v>1</v>
      </c>
      <c r="F263" s="97">
        <v>44</v>
      </c>
      <c r="G263" s="120">
        <v>388</v>
      </c>
      <c r="H263" s="123">
        <v>433</v>
      </c>
    </row>
    <row r="264" spans="1:8" ht="13">
      <c r="A264" s="109">
        <v>44032.377164351848</v>
      </c>
      <c r="B264" s="142">
        <v>0</v>
      </c>
      <c r="C264" s="226">
        <v>2.3094688221709007E-3</v>
      </c>
      <c r="D264" s="131">
        <v>0</v>
      </c>
      <c r="E264" s="74">
        <v>1</v>
      </c>
      <c r="F264" s="97">
        <v>44</v>
      </c>
      <c r="G264" s="120">
        <v>388</v>
      </c>
      <c r="H264" s="123">
        <v>433</v>
      </c>
    </row>
    <row r="265" spans="1:8" ht="13">
      <c r="A265" s="109">
        <v>44039.357905092591</v>
      </c>
      <c r="B265" s="142">
        <v>0</v>
      </c>
      <c r="C265" s="226">
        <v>2.3094688221709007E-3</v>
      </c>
      <c r="D265" s="131">
        <v>0</v>
      </c>
      <c r="E265" s="74">
        <v>1</v>
      </c>
      <c r="F265" s="97">
        <v>41</v>
      </c>
      <c r="G265" s="120">
        <v>391</v>
      </c>
      <c r="H265" s="123">
        <v>433</v>
      </c>
    </row>
    <row r="266" spans="1:8" ht="13">
      <c r="A266" s="109">
        <v>44046.370381944442</v>
      </c>
      <c r="B266" s="142">
        <v>1</v>
      </c>
      <c r="C266" s="226">
        <v>2.3094688221709007E-3</v>
      </c>
      <c r="D266" s="131">
        <v>1</v>
      </c>
      <c r="E266" s="74">
        <v>0</v>
      </c>
      <c r="F266" s="97">
        <v>60</v>
      </c>
      <c r="G266" s="120">
        <v>372</v>
      </c>
      <c r="H266" s="123">
        <v>433</v>
      </c>
    </row>
    <row r="267" spans="1:8" ht="13">
      <c r="A267" s="109">
        <v>44053.408865740741</v>
      </c>
      <c r="B267" s="142">
        <v>1</v>
      </c>
      <c r="C267" s="226">
        <v>2.3094688221709007E-3</v>
      </c>
      <c r="D267" s="131">
        <v>1</v>
      </c>
      <c r="E267" s="74">
        <v>0</v>
      </c>
      <c r="F267" s="97">
        <v>60</v>
      </c>
      <c r="G267" s="120">
        <v>372</v>
      </c>
      <c r="H267" s="123">
        <v>433</v>
      </c>
    </row>
    <row r="268" spans="1:8" ht="13">
      <c r="A268" s="109">
        <v>44060.36346064815</v>
      </c>
      <c r="B268" s="142">
        <v>1</v>
      </c>
      <c r="C268" s="226">
        <v>2.3094688221709007E-3</v>
      </c>
      <c r="D268" s="131">
        <v>1</v>
      </c>
      <c r="E268" s="74">
        <v>0</v>
      </c>
      <c r="F268" s="97">
        <v>59</v>
      </c>
      <c r="G268" s="120">
        <v>373</v>
      </c>
      <c r="H268" s="123">
        <v>433</v>
      </c>
    </row>
    <row r="269" spans="1:8" ht="13">
      <c r="A269" s="109">
        <v>44067.363796296297</v>
      </c>
      <c r="B269" s="142">
        <v>1</v>
      </c>
      <c r="C269" s="226">
        <v>2.3094688221709007E-3</v>
      </c>
      <c r="D269" s="131">
        <v>1</v>
      </c>
      <c r="E269" s="74">
        <v>0</v>
      </c>
      <c r="F269" s="97">
        <v>59</v>
      </c>
      <c r="G269" s="120">
        <v>373</v>
      </c>
      <c r="H269" s="123">
        <v>433</v>
      </c>
    </row>
    <row r="270" spans="1:8" ht="13">
      <c r="A270" s="109">
        <v>44068.358518518522</v>
      </c>
      <c r="B270" s="142">
        <v>1</v>
      </c>
      <c r="C270" s="226">
        <v>2.304147465437788E-3</v>
      </c>
      <c r="D270" s="131">
        <v>1</v>
      </c>
      <c r="E270" s="74">
        <v>0</v>
      </c>
      <c r="F270" s="97">
        <v>59</v>
      </c>
      <c r="G270" s="120">
        <v>374</v>
      </c>
      <c r="H270" s="123">
        <v>434</v>
      </c>
    </row>
    <row r="271" spans="1:8" ht="13">
      <c r="A271" s="109">
        <v>44074.3440625</v>
      </c>
      <c r="B271" s="142">
        <v>1</v>
      </c>
      <c r="C271" s="226">
        <v>2.304147465437788E-3</v>
      </c>
      <c r="D271" s="131">
        <v>1</v>
      </c>
      <c r="E271" s="74">
        <v>0</v>
      </c>
      <c r="F271" s="97">
        <v>59</v>
      </c>
      <c r="G271" s="120">
        <v>374</v>
      </c>
      <c r="H271" s="123">
        <v>434</v>
      </c>
    </row>
    <row r="272" spans="1:8" ht="13">
      <c r="A272" s="109">
        <v>44075.366087962961</v>
      </c>
      <c r="B272" s="142">
        <v>1</v>
      </c>
      <c r="C272" s="226">
        <v>2.2988505747126436E-3</v>
      </c>
      <c r="D272" s="131">
        <v>1</v>
      </c>
      <c r="E272" s="74">
        <v>0</v>
      </c>
      <c r="F272" s="97">
        <v>30</v>
      </c>
      <c r="G272" s="120">
        <v>404</v>
      </c>
      <c r="H272" s="123">
        <v>435</v>
      </c>
    </row>
    <row r="273" spans="1:8" ht="13">
      <c r="A273" s="109">
        <v>44081.361180555556</v>
      </c>
      <c r="B273" s="142">
        <v>1</v>
      </c>
      <c r="C273" s="226">
        <v>2.2988505747126436E-3</v>
      </c>
      <c r="D273" s="131">
        <v>1</v>
      </c>
      <c r="E273" s="74">
        <v>0</v>
      </c>
      <c r="F273" s="97">
        <v>33</v>
      </c>
      <c r="G273" s="120">
        <v>401</v>
      </c>
      <c r="H273" s="123">
        <v>435</v>
      </c>
    </row>
    <row r="274" spans="1:8" ht="13">
      <c r="A274" s="109">
        <v>44088.357986111114</v>
      </c>
      <c r="B274" s="142">
        <v>1</v>
      </c>
      <c r="C274" s="226">
        <v>2.2988505747126436E-3</v>
      </c>
      <c r="D274" s="131">
        <v>1</v>
      </c>
      <c r="E274" s="74">
        <v>0</v>
      </c>
      <c r="F274" s="97">
        <v>33</v>
      </c>
      <c r="G274" s="120">
        <v>401</v>
      </c>
      <c r="H274" s="123">
        <v>435</v>
      </c>
    </row>
    <row r="275" spans="1:8" ht="13">
      <c r="A275" s="109">
        <v>44095.353298611109</v>
      </c>
      <c r="B275" s="142">
        <v>1</v>
      </c>
      <c r="C275" s="226">
        <v>2.2935779816513763E-3</v>
      </c>
      <c r="D275" s="131">
        <v>1</v>
      </c>
      <c r="E275" s="74">
        <v>0</v>
      </c>
      <c r="F275" s="97">
        <v>29</v>
      </c>
      <c r="G275" s="120">
        <v>406</v>
      </c>
      <c r="H275" s="123">
        <v>436</v>
      </c>
    </row>
    <row r="276" spans="1:8" ht="13">
      <c r="A276" s="109">
        <v>44102.358043981483</v>
      </c>
      <c r="B276" s="142">
        <v>0</v>
      </c>
      <c r="C276" s="226">
        <v>0</v>
      </c>
      <c r="D276" s="131">
        <v>0</v>
      </c>
      <c r="E276" s="74">
        <v>0</v>
      </c>
      <c r="F276" s="97">
        <v>20</v>
      </c>
      <c r="G276" s="120">
        <v>415</v>
      </c>
      <c r="H276" s="123">
        <v>435</v>
      </c>
    </row>
    <row r="277" spans="1:8" ht="13">
      <c r="A277" s="109">
        <v>44109.369050925925</v>
      </c>
      <c r="B277" s="142">
        <v>0</v>
      </c>
      <c r="C277" s="226">
        <v>2.2935779816513763E-3</v>
      </c>
      <c r="D277" s="131">
        <v>0</v>
      </c>
      <c r="E277" s="74">
        <v>1</v>
      </c>
      <c r="F277" s="97">
        <v>28</v>
      </c>
      <c r="G277" s="120">
        <v>407</v>
      </c>
      <c r="H277" s="123">
        <v>436</v>
      </c>
    </row>
    <row r="278" spans="1:8" ht="13">
      <c r="A278" s="109">
        <v>44116.366481481484</v>
      </c>
      <c r="B278" s="142">
        <v>0</v>
      </c>
      <c r="C278" s="226">
        <v>2.2935779816513763E-3</v>
      </c>
      <c r="D278" s="131">
        <v>0</v>
      </c>
      <c r="E278" s="74">
        <v>1</v>
      </c>
      <c r="F278" s="97">
        <v>28</v>
      </c>
      <c r="G278" s="120">
        <v>407</v>
      </c>
      <c r="H278" s="123">
        <v>436</v>
      </c>
    </row>
    <row r="279" spans="1:8" ht="13">
      <c r="A279" s="109">
        <v>44130.358981481484</v>
      </c>
      <c r="B279" s="142">
        <v>0</v>
      </c>
      <c r="C279" s="226">
        <v>0</v>
      </c>
      <c r="D279" s="131">
        <v>0</v>
      </c>
      <c r="E279" s="74">
        <v>0</v>
      </c>
      <c r="F279" s="97">
        <v>27</v>
      </c>
      <c r="G279" s="120">
        <v>409</v>
      </c>
      <c r="H279" s="123">
        <v>436</v>
      </c>
    </row>
    <row r="280" spans="1:8" ht="13">
      <c r="A280" s="109">
        <v>44137.364791666667</v>
      </c>
      <c r="B280" s="142">
        <v>0</v>
      </c>
      <c r="C280" s="226">
        <v>0</v>
      </c>
      <c r="D280" s="131">
        <v>0</v>
      </c>
      <c r="E280" s="74">
        <v>0</v>
      </c>
      <c r="F280" s="97">
        <v>41</v>
      </c>
      <c r="G280" s="120">
        <v>395</v>
      </c>
      <c r="H280" s="123">
        <v>436</v>
      </c>
    </row>
    <row r="281" spans="1:8" ht="13">
      <c r="A281" s="109">
        <v>44165.372002314813</v>
      </c>
      <c r="B281" s="142">
        <v>0</v>
      </c>
      <c r="C281" s="226">
        <v>2.2883295194508009E-3</v>
      </c>
      <c r="D281" s="131">
        <v>0</v>
      </c>
      <c r="E281" s="74">
        <v>1</v>
      </c>
      <c r="F281" s="97">
        <v>40</v>
      </c>
      <c r="G281" s="120">
        <v>396</v>
      </c>
      <c r="H281" s="123">
        <v>437</v>
      </c>
    </row>
    <row r="282" spans="1:8" ht="13">
      <c r="A282" s="109">
        <v>44172.318379629629</v>
      </c>
      <c r="B282" s="142">
        <v>0</v>
      </c>
      <c r="C282" s="226">
        <v>0</v>
      </c>
      <c r="D282" s="131">
        <v>0</v>
      </c>
      <c r="E282" s="74">
        <v>0</v>
      </c>
      <c r="F282" s="97">
        <v>40</v>
      </c>
      <c r="G282" s="120">
        <v>395</v>
      </c>
      <c r="H282" s="123">
        <v>435</v>
      </c>
    </row>
    <row r="283" spans="1:8" ht="13">
      <c r="A283" s="109">
        <v>44179.335416666669</v>
      </c>
      <c r="B283" s="142">
        <v>0</v>
      </c>
      <c r="C283" s="226">
        <v>0</v>
      </c>
      <c r="D283" s="131">
        <v>0</v>
      </c>
      <c r="E283" s="74">
        <v>0</v>
      </c>
      <c r="F283" s="97">
        <v>36</v>
      </c>
      <c r="G283" s="120">
        <v>396</v>
      </c>
      <c r="H283" s="123">
        <v>432</v>
      </c>
    </row>
    <row r="284" spans="1:8" ht="13">
      <c r="A284" s="109">
        <v>44180.35056712963</v>
      </c>
      <c r="B284" s="142">
        <v>0</v>
      </c>
      <c r="C284" s="226">
        <v>0</v>
      </c>
      <c r="D284" s="131">
        <v>0</v>
      </c>
      <c r="E284" s="74">
        <v>0</v>
      </c>
      <c r="F284" s="97">
        <v>36</v>
      </c>
      <c r="G284" s="120">
        <v>399</v>
      </c>
      <c r="H284" s="123">
        <v>435</v>
      </c>
    </row>
    <row r="285" spans="1:8" ht="13">
      <c r="A285" s="109">
        <v>44199.517210648148</v>
      </c>
      <c r="B285" s="142">
        <v>0</v>
      </c>
      <c r="C285" s="226">
        <v>3.669724770642202E-2</v>
      </c>
      <c r="D285" s="131">
        <v>0</v>
      </c>
      <c r="E285" s="74">
        <v>16</v>
      </c>
      <c r="F285" s="97">
        <v>37</v>
      </c>
      <c r="G285" s="120">
        <v>383</v>
      </c>
      <c r="H285" s="123">
        <v>436</v>
      </c>
    </row>
    <row r="286" spans="1:8" ht="13">
      <c r="A286" s="109">
        <v>44207.334560185183</v>
      </c>
      <c r="B286" s="142">
        <v>0</v>
      </c>
      <c r="C286" s="226">
        <v>3.4482758620689655E-2</v>
      </c>
      <c r="D286" s="131">
        <v>0</v>
      </c>
      <c r="E286" s="74">
        <v>15</v>
      </c>
      <c r="F286" s="97">
        <v>34</v>
      </c>
      <c r="G286" s="120">
        <v>386</v>
      </c>
      <c r="H286" s="123">
        <v>435</v>
      </c>
    </row>
    <row r="287" spans="1:8" ht="13">
      <c r="A287" s="109">
        <v>44208.32885416667</v>
      </c>
      <c r="B287" s="142">
        <v>0</v>
      </c>
      <c r="C287" s="226">
        <v>3.4482758620689655E-2</v>
      </c>
      <c r="D287" s="131">
        <v>0</v>
      </c>
      <c r="E287" s="74">
        <v>15</v>
      </c>
      <c r="F287" s="97">
        <v>35</v>
      </c>
      <c r="G287" s="120">
        <v>385</v>
      </c>
      <c r="H287" s="123">
        <v>435</v>
      </c>
    </row>
    <row r="288" spans="1:8" ht="13">
      <c r="A288" s="109">
        <v>44214.319409722222</v>
      </c>
      <c r="B288" s="142">
        <v>0</v>
      </c>
      <c r="C288" s="226">
        <v>1.5945330296127564E-2</v>
      </c>
      <c r="D288" s="131">
        <v>0</v>
      </c>
      <c r="E288" s="74">
        <v>7</v>
      </c>
      <c r="F288" s="97">
        <v>32</v>
      </c>
      <c r="G288" s="120">
        <v>400</v>
      </c>
      <c r="H288" s="123">
        <v>439</v>
      </c>
    </row>
    <row r="289" spans="1:8" ht="13">
      <c r="A289" s="109">
        <v>44221.330543981479</v>
      </c>
      <c r="B289" s="142">
        <v>0</v>
      </c>
      <c r="C289" s="226">
        <v>1.3729977116704805E-2</v>
      </c>
      <c r="D289" s="131">
        <v>0</v>
      </c>
      <c r="E289" s="74">
        <v>6</v>
      </c>
      <c r="F289" s="97">
        <v>31</v>
      </c>
      <c r="G289" s="120">
        <v>400</v>
      </c>
      <c r="H289" s="123">
        <v>437</v>
      </c>
    </row>
    <row r="290" spans="1:8" ht="13">
      <c r="A290" s="109">
        <v>44228.331747685188</v>
      </c>
      <c r="B290" s="142">
        <v>0</v>
      </c>
      <c r="C290" s="226">
        <v>1.3729977116704805E-2</v>
      </c>
      <c r="D290" s="131">
        <v>0</v>
      </c>
      <c r="E290" s="74">
        <v>6</v>
      </c>
      <c r="F290" s="97">
        <v>29</v>
      </c>
      <c r="G290" s="120">
        <v>402</v>
      </c>
      <c r="H290" s="123">
        <v>437</v>
      </c>
    </row>
    <row r="291" spans="1:8" ht="13">
      <c r="A291" s="109">
        <v>44235.332511574074</v>
      </c>
      <c r="B291" s="142">
        <v>0</v>
      </c>
      <c r="C291" s="226">
        <v>1.3761467889908258E-2</v>
      </c>
      <c r="D291" s="131">
        <v>0</v>
      </c>
      <c r="E291" s="74">
        <v>6</v>
      </c>
      <c r="F291" s="97">
        <v>29</v>
      </c>
      <c r="G291" s="120">
        <v>401</v>
      </c>
      <c r="H291" s="123">
        <v>436</v>
      </c>
    </row>
    <row r="292" spans="1:8" ht="13">
      <c r="A292" s="109">
        <v>44242.350706018522</v>
      </c>
      <c r="B292" s="142">
        <v>0</v>
      </c>
      <c r="C292" s="226">
        <v>1.1441647597254004E-2</v>
      </c>
      <c r="D292" s="131">
        <v>0</v>
      </c>
      <c r="E292" s="74">
        <v>5</v>
      </c>
      <c r="F292" s="97">
        <v>29</v>
      </c>
      <c r="G292" s="120">
        <v>403</v>
      </c>
      <c r="H292" s="123">
        <v>437</v>
      </c>
    </row>
    <row r="293" spans="1:8" ht="13">
      <c r="A293" s="109">
        <v>44249.32613425926</v>
      </c>
      <c r="B293" s="142">
        <v>0</v>
      </c>
      <c r="C293" s="226">
        <v>1.1441647597254004E-2</v>
      </c>
      <c r="D293" s="131">
        <v>0</v>
      </c>
      <c r="E293" s="74">
        <v>5</v>
      </c>
      <c r="F293" s="97">
        <v>29</v>
      </c>
      <c r="G293" s="120">
        <v>403</v>
      </c>
      <c r="H293" s="123">
        <v>437</v>
      </c>
    </row>
    <row r="294" spans="1:8" ht="13">
      <c r="A294" s="109">
        <v>44256.327962962961</v>
      </c>
      <c r="B294" s="142">
        <v>0</v>
      </c>
      <c r="C294" s="226">
        <v>0</v>
      </c>
      <c r="D294" s="131">
        <v>0</v>
      </c>
      <c r="E294" s="74">
        <v>0</v>
      </c>
      <c r="F294" s="97">
        <v>37</v>
      </c>
      <c r="G294" s="120">
        <v>399</v>
      </c>
      <c r="H294" s="123">
        <v>436</v>
      </c>
    </row>
    <row r="295" spans="1:8" ht="13">
      <c r="A295" s="109">
        <v>44288.303993055553</v>
      </c>
      <c r="B295" s="142">
        <v>0</v>
      </c>
      <c r="C295" s="226">
        <v>0</v>
      </c>
      <c r="D295" s="131">
        <v>0</v>
      </c>
      <c r="E295" s="74">
        <v>0</v>
      </c>
      <c r="F295" s="97">
        <v>45</v>
      </c>
      <c r="G295" s="120">
        <v>339</v>
      </c>
      <c r="H295" s="123">
        <v>384</v>
      </c>
    </row>
    <row r="296" spans="1:8" ht="13">
      <c r="A296" s="109">
        <v>44298.352650462963</v>
      </c>
      <c r="B296" s="142">
        <v>0</v>
      </c>
      <c r="C296" s="226">
        <v>0</v>
      </c>
      <c r="D296" s="131">
        <v>0</v>
      </c>
      <c r="E296" s="74">
        <v>0</v>
      </c>
      <c r="F296" s="97">
        <v>56</v>
      </c>
      <c r="G296" s="120">
        <v>381</v>
      </c>
      <c r="H296" s="123">
        <v>437</v>
      </c>
    </row>
    <row r="297" spans="1:8" ht="13">
      <c r="A297" s="109">
        <v>44312.33221064815</v>
      </c>
      <c r="B297" s="142">
        <v>0</v>
      </c>
      <c r="C297" s="226">
        <v>0</v>
      </c>
      <c r="D297" s="131">
        <v>0</v>
      </c>
      <c r="E297" s="74">
        <v>0</v>
      </c>
      <c r="F297" s="97">
        <v>56</v>
      </c>
      <c r="G297" s="120">
        <v>378</v>
      </c>
      <c r="H297" s="123">
        <v>434</v>
      </c>
    </row>
    <row r="298" spans="1:8" ht="13">
      <c r="A298" s="109">
        <v>44319.328136574077</v>
      </c>
      <c r="B298" s="142">
        <v>0</v>
      </c>
      <c r="C298" s="226">
        <v>2.304147465437788E-3</v>
      </c>
      <c r="D298" s="131">
        <v>0</v>
      </c>
      <c r="E298" s="74">
        <v>1</v>
      </c>
      <c r="F298" s="97">
        <v>42</v>
      </c>
      <c r="G298" s="120">
        <v>391</v>
      </c>
      <c r="H298" s="123">
        <v>434</v>
      </c>
    </row>
    <row r="299" spans="1:8" ht="13">
      <c r="A299" s="109">
        <v>44326.329259259262</v>
      </c>
      <c r="B299" s="142">
        <v>0</v>
      </c>
      <c r="C299" s="226">
        <v>2.2988505747126436E-3</v>
      </c>
      <c r="D299" s="131">
        <v>0</v>
      </c>
      <c r="E299" s="74">
        <v>1</v>
      </c>
      <c r="F299" s="97">
        <v>42</v>
      </c>
      <c r="G299" s="120">
        <v>392</v>
      </c>
      <c r="H299" s="123">
        <v>435</v>
      </c>
    </row>
    <row r="300" spans="1:8" ht="13">
      <c r="A300" s="109">
        <v>44333.321423611109</v>
      </c>
      <c r="B300" s="142">
        <v>0</v>
      </c>
      <c r="C300" s="226">
        <v>2.2883295194508009E-3</v>
      </c>
      <c r="D300" s="131">
        <v>0</v>
      </c>
      <c r="E300" s="74">
        <v>1</v>
      </c>
      <c r="F300" s="97">
        <v>41</v>
      </c>
      <c r="G300" s="120">
        <v>395</v>
      </c>
      <c r="H300" s="123">
        <v>437</v>
      </c>
    </row>
    <row r="301" spans="1:8" ht="13">
      <c r="A301" s="109">
        <v>44341.314733796295</v>
      </c>
      <c r="B301" s="142">
        <v>0</v>
      </c>
      <c r="C301" s="226">
        <v>2.2831050228310501E-3</v>
      </c>
      <c r="D301" s="131">
        <v>0</v>
      </c>
      <c r="E301" s="74">
        <v>1</v>
      </c>
      <c r="F301" s="97">
        <v>38</v>
      </c>
      <c r="G301" s="120">
        <v>399</v>
      </c>
      <c r="H301" s="123">
        <v>438</v>
      </c>
    </row>
    <row r="302" spans="1:8" ht="13">
      <c r="A302" s="109">
        <v>44347.323958333334</v>
      </c>
      <c r="B302" s="142">
        <v>0</v>
      </c>
      <c r="C302" s="226">
        <v>0</v>
      </c>
      <c r="D302" s="131">
        <v>0</v>
      </c>
      <c r="E302" s="74">
        <v>0</v>
      </c>
      <c r="F302" s="97">
        <v>37</v>
      </c>
      <c r="G302" s="120">
        <v>401</v>
      </c>
      <c r="H302" s="123">
        <v>438</v>
      </c>
    </row>
    <row r="303" spans="1:8" ht="13">
      <c r="A303" s="109">
        <v>44354.328657407408</v>
      </c>
      <c r="B303" s="142">
        <v>0</v>
      </c>
      <c r="C303" s="226">
        <v>4.5766590389016018E-3</v>
      </c>
      <c r="D303" s="131">
        <v>0</v>
      </c>
      <c r="E303" s="74">
        <v>2</v>
      </c>
      <c r="F303" s="97">
        <v>24</v>
      </c>
      <c r="G303" s="120">
        <v>411</v>
      </c>
      <c r="H303" s="123">
        <v>437</v>
      </c>
    </row>
    <row r="304" spans="1:8" ht="13">
      <c r="A304" s="109">
        <v>44361.328009259261</v>
      </c>
      <c r="B304" s="142">
        <v>0</v>
      </c>
      <c r="C304" s="226">
        <v>4.5662100456621002E-3</v>
      </c>
      <c r="D304" s="131">
        <v>0</v>
      </c>
      <c r="E304" s="74">
        <v>2</v>
      </c>
      <c r="F304" s="97">
        <v>24</v>
      </c>
      <c r="G304" s="120">
        <v>412</v>
      </c>
      <c r="H304" s="123">
        <v>438</v>
      </c>
    </row>
    <row r="305" spans="1:8" ht="13">
      <c r="A305" s="109">
        <v>44368.33253472222</v>
      </c>
      <c r="B305" s="142">
        <v>0</v>
      </c>
      <c r="C305" s="226">
        <v>4.5558086560364463E-3</v>
      </c>
      <c r="D305" s="131">
        <v>0</v>
      </c>
      <c r="E305" s="74">
        <v>2</v>
      </c>
      <c r="F305" s="97">
        <v>16</v>
      </c>
      <c r="G305" s="120">
        <v>421</v>
      </c>
      <c r="H305" s="123">
        <v>439</v>
      </c>
    </row>
    <row r="306" spans="1:8" ht="13">
      <c r="A306" s="109">
        <v>44375.325520833336</v>
      </c>
      <c r="B306" s="142">
        <v>0</v>
      </c>
      <c r="C306" s="226">
        <v>4.5558086560364463E-3</v>
      </c>
      <c r="D306" s="131">
        <v>0</v>
      </c>
      <c r="E306" s="74">
        <v>2</v>
      </c>
      <c r="F306" s="97">
        <v>16</v>
      </c>
      <c r="G306" s="120">
        <v>421</v>
      </c>
      <c r="H306" s="123">
        <v>439</v>
      </c>
    </row>
    <row r="307" spans="1:8" ht="13">
      <c r="A307" s="109">
        <v>44382.327233796299</v>
      </c>
      <c r="B307" s="142">
        <v>0</v>
      </c>
      <c r="C307" s="226">
        <v>9.1324200913242004E-3</v>
      </c>
      <c r="D307" s="131">
        <v>0</v>
      </c>
      <c r="E307" s="74">
        <v>4</v>
      </c>
      <c r="F307" s="97">
        <v>32</v>
      </c>
      <c r="G307" s="120">
        <v>402</v>
      </c>
      <c r="H307" s="123">
        <v>438</v>
      </c>
    </row>
    <row r="308" spans="1:8" ht="13">
      <c r="A308" s="109">
        <v>44389.348356481481</v>
      </c>
      <c r="B308" s="142">
        <v>0</v>
      </c>
      <c r="C308" s="226">
        <v>5.0890585241730284E-3</v>
      </c>
      <c r="D308" s="131">
        <v>0</v>
      </c>
      <c r="E308" s="74">
        <v>2</v>
      </c>
      <c r="F308" s="97">
        <v>29</v>
      </c>
      <c r="G308" s="120">
        <v>362</v>
      </c>
      <c r="H308" s="123">
        <v>393</v>
      </c>
    </row>
    <row r="309" spans="1:8" ht="13">
      <c r="A309" s="109">
        <v>44396.379386574074</v>
      </c>
      <c r="B309" s="142">
        <v>0</v>
      </c>
      <c r="C309" s="226">
        <v>5.0890585241730284E-3</v>
      </c>
      <c r="D309" s="131">
        <v>0</v>
      </c>
      <c r="E309" s="74">
        <v>2</v>
      </c>
      <c r="F309" s="97">
        <v>29</v>
      </c>
      <c r="G309" s="120">
        <v>362</v>
      </c>
      <c r="H309" s="123">
        <v>393</v>
      </c>
    </row>
    <row r="310" spans="1:8" ht="13">
      <c r="A310" s="109">
        <v>44403.392500000002</v>
      </c>
      <c r="B310" s="142">
        <v>0</v>
      </c>
      <c r="C310" s="226">
        <v>1.0178117048346057E-2</v>
      </c>
      <c r="D310" s="131">
        <v>0</v>
      </c>
      <c r="E310" s="74">
        <v>4</v>
      </c>
      <c r="F310" s="97">
        <v>36</v>
      </c>
      <c r="G310" s="120">
        <v>353</v>
      </c>
      <c r="H310" s="123">
        <v>393</v>
      </c>
    </row>
    <row r="311" spans="1:8" ht="13">
      <c r="A311" s="109">
        <v>44410.390729166669</v>
      </c>
      <c r="B311" s="142">
        <v>0</v>
      </c>
      <c r="C311" s="226">
        <v>5.076142131979695E-3</v>
      </c>
      <c r="D311" s="131">
        <v>0</v>
      </c>
      <c r="E311" s="74">
        <v>2</v>
      </c>
      <c r="F311" s="97">
        <v>36</v>
      </c>
      <c r="G311" s="120">
        <v>356</v>
      </c>
      <c r="H311" s="123">
        <v>394</v>
      </c>
    </row>
    <row r="312" spans="1:8" ht="13">
      <c r="A312" s="109">
        <v>44417.366793981484</v>
      </c>
      <c r="B312" s="142">
        <v>0</v>
      </c>
      <c r="C312" s="226">
        <v>4.5558086560364463E-3</v>
      </c>
      <c r="D312" s="131">
        <v>0</v>
      </c>
      <c r="E312" s="74">
        <v>2</v>
      </c>
      <c r="F312" s="97">
        <v>44</v>
      </c>
      <c r="G312" s="120">
        <v>393</v>
      </c>
      <c r="H312" s="123">
        <v>439</v>
      </c>
    </row>
    <row r="313" spans="1:8" ht="13">
      <c r="A313" s="109">
        <v>44424.346689814818</v>
      </c>
      <c r="B313" s="142">
        <v>0</v>
      </c>
      <c r="C313" s="226">
        <v>4.5558086560364463E-3</v>
      </c>
      <c r="D313" s="131">
        <v>0</v>
      </c>
      <c r="E313" s="74">
        <v>2</v>
      </c>
      <c r="F313" s="97">
        <v>44</v>
      </c>
      <c r="G313" s="120">
        <v>393</v>
      </c>
      <c r="H313" s="123">
        <v>439</v>
      </c>
    </row>
    <row r="314" spans="1:8" ht="13">
      <c r="A314" s="109">
        <v>44431.341828703706</v>
      </c>
      <c r="B314" s="142">
        <v>0</v>
      </c>
      <c r="C314" s="226">
        <v>2.2779043280182231E-3</v>
      </c>
      <c r="D314" s="131">
        <v>0</v>
      </c>
      <c r="E314" s="74">
        <v>1</v>
      </c>
      <c r="F314" s="97">
        <v>41</v>
      </c>
      <c r="G314" s="120">
        <v>397</v>
      </c>
      <c r="H314" s="123">
        <v>439</v>
      </c>
    </row>
    <row r="315" spans="1:8" ht="13">
      <c r="A315" s="109">
        <v>44438.342592592591</v>
      </c>
      <c r="B315" s="142">
        <v>0</v>
      </c>
      <c r="C315" s="226">
        <v>0</v>
      </c>
      <c r="D315" s="131">
        <v>0</v>
      </c>
      <c r="E315" s="74">
        <v>0</v>
      </c>
      <c r="F315" s="97">
        <v>21</v>
      </c>
      <c r="G315" s="120">
        <v>417</v>
      </c>
      <c r="H315" s="123">
        <v>438</v>
      </c>
    </row>
    <row r="316" spans="1:8" ht="13">
      <c r="A316" s="109">
        <v>44445.340937499997</v>
      </c>
      <c r="B316" s="142">
        <v>0</v>
      </c>
      <c r="C316" s="226">
        <v>0</v>
      </c>
      <c r="D316" s="131">
        <v>0</v>
      </c>
      <c r="E316" s="74">
        <v>0</v>
      </c>
      <c r="F316" s="97">
        <v>47</v>
      </c>
      <c r="G316" s="120">
        <v>393</v>
      </c>
      <c r="H316" s="123">
        <v>440</v>
      </c>
    </row>
    <row r="317" spans="1:8" ht="13">
      <c r="A317" s="109">
        <v>44452.319571759261</v>
      </c>
      <c r="B317" s="142">
        <v>0</v>
      </c>
      <c r="C317" s="226">
        <v>0</v>
      </c>
      <c r="D317" s="131">
        <v>0</v>
      </c>
      <c r="E317" s="74">
        <v>0</v>
      </c>
      <c r="F317" s="97">
        <v>46</v>
      </c>
      <c r="G317" s="120">
        <v>395</v>
      </c>
      <c r="H317" s="123">
        <v>441</v>
      </c>
    </row>
    <row r="318" spans="1:8" ht="13">
      <c r="A318" s="109">
        <v>44459.343321759261</v>
      </c>
      <c r="B318" s="142">
        <v>0</v>
      </c>
      <c r="C318" s="226">
        <v>0</v>
      </c>
      <c r="D318" s="131">
        <v>0</v>
      </c>
      <c r="E318" s="74">
        <v>0</v>
      </c>
      <c r="F318" s="97">
        <v>43</v>
      </c>
      <c r="G318" s="120">
        <v>394</v>
      </c>
      <c r="H318" s="123">
        <v>437</v>
      </c>
    </row>
    <row r="319" spans="1:8" ht="13">
      <c r="A319" s="109">
        <v>44466.341134259259</v>
      </c>
      <c r="B319" s="142">
        <v>0</v>
      </c>
      <c r="C319" s="226">
        <v>0</v>
      </c>
      <c r="D319" s="131">
        <v>0</v>
      </c>
      <c r="E319" s="74">
        <v>0</v>
      </c>
      <c r="F319" s="97">
        <v>42</v>
      </c>
      <c r="G319" s="120">
        <v>397</v>
      </c>
      <c r="H319" s="123">
        <v>439</v>
      </c>
    </row>
    <row r="320" spans="1:8" ht="13">
      <c r="A320" s="109">
        <v>44473.340532407405</v>
      </c>
      <c r="B320" s="142">
        <v>0</v>
      </c>
      <c r="C320" s="226">
        <v>2.2727272727272726E-3</v>
      </c>
      <c r="D320" s="131">
        <v>0</v>
      </c>
      <c r="E320" s="74">
        <v>1</v>
      </c>
      <c r="F320" s="97">
        <v>62</v>
      </c>
      <c r="G320" s="120">
        <v>377</v>
      </c>
      <c r="H320" s="123">
        <v>440</v>
      </c>
    </row>
    <row r="321" spans="1:8" ht="13">
      <c r="A321" s="109">
        <v>44476.450138888889</v>
      </c>
      <c r="B321" s="142">
        <v>0</v>
      </c>
      <c r="C321" s="226">
        <v>0</v>
      </c>
      <c r="D321" s="131">
        <v>0</v>
      </c>
      <c r="E321" s="74">
        <v>0</v>
      </c>
      <c r="F321" s="97">
        <v>62</v>
      </c>
      <c r="G321" s="120">
        <v>379</v>
      </c>
      <c r="H321" s="123">
        <v>441</v>
      </c>
    </row>
    <row r="322" spans="1:8" ht="13">
      <c r="A322" s="109">
        <v>44480.343148148146</v>
      </c>
      <c r="B322" s="142">
        <v>0</v>
      </c>
      <c r="C322" s="226">
        <v>0</v>
      </c>
      <c r="D322" s="131">
        <v>0</v>
      </c>
      <c r="E322" s="74">
        <v>0</v>
      </c>
      <c r="F322" s="97">
        <v>62</v>
      </c>
      <c r="G322" s="120">
        <v>379</v>
      </c>
      <c r="H322" s="123">
        <v>441</v>
      </c>
    </row>
    <row r="323" spans="1:8" ht="13">
      <c r="A323" s="109">
        <v>44487.358993055554</v>
      </c>
      <c r="B323" s="142">
        <v>0</v>
      </c>
      <c r="C323" s="226">
        <v>0</v>
      </c>
      <c r="D323" s="131">
        <v>0</v>
      </c>
      <c r="E323" s="74">
        <v>0</v>
      </c>
      <c r="F323" s="97">
        <v>62</v>
      </c>
      <c r="G323" s="120">
        <v>380</v>
      </c>
      <c r="H323" s="123">
        <v>442</v>
      </c>
    </row>
    <row r="324" spans="1:8" ht="13">
      <c r="A324" s="109">
        <v>44494.358449074076</v>
      </c>
      <c r="B324" s="142">
        <v>0</v>
      </c>
      <c r="C324" s="226">
        <v>0</v>
      </c>
      <c r="D324" s="131">
        <v>0</v>
      </c>
      <c r="E324" s="74">
        <v>0</v>
      </c>
      <c r="F324" s="97">
        <v>39</v>
      </c>
      <c r="G324" s="120">
        <v>403</v>
      </c>
      <c r="H324" s="123">
        <v>442</v>
      </c>
    </row>
    <row r="325" spans="1:8" ht="13">
      <c r="A325" s="109">
        <v>44502.342951388891</v>
      </c>
      <c r="B325" s="142">
        <v>0</v>
      </c>
      <c r="C325" s="226">
        <v>2.7088036117381489E-2</v>
      </c>
      <c r="D325" s="131">
        <v>0</v>
      </c>
      <c r="E325" s="74">
        <v>12</v>
      </c>
      <c r="F325" s="97">
        <v>48</v>
      </c>
      <c r="G325" s="120">
        <v>383</v>
      </c>
      <c r="H325" s="123">
        <v>443</v>
      </c>
    </row>
    <row r="326" spans="1:8" ht="13">
      <c r="A326" s="109">
        <v>44508.343946759262</v>
      </c>
      <c r="B326" s="142">
        <v>0</v>
      </c>
      <c r="C326" s="226">
        <v>2.7149321266968326E-2</v>
      </c>
      <c r="D326" s="131">
        <v>0</v>
      </c>
      <c r="E326" s="74">
        <v>12</v>
      </c>
      <c r="F326" s="97">
        <v>48</v>
      </c>
      <c r="G326" s="120">
        <v>382</v>
      </c>
      <c r="H326" s="123">
        <v>442</v>
      </c>
    </row>
    <row r="327" spans="1:8" ht="13">
      <c r="A327" s="109">
        <v>44509.620497685188</v>
      </c>
      <c r="B327" s="142">
        <v>0</v>
      </c>
      <c r="C327" s="226">
        <v>1.3636363636363636E-2</v>
      </c>
      <c r="D327" s="131">
        <v>0</v>
      </c>
      <c r="E327" s="74">
        <v>6</v>
      </c>
      <c r="F327" s="97">
        <v>48</v>
      </c>
      <c r="G327" s="120">
        <v>386</v>
      </c>
      <c r="H327" s="123">
        <v>440</v>
      </c>
    </row>
    <row r="328" spans="1:8" ht="13">
      <c r="A328" s="109">
        <v>44510.417685185188</v>
      </c>
      <c r="B328" s="142">
        <v>0</v>
      </c>
      <c r="C328" s="226">
        <v>1.3605442176870748E-2</v>
      </c>
      <c r="D328" s="131">
        <v>0</v>
      </c>
      <c r="E328" s="74">
        <v>6</v>
      </c>
      <c r="F328" s="97">
        <v>31</v>
      </c>
      <c r="G328" s="120">
        <v>404</v>
      </c>
      <c r="H328" s="123">
        <v>441</v>
      </c>
    </row>
    <row r="329" spans="1:8" ht="13">
      <c r="A329" s="109">
        <v>44515.333726851852</v>
      </c>
      <c r="B329" s="142">
        <v>0</v>
      </c>
      <c r="C329" s="226">
        <v>9.0702947845804991E-3</v>
      </c>
      <c r="D329" s="131">
        <v>0</v>
      </c>
      <c r="E329" s="74">
        <v>4</v>
      </c>
      <c r="F329" s="97">
        <v>28</v>
      </c>
      <c r="G329" s="120">
        <v>409</v>
      </c>
      <c r="H329" s="123">
        <v>441</v>
      </c>
    </row>
    <row r="330" spans="1:8" ht="13">
      <c r="A330" s="109">
        <v>44516.603981481479</v>
      </c>
      <c r="B330" s="142">
        <v>0</v>
      </c>
      <c r="C330" s="226">
        <v>9.0909090909090905E-3</v>
      </c>
      <c r="D330" s="131">
        <v>0</v>
      </c>
      <c r="E330" s="74">
        <v>4</v>
      </c>
      <c r="F330" s="97">
        <v>28</v>
      </c>
      <c r="G330" s="120">
        <v>408</v>
      </c>
      <c r="H330" s="123">
        <v>440</v>
      </c>
    </row>
    <row r="331" spans="1:8" ht="13">
      <c r="A331" s="109">
        <v>44522.356562499997</v>
      </c>
      <c r="B331" s="142">
        <v>0</v>
      </c>
      <c r="C331" s="226">
        <v>9.0909090909090905E-3</v>
      </c>
      <c r="D331" s="131">
        <v>0</v>
      </c>
      <c r="E331" s="74">
        <v>4</v>
      </c>
      <c r="F331" s="97">
        <v>26</v>
      </c>
      <c r="G331" s="120">
        <v>410</v>
      </c>
      <c r="H331" s="123">
        <v>440</v>
      </c>
    </row>
    <row r="332" spans="1:8" ht="13">
      <c r="A332" s="109">
        <v>44523.440115740741</v>
      </c>
      <c r="B332" s="142">
        <v>0</v>
      </c>
      <c r="C332" s="226">
        <v>0</v>
      </c>
      <c r="D332" s="131">
        <v>0</v>
      </c>
      <c r="E332" s="74">
        <v>0</v>
      </c>
      <c r="F332" s="97">
        <v>25</v>
      </c>
      <c r="G332" s="120">
        <v>415</v>
      </c>
      <c r="H332" s="123">
        <v>440</v>
      </c>
    </row>
    <row r="333" spans="1:8" ht="13">
      <c r="A333" s="109">
        <v>44529.356099537035</v>
      </c>
      <c r="B333" s="142">
        <v>0</v>
      </c>
      <c r="C333" s="226">
        <v>0</v>
      </c>
      <c r="D333" s="131">
        <v>0</v>
      </c>
      <c r="E333" s="74">
        <v>0</v>
      </c>
      <c r="F333" s="97">
        <v>25</v>
      </c>
      <c r="G333" s="120">
        <v>415</v>
      </c>
      <c r="H333" s="123">
        <v>440</v>
      </c>
    </row>
    <row r="334" spans="1:8" ht="13">
      <c r="A334" s="109">
        <v>44536.359351851854</v>
      </c>
      <c r="B334" s="142">
        <v>0</v>
      </c>
      <c r="C334" s="226">
        <v>2.2779043280182231E-3</v>
      </c>
      <c r="D334" s="131">
        <v>0</v>
      </c>
      <c r="E334" s="74">
        <v>1</v>
      </c>
      <c r="F334" s="97">
        <v>26</v>
      </c>
      <c r="G334" s="120">
        <v>412</v>
      </c>
      <c r="H334" s="123">
        <v>439</v>
      </c>
    </row>
    <row r="335" spans="1:8" ht="13">
      <c r="A335" s="109">
        <v>44543.355590277781</v>
      </c>
      <c r="B335" s="142">
        <v>0</v>
      </c>
      <c r="C335" s="226">
        <v>0</v>
      </c>
      <c r="D335" s="131">
        <v>0</v>
      </c>
      <c r="E335" s="74">
        <v>0</v>
      </c>
      <c r="F335" s="97">
        <v>22</v>
      </c>
      <c r="G335" s="120">
        <v>417</v>
      </c>
      <c r="H335" s="123">
        <v>439</v>
      </c>
    </row>
    <row r="336" spans="1:8" ht="13">
      <c r="A336" s="109">
        <v>44550.362812500003</v>
      </c>
      <c r="B336" s="142">
        <v>0</v>
      </c>
      <c r="C336" s="226">
        <v>0</v>
      </c>
      <c r="D336" s="131">
        <v>0</v>
      </c>
      <c r="E336" s="74">
        <v>0</v>
      </c>
      <c r="F336" s="97">
        <v>10</v>
      </c>
      <c r="G336" s="120">
        <v>433</v>
      </c>
      <c r="H336" s="123">
        <v>443</v>
      </c>
    </row>
    <row r="337" spans="1:8" ht="13">
      <c r="A337" s="109">
        <v>44564.341053240743</v>
      </c>
      <c r="B337" s="142">
        <v>0</v>
      </c>
      <c r="C337" s="226">
        <v>6.7114093959731542E-3</v>
      </c>
      <c r="D337" s="131">
        <v>0</v>
      </c>
      <c r="E337" s="74">
        <v>3</v>
      </c>
      <c r="F337" s="97">
        <v>17</v>
      </c>
      <c r="G337" s="120">
        <v>427</v>
      </c>
      <c r="H337" s="123">
        <v>447</v>
      </c>
    </row>
    <row r="338" spans="1:8" ht="13">
      <c r="A338" s="109">
        <v>44567.594513888886</v>
      </c>
      <c r="B338" s="142">
        <v>0</v>
      </c>
      <c r="C338" s="226">
        <v>0</v>
      </c>
      <c r="D338" s="131">
        <v>0</v>
      </c>
      <c r="E338" s="74">
        <v>0</v>
      </c>
      <c r="F338" s="97">
        <v>17</v>
      </c>
      <c r="G338" s="120">
        <v>428</v>
      </c>
      <c r="H338" s="123">
        <v>445</v>
      </c>
    </row>
    <row r="339" spans="1:8" ht="13">
      <c r="A339" s="109">
        <v>44571.36550925926</v>
      </c>
      <c r="B339" s="142">
        <v>0</v>
      </c>
      <c r="C339" s="226">
        <v>0</v>
      </c>
      <c r="D339" s="131">
        <v>0</v>
      </c>
      <c r="E339" s="74">
        <v>0</v>
      </c>
      <c r="F339" s="97">
        <v>17</v>
      </c>
      <c r="G339" s="120">
        <v>428</v>
      </c>
      <c r="H339" s="123">
        <v>445</v>
      </c>
    </row>
    <row r="340" spans="1:8" ht="13">
      <c r="A340" s="109">
        <v>44578.338090277779</v>
      </c>
      <c r="B340" s="142">
        <v>0</v>
      </c>
      <c r="C340" s="226">
        <v>0</v>
      </c>
      <c r="D340" s="131">
        <v>0</v>
      </c>
      <c r="E340" s="74">
        <v>0</v>
      </c>
      <c r="F340" s="97">
        <v>16</v>
      </c>
      <c r="G340" s="120">
        <v>431</v>
      </c>
      <c r="H340" s="123">
        <v>447</v>
      </c>
    </row>
    <row r="341" spans="1:8" ht="13">
      <c r="A341" s="109">
        <v>44580.443136574075</v>
      </c>
      <c r="B341" s="142">
        <v>0</v>
      </c>
      <c r="C341" s="226">
        <v>0</v>
      </c>
      <c r="D341" s="131">
        <v>0</v>
      </c>
      <c r="E341" s="74">
        <v>0</v>
      </c>
      <c r="F341" s="97">
        <v>12</v>
      </c>
      <c r="G341" s="120">
        <v>434</v>
      </c>
      <c r="H341" s="123">
        <v>446</v>
      </c>
    </row>
    <row r="342" spans="1:8" ht="13">
      <c r="A342" s="109">
        <v>44585.346400462964</v>
      </c>
      <c r="B342" s="142">
        <v>0</v>
      </c>
      <c r="C342" s="226">
        <v>0</v>
      </c>
      <c r="D342" s="131">
        <v>0</v>
      </c>
      <c r="E342" s="74">
        <v>0</v>
      </c>
      <c r="F342" s="97">
        <v>14</v>
      </c>
      <c r="G342" s="120">
        <v>434</v>
      </c>
      <c r="H342" s="123">
        <v>448</v>
      </c>
    </row>
    <row r="343" spans="1:8" ht="13">
      <c r="A343" s="109">
        <v>44592.361585648148</v>
      </c>
      <c r="B343" s="142">
        <v>0</v>
      </c>
      <c r="C343" s="226">
        <v>0</v>
      </c>
      <c r="D343" s="131">
        <v>0</v>
      </c>
      <c r="E343" s="74">
        <v>0</v>
      </c>
      <c r="F343" s="97">
        <v>35</v>
      </c>
      <c r="G343" s="120">
        <v>414</v>
      </c>
      <c r="H343" s="123">
        <v>449</v>
      </c>
    </row>
    <row r="344" spans="1:8" ht="13">
      <c r="A344" s="109">
        <v>44593.49322916667</v>
      </c>
      <c r="B344" s="142">
        <v>0</v>
      </c>
      <c r="C344" s="226">
        <v>0</v>
      </c>
      <c r="D344" s="131">
        <v>0</v>
      </c>
      <c r="E344" s="74">
        <v>0</v>
      </c>
      <c r="F344" s="97">
        <v>35</v>
      </c>
      <c r="G344" s="120">
        <v>413</v>
      </c>
      <c r="H344" s="123">
        <v>448</v>
      </c>
    </row>
    <row r="345" spans="1:8" ht="13">
      <c r="A345" s="109">
        <v>44599.356747685182</v>
      </c>
      <c r="B345" s="142">
        <v>0</v>
      </c>
      <c r="C345" s="226">
        <v>0</v>
      </c>
      <c r="D345" s="131">
        <v>0</v>
      </c>
      <c r="E345" s="74">
        <v>0</v>
      </c>
      <c r="F345" s="97">
        <v>35</v>
      </c>
      <c r="G345" s="120">
        <v>413</v>
      </c>
      <c r="H345" s="123">
        <v>448</v>
      </c>
    </row>
    <row r="346" spans="1:8" ht="13">
      <c r="A346" s="109">
        <v>44602.640138888892</v>
      </c>
      <c r="B346" s="142">
        <v>0</v>
      </c>
      <c r="C346" s="226">
        <v>0</v>
      </c>
      <c r="D346" s="131">
        <v>0</v>
      </c>
      <c r="E346" s="74">
        <v>0</v>
      </c>
      <c r="F346" s="97">
        <v>35</v>
      </c>
      <c r="G346" s="120">
        <v>413</v>
      </c>
      <c r="H346" s="123">
        <v>448</v>
      </c>
    </row>
    <row r="347" spans="1:8" ht="13">
      <c r="A347" s="109">
        <v>44606.350370370368</v>
      </c>
      <c r="B347" s="142">
        <v>0</v>
      </c>
      <c r="C347" s="226">
        <v>0</v>
      </c>
      <c r="D347" s="131">
        <v>0</v>
      </c>
      <c r="E347" s="74">
        <v>0</v>
      </c>
      <c r="F347" s="97">
        <v>32</v>
      </c>
      <c r="G347" s="120">
        <v>415</v>
      </c>
      <c r="H347" s="123">
        <v>447</v>
      </c>
    </row>
    <row r="348" spans="1:8" ht="13">
      <c r="A348" s="109">
        <v>44607.392465277779</v>
      </c>
      <c r="B348" s="142">
        <v>0</v>
      </c>
      <c r="C348" s="226">
        <v>0</v>
      </c>
      <c r="D348" s="131">
        <v>0</v>
      </c>
      <c r="E348" s="74">
        <v>0</v>
      </c>
      <c r="F348" s="97">
        <v>32</v>
      </c>
      <c r="G348" s="120">
        <v>415</v>
      </c>
      <c r="H348" s="123">
        <v>447</v>
      </c>
    </row>
    <row r="349" spans="1:8" ht="13">
      <c r="A349" s="109">
        <v>44613.351620370369</v>
      </c>
      <c r="B349" s="142">
        <v>0</v>
      </c>
      <c r="C349" s="226">
        <v>0</v>
      </c>
      <c r="D349" s="131">
        <v>0</v>
      </c>
      <c r="E349" s="74">
        <v>0</v>
      </c>
      <c r="F349" s="97">
        <v>32</v>
      </c>
      <c r="G349" s="120">
        <v>416</v>
      </c>
      <c r="H349" s="123">
        <v>448</v>
      </c>
    </row>
    <row r="350" spans="1:8" ht="13">
      <c r="A350" s="109">
        <v>44620.34547453704</v>
      </c>
      <c r="B350" s="142">
        <v>0</v>
      </c>
      <c r="C350" s="226">
        <v>0</v>
      </c>
      <c r="D350" s="131">
        <v>0</v>
      </c>
      <c r="E350" s="74">
        <v>0</v>
      </c>
      <c r="F350" s="97">
        <v>26</v>
      </c>
      <c r="G350" s="120">
        <v>405</v>
      </c>
      <c r="H350" s="123">
        <v>431</v>
      </c>
    </row>
    <row r="351" spans="1:8" ht="13">
      <c r="A351" s="109">
        <v>44621.374224537038</v>
      </c>
      <c r="B351" s="142">
        <v>0</v>
      </c>
      <c r="C351" s="226">
        <v>2.232142857142857E-3</v>
      </c>
      <c r="D351" s="131">
        <v>0</v>
      </c>
      <c r="E351" s="74">
        <v>1</v>
      </c>
      <c r="F351" s="97">
        <v>67</v>
      </c>
      <c r="G351" s="120">
        <v>380</v>
      </c>
      <c r="H351" s="123">
        <v>448</v>
      </c>
    </row>
    <row r="352" spans="1:8" ht="13">
      <c r="A352" s="109">
        <v>44627.348715277774</v>
      </c>
      <c r="B352" s="142">
        <v>0</v>
      </c>
      <c r="C352" s="226">
        <v>0</v>
      </c>
      <c r="D352" s="131">
        <v>0</v>
      </c>
      <c r="E352" s="74">
        <v>0</v>
      </c>
      <c r="F352" s="97">
        <v>69</v>
      </c>
      <c r="G352" s="120">
        <v>379</v>
      </c>
      <c r="H352" s="123">
        <v>448</v>
      </c>
    </row>
    <row r="353" spans="1:8" ht="13">
      <c r="A353" s="109">
        <v>44634.336585648147</v>
      </c>
      <c r="B353" s="142">
        <v>0</v>
      </c>
      <c r="C353" s="226">
        <v>0</v>
      </c>
      <c r="D353" s="131">
        <v>0</v>
      </c>
      <c r="E353" s="74">
        <v>0</v>
      </c>
      <c r="F353" s="97">
        <v>69</v>
      </c>
      <c r="G353" s="120">
        <v>377</v>
      </c>
      <c r="H353" s="123">
        <v>446</v>
      </c>
    </row>
    <row r="354" spans="1:8" ht="13">
      <c r="A354" s="109">
        <v>44641.336655092593</v>
      </c>
      <c r="B354" s="142">
        <v>0</v>
      </c>
      <c r="C354" s="226">
        <v>0</v>
      </c>
      <c r="D354" s="131">
        <v>0</v>
      </c>
      <c r="E354" s="74">
        <v>0</v>
      </c>
      <c r="F354" s="97">
        <v>70</v>
      </c>
      <c r="G354" s="120">
        <v>379</v>
      </c>
      <c r="H354" s="123">
        <v>449</v>
      </c>
    </row>
    <row r="355" spans="1:8" ht="13">
      <c r="A355" s="109">
        <v>44645.455868055556</v>
      </c>
      <c r="B355" s="142">
        <v>0</v>
      </c>
      <c r="C355" s="226">
        <v>0</v>
      </c>
      <c r="D355" s="131">
        <v>0</v>
      </c>
      <c r="E355" s="74">
        <v>0</v>
      </c>
      <c r="F355" s="97">
        <v>68</v>
      </c>
      <c r="G355" s="120">
        <v>379</v>
      </c>
      <c r="H355" s="123">
        <v>447</v>
      </c>
    </row>
    <row r="356" spans="1:8">
      <c r="A356" s="109">
        <v>44651.541516203702</v>
      </c>
    </row>
    <row r="357" spans="1:8" ht="13">
      <c r="A357" s="109">
        <v>44655.3518287037</v>
      </c>
      <c r="B357" s="142">
        <v>0</v>
      </c>
      <c r="C357" s="226">
        <v>0</v>
      </c>
      <c r="D357" s="131">
        <v>0</v>
      </c>
      <c r="E357" s="74">
        <v>0</v>
      </c>
      <c r="F357" s="97">
        <v>58</v>
      </c>
      <c r="G357" s="120">
        <v>388</v>
      </c>
      <c r="H357" s="123">
        <v>446</v>
      </c>
    </row>
    <row r="358" spans="1:8" ht="13">
      <c r="A358" s="109">
        <v>44662.358599537038</v>
      </c>
      <c r="B358" s="142">
        <v>0</v>
      </c>
      <c r="C358" s="226">
        <v>0</v>
      </c>
      <c r="D358" s="131">
        <v>0</v>
      </c>
      <c r="E358" s="74">
        <v>0</v>
      </c>
      <c r="F358" s="97">
        <v>57</v>
      </c>
      <c r="G358" s="120">
        <v>389</v>
      </c>
      <c r="H358" s="123">
        <v>446</v>
      </c>
    </row>
    <row r="359" spans="1:8" ht="13">
      <c r="A359" s="109">
        <v>44666.380347222221</v>
      </c>
      <c r="B359" s="142">
        <v>0</v>
      </c>
      <c r="C359" s="226">
        <v>0</v>
      </c>
      <c r="D359" s="131">
        <v>0</v>
      </c>
      <c r="E359" s="74">
        <v>0</v>
      </c>
      <c r="F359" s="97">
        <v>56</v>
      </c>
      <c r="G359" s="120">
        <v>391</v>
      </c>
      <c r="H359" s="123">
        <v>447</v>
      </c>
    </row>
    <row r="360" spans="1:8" ht="13">
      <c r="A360" s="109">
        <v>44676.331493055557</v>
      </c>
      <c r="B360" s="142">
        <v>0</v>
      </c>
      <c r="C360" s="226">
        <v>0</v>
      </c>
      <c r="D360" s="131">
        <v>0</v>
      </c>
      <c r="E360" s="74">
        <v>0</v>
      </c>
      <c r="F360" s="97">
        <v>27</v>
      </c>
      <c r="G360" s="120">
        <v>420</v>
      </c>
      <c r="H360" s="123">
        <v>447</v>
      </c>
    </row>
    <row r="361" spans="1:8" ht="13">
      <c r="A361" s="109">
        <v>44683.31417824074</v>
      </c>
      <c r="B361" s="142">
        <v>0</v>
      </c>
      <c r="C361" s="226">
        <v>6.7114093959731542E-3</v>
      </c>
      <c r="D361" s="131">
        <v>0</v>
      </c>
      <c r="E361" s="74">
        <v>3</v>
      </c>
      <c r="F361" s="97">
        <v>38</v>
      </c>
      <c r="G361" s="120">
        <v>406</v>
      </c>
      <c r="H361" s="123">
        <v>447</v>
      </c>
    </row>
    <row r="362" spans="1:8">
      <c r="A362" s="109">
        <v>44690.37296296296</v>
      </c>
      <c r="B362" s="140">
        <v>0</v>
      </c>
      <c r="C362" s="141">
        <v>0</v>
      </c>
      <c r="D362" s="133">
        <v>0</v>
      </c>
      <c r="E362" s="73">
        <v>0</v>
      </c>
      <c r="F362" s="73">
        <v>0</v>
      </c>
      <c r="G362" s="73">
        <v>0</v>
      </c>
      <c r="H362" s="51">
        <v>0</v>
      </c>
    </row>
    <row r="363" spans="1:8">
      <c r="A363" s="109">
        <v>44692.428217592591</v>
      </c>
      <c r="B363" s="140">
        <v>0</v>
      </c>
      <c r="C363" s="141">
        <v>0</v>
      </c>
      <c r="D363" s="133">
        <v>0</v>
      </c>
      <c r="E363" s="73">
        <v>0</v>
      </c>
      <c r="F363" s="73">
        <v>0</v>
      </c>
      <c r="G363" s="73">
        <v>0</v>
      </c>
      <c r="H363" s="51">
        <v>0</v>
      </c>
    </row>
    <row r="364" spans="1:8">
      <c r="A364" s="109">
        <v>44725.340648148151</v>
      </c>
    </row>
    <row r="365" spans="1:8">
      <c r="A365" s="109">
        <v>44732.345752314817</v>
      </c>
      <c r="B365" s="140">
        <v>0</v>
      </c>
      <c r="C365" s="141">
        <v>0</v>
      </c>
      <c r="D365" s="133">
        <v>0</v>
      </c>
      <c r="E365" s="73">
        <v>0</v>
      </c>
      <c r="F365" s="73">
        <v>0</v>
      </c>
      <c r="G365" s="73">
        <v>26</v>
      </c>
      <c r="H365" s="51">
        <v>26</v>
      </c>
    </row>
    <row r="366" spans="1:8">
      <c r="A366" s="109">
        <v>44735.492175925923</v>
      </c>
      <c r="B366" s="140">
        <v>0</v>
      </c>
      <c r="C366" s="141">
        <v>0</v>
      </c>
      <c r="D366" s="133">
        <v>0</v>
      </c>
      <c r="E366" s="73">
        <v>0</v>
      </c>
      <c r="F366" s="73">
        <v>0</v>
      </c>
      <c r="G366" s="73">
        <v>26</v>
      </c>
      <c r="H366" s="51">
        <v>26</v>
      </c>
    </row>
    <row r="367" spans="1:8">
      <c r="A367" s="109">
        <v>44739.340405092589</v>
      </c>
      <c r="B367" s="140">
        <v>0</v>
      </c>
      <c r="C367" s="141">
        <v>0</v>
      </c>
      <c r="D367" s="133">
        <v>0</v>
      </c>
      <c r="E367" s="73">
        <v>0</v>
      </c>
      <c r="F367" s="73">
        <v>0</v>
      </c>
      <c r="G367" s="73">
        <v>26</v>
      </c>
      <c r="H367" s="51">
        <v>26</v>
      </c>
    </row>
    <row r="368" spans="1:8">
      <c r="A368" s="109">
        <v>44746.347118055557</v>
      </c>
      <c r="B368" s="140">
        <v>0</v>
      </c>
      <c r="C368" s="141">
        <v>0</v>
      </c>
      <c r="D368" s="133">
        <v>0</v>
      </c>
      <c r="E368" s="73">
        <v>0</v>
      </c>
      <c r="F368" s="73">
        <v>0</v>
      </c>
      <c r="G368" s="73">
        <v>25</v>
      </c>
      <c r="H368" s="51">
        <v>25</v>
      </c>
    </row>
    <row r="369" spans="1:8">
      <c r="A369" s="109">
        <v>44754.386354166665</v>
      </c>
      <c r="B369" s="140">
        <v>0</v>
      </c>
      <c r="C369" s="141">
        <v>0</v>
      </c>
      <c r="D369" s="133">
        <v>0</v>
      </c>
      <c r="E369" s="73">
        <v>0</v>
      </c>
      <c r="F369" s="73">
        <v>0</v>
      </c>
      <c r="G369" s="73">
        <v>25</v>
      </c>
      <c r="H369" s="51">
        <v>25</v>
      </c>
    </row>
    <row r="370" spans="1:8">
      <c r="A370" s="109">
        <v>44760.350532407407</v>
      </c>
      <c r="B370" s="140">
        <v>0</v>
      </c>
      <c r="C370" s="141">
        <v>0</v>
      </c>
      <c r="D370" s="133">
        <v>0</v>
      </c>
      <c r="E370" s="73">
        <v>0</v>
      </c>
      <c r="F370" s="73">
        <v>0</v>
      </c>
      <c r="G370" s="73">
        <v>25</v>
      </c>
      <c r="H370" s="51">
        <v>25</v>
      </c>
    </row>
    <row r="371" spans="1:8">
      <c r="A371" s="109">
        <v>44767.346574074072</v>
      </c>
      <c r="B371" s="140">
        <v>0</v>
      </c>
      <c r="C371" s="141">
        <v>0</v>
      </c>
      <c r="D371" s="133">
        <v>0</v>
      </c>
      <c r="E371" s="73">
        <v>0</v>
      </c>
      <c r="F371" s="73">
        <v>0</v>
      </c>
      <c r="G371" s="73">
        <v>25</v>
      </c>
      <c r="H371" s="51">
        <v>25</v>
      </c>
    </row>
    <row r="372" spans="1:8">
      <c r="A372" s="109">
        <v>44774.367094907408</v>
      </c>
      <c r="B372" s="140">
        <v>0</v>
      </c>
      <c r="C372" s="141">
        <v>0</v>
      </c>
      <c r="D372" s="133">
        <v>0</v>
      </c>
      <c r="E372" s="73">
        <v>0</v>
      </c>
      <c r="F372" s="73">
        <v>0</v>
      </c>
      <c r="G372" s="73">
        <v>25</v>
      </c>
      <c r="H372" s="51">
        <v>25</v>
      </c>
    </row>
  </sheetData>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iconSet" priority="1065" id="{1F80B596-BF8E-482E-995B-E5E4086496C5}">
            <x14:iconSet custom="1">
              <x14:cfvo type="percent">
                <xm:f>0</xm:f>
              </x14:cfvo>
              <x14:cfvo type="percent">
                <xm:f>0</xm:f>
              </x14:cfvo>
              <x14:cfvo type="percent" gte="0">
                <xm:f>5</xm:f>
              </x14:cfvo>
              <x14:cfIcon iconSet="NoIcons" iconId="0"/>
              <x14:cfIcon iconSet="3TrafficLights1" iconId="2"/>
              <x14:cfIcon iconSet="3TrafficLights1" iconId="0"/>
            </x14:iconSet>
          </x14:cfRule>
          <xm:sqref>C3</xm:sqref>
        </x14:conditionalFormatting>
        <x14:conditionalFormatting xmlns:xm="http://schemas.microsoft.com/office/excel/2006/main">
          <x14:cfRule type="iconSet" priority="1066" id="{3BB55675-BCA5-4911-A2D8-DB04A1E1F2AF}">
            <x14:iconSet custom="1">
              <x14:cfvo type="percent">
                <xm:f>0</xm:f>
              </x14:cfvo>
              <x14:cfvo type="num">
                <xm:f>0</xm:f>
              </x14:cfvo>
              <x14:cfvo type="num">
                <xm:f>1</xm:f>
              </x14:cfvo>
              <x14:cfIcon iconSet="NoIcons" iconId="0"/>
              <x14:cfIcon iconSet="3TrafficLights1" iconId="2"/>
              <x14:cfIcon iconSet="3TrafficLights1" iconId="0"/>
            </x14:iconSet>
          </x14:cfRule>
          <xm:sqref>B3</xm:sqref>
        </x14:conditionalFormatting>
        <x14:conditionalFormatting xmlns:xm="http://schemas.microsoft.com/office/excel/2006/main">
          <x14:cfRule type="iconSet" priority="1063" id="{3251A90F-F692-41F1-A99A-CC784A62FFF4}">
            <x14:iconSet custom="1">
              <x14:cfvo type="percent">
                <xm:f>0</xm:f>
              </x14:cfvo>
              <x14:cfvo type="percent">
                <xm:f>0</xm:f>
              </x14:cfvo>
              <x14:cfvo type="percent" gte="0">
                <xm:f>5</xm:f>
              </x14:cfvo>
              <x14:cfIcon iconSet="NoIcons" iconId="0"/>
              <x14:cfIcon iconSet="3TrafficLights1" iconId="2"/>
              <x14:cfIcon iconSet="3TrafficLights1" iconId="0"/>
            </x14:iconSet>
          </x14:cfRule>
          <xm:sqref>C4</xm:sqref>
        </x14:conditionalFormatting>
        <x14:conditionalFormatting xmlns:xm="http://schemas.microsoft.com/office/excel/2006/main">
          <x14:cfRule type="iconSet" priority="1064" id="{7BF5C830-EEEF-405B-A182-EA3ECB6A5008}">
            <x14:iconSet custom="1">
              <x14:cfvo type="percent">
                <xm:f>0</xm:f>
              </x14:cfvo>
              <x14:cfvo type="num">
                <xm:f>0</xm:f>
              </x14:cfvo>
              <x14:cfvo type="num">
                <xm:f>1</xm:f>
              </x14:cfvo>
              <x14:cfIcon iconSet="NoIcons" iconId="0"/>
              <x14:cfIcon iconSet="3TrafficLights1" iconId="2"/>
              <x14:cfIcon iconSet="3TrafficLights1" iconId="0"/>
            </x14:iconSet>
          </x14:cfRule>
          <xm:sqref>B4</xm:sqref>
        </x14:conditionalFormatting>
        <x14:conditionalFormatting xmlns:xm="http://schemas.microsoft.com/office/excel/2006/main">
          <x14:cfRule type="iconSet" priority="1061" id="{93DF426C-1985-4E12-8761-4BB469BA7A18}">
            <x14:iconSet custom="1">
              <x14:cfvo type="percent">
                <xm:f>0</xm:f>
              </x14:cfvo>
              <x14:cfvo type="percent">
                <xm:f>0</xm:f>
              </x14:cfvo>
              <x14:cfvo type="percent" gte="0">
                <xm:f>5</xm:f>
              </x14:cfvo>
              <x14:cfIcon iconSet="NoIcons" iconId="0"/>
              <x14:cfIcon iconSet="3TrafficLights1" iconId="2"/>
              <x14:cfIcon iconSet="3TrafficLights1" iconId="0"/>
            </x14:iconSet>
          </x14:cfRule>
          <xm:sqref>C5</xm:sqref>
        </x14:conditionalFormatting>
        <x14:conditionalFormatting xmlns:xm="http://schemas.microsoft.com/office/excel/2006/main">
          <x14:cfRule type="iconSet" priority="1062" id="{3EEA900A-5281-40B8-B37A-89F8085669F5}">
            <x14:iconSet custom="1">
              <x14:cfvo type="percent">
                <xm:f>0</xm:f>
              </x14:cfvo>
              <x14:cfvo type="num">
                <xm:f>0</xm:f>
              </x14:cfvo>
              <x14:cfvo type="num">
                <xm:f>1</xm:f>
              </x14:cfvo>
              <x14:cfIcon iconSet="NoIcons" iconId="0"/>
              <x14:cfIcon iconSet="3TrafficLights1" iconId="2"/>
              <x14:cfIcon iconSet="3TrafficLights1" iconId="0"/>
            </x14:iconSet>
          </x14:cfRule>
          <xm:sqref>B5</xm:sqref>
        </x14:conditionalFormatting>
        <x14:conditionalFormatting xmlns:xm="http://schemas.microsoft.com/office/excel/2006/main">
          <x14:cfRule type="iconSet" priority="1057" id="{397EEA88-50CE-40E8-B04A-5321BA36E61D}">
            <x14:iconSet custom="1">
              <x14:cfvo type="percent">
                <xm:f>0</xm:f>
              </x14:cfvo>
              <x14:cfvo type="percent">
                <xm:f>0</xm:f>
              </x14:cfvo>
              <x14:cfvo type="percent" gte="0">
                <xm:f>5</xm:f>
              </x14:cfvo>
              <x14:cfIcon iconSet="NoIcons" iconId="0"/>
              <x14:cfIcon iconSet="3TrafficLights1" iconId="2"/>
              <x14:cfIcon iconSet="3TrafficLights1" iconId="0"/>
            </x14:iconSet>
          </x14:cfRule>
          <xm:sqref>C6</xm:sqref>
        </x14:conditionalFormatting>
        <x14:conditionalFormatting xmlns:xm="http://schemas.microsoft.com/office/excel/2006/main">
          <x14:cfRule type="iconSet" priority="1058" id="{C4C9B14F-F1B9-4208-9941-AE8585F334E6}">
            <x14:iconSet custom="1">
              <x14:cfvo type="percent">
                <xm:f>0</xm:f>
              </x14:cfvo>
              <x14:cfvo type="num">
                <xm:f>0</xm:f>
              </x14:cfvo>
              <x14:cfvo type="num">
                <xm:f>1</xm:f>
              </x14:cfvo>
              <x14:cfIcon iconSet="NoIcons" iconId="0"/>
              <x14:cfIcon iconSet="3TrafficLights1" iconId="2"/>
              <x14:cfIcon iconSet="3TrafficLights1" iconId="0"/>
            </x14:iconSet>
          </x14:cfRule>
          <xm:sqref>B6</xm:sqref>
        </x14:conditionalFormatting>
        <x14:conditionalFormatting xmlns:xm="http://schemas.microsoft.com/office/excel/2006/main">
          <x14:cfRule type="iconSet" priority="1055" id="{AEE8E17F-1AFF-4924-90AD-3A2025C23094}">
            <x14:iconSet custom="1">
              <x14:cfvo type="percent">
                <xm:f>0</xm:f>
              </x14:cfvo>
              <x14:cfvo type="percent">
                <xm:f>0</xm:f>
              </x14:cfvo>
              <x14:cfvo type="percent" gte="0">
                <xm:f>5</xm:f>
              </x14:cfvo>
              <x14:cfIcon iconSet="NoIcons" iconId="0"/>
              <x14:cfIcon iconSet="3TrafficLights1" iconId="2"/>
              <x14:cfIcon iconSet="3TrafficLights1" iconId="0"/>
            </x14:iconSet>
          </x14:cfRule>
          <xm:sqref>C7</xm:sqref>
        </x14:conditionalFormatting>
        <x14:conditionalFormatting xmlns:xm="http://schemas.microsoft.com/office/excel/2006/main">
          <x14:cfRule type="iconSet" priority="1056" id="{CE889EB6-615A-41C4-A7B5-5B45A93C0F85}">
            <x14:iconSet custom="1">
              <x14:cfvo type="percent">
                <xm:f>0</xm:f>
              </x14:cfvo>
              <x14:cfvo type="num">
                <xm:f>0</xm:f>
              </x14:cfvo>
              <x14:cfvo type="num">
                <xm:f>1</xm:f>
              </x14:cfvo>
              <x14:cfIcon iconSet="NoIcons" iconId="0"/>
              <x14:cfIcon iconSet="3TrafficLights1" iconId="2"/>
              <x14:cfIcon iconSet="3TrafficLights1" iconId="0"/>
            </x14:iconSet>
          </x14:cfRule>
          <xm:sqref>B7</xm:sqref>
        </x14:conditionalFormatting>
        <x14:conditionalFormatting xmlns:xm="http://schemas.microsoft.com/office/excel/2006/main">
          <x14:cfRule type="iconSet" priority="1053" id="{F54368C7-4064-41AE-A76D-22D229B8C322}">
            <x14:iconSet custom="1">
              <x14:cfvo type="percent">
                <xm:f>0</xm:f>
              </x14:cfvo>
              <x14:cfvo type="percent">
                <xm:f>0</xm:f>
              </x14:cfvo>
              <x14:cfvo type="percent" gte="0">
                <xm:f>5</xm:f>
              </x14:cfvo>
              <x14:cfIcon iconSet="NoIcons" iconId="0"/>
              <x14:cfIcon iconSet="3TrafficLights1" iconId="2"/>
              <x14:cfIcon iconSet="3TrafficLights1" iconId="0"/>
            </x14:iconSet>
          </x14:cfRule>
          <xm:sqref>C8</xm:sqref>
        </x14:conditionalFormatting>
        <x14:conditionalFormatting xmlns:xm="http://schemas.microsoft.com/office/excel/2006/main">
          <x14:cfRule type="iconSet" priority="1054" id="{994A509A-6EB4-4C7C-B9DE-296F6BE6C9CB}">
            <x14:iconSet custom="1">
              <x14:cfvo type="percent">
                <xm:f>0</xm:f>
              </x14:cfvo>
              <x14:cfvo type="num">
                <xm:f>0</xm:f>
              </x14:cfvo>
              <x14:cfvo type="num">
                <xm:f>1</xm:f>
              </x14:cfvo>
              <x14:cfIcon iconSet="NoIcons" iconId="0"/>
              <x14:cfIcon iconSet="3TrafficLights1" iconId="2"/>
              <x14:cfIcon iconSet="3TrafficLights1" iconId="0"/>
            </x14:iconSet>
          </x14:cfRule>
          <xm:sqref>B8</xm:sqref>
        </x14:conditionalFormatting>
        <x14:conditionalFormatting xmlns:xm="http://schemas.microsoft.com/office/excel/2006/main">
          <x14:cfRule type="iconSet" priority="1051" id="{49F75649-7D01-4555-A94D-CD8BA9D9C507}">
            <x14:iconSet custom="1">
              <x14:cfvo type="percent">
                <xm:f>0</xm:f>
              </x14:cfvo>
              <x14:cfvo type="percent">
                <xm:f>0</xm:f>
              </x14:cfvo>
              <x14:cfvo type="percent" gte="0">
                <xm:f>5</xm:f>
              </x14:cfvo>
              <x14:cfIcon iconSet="NoIcons" iconId="0"/>
              <x14:cfIcon iconSet="3TrafficLights1" iconId="2"/>
              <x14:cfIcon iconSet="3TrafficLights1" iconId="0"/>
            </x14:iconSet>
          </x14:cfRule>
          <xm:sqref>C9</xm:sqref>
        </x14:conditionalFormatting>
        <x14:conditionalFormatting xmlns:xm="http://schemas.microsoft.com/office/excel/2006/main">
          <x14:cfRule type="iconSet" priority="1052" id="{D900B211-E151-447A-99E0-D9C3582185B3}">
            <x14:iconSet custom="1">
              <x14:cfvo type="percent">
                <xm:f>0</xm:f>
              </x14:cfvo>
              <x14:cfvo type="num">
                <xm:f>0</xm:f>
              </x14:cfvo>
              <x14:cfvo type="num">
                <xm:f>1</xm:f>
              </x14:cfvo>
              <x14:cfIcon iconSet="NoIcons" iconId="0"/>
              <x14:cfIcon iconSet="3TrafficLights1" iconId="2"/>
              <x14:cfIcon iconSet="3TrafficLights1" iconId="0"/>
            </x14:iconSet>
          </x14:cfRule>
          <xm:sqref>B9</xm:sqref>
        </x14:conditionalFormatting>
        <x14:conditionalFormatting xmlns:xm="http://schemas.microsoft.com/office/excel/2006/main">
          <x14:cfRule type="iconSet" priority="1049" id="{D989BCF4-04FB-4680-8B41-217CA9B4E105}">
            <x14:iconSet custom="1">
              <x14:cfvo type="percent">
                <xm:f>0</xm:f>
              </x14:cfvo>
              <x14:cfvo type="percent">
                <xm:f>0</xm:f>
              </x14:cfvo>
              <x14:cfvo type="percent" gte="0">
                <xm:f>5</xm:f>
              </x14:cfvo>
              <x14:cfIcon iconSet="NoIcons" iconId="0"/>
              <x14:cfIcon iconSet="3TrafficLights1" iconId="2"/>
              <x14:cfIcon iconSet="3TrafficLights1" iconId="0"/>
            </x14:iconSet>
          </x14:cfRule>
          <xm:sqref>C10</xm:sqref>
        </x14:conditionalFormatting>
        <x14:conditionalFormatting xmlns:xm="http://schemas.microsoft.com/office/excel/2006/main">
          <x14:cfRule type="iconSet" priority="1050" id="{D7EA647E-7D86-4030-901C-DC3DE78F2B32}">
            <x14:iconSet custom="1">
              <x14:cfvo type="percent">
                <xm:f>0</xm:f>
              </x14:cfvo>
              <x14:cfvo type="num">
                <xm:f>0</xm:f>
              </x14:cfvo>
              <x14:cfvo type="num">
                <xm:f>1</xm:f>
              </x14:cfvo>
              <x14:cfIcon iconSet="NoIcons" iconId="0"/>
              <x14:cfIcon iconSet="3TrafficLights1" iconId="2"/>
              <x14:cfIcon iconSet="3TrafficLights1" iconId="0"/>
            </x14:iconSet>
          </x14:cfRule>
          <xm:sqref>B10</xm:sqref>
        </x14:conditionalFormatting>
        <x14:conditionalFormatting xmlns:xm="http://schemas.microsoft.com/office/excel/2006/main">
          <x14:cfRule type="iconSet" priority="1047" id="{216ACF4D-6425-4DC3-8BC1-E2773B318A07}">
            <x14:iconSet custom="1">
              <x14:cfvo type="percent">
                <xm:f>0</xm:f>
              </x14:cfvo>
              <x14:cfvo type="percent">
                <xm:f>0</xm:f>
              </x14:cfvo>
              <x14:cfvo type="percent" gte="0">
                <xm:f>5</xm:f>
              </x14:cfvo>
              <x14:cfIcon iconSet="NoIcons" iconId="0"/>
              <x14:cfIcon iconSet="3TrafficLights1" iconId="2"/>
              <x14:cfIcon iconSet="3TrafficLights1" iconId="0"/>
            </x14:iconSet>
          </x14:cfRule>
          <xm:sqref>C11</xm:sqref>
        </x14:conditionalFormatting>
        <x14:conditionalFormatting xmlns:xm="http://schemas.microsoft.com/office/excel/2006/main">
          <x14:cfRule type="iconSet" priority="1048" id="{F62E3571-68F6-44EB-ACC5-B5CF4D6964F3}">
            <x14:iconSet custom="1">
              <x14:cfvo type="percent">
                <xm:f>0</xm:f>
              </x14:cfvo>
              <x14:cfvo type="num">
                <xm:f>0</xm:f>
              </x14:cfvo>
              <x14:cfvo type="num">
                <xm:f>1</xm:f>
              </x14:cfvo>
              <x14:cfIcon iconSet="NoIcons" iconId="0"/>
              <x14:cfIcon iconSet="3TrafficLights1" iconId="2"/>
              <x14:cfIcon iconSet="3TrafficLights1" iconId="0"/>
            </x14:iconSet>
          </x14:cfRule>
          <xm:sqref>B11</xm:sqref>
        </x14:conditionalFormatting>
        <x14:conditionalFormatting xmlns:xm="http://schemas.microsoft.com/office/excel/2006/main">
          <x14:cfRule type="iconSet" priority="1045" id="{8B98B372-00A4-4EAC-AB31-5BE17266D612}">
            <x14:iconSet custom="1">
              <x14:cfvo type="percent">
                <xm:f>0</xm:f>
              </x14:cfvo>
              <x14:cfvo type="percent">
                <xm:f>0</xm:f>
              </x14:cfvo>
              <x14:cfvo type="percent" gte="0">
                <xm:f>5</xm:f>
              </x14:cfvo>
              <x14:cfIcon iconSet="NoIcons" iconId="0"/>
              <x14:cfIcon iconSet="3TrafficLights1" iconId="2"/>
              <x14:cfIcon iconSet="3TrafficLights1" iconId="0"/>
            </x14:iconSet>
          </x14:cfRule>
          <xm:sqref>C12</xm:sqref>
        </x14:conditionalFormatting>
        <x14:conditionalFormatting xmlns:xm="http://schemas.microsoft.com/office/excel/2006/main">
          <x14:cfRule type="iconSet" priority="1046" id="{A349B907-7452-4F79-95FE-B877A82AFB45}">
            <x14:iconSet custom="1">
              <x14:cfvo type="percent">
                <xm:f>0</xm:f>
              </x14:cfvo>
              <x14:cfvo type="num">
                <xm:f>0</xm:f>
              </x14:cfvo>
              <x14:cfvo type="num">
                <xm:f>1</xm:f>
              </x14:cfvo>
              <x14:cfIcon iconSet="NoIcons" iconId="0"/>
              <x14:cfIcon iconSet="3TrafficLights1" iconId="2"/>
              <x14:cfIcon iconSet="3TrafficLights1" iconId="0"/>
            </x14:iconSet>
          </x14:cfRule>
          <xm:sqref>B12</xm:sqref>
        </x14:conditionalFormatting>
        <x14:conditionalFormatting xmlns:xm="http://schemas.microsoft.com/office/excel/2006/main">
          <x14:cfRule type="iconSet" priority="1043" id="{2C738468-5E0D-43B2-8353-C7D1E609F886}">
            <x14:iconSet custom="1">
              <x14:cfvo type="percent">
                <xm:f>0</xm:f>
              </x14:cfvo>
              <x14:cfvo type="percent">
                <xm:f>0</xm:f>
              </x14:cfvo>
              <x14:cfvo type="percent" gte="0">
                <xm:f>5</xm:f>
              </x14:cfvo>
              <x14:cfIcon iconSet="NoIcons" iconId="0"/>
              <x14:cfIcon iconSet="3TrafficLights1" iconId="2"/>
              <x14:cfIcon iconSet="3TrafficLights1" iconId="0"/>
            </x14:iconSet>
          </x14:cfRule>
          <xm:sqref>C13</xm:sqref>
        </x14:conditionalFormatting>
        <x14:conditionalFormatting xmlns:xm="http://schemas.microsoft.com/office/excel/2006/main">
          <x14:cfRule type="iconSet" priority="1044" id="{07CA90D6-A53C-4F09-BC1D-B62409D27994}">
            <x14:iconSet custom="1">
              <x14:cfvo type="percent">
                <xm:f>0</xm:f>
              </x14:cfvo>
              <x14:cfvo type="num">
                <xm:f>0</xm:f>
              </x14:cfvo>
              <x14:cfvo type="num">
                <xm:f>1</xm:f>
              </x14:cfvo>
              <x14:cfIcon iconSet="NoIcons" iconId="0"/>
              <x14:cfIcon iconSet="3TrafficLights1" iconId="2"/>
              <x14:cfIcon iconSet="3TrafficLights1" iconId="0"/>
            </x14:iconSet>
          </x14:cfRule>
          <xm:sqref>B13</xm:sqref>
        </x14:conditionalFormatting>
        <x14:conditionalFormatting xmlns:xm="http://schemas.microsoft.com/office/excel/2006/main">
          <x14:cfRule type="iconSet" priority="1041" id="{57EB1715-FF86-4496-A420-EB2F1754500D}">
            <x14:iconSet custom="1">
              <x14:cfvo type="percent">
                <xm:f>0</xm:f>
              </x14:cfvo>
              <x14:cfvo type="percent">
                <xm:f>0</xm:f>
              </x14:cfvo>
              <x14:cfvo type="percent" gte="0">
                <xm:f>5</xm:f>
              </x14:cfvo>
              <x14:cfIcon iconSet="NoIcons" iconId="0"/>
              <x14:cfIcon iconSet="3TrafficLights1" iconId="2"/>
              <x14:cfIcon iconSet="3TrafficLights1" iconId="0"/>
            </x14:iconSet>
          </x14:cfRule>
          <xm:sqref>C14</xm:sqref>
        </x14:conditionalFormatting>
        <x14:conditionalFormatting xmlns:xm="http://schemas.microsoft.com/office/excel/2006/main">
          <x14:cfRule type="iconSet" priority="1042" id="{7A24B585-85F1-40B3-89E6-DA9016150835}">
            <x14:iconSet custom="1">
              <x14:cfvo type="percent">
                <xm:f>0</xm:f>
              </x14:cfvo>
              <x14:cfvo type="num">
                <xm:f>0</xm:f>
              </x14:cfvo>
              <x14:cfvo type="num">
                <xm:f>1</xm:f>
              </x14:cfvo>
              <x14:cfIcon iconSet="NoIcons" iconId="0"/>
              <x14:cfIcon iconSet="3TrafficLights1" iconId="2"/>
              <x14:cfIcon iconSet="3TrafficLights1" iconId="0"/>
            </x14:iconSet>
          </x14:cfRule>
          <xm:sqref>B14</xm:sqref>
        </x14:conditionalFormatting>
        <x14:conditionalFormatting xmlns:xm="http://schemas.microsoft.com/office/excel/2006/main">
          <x14:cfRule type="iconSet" priority="1039" id="{D4982DA0-6ECD-4E4F-82E7-47C86D99F2AA}">
            <x14:iconSet custom="1">
              <x14:cfvo type="percent">
                <xm:f>0</xm:f>
              </x14:cfvo>
              <x14:cfvo type="percent">
                <xm:f>0</xm:f>
              </x14:cfvo>
              <x14:cfvo type="percent" gte="0">
                <xm:f>5</xm:f>
              </x14:cfvo>
              <x14:cfIcon iconSet="NoIcons" iconId="0"/>
              <x14:cfIcon iconSet="3TrafficLights1" iconId="2"/>
              <x14:cfIcon iconSet="3TrafficLights1" iconId="0"/>
            </x14:iconSet>
          </x14:cfRule>
          <xm:sqref>C15</xm:sqref>
        </x14:conditionalFormatting>
        <x14:conditionalFormatting xmlns:xm="http://schemas.microsoft.com/office/excel/2006/main">
          <x14:cfRule type="iconSet" priority="1040" id="{F824C676-6EC6-4561-9801-B504D3422D41}">
            <x14:iconSet custom="1">
              <x14:cfvo type="percent">
                <xm:f>0</xm:f>
              </x14:cfvo>
              <x14:cfvo type="num">
                <xm:f>0</xm:f>
              </x14:cfvo>
              <x14:cfvo type="num">
                <xm:f>1</xm:f>
              </x14:cfvo>
              <x14:cfIcon iconSet="NoIcons" iconId="0"/>
              <x14:cfIcon iconSet="3TrafficLights1" iconId="2"/>
              <x14:cfIcon iconSet="3TrafficLights1" iconId="0"/>
            </x14:iconSet>
          </x14:cfRule>
          <xm:sqref>B15</xm:sqref>
        </x14:conditionalFormatting>
        <x14:conditionalFormatting xmlns:xm="http://schemas.microsoft.com/office/excel/2006/main">
          <x14:cfRule type="iconSet" priority="1037" id="{85B7F7A2-EFE4-42A4-9084-9C0CC569EFD6}">
            <x14:iconSet custom="1">
              <x14:cfvo type="percent">
                <xm:f>0</xm:f>
              </x14:cfvo>
              <x14:cfvo type="percent">
                <xm:f>0</xm:f>
              </x14:cfvo>
              <x14:cfvo type="percent" gte="0">
                <xm:f>5</xm:f>
              </x14:cfvo>
              <x14:cfIcon iconSet="NoIcons" iconId="0"/>
              <x14:cfIcon iconSet="3TrafficLights1" iconId="2"/>
              <x14:cfIcon iconSet="3TrafficLights1" iconId="0"/>
            </x14:iconSet>
          </x14:cfRule>
          <xm:sqref>C16</xm:sqref>
        </x14:conditionalFormatting>
        <x14:conditionalFormatting xmlns:xm="http://schemas.microsoft.com/office/excel/2006/main">
          <x14:cfRule type="iconSet" priority="1038" id="{5F099651-A395-4E93-AB51-C64F783CAE79}">
            <x14:iconSet custom="1">
              <x14:cfvo type="percent">
                <xm:f>0</xm:f>
              </x14:cfvo>
              <x14:cfvo type="num">
                <xm:f>0</xm:f>
              </x14:cfvo>
              <x14:cfvo type="num">
                <xm:f>1</xm:f>
              </x14:cfvo>
              <x14:cfIcon iconSet="NoIcons" iconId="0"/>
              <x14:cfIcon iconSet="3TrafficLights1" iconId="2"/>
              <x14:cfIcon iconSet="3TrafficLights1" iconId="0"/>
            </x14:iconSet>
          </x14:cfRule>
          <xm:sqref>B16</xm:sqref>
        </x14:conditionalFormatting>
        <x14:conditionalFormatting xmlns:xm="http://schemas.microsoft.com/office/excel/2006/main">
          <x14:cfRule type="iconSet" priority="1035" id="{9C5AB477-6F69-4242-A150-B704C9BEE979}">
            <x14:iconSet custom="1">
              <x14:cfvo type="percent">
                <xm:f>0</xm:f>
              </x14:cfvo>
              <x14:cfvo type="percent">
                <xm:f>0</xm:f>
              </x14:cfvo>
              <x14:cfvo type="percent" gte="0">
                <xm:f>5</xm:f>
              </x14:cfvo>
              <x14:cfIcon iconSet="NoIcons" iconId="0"/>
              <x14:cfIcon iconSet="3TrafficLights1" iconId="2"/>
              <x14:cfIcon iconSet="3TrafficLights1" iconId="0"/>
            </x14:iconSet>
          </x14:cfRule>
          <xm:sqref>C17</xm:sqref>
        </x14:conditionalFormatting>
        <x14:conditionalFormatting xmlns:xm="http://schemas.microsoft.com/office/excel/2006/main">
          <x14:cfRule type="iconSet" priority="1036" id="{E63AF077-E273-4BF5-A040-F9A4B3C7F86A}">
            <x14:iconSet custom="1">
              <x14:cfvo type="percent">
                <xm:f>0</xm:f>
              </x14:cfvo>
              <x14:cfvo type="num">
                <xm:f>0</xm:f>
              </x14:cfvo>
              <x14:cfvo type="num">
                <xm:f>1</xm:f>
              </x14:cfvo>
              <x14:cfIcon iconSet="NoIcons" iconId="0"/>
              <x14:cfIcon iconSet="3TrafficLights1" iconId="2"/>
              <x14:cfIcon iconSet="3TrafficLights1" iconId="0"/>
            </x14:iconSet>
          </x14:cfRule>
          <xm:sqref>B17</xm:sqref>
        </x14:conditionalFormatting>
        <x14:conditionalFormatting xmlns:xm="http://schemas.microsoft.com/office/excel/2006/main">
          <x14:cfRule type="iconSet" priority="1033" id="{ACCD106F-137D-478B-AA34-4C9807CD024D}">
            <x14:iconSet custom="1">
              <x14:cfvo type="percent">
                <xm:f>0</xm:f>
              </x14:cfvo>
              <x14:cfvo type="percent">
                <xm:f>0</xm:f>
              </x14:cfvo>
              <x14:cfvo type="percent" gte="0">
                <xm:f>5</xm:f>
              </x14:cfvo>
              <x14:cfIcon iconSet="NoIcons" iconId="0"/>
              <x14:cfIcon iconSet="3TrafficLights1" iconId="2"/>
              <x14:cfIcon iconSet="3TrafficLights1" iconId="0"/>
            </x14:iconSet>
          </x14:cfRule>
          <xm:sqref>C18</xm:sqref>
        </x14:conditionalFormatting>
        <x14:conditionalFormatting xmlns:xm="http://schemas.microsoft.com/office/excel/2006/main">
          <x14:cfRule type="iconSet" priority="1034" id="{C7C1C4C1-EE53-4FB6-93D1-7A10B3BAFE5C}">
            <x14:iconSet custom="1">
              <x14:cfvo type="percent">
                <xm:f>0</xm:f>
              </x14:cfvo>
              <x14:cfvo type="num">
                <xm:f>0</xm:f>
              </x14:cfvo>
              <x14:cfvo type="num">
                <xm:f>1</xm:f>
              </x14:cfvo>
              <x14:cfIcon iconSet="NoIcons" iconId="0"/>
              <x14:cfIcon iconSet="3TrafficLights1" iconId="2"/>
              <x14:cfIcon iconSet="3TrafficLights1" iconId="0"/>
            </x14:iconSet>
          </x14:cfRule>
          <xm:sqref>B18</xm:sqref>
        </x14:conditionalFormatting>
        <x14:conditionalFormatting xmlns:xm="http://schemas.microsoft.com/office/excel/2006/main">
          <x14:cfRule type="iconSet" priority="1031" id="{744CCDB7-24DB-49AD-9D08-3E67528CFE2B}">
            <x14:iconSet custom="1">
              <x14:cfvo type="percent">
                <xm:f>0</xm:f>
              </x14:cfvo>
              <x14:cfvo type="percent">
                <xm:f>0</xm:f>
              </x14:cfvo>
              <x14:cfvo type="percent" gte="0">
                <xm:f>5</xm:f>
              </x14:cfvo>
              <x14:cfIcon iconSet="NoIcons" iconId="0"/>
              <x14:cfIcon iconSet="3TrafficLights1" iconId="2"/>
              <x14:cfIcon iconSet="3TrafficLights1" iconId="0"/>
            </x14:iconSet>
          </x14:cfRule>
          <xm:sqref>C19</xm:sqref>
        </x14:conditionalFormatting>
        <x14:conditionalFormatting xmlns:xm="http://schemas.microsoft.com/office/excel/2006/main">
          <x14:cfRule type="iconSet" priority="1032" id="{16F945A7-8A19-4A4D-BABB-3B73EB6F8F53}">
            <x14:iconSet custom="1">
              <x14:cfvo type="percent">
                <xm:f>0</xm:f>
              </x14:cfvo>
              <x14:cfvo type="num">
                <xm:f>0</xm:f>
              </x14:cfvo>
              <x14:cfvo type="num">
                <xm:f>1</xm:f>
              </x14:cfvo>
              <x14:cfIcon iconSet="NoIcons" iconId="0"/>
              <x14:cfIcon iconSet="3TrafficLights1" iconId="2"/>
              <x14:cfIcon iconSet="3TrafficLights1" iconId="0"/>
            </x14:iconSet>
          </x14:cfRule>
          <xm:sqref>B19</xm:sqref>
        </x14:conditionalFormatting>
        <x14:conditionalFormatting xmlns:xm="http://schemas.microsoft.com/office/excel/2006/main">
          <x14:cfRule type="iconSet" priority="1029" id="{29B5C2DA-0527-4454-88B5-D551AD7FB45C}">
            <x14:iconSet custom="1">
              <x14:cfvo type="percent">
                <xm:f>0</xm:f>
              </x14:cfvo>
              <x14:cfvo type="percent">
                <xm:f>0</xm:f>
              </x14:cfvo>
              <x14:cfvo type="percent" gte="0">
                <xm:f>5</xm:f>
              </x14:cfvo>
              <x14:cfIcon iconSet="NoIcons" iconId="0"/>
              <x14:cfIcon iconSet="3TrafficLights1" iconId="2"/>
              <x14:cfIcon iconSet="3TrafficLights1" iconId="0"/>
            </x14:iconSet>
          </x14:cfRule>
          <xm:sqref>C20</xm:sqref>
        </x14:conditionalFormatting>
        <x14:conditionalFormatting xmlns:xm="http://schemas.microsoft.com/office/excel/2006/main">
          <x14:cfRule type="iconSet" priority="1030" id="{E7C5A43A-6E7A-42DF-AB47-1D297C6CBFB7}">
            <x14:iconSet custom="1">
              <x14:cfvo type="percent">
                <xm:f>0</xm:f>
              </x14:cfvo>
              <x14:cfvo type="num">
                <xm:f>0</xm:f>
              </x14:cfvo>
              <x14:cfvo type="num">
                <xm:f>1</xm:f>
              </x14:cfvo>
              <x14:cfIcon iconSet="NoIcons" iconId="0"/>
              <x14:cfIcon iconSet="3TrafficLights1" iconId="2"/>
              <x14:cfIcon iconSet="3TrafficLights1" iconId="0"/>
            </x14:iconSet>
          </x14:cfRule>
          <xm:sqref>B20</xm:sqref>
        </x14:conditionalFormatting>
        <x14:conditionalFormatting xmlns:xm="http://schemas.microsoft.com/office/excel/2006/main">
          <x14:cfRule type="iconSet" priority="1027" id="{E299A2F5-2F3E-4E9E-A614-0843F538B5DC}">
            <x14:iconSet custom="1">
              <x14:cfvo type="percent">
                <xm:f>0</xm:f>
              </x14:cfvo>
              <x14:cfvo type="percent">
                <xm:f>0</xm:f>
              </x14:cfvo>
              <x14:cfvo type="percent" gte="0">
                <xm:f>5</xm:f>
              </x14:cfvo>
              <x14:cfIcon iconSet="NoIcons" iconId="0"/>
              <x14:cfIcon iconSet="3TrafficLights1" iconId="2"/>
              <x14:cfIcon iconSet="3TrafficLights1" iconId="0"/>
            </x14:iconSet>
          </x14:cfRule>
          <xm:sqref>C21</xm:sqref>
        </x14:conditionalFormatting>
        <x14:conditionalFormatting xmlns:xm="http://schemas.microsoft.com/office/excel/2006/main">
          <x14:cfRule type="iconSet" priority="1028" id="{8EC1F1C3-F1F5-4F26-8277-C70DC7922597}">
            <x14:iconSet custom="1">
              <x14:cfvo type="percent">
                <xm:f>0</xm:f>
              </x14:cfvo>
              <x14:cfvo type="num">
                <xm:f>0</xm:f>
              </x14:cfvo>
              <x14:cfvo type="num">
                <xm:f>1</xm:f>
              </x14:cfvo>
              <x14:cfIcon iconSet="NoIcons" iconId="0"/>
              <x14:cfIcon iconSet="3TrafficLights1" iconId="2"/>
              <x14:cfIcon iconSet="3TrafficLights1" iconId="0"/>
            </x14:iconSet>
          </x14:cfRule>
          <xm:sqref>B21</xm:sqref>
        </x14:conditionalFormatting>
        <x14:conditionalFormatting xmlns:xm="http://schemas.microsoft.com/office/excel/2006/main">
          <x14:cfRule type="iconSet" priority="1025" id="{721FEF97-83FD-449D-8778-0E1C8957EB9F}">
            <x14:iconSet custom="1">
              <x14:cfvo type="percent">
                <xm:f>0</xm:f>
              </x14:cfvo>
              <x14:cfvo type="percent">
                <xm:f>0</xm:f>
              </x14:cfvo>
              <x14:cfvo type="percent" gte="0">
                <xm:f>5</xm:f>
              </x14:cfvo>
              <x14:cfIcon iconSet="NoIcons" iconId="0"/>
              <x14:cfIcon iconSet="3TrafficLights1" iconId="2"/>
              <x14:cfIcon iconSet="3TrafficLights1" iconId="0"/>
            </x14:iconSet>
          </x14:cfRule>
          <xm:sqref>C22</xm:sqref>
        </x14:conditionalFormatting>
        <x14:conditionalFormatting xmlns:xm="http://schemas.microsoft.com/office/excel/2006/main">
          <x14:cfRule type="iconSet" priority="1026" id="{1F0933FC-0441-4EF4-BE6C-55603F08F208}">
            <x14:iconSet custom="1">
              <x14:cfvo type="percent">
                <xm:f>0</xm:f>
              </x14:cfvo>
              <x14:cfvo type="num">
                <xm:f>0</xm:f>
              </x14:cfvo>
              <x14:cfvo type="num">
                <xm:f>1</xm:f>
              </x14:cfvo>
              <x14:cfIcon iconSet="NoIcons" iconId="0"/>
              <x14:cfIcon iconSet="3TrafficLights1" iconId="2"/>
              <x14:cfIcon iconSet="3TrafficLights1" iconId="0"/>
            </x14:iconSet>
          </x14:cfRule>
          <xm:sqref>B22</xm:sqref>
        </x14:conditionalFormatting>
        <x14:conditionalFormatting xmlns:xm="http://schemas.microsoft.com/office/excel/2006/main">
          <x14:cfRule type="iconSet" priority="1023" id="{99A5A28B-1CB6-4E23-9E6F-E97AC07C144A}">
            <x14:iconSet custom="1">
              <x14:cfvo type="percent">
                <xm:f>0</xm:f>
              </x14:cfvo>
              <x14:cfvo type="percent">
                <xm:f>0</xm:f>
              </x14:cfvo>
              <x14:cfvo type="percent" gte="0">
                <xm:f>5</xm:f>
              </x14:cfvo>
              <x14:cfIcon iconSet="NoIcons" iconId="0"/>
              <x14:cfIcon iconSet="3TrafficLights1" iconId="2"/>
              <x14:cfIcon iconSet="3TrafficLights1" iconId="0"/>
            </x14:iconSet>
          </x14:cfRule>
          <xm:sqref>C23</xm:sqref>
        </x14:conditionalFormatting>
        <x14:conditionalFormatting xmlns:xm="http://schemas.microsoft.com/office/excel/2006/main">
          <x14:cfRule type="iconSet" priority="1024" id="{CA8124A8-A7D0-4098-B87F-E13E853AAB41}">
            <x14:iconSet custom="1">
              <x14:cfvo type="percent">
                <xm:f>0</xm:f>
              </x14:cfvo>
              <x14:cfvo type="num">
                <xm:f>0</xm:f>
              </x14:cfvo>
              <x14:cfvo type="num">
                <xm:f>1</xm:f>
              </x14:cfvo>
              <x14:cfIcon iconSet="NoIcons" iconId="0"/>
              <x14:cfIcon iconSet="3TrafficLights1" iconId="2"/>
              <x14:cfIcon iconSet="3TrafficLights1" iconId="0"/>
            </x14:iconSet>
          </x14:cfRule>
          <xm:sqref>B23</xm:sqref>
        </x14:conditionalFormatting>
        <x14:conditionalFormatting xmlns:xm="http://schemas.microsoft.com/office/excel/2006/main">
          <x14:cfRule type="iconSet" priority="1021" id="{AB7B9409-EC22-48AB-A3F3-B5933A777DCD}">
            <x14:iconSet custom="1">
              <x14:cfvo type="percent">
                <xm:f>0</xm:f>
              </x14:cfvo>
              <x14:cfvo type="percent">
                <xm:f>0</xm:f>
              </x14:cfvo>
              <x14:cfvo type="percent" gte="0">
                <xm:f>5</xm:f>
              </x14:cfvo>
              <x14:cfIcon iconSet="NoIcons" iconId="0"/>
              <x14:cfIcon iconSet="3TrafficLights1" iconId="2"/>
              <x14:cfIcon iconSet="3TrafficLights1" iconId="0"/>
            </x14:iconSet>
          </x14:cfRule>
          <xm:sqref>C24</xm:sqref>
        </x14:conditionalFormatting>
        <x14:conditionalFormatting xmlns:xm="http://schemas.microsoft.com/office/excel/2006/main">
          <x14:cfRule type="iconSet" priority="1022" id="{DB3ED862-A0B5-4C8E-BDC5-F076161F29CF}">
            <x14:iconSet custom="1">
              <x14:cfvo type="percent">
                <xm:f>0</xm:f>
              </x14:cfvo>
              <x14:cfvo type="num">
                <xm:f>0</xm:f>
              </x14:cfvo>
              <x14:cfvo type="num">
                <xm:f>1</xm:f>
              </x14:cfvo>
              <x14:cfIcon iconSet="NoIcons" iconId="0"/>
              <x14:cfIcon iconSet="3TrafficLights1" iconId="2"/>
              <x14:cfIcon iconSet="3TrafficLights1" iconId="0"/>
            </x14:iconSet>
          </x14:cfRule>
          <xm:sqref>B24</xm:sqref>
        </x14:conditionalFormatting>
        <x14:conditionalFormatting xmlns:xm="http://schemas.microsoft.com/office/excel/2006/main">
          <x14:cfRule type="iconSet" priority="1019" id="{B1CF22D2-1540-4577-9E09-FCC7E7259925}">
            <x14:iconSet custom="1">
              <x14:cfvo type="percent">
                <xm:f>0</xm:f>
              </x14:cfvo>
              <x14:cfvo type="percent">
                <xm:f>0</xm:f>
              </x14:cfvo>
              <x14:cfvo type="percent" gte="0">
                <xm:f>5</xm:f>
              </x14:cfvo>
              <x14:cfIcon iconSet="NoIcons" iconId="0"/>
              <x14:cfIcon iconSet="3TrafficLights1" iconId="2"/>
              <x14:cfIcon iconSet="3TrafficLights1" iconId="0"/>
            </x14:iconSet>
          </x14:cfRule>
          <xm:sqref>C25</xm:sqref>
        </x14:conditionalFormatting>
        <x14:conditionalFormatting xmlns:xm="http://schemas.microsoft.com/office/excel/2006/main">
          <x14:cfRule type="iconSet" priority="1020" id="{23D8192A-BEC2-4E9D-9506-E77B6B0932C9}">
            <x14:iconSet custom="1">
              <x14:cfvo type="percent">
                <xm:f>0</xm:f>
              </x14:cfvo>
              <x14:cfvo type="num">
                <xm:f>0</xm:f>
              </x14:cfvo>
              <x14:cfvo type="num">
                <xm:f>1</xm:f>
              </x14:cfvo>
              <x14:cfIcon iconSet="NoIcons" iconId="0"/>
              <x14:cfIcon iconSet="3TrafficLights1" iconId="2"/>
              <x14:cfIcon iconSet="3TrafficLights1" iconId="0"/>
            </x14:iconSet>
          </x14:cfRule>
          <xm:sqref>B25</xm:sqref>
        </x14:conditionalFormatting>
        <x14:conditionalFormatting xmlns:xm="http://schemas.microsoft.com/office/excel/2006/main">
          <x14:cfRule type="iconSet" priority="1017" id="{BBF6D357-297E-4489-9A72-2AF608986DE2}">
            <x14:iconSet custom="1">
              <x14:cfvo type="percent">
                <xm:f>0</xm:f>
              </x14:cfvo>
              <x14:cfvo type="percent">
                <xm:f>0</xm:f>
              </x14:cfvo>
              <x14:cfvo type="percent" gte="0">
                <xm:f>5</xm:f>
              </x14:cfvo>
              <x14:cfIcon iconSet="NoIcons" iconId="0"/>
              <x14:cfIcon iconSet="3TrafficLights1" iconId="2"/>
              <x14:cfIcon iconSet="3TrafficLights1" iconId="0"/>
            </x14:iconSet>
          </x14:cfRule>
          <xm:sqref>C26</xm:sqref>
        </x14:conditionalFormatting>
        <x14:conditionalFormatting xmlns:xm="http://schemas.microsoft.com/office/excel/2006/main">
          <x14:cfRule type="iconSet" priority="1018" id="{2BAE95C7-12D0-42E5-8ECB-7788559D0574}">
            <x14:iconSet custom="1">
              <x14:cfvo type="percent">
                <xm:f>0</xm:f>
              </x14:cfvo>
              <x14:cfvo type="num">
                <xm:f>0</xm:f>
              </x14:cfvo>
              <x14:cfvo type="num">
                <xm:f>1</xm:f>
              </x14:cfvo>
              <x14:cfIcon iconSet="NoIcons" iconId="0"/>
              <x14:cfIcon iconSet="3TrafficLights1" iconId="2"/>
              <x14:cfIcon iconSet="3TrafficLights1" iconId="0"/>
            </x14:iconSet>
          </x14:cfRule>
          <xm:sqref>B26</xm:sqref>
        </x14:conditionalFormatting>
        <x14:conditionalFormatting xmlns:xm="http://schemas.microsoft.com/office/excel/2006/main">
          <x14:cfRule type="iconSet" priority="1015" id="{B91570D9-9DC9-4125-8AB3-C2C92F50A162}">
            <x14:iconSet custom="1">
              <x14:cfvo type="percent">
                <xm:f>0</xm:f>
              </x14:cfvo>
              <x14:cfvo type="percent">
                <xm:f>0</xm:f>
              </x14:cfvo>
              <x14:cfvo type="percent" gte="0">
                <xm:f>5</xm:f>
              </x14:cfvo>
              <x14:cfIcon iconSet="NoIcons" iconId="0"/>
              <x14:cfIcon iconSet="3TrafficLights1" iconId="2"/>
              <x14:cfIcon iconSet="3TrafficLights1" iconId="0"/>
            </x14:iconSet>
          </x14:cfRule>
          <xm:sqref>C27</xm:sqref>
        </x14:conditionalFormatting>
        <x14:conditionalFormatting xmlns:xm="http://schemas.microsoft.com/office/excel/2006/main">
          <x14:cfRule type="iconSet" priority="1016" id="{AE798AF1-3977-4809-8097-A54CF300FB81}">
            <x14:iconSet custom="1">
              <x14:cfvo type="percent">
                <xm:f>0</xm:f>
              </x14:cfvo>
              <x14:cfvo type="num">
                <xm:f>0</xm:f>
              </x14:cfvo>
              <x14:cfvo type="num">
                <xm:f>1</xm:f>
              </x14:cfvo>
              <x14:cfIcon iconSet="NoIcons" iconId="0"/>
              <x14:cfIcon iconSet="3TrafficLights1" iconId="2"/>
              <x14:cfIcon iconSet="3TrafficLights1" iconId="0"/>
            </x14:iconSet>
          </x14:cfRule>
          <xm:sqref>B27</xm:sqref>
        </x14:conditionalFormatting>
        <x14:conditionalFormatting xmlns:xm="http://schemas.microsoft.com/office/excel/2006/main">
          <x14:cfRule type="iconSet" priority="1011" id="{FB5B68E7-48EA-4445-81E8-5AD88FF52F0E}">
            <x14:iconSet custom="1">
              <x14:cfvo type="percent">
                <xm:f>0</xm:f>
              </x14:cfvo>
              <x14:cfvo type="percent">
                <xm:f>0</xm:f>
              </x14:cfvo>
              <x14:cfvo type="percent" gte="0">
                <xm:f>5</xm:f>
              </x14:cfvo>
              <x14:cfIcon iconSet="NoIcons" iconId="0"/>
              <x14:cfIcon iconSet="3TrafficLights1" iconId="2"/>
              <x14:cfIcon iconSet="3TrafficLights1" iconId="0"/>
            </x14:iconSet>
          </x14:cfRule>
          <xm:sqref>C28</xm:sqref>
        </x14:conditionalFormatting>
        <x14:conditionalFormatting xmlns:xm="http://schemas.microsoft.com/office/excel/2006/main">
          <x14:cfRule type="iconSet" priority="1012" id="{61CB344A-45BF-4576-B10C-0D9B5252B464}">
            <x14:iconSet custom="1">
              <x14:cfvo type="percent">
                <xm:f>0</xm:f>
              </x14:cfvo>
              <x14:cfvo type="num">
                <xm:f>0</xm:f>
              </x14:cfvo>
              <x14:cfvo type="num">
                <xm:f>1</xm:f>
              </x14:cfvo>
              <x14:cfIcon iconSet="NoIcons" iconId="0"/>
              <x14:cfIcon iconSet="3TrafficLights1" iconId="2"/>
              <x14:cfIcon iconSet="3TrafficLights1" iconId="0"/>
            </x14:iconSet>
          </x14:cfRule>
          <xm:sqref>B28</xm:sqref>
        </x14:conditionalFormatting>
        <x14:conditionalFormatting xmlns:xm="http://schemas.microsoft.com/office/excel/2006/main">
          <x14:cfRule type="iconSet" priority="1009" id="{F70338F9-8361-4268-BD6E-33A0C718FD7A}">
            <x14:iconSet custom="1">
              <x14:cfvo type="percent">
                <xm:f>0</xm:f>
              </x14:cfvo>
              <x14:cfvo type="percent">
                <xm:f>0</xm:f>
              </x14:cfvo>
              <x14:cfvo type="percent" gte="0">
                <xm:f>5</xm:f>
              </x14:cfvo>
              <x14:cfIcon iconSet="NoIcons" iconId="0"/>
              <x14:cfIcon iconSet="3TrafficLights1" iconId="2"/>
              <x14:cfIcon iconSet="3TrafficLights1" iconId="0"/>
            </x14:iconSet>
          </x14:cfRule>
          <xm:sqref>C29</xm:sqref>
        </x14:conditionalFormatting>
        <x14:conditionalFormatting xmlns:xm="http://schemas.microsoft.com/office/excel/2006/main">
          <x14:cfRule type="iconSet" priority="1010" id="{2DC7EB5E-6CC2-4F81-8905-98B215288D8D}">
            <x14:iconSet custom="1">
              <x14:cfvo type="percent">
                <xm:f>0</xm:f>
              </x14:cfvo>
              <x14:cfvo type="num">
                <xm:f>0</xm:f>
              </x14:cfvo>
              <x14:cfvo type="num">
                <xm:f>1</xm:f>
              </x14:cfvo>
              <x14:cfIcon iconSet="NoIcons" iconId="0"/>
              <x14:cfIcon iconSet="3TrafficLights1" iconId="2"/>
              <x14:cfIcon iconSet="3TrafficLights1" iconId="0"/>
            </x14:iconSet>
          </x14:cfRule>
          <xm:sqref>B29</xm:sqref>
        </x14:conditionalFormatting>
        <x14:conditionalFormatting xmlns:xm="http://schemas.microsoft.com/office/excel/2006/main">
          <x14:cfRule type="iconSet" priority="1007" id="{81C89503-86ED-4198-9805-3C0F7BE2C212}">
            <x14:iconSet custom="1">
              <x14:cfvo type="percent">
                <xm:f>0</xm:f>
              </x14:cfvo>
              <x14:cfvo type="percent">
                <xm:f>0</xm:f>
              </x14:cfvo>
              <x14:cfvo type="percent" gte="0">
                <xm:f>5</xm:f>
              </x14:cfvo>
              <x14:cfIcon iconSet="NoIcons" iconId="0"/>
              <x14:cfIcon iconSet="3TrafficLights1" iconId="2"/>
              <x14:cfIcon iconSet="3TrafficLights1" iconId="0"/>
            </x14:iconSet>
          </x14:cfRule>
          <xm:sqref>C30</xm:sqref>
        </x14:conditionalFormatting>
        <x14:conditionalFormatting xmlns:xm="http://schemas.microsoft.com/office/excel/2006/main">
          <x14:cfRule type="iconSet" priority="1008" id="{3CCDE6CF-185F-4620-8F1F-0A38501D5614}">
            <x14:iconSet custom="1">
              <x14:cfvo type="percent">
                <xm:f>0</xm:f>
              </x14:cfvo>
              <x14:cfvo type="num">
                <xm:f>0</xm:f>
              </x14:cfvo>
              <x14:cfvo type="num">
                <xm:f>1</xm:f>
              </x14:cfvo>
              <x14:cfIcon iconSet="NoIcons" iconId="0"/>
              <x14:cfIcon iconSet="3TrafficLights1" iconId="2"/>
              <x14:cfIcon iconSet="3TrafficLights1" iconId="0"/>
            </x14:iconSet>
          </x14:cfRule>
          <xm:sqref>B30</xm:sqref>
        </x14:conditionalFormatting>
        <x14:conditionalFormatting xmlns:xm="http://schemas.microsoft.com/office/excel/2006/main">
          <x14:cfRule type="iconSet" priority="1005" id="{53B9BE3B-CE1E-4A32-ABA0-24BA2AE717CD}">
            <x14:iconSet custom="1">
              <x14:cfvo type="percent">
                <xm:f>0</xm:f>
              </x14:cfvo>
              <x14:cfvo type="percent">
                <xm:f>0</xm:f>
              </x14:cfvo>
              <x14:cfvo type="percent" gte="0">
                <xm:f>5</xm:f>
              </x14:cfvo>
              <x14:cfIcon iconSet="NoIcons" iconId="0"/>
              <x14:cfIcon iconSet="3TrafficLights1" iconId="2"/>
              <x14:cfIcon iconSet="3TrafficLights1" iconId="0"/>
            </x14:iconSet>
          </x14:cfRule>
          <xm:sqref>C31</xm:sqref>
        </x14:conditionalFormatting>
        <x14:conditionalFormatting xmlns:xm="http://schemas.microsoft.com/office/excel/2006/main">
          <x14:cfRule type="iconSet" priority="1006" id="{EF8BBD33-67CC-42C1-92DF-F9E4BD1E35AC}">
            <x14:iconSet custom="1">
              <x14:cfvo type="percent">
                <xm:f>0</xm:f>
              </x14:cfvo>
              <x14:cfvo type="num">
                <xm:f>0</xm:f>
              </x14:cfvo>
              <x14:cfvo type="num">
                <xm:f>1</xm:f>
              </x14:cfvo>
              <x14:cfIcon iconSet="NoIcons" iconId="0"/>
              <x14:cfIcon iconSet="3TrafficLights1" iconId="2"/>
              <x14:cfIcon iconSet="3TrafficLights1" iconId="0"/>
            </x14:iconSet>
          </x14:cfRule>
          <xm:sqref>B31</xm:sqref>
        </x14:conditionalFormatting>
        <x14:conditionalFormatting xmlns:xm="http://schemas.microsoft.com/office/excel/2006/main">
          <x14:cfRule type="iconSet" priority="1003" id="{6401100E-D8A2-4744-9D01-077B03BFA287}">
            <x14:iconSet custom="1">
              <x14:cfvo type="percent">
                <xm:f>0</xm:f>
              </x14:cfvo>
              <x14:cfvo type="percent">
                <xm:f>0</xm:f>
              </x14:cfvo>
              <x14:cfvo type="percent" gte="0">
                <xm:f>5</xm:f>
              </x14:cfvo>
              <x14:cfIcon iconSet="NoIcons" iconId="0"/>
              <x14:cfIcon iconSet="3TrafficLights1" iconId="2"/>
              <x14:cfIcon iconSet="3TrafficLights1" iconId="0"/>
            </x14:iconSet>
          </x14:cfRule>
          <xm:sqref>C32</xm:sqref>
        </x14:conditionalFormatting>
        <x14:conditionalFormatting xmlns:xm="http://schemas.microsoft.com/office/excel/2006/main">
          <x14:cfRule type="iconSet" priority="1004" id="{35D419C5-F47E-4B0B-AA4D-6AFB20DE40C7}">
            <x14:iconSet custom="1">
              <x14:cfvo type="percent">
                <xm:f>0</xm:f>
              </x14:cfvo>
              <x14:cfvo type="num">
                <xm:f>0</xm:f>
              </x14:cfvo>
              <x14:cfvo type="num">
                <xm:f>1</xm:f>
              </x14:cfvo>
              <x14:cfIcon iconSet="NoIcons" iconId="0"/>
              <x14:cfIcon iconSet="3TrafficLights1" iconId="2"/>
              <x14:cfIcon iconSet="3TrafficLights1" iconId="0"/>
            </x14:iconSet>
          </x14:cfRule>
          <xm:sqref>B32</xm:sqref>
        </x14:conditionalFormatting>
        <x14:conditionalFormatting xmlns:xm="http://schemas.microsoft.com/office/excel/2006/main">
          <x14:cfRule type="iconSet" priority="1001" id="{E295A825-6661-414E-B718-6BA8301A3504}">
            <x14:iconSet custom="1">
              <x14:cfvo type="percent">
                <xm:f>0</xm:f>
              </x14:cfvo>
              <x14:cfvo type="percent">
                <xm:f>0</xm:f>
              </x14:cfvo>
              <x14:cfvo type="percent" gte="0">
                <xm:f>5</xm:f>
              </x14:cfvo>
              <x14:cfIcon iconSet="NoIcons" iconId="0"/>
              <x14:cfIcon iconSet="3TrafficLights1" iconId="2"/>
              <x14:cfIcon iconSet="3TrafficLights1" iconId="0"/>
            </x14:iconSet>
          </x14:cfRule>
          <xm:sqref>C33</xm:sqref>
        </x14:conditionalFormatting>
        <x14:conditionalFormatting xmlns:xm="http://schemas.microsoft.com/office/excel/2006/main">
          <x14:cfRule type="iconSet" priority="1002" id="{F8C7EC4C-C1D1-4D64-B70E-6929C75B830D}">
            <x14:iconSet custom="1">
              <x14:cfvo type="percent">
                <xm:f>0</xm:f>
              </x14:cfvo>
              <x14:cfvo type="num">
                <xm:f>0</xm:f>
              </x14:cfvo>
              <x14:cfvo type="num">
                <xm:f>1</xm:f>
              </x14:cfvo>
              <x14:cfIcon iconSet="NoIcons" iconId="0"/>
              <x14:cfIcon iconSet="3TrafficLights1" iconId="2"/>
              <x14:cfIcon iconSet="3TrafficLights1" iconId="0"/>
            </x14:iconSet>
          </x14:cfRule>
          <xm:sqref>B33</xm:sqref>
        </x14:conditionalFormatting>
        <x14:conditionalFormatting xmlns:xm="http://schemas.microsoft.com/office/excel/2006/main">
          <x14:cfRule type="iconSet" priority="999" id="{48555579-193E-43FC-AE7C-76253C6E9A74}">
            <x14:iconSet custom="1">
              <x14:cfvo type="percent">
                <xm:f>0</xm:f>
              </x14:cfvo>
              <x14:cfvo type="percent">
                <xm:f>0</xm:f>
              </x14:cfvo>
              <x14:cfvo type="percent" gte="0">
                <xm:f>5</xm:f>
              </x14:cfvo>
              <x14:cfIcon iconSet="NoIcons" iconId="0"/>
              <x14:cfIcon iconSet="3TrafficLights1" iconId="2"/>
              <x14:cfIcon iconSet="3TrafficLights1" iconId="0"/>
            </x14:iconSet>
          </x14:cfRule>
          <xm:sqref>C34</xm:sqref>
        </x14:conditionalFormatting>
        <x14:conditionalFormatting xmlns:xm="http://schemas.microsoft.com/office/excel/2006/main">
          <x14:cfRule type="iconSet" priority="1000" id="{F8C7E969-ACDF-4586-ACDF-0F67E8B81825}">
            <x14:iconSet custom="1">
              <x14:cfvo type="percent">
                <xm:f>0</xm:f>
              </x14:cfvo>
              <x14:cfvo type="num">
                <xm:f>0</xm:f>
              </x14:cfvo>
              <x14:cfvo type="num">
                <xm:f>1</xm:f>
              </x14:cfvo>
              <x14:cfIcon iconSet="NoIcons" iconId="0"/>
              <x14:cfIcon iconSet="3TrafficLights1" iconId="2"/>
              <x14:cfIcon iconSet="3TrafficLights1" iconId="0"/>
            </x14:iconSet>
          </x14:cfRule>
          <xm:sqref>B34</xm:sqref>
        </x14:conditionalFormatting>
        <x14:conditionalFormatting xmlns:xm="http://schemas.microsoft.com/office/excel/2006/main">
          <x14:cfRule type="iconSet" priority="997" id="{3FFF01EC-9924-49BA-A291-1B6282028F5F}">
            <x14:iconSet custom="1">
              <x14:cfvo type="percent">
                <xm:f>0</xm:f>
              </x14:cfvo>
              <x14:cfvo type="percent">
                <xm:f>0</xm:f>
              </x14:cfvo>
              <x14:cfvo type="percent" gte="0">
                <xm:f>5</xm:f>
              </x14:cfvo>
              <x14:cfIcon iconSet="NoIcons" iconId="0"/>
              <x14:cfIcon iconSet="3TrafficLights1" iconId="2"/>
              <x14:cfIcon iconSet="3TrafficLights1" iconId="0"/>
            </x14:iconSet>
          </x14:cfRule>
          <xm:sqref>C35</xm:sqref>
        </x14:conditionalFormatting>
        <x14:conditionalFormatting xmlns:xm="http://schemas.microsoft.com/office/excel/2006/main">
          <x14:cfRule type="iconSet" priority="998" id="{FAE548FD-2695-4A6A-8D9F-1E9A7927B43E}">
            <x14:iconSet custom="1">
              <x14:cfvo type="percent">
                <xm:f>0</xm:f>
              </x14:cfvo>
              <x14:cfvo type="num">
                <xm:f>0</xm:f>
              </x14:cfvo>
              <x14:cfvo type="num">
                <xm:f>1</xm:f>
              </x14:cfvo>
              <x14:cfIcon iconSet="NoIcons" iconId="0"/>
              <x14:cfIcon iconSet="3TrafficLights1" iconId="2"/>
              <x14:cfIcon iconSet="3TrafficLights1" iconId="0"/>
            </x14:iconSet>
          </x14:cfRule>
          <xm:sqref>B35</xm:sqref>
        </x14:conditionalFormatting>
        <x14:conditionalFormatting xmlns:xm="http://schemas.microsoft.com/office/excel/2006/main">
          <x14:cfRule type="iconSet" priority="995" id="{6515094B-A882-4FA4-B855-CDC08A2A2904}">
            <x14:iconSet custom="1">
              <x14:cfvo type="percent">
                <xm:f>0</xm:f>
              </x14:cfvo>
              <x14:cfvo type="percent">
                <xm:f>0</xm:f>
              </x14:cfvo>
              <x14:cfvo type="percent" gte="0">
                <xm:f>5</xm:f>
              </x14:cfvo>
              <x14:cfIcon iconSet="NoIcons" iconId="0"/>
              <x14:cfIcon iconSet="3TrafficLights1" iconId="2"/>
              <x14:cfIcon iconSet="3TrafficLights1" iconId="0"/>
            </x14:iconSet>
          </x14:cfRule>
          <xm:sqref>C36</xm:sqref>
        </x14:conditionalFormatting>
        <x14:conditionalFormatting xmlns:xm="http://schemas.microsoft.com/office/excel/2006/main">
          <x14:cfRule type="iconSet" priority="996" id="{25EED605-7BF2-4B6E-B3B8-E4E61FF1ED3F}">
            <x14:iconSet custom="1">
              <x14:cfvo type="percent">
                <xm:f>0</xm:f>
              </x14:cfvo>
              <x14:cfvo type="num">
                <xm:f>0</xm:f>
              </x14:cfvo>
              <x14:cfvo type="num">
                <xm:f>1</xm:f>
              </x14:cfvo>
              <x14:cfIcon iconSet="NoIcons" iconId="0"/>
              <x14:cfIcon iconSet="3TrafficLights1" iconId="2"/>
              <x14:cfIcon iconSet="3TrafficLights1" iconId="0"/>
            </x14:iconSet>
          </x14:cfRule>
          <xm:sqref>B36</xm:sqref>
        </x14:conditionalFormatting>
        <x14:conditionalFormatting xmlns:xm="http://schemas.microsoft.com/office/excel/2006/main">
          <x14:cfRule type="iconSet" priority="993" id="{6A5CD8EF-DC5E-4886-AA14-8981E77D15CE}">
            <x14:iconSet custom="1">
              <x14:cfvo type="percent">
                <xm:f>0</xm:f>
              </x14:cfvo>
              <x14:cfvo type="percent">
                <xm:f>0</xm:f>
              </x14:cfvo>
              <x14:cfvo type="percent" gte="0">
                <xm:f>5</xm:f>
              </x14:cfvo>
              <x14:cfIcon iconSet="NoIcons" iconId="0"/>
              <x14:cfIcon iconSet="3TrafficLights1" iconId="2"/>
              <x14:cfIcon iconSet="3TrafficLights1" iconId="0"/>
            </x14:iconSet>
          </x14:cfRule>
          <xm:sqref>C37</xm:sqref>
        </x14:conditionalFormatting>
        <x14:conditionalFormatting xmlns:xm="http://schemas.microsoft.com/office/excel/2006/main">
          <x14:cfRule type="iconSet" priority="994" id="{E3A59585-648C-4F40-86EC-7F907CB78E3A}">
            <x14:iconSet custom="1">
              <x14:cfvo type="percent">
                <xm:f>0</xm:f>
              </x14:cfvo>
              <x14:cfvo type="num">
                <xm:f>0</xm:f>
              </x14:cfvo>
              <x14:cfvo type="num">
                <xm:f>1</xm:f>
              </x14:cfvo>
              <x14:cfIcon iconSet="NoIcons" iconId="0"/>
              <x14:cfIcon iconSet="3TrafficLights1" iconId="2"/>
              <x14:cfIcon iconSet="3TrafficLights1" iconId="0"/>
            </x14:iconSet>
          </x14:cfRule>
          <xm:sqref>B37</xm:sqref>
        </x14:conditionalFormatting>
        <x14:conditionalFormatting xmlns:xm="http://schemas.microsoft.com/office/excel/2006/main">
          <x14:cfRule type="iconSet" priority="991" id="{EDF30BC2-77EA-4C86-89D9-E15B51616312}">
            <x14:iconSet custom="1">
              <x14:cfvo type="percent">
                <xm:f>0</xm:f>
              </x14:cfvo>
              <x14:cfvo type="percent">
                <xm:f>0</xm:f>
              </x14:cfvo>
              <x14:cfvo type="percent" gte="0">
                <xm:f>5</xm:f>
              </x14:cfvo>
              <x14:cfIcon iconSet="NoIcons" iconId="0"/>
              <x14:cfIcon iconSet="3TrafficLights1" iconId="2"/>
              <x14:cfIcon iconSet="3TrafficLights1" iconId="0"/>
            </x14:iconSet>
          </x14:cfRule>
          <xm:sqref>C38</xm:sqref>
        </x14:conditionalFormatting>
        <x14:conditionalFormatting xmlns:xm="http://schemas.microsoft.com/office/excel/2006/main">
          <x14:cfRule type="iconSet" priority="992" id="{2F2D8F92-F489-46B4-ABCE-2C5BA587F315}">
            <x14:iconSet custom="1">
              <x14:cfvo type="percent">
                <xm:f>0</xm:f>
              </x14:cfvo>
              <x14:cfvo type="num">
                <xm:f>0</xm:f>
              </x14:cfvo>
              <x14:cfvo type="num">
                <xm:f>1</xm:f>
              </x14:cfvo>
              <x14:cfIcon iconSet="NoIcons" iconId="0"/>
              <x14:cfIcon iconSet="3TrafficLights1" iconId="2"/>
              <x14:cfIcon iconSet="3TrafficLights1" iconId="0"/>
            </x14:iconSet>
          </x14:cfRule>
          <xm:sqref>B38</xm:sqref>
        </x14:conditionalFormatting>
        <x14:conditionalFormatting xmlns:xm="http://schemas.microsoft.com/office/excel/2006/main">
          <x14:cfRule type="iconSet" priority="989" id="{21958525-51A7-44DE-8B72-F05902C5A417}">
            <x14:iconSet custom="1">
              <x14:cfvo type="percent">
                <xm:f>0</xm:f>
              </x14:cfvo>
              <x14:cfvo type="percent">
                <xm:f>0</xm:f>
              </x14:cfvo>
              <x14:cfvo type="percent" gte="0">
                <xm:f>5</xm:f>
              </x14:cfvo>
              <x14:cfIcon iconSet="NoIcons" iconId="0"/>
              <x14:cfIcon iconSet="3TrafficLights1" iconId="2"/>
              <x14:cfIcon iconSet="3TrafficLights1" iconId="0"/>
            </x14:iconSet>
          </x14:cfRule>
          <xm:sqref>C39</xm:sqref>
        </x14:conditionalFormatting>
        <x14:conditionalFormatting xmlns:xm="http://schemas.microsoft.com/office/excel/2006/main">
          <x14:cfRule type="iconSet" priority="990" id="{41BD489D-41E8-4750-BC62-BC1F55792F3F}">
            <x14:iconSet custom="1">
              <x14:cfvo type="percent">
                <xm:f>0</xm:f>
              </x14:cfvo>
              <x14:cfvo type="num">
                <xm:f>0</xm:f>
              </x14:cfvo>
              <x14:cfvo type="num">
                <xm:f>1</xm:f>
              </x14:cfvo>
              <x14:cfIcon iconSet="NoIcons" iconId="0"/>
              <x14:cfIcon iconSet="3TrafficLights1" iconId="2"/>
              <x14:cfIcon iconSet="3TrafficLights1" iconId="0"/>
            </x14:iconSet>
          </x14:cfRule>
          <xm:sqref>B39</xm:sqref>
        </x14:conditionalFormatting>
        <x14:conditionalFormatting xmlns:xm="http://schemas.microsoft.com/office/excel/2006/main">
          <x14:cfRule type="iconSet" priority="987" id="{3118EAD0-A143-4FDD-A1C0-4CF850CC9A88}">
            <x14:iconSet custom="1">
              <x14:cfvo type="percent">
                <xm:f>0</xm:f>
              </x14:cfvo>
              <x14:cfvo type="percent">
                <xm:f>0</xm:f>
              </x14:cfvo>
              <x14:cfvo type="percent" gte="0">
                <xm:f>5</xm:f>
              </x14:cfvo>
              <x14:cfIcon iconSet="NoIcons" iconId="0"/>
              <x14:cfIcon iconSet="3TrafficLights1" iconId="2"/>
              <x14:cfIcon iconSet="3TrafficLights1" iconId="0"/>
            </x14:iconSet>
          </x14:cfRule>
          <xm:sqref>C40</xm:sqref>
        </x14:conditionalFormatting>
        <x14:conditionalFormatting xmlns:xm="http://schemas.microsoft.com/office/excel/2006/main">
          <x14:cfRule type="iconSet" priority="988" id="{53FFC10B-D255-48B6-9028-FE37389702FA}">
            <x14:iconSet custom="1">
              <x14:cfvo type="percent">
                <xm:f>0</xm:f>
              </x14:cfvo>
              <x14:cfvo type="num">
                <xm:f>0</xm:f>
              </x14:cfvo>
              <x14:cfvo type="num">
                <xm:f>1</xm:f>
              </x14:cfvo>
              <x14:cfIcon iconSet="NoIcons" iconId="0"/>
              <x14:cfIcon iconSet="3TrafficLights1" iconId="2"/>
              <x14:cfIcon iconSet="3TrafficLights1" iconId="0"/>
            </x14:iconSet>
          </x14:cfRule>
          <xm:sqref>B40</xm:sqref>
        </x14:conditionalFormatting>
        <x14:conditionalFormatting xmlns:xm="http://schemas.microsoft.com/office/excel/2006/main">
          <x14:cfRule type="iconSet" priority="985" id="{D1B0A989-0EFD-4B49-9699-89C0668CFDFE}">
            <x14:iconSet custom="1">
              <x14:cfvo type="percent">
                <xm:f>0</xm:f>
              </x14:cfvo>
              <x14:cfvo type="percent">
                <xm:f>0</xm:f>
              </x14:cfvo>
              <x14:cfvo type="percent" gte="0">
                <xm:f>5</xm:f>
              </x14:cfvo>
              <x14:cfIcon iconSet="NoIcons" iconId="0"/>
              <x14:cfIcon iconSet="3TrafficLights1" iconId="2"/>
              <x14:cfIcon iconSet="3TrafficLights1" iconId="0"/>
            </x14:iconSet>
          </x14:cfRule>
          <xm:sqref>C41</xm:sqref>
        </x14:conditionalFormatting>
        <x14:conditionalFormatting xmlns:xm="http://schemas.microsoft.com/office/excel/2006/main">
          <x14:cfRule type="iconSet" priority="986" id="{5F7B3AE7-E32E-4EA1-92E8-1DEE321DDFDF}">
            <x14:iconSet custom="1">
              <x14:cfvo type="percent">
                <xm:f>0</xm:f>
              </x14:cfvo>
              <x14:cfvo type="num">
                <xm:f>0</xm:f>
              </x14:cfvo>
              <x14:cfvo type="num">
                <xm:f>1</xm:f>
              </x14:cfvo>
              <x14:cfIcon iconSet="NoIcons" iconId="0"/>
              <x14:cfIcon iconSet="3TrafficLights1" iconId="2"/>
              <x14:cfIcon iconSet="3TrafficLights1" iconId="0"/>
            </x14:iconSet>
          </x14:cfRule>
          <xm:sqref>B41</xm:sqref>
        </x14:conditionalFormatting>
        <x14:conditionalFormatting xmlns:xm="http://schemas.microsoft.com/office/excel/2006/main">
          <x14:cfRule type="iconSet" priority="983" id="{001AD3FF-25C5-4055-96A8-4AD52307BFBB}">
            <x14:iconSet custom="1">
              <x14:cfvo type="percent">
                <xm:f>0</xm:f>
              </x14:cfvo>
              <x14:cfvo type="percent">
                <xm:f>0</xm:f>
              </x14:cfvo>
              <x14:cfvo type="percent" gte="0">
                <xm:f>5</xm:f>
              </x14:cfvo>
              <x14:cfIcon iconSet="NoIcons" iconId="0"/>
              <x14:cfIcon iconSet="3TrafficLights1" iconId="2"/>
              <x14:cfIcon iconSet="3TrafficLights1" iconId="0"/>
            </x14:iconSet>
          </x14:cfRule>
          <xm:sqref>C42</xm:sqref>
        </x14:conditionalFormatting>
        <x14:conditionalFormatting xmlns:xm="http://schemas.microsoft.com/office/excel/2006/main">
          <x14:cfRule type="iconSet" priority="984" id="{C7FB7C42-D9AF-45E2-A18B-808F86940D7D}">
            <x14:iconSet custom="1">
              <x14:cfvo type="percent">
                <xm:f>0</xm:f>
              </x14:cfvo>
              <x14:cfvo type="num">
                <xm:f>0</xm:f>
              </x14:cfvo>
              <x14:cfvo type="num">
                <xm:f>1</xm:f>
              </x14:cfvo>
              <x14:cfIcon iconSet="NoIcons" iconId="0"/>
              <x14:cfIcon iconSet="3TrafficLights1" iconId="2"/>
              <x14:cfIcon iconSet="3TrafficLights1" iconId="0"/>
            </x14:iconSet>
          </x14:cfRule>
          <xm:sqref>B42</xm:sqref>
        </x14:conditionalFormatting>
        <x14:conditionalFormatting xmlns:xm="http://schemas.microsoft.com/office/excel/2006/main">
          <x14:cfRule type="iconSet" priority="981" id="{AD02BEAF-3D51-4BC3-BD2B-685104538DD5}">
            <x14:iconSet custom="1">
              <x14:cfvo type="percent">
                <xm:f>0</xm:f>
              </x14:cfvo>
              <x14:cfvo type="percent">
                <xm:f>0</xm:f>
              </x14:cfvo>
              <x14:cfvo type="percent" gte="0">
                <xm:f>5</xm:f>
              </x14:cfvo>
              <x14:cfIcon iconSet="NoIcons" iconId="0"/>
              <x14:cfIcon iconSet="3TrafficLights1" iconId="2"/>
              <x14:cfIcon iconSet="3TrafficLights1" iconId="0"/>
            </x14:iconSet>
          </x14:cfRule>
          <xm:sqref>C43</xm:sqref>
        </x14:conditionalFormatting>
        <x14:conditionalFormatting xmlns:xm="http://schemas.microsoft.com/office/excel/2006/main">
          <x14:cfRule type="iconSet" priority="982" id="{A05E7E68-5E8B-44C7-8CBC-B182741B6204}">
            <x14:iconSet custom="1">
              <x14:cfvo type="percent">
                <xm:f>0</xm:f>
              </x14:cfvo>
              <x14:cfvo type="num">
                <xm:f>0</xm:f>
              </x14:cfvo>
              <x14:cfvo type="num">
                <xm:f>1</xm:f>
              </x14:cfvo>
              <x14:cfIcon iconSet="NoIcons" iconId="0"/>
              <x14:cfIcon iconSet="3TrafficLights1" iconId="2"/>
              <x14:cfIcon iconSet="3TrafficLights1" iconId="0"/>
            </x14:iconSet>
          </x14:cfRule>
          <xm:sqref>B43</xm:sqref>
        </x14:conditionalFormatting>
        <x14:conditionalFormatting xmlns:xm="http://schemas.microsoft.com/office/excel/2006/main">
          <x14:cfRule type="iconSet" priority="979" id="{192B0810-52C1-4EB6-B3CD-BECFD0C293BE}">
            <x14:iconSet custom="1">
              <x14:cfvo type="percent">
                <xm:f>0</xm:f>
              </x14:cfvo>
              <x14:cfvo type="percent">
                <xm:f>0</xm:f>
              </x14:cfvo>
              <x14:cfvo type="percent" gte="0">
                <xm:f>5</xm:f>
              </x14:cfvo>
              <x14:cfIcon iconSet="NoIcons" iconId="0"/>
              <x14:cfIcon iconSet="3TrafficLights1" iconId="2"/>
              <x14:cfIcon iconSet="3TrafficLights1" iconId="0"/>
            </x14:iconSet>
          </x14:cfRule>
          <xm:sqref>C44</xm:sqref>
        </x14:conditionalFormatting>
        <x14:conditionalFormatting xmlns:xm="http://schemas.microsoft.com/office/excel/2006/main">
          <x14:cfRule type="iconSet" priority="980" id="{840BB81E-B86A-4A14-A6C1-FA9395738444}">
            <x14:iconSet custom="1">
              <x14:cfvo type="percent">
                <xm:f>0</xm:f>
              </x14:cfvo>
              <x14:cfvo type="num">
                <xm:f>0</xm:f>
              </x14:cfvo>
              <x14:cfvo type="num">
                <xm:f>1</xm:f>
              </x14:cfvo>
              <x14:cfIcon iconSet="NoIcons" iconId="0"/>
              <x14:cfIcon iconSet="3TrafficLights1" iconId="2"/>
              <x14:cfIcon iconSet="3TrafficLights1" iconId="0"/>
            </x14:iconSet>
          </x14:cfRule>
          <xm:sqref>B44</xm:sqref>
        </x14:conditionalFormatting>
        <x14:conditionalFormatting xmlns:xm="http://schemas.microsoft.com/office/excel/2006/main">
          <x14:cfRule type="iconSet" priority="977" id="{E2A94EA4-C0C1-4538-A84A-CDADA39088E5}">
            <x14:iconSet custom="1">
              <x14:cfvo type="percent">
                <xm:f>0</xm:f>
              </x14:cfvo>
              <x14:cfvo type="percent">
                <xm:f>0</xm:f>
              </x14:cfvo>
              <x14:cfvo type="percent" gte="0">
                <xm:f>5</xm:f>
              </x14:cfvo>
              <x14:cfIcon iconSet="NoIcons" iconId="0"/>
              <x14:cfIcon iconSet="3TrafficLights1" iconId="2"/>
              <x14:cfIcon iconSet="3TrafficLights1" iconId="0"/>
            </x14:iconSet>
          </x14:cfRule>
          <xm:sqref>C45</xm:sqref>
        </x14:conditionalFormatting>
        <x14:conditionalFormatting xmlns:xm="http://schemas.microsoft.com/office/excel/2006/main">
          <x14:cfRule type="iconSet" priority="978" id="{591CB47D-231F-4D78-99D1-84BC8A86413D}">
            <x14:iconSet custom="1">
              <x14:cfvo type="percent">
                <xm:f>0</xm:f>
              </x14:cfvo>
              <x14:cfvo type="num">
                <xm:f>0</xm:f>
              </x14:cfvo>
              <x14:cfvo type="num">
                <xm:f>1</xm:f>
              </x14:cfvo>
              <x14:cfIcon iconSet="NoIcons" iconId="0"/>
              <x14:cfIcon iconSet="3TrafficLights1" iconId="2"/>
              <x14:cfIcon iconSet="3TrafficLights1" iconId="0"/>
            </x14:iconSet>
          </x14:cfRule>
          <xm:sqref>B45</xm:sqref>
        </x14:conditionalFormatting>
        <x14:conditionalFormatting xmlns:xm="http://schemas.microsoft.com/office/excel/2006/main">
          <x14:cfRule type="iconSet" priority="975" id="{371A20BB-1D50-4B13-B301-E4579BC6DFFA}">
            <x14:iconSet custom="1">
              <x14:cfvo type="percent">
                <xm:f>0</xm:f>
              </x14:cfvo>
              <x14:cfvo type="percent">
                <xm:f>0</xm:f>
              </x14:cfvo>
              <x14:cfvo type="percent" gte="0">
                <xm:f>5</xm:f>
              </x14:cfvo>
              <x14:cfIcon iconSet="NoIcons" iconId="0"/>
              <x14:cfIcon iconSet="3TrafficLights1" iconId="2"/>
              <x14:cfIcon iconSet="3TrafficLights1" iconId="0"/>
            </x14:iconSet>
          </x14:cfRule>
          <xm:sqref>C46</xm:sqref>
        </x14:conditionalFormatting>
        <x14:conditionalFormatting xmlns:xm="http://schemas.microsoft.com/office/excel/2006/main">
          <x14:cfRule type="iconSet" priority="976" id="{4545EE04-FAB7-408F-B581-162430FE07B9}">
            <x14:iconSet custom="1">
              <x14:cfvo type="percent">
                <xm:f>0</xm:f>
              </x14:cfvo>
              <x14:cfvo type="num">
                <xm:f>0</xm:f>
              </x14:cfvo>
              <x14:cfvo type="num">
                <xm:f>1</xm:f>
              </x14:cfvo>
              <x14:cfIcon iconSet="NoIcons" iconId="0"/>
              <x14:cfIcon iconSet="3TrafficLights1" iconId="2"/>
              <x14:cfIcon iconSet="3TrafficLights1" iconId="0"/>
            </x14:iconSet>
          </x14:cfRule>
          <xm:sqref>B46</xm:sqref>
        </x14:conditionalFormatting>
        <x14:conditionalFormatting xmlns:xm="http://schemas.microsoft.com/office/excel/2006/main">
          <x14:cfRule type="iconSet" priority="973" id="{F6BEF6AB-A7AB-427B-8A0C-4A952AD0364D}">
            <x14:iconSet custom="1">
              <x14:cfvo type="percent">
                <xm:f>0</xm:f>
              </x14:cfvo>
              <x14:cfvo type="percent">
                <xm:f>0</xm:f>
              </x14:cfvo>
              <x14:cfvo type="percent" gte="0">
                <xm:f>5</xm:f>
              </x14:cfvo>
              <x14:cfIcon iconSet="NoIcons" iconId="0"/>
              <x14:cfIcon iconSet="3TrafficLights1" iconId="2"/>
              <x14:cfIcon iconSet="3TrafficLights1" iconId="0"/>
            </x14:iconSet>
          </x14:cfRule>
          <xm:sqref>C47</xm:sqref>
        </x14:conditionalFormatting>
        <x14:conditionalFormatting xmlns:xm="http://schemas.microsoft.com/office/excel/2006/main">
          <x14:cfRule type="iconSet" priority="974" id="{68702939-FE7A-4B24-B1FD-F1D5172111B8}">
            <x14:iconSet custom="1">
              <x14:cfvo type="percent">
                <xm:f>0</xm:f>
              </x14:cfvo>
              <x14:cfvo type="num">
                <xm:f>0</xm:f>
              </x14:cfvo>
              <x14:cfvo type="num">
                <xm:f>1</xm:f>
              </x14:cfvo>
              <x14:cfIcon iconSet="NoIcons" iconId="0"/>
              <x14:cfIcon iconSet="3TrafficLights1" iconId="2"/>
              <x14:cfIcon iconSet="3TrafficLights1" iconId="0"/>
            </x14:iconSet>
          </x14:cfRule>
          <xm:sqref>B47</xm:sqref>
        </x14:conditionalFormatting>
        <x14:conditionalFormatting xmlns:xm="http://schemas.microsoft.com/office/excel/2006/main">
          <x14:cfRule type="iconSet" priority="971" id="{9D637099-ECD6-472E-A223-6E677FD7704A}">
            <x14:iconSet custom="1">
              <x14:cfvo type="percent">
                <xm:f>0</xm:f>
              </x14:cfvo>
              <x14:cfvo type="percent">
                <xm:f>0</xm:f>
              </x14:cfvo>
              <x14:cfvo type="percent" gte="0">
                <xm:f>5</xm:f>
              </x14:cfvo>
              <x14:cfIcon iconSet="NoIcons" iconId="0"/>
              <x14:cfIcon iconSet="3TrafficLights1" iconId="2"/>
              <x14:cfIcon iconSet="3TrafficLights1" iconId="0"/>
            </x14:iconSet>
          </x14:cfRule>
          <xm:sqref>C48</xm:sqref>
        </x14:conditionalFormatting>
        <x14:conditionalFormatting xmlns:xm="http://schemas.microsoft.com/office/excel/2006/main">
          <x14:cfRule type="iconSet" priority="972" id="{AFA1595A-87B3-414E-BC7D-BB094B082B10}">
            <x14:iconSet custom="1">
              <x14:cfvo type="percent">
                <xm:f>0</xm:f>
              </x14:cfvo>
              <x14:cfvo type="num">
                <xm:f>0</xm:f>
              </x14:cfvo>
              <x14:cfvo type="num">
                <xm:f>1</xm:f>
              </x14:cfvo>
              <x14:cfIcon iconSet="NoIcons" iconId="0"/>
              <x14:cfIcon iconSet="3TrafficLights1" iconId="2"/>
              <x14:cfIcon iconSet="3TrafficLights1" iconId="0"/>
            </x14:iconSet>
          </x14:cfRule>
          <xm:sqref>B48</xm:sqref>
        </x14:conditionalFormatting>
        <x14:conditionalFormatting xmlns:xm="http://schemas.microsoft.com/office/excel/2006/main">
          <x14:cfRule type="iconSet" priority="969" id="{32391B0E-0191-4728-ADFF-6E8C534D5734}">
            <x14:iconSet custom="1">
              <x14:cfvo type="percent">
                <xm:f>0</xm:f>
              </x14:cfvo>
              <x14:cfvo type="percent">
                <xm:f>0</xm:f>
              </x14:cfvo>
              <x14:cfvo type="percent" gte="0">
                <xm:f>5</xm:f>
              </x14:cfvo>
              <x14:cfIcon iconSet="NoIcons" iconId="0"/>
              <x14:cfIcon iconSet="3TrafficLights1" iconId="2"/>
              <x14:cfIcon iconSet="3TrafficLights1" iconId="0"/>
            </x14:iconSet>
          </x14:cfRule>
          <xm:sqref>C49</xm:sqref>
        </x14:conditionalFormatting>
        <x14:conditionalFormatting xmlns:xm="http://schemas.microsoft.com/office/excel/2006/main">
          <x14:cfRule type="iconSet" priority="970" id="{AEF91264-3EEF-46F3-9CC7-2D4A8CD001B4}">
            <x14:iconSet custom="1">
              <x14:cfvo type="percent">
                <xm:f>0</xm:f>
              </x14:cfvo>
              <x14:cfvo type="num">
                <xm:f>0</xm:f>
              </x14:cfvo>
              <x14:cfvo type="num">
                <xm:f>1</xm:f>
              </x14:cfvo>
              <x14:cfIcon iconSet="NoIcons" iconId="0"/>
              <x14:cfIcon iconSet="3TrafficLights1" iconId="2"/>
              <x14:cfIcon iconSet="3TrafficLights1" iconId="0"/>
            </x14:iconSet>
          </x14:cfRule>
          <xm:sqref>B49</xm:sqref>
        </x14:conditionalFormatting>
        <x14:conditionalFormatting xmlns:xm="http://schemas.microsoft.com/office/excel/2006/main">
          <x14:cfRule type="iconSet" priority="967" id="{19EBC82E-E711-482C-A90C-2E6186229F5D}">
            <x14:iconSet custom="1">
              <x14:cfvo type="percent">
                <xm:f>0</xm:f>
              </x14:cfvo>
              <x14:cfvo type="percent">
                <xm:f>0</xm:f>
              </x14:cfvo>
              <x14:cfvo type="percent" gte="0">
                <xm:f>5</xm:f>
              </x14:cfvo>
              <x14:cfIcon iconSet="NoIcons" iconId="0"/>
              <x14:cfIcon iconSet="3TrafficLights1" iconId="2"/>
              <x14:cfIcon iconSet="3TrafficLights1" iconId="0"/>
            </x14:iconSet>
          </x14:cfRule>
          <xm:sqref>C50</xm:sqref>
        </x14:conditionalFormatting>
        <x14:conditionalFormatting xmlns:xm="http://schemas.microsoft.com/office/excel/2006/main">
          <x14:cfRule type="iconSet" priority="968" id="{D535862F-799B-4EC0-9E71-47C29EF857DF}">
            <x14:iconSet custom="1">
              <x14:cfvo type="percent">
                <xm:f>0</xm:f>
              </x14:cfvo>
              <x14:cfvo type="num">
                <xm:f>0</xm:f>
              </x14:cfvo>
              <x14:cfvo type="num">
                <xm:f>1</xm:f>
              </x14:cfvo>
              <x14:cfIcon iconSet="NoIcons" iconId="0"/>
              <x14:cfIcon iconSet="3TrafficLights1" iconId="2"/>
              <x14:cfIcon iconSet="3TrafficLights1" iconId="0"/>
            </x14:iconSet>
          </x14:cfRule>
          <xm:sqref>B50</xm:sqref>
        </x14:conditionalFormatting>
        <x14:conditionalFormatting xmlns:xm="http://schemas.microsoft.com/office/excel/2006/main">
          <x14:cfRule type="iconSet" priority="965" id="{6274EF0C-E866-4EF8-BD56-1C5DA335BDDE}">
            <x14:iconSet custom="1">
              <x14:cfvo type="percent">
                <xm:f>0</xm:f>
              </x14:cfvo>
              <x14:cfvo type="percent">
                <xm:f>0</xm:f>
              </x14:cfvo>
              <x14:cfvo type="percent" gte="0">
                <xm:f>5</xm:f>
              </x14:cfvo>
              <x14:cfIcon iconSet="NoIcons" iconId="0"/>
              <x14:cfIcon iconSet="3TrafficLights1" iconId="2"/>
              <x14:cfIcon iconSet="3TrafficLights1" iconId="0"/>
            </x14:iconSet>
          </x14:cfRule>
          <xm:sqref>C51</xm:sqref>
        </x14:conditionalFormatting>
        <x14:conditionalFormatting xmlns:xm="http://schemas.microsoft.com/office/excel/2006/main">
          <x14:cfRule type="iconSet" priority="966" id="{A4CEC181-102D-4E6A-AED1-B0F74F623D41}">
            <x14:iconSet custom="1">
              <x14:cfvo type="percent">
                <xm:f>0</xm:f>
              </x14:cfvo>
              <x14:cfvo type="num">
                <xm:f>0</xm:f>
              </x14:cfvo>
              <x14:cfvo type="num">
                <xm:f>1</xm:f>
              </x14:cfvo>
              <x14:cfIcon iconSet="NoIcons" iconId="0"/>
              <x14:cfIcon iconSet="3TrafficLights1" iconId="2"/>
              <x14:cfIcon iconSet="3TrafficLights1" iconId="0"/>
            </x14:iconSet>
          </x14:cfRule>
          <xm:sqref>B51</xm:sqref>
        </x14:conditionalFormatting>
        <x14:conditionalFormatting xmlns:xm="http://schemas.microsoft.com/office/excel/2006/main">
          <x14:cfRule type="iconSet" priority="963" id="{EC42F893-7CA4-4F57-A42D-3DC2DAD807B0}">
            <x14:iconSet custom="1">
              <x14:cfvo type="percent">
                <xm:f>0</xm:f>
              </x14:cfvo>
              <x14:cfvo type="percent">
                <xm:f>0</xm:f>
              </x14:cfvo>
              <x14:cfvo type="percent" gte="0">
                <xm:f>5</xm:f>
              </x14:cfvo>
              <x14:cfIcon iconSet="NoIcons" iconId="0"/>
              <x14:cfIcon iconSet="3TrafficLights1" iconId="2"/>
              <x14:cfIcon iconSet="3TrafficLights1" iconId="0"/>
            </x14:iconSet>
          </x14:cfRule>
          <xm:sqref>C52</xm:sqref>
        </x14:conditionalFormatting>
        <x14:conditionalFormatting xmlns:xm="http://schemas.microsoft.com/office/excel/2006/main">
          <x14:cfRule type="iconSet" priority="964" id="{94B82F24-7E8F-49EE-B92B-805B2B41A5C4}">
            <x14:iconSet custom="1">
              <x14:cfvo type="percent">
                <xm:f>0</xm:f>
              </x14:cfvo>
              <x14:cfvo type="num">
                <xm:f>0</xm:f>
              </x14:cfvo>
              <x14:cfvo type="num">
                <xm:f>1</xm:f>
              </x14:cfvo>
              <x14:cfIcon iconSet="NoIcons" iconId="0"/>
              <x14:cfIcon iconSet="3TrafficLights1" iconId="2"/>
              <x14:cfIcon iconSet="3TrafficLights1" iconId="0"/>
            </x14:iconSet>
          </x14:cfRule>
          <xm:sqref>B52</xm:sqref>
        </x14:conditionalFormatting>
        <x14:conditionalFormatting xmlns:xm="http://schemas.microsoft.com/office/excel/2006/main">
          <x14:cfRule type="iconSet" priority="961" id="{D3F1151D-EF28-47AB-BAAB-BA466EC8D909}">
            <x14:iconSet custom="1">
              <x14:cfvo type="percent">
                <xm:f>0</xm:f>
              </x14:cfvo>
              <x14:cfvo type="percent">
                <xm:f>0</xm:f>
              </x14:cfvo>
              <x14:cfvo type="percent" gte="0">
                <xm:f>5</xm:f>
              </x14:cfvo>
              <x14:cfIcon iconSet="NoIcons" iconId="0"/>
              <x14:cfIcon iconSet="3TrafficLights1" iconId="2"/>
              <x14:cfIcon iconSet="3TrafficLights1" iconId="0"/>
            </x14:iconSet>
          </x14:cfRule>
          <xm:sqref>C53</xm:sqref>
        </x14:conditionalFormatting>
        <x14:conditionalFormatting xmlns:xm="http://schemas.microsoft.com/office/excel/2006/main">
          <x14:cfRule type="iconSet" priority="962" id="{3F3F794B-430D-4634-87EF-2F6B41C7C853}">
            <x14:iconSet custom="1">
              <x14:cfvo type="percent">
                <xm:f>0</xm:f>
              </x14:cfvo>
              <x14:cfvo type="num">
                <xm:f>0</xm:f>
              </x14:cfvo>
              <x14:cfvo type="num">
                <xm:f>1</xm:f>
              </x14:cfvo>
              <x14:cfIcon iconSet="NoIcons" iconId="0"/>
              <x14:cfIcon iconSet="3TrafficLights1" iconId="2"/>
              <x14:cfIcon iconSet="3TrafficLights1" iconId="0"/>
            </x14:iconSet>
          </x14:cfRule>
          <xm:sqref>B53</xm:sqref>
        </x14:conditionalFormatting>
        <x14:conditionalFormatting xmlns:xm="http://schemas.microsoft.com/office/excel/2006/main">
          <x14:cfRule type="iconSet" priority="959" id="{97CC809E-AE5F-4BD1-AAE1-B03FF5DDC6A8}">
            <x14:iconSet custom="1">
              <x14:cfvo type="percent">
                <xm:f>0</xm:f>
              </x14:cfvo>
              <x14:cfvo type="percent">
                <xm:f>0</xm:f>
              </x14:cfvo>
              <x14:cfvo type="percent" gte="0">
                <xm:f>5</xm:f>
              </x14:cfvo>
              <x14:cfIcon iconSet="NoIcons" iconId="0"/>
              <x14:cfIcon iconSet="3TrafficLights1" iconId="2"/>
              <x14:cfIcon iconSet="3TrafficLights1" iconId="0"/>
            </x14:iconSet>
          </x14:cfRule>
          <xm:sqref>C54</xm:sqref>
        </x14:conditionalFormatting>
        <x14:conditionalFormatting xmlns:xm="http://schemas.microsoft.com/office/excel/2006/main">
          <x14:cfRule type="iconSet" priority="960" id="{DD40F2A2-77F2-4663-A4BB-DF3C6EB873DA}">
            <x14:iconSet custom="1">
              <x14:cfvo type="percent">
                <xm:f>0</xm:f>
              </x14:cfvo>
              <x14:cfvo type="num">
                <xm:f>0</xm:f>
              </x14:cfvo>
              <x14:cfvo type="num">
                <xm:f>1</xm:f>
              </x14:cfvo>
              <x14:cfIcon iconSet="NoIcons" iconId="0"/>
              <x14:cfIcon iconSet="3TrafficLights1" iconId="2"/>
              <x14:cfIcon iconSet="3TrafficLights1" iconId="0"/>
            </x14:iconSet>
          </x14:cfRule>
          <xm:sqref>B54</xm:sqref>
        </x14:conditionalFormatting>
        <x14:conditionalFormatting xmlns:xm="http://schemas.microsoft.com/office/excel/2006/main">
          <x14:cfRule type="iconSet" priority="957" id="{83BAD6F1-9B6C-44D4-8443-C4370A660852}">
            <x14:iconSet custom="1">
              <x14:cfvo type="percent">
                <xm:f>0</xm:f>
              </x14:cfvo>
              <x14:cfvo type="percent">
                <xm:f>0</xm:f>
              </x14:cfvo>
              <x14:cfvo type="percent" gte="0">
                <xm:f>5</xm:f>
              </x14:cfvo>
              <x14:cfIcon iconSet="NoIcons" iconId="0"/>
              <x14:cfIcon iconSet="3TrafficLights1" iconId="2"/>
              <x14:cfIcon iconSet="3TrafficLights1" iconId="0"/>
            </x14:iconSet>
          </x14:cfRule>
          <xm:sqref>C55</xm:sqref>
        </x14:conditionalFormatting>
        <x14:conditionalFormatting xmlns:xm="http://schemas.microsoft.com/office/excel/2006/main">
          <x14:cfRule type="iconSet" priority="958" id="{2CDB4749-B837-4705-9853-C99B035416CD}">
            <x14:iconSet custom="1">
              <x14:cfvo type="percent">
                <xm:f>0</xm:f>
              </x14:cfvo>
              <x14:cfvo type="num">
                <xm:f>0</xm:f>
              </x14:cfvo>
              <x14:cfvo type="num">
                <xm:f>1</xm:f>
              </x14:cfvo>
              <x14:cfIcon iconSet="NoIcons" iconId="0"/>
              <x14:cfIcon iconSet="3TrafficLights1" iconId="2"/>
              <x14:cfIcon iconSet="3TrafficLights1" iconId="0"/>
            </x14:iconSet>
          </x14:cfRule>
          <xm:sqref>B55</xm:sqref>
        </x14:conditionalFormatting>
        <x14:conditionalFormatting xmlns:xm="http://schemas.microsoft.com/office/excel/2006/main">
          <x14:cfRule type="iconSet" priority="955" id="{E4F05E24-6FF7-4153-BD6B-744F8A1DB665}">
            <x14:iconSet custom="1">
              <x14:cfvo type="percent">
                <xm:f>0</xm:f>
              </x14:cfvo>
              <x14:cfvo type="percent">
                <xm:f>0</xm:f>
              </x14:cfvo>
              <x14:cfvo type="percent" gte="0">
                <xm:f>5</xm:f>
              </x14:cfvo>
              <x14:cfIcon iconSet="NoIcons" iconId="0"/>
              <x14:cfIcon iconSet="3TrafficLights1" iconId="2"/>
              <x14:cfIcon iconSet="3TrafficLights1" iconId="0"/>
            </x14:iconSet>
          </x14:cfRule>
          <xm:sqref>C56</xm:sqref>
        </x14:conditionalFormatting>
        <x14:conditionalFormatting xmlns:xm="http://schemas.microsoft.com/office/excel/2006/main">
          <x14:cfRule type="iconSet" priority="956" id="{2EB497AC-4307-47C7-B808-3E654C75B1D9}">
            <x14:iconSet custom="1">
              <x14:cfvo type="percent">
                <xm:f>0</xm:f>
              </x14:cfvo>
              <x14:cfvo type="num">
                <xm:f>0</xm:f>
              </x14:cfvo>
              <x14:cfvo type="num">
                <xm:f>1</xm:f>
              </x14:cfvo>
              <x14:cfIcon iconSet="NoIcons" iconId="0"/>
              <x14:cfIcon iconSet="3TrafficLights1" iconId="2"/>
              <x14:cfIcon iconSet="3TrafficLights1" iconId="0"/>
            </x14:iconSet>
          </x14:cfRule>
          <xm:sqref>B56</xm:sqref>
        </x14:conditionalFormatting>
        <x14:conditionalFormatting xmlns:xm="http://schemas.microsoft.com/office/excel/2006/main">
          <x14:cfRule type="iconSet" priority="953" id="{B161FBC9-52CC-4CFC-8E3B-AA6A1255B62D}">
            <x14:iconSet custom="1">
              <x14:cfvo type="percent">
                <xm:f>0</xm:f>
              </x14:cfvo>
              <x14:cfvo type="percent">
                <xm:f>0</xm:f>
              </x14:cfvo>
              <x14:cfvo type="percent" gte="0">
                <xm:f>5</xm:f>
              </x14:cfvo>
              <x14:cfIcon iconSet="NoIcons" iconId="0"/>
              <x14:cfIcon iconSet="3TrafficLights1" iconId="2"/>
              <x14:cfIcon iconSet="3TrafficLights1" iconId="0"/>
            </x14:iconSet>
          </x14:cfRule>
          <xm:sqref>C57</xm:sqref>
        </x14:conditionalFormatting>
        <x14:conditionalFormatting xmlns:xm="http://schemas.microsoft.com/office/excel/2006/main">
          <x14:cfRule type="iconSet" priority="954" id="{6163C732-E353-40D8-B631-8BBE82F2A0E5}">
            <x14:iconSet custom="1">
              <x14:cfvo type="percent">
                <xm:f>0</xm:f>
              </x14:cfvo>
              <x14:cfvo type="num">
                <xm:f>0</xm:f>
              </x14:cfvo>
              <x14:cfvo type="num">
                <xm:f>1</xm:f>
              </x14:cfvo>
              <x14:cfIcon iconSet="NoIcons" iconId="0"/>
              <x14:cfIcon iconSet="3TrafficLights1" iconId="2"/>
              <x14:cfIcon iconSet="3TrafficLights1" iconId="0"/>
            </x14:iconSet>
          </x14:cfRule>
          <xm:sqref>B57</xm:sqref>
        </x14:conditionalFormatting>
        <x14:conditionalFormatting xmlns:xm="http://schemas.microsoft.com/office/excel/2006/main">
          <x14:cfRule type="iconSet" priority="951" id="{2BE77A29-1446-4408-80AE-F2DD91BD20F1}">
            <x14:iconSet custom="1">
              <x14:cfvo type="percent">
                <xm:f>0</xm:f>
              </x14:cfvo>
              <x14:cfvo type="percent">
                <xm:f>0</xm:f>
              </x14:cfvo>
              <x14:cfvo type="percent" gte="0">
                <xm:f>5</xm:f>
              </x14:cfvo>
              <x14:cfIcon iconSet="NoIcons" iconId="0"/>
              <x14:cfIcon iconSet="3TrafficLights1" iconId="2"/>
              <x14:cfIcon iconSet="3TrafficLights1" iconId="0"/>
            </x14:iconSet>
          </x14:cfRule>
          <xm:sqref>C58</xm:sqref>
        </x14:conditionalFormatting>
        <x14:conditionalFormatting xmlns:xm="http://schemas.microsoft.com/office/excel/2006/main">
          <x14:cfRule type="iconSet" priority="952" id="{5854A976-4E37-4D99-8DC1-C62232CD5FCD}">
            <x14:iconSet custom="1">
              <x14:cfvo type="percent">
                <xm:f>0</xm:f>
              </x14:cfvo>
              <x14:cfvo type="num">
                <xm:f>0</xm:f>
              </x14:cfvo>
              <x14:cfvo type="num">
                <xm:f>1</xm:f>
              </x14:cfvo>
              <x14:cfIcon iconSet="NoIcons" iconId="0"/>
              <x14:cfIcon iconSet="3TrafficLights1" iconId="2"/>
              <x14:cfIcon iconSet="3TrafficLights1" iconId="0"/>
            </x14:iconSet>
          </x14:cfRule>
          <xm:sqref>B58</xm:sqref>
        </x14:conditionalFormatting>
        <x14:conditionalFormatting xmlns:xm="http://schemas.microsoft.com/office/excel/2006/main">
          <x14:cfRule type="iconSet" priority="949" id="{2E65A4D8-18BF-458B-9695-30E1DC87E83D}">
            <x14:iconSet custom="1">
              <x14:cfvo type="percent">
                <xm:f>0</xm:f>
              </x14:cfvo>
              <x14:cfvo type="percent">
                <xm:f>0</xm:f>
              </x14:cfvo>
              <x14:cfvo type="percent" gte="0">
                <xm:f>5</xm:f>
              </x14:cfvo>
              <x14:cfIcon iconSet="NoIcons" iconId="0"/>
              <x14:cfIcon iconSet="3TrafficLights1" iconId="2"/>
              <x14:cfIcon iconSet="3TrafficLights1" iconId="0"/>
            </x14:iconSet>
          </x14:cfRule>
          <xm:sqref>C59</xm:sqref>
        </x14:conditionalFormatting>
        <x14:conditionalFormatting xmlns:xm="http://schemas.microsoft.com/office/excel/2006/main">
          <x14:cfRule type="iconSet" priority="950" id="{430735EC-603B-4DDE-9E27-516BCF7CFFE8}">
            <x14:iconSet custom="1">
              <x14:cfvo type="percent">
                <xm:f>0</xm:f>
              </x14:cfvo>
              <x14:cfvo type="num">
                <xm:f>0</xm:f>
              </x14:cfvo>
              <x14:cfvo type="num">
                <xm:f>1</xm:f>
              </x14:cfvo>
              <x14:cfIcon iconSet="NoIcons" iconId="0"/>
              <x14:cfIcon iconSet="3TrafficLights1" iconId="2"/>
              <x14:cfIcon iconSet="3TrafficLights1" iconId="0"/>
            </x14:iconSet>
          </x14:cfRule>
          <xm:sqref>B59</xm:sqref>
        </x14:conditionalFormatting>
        <x14:conditionalFormatting xmlns:xm="http://schemas.microsoft.com/office/excel/2006/main">
          <x14:cfRule type="iconSet" priority="947" id="{93538270-6B24-4937-BBC6-D50F731BF2DD}">
            <x14:iconSet custom="1">
              <x14:cfvo type="percent">
                <xm:f>0</xm:f>
              </x14:cfvo>
              <x14:cfvo type="percent">
                <xm:f>0</xm:f>
              </x14:cfvo>
              <x14:cfvo type="percent" gte="0">
                <xm:f>5</xm:f>
              </x14:cfvo>
              <x14:cfIcon iconSet="NoIcons" iconId="0"/>
              <x14:cfIcon iconSet="3TrafficLights1" iconId="2"/>
              <x14:cfIcon iconSet="3TrafficLights1" iconId="0"/>
            </x14:iconSet>
          </x14:cfRule>
          <xm:sqref>C60</xm:sqref>
        </x14:conditionalFormatting>
        <x14:conditionalFormatting xmlns:xm="http://schemas.microsoft.com/office/excel/2006/main">
          <x14:cfRule type="iconSet" priority="948" id="{0AAA9B94-9F2F-4FBA-92FB-648A954D7437}">
            <x14:iconSet custom="1">
              <x14:cfvo type="percent">
                <xm:f>0</xm:f>
              </x14:cfvo>
              <x14:cfvo type="num">
                <xm:f>0</xm:f>
              </x14:cfvo>
              <x14:cfvo type="num">
                <xm:f>1</xm:f>
              </x14:cfvo>
              <x14:cfIcon iconSet="NoIcons" iconId="0"/>
              <x14:cfIcon iconSet="3TrafficLights1" iconId="2"/>
              <x14:cfIcon iconSet="3TrafficLights1" iconId="0"/>
            </x14:iconSet>
          </x14:cfRule>
          <xm:sqref>B60</xm:sqref>
        </x14:conditionalFormatting>
        <x14:conditionalFormatting xmlns:xm="http://schemas.microsoft.com/office/excel/2006/main">
          <x14:cfRule type="iconSet" priority="945" id="{2E4641C7-F693-4EAD-A5D8-1BDD0E02C02C}">
            <x14:iconSet custom="1">
              <x14:cfvo type="percent">
                <xm:f>0</xm:f>
              </x14:cfvo>
              <x14:cfvo type="percent">
                <xm:f>0</xm:f>
              </x14:cfvo>
              <x14:cfvo type="percent" gte="0">
                <xm:f>5</xm:f>
              </x14:cfvo>
              <x14:cfIcon iconSet="NoIcons" iconId="0"/>
              <x14:cfIcon iconSet="3TrafficLights1" iconId="2"/>
              <x14:cfIcon iconSet="3TrafficLights1" iconId="0"/>
            </x14:iconSet>
          </x14:cfRule>
          <xm:sqref>C61</xm:sqref>
        </x14:conditionalFormatting>
        <x14:conditionalFormatting xmlns:xm="http://schemas.microsoft.com/office/excel/2006/main">
          <x14:cfRule type="iconSet" priority="946" id="{8479AF89-0CBC-4BD9-9046-FC83DF639702}">
            <x14:iconSet custom="1">
              <x14:cfvo type="percent">
                <xm:f>0</xm:f>
              </x14:cfvo>
              <x14:cfvo type="num">
                <xm:f>0</xm:f>
              </x14:cfvo>
              <x14:cfvo type="num">
                <xm:f>1</xm:f>
              </x14:cfvo>
              <x14:cfIcon iconSet="NoIcons" iconId="0"/>
              <x14:cfIcon iconSet="3TrafficLights1" iconId="2"/>
              <x14:cfIcon iconSet="3TrafficLights1" iconId="0"/>
            </x14:iconSet>
          </x14:cfRule>
          <xm:sqref>B61</xm:sqref>
        </x14:conditionalFormatting>
        <x14:conditionalFormatting xmlns:xm="http://schemas.microsoft.com/office/excel/2006/main">
          <x14:cfRule type="iconSet" priority="943" id="{16C6C6F6-2CA2-436D-84CB-27271A9F6783}">
            <x14:iconSet custom="1">
              <x14:cfvo type="percent">
                <xm:f>0</xm:f>
              </x14:cfvo>
              <x14:cfvo type="percent">
                <xm:f>0</xm:f>
              </x14:cfvo>
              <x14:cfvo type="percent" gte="0">
                <xm:f>5</xm:f>
              </x14:cfvo>
              <x14:cfIcon iconSet="NoIcons" iconId="0"/>
              <x14:cfIcon iconSet="3TrafficLights1" iconId="2"/>
              <x14:cfIcon iconSet="3TrafficLights1" iconId="0"/>
            </x14:iconSet>
          </x14:cfRule>
          <xm:sqref>C62</xm:sqref>
        </x14:conditionalFormatting>
        <x14:conditionalFormatting xmlns:xm="http://schemas.microsoft.com/office/excel/2006/main">
          <x14:cfRule type="iconSet" priority="944" id="{69AA8381-436E-44E5-B52A-988E90B003BC}">
            <x14:iconSet custom="1">
              <x14:cfvo type="percent">
                <xm:f>0</xm:f>
              </x14:cfvo>
              <x14:cfvo type="num">
                <xm:f>0</xm:f>
              </x14:cfvo>
              <x14:cfvo type="num">
                <xm:f>1</xm:f>
              </x14:cfvo>
              <x14:cfIcon iconSet="NoIcons" iconId="0"/>
              <x14:cfIcon iconSet="3TrafficLights1" iconId="2"/>
              <x14:cfIcon iconSet="3TrafficLights1" iconId="0"/>
            </x14:iconSet>
          </x14:cfRule>
          <xm:sqref>B62</xm:sqref>
        </x14:conditionalFormatting>
        <x14:conditionalFormatting xmlns:xm="http://schemas.microsoft.com/office/excel/2006/main">
          <x14:cfRule type="iconSet" priority="941" id="{F52E4648-B8ED-4867-AEF5-82DBCA21511D}">
            <x14:iconSet custom="1">
              <x14:cfvo type="percent">
                <xm:f>0</xm:f>
              </x14:cfvo>
              <x14:cfvo type="percent">
                <xm:f>0</xm:f>
              </x14:cfvo>
              <x14:cfvo type="percent" gte="0">
                <xm:f>5</xm:f>
              </x14:cfvo>
              <x14:cfIcon iconSet="NoIcons" iconId="0"/>
              <x14:cfIcon iconSet="3TrafficLights1" iconId="2"/>
              <x14:cfIcon iconSet="3TrafficLights1" iconId="0"/>
            </x14:iconSet>
          </x14:cfRule>
          <xm:sqref>C63</xm:sqref>
        </x14:conditionalFormatting>
        <x14:conditionalFormatting xmlns:xm="http://schemas.microsoft.com/office/excel/2006/main">
          <x14:cfRule type="iconSet" priority="942" id="{B7899170-71B9-43DF-8DFD-B76BB22B2CF9}">
            <x14:iconSet custom="1">
              <x14:cfvo type="percent">
                <xm:f>0</xm:f>
              </x14:cfvo>
              <x14:cfvo type="num">
                <xm:f>0</xm:f>
              </x14:cfvo>
              <x14:cfvo type="num">
                <xm:f>1</xm:f>
              </x14:cfvo>
              <x14:cfIcon iconSet="NoIcons" iconId="0"/>
              <x14:cfIcon iconSet="3TrafficLights1" iconId="2"/>
              <x14:cfIcon iconSet="3TrafficLights1" iconId="0"/>
            </x14:iconSet>
          </x14:cfRule>
          <xm:sqref>B63</xm:sqref>
        </x14:conditionalFormatting>
        <x14:conditionalFormatting xmlns:xm="http://schemas.microsoft.com/office/excel/2006/main">
          <x14:cfRule type="iconSet" priority="939" id="{37BF59F9-12A0-439A-90C3-DECB7B8E3388}">
            <x14:iconSet custom="1">
              <x14:cfvo type="percent">
                <xm:f>0</xm:f>
              </x14:cfvo>
              <x14:cfvo type="percent">
                <xm:f>0</xm:f>
              </x14:cfvo>
              <x14:cfvo type="percent" gte="0">
                <xm:f>5</xm:f>
              </x14:cfvo>
              <x14:cfIcon iconSet="NoIcons" iconId="0"/>
              <x14:cfIcon iconSet="3TrafficLights1" iconId="2"/>
              <x14:cfIcon iconSet="3TrafficLights1" iconId="0"/>
            </x14:iconSet>
          </x14:cfRule>
          <xm:sqref>C64</xm:sqref>
        </x14:conditionalFormatting>
        <x14:conditionalFormatting xmlns:xm="http://schemas.microsoft.com/office/excel/2006/main">
          <x14:cfRule type="iconSet" priority="940" id="{8E06A68A-7656-47DB-BB84-D4C188A5A497}">
            <x14:iconSet custom="1">
              <x14:cfvo type="percent">
                <xm:f>0</xm:f>
              </x14:cfvo>
              <x14:cfvo type="num">
                <xm:f>0</xm:f>
              </x14:cfvo>
              <x14:cfvo type="num">
                <xm:f>1</xm:f>
              </x14:cfvo>
              <x14:cfIcon iconSet="NoIcons" iconId="0"/>
              <x14:cfIcon iconSet="3TrafficLights1" iconId="2"/>
              <x14:cfIcon iconSet="3TrafficLights1" iconId="0"/>
            </x14:iconSet>
          </x14:cfRule>
          <xm:sqref>B64</xm:sqref>
        </x14:conditionalFormatting>
        <x14:conditionalFormatting xmlns:xm="http://schemas.microsoft.com/office/excel/2006/main">
          <x14:cfRule type="iconSet" priority="937" id="{4F0A7CAF-23A6-45CA-BAC7-0A41487D2E78}">
            <x14:iconSet custom="1">
              <x14:cfvo type="percent">
                <xm:f>0</xm:f>
              </x14:cfvo>
              <x14:cfvo type="percent">
                <xm:f>0</xm:f>
              </x14:cfvo>
              <x14:cfvo type="percent" gte="0">
                <xm:f>5</xm:f>
              </x14:cfvo>
              <x14:cfIcon iconSet="NoIcons" iconId="0"/>
              <x14:cfIcon iconSet="3TrafficLights1" iconId="2"/>
              <x14:cfIcon iconSet="3TrafficLights1" iconId="0"/>
            </x14:iconSet>
          </x14:cfRule>
          <xm:sqref>C65</xm:sqref>
        </x14:conditionalFormatting>
        <x14:conditionalFormatting xmlns:xm="http://schemas.microsoft.com/office/excel/2006/main">
          <x14:cfRule type="iconSet" priority="938" id="{9B96C696-E9F2-403F-90E0-E7CBC8AA5F97}">
            <x14:iconSet custom="1">
              <x14:cfvo type="percent">
                <xm:f>0</xm:f>
              </x14:cfvo>
              <x14:cfvo type="num">
                <xm:f>0</xm:f>
              </x14:cfvo>
              <x14:cfvo type="num">
                <xm:f>1</xm:f>
              </x14:cfvo>
              <x14:cfIcon iconSet="NoIcons" iconId="0"/>
              <x14:cfIcon iconSet="3TrafficLights1" iconId="2"/>
              <x14:cfIcon iconSet="3TrafficLights1" iconId="0"/>
            </x14:iconSet>
          </x14:cfRule>
          <xm:sqref>B65</xm:sqref>
        </x14:conditionalFormatting>
        <x14:conditionalFormatting xmlns:xm="http://schemas.microsoft.com/office/excel/2006/main">
          <x14:cfRule type="iconSet" priority="935" id="{245D669E-C42E-4A2F-B3EE-7CB12B1B014A}">
            <x14:iconSet custom="1">
              <x14:cfvo type="percent">
                <xm:f>0</xm:f>
              </x14:cfvo>
              <x14:cfvo type="percent">
                <xm:f>0</xm:f>
              </x14:cfvo>
              <x14:cfvo type="percent" gte="0">
                <xm:f>5</xm:f>
              </x14:cfvo>
              <x14:cfIcon iconSet="NoIcons" iconId="0"/>
              <x14:cfIcon iconSet="3TrafficLights1" iconId="2"/>
              <x14:cfIcon iconSet="3TrafficLights1" iconId="0"/>
            </x14:iconSet>
          </x14:cfRule>
          <xm:sqref>C66</xm:sqref>
        </x14:conditionalFormatting>
        <x14:conditionalFormatting xmlns:xm="http://schemas.microsoft.com/office/excel/2006/main">
          <x14:cfRule type="iconSet" priority="936" id="{F1A413B9-773F-46D8-AB7A-E936DA1945CB}">
            <x14:iconSet custom="1">
              <x14:cfvo type="percent">
                <xm:f>0</xm:f>
              </x14:cfvo>
              <x14:cfvo type="num">
                <xm:f>0</xm:f>
              </x14:cfvo>
              <x14:cfvo type="num">
                <xm:f>1</xm:f>
              </x14:cfvo>
              <x14:cfIcon iconSet="NoIcons" iconId="0"/>
              <x14:cfIcon iconSet="3TrafficLights1" iconId="2"/>
              <x14:cfIcon iconSet="3TrafficLights1" iconId="0"/>
            </x14:iconSet>
          </x14:cfRule>
          <xm:sqref>B66</xm:sqref>
        </x14:conditionalFormatting>
        <x14:conditionalFormatting xmlns:xm="http://schemas.microsoft.com/office/excel/2006/main">
          <x14:cfRule type="iconSet" priority="931" id="{02899CE2-D802-44CB-AEF2-190641D7E4E2}">
            <x14:iconSet custom="1">
              <x14:cfvo type="percent">
                <xm:f>0</xm:f>
              </x14:cfvo>
              <x14:cfvo type="percent">
                <xm:f>0</xm:f>
              </x14:cfvo>
              <x14:cfvo type="percent" gte="0">
                <xm:f>5</xm:f>
              </x14:cfvo>
              <x14:cfIcon iconSet="NoIcons" iconId="0"/>
              <x14:cfIcon iconSet="3TrafficLights1" iconId="2"/>
              <x14:cfIcon iconSet="3TrafficLights1" iconId="0"/>
            </x14:iconSet>
          </x14:cfRule>
          <xm:sqref>C67</xm:sqref>
        </x14:conditionalFormatting>
        <x14:conditionalFormatting xmlns:xm="http://schemas.microsoft.com/office/excel/2006/main">
          <x14:cfRule type="iconSet" priority="932" id="{2976AC21-265B-4130-83F1-E8C626B6ED90}">
            <x14:iconSet custom="1">
              <x14:cfvo type="percent">
                <xm:f>0</xm:f>
              </x14:cfvo>
              <x14:cfvo type="num">
                <xm:f>0</xm:f>
              </x14:cfvo>
              <x14:cfvo type="num">
                <xm:f>1</xm:f>
              </x14:cfvo>
              <x14:cfIcon iconSet="NoIcons" iconId="0"/>
              <x14:cfIcon iconSet="3TrafficLights1" iconId="2"/>
              <x14:cfIcon iconSet="3TrafficLights1" iconId="0"/>
            </x14:iconSet>
          </x14:cfRule>
          <xm:sqref>B67</xm:sqref>
        </x14:conditionalFormatting>
        <x14:conditionalFormatting xmlns:xm="http://schemas.microsoft.com/office/excel/2006/main">
          <x14:cfRule type="iconSet" priority="919" id="{BD652AB0-CA83-44A7-BAE4-BCA2B1003DAA}">
            <x14:iconSet custom="1">
              <x14:cfvo type="percent">
                <xm:f>0</xm:f>
              </x14:cfvo>
              <x14:cfvo type="percent">
                <xm:f>0</xm:f>
              </x14:cfvo>
              <x14:cfvo type="percent" gte="0">
                <xm:f>5</xm:f>
              </x14:cfvo>
              <x14:cfIcon iconSet="NoIcons" iconId="0"/>
              <x14:cfIcon iconSet="3TrafficLights1" iconId="2"/>
              <x14:cfIcon iconSet="3TrafficLights1" iconId="0"/>
            </x14:iconSet>
          </x14:cfRule>
          <xm:sqref>C68</xm:sqref>
        </x14:conditionalFormatting>
        <x14:conditionalFormatting xmlns:xm="http://schemas.microsoft.com/office/excel/2006/main">
          <x14:cfRule type="iconSet" priority="920" id="{33138AEE-FD68-44AA-BE23-1AD5B23716F7}">
            <x14:iconSet custom="1">
              <x14:cfvo type="percent">
                <xm:f>0</xm:f>
              </x14:cfvo>
              <x14:cfvo type="num">
                <xm:f>0</xm:f>
              </x14:cfvo>
              <x14:cfvo type="num">
                <xm:f>1</xm:f>
              </x14:cfvo>
              <x14:cfIcon iconSet="NoIcons" iconId="0"/>
              <x14:cfIcon iconSet="3TrafficLights1" iconId="2"/>
              <x14:cfIcon iconSet="3TrafficLights1" iconId="0"/>
            </x14:iconSet>
          </x14:cfRule>
          <xm:sqref>B68</xm:sqref>
        </x14:conditionalFormatting>
        <x14:conditionalFormatting xmlns:xm="http://schemas.microsoft.com/office/excel/2006/main">
          <x14:cfRule type="iconSet" priority="927" id="{87F3FEC5-A4B8-4C28-88C6-C65FBC7B6836}">
            <x14:iconSet custom="1">
              <x14:cfvo type="percent">
                <xm:f>0</xm:f>
              </x14:cfvo>
              <x14:cfvo type="percent">
                <xm:f>0</xm:f>
              </x14:cfvo>
              <x14:cfvo type="percent" gte="0">
                <xm:f>5</xm:f>
              </x14:cfvo>
              <x14:cfIcon iconSet="NoIcons" iconId="0"/>
              <x14:cfIcon iconSet="3TrafficLights1" iconId="2"/>
              <x14:cfIcon iconSet="3TrafficLights1" iconId="0"/>
            </x14:iconSet>
          </x14:cfRule>
          <xm:sqref>C73</xm:sqref>
        </x14:conditionalFormatting>
        <x14:conditionalFormatting xmlns:xm="http://schemas.microsoft.com/office/excel/2006/main">
          <x14:cfRule type="iconSet" priority="928" id="{102B9F10-8413-4F0A-A1C8-027AA00FDE4D}">
            <x14:iconSet custom="1">
              <x14:cfvo type="percent">
                <xm:f>0</xm:f>
              </x14:cfvo>
              <x14:cfvo type="num">
                <xm:f>0</xm:f>
              </x14:cfvo>
              <x14:cfvo type="num">
                <xm:f>1</xm:f>
              </x14:cfvo>
              <x14:cfIcon iconSet="NoIcons" iconId="0"/>
              <x14:cfIcon iconSet="3TrafficLights1" iconId="2"/>
              <x14:cfIcon iconSet="3TrafficLights1" iconId="0"/>
            </x14:iconSet>
          </x14:cfRule>
          <xm:sqref>B73</xm:sqref>
        </x14:conditionalFormatting>
        <x14:conditionalFormatting xmlns:xm="http://schemas.microsoft.com/office/excel/2006/main">
          <x14:cfRule type="iconSet" priority="925" id="{1F694E5E-E8F4-4C98-B97B-423E5B8AEBCA}">
            <x14:iconSet custom="1">
              <x14:cfvo type="percent">
                <xm:f>0</xm:f>
              </x14:cfvo>
              <x14:cfvo type="percent">
                <xm:f>0</xm:f>
              </x14:cfvo>
              <x14:cfvo type="percent" gte="0">
                <xm:f>5</xm:f>
              </x14:cfvo>
              <x14:cfIcon iconSet="NoIcons" iconId="0"/>
              <x14:cfIcon iconSet="3TrafficLights1" iconId="2"/>
              <x14:cfIcon iconSet="3TrafficLights1" iconId="0"/>
            </x14:iconSet>
          </x14:cfRule>
          <xm:sqref>C74</xm:sqref>
        </x14:conditionalFormatting>
        <x14:conditionalFormatting xmlns:xm="http://schemas.microsoft.com/office/excel/2006/main">
          <x14:cfRule type="iconSet" priority="926" id="{60F6C0E6-4978-4C77-A92A-4E8A25B27A9B}">
            <x14:iconSet custom="1">
              <x14:cfvo type="percent">
                <xm:f>0</xm:f>
              </x14:cfvo>
              <x14:cfvo type="num">
                <xm:f>0</xm:f>
              </x14:cfvo>
              <x14:cfvo type="num">
                <xm:f>1</xm:f>
              </x14:cfvo>
              <x14:cfIcon iconSet="NoIcons" iconId="0"/>
              <x14:cfIcon iconSet="3TrafficLights1" iconId="2"/>
              <x14:cfIcon iconSet="3TrafficLights1" iconId="0"/>
            </x14:iconSet>
          </x14:cfRule>
          <xm:sqref>B74</xm:sqref>
        </x14:conditionalFormatting>
        <x14:conditionalFormatting xmlns:xm="http://schemas.microsoft.com/office/excel/2006/main">
          <x14:cfRule type="iconSet" priority="923" id="{BDF97962-2954-483E-9CB5-57F5F2DB65CF}">
            <x14:iconSet custom="1">
              <x14:cfvo type="percent">
                <xm:f>0</xm:f>
              </x14:cfvo>
              <x14:cfvo type="percent">
                <xm:f>0</xm:f>
              </x14:cfvo>
              <x14:cfvo type="percent" gte="0">
                <xm:f>5</xm:f>
              </x14:cfvo>
              <x14:cfIcon iconSet="NoIcons" iconId="0"/>
              <x14:cfIcon iconSet="3TrafficLights1" iconId="2"/>
              <x14:cfIcon iconSet="3TrafficLights1" iconId="0"/>
            </x14:iconSet>
          </x14:cfRule>
          <xm:sqref>C75</xm:sqref>
        </x14:conditionalFormatting>
        <x14:conditionalFormatting xmlns:xm="http://schemas.microsoft.com/office/excel/2006/main">
          <x14:cfRule type="iconSet" priority="924" id="{BE8FBA01-1334-45CF-AB8E-ADB027E84BA5}">
            <x14:iconSet custom="1">
              <x14:cfvo type="percent">
                <xm:f>0</xm:f>
              </x14:cfvo>
              <x14:cfvo type="num">
                <xm:f>0</xm:f>
              </x14:cfvo>
              <x14:cfvo type="num">
                <xm:f>1</xm:f>
              </x14:cfvo>
              <x14:cfIcon iconSet="NoIcons" iconId="0"/>
              <x14:cfIcon iconSet="3TrafficLights1" iconId="2"/>
              <x14:cfIcon iconSet="3TrafficLights1" iconId="0"/>
            </x14:iconSet>
          </x14:cfRule>
          <xm:sqref>B75</xm:sqref>
        </x14:conditionalFormatting>
        <x14:conditionalFormatting xmlns:xm="http://schemas.microsoft.com/office/excel/2006/main">
          <x14:cfRule type="iconSet" priority="917" id="{02C78604-62E5-4B10-9720-4180D2994215}">
            <x14:iconSet custom="1">
              <x14:cfvo type="percent">
                <xm:f>0</xm:f>
              </x14:cfvo>
              <x14:cfvo type="percent">
                <xm:f>0</xm:f>
              </x14:cfvo>
              <x14:cfvo type="percent" gte="0">
                <xm:f>5</xm:f>
              </x14:cfvo>
              <x14:cfIcon iconSet="NoIcons" iconId="0"/>
              <x14:cfIcon iconSet="3TrafficLights1" iconId="2"/>
              <x14:cfIcon iconSet="3TrafficLights1" iconId="0"/>
            </x14:iconSet>
          </x14:cfRule>
          <xm:sqref>C69</xm:sqref>
        </x14:conditionalFormatting>
        <x14:conditionalFormatting xmlns:xm="http://schemas.microsoft.com/office/excel/2006/main">
          <x14:cfRule type="iconSet" priority="918" id="{0216AEEA-139F-4EDB-B0C1-C8D75D0573F5}">
            <x14:iconSet custom="1">
              <x14:cfvo type="percent">
                <xm:f>0</xm:f>
              </x14:cfvo>
              <x14:cfvo type="num">
                <xm:f>0</xm:f>
              </x14:cfvo>
              <x14:cfvo type="num">
                <xm:f>1</xm:f>
              </x14:cfvo>
              <x14:cfIcon iconSet="NoIcons" iconId="0"/>
              <x14:cfIcon iconSet="3TrafficLights1" iconId="2"/>
              <x14:cfIcon iconSet="3TrafficLights1" iconId="0"/>
            </x14:iconSet>
          </x14:cfRule>
          <xm:sqref>B69</xm:sqref>
        </x14:conditionalFormatting>
        <x14:conditionalFormatting xmlns:xm="http://schemas.microsoft.com/office/excel/2006/main">
          <x14:cfRule type="iconSet" priority="915" id="{18F061D6-12E2-411E-B0E2-DFF13A38D843}">
            <x14:iconSet custom="1">
              <x14:cfvo type="percent">
                <xm:f>0</xm:f>
              </x14:cfvo>
              <x14:cfvo type="percent">
                <xm:f>0</xm:f>
              </x14:cfvo>
              <x14:cfvo type="percent" gte="0">
                <xm:f>5</xm:f>
              </x14:cfvo>
              <x14:cfIcon iconSet="NoIcons" iconId="0"/>
              <x14:cfIcon iconSet="3TrafficLights1" iconId="2"/>
              <x14:cfIcon iconSet="3TrafficLights1" iconId="0"/>
            </x14:iconSet>
          </x14:cfRule>
          <xm:sqref>C70</xm:sqref>
        </x14:conditionalFormatting>
        <x14:conditionalFormatting xmlns:xm="http://schemas.microsoft.com/office/excel/2006/main">
          <x14:cfRule type="iconSet" priority="916" id="{F64FDF9B-15D6-4DEC-875D-A5157F6FAB51}">
            <x14:iconSet custom="1">
              <x14:cfvo type="percent">
                <xm:f>0</xm:f>
              </x14:cfvo>
              <x14:cfvo type="num">
                <xm:f>0</xm:f>
              </x14:cfvo>
              <x14:cfvo type="num">
                <xm:f>1</xm:f>
              </x14:cfvo>
              <x14:cfIcon iconSet="NoIcons" iconId="0"/>
              <x14:cfIcon iconSet="3TrafficLights1" iconId="2"/>
              <x14:cfIcon iconSet="3TrafficLights1" iconId="0"/>
            </x14:iconSet>
          </x14:cfRule>
          <xm:sqref>B70</xm:sqref>
        </x14:conditionalFormatting>
        <x14:conditionalFormatting xmlns:xm="http://schemas.microsoft.com/office/excel/2006/main">
          <x14:cfRule type="iconSet" priority="913" id="{4AF2C67C-8551-4C44-949B-36D38786B384}">
            <x14:iconSet custom="1">
              <x14:cfvo type="percent">
                <xm:f>0</xm:f>
              </x14:cfvo>
              <x14:cfvo type="percent">
                <xm:f>0</xm:f>
              </x14:cfvo>
              <x14:cfvo type="percent" gte="0">
                <xm:f>5</xm:f>
              </x14:cfvo>
              <x14:cfIcon iconSet="NoIcons" iconId="0"/>
              <x14:cfIcon iconSet="3TrafficLights1" iconId="2"/>
              <x14:cfIcon iconSet="3TrafficLights1" iconId="0"/>
            </x14:iconSet>
          </x14:cfRule>
          <xm:sqref>C71</xm:sqref>
        </x14:conditionalFormatting>
        <x14:conditionalFormatting xmlns:xm="http://schemas.microsoft.com/office/excel/2006/main">
          <x14:cfRule type="iconSet" priority="914" id="{6AAF4199-7670-41C0-AE50-F46D34265107}">
            <x14:iconSet custom="1">
              <x14:cfvo type="percent">
                <xm:f>0</xm:f>
              </x14:cfvo>
              <x14:cfvo type="num">
                <xm:f>0</xm:f>
              </x14:cfvo>
              <x14:cfvo type="num">
                <xm:f>1</xm:f>
              </x14:cfvo>
              <x14:cfIcon iconSet="NoIcons" iconId="0"/>
              <x14:cfIcon iconSet="3TrafficLights1" iconId="2"/>
              <x14:cfIcon iconSet="3TrafficLights1" iconId="0"/>
            </x14:iconSet>
          </x14:cfRule>
          <xm:sqref>B71</xm:sqref>
        </x14:conditionalFormatting>
        <x14:conditionalFormatting xmlns:xm="http://schemas.microsoft.com/office/excel/2006/main">
          <x14:cfRule type="iconSet" priority="911" id="{43670C07-CDD8-480B-9496-A73B7773D877}">
            <x14:iconSet custom="1">
              <x14:cfvo type="percent">
                <xm:f>0</xm:f>
              </x14:cfvo>
              <x14:cfvo type="percent">
                <xm:f>0</xm:f>
              </x14:cfvo>
              <x14:cfvo type="percent" gte="0">
                <xm:f>5</xm:f>
              </x14:cfvo>
              <x14:cfIcon iconSet="NoIcons" iconId="0"/>
              <x14:cfIcon iconSet="3TrafficLights1" iconId="2"/>
              <x14:cfIcon iconSet="3TrafficLights1" iconId="0"/>
            </x14:iconSet>
          </x14:cfRule>
          <xm:sqref>C72</xm:sqref>
        </x14:conditionalFormatting>
        <x14:conditionalFormatting xmlns:xm="http://schemas.microsoft.com/office/excel/2006/main">
          <x14:cfRule type="iconSet" priority="912" id="{8D801F88-FE6C-4408-9626-8A62263F4FED}">
            <x14:iconSet custom="1">
              <x14:cfvo type="percent">
                <xm:f>0</xm:f>
              </x14:cfvo>
              <x14:cfvo type="num">
                <xm:f>0</xm:f>
              </x14:cfvo>
              <x14:cfvo type="num">
                <xm:f>1</xm:f>
              </x14:cfvo>
              <x14:cfIcon iconSet="NoIcons" iconId="0"/>
              <x14:cfIcon iconSet="3TrafficLights1" iconId="2"/>
              <x14:cfIcon iconSet="3TrafficLights1" iconId="0"/>
            </x14:iconSet>
          </x14:cfRule>
          <xm:sqref>B72</xm:sqref>
        </x14:conditionalFormatting>
        <x14:conditionalFormatting xmlns:xm="http://schemas.microsoft.com/office/excel/2006/main">
          <x14:cfRule type="iconSet" priority="903" id="{63046898-184A-4340-833F-BBFB5D9198D7}">
            <x14:iconSet custom="1">
              <x14:cfvo type="percent">
                <xm:f>0</xm:f>
              </x14:cfvo>
              <x14:cfvo type="percent">
                <xm:f>0</xm:f>
              </x14:cfvo>
              <x14:cfvo type="percent" gte="0">
                <xm:f>5</xm:f>
              </x14:cfvo>
              <x14:cfIcon iconSet="NoIcons" iconId="0"/>
              <x14:cfIcon iconSet="3TrafficLights1" iconId="2"/>
              <x14:cfIcon iconSet="3TrafficLights1" iconId="0"/>
            </x14:iconSet>
          </x14:cfRule>
          <xm:sqref>C76</xm:sqref>
        </x14:conditionalFormatting>
        <x14:conditionalFormatting xmlns:xm="http://schemas.microsoft.com/office/excel/2006/main">
          <x14:cfRule type="iconSet" priority="904" id="{1E3EA715-33D2-409C-A205-29304B5D901F}">
            <x14:iconSet custom="1">
              <x14:cfvo type="percent">
                <xm:f>0</xm:f>
              </x14:cfvo>
              <x14:cfvo type="num">
                <xm:f>0</xm:f>
              </x14:cfvo>
              <x14:cfvo type="num">
                <xm:f>1</xm:f>
              </x14:cfvo>
              <x14:cfIcon iconSet="NoIcons" iconId="0"/>
              <x14:cfIcon iconSet="3TrafficLights1" iconId="2"/>
              <x14:cfIcon iconSet="3TrafficLights1" iconId="0"/>
            </x14:iconSet>
          </x14:cfRule>
          <xm:sqref>B76</xm:sqref>
        </x14:conditionalFormatting>
        <x14:conditionalFormatting xmlns:xm="http://schemas.microsoft.com/office/excel/2006/main">
          <x14:cfRule type="iconSet" priority="899" id="{E74DB8AC-AA8A-43E2-A5BD-AF0837331F95}">
            <x14:iconSet custom="1">
              <x14:cfvo type="percent">
                <xm:f>0</xm:f>
              </x14:cfvo>
              <x14:cfvo type="percent">
                <xm:f>0</xm:f>
              </x14:cfvo>
              <x14:cfvo type="percent" gte="0">
                <xm:f>5</xm:f>
              </x14:cfvo>
              <x14:cfIcon iconSet="NoIcons" iconId="0"/>
              <x14:cfIcon iconSet="3TrafficLights1" iconId="2"/>
              <x14:cfIcon iconSet="3TrafficLights1" iconId="0"/>
            </x14:iconSet>
          </x14:cfRule>
          <xm:sqref>C77</xm:sqref>
        </x14:conditionalFormatting>
        <x14:conditionalFormatting xmlns:xm="http://schemas.microsoft.com/office/excel/2006/main">
          <x14:cfRule type="iconSet" priority="900" id="{28C0BA38-98F4-407E-A2E6-9670929CE448}">
            <x14:iconSet custom="1">
              <x14:cfvo type="percent">
                <xm:f>0</xm:f>
              </x14:cfvo>
              <x14:cfvo type="num">
                <xm:f>0</xm:f>
              </x14:cfvo>
              <x14:cfvo type="num">
                <xm:f>1</xm:f>
              </x14:cfvo>
              <x14:cfIcon iconSet="NoIcons" iconId="0"/>
              <x14:cfIcon iconSet="3TrafficLights1" iconId="2"/>
              <x14:cfIcon iconSet="3TrafficLights1" iconId="0"/>
            </x14:iconSet>
          </x14:cfRule>
          <xm:sqref>B77</xm:sqref>
        </x14:conditionalFormatting>
        <x14:conditionalFormatting xmlns:xm="http://schemas.microsoft.com/office/excel/2006/main">
          <x14:cfRule type="iconSet" priority="897" id="{DC0D69E2-35E3-4AEC-9948-F6DAA5044C49}">
            <x14:iconSet custom="1">
              <x14:cfvo type="percent">
                <xm:f>0</xm:f>
              </x14:cfvo>
              <x14:cfvo type="percent">
                <xm:f>0</xm:f>
              </x14:cfvo>
              <x14:cfvo type="percent" gte="0">
                <xm:f>5</xm:f>
              </x14:cfvo>
              <x14:cfIcon iconSet="NoIcons" iconId="0"/>
              <x14:cfIcon iconSet="3TrafficLights1" iconId="2"/>
              <x14:cfIcon iconSet="3TrafficLights1" iconId="0"/>
            </x14:iconSet>
          </x14:cfRule>
          <xm:sqref>C78</xm:sqref>
        </x14:conditionalFormatting>
        <x14:conditionalFormatting xmlns:xm="http://schemas.microsoft.com/office/excel/2006/main">
          <x14:cfRule type="iconSet" priority="898" id="{6BAB289D-B7A8-4B2E-A2B8-C545C7C4B260}">
            <x14:iconSet custom="1">
              <x14:cfvo type="percent">
                <xm:f>0</xm:f>
              </x14:cfvo>
              <x14:cfvo type="num">
                <xm:f>0</xm:f>
              </x14:cfvo>
              <x14:cfvo type="num">
                <xm:f>1</xm:f>
              </x14:cfvo>
              <x14:cfIcon iconSet="NoIcons" iconId="0"/>
              <x14:cfIcon iconSet="3TrafficLights1" iconId="2"/>
              <x14:cfIcon iconSet="3TrafficLights1" iconId="0"/>
            </x14:iconSet>
          </x14:cfRule>
          <xm:sqref>B78</xm:sqref>
        </x14:conditionalFormatting>
        <x14:conditionalFormatting xmlns:xm="http://schemas.microsoft.com/office/excel/2006/main">
          <x14:cfRule type="iconSet" priority="895" id="{405BEFDF-F631-49FD-A1C7-2901D4505700}">
            <x14:iconSet custom="1">
              <x14:cfvo type="percent">
                <xm:f>0</xm:f>
              </x14:cfvo>
              <x14:cfvo type="percent">
                <xm:f>0</xm:f>
              </x14:cfvo>
              <x14:cfvo type="percent" gte="0">
                <xm:f>5</xm:f>
              </x14:cfvo>
              <x14:cfIcon iconSet="NoIcons" iconId="0"/>
              <x14:cfIcon iconSet="3TrafficLights1" iconId="2"/>
              <x14:cfIcon iconSet="3TrafficLights1" iconId="0"/>
            </x14:iconSet>
          </x14:cfRule>
          <xm:sqref>C79</xm:sqref>
        </x14:conditionalFormatting>
        <x14:conditionalFormatting xmlns:xm="http://schemas.microsoft.com/office/excel/2006/main">
          <x14:cfRule type="iconSet" priority="896" id="{00582DC4-6F0A-4982-B54A-CFCBDBB2DF15}">
            <x14:iconSet custom="1">
              <x14:cfvo type="percent">
                <xm:f>0</xm:f>
              </x14:cfvo>
              <x14:cfvo type="num">
                <xm:f>0</xm:f>
              </x14:cfvo>
              <x14:cfvo type="num">
                <xm:f>1</xm:f>
              </x14:cfvo>
              <x14:cfIcon iconSet="NoIcons" iconId="0"/>
              <x14:cfIcon iconSet="3TrafficLights1" iconId="2"/>
              <x14:cfIcon iconSet="3TrafficLights1" iconId="0"/>
            </x14:iconSet>
          </x14:cfRule>
          <xm:sqref>B79</xm:sqref>
        </x14:conditionalFormatting>
        <x14:conditionalFormatting xmlns:xm="http://schemas.microsoft.com/office/excel/2006/main">
          <x14:cfRule type="iconSet" priority="891" id="{D41B62ED-F5FB-45FB-8A8A-91FF342A9435}">
            <x14:iconSet custom="1">
              <x14:cfvo type="percent">
                <xm:f>0</xm:f>
              </x14:cfvo>
              <x14:cfvo type="percent">
                <xm:f>0</xm:f>
              </x14:cfvo>
              <x14:cfvo type="percent" gte="0">
                <xm:f>5</xm:f>
              </x14:cfvo>
              <x14:cfIcon iconSet="NoIcons" iconId="0"/>
              <x14:cfIcon iconSet="3TrafficLights1" iconId="2"/>
              <x14:cfIcon iconSet="3TrafficLights1" iconId="0"/>
            </x14:iconSet>
          </x14:cfRule>
          <xm:sqref>C80</xm:sqref>
        </x14:conditionalFormatting>
        <x14:conditionalFormatting xmlns:xm="http://schemas.microsoft.com/office/excel/2006/main">
          <x14:cfRule type="iconSet" priority="892" id="{7BB52E4B-15BC-40CF-BF7C-BD52901221AF}">
            <x14:iconSet custom="1">
              <x14:cfvo type="percent">
                <xm:f>0</xm:f>
              </x14:cfvo>
              <x14:cfvo type="num">
                <xm:f>0</xm:f>
              </x14:cfvo>
              <x14:cfvo type="num">
                <xm:f>1</xm:f>
              </x14:cfvo>
              <x14:cfIcon iconSet="NoIcons" iconId="0"/>
              <x14:cfIcon iconSet="3TrafficLights1" iconId="2"/>
              <x14:cfIcon iconSet="3TrafficLights1" iconId="0"/>
            </x14:iconSet>
          </x14:cfRule>
          <xm:sqref>B80</xm:sqref>
        </x14:conditionalFormatting>
        <x14:conditionalFormatting xmlns:xm="http://schemas.microsoft.com/office/excel/2006/main">
          <x14:cfRule type="iconSet" priority="889" id="{7E0FCF0A-B993-488E-90F0-3743C8D04257}">
            <x14:iconSet custom="1">
              <x14:cfvo type="percent">
                <xm:f>0</xm:f>
              </x14:cfvo>
              <x14:cfvo type="percent">
                <xm:f>0</xm:f>
              </x14:cfvo>
              <x14:cfvo type="percent" gte="0">
                <xm:f>5</xm:f>
              </x14:cfvo>
              <x14:cfIcon iconSet="NoIcons" iconId="0"/>
              <x14:cfIcon iconSet="3TrafficLights1" iconId="2"/>
              <x14:cfIcon iconSet="3TrafficLights1" iconId="0"/>
            </x14:iconSet>
          </x14:cfRule>
          <xm:sqref>C81</xm:sqref>
        </x14:conditionalFormatting>
        <x14:conditionalFormatting xmlns:xm="http://schemas.microsoft.com/office/excel/2006/main">
          <x14:cfRule type="iconSet" priority="890" id="{EB4C148E-A71B-4A52-A047-66E29F7B8952}">
            <x14:iconSet custom="1">
              <x14:cfvo type="percent">
                <xm:f>0</xm:f>
              </x14:cfvo>
              <x14:cfvo type="num">
                <xm:f>0</xm:f>
              </x14:cfvo>
              <x14:cfvo type="num">
                <xm:f>1</xm:f>
              </x14:cfvo>
              <x14:cfIcon iconSet="NoIcons" iconId="0"/>
              <x14:cfIcon iconSet="3TrafficLights1" iconId="2"/>
              <x14:cfIcon iconSet="3TrafficLights1" iconId="0"/>
            </x14:iconSet>
          </x14:cfRule>
          <xm:sqref>B81</xm:sqref>
        </x14:conditionalFormatting>
        <x14:conditionalFormatting xmlns:xm="http://schemas.microsoft.com/office/excel/2006/main">
          <x14:cfRule type="iconSet" priority="887" id="{10C57E4C-ED68-4845-A535-3AF81180E100}">
            <x14:iconSet custom="1">
              <x14:cfvo type="percent">
                <xm:f>0</xm:f>
              </x14:cfvo>
              <x14:cfvo type="percent">
                <xm:f>0</xm:f>
              </x14:cfvo>
              <x14:cfvo type="percent" gte="0">
                <xm:f>5</xm:f>
              </x14:cfvo>
              <x14:cfIcon iconSet="NoIcons" iconId="0"/>
              <x14:cfIcon iconSet="3TrafficLights1" iconId="2"/>
              <x14:cfIcon iconSet="3TrafficLights1" iconId="0"/>
            </x14:iconSet>
          </x14:cfRule>
          <xm:sqref>C82</xm:sqref>
        </x14:conditionalFormatting>
        <x14:conditionalFormatting xmlns:xm="http://schemas.microsoft.com/office/excel/2006/main">
          <x14:cfRule type="iconSet" priority="888" id="{456F5C6D-A167-4200-9246-97FD1F4AAB9C}">
            <x14:iconSet custom="1">
              <x14:cfvo type="percent">
                <xm:f>0</xm:f>
              </x14:cfvo>
              <x14:cfvo type="num">
                <xm:f>0</xm:f>
              </x14:cfvo>
              <x14:cfvo type="num">
                <xm:f>1</xm:f>
              </x14:cfvo>
              <x14:cfIcon iconSet="NoIcons" iconId="0"/>
              <x14:cfIcon iconSet="3TrafficLights1" iconId="2"/>
              <x14:cfIcon iconSet="3TrafficLights1" iconId="0"/>
            </x14:iconSet>
          </x14:cfRule>
          <xm:sqref>B82</xm:sqref>
        </x14:conditionalFormatting>
        <x14:conditionalFormatting xmlns:xm="http://schemas.microsoft.com/office/excel/2006/main">
          <x14:cfRule type="iconSet" priority="885" id="{CF9AF9CD-EC10-4640-BB2F-70D7B9A75392}">
            <x14:iconSet custom="1">
              <x14:cfvo type="percent">
                <xm:f>0</xm:f>
              </x14:cfvo>
              <x14:cfvo type="percent">
                <xm:f>0</xm:f>
              </x14:cfvo>
              <x14:cfvo type="percent" gte="0">
                <xm:f>5</xm:f>
              </x14:cfvo>
              <x14:cfIcon iconSet="NoIcons" iconId="0"/>
              <x14:cfIcon iconSet="3TrafficLights1" iconId="2"/>
              <x14:cfIcon iconSet="3TrafficLights1" iconId="0"/>
            </x14:iconSet>
          </x14:cfRule>
          <xm:sqref>C83</xm:sqref>
        </x14:conditionalFormatting>
        <x14:conditionalFormatting xmlns:xm="http://schemas.microsoft.com/office/excel/2006/main">
          <x14:cfRule type="iconSet" priority="886" id="{56F5C871-1FC3-41EA-A031-F0E4DF1D3767}">
            <x14:iconSet custom="1">
              <x14:cfvo type="percent">
                <xm:f>0</xm:f>
              </x14:cfvo>
              <x14:cfvo type="num">
                <xm:f>0</xm:f>
              </x14:cfvo>
              <x14:cfvo type="num">
                <xm:f>1</xm:f>
              </x14:cfvo>
              <x14:cfIcon iconSet="NoIcons" iconId="0"/>
              <x14:cfIcon iconSet="3TrafficLights1" iconId="2"/>
              <x14:cfIcon iconSet="3TrafficLights1" iconId="0"/>
            </x14:iconSet>
          </x14:cfRule>
          <xm:sqref>B83</xm:sqref>
        </x14:conditionalFormatting>
        <x14:conditionalFormatting xmlns:xm="http://schemas.microsoft.com/office/excel/2006/main">
          <x14:cfRule type="iconSet" priority="883" id="{A40A0EAF-F255-45AF-80F0-4D1425518F1A}">
            <x14:iconSet custom="1">
              <x14:cfvo type="percent">
                <xm:f>0</xm:f>
              </x14:cfvo>
              <x14:cfvo type="percent">
                <xm:f>0</xm:f>
              </x14:cfvo>
              <x14:cfvo type="percent" gte="0">
                <xm:f>5</xm:f>
              </x14:cfvo>
              <x14:cfIcon iconSet="NoIcons" iconId="0"/>
              <x14:cfIcon iconSet="3TrafficLights1" iconId="2"/>
              <x14:cfIcon iconSet="3TrafficLights1" iconId="0"/>
            </x14:iconSet>
          </x14:cfRule>
          <xm:sqref>C84</xm:sqref>
        </x14:conditionalFormatting>
        <x14:conditionalFormatting xmlns:xm="http://schemas.microsoft.com/office/excel/2006/main">
          <x14:cfRule type="iconSet" priority="884" id="{F2082835-11B9-4A4F-B06F-4BE8034EC978}">
            <x14:iconSet custom="1">
              <x14:cfvo type="percent">
                <xm:f>0</xm:f>
              </x14:cfvo>
              <x14:cfvo type="num">
                <xm:f>0</xm:f>
              </x14:cfvo>
              <x14:cfvo type="num">
                <xm:f>1</xm:f>
              </x14:cfvo>
              <x14:cfIcon iconSet="NoIcons" iconId="0"/>
              <x14:cfIcon iconSet="3TrafficLights1" iconId="2"/>
              <x14:cfIcon iconSet="3TrafficLights1" iconId="0"/>
            </x14:iconSet>
          </x14:cfRule>
          <xm:sqref>B84</xm:sqref>
        </x14:conditionalFormatting>
        <x14:conditionalFormatting xmlns:xm="http://schemas.microsoft.com/office/excel/2006/main">
          <x14:cfRule type="iconSet" priority="881" id="{3E972106-377B-4818-AABC-59389D99B42D}">
            <x14:iconSet custom="1">
              <x14:cfvo type="percent">
                <xm:f>0</xm:f>
              </x14:cfvo>
              <x14:cfvo type="percent">
                <xm:f>0</xm:f>
              </x14:cfvo>
              <x14:cfvo type="percent" gte="0">
                <xm:f>5</xm:f>
              </x14:cfvo>
              <x14:cfIcon iconSet="NoIcons" iconId="0"/>
              <x14:cfIcon iconSet="3TrafficLights1" iconId="2"/>
              <x14:cfIcon iconSet="3TrafficLights1" iconId="0"/>
            </x14:iconSet>
          </x14:cfRule>
          <xm:sqref>C85</xm:sqref>
        </x14:conditionalFormatting>
        <x14:conditionalFormatting xmlns:xm="http://schemas.microsoft.com/office/excel/2006/main">
          <x14:cfRule type="iconSet" priority="882" id="{7807940F-81F5-49C0-86FC-687F29C1122B}">
            <x14:iconSet custom="1">
              <x14:cfvo type="percent">
                <xm:f>0</xm:f>
              </x14:cfvo>
              <x14:cfvo type="num">
                <xm:f>0</xm:f>
              </x14:cfvo>
              <x14:cfvo type="num">
                <xm:f>1</xm:f>
              </x14:cfvo>
              <x14:cfIcon iconSet="NoIcons" iconId="0"/>
              <x14:cfIcon iconSet="3TrafficLights1" iconId="2"/>
              <x14:cfIcon iconSet="3TrafficLights1" iconId="0"/>
            </x14:iconSet>
          </x14:cfRule>
          <xm:sqref>B85</xm:sqref>
        </x14:conditionalFormatting>
        <x14:conditionalFormatting xmlns:xm="http://schemas.microsoft.com/office/excel/2006/main">
          <x14:cfRule type="iconSet" priority="879" id="{3FADB066-68A2-4719-8F81-E4B789D5EF57}">
            <x14:iconSet custom="1">
              <x14:cfvo type="percent">
                <xm:f>0</xm:f>
              </x14:cfvo>
              <x14:cfvo type="percent">
                <xm:f>0</xm:f>
              </x14:cfvo>
              <x14:cfvo type="percent" gte="0">
                <xm:f>5</xm:f>
              </x14:cfvo>
              <x14:cfIcon iconSet="NoIcons" iconId="0"/>
              <x14:cfIcon iconSet="3TrafficLights1" iconId="2"/>
              <x14:cfIcon iconSet="3TrafficLights1" iconId="0"/>
            </x14:iconSet>
          </x14:cfRule>
          <xm:sqref>C86</xm:sqref>
        </x14:conditionalFormatting>
        <x14:conditionalFormatting xmlns:xm="http://schemas.microsoft.com/office/excel/2006/main">
          <x14:cfRule type="iconSet" priority="880" id="{572865E0-8E7B-4E81-AE09-103947095665}">
            <x14:iconSet custom="1">
              <x14:cfvo type="percent">
                <xm:f>0</xm:f>
              </x14:cfvo>
              <x14:cfvo type="num">
                <xm:f>0</xm:f>
              </x14:cfvo>
              <x14:cfvo type="num">
                <xm:f>1</xm:f>
              </x14:cfvo>
              <x14:cfIcon iconSet="NoIcons" iconId="0"/>
              <x14:cfIcon iconSet="3TrafficLights1" iconId="2"/>
              <x14:cfIcon iconSet="3TrafficLights1" iconId="0"/>
            </x14:iconSet>
          </x14:cfRule>
          <xm:sqref>B86</xm:sqref>
        </x14:conditionalFormatting>
        <x14:conditionalFormatting xmlns:xm="http://schemas.microsoft.com/office/excel/2006/main">
          <x14:cfRule type="iconSet" priority="877" id="{A180DB4A-D52E-4A6A-95FC-881E17CF51A2}">
            <x14:iconSet custom="1">
              <x14:cfvo type="percent">
                <xm:f>0</xm:f>
              </x14:cfvo>
              <x14:cfvo type="percent">
                <xm:f>0</xm:f>
              </x14:cfvo>
              <x14:cfvo type="percent" gte="0">
                <xm:f>5</xm:f>
              </x14:cfvo>
              <x14:cfIcon iconSet="NoIcons" iconId="0"/>
              <x14:cfIcon iconSet="3TrafficLights1" iconId="2"/>
              <x14:cfIcon iconSet="3TrafficLights1" iconId="0"/>
            </x14:iconSet>
          </x14:cfRule>
          <xm:sqref>C87</xm:sqref>
        </x14:conditionalFormatting>
        <x14:conditionalFormatting xmlns:xm="http://schemas.microsoft.com/office/excel/2006/main">
          <x14:cfRule type="iconSet" priority="878" id="{DCBCD50C-8AEF-449E-95B8-E299565CD50F}">
            <x14:iconSet custom="1">
              <x14:cfvo type="percent">
                <xm:f>0</xm:f>
              </x14:cfvo>
              <x14:cfvo type="num">
                <xm:f>0</xm:f>
              </x14:cfvo>
              <x14:cfvo type="num">
                <xm:f>1</xm:f>
              </x14:cfvo>
              <x14:cfIcon iconSet="NoIcons" iconId="0"/>
              <x14:cfIcon iconSet="3TrafficLights1" iconId="2"/>
              <x14:cfIcon iconSet="3TrafficLights1" iconId="0"/>
            </x14:iconSet>
          </x14:cfRule>
          <xm:sqref>B87</xm:sqref>
        </x14:conditionalFormatting>
        <x14:conditionalFormatting xmlns:xm="http://schemas.microsoft.com/office/excel/2006/main">
          <x14:cfRule type="iconSet" priority="875" id="{3B945644-B154-4A37-84B5-249D3600288A}">
            <x14:iconSet custom="1">
              <x14:cfvo type="percent">
                <xm:f>0</xm:f>
              </x14:cfvo>
              <x14:cfvo type="percent">
                <xm:f>0</xm:f>
              </x14:cfvo>
              <x14:cfvo type="percent" gte="0">
                <xm:f>5</xm:f>
              </x14:cfvo>
              <x14:cfIcon iconSet="NoIcons" iconId="0"/>
              <x14:cfIcon iconSet="3TrafficLights1" iconId="2"/>
              <x14:cfIcon iconSet="3TrafficLights1" iconId="0"/>
            </x14:iconSet>
          </x14:cfRule>
          <xm:sqref>C88</xm:sqref>
        </x14:conditionalFormatting>
        <x14:conditionalFormatting xmlns:xm="http://schemas.microsoft.com/office/excel/2006/main">
          <x14:cfRule type="iconSet" priority="876" id="{D01A138C-E5AA-449D-8724-C7DBBB19565A}">
            <x14:iconSet custom="1">
              <x14:cfvo type="percent">
                <xm:f>0</xm:f>
              </x14:cfvo>
              <x14:cfvo type="num">
                <xm:f>0</xm:f>
              </x14:cfvo>
              <x14:cfvo type="num">
                <xm:f>1</xm:f>
              </x14:cfvo>
              <x14:cfIcon iconSet="NoIcons" iconId="0"/>
              <x14:cfIcon iconSet="3TrafficLights1" iconId="2"/>
              <x14:cfIcon iconSet="3TrafficLights1" iconId="0"/>
            </x14:iconSet>
          </x14:cfRule>
          <xm:sqref>B88</xm:sqref>
        </x14:conditionalFormatting>
        <x14:conditionalFormatting xmlns:xm="http://schemas.microsoft.com/office/excel/2006/main">
          <x14:cfRule type="iconSet" priority="873" id="{CD54E149-2CEA-4EEE-A499-ABDF118AFCF1}">
            <x14:iconSet custom="1">
              <x14:cfvo type="percent">
                <xm:f>0</xm:f>
              </x14:cfvo>
              <x14:cfvo type="percent">
                <xm:f>0</xm:f>
              </x14:cfvo>
              <x14:cfvo type="percent" gte="0">
                <xm:f>5</xm:f>
              </x14:cfvo>
              <x14:cfIcon iconSet="NoIcons" iconId="0"/>
              <x14:cfIcon iconSet="3TrafficLights1" iconId="2"/>
              <x14:cfIcon iconSet="3TrafficLights1" iconId="0"/>
            </x14:iconSet>
          </x14:cfRule>
          <xm:sqref>C89</xm:sqref>
        </x14:conditionalFormatting>
        <x14:conditionalFormatting xmlns:xm="http://schemas.microsoft.com/office/excel/2006/main">
          <x14:cfRule type="iconSet" priority="874" id="{E4957922-B409-424C-A913-48B4CAEF9A7A}">
            <x14:iconSet custom="1">
              <x14:cfvo type="percent">
                <xm:f>0</xm:f>
              </x14:cfvo>
              <x14:cfvo type="num">
                <xm:f>0</xm:f>
              </x14:cfvo>
              <x14:cfvo type="num">
                <xm:f>1</xm:f>
              </x14:cfvo>
              <x14:cfIcon iconSet="NoIcons" iconId="0"/>
              <x14:cfIcon iconSet="3TrafficLights1" iconId="2"/>
              <x14:cfIcon iconSet="3TrafficLights1" iconId="0"/>
            </x14:iconSet>
          </x14:cfRule>
          <xm:sqref>B89</xm:sqref>
        </x14:conditionalFormatting>
        <x14:conditionalFormatting xmlns:xm="http://schemas.microsoft.com/office/excel/2006/main">
          <x14:cfRule type="iconSet" priority="871" id="{96F8026D-7F57-4357-B497-4156ED4F78FC}">
            <x14:iconSet custom="1">
              <x14:cfvo type="percent">
                <xm:f>0</xm:f>
              </x14:cfvo>
              <x14:cfvo type="percent">
                <xm:f>0</xm:f>
              </x14:cfvo>
              <x14:cfvo type="percent" gte="0">
                <xm:f>5</xm:f>
              </x14:cfvo>
              <x14:cfIcon iconSet="NoIcons" iconId="0"/>
              <x14:cfIcon iconSet="3TrafficLights1" iconId="2"/>
              <x14:cfIcon iconSet="3TrafficLights1" iconId="0"/>
            </x14:iconSet>
          </x14:cfRule>
          <xm:sqref>C90</xm:sqref>
        </x14:conditionalFormatting>
        <x14:conditionalFormatting xmlns:xm="http://schemas.microsoft.com/office/excel/2006/main">
          <x14:cfRule type="iconSet" priority="872" id="{76DBE240-1D6A-458E-8186-8E606EB5211F}">
            <x14:iconSet custom="1">
              <x14:cfvo type="percent">
                <xm:f>0</xm:f>
              </x14:cfvo>
              <x14:cfvo type="num">
                <xm:f>0</xm:f>
              </x14:cfvo>
              <x14:cfvo type="num">
                <xm:f>1</xm:f>
              </x14:cfvo>
              <x14:cfIcon iconSet="NoIcons" iconId="0"/>
              <x14:cfIcon iconSet="3TrafficLights1" iconId="2"/>
              <x14:cfIcon iconSet="3TrafficLights1" iconId="0"/>
            </x14:iconSet>
          </x14:cfRule>
          <xm:sqref>B90</xm:sqref>
        </x14:conditionalFormatting>
        <x14:conditionalFormatting xmlns:xm="http://schemas.microsoft.com/office/excel/2006/main">
          <x14:cfRule type="iconSet" priority="869" id="{AD237DBB-BB6D-4836-944C-886364BF7D7D}">
            <x14:iconSet custom="1">
              <x14:cfvo type="percent">
                <xm:f>0</xm:f>
              </x14:cfvo>
              <x14:cfvo type="percent">
                <xm:f>0</xm:f>
              </x14:cfvo>
              <x14:cfvo type="percent" gte="0">
                <xm:f>5</xm:f>
              </x14:cfvo>
              <x14:cfIcon iconSet="NoIcons" iconId="0"/>
              <x14:cfIcon iconSet="3TrafficLights1" iconId="2"/>
              <x14:cfIcon iconSet="3TrafficLights1" iconId="0"/>
            </x14:iconSet>
          </x14:cfRule>
          <xm:sqref>C91</xm:sqref>
        </x14:conditionalFormatting>
        <x14:conditionalFormatting xmlns:xm="http://schemas.microsoft.com/office/excel/2006/main">
          <x14:cfRule type="iconSet" priority="870" id="{69DD8DF3-CA3F-4470-87C7-C64DC730B357}">
            <x14:iconSet custom="1">
              <x14:cfvo type="percent">
                <xm:f>0</xm:f>
              </x14:cfvo>
              <x14:cfvo type="num">
                <xm:f>0</xm:f>
              </x14:cfvo>
              <x14:cfvo type="num">
                <xm:f>1</xm:f>
              </x14:cfvo>
              <x14:cfIcon iconSet="NoIcons" iconId="0"/>
              <x14:cfIcon iconSet="3TrafficLights1" iconId="2"/>
              <x14:cfIcon iconSet="3TrafficLights1" iconId="0"/>
            </x14:iconSet>
          </x14:cfRule>
          <xm:sqref>B91</xm:sqref>
        </x14:conditionalFormatting>
        <x14:conditionalFormatting xmlns:xm="http://schemas.microsoft.com/office/excel/2006/main">
          <x14:cfRule type="iconSet" priority="867" id="{67A7B984-B744-4C30-BAF7-AC7798764A21}">
            <x14:iconSet custom="1">
              <x14:cfvo type="percent">
                <xm:f>0</xm:f>
              </x14:cfvo>
              <x14:cfvo type="percent">
                <xm:f>0</xm:f>
              </x14:cfvo>
              <x14:cfvo type="percent" gte="0">
                <xm:f>5</xm:f>
              </x14:cfvo>
              <x14:cfIcon iconSet="NoIcons" iconId="0"/>
              <x14:cfIcon iconSet="3TrafficLights1" iconId="2"/>
              <x14:cfIcon iconSet="3TrafficLights1" iconId="0"/>
            </x14:iconSet>
          </x14:cfRule>
          <xm:sqref>C92</xm:sqref>
        </x14:conditionalFormatting>
        <x14:conditionalFormatting xmlns:xm="http://schemas.microsoft.com/office/excel/2006/main">
          <x14:cfRule type="iconSet" priority="868" id="{AE0CE24D-9207-4291-817E-5E962AC1D3FE}">
            <x14:iconSet custom="1">
              <x14:cfvo type="percent">
                <xm:f>0</xm:f>
              </x14:cfvo>
              <x14:cfvo type="num">
                <xm:f>0</xm:f>
              </x14:cfvo>
              <x14:cfvo type="num">
                <xm:f>1</xm:f>
              </x14:cfvo>
              <x14:cfIcon iconSet="NoIcons" iconId="0"/>
              <x14:cfIcon iconSet="3TrafficLights1" iconId="2"/>
              <x14:cfIcon iconSet="3TrafficLights1" iconId="0"/>
            </x14:iconSet>
          </x14:cfRule>
          <xm:sqref>B92</xm:sqref>
        </x14:conditionalFormatting>
        <x14:conditionalFormatting xmlns:xm="http://schemas.microsoft.com/office/excel/2006/main">
          <x14:cfRule type="iconSet" priority="863" id="{E22F00C7-043E-4EB2-95BD-7CEAA3A93290}">
            <x14:iconSet custom="1">
              <x14:cfvo type="percent">
                <xm:f>0</xm:f>
              </x14:cfvo>
              <x14:cfvo type="percent">
                <xm:f>0</xm:f>
              </x14:cfvo>
              <x14:cfvo type="percent" gte="0">
                <xm:f>5</xm:f>
              </x14:cfvo>
              <x14:cfIcon iconSet="NoIcons" iconId="0"/>
              <x14:cfIcon iconSet="3TrafficLights1" iconId="2"/>
              <x14:cfIcon iconSet="3TrafficLights1" iconId="0"/>
            </x14:iconSet>
          </x14:cfRule>
          <xm:sqref>C93</xm:sqref>
        </x14:conditionalFormatting>
        <x14:conditionalFormatting xmlns:xm="http://schemas.microsoft.com/office/excel/2006/main">
          <x14:cfRule type="iconSet" priority="864" id="{ABE59314-23A1-4E67-A4EA-A6E640AE2A99}">
            <x14:iconSet custom="1">
              <x14:cfvo type="percent">
                <xm:f>0</xm:f>
              </x14:cfvo>
              <x14:cfvo type="num">
                <xm:f>0</xm:f>
              </x14:cfvo>
              <x14:cfvo type="num">
                <xm:f>1</xm:f>
              </x14:cfvo>
              <x14:cfIcon iconSet="NoIcons" iconId="0"/>
              <x14:cfIcon iconSet="3TrafficLights1" iconId="2"/>
              <x14:cfIcon iconSet="3TrafficLights1" iconId="0"/>
            </x14:iconSet>
          </x14:cfRule>
          <xm:sqref>B93</xm:sqref>
        </x14:conditionalFormatting>
        <x14:conditionalFormatting xmlns:xm="http://schemas.microsoft.com/office/excel/2006/main">
          <x14:cfRule type="iconSet" priority="829" id="{E5980808-ADCC-4794-81CC-54341CCD5E38}">
            <x14:iconSet custom="1">
              <x14:cfvo type="percent">
                <xm:f>0</xm:f>
              </x14:cfvo>
              <x14:cfvo type="percent">
                <xm:f>0</xm:f>
              </x14:cfvo>
              <x14:cfvo type="percent" gte="0">
                <xm:f>5</xm:f>
              </x14:cfvo>
              <x14:cfIcon iconSet="NoIcons" iconId="0"/>
              <x14:cfIcon iconSet="3TrafficLights1" iconId="2"/>
              <x14:cfIcon iconSet="3TrafficLights1" iconId="0"/>
            </x14:iconSet>
          </x14:cfRule>
          <xm:sqref>C94</xm:sqref>
        </x14:conditionalFormatting>
        <x14:conditionalFormatting xmlns:xm="http://schemas.microsoft.com/office/excel/2006/main">
          <x14:cfRule type="iconSet" priority="830" id="{DA5F3AD2-A5BF-4E01-8D19-790CCD1FB96D}">
            <x14:iconSet custom="1">
              <x14:cfvo type="percent">
                <xm:f>0</xm:f>
              </x14:cfvo>
              <x14:cfvo type="num">
                <xm:f>0</xm:f>
              </x14:cfvo>
              <x14:cfvo type="num">
                <xm:f>1</xm:f>
              </x14:cfvo>
              <x14:cfIcon iconSet="NoIcons" iconId="0"/>
              <x14:cfIcon iconSet="3TrafficLights1" iconId="2"/>
              <x14:cfIcon iconSet="3TrafficLights1" iconId="0"/>
            </x14:iconSet>
          </x14:cfRule>
          <xm:sqref>B94</xm:sqref>
        </x14:conditionalFormatting>
        <x14:conditionalFormatting xmlns:xm="http://schemas.microsoft.com/office/excel/2006/main">
          <x14:cfRule type="iconSet" priority="825" id="{18A7F3DD-253B-404F-89D6-10F6CD68602C}">
            <x14:iconSet custom="1">
              <x14:cfvo type="percent">
                <xm:f>0</xm:f>
              </x14:cfvo>
              <x14:cfvo type="percent">
                <xm:f>0</xm:f>
              </x14:cfvo>
              <x14:cfvo type="percent" gte="0">
                <xm:f>5</xm:f>
              </x14:cfvo>
              <x14:cfIcon iconSet="NoIcons" iconId="0"/>
              <x14:cfIcon iconSet="3TrafficLights1" iconId="2"/>
              <x14:cfIcon iconSet="3TrafficLights1" iconId="0"/>
            </x14:iconSet>
          </x14:cfRule>
          <xm:sqref>C95</xm:sqref>
        </x14:conditionalFormatting>
        <x14:conditionalFormatting xmlns:xm="http://schemas.microsoft.com/office/excel/2006/main">
          <x14:cfRule type="iconSet" priority="826" id="{0528D347-CD33-4A65-B9E0-35644B7E236A}">
            <x14:iconSet custom="1">
              <x14:cfvo type="percent">
                <xm:f>0</xm:f>
              </x14:cfvo>
              <x14:cfvo type="num">
                <xm:f>0</xm:f>
              </x14:cfvo>
              <x14:cfvo type="num">
                <xm:f>1</xm:f>
              </x14:cfvo>
              <x14:cfIcon iconSet="NoIcons" iconId="0"/>
              <x14:cfIcon iconSet="3TrafficLights1" iconId="2"/>
              <x14:cfIcon iconSet="3TrafficLights1" iconId="0"/>
            </x14:iconSet>
          </x14:cfRule>
          <xm:sqref>B95</xm:sqref>
        </x14:conditionalFormatting>
        <x14:conditionalFormatting xmlns:xm="http://schemas.microsoft.com/office/excel/2006/main">
          <x14:cfRule type="iconSet" priority="821" id="{7F7C4F43-BBF7-4C07-9F0F-9940ED0C3639}">
            <x14:iconSet custom="1">
              <x14:cfvo type="percent">
                <xm:f>0</xm:f>
              </x14:cfvo>
              <x14:cfvo type="percent">
                <xm:f>0</xm:f>
              </x14:cfvo>
              <x14:cfvo type="percent" gte="0">
                <xm:f>5</xm:f>
              </x14:cfvo>
              <x14:cfIcon iconSet="NoIcons" iconId="0"/>
              <x14:cfIcon iconSet="3TrafficLights1" iconId="2"/>
              <x14:cfIcon iconSet="3TrafficLights1" iconId="0"/>
            </x14:iconSet>
          </x14:cfRule>
          <xm:sqref>C96</xm:sqref>
        </x14:conditionalFormatting>
        <x14:conditionalFormatting xmlns:xm="http://schemas.microsoft.com/office/excel/2006/main">
          <x14:cfRule type="iconSet" priority="822" id="{C20C2661-F650-45F8-847C-A65D2B96AB56}">
            <x14:iconSet custom="1">
              <x14:cfvo type="percent">
                <xm:f>0</xm:f>
              </x14:cfvo>
              <x14:cfvo type="num">
                <xm:f>0</xm:f>
              </x14:cfvo>
              <x14:cfvo type="num">
                <xm:f>1</xm:f>
              </x14:cfvo>
              <x14:cfIcon iconSet="NoIcons" iconId="0"/>
              <x14:cfIcon iconSet="3TrafficLights1" iconId="2"/>
              <x14:cfIcon iconSet="3TrafficLights1" iconId="0"/>
            </x14:iconSet>
          </x14:cfRule>
          <xm:sqref>B96</xm:sqref>
        </x14:conditionalFormatting>
        <x14:conditionalFormatting xmlns:xm="http://schemas.microsoft.com/office/excel/2006/main">
          <x14:cfRule type="iconSet" priority="815" id="{F49DBA2B-FA03-4142-9CDE-4AF38A76B130}">
            <x14:iconSet custom="1">
              <x14:cfvo type="percent">
                <xm:f>0</xm:f>
              </x14:cfvo>
              <x14:cfvo type="percent">
                <xm:f>0</xm:f>
              </x14:cfvo>
              <x14:cfvo type="percent" gte="0">
                <xm:f>5</xm:f>
              </x14:cfvo>
              <x14:cfIcon iconSet="NoIcons" iconId="0"/>
              <x14:cfIcon iconSet="3TrafficLights1" iconId="2"/>
              <x14:cfIcon iconSet="3TrafficLights1" iconId="0"/>
            </x14:iconSet>
          </x14:cfRule>
          <xm:sqref>C97</xm:sqref>
        </x14:conditionalFormatting>
        <x14:conditionalFormatting xmlns:xm="http://schemas.microsoft.com/office/excel/2006/main">
          <x14:cfRule type="iconSet" priority="816" id="{014B69D0-5F54-4E3E-8644-17DDEB6A2525}">
            <x14:iconSet custom="1">
              <x14:cfvo type="percent">
                <xm:f>0</xm:f>
              </x14:cfvo>
              <x14:cfvo type="num">
                <xm:f>0</xm:f>
              </x14:cfvo>
              <x14:cfvo type="num">
                <xm:f>1</xm:f>
              </x14:cfvo>
              <x14:cfIcon iconSet="NoIcons" iconId="0"/>
              <x14:cfIcon iconSet="3TrafficLights1" iconId="2"/>
              <x14:cfIcon iconSet="3TrafficLights1" iconId="0"/>
            </x14:iconSet>
          </x14:cfRule>
          <xm:sqref>B97</xm:sqref>
        </x14:conditionalFormatting>
        <x14:conditionalFormatting xmlns:xm="http://schemas.microsoft.com/office/excel/2006/main">
          <x14:cfRule type="iconSet" priority="807" id="{1AC66418-4F28-4C91-A4D9-12CE4F4DDE09}">
            <x14:iconSet custom="1">
              <x14:cfvo type="percent">
                <xm:f>0</xm:f>
              </x14:cfvo>
              <x14:cfvo type="percent">
                <xm:f>0</xm:f>
              </x14:cfvo>
              <x14:cfvo type="percent" gte="0">
                <xm:f>5</xm:f>
              </x14:cfvo>
              <x14:cfIcon iconSet="NoIcons" iconId="0"/>
              <x14:cfIcon iconSet="3TrafficLights1" iconId="2"/>
              <x14:cfIcon iconSet="3TrafficLights1" iconId="0"/>
            </x14:iconSet>
          </x14:cfRule>
          <xm:sqref>C98</xm:sqref>
        </x14:conditionalFormatting>
        <x14:conditionalFormatting xmlns:xm="http://schemas.microsoft.com/office/excel/2006/main">
          <x14:cfRule type="iconSet" priority="808" id="{9FBAFB2B-F94A-4429-B0D4-73FE7BB22E31}">
            <x14:iconSet custom="1">
              <x14:cfvo type="percent">
                <xm:f>0</xm:f>
              </x14:cfvo>
              <x14:cfvo type="num">
                <xm:f>0</xm:f>
              </x14:cfvo>
              <x14:cfvo type="num">
                <xm:f>1</xm:f>
              </x14:cfvo>
              <x14:cfIcon iconSet="NoIcons" iconId="0"/>
              <x14:cfIcon iconSet="3TrafficLights1" iconId="2"/>
              <x14:cfIcon iconSet="3TrafficLights1" iconId="0"/>
            </x14:iconSet>
          </x14:cfRule>
          <xm:sqref>B98</xm:sqref>
        </x14:conditionalFormatting>
        <x14:conditionalFormatting xmlns:xm="http://schemas.microsoft.com/office/excel/2006/main">
          <x14:cfRule type="iconSet" priority="797" id="{3F8460E5-A9A4-4A17-B4D3-FE6D14443227}">
            <x14:iconSet custom="1">
              <x14:cfvo type="percent">
                <xm:f>0</xm:f>
              </x14:cfvo>
              <x14:cfvo type="percent">
                <xm:f>0</xm:f>
              </x14:cfvo>
              <x14:cfvo type="percent" gte="0">
                <xm:f>5</xm:f>
              </x14:cfvo>
              <x14:cfIcon iconSet="NoIcons" iconId="0"/>
              <x14:cfIcon iconSet="3TrafficLights1" iconId="2"/>
              <x14:cfIcon iconSet="3TrafficLights1" iconId="0"/>
            </x14:iconSet>
          </x14:cfRule>
          <xm:sqref>C99</xm:sqref>
        </x14:conditionalFormatting>
        <x14:conditionalFormatting xmlns:xm="http://schemas.microsoft.com/office/excel/2006/main">
          <x14:cfRule type="iconSet" priority="798" id="{5B2937FC-9818-4DD6-BEC4-14630EBE4EFB}">
            <x14:iconSet custom="1">
              <x14:cfvo type="percent">
                <xm:f>0</xm:f>
              </x14:cfvo>
              <x14:cfvo type="num">
                <xm:f>0</xm:f>
              </x14:cfvo>
              <x14:cfvo type="num">
                <xm:f>1</xm:f>
              </x14:cfvo>
              <x14:cfIcon iconSet="NoIcons" iconId="0"/>
              <x14:cfIcon iconSet="3TrafficLights1" iconId="2"/>
              <x14:cfIcon iconSet="3TrafficLights1" iconId="0"/>
            </x14:iconSet>
          </x14:cfRule>
          <xm:sqref>B99</xm:sqref>
        </x14:conditionalFormatting>
        <x14:conditionalFormatting xmlns:xm="http://schemas.microsoft.com/office/excel/2006/main">
          <x14:cfRule type="iconSet" priority="793" id="{94882C8F-05B9-4966-A36A-0DE1DDEDEF38}">
            <x14:iconSet custom="1">
              <x14:cfvo type="percent">
                <xm:f>0</xm:f>
              </x14:cfvo>
              <x14:cfvo type="percent">
                <xm:f>0</xm:f>
              </x14:cfvo>
              <x14:cfvo type="percent" gte="0">
                <xm:f>5</xm:f>
              </x14:cfvo>
              <x14:cfIcon iconSet="NoIcons" iconId="0"/>
              <x14:cfIcon iconSet="3TrafficLights1" iconId="2"/>
              <x14:cfIcon iconSet="3TrafficLights1" iconId="0"/>
            </x14:iconSet>
          </x14:cfRule>
          <xm:sqref>C100</xm:sqref>
        </x14:conditionalFormatting>
        <x14:conditionalFormatting xmlns:xm="http://schemas.microsoft.com/office/excel/2006/main">
          <x14:cfRule type="iconSet" priority="794" id="{3801861D-0AE2-46B5-826B-08E72A2B166C}">
            <x14:iconSet custom="1">
              <x14:cfvo type="percent">
                <xm:f>0</xm:f>
              </x14:cfvo>
              <x14:cfvo type="num">
                <xm:f>0</xm:f>
              </x14:cfvo>
              <x14:cfvo type="num">
                <xm:f>1</xm:f>
              </x14:cfvo>
              <x14:cfIcon iconSet="NoIcons" iconId="0"/>
              <x14:cfIcon iconSet="3TrafficLights1" iconId="2"/>
              <x14:cfIcon iconSet="3TrafficLights1" iconId="0"/>
            </x14:iconSet>
          </x14:cfRule>
          <xm:sqref>B100</xm:sqref>
        </x14:conditionalFormatting>
        <x14:conditionalFormatting xmlns:xm="http://schemas.microsoft.com/office/excel/2006/main">
          <x14:cfRule type="iconSet" priority="791" id="{5DEA612F-49B7-4EAA-B215-A9D4F12E7BF5}">
            <x14:iconSet custom="1">
              <x14:cfvo type="percent">
                <xm:f>0</xm:f>
              </x14:cfvo>
              <x14:cfvo type="percent">
                <xm:f>0</xm:f>
              </x14:cfvo>
              <x14:cfvo type="percent" gte="0">
                <xm:f>5</xm:f>
              </x14:cfvo>
              <x14:cfIcon iconSet="NoIcons" iconId="0"/>
              <x14:cfIcon iconSet="3TrafficLights1" iconId="2"/>
              <x14:cfIcon iconSet="3TrafficLights1" iconId="0"/>
            </x14:iconSet>
          </x14:cfRule>
          <xm:sqref>C101</xm:sqref>
        </x14:conditionalFormatting>
        <x14:conditionalFormatting xmlns:xm="http://schemas.microsoft.com/office/excel/2006/main">
          <x14:cfRule type="iconSet" priority="792" id="{6DE47EB2-45DA-49B2-939C-874A638B839F}">
            <x14:iconSet custom="1">
              <x14:cfvo type="percent">
                <xm:f>0</xm:f>
              </x14:cfvo>
              <x14:cfvo type="num">
                <xm:f>0</xm:f>
              </x14:cfvo>
              <x14:cfvo type="num">
                <xm:f>1</xm:f>
              </x14:cfvo>
              <x14:cfIcon iconSet="NoIcons" iconId="0"/>
              <x14:cfIcon iconSet="3TrafficLights1" iconId="2"/>
              <x14:cfIcon iconSet="3TrafficLights1" iconId="0"/>
            </x14:iconSet>
          </x14:cfRule>
          <xm:sqref>B101</xm:sqref>
        </x14:conditionalFormatting>
        <x14:conditionalFormatting xmlns:xm="http://schemas.microsoft.com/office/excel/2006/main">
          <x14:cfRule type="iconSet" priority="789" id="{DD5B0B66-2D46-4628-B387-07061743BB8A}">
            <x14:iconSet custom="1">
              <x14:cfvo type="percent">
                <xm:f>0</xm:f>
              </x14:cfvo>
              <x14:cfvo type="percent">
                <xm:f>0</xm:f>
              </x14:cfvo>
              <x14:cfvo type="percent" gte="0">
                <xm:f>5</xm:f>
              </x14:cfvo>
              <x14:cfIcon iconSet="NoIcons" iconId="0"/>
              <x14:cfIcon iconSet="3TrafficLights1" iconId="2"/>
              <x14:cfIcon iconSet="3TrafficLights1" iconId="0"/>
            </x14:iconSet>
          </x14:cfRule>
          <xm:sqref>C102</xm:sqref>
        </x14:conditionalFormatting>
        <x14:conditionalFormatting xmlns:xm="http://schemas.microsoft.com/office/excel/2006/main">
          <x14:cfRule type="iconSet" priority="790" id="{C0A0B6BE-7B6C-44BF-A69C-D6757D6896FC}">
            <x14:iconSet custom="1">
              <x14:cfvo type="percent">
                <xm:f>0</xm:f>
              </x14:cfvo>
              <x14:cfvo type="num">
                <xm:f>0</xm:f>
              </x14:cfvo>
              <x14:cfvo type="num">
                <xm:f>1</xm:f>
              </x14:cfvo>
              <x14:cfIcon iconSet="NoIcons" iconId="0"/>
              <x14:cfIcon iconSet="3TrafficLights1" iconId="2"/>
              <x14:cfIcon iconSet="3TrafficLights1" iconId="0"/>
            </x14:iconSet>
          </x14:cfRule>
          <xm:sqref>B102</xm:sqref>
        </x14:conditionalFormatting>
        <x14:conditionalFormatting xmlns:xm="http://schemas.microsoft.com/office/excel/2006/main">
          <x14:cfRule type="iconSet" priority="787" id="{73B98E41-D42F-42B6-B652-62DCE9242507}">
            <x14:iconSet custom="1">
              <x14:cfvo type="percent">
                <xm:f>0</xm:f>
              </x14:cfvo>
              <x14:cfvo type="percent">
                <xm:f>0</xm:f>
              </x14:cfvo>
              <x14:cfvo type="percent" gte="0">
                <xm:f>5</xm:f>
              </x14:cfvo>
              <x14:cfIcon iconSet="NoIcons" iconId="0"/>
              <x14:cfIcon iconSet="3TrafficLights1" iconId="2"/>
              <x14:cfIcon iconSet="3TrafficLights1" iconId="0"/>
            </x14:iconSet>
          </x14:cfRule>
          <xm:sqref>C103</xm:sqref>
        </x14:conditionalFormatting>
        <x14:conditionalFormatting xmlns:xm="http://schemas.microsoft.com/office/excel/2006/main">
          <x14:cfRule type="iconSet" priority="788" id="{3866760E-593B-4835-A979-685BC478CE08}">
            <x14:iconSet custom="1">
              <x14:cfvo type="percent">
                <xm:f>0</xm:f>
              </x14:cfvo>
              <x14:cfvo type="num">
                <xm:f>0</xm:f>
              </x14:cfvo>
              <x14:cfvo type="num">
                <xm:f>1</xm:f>
              </x14:cfvo>
              <x14:cfIcon iconSet="NoIcons" iconId="0"/>
              <x14:cfIcon iconSet="3TrafficLights1" iconId="2"/>
              <x14:cfIcon iconSet="3TrafficLights1" iconId="0"/>
            </x14:iconSet>
          </x14:cfRule>
          <xm:sqref>B103</xm:sqref>
        </x14:conditionalFormatting>
        <x14:conditionalFormatting xmlns:xm="http://schemas.microsoft.com/office/excel/2006/main">
          <x14:cfRule type="iconSet" priority="781" id="{B9CDE4E6-75A1-4BF8-9FCE-84C766071BB6}">
            <x14:iconSet custom="1">
              <x14:cfvo type="percent">
                <xm:f>0</xm:f>
              </x14:cfvo>
              <x14:cfvo type="percent">
                <xm:f>0</xm:f>
              </x14:cfvo>
              <x14:cfvo type="percent" gte="0">
                <xm:f>5</xm:f>
              </x14:cfvo>
              <x14:cfIcon iconSet="NoIcons" iconId="0"/>
              <x14:cfIcon iconSet="3TrafficLights1" iconId="2"/>
              <x14:cfIcon iconSet="3TrafficLights1" iconId="0"/>
            </x14:iconSet>
          </x14:cfRule>
          <xm:sqref>C104</xm:sqref>
        </x14:conditionalFormatting>
        <x14:conditionalFormatting xmlns:xm="http://schemas.microsoft.com/office/excel/2006/main">
          <x14:cfRule type="iconSet" priority="782" id="{43907814-49C4-46B0-A2C3-47492D8F25D1}">
            <x14:iconSet custom="1">
              <x14:cfvo type="percent">
                <xm:f>0</xm:f>
              </x14:cfvo>
              <x14:cfvo type="num">
                <xm:f>0</xm:f>
              </x14:cfvo>
              <x14:cfvo type="num">
                <xm:f>1</xm:f>
              </x14:cfvo>
              <x14:cfIcon iconSet="NoIcons" iconId="0"/>
              <x14:cfIcon iconSet="3TrafficLights1" iconId="2"/>
              <x14:cfIcon iconSet="3TrafficLights1" iconId="0"/>
            </x14:iconSet>
          </x14:cfRule>
          <xm:sqref>B104</xm:sqref>
        </x14:conditionalFormatting>
        <x14:conditionalFormatting xmlns:xm="http://schemas.microsoft.com/office/excel/2006/main">
          <x14:cfRule type="iconSet" priority="779" id="{796E3470-C3B4-4672-B0E1-DF3D8A6D81CA}">
            <x14:iconSet custom="1">
              <x14:cfvo type="percent">
                <xm:f>0</xm:f>
              </x14:cfvo>
              <x14:cfvo type="percent">
                <xm:f>0</xm:f>
              </x14:cfvo>
              <x14:cfvo type="percent" gte="0">
                <xm:f>5</xm:f>
              </x14:cfvo>
              <x14:cfIcon iconSet="NoIcons" iconId="0"/>
              <x14:cfIcon iconSet="3TrafficLights1" iconId="2"/>
              <x14:cfIcon iconSet="3TrafficLights1" iconId="0"/>
            </x14:iconSet>
          </x14:cfRule>
          <xm:sqref>C105</xm:sqref>
        </x14:conditionalFormatting>
        <x14:conditionalFormatting xmlns:xm="http://schemas.microsoft.com/office/excel/2006/main">
          <x14:cfRule type="iconSet" priority="780" id="{224A3979-368F-4EDF-ADA9-65B642638C6A}">
            <x14:iconSet custom="1">
              <x14:cfvo type="percent">
                <xm:f>0</xm:f>
              </x14:cfvo>
              <x14:cfvo type="num">
                <xm:f>0</xm:f>
              </x14:cfvo>
              <x14:cfvo type="num">
                <xm:f>1</xm:f>
              </x14:cfvo>
              <x14:cfIcon iconSet="NoIcons" iconId="0"/>
              <x14:cfIcon iconSet="3TrafficLights1" iconId="2"/>
              <x14:cfIcon iconSet="3TrafficLights1" iconId="0"/>
            </x14:iconSet>
          </x14:cfRule>
          <xm:sqref>B105</xm:sqref>
        </x14:conditionalFormatting>
        <x14:conditionalFormatting xmlns:xm="http://schemas.microsoft.com/office/excel/2006/main">
          <x14:cfRule type="iconSet" priority="773" id="{18C3D1C7-1CFE-4A77-893C-4CF160527807}">
            <x14:iconSet custom="1">
              <x14:cfvo type="percent">
                <xm:f>0</xm:f>
              </x14:cfvo>
              <x14:cfvo type="percent">
                <xm:f>0</xm:f>
              </x14:cfvo>
              <x14:cfvo type="percent" gte="0">
                <xm:f>5</xm:f>
              </x14:cfvo>
              <x14:cfIcon iconSet="NoIcons" iconId="0"/>
              <x14:cfIcon iconSet="3TrafficLights1" iconId="2"/>
              <x14:cfIcon iconSet="3TrafficLights1" iconId="0"/>
            </x14:iconSet>
          </x14:cfRule>
          <xm:sqref>C106</xm:sqref>
        </x14:conditionalFormatting>
        <x14:conditionalFormatting xmlns:xm="http://schemas.microsoft.com/office/excel/2006/main">
          <x14:cfRule type="iconSet" priority="774" id="{85345597-1868-42F6-A9DD-58921044C04D}">
            <x14:iconSet custom="1">
              <x14:cfvo type="percent">
                <xm:f>0</xm:f>
              </x14:cfvo>
              <x14:cfvo type="num">
                <xm:f>0</xm:f>
              </x14:cfvo>
              <x14:cfvo type="num">
                <xm:f>1</xm:f>
              </x14:cfvo>
              <x14:cfIcon iconSet="NoIcons" iconId="0"/>
              <x14:cfIcon iconSet="3TrafficLights1" iconId="2"/>
              <x14:cfIcon iconSet="3TrafficLights1" iconId="0"/>
            </x14:iconSet>
          </x14:cfRule>
          <xm:sqref>B106</xm:sqref>
        </x14:conditionalFormatting>
        <x14:conditionalFormatting xmlns:xm="http://schemas.microsoft.com/office/excel/2006/main">
          <x14:cfRule type="iconSet" priority="769" id="{D5225D57-742C-47DF-BB29-747CA384C2F4}">
            <x14:iconSet custom="1">
              <x14:cfvo type="percent">
                <xm:f>0</xm:f>
              </x14:cfvo>
              <x14:cfvo type="percent">
                <xm:f>0</xm:f>
              </x14:cfvo>
              <x14:cfvo type="percent" gte="0">
                <xm:f>5</xm:f>
              </x14:cfvo>
              <x14:cfIcon iconSet="NoIcons" iconId="0"/>
              <x14:cfIcon iconSet="3TrafficLights1" iconId="2"/>
              <x14:cfIcon iconSet="3TrafficLights1" iconId="0"/>
            </x14:iconSet>
          </x14:cfRule>
          <xm:sqref>C107</xm:sqref>
        </x14:conditionalFormatting>
        <x14:conditionalFormatting xmlns:xm="http://schemas.microsoft.com/office/excel/2006/main">
          <x14:cfRule type="iconSet" priority="770" id="{F016CF71-B536-433A-B4DD-63429AFE3AA7}">
            <x14:iconSet custom="1">
              <x14:cfvo type="percent">
                <xm:f>0</xm:f>
              </x14:cfvo>
              <x14:cfvo type="num">
                <xm:f>0</xm:f>
              </x14:cfvo>
              <x14:cfvo type="num">
                <xm:f>1</xm:f>
              </x14:cfvo>
              <x14:cfIcon iconSet="NoIcons" iconId="0"/>
              <x14:cfIcon iconSet="3TrafficLights1" iconId="2"/>
              <x14:cfIcon iconSet="3TrafficLights1" iconId="0"/>
            </x14:iconSet>
          </x14:cfRule>
          <xm:sqref>B107</xm:sqref>
        </x14:conditionalFormatting>
        <x14:conditionalFormatting xmlns:xm="http://schemas.microsoft.com/office/excel/2006/main">
          <x14:cfRule type="iconSet" priority="767" id="{3BA4B17F-0DF2-4E19-BF81-6940C78218B8}">
            <x14:iconSet custom="1">
              <x14:cfvo type="percent">
                <xm:f>0</xm:f>
              </x14:cfvo>
              <x14:cfvo type="percent">
                <xm:f>0</xm:f>
              </x14:cfvo>
              <x14:cfvo type="percent" gte="0">
                <xm:f>5</xm:f>
              </x14:cfvo>
              <x14:cfIcon iconSet="NoIcons" iconId="0"/>
              <x14:cfIcon iconSet="3TrafficLights1" iconId="2"/>
              <x14:cfIcon iconSet="3TrafficLights1" iconId="0"/>
            </x14:iconSet>
          </x14:cfRule>
          <xm:sqref>C108</xm:sqref>
        </x14:conditionalFormatting>
        <x14:conditionalFormatting xmlns:xm="http://schemas.microsoft.com/office/excel/2006/main">
          <x14:cfRule type="iconSet" priority="768" id="{3CC43473-507C-4153-858C-36AB9CBD0B30}">
            <x14:iconSet custom="1">
              <x14:cfvo type="percent">
                <xm:f>0</xm:f>
              </x14:cfvo>
              <x14:cfvo type="num">
                <xm:f>0</xm:f>
              </x14:cfvo>
              <x14:cfvo type="num">
                <xm:f>1</xm:f>
              </x14:cfvo>
              <x14:cfIcon iconSet="NoIcons" iconId="0"/>
              <x14:cfIcon iconSet="3TrafficLights1" iconId="2"/>
              <x14:cfIcon iconSet="3TrafficLights1" iconId="0"/>
            </x14:iconSet>
          </x14:cfRule>
          <xm:sqref>B108</xm:sqref>
        </x14:conditionalFormatting>
        <x14:conditionalFormatting xmlns:xm="http://schemas.microsoft.com/office/excel/2006/main">
          <x14:cfRule type="iconSet" priority="765" id="{4B992F1F-1FD3-4CC6-B6B6-3571A783B821}">
            <x14:iconSet custom="1">
              <x14:cfvo type="percent">
                <xm:f>0</xm:f>
              </x14:cfvo>
              <x14:cfvo type="percent">
                <xm:f>0</xm:f>
              </x14:cfvo>
              <x14:cfvo type="percent" gte="0">
                <xm:f>5</xm:f>
              </x14:cfvo>
              <x14:cfIcon iconSet="NoIcons" iconId="0"/>
              <x14:cfIcon iconSet="3TrafficLights1" iconId="2"/>
              <x14:cfIcon iconSet="3TrafficLights1" iconId="0"/>
            </x14:iconSet>
          </x14:cfRule>
          <xm:sqref>C109</xm:sqref>
        </x14:conditionalFormatting>
        <x14:conditionalFormatting xmlns:xm="http://schemas.microsoft.com/office/excel/2006/main">
          <x14:cfRule type="iconSet" priority="766" id="{4907CE14-4F19-4306-8ED2-D34981DCC42B}">
            <x14:iconSet custom="1">
              <x14:cfvo type="percent">
                <xm:f>0</xm:f>
              </x14:cfvo>
              <x14:cfvo type="num">
                <xm:f>0</xm:f>
              </x14:cfvo>
              <x14:cfvo type="num">
                <xm:f>1</xm:f>
              </x14:cfvo>
              <x14:cfIcon iconSet="NoIcons" iconId="0"/>
              <x14:cfIcon iconSet="3TrafficLights1" iconId="2"/>
              <x14:cfIcon iconSet="3TrafficLights1" iconId="0"/>
            </x14:iconSet>
          </x14:cfRule>
          <xm:sqref>B109</xm:sqref>
        </x14:conditionalFormatting>
        <x14:conditionalFormatting xmlns:xm="http://schemas.microsoft.com/office/excel/2006/main">
          <x14:cfRule type="iconSet" priority="761" id="{BC52F208-43FB-4FCB-A6A0-95B8BD2E3566}">
            <x14:iconSet custom="1">
              <x14:cfvo type="percent">
                <xm:f>0</xm:f>
              </x14:cfvo>
              <x14:cfvo type="percent">
                <xm:f>0</xm:f>
              </x14:cfvo>
              <x14:cfvo type="percent" gte="0">
                <xm:f>5</xm:f>
              </x14:cfvo>
              <x14:cfIcon iconSet="NoIcons" iconId="0"/>
              <x14:cfIcon iconSet="3TrafficLights1" iconId="2"/>
              <x14:cfIcon iconSet="3TrafficLights1" iconId="0"/>
            </x14:iconSet>
          </x14:cfRule>
          <xm:sqref>C110</xm:sqref>
        </x14:conditionalFormatting>
        <x14:conditionalFormatting xmlns:xm="http://schemas.microsoft.com/office/excel/2006/main">
          <x14:cfRule type="iconSet" priority="762" id="{4B3A2E68-3E96-46A2-91C5-3F8184C952A2}">
            <x14:iconSet custom="1">
              <x14:cfvo type="percent">
                <xm:f>0</xm:f>
              </x14:cfvo>
              <x14:cfvo type="num">
                <xm:f>0</xm:f>
              </x14:cfvo>
              <x14:cfvo type="num">
                <xm:f>1</xm:f>
              </x14:cfvo>
              <x14:cfIcon iconSet="NoIcons" iconId="0"/>
              <x14:cfIcon iconSet="3TrafficLights1" iconId="2"/>
              <x14:cfIcon iconSet="3TrafficLights1" iconId="0"/>
            </x14:iconSet>
          </x14:cfRule>
          <xm:sqref>B110</xm:sqref>
        </x14:conditionalFormatting>
        <x14:conditionalFormatting xmlns:xm="http://schemas.microsoft.com/office/excel/2006/main">
          <x14:cfRule type="iconSet" priority="759" id="{B4834AC9-3CEE-49C9-AAE4-A7C09FF3E08E}">
            <x14:iconSet custom="1">
              <x14:cfvo type="percent">
                <xm:f>0</xm:f>
              </x14:cfvo>
              <x14:cfvo type="percent">
                <xm:f>0</xm:f>
              </x14:cfvo>
              <x14:cfvo type="percent" gte="0">
                <xm:f>5</xm:f>
              </x14:cfvo>
              <x14:cfIcon iconSet="NoIcons" iconId="0"/>
              <x14:cfIcon iconSet="3TrafficLights1" iconId="2"/>
              <x14:cfIcon iconSet="3TrafficLights1" iconId="0"/>
            </x14:iconSet>
          </x14:cfRule>
          <xm:sqref>C111</xm:sqref>
        </x14:conditionalFormatting>
        <x14:conditionalFormatting xmlns:xm="http://schemas.microsoft.com/office/excel/2006/main">
          <x14:cfRule type="iconSet" priority="760" id="{4713B6E0-1617-4006-B5DF-3620AC92B7E0}">
            <x14:iconSet custom="1">
              <x14:cfvo type="percent">
                <xm:f>0</xm:f>
              </x14:cfvo>
              <x14:cfvo type="num">
                <xm:f>0</xm:f>
              </x14:cfvo>
              <x14:cfvo type="num">
                <xm:f>1</xm:f>
              </x14:cfvo>
              <x14:cfIcon iconSet="NoIcons" iconId="0"/>
              <x14:cfIcon iconSet="3TrafficLights1" iconId="2"/>
              <x14:cfIcon iconSet="3TrafficLights1" iconId="0"/>
            </x14:iconSet>
          </x14:cfRule>
          <xm:sqref>B111</xm:sqref>
        </x14:conditionalFormatting>
        <x14:conditionalFormatting xmlns:xm="http://schemas.microsoft.com/office/excel/2006/main">
          <x14:cfRule type="iconSet" priority="757" id="{71436BA2-0E38-4E55-B13C-48D3A5D8CCB4}">
            <x14:iconSet custom="1">
              <x14:cfvo type="percent">
                <xm:f>0</xm:f>
              </x14:cfvo>
              <x14:cfvo type="percent">
                <xm:f>0</xm:f>
              </x14:cfvo>
              <x14:cfvo type="percent" gte="0">
                <xm:f>5</xm:f>
              </x14:cfvo>
              <x14:cfIcon iconSet="NoIcons" iconId="0"/>
              <x14:cfIcon iconSet="3TrafficLights1" iconId="2"/>
              <x14:cfIcon iconSet="3TrafficLights1" iconId="0"/>
            </x14:iconSet>
          </x14:cfRule>
          <xm:sqref>C112</xm:sqref>
        </x14:conditionalFormatting>
        <x14:conditionalFormatting xmlns:xm="http://schemas.microsoft.com/office/excel/2006/main">
          <x14:cfRule type="iconSet" priority="758" id="{D0ACA45D-C10E-4445-BD81-3CA5F8D77CBE}">
            <x14:iconSet custom="1">
              <x14:cfvo type="percent">
                <xm:f>0</xm:f>
              </x14:cfvo>
              <x14:cfvo type="num">
                <xm:f>0</xm:f>
              </x14:cfvo>
              <x14:cfvo type="num">
                <xm:f>1</xm:f>
              </x14:cfvo>
              <x14:cfIcon iconSet="NoIcons" iconId="0"/>
              <x14:cfIcon iconSet="3TrafficLights1" iconId="2"/>
              <x14:cfIcon iconSet="3TrafficLights1" iconId="0"/>
            </x14:iconSet>
          </x14:cfRule>
          <xm:sqref>B112</xm:sqref>
        </x14:conditionalFormatting>
        <x14:conditionalFormatting xmlns:xm="http://schemas.microsoft.com/office/excel/2006/main">
          <x14:cfRule type="iconSet" priority="755" id="{1394789A-19C8-48D9-83C0-CD6499DC7E9D}">
            <x14:iconSet custom="1">
              <x14:cfvo type="percent">
                <xm:f>0</xm:f>
              </x14:cfvo>
              <x14:cfvo type="percent">
                <xm:f>0</xm:f>
              </x14:cfvo>
              <x14:cfvo type="percent" gte="0">
                <xm:f>5</xm:f>
              </x14:cfvo>
              <x14:cfIcon iconSet="NoIcons" iconId="0"/>
              <x14:cfIcon iconSet="3TrafficLights1" iconId="2"/>
              <x14:cfIcon iconSet="3TrafficLights1" iconId="0"/>
            </x14:iconSet>
          </x14:cfRule>
          <xm:sqref>C113</xm:sqref>
        </x14:conditionalFormatting>
        <x14:conditionalFormatting xmlns:xm="http://schemas.microsoft.com/office/excel/2006/main">
          <x14:cfRule type="iconSet" priority="756" id="{1B024B88-8052-4982-90EC-6BEA7D0EFB67}">
            <x14:iconSet custom="1">
              <x14:cfvo type="percent">
                <xm:f>0</xm:f>
              </x14:cfvo>
              <x14:cfvo type="num">
                <xm:f>0</xm:f>
              </x14:cfvo>
              <x14:cfvo type="num">
                <xm:f>1</xm:f>
              </x14:cfvo>
              <x14:cfIcon iconSet="NoIcons" iconId="0"/>
              <x14:cfIcon iconSet="3TrafficLights1" iconId="2"/>
              <x14:cfIcon iconSet="3TrafficLights1" iconId="0"/>
            </x14:iconSet>
          </x14:cfRule>
          <xm:sqref>B113</xm:sqref>
        </x14:conditionalFormatting>
        <x14:conditionalFormatting xmlns:xm="http://schemas.microsoft.com/office/excel/2006/main">
          <x14:cfRule type="iconSet" priority="753" id="{2A74A519-5675-4A05-AE79-6FEEF040C9AF}">
            <x14:iconSet custom="1">
              <x14:cfvo type="percent">
                <xm:f>0</xm:f>
              </x14:cfvo>
              <x14:cfvo type="percent">
                <xm:f>0</xm:f>
              </x14:cfvo>
              <x14:cfvo type="percent" gte="0">
                <xm:f>5</xm:f>
              </x14:cfvo>
              <x14:cfIcon iconSet="NoIcons" iconId="0"/>
              <x14:cfIcon iconSet="3TrafficLights1" iconId="2"/>
              <x14:cfIcon iconSet="3TrafficLights1" iconId="0"/>
            </x14:iconSet>
          </x14:cfRule>
          <xm:sqref>C114</xm:sqref>
        </x14:conditionalFormatting>
        <x14:conditionalFormatting xmlns:xm="http://schemas.microsoft.com/office/excel/2006/main">
          <x14:cfRule type="iconSet" priority="754" id="{3FF8D3F7-A5B2-49AF-9FD6-55F0C0619BE8}">
            <x14:iconSet custom="1">
              <x14:cfvo type="percent">
                <xm:f>0</xm:f>
              </x14:cfvo>
              <x14:cfvo type="num">
                <xm:f>0</xm:f>
              </x14:cfvo>
              <x14:cfvo type="num">
                <xm:f>1</xm:f>
              </x14:cfvo>
              <x14:cfIcon iconSet="NoIcons" iconId="0"/>
              <x14:cfIcon iconSet="3TrafficLights1" iconId="2"/>
              <x14:cfIcon iconSet="3TrafficLights1" iconId="0"/>
            </x14:iconSet>
          </x14:cfRule>
          <xm:sqref>B114</xm:sqref>
        </x14:conditionalFormatting>
        <x14:conditionalFormatting xmlns:xm="http://schemas.microsoft.com/office/excel/2006/main">
          <x14:cfRule type="iconSet" priority="751" id="{16DBFB13-4492-4DAF-9DCF-82DCC1E668E1}">
            <x14:iconSet custom="1">
              <x14:cfvo type="percent">
                <xm:f>0</xm:f>
              </x14:cfvo>
              <x14:cfvo type="percent">
                <xm:f>0</xm:f>
              </x14:cfvo>
              <x14:cfvo type="percent" gte="0">
                <xm:f>5</xm:f>
              </x14:cfvo>
              <x14:cfIcon iconSet="NoIcons" iconId="0"/>
              <x14:cfIcon iconSet="3TrafficLights1" iconId="2"/>
              <x14:cfIcon iconSet="3TrafficLights1" iconId="0"/>
            </x14:iconSet>
          </x14:cfRule>
          <xm:sqref>C115</xm:sqref>
        </x14:conditionalFormatting>
        <x14:conditionalFormatting xmlns:xm="http://schemas.microsoft.com/office/excel/2006/main">
          <x14:cfRule type="iconSet" priority="752" id="{9406A19E-A1DD-4C9A-9668-D7EF6D5EE8A8}">
            <x14:iconSet custom="1">
              <x14:cfvo type="percent">
                <xm:f>0</xm:f>
              </x14:cfvo>
              <x14:cfvo type="num">
                <xm:f>0</xm:f>
              </x14:cfvo>
              <x14:cfvo type="num">
                <xm:f>1</xm:f>
              </x14:cfvo>
              <x14:cfIcon iconSet="NoIcons" iconId="0"/>
              <x14:cfIcon iconSet="3TrafficLights1" iconId="2"/>
              <x14:cfIcon iconSet="3TrafficLights1" iconId="0"/>
            </x14:iconSet>
          </x14:cfRule>
          <xm:sqref>B115</xm:sqref>
        </x14:conditionalFormatting>
        <x14:conditionalFormatting xmlns:xm="http://schemas.microsoft.com/office/excel/2006/main">
          <x14:cfRule type="iconSet" priority="749" id="{76599200-8D27-47BA-BC0D-E8ADED46F2BE}">
            <x14:iconSet custom="1">
              <x14:cfvo type="percent">
                <xm:f>0</xm:f>
              </x14:cfvo>
              <x14:cfvo type="percent">
                <xm:f>0</xm:f>
              </x14:cfvo>
              <x14:cfvo type="percent" gte="0">
                <xm:f>5</xm:f>
              </x14:cfvo>
              <x14:cfIcon iconSet="NoIcons" iconId="0"/>
              <x14:cfIcon iconSet="3TrafficLights1" iconId="2"/>
              <x14:cfIcon iconSet="3TrafficLights1" iconId="0"/>
            </x14:iconSet>
          </x14:cfRule>
          <xm:sqref>C116</xm:sqref>
        </x14:conditionalFormatting>
        <x14:conditionalFormatting xmlns:xm="http://schemas.microsoft.com/office/excel/2006/main">
          <x14:cfRule type="iconSet" priority="750" id="{F93FD9AE-68E9-4E02-9CE8-88D78C6F4901}">
            <x14:iconSet custom="1">
              <x14:cfvo type="percent">
                <xm:f>0</xm:f>
              </x14:cfvo>
              <x14:cfvo type="num">
                <xm:f>0</xm:f>
              </x14:cfvo>
              <x14:cfvo type="num">
                <xm:f>1</xm:f>
              </x14:cfvo>
              <x14:cfIcon iconSet="NoIcons" iconId="0"/>
              <x14:cfIcon iconSet="3TrafficLights1" iconId="2"/>
              <x14:cfIcon iconSet="3TrafficLights1" iconId="0"/>
            </x14:iconSet>
          </x14:cfRule>
          <xm:sqref>B116</xm:sqref>
        </x14:conditionalFormatting>
        <x14:conditionalFormatting xmlns:xm="http://schemas.microsoft.com/office/excel/2006/main">
          <x14:cfRule type="iconSet" priority="743" id="{4E7C56CA-1B3C-4304-87E5-95DD220C4DDE}">
            <x14:iconSet custom="1">
              <x14:cfvo type="percent">
                <xm:f>0</xm:f>
              </x14:cfvo>
              <x14:cfvo type="percent">
                <xm:f>0</xm:f>
              </x14:cfvo>
              <x14:cfvo type="percent" gte="0">
                <xm:f>5</xm:f>
              </x14:cfvo>
              <x14:cfIcon iconSet="NoIcons" iconId="0"/>
              <x14:cfIcon iconSet="3TrafficLights1" iconId="2"/>
              <x14:cfIcon iconSet="3TrafficLights1" iconId="0"/>
            </x14:iconSet>
          </x14:cfRule>
          <xm:sqref>C117</xm:sqref>
        </x14:conditionalFormatting>
        <x14:conditionalFormatting xmlns:xm="http://schemas.microsoft.com/office/excel/2006/main">
          <x14:cfRule type="iconSet" priority="744" id="{A307FE24-9B7B-42F7-91F3-F2F9195DAA60}">
            <x14:iconSet custom="1">
              <x14:cfvo type="percent">
                <xm:f>0</xm:f>
              </x14:cfvo>
              <x14:cfvo type="num">
                <xm:f>0</xm:f>
              </x14:cfvo>
              <x14:cfvo type="num">
                <xm:f>1</xm:f>
              </x14:cfvo>
              <x14:cfIcon iconSet="NoIcons" iconId="0"/>
              <x14:cfIcon iconSet="3TrafficLights1" iconId="2"/>
              <x14:cfIcon iconSet="3TrafficLights1" iconId="0"/>
            </x14:iconSet>
          </x14:cfRule>
          <xm:sqref>B117</xm:sqref>
        </x14:conditionalFormatting>
        <x14:conditionalFormatting xmlns:xm="http://schemas.microsoft.com/office/excel/2006/main">
          <x14:cfRule type="iconSet" priority="741" id="{DCD0F58C-87C7-49B0-A7C7-183BB647E49C}">
            <x14:iconSet custom="1">
              <x14:cfvo type="percent">
                <xm:f>0</xm:f>
              </x14:cfvo>
              <x14:cfvo type="percent">
                <xm:f>0</xm:f>
              </x14:cfvo>
              <x14:cfvo type="percent" gte="0">
                <xm:f>5</xm:f>
              </x14:cfvo>
              <x14:cfIcon iconSet="NoIcons" iconId="0"/>
              <x14:cfIcon iconSet="3TrafficLights1" iconId="2"/>
              <x14:cfIcon iconSet="3TrafficLights1" iconId="0"/>
            </x14:iconSet>
          </x14:cfRule>
          <xm:sqref>C118</xm:sqref>
        </x14:conditionalFormatting>
        <x14:conditionalFormatting xmlns:xm="http://schemas.microsoft.com/office/excel/2006/main">
          <x14:cfRule type="iconSet" priority="742" id="{0F4A62F0-E8FE-4963-8A4D-A94F7E3033A1}">
            <x14:iconSet custom="1">
              <x14:cfvo type="percent">
                <xm:f>0</xm:f>
              </x14:cfvo>
              <x14:cfvo type="num">
                <xm:f>0</xm:f>
              </x14:cfvo>
              <x14:cfvo type="num">
                <xm:f>1</xm:f>
              </x14:cfvo>
              <x14:cfIcon iconSet="NoIcons" iconId="0"/>
              <x14:cfIcon iconSet="3TrafficLights1" iconId="2"/>
              <x14:cfIcon iconSet="3TrafficLights1" iconId="0"/>
            </x14:iconSet>
          </x14:cfRule>
          <xm:sqref>B118</xm:sqref>
        </x14:conditionalFormatting>
        <x14:conditionalFormatting xmlns:xm="http://schemas.microsoft.com/office/excel/2006/main">
          <x14:cfRule type="iconSet" priority="737" id="{6D8331B5-7FBD-4DBB-AD82-32DAD28903D6}">
            <x14:iconSet custom="1">
              <x14:cfvo type="percent">
                <xm:f>0</xm:f>
              </x14:cfvo>
              <x14:cfvo type="percent">
                <xm:f>0</xm:f>
              </x14:cfvo>
              <x14:cfvo type="percent" gte="0">
                <xm:f>5</xm:f>
              </x14:cfvo>
              <x14:cfIcon iconSet="NoIcons" iconId="0"/>
              <x14:cfIcon iconSet="3TrafficLights1" iconId="2"/>
              <x14:cfIcon iconSet="3TrafficLights1" iconId="0"/>
            </x14:iconSet>
          </x14:cfRule>
          <xm:sqref>C119</xm:sqref>
        </x14:conditionalFormatting>
        <x14:conditionalFormatting xmlns:xm="http://schemas.microsoft.com/office/excel/2006/main">
          <x14:cfRule type="iconSet" priority="738" id="{DC822148-0035-4DBA-9D86-F322B10EE1C8}">
            <x14:iconSet custom="1">
              <x14:cfvo type="percent">
                <xm:f>0</xm:f>
              </x14:cfvo>
              <x14:cfvo type="num">
                <xm:f>0</xm:f>
              </x14:cfvo>
              <x14:cfvo type="num">
                <xm:f>1</xm:f>
              </x14:cfvo>
              <x14:cfIcon iconSet="NoIcons" iconId="0"/>
              <x14:cfIcon iconSet="3TrafficLights1" iconId="2"/>
              <x14:cfIcon iconSet="3TrafficLights1" iconId="0"/>
            </x14:iconSet>
          </x14:cfRule>
          <xm:sqref>B119</xm:sqref>
        </x14:conditionalFormatting>
        <x14:conditionalFormatting xmlns:xm="http://schemas.microsoft.com/office/excel/2006/main">
          <x14:cfRule type="iconSet" priority="735" id="{45E0C041-2655-43B6-8C85-4452D095900A}">
            <x14:iconSet custom="1">
              <x14:cfvo type="percent">
                <xm:f>0</xm:f>
              </x14:cfvo>
              <x14:cfvo type="percent">
                <xm:f>0</xm:f>
              </x14:cfvo>
              <x14:cfvo type="percent" gte="0">
                <xm:f>5</xm:f>
              </x14:cfvo>
              <x14:cfIcon iconSet="NoIcons" iconId="0"/>
              <x14:cfIcon iconSet="3TrafficLights1" iconId="2"/>
              <x14:cfIcon iconSet="3TrafficLights1" iconId="0"/>
            </x14:iconSet>
          </x14:cfRule>
          <xm:sqref>C120</xm:sqref>
        </x14:conditionalFormatting>
        <x14:conditionalFormatting xmlns:xm="http://schemas.microsoft.com/office/excel/2006/main">
          <x14:cfRule type="iconSet" priority="736" id="{CC847ADE-441C-42C6-AF81-0665248C3DF9}">
            <x14:iconSet custom="1">
              <x14:cfvo type="percent">
                <xm:f>0</xm:f>
              </x14:cfvo>
              <x14:cfvo type="num">
                <xm:f>0</xm:f>
              </x14:cfvo>
              <x14:cfvo type="num">
                <xm:f>1</xm:f>
              </x14:cfvo>
              <x14:cfIcon iconSet="NoIcons" iconId="0"/>
              <x14:cfIcon iconSet="3TrafficLights1" iconId="2"/>
              <x14:cfIcon iconSet="3TrafficLights1" iconId="0"/>
            </x14:iconSet>
          </x14:cfRule>
          <xm:sqref>B120</xm:sqref>
        </x14:conditionalFormatting>
        <x14:conditionalFormatting xmlns:xm="http://schemas.microsoft.com/office/excel/2006/main">
          <x14:cfRule type="iconSet" priority="733" id="{F5AE23A1-02BC-49CD-8975-62A79613BF20}">
            <x14:iconSet custom="1">
              <x14:cfvo type="percent">
                <xm:f>0</xm:f>
              </x14:cfvo>
              <x14:cfvo type="percent">
                <xm:f>0</xm:f>
              </x14:cfvo>
              <x14:cfvo type="percent" gte="0">
                <xm:f>5</xm:f>
              </x14:cfvo>
              <x14:cfIcon iconSet="NoIcons" iconId="0"/>
              <x14:cfIcon iconSet="3TrafficLights1" iconId="2"/>
              <x14:cfIcon iconSet="3TrafficLights1" iconId="0"/>
            </x14:iconSet>
          </x14:cfRule>
          <xm:sqref>C121</xm:sqref>
        </x14:conditionalFormatting>
        <x14:conditionalFormatting xmlns:xm="http://schemas.microsoft.com/office/excel/2006/main">
          <x14:cfRule type="iconSet" priority="734" id="{1FED8ECE-2320-4B4C-8692-92E28397CDF6}">
            <x14:iconSet custom="1">
              <x14:cfvo type="percent">
                <xm:f>0</xm:f>
              </x14:cfvo>
              <x14:cfvo type="num">
                <xm:f>0</xm:f>
              </x14:cfvo>
              <x14:cfvo type="num">
                <xm:f>1</xm:f>
              </x14:cfvo>
              <x14:cfIcon iconSet="NoIcons" iconId="0"/>
              <x14:cfIcon iconSet="3TrafficLights1" iconId="2"/>
              <x14:cfIcon iconSet="3TrafficLights1" iconId="0"/>
            </x14:iconSet>
          </x14:cfRule>
          <xm:sqref>B121</xm:sqref>
        </x14:conditionalFormatting>
        <x14:conditionalFormatting xmlns:xm="http://schemas.microsoft.com/office/excel/2006/main">
          <x14:cfRule type="iconSet" priority="731" id="{6B979CF3-B4C0-471D-B3F6-56C29EEC0779}">
            <x14:iconSet custom="1">
              <x14:cfvo type="percent">
                <xm:f>0</xm:f>
              </x14:cfvo>
              <x14:cfvo type="percent">
                <xm:f>0</xm:f>
              </x14:cfvo>
              <x14:cfvo type="percent" gte="0">
                <xm:f>5</xm:f>
              </x14:cfvo>
              <x14:cfIcon iconSet="NoIcons" iconId="0"/>
              <x14:cfIcon iconSet="3TrafficLights1" iconId="2"/>
              <x14:cfIcon iconSet="3TrafficLights1" iconId="0"/>
            </x14:iconSet>
          </x14:cfRule>
          <xm:sqref>C122</xm:sqref>
        </x14:conditionalFormatting>
        <x14:conditionalFormatting xmlns:xm="http://schemas.microsoft.com/office/excel/2006/main">
          <x14:cfRule type="iconSet" priority="732" id="{403968C8-C089-49AD-A171-4A2FA6AF9E16}">
            <x14:iconSet custom="1">
              <x14:cfvo type="percent">
                <xm:f>0</xm:f>
              </x14:cfvo>
              <x14:cfvo type="num">
                <xm:f>0</xm:f>
              </x14:cfvo>
              <x14:cfvo type="num">
                <xm:f>1</xm:f>
              </x14:cfvo>
              <x14:cfIcon iconSet="NoIcons" iconId="0"/>
              <x14:cfIcon iconSet="3TrafficLights1" iconId="2"/>
              <x14:cfIcon iconSet="3TrafficLights1" iconId="0"/>
            </x14:iconSet>
          </x14:cfRule>
          <xm:sqref>B122</xm:sqref>
        </x14:conditionalFormatting>
        <x14:conditionalFormatting xmlns:xm="http://schemas.microsoft.com/office/excel/2006/main">
          <x14:cfRule type="iconSet" priority="729" id="{21BA5EDF-3CBA-4538-8F2F-CE0D7ECE351E}">
            <x14:iconSet custom="1">
              <x14:cfvo type="percent">
                <xm:f>0</xm:f>
              </x14:cfvo>
              <x14:cfvo type="percent">
                <xm:f>0</xm:f>
              </x14:cfvo>
              <x14:cfvo type="percent" gte="0">
                <xm:f>5</xm:f>
              </x14:cfvo>
              <x14:cfIcon iconSet="NoIcons" iconId="0"/>
              <x14:cfIcon iconSet="3TrafficLights1" iconId="2"/>
              <x14:cfIcon iconSet="3TrafficLights1" iconId="0"/>
            </x14:iconSet>
          </x14:cfRule>
          <xm:sqref>C123</xm:sqref>
        </x14:conditionalFormatting>
        <x14:conditionalFormatting xmlns:xm="http://schemas.microsoft.com/office/excel/2006/main">
          <x14:cfRule type="iconSet" priority="730" id="{974B404E-E595-4ABB-B1A5-B95A727D12E3}">
            <x14:iconSet custom="1">
              <x14:cfvo type="percent">
                <xm:f>0</xm:f>
              </x14:cfvo>
              <x14:cfvo type="num">
                <xm:f>0</xm:f>
              </x14:cfvo>
              <x14:cfvo type="num">
                <xm:f>1</xm:f>
              </x14:cfvo>
              <x14:cfIcon iconSet="NoIcons" iconId="0"/>
              <x14:cfIcon iconSet="3TrafficLights1" iconId="2"/>
              <x14:cfIcon iconSet="3TrafficLights1" iconId="0"/>
            </x14:iconSet>
          </x14:cfRule>
          <xm:sqref>B123</xm:sqref>
        </x14:conditionalFormatting>
        <x14:conditionalFormatting xmlns:xm="http://schemas.microsoft.com/office/excel/2006/main">
          <x14:cfRule type="iconSet" priority="727" id="{B373536D-B3F5-461B-B113-00E6F7322E04}">
            <x14:iconSet custom="1">
              <x14:cfvo type="percent">
                <xm:f>0</xm:f>
              </x14:cfvo>
              <x14:cfvo type="percent">
                <xm:f>0</xm:f>
              </x14:cfvo>
              <x14:cfvo type="percent" gte="0">
                <xm:f>5</xm:f>
              </x14:cfvo>
              <x14:cfIcon iconSet="NoIcons" iconId="0"/>
              <x14:cfIcon iconSet="3TrafficLights1" iconId="2"/>
              <x14:cfIcon iconSet="3TrafficLights1" iconId="0"/>
            </x14:iconSet>
          </x14:cfRule>
          <xm:sqref>C124</xm:sqref>
        </x14:conditionalFormatting>
        <x14:conditionalFormatting xmlns:xm="http://schemas.microsoft.com/office/excel/2006/main">
          <x14:cfRule type="iconSet" priority="728" id="{D1330C23-4A6F-4FA0-A380-9A12C8F3F70C}">
            <x14:iconSet custom="1">
              <x14:cfvo type="percent">
                <xm:f>0</xm:f>
              </x14:cfvo>
              <x14:cfvo type="num">
                <xm:f>0</xm:f>
              </x14:cfvo>
              <x14:cfvo type="num">
                <xm:f>1</xm:f>
              </x14:cfvo>
              <x14:cfIcon iconSet="NoIcons" iconId="0"/>
              <x14:cfIcon iconSet="3TrafficLights1" iconId="2"/>
              <x14:cfIcon iconSet="3TrafficLights1" iconId="0"/>
            </x14:iconSet>
          </x14:cfRule>
          <xm:sqref>B124</xm:sqref>
        </x14:conditionalFormatting>
        <x14:conditionalFormatting xmlns:xm="http://schemas.microsoft.com/office/excel/2006/main">
          <x14:cfRule type="iconSet" priority="725" id="{A68DD36E-A118-459A-8A40-44EF05003AB7}">
            <x14:iconSet custom="1">
              <x14:cfvo type="percent">
                <xm:f>0</xm:f>
              </x14:cfvo>
              <x14:cfvo type="percent">
                <xm:f>0</xm:f>
              </x14:cfvo>
              <x14:cfvo type="percent" gte="0">
                <xm:f>5</xm:f>
              </x14:cfvo>
              <x14:cfIcon iconSet="NoIcons" iconId="0"/>
              <x14:cfIcon iconSet="3TrafficLights1" iconId="2"/>
              <x14:cfIcon iconSet="3TrafficLights1" iconId="0"/>
            </x14:iconSet>
          </x14:cfRule>
          <xm:sqref>C125</xm:sqref>
        </x14:conditionalFormatting>
        <x14:conditionalFormatting xmlns:xm="http://schemas.microsoft.com/office/excel/2006/main">
          <x14:cfRule type="iconSet" priority="726" id="{BAAA7214-6A23-4EFB-9D6F-CCC148ABF261}">
            <x14:iconSet custom="1">
              <x14:cfvo type="percent">
                <xm:f>0</xm:f>
              </x14:cfvo>
              <x14:cfvo type="num">
                <xm:f>0</xm:f>
              </x14:cfvo>
              <x14:cfvo type="num">
                <xm:f>1</xm:f>
              </x14:cfvo>
              <x14:cfIcon iconSet="NoIcons" iconId="0"/>
              <x14:cfIcon iconSet="3TrafficLights1" iconId="2"/>
              <x14:cfIcon iconSet="3TrafficLights1" iconId="0"/>
            </x14:iconSet>
          </x14:cfRule>
          <xm:sqref>B125</xm:sqref>
        </x14:conditionalFormatting>
        <x14:conditionalFormatting xmlns:xm="http://schemas.microsoft.com/office/excel/2006/main">
          <x14:cfRule type="iconSet" priority="723" id="{E536B469-FA47-4DF7-B469-7B3FAAA321DC}">
            <x14:iconSet custom="1">
              <x14:cfvo type="percent">
                <xm:f>0</xm:f>
              </x14:cfvo>
              <x14:cfvo type="percent">
                <xm:f>0</xm:f>
              </x14:cfvo>
              <x14:cfvo type="percent" gte="0">
                <xm:f>5</xm:f>
              </x14:cfvo>
              <x14:cfIcon iconSet="NoIcons" iconId="0"/>
              <x14:cfIcon iconSet="3TrafficLights1" iconId="2"/>
              <x14:cfIcon iconSet="3TrafficLights1" iconId="0"/>
            </x14:iconSet>
          </x14:cfRule>
          <xm:sqref>C126</xm:sqref>
        </x14:conditionalFormatting>
        <x14:conditionalFormatting xmlns:xm="http://schemas.microsoft.com/office/excel/2006/main">
          <x14:cfRule type="iconSet" priority="724" id="{D39F91F7-E6A4-4109-B047-071EC8A15AAF}">
            <x14:iconSet custom="1">
              <x14:cfvo type="percent">
                <xm:f>0</xm:f>
              </x14:cfvo>
              <x14:cfvo type="num">
                <xm:f>0</xm:f>
              </x14:cfvo>
              <x14:cfvo type="num">
                <xm:f>1</xm:f>
              </x14:cfvo>
              <x14:cfIcon iconSet="NoIcons" iconId="0"/>
              <x14:cfIcon iconSet="3TrafficLights1" iconId="2"/>
              <x14:cfIcon iconSet="3TrafficLights1" iconId="0"/>
            </x14:iconSet>
          </x14:cfRule>
          <xm:sqref>B126</xm:sqref>
        </x14:conditionalFormatting>
        <x14:conditionalFormatting xmlns:xm="http://schemas.microsoft.com/office/excel/2006/main">
          <x14:cfRule type="iconSet" priority="719" id="{4CFAB421-DA83-4CB2-BE36-1E701FDEF64E}">
            <x14:iconSet custom="1">
              <x14:cfvo type="percent">
                <xm:f>0</xm:f>
              </x14:cfvo>
              <x14:cfvo type="percent">
                <xm:f>0</xm:f>
              </x14:cfvo>
              <x14:cfvo type="percent" gte="0">
                <xm:f>5</xm:f>
              </x14:cfvo>
              <x14:cfIcon iconSet="NoIcons" iconId="0"/>
              <x14:cfIcon iconSet="3TrafficLights1" iconId="2"/>
              <x14:cfIcon iconSet="3TrafficLights1" iconId="0"/>
            </x14:iconSet>
          </x14:cfRule>
          <xm:sqref>C127</xm:sqref>
        </x14:conditionalFormatting>
        <x14:conditionalFormatting xmlns:xm="http://schemas.microsoft.com/office/excel/2006/main">
          <x14:cfRule type="iconSet" priority="720" id="{4EA595E2-00C6-40F3-A8E8-9839A854B230}">
            <x14:iconSet custom="1">
              <x14:cfvo type="percent">
                <xm:f>0</xm:f>
              </x14:cfvo>
              <x14:cfvo type="num">
                <xm:f>0</xm:f>
              </x14:cfvo>
              <x14:cfvo type="num">
                <xm:f>1</xm:f>
              </x14:cfvo>
              <x14:cfIcon iconSet="NoIcons" iconId="0"/>
              <x14:cfIcon iconSet="3TrafficLights1" iconId="2"/>
              <x14:cfIcon iconSet="3TrafficLights1" iconId="0"/>
            </x14:iconSet>
          </x14:cfRule>
          <xm:sqref>B127</xm:sqref>
        </x14:conditionalFormatting>
        <x14:conditionalFormatting xmlns:xm="http://schemas.microsoft.com/office/excel/2006/main">
          <x14:cfRule type="iconSet" priority="709" id="{413F1049-BADA-47B0-991F-6E9369FD864B}">
            <x14:iconSet custom="1">
              <x14:cfvo type="percent">
                <xm:f>0</xm:f>
              </x14:cfvo>
              <x14:cfvo type="percent">
                <xm:f>0</xm:f>
              </x14:cfvo>
              <x14:cfvo type="percent" gte="0">
                <xm:f>5</xm:f>
              </x14:cfvo>
              <x14:cfIcon iconSet="NoIcons" iconId="0"/>
              <x14:cfIcon iconSet="3TrafficLights1" iconId="2"/>
              <x14:cfIcon iconSet="3TrafficLights1" iconId="0"/>
            </x14:iconSet>
          </x14:cfRule>
          <xm:sqref>C128</xm:sqref>
        </x14:conditionalFormatting>
        <x14:conditionalFormatting xmlns:xm="http://schemas.microsoft.com/office/excel/2006/main">
          <x14:cfRule type="iconSet" priority="710" id="{C66D0D2E-B229-4BC1-B0A5-3E0D34B11216}">
            <x14:iconSet custom="1">
              <x14:cfvo type="percent">
                <xm:f>0</xm:f>
              </x14:cfvo>
              <x14:cfvo type="num">
                <xm:f>0</xm:f>
              </x14:cfvo>
              <x14:cfvo type="num">
                <xm:f>1</xm:f>
              </x14:cfvo>
              <x14:cfIcon iconSet="NoIcons" iconId="0"/>
              <x14:cfIcon iconSet="3TrafficLights1" iconId="2"/>
              <x14:cfIcon iconSet="3TrafficLights1" iconId="0"/>
            </x14:iconSet>
          </x14:cfRule>
          <xm:sqref>B128</xm:sqref>
        </x14:conditionalFormatting>
        <x14:conditionalFormatting xmlns:xm="http://schemas.microsoft.com/office/excel/2006/main">
          <x14:cfRule type="iconSet" priority="705" id="{B938961F-DB6B-4D14-B1FE-8715869D07E9}">
            <x14:iconSet custom="1">
              <x14:cfvo type="percent">
                <xm:f>0</xm:f>
              </x14:cfvo>
              <x14:cfvo type="percent">
                <xm:f>0</xm:f>
              </x14:cfvo>
              <x14:cfvo type="percent" gte="0">
                <xm:f>5</xm:f>
              </x14:cfvo>
              <x14:cfIcon iconSet="NoIcons" iconId="0"/>
              <x14:cfIcon iconSet="3TrafficLights1" iconId="2"/>
              <x14:cfIcon iconSet="3TrafficLights1" iconId="0"/>
            </x14:iconSet>
          </x14:cfRule>
          <xm:sqref>C129</xm:sqref>
        </x14:conditionalFormatting>
        <x14:conditionalFormatting xmlns:xm="http://schemas.microsoft.com/office/excel/2006/main">
          <x14:cfRule type="iconSet" priority="706" id="{E47AF696-E0E1-4553-8292-8F097E2DD849}">
            <x14:iconSet custom="1">
              <x14:cfvo type="percent">
                <xm:f>0</xm:f>
              </x14:cfvo>
              <x14:cfvo type="num">
                <xm:f>0</xm:f>
              </x14:cfvo>
              <x14:cfvo type="num">
                <xm:f>1</xm:f>
              </x14:cfvo>
              <x14:cfIcon iconSet="NoIcons" iconId="0"/>
              <x14:cfIcon iconSet="3TrafficLights1" iconId="2"/>
              <x14:cfIcon iconSet="3TrafficLights1" iconId="0"/>
            </x14:iconSet>
          </x14:cfRule>
          <xm:sqref>B129</xm:sqref>
        </x14:conditionalFormatting>
        <x14:conditionalFormatting xmlns:xm="http://schemas.microsoft.com/office/excel/2006/main">
          <x14:cfRule type="iconSet" priority="703" id="{0EB0EF6D-DE2C-413B-B95D-3C841568B4EB}">
            <x14:iconSet custom="1">
              <x14:cfvo type="percent">
                <xm:f>0</xm:f>
              </x14:cfvo>
              <x14:cfvo type="percent">
                <xm:f>0</xm:f>
              </x14:cfvo>
              <x14:cfvo type="percent" gte="0">
                <xm:f>5</xm:f>
              </x14:cfvo>
              <x14:cfIcon iconSet="NoIcons" iconId="0"/>
              <x14:cfIcon iconSet="3TrafficLights1" iconId="2"/>
              <x14:cfIcon iconSet="3TrafficLights1" iconId="0"/>
            </x14:iconSet>
          </x14:cfRule>
          <xm:sqref>C130</xm:sqref>
        </x14:conditionalFormatting>
        <x14:conditionalFormatting xmlns:xm="http://schemas.microsoft.com/office/excel/2006/main">
          <x14:cfRule type="iconSet" priority="704" id="{3570EFC8-5EB8-40B1-BA5D-87BC85C40808}">
            <x14:iconSet custom="1">
              <x14:cfvo type="percent">
                <xm:f>0</xm:f>
              </x14:cfvo>
              <x14:cfvo type="num">
                <xm:f>0</xm:f>
              </x14:cfvo>
              <x14:cfvo type="num">
                <xm:f>1</xm:f>
              </x14:cfvo>
              <x14:cfIcon iconSet="NoIcons" iconId="0"/>
              <x14:cfIcon iconSet="3TrafficLights1" iconId="2"/>
              <x14:cfIcon iconSet="3TrafficLights1" iconId="0"/>
            </x14:iconSet>
          </x14:cfRule>
          <xm:sqref>B130</xm:sqref>
        </x14:conditionalFormatting>
        <x14:conditionalFormatting xmlns:xm="http://schemas.microsoft.com/office/excel/2006/main">
          <x14:cfRule type="iconSet" priority="699" id="{65CD29DB-2017-4B4D-AB71-DB869CDA6DEB}">
            <x14:iconSet custom="1">
              <x14:cfvo type="percent">
                <xm:f>0</xm:f>
              </x14:cfvo>
              <x14:cfvo type="percent">
                <xm:f>0</xm:f>
              </x14:cfvo>
              <x14:cfvo type="percent" gte="0">
                <xm:f>5</xm:f>
              </x14:cfvo>
              <x14:cfIcon iconSet="NoIcons" iconId="0"/>
              <x14:cfIcon iconSet="3TrafficLights1" iconId="2"/>
              <x14:cfIcon iconSet="3TrafficLights1" iconId="0"/>
            </x14:iconSet>
          </x14:cfRule>
          <xm:sqref>C131</xm:sqref>
        </x14:conditionalFormatting>
        <x14:conditionalFormatting xmlns:xm="http://schemas.microsoft.com/office/excel/2006/main">
          <x14:cfRule type="iconSet" priority="700" id="{875EB76D-BD5E-46AF-85FE-155A45CE7E34}">
            <x14:iconSet custom="1">
              <x14:cfvo type="percent">
                <xm:f>0</xm:f>
              </x14:cfvo>
              <x14:cfvo type="num">
                <xm:f>0</xm:f>
              </x14:cfvo>
              <x14:cfvo type="num">
                <xm:f>1</xm:f>
              </x14:cfvo>
              <x14:cfIcon iconSet="NoIcons" iconId="0"/>
              <x14:cfIcon iconSet="3TrafficLights1" iconId="2"/>
              <x14:cfIcon iconSet="3TrafficLights1" iconId="0"/>
            </x14:iconSet>
          </x14:cfRule>
          <xm:sqref>B131</xm:sqref>
        </x14:conditionalFormatting>
        <x14:conditionalFormatting xmlns:xm="http://schemas.microsoft.com/office/excel/2006/main">
          <x14:cfRule type="iconSet" priority="697" id="{EA9E97DB-2450-4334-A8B4-C1A83B6607AE}">
            <x14:iconSet custom="1">
              <x14:cfvo type="percent">
                <xm:f>0</xm:f>
              </x14:cfvo>
              <x14:cfvo type="percent">
                <xm:f>0</xm:f>
              </x14:cfvo>
              <x14:cfvo type="percent" gte="0">
                <xm:f>5</xm:f>
              </x14:cfvo>
              <x14:cfIcon iconSet="NoIcons" iconId="0"/>
              <x14:cfIcon iconSet="3TrafficLights1" iconId="2"/>
              <x14:cfIcon iconSet="3TrafficLights1" iconId="0"/>
            </x14:iconSet>
          </x14:cfRule>
          <xm:sqref>C132</xm:sqref>
        </x14:conditionalFormatting>
        <x14:conditionalFormatting xmlns:xm="http://schemas.microsoft.com/office/excel/2006/main">
          <x14:cfRule type="iconSet" priority="698" id="{F952A4EC-51D2-46CD-81A7-736D6CDA11C0}">
            <x14:iconSet custom="1">
              <x14:cfvo type="percent">
                <xm:f>0</xm:f>
              </x14:cfvo>
              <x14:cfvo type="num">
                <xm:f>0</xm:f>
              </x14:cfvo>
              <x14:cfvo type="num">
                <xm:f>1</xm:f>
              </x14:cfvo>
              <x14:cfIcon iconSet="NoIcons" iconId="0"/>
              <x14:cfIcon iconSet="3TrafficLights1" iconId="2"/>
              <x14:cfIcon iconSet="3TrafficLights1" iconId="0"/>
            </x14:iconSet>
          </x14:cfRule>
          <xm:sqref>B132</xm:sqref>
        </x14:conditionalFormatting>
        <x14:conditionalFormatting xmlns:xm="http://schemas.microsoft.com/office/excel/2006/main">
          <x14:cfRule type="iconSet" priority="695" id="{A18E45EB-2E07-42C9-9F9C-54FDEA99881D}">
            <x14:iconSet custom="1">
              <x14:cfvo type="percent">
                <xm:f>0</xm:f>
              </x14:cfvo>
              <x14:cfvo type="percent">
                <xm:f>0</xm:f>
              </x14:cfvo>
              <x14:cfvo type="percent" gte="0">
                <xm:f>5</xm:f>
              </x14:cfvo>
              <x14:cfIcon iconSet="NoIcons" iconId="0"/>
              <x14:cfIcon iconSet="3TrafficLights1" iconId="2"/>
              <x14:cfIcon iconSet="3TrafficLights1" iconId="0"/>
            </x14:iconSet>
          </x14:cfRule>
          <xm:sqref>C133</xm:sqref>
        </x14:conditionalFormatting>
        <x14:conditionalFormatting xmlns:xm="http://schemas.microsoft.com/office/excel/2006/main">
          <x14:cfRule type="iconSet" priority="696" id="{47095622-0807-4895-ACB6-7ADB44DB840E}">
            <x14:iconSet custom="1">
              <x14:cfvo type="percent">
                <xm:f>0</xm:f>
              </x14:cfvo>
              <x14:cfvo type="num">
                <xm:f>0</xm:f>
              </x14:cfvo>
              <x14:cfvo type="num">
                <xm:f>1</xm:f>
              </x14:cfvo>
              <x14:cfIcon iconSet="NoIcons" iconId="0"/>
              <x14:cfIcon iconSet="3TrafficLights1" iconId="2"/>
              <x14:cfIcon iconSet="3TrafficLights1" iconId="0"/>
            </x14:iconSet>
          </x14:cfRule>
          <xm:sqref>B133</xm:sqref>
        </x14:conditionalFormatting>
        <x14:conditionalFormatting xmlns:xm="http://schemas.microsoft.com/office/excel/2006/main">
          <x14:cfRule type="iconSet" priority="693" id="{8DF95DCA-B945-4CA7-A6CA-714A3B89AB48}">
            <x14:iconSet custom="1">
              <x14:cfvo type="percent">
                <xm:f>0</xm:f>
              </x14:cfvo>
              <x14:cfvo type="percent">
                <xm:f>0</xm:f>
              </x14:cfvo>
              <x14:cfvo type="percent" gte="0">
                <xm:f>5</xm:f>
              </x14:cfvo>
              <x14:cfIcon iconSet="NoIcons" iconId="0"/>
              <x14:cfIcon iconSet="3TrafficLights1" iconId="2"/>
              <x14:cfIcon iconSet="3TrafficLights1" iconId="0"/>
            </x14:iconSet>
          </x14:cfRule>
          <xm:sqref>C134</xm:sqref>
        </x14:conditionalFormatting>
        <x14:conditionalFormatting xmlns:xm="http://schemas.microsoft.com/office/excel/2006/main">
          <x14:cfRule type="iconSet" priority="694" id="{843C94A7-1008-47D7-B9CA-280509A453C2}">
            <x14:iconSet custom="1">
              <x14:cfvo type="percent">
                <xm:f>0</xm:f>
              </x14:cfvo>
              <x14:cfvo type="num">
                <xm:f>0</xm:f>
              </x14:cfvo>
              <x14:cfvo type="num">
                <xm:f>1</xm:f>
              </x14:cfvo>
              <x14:cfIcon iconSet="NoIcons" iconId="0"/>
              <x14:cfIcon iconSet="3TrafficLights1" iconId="2"/>
              <x14:cfIcon iconSet="3TrafficLights1" iconId="0"/>
            </x14:iconSet>
          </x14:cfRule>
          <xm:sqref>B134</xm:sqref>
        </x14:conditionalFormatting>
        <x14:conditionalFormatting xmlns:xm="http://schemas.microsoft.com/office/excel/2006/main">
          <x14:cfRule type="iconSet" priority="691" id="{315F25A5-C5DB-4AD8-AED3-00EB74C6D883}">
            <x14:iconSet custom="1">
              <x14:cfvo type="percent">
                <xm:f>0</xm:f>
              </x14:cfvo>
              <x14:cfvo type="percent">
                <xm:f>0</xm:f>
              </x14:cfvo>
              <x14:cfvo type="percent" gte="0">
                <xm:f>5</xm:f>
              </x14:cfvo>
              <x14:cfIcon iconSet="NoIcons" iconId="0"/>
              <x14:cfIcon iconSet="3TrafficLights1" iconId="2"/>
              <x14:cfIcon iconSet="3TrafficLights1" iconId="0"/>
            </x14:iconSet>
          </x14:cfRule>
          <xm:sqref>C135</xm:sqref>
        </x14:conditionalFormatting>
        <x14:conditionalFormatting xmlns:xm="http://schemas.microsoft.com/office/excel/2006/main">
          <x14:cfRule type="iconSet" priority="692" id="{3DE4596A-B125-4B4B-A36C-C5AF6D63EEE7}">
            <x14:iconSet custom="1">
              <x14:cfvo type="percent">
                <xm:f>0</xm:f>
              </x14:cfvo>
              <x14:cfvo type="num">
                <xm:f>0</xm:f>
              </x14:cfvo>
              <x14:cfvo type="num">
                <xm:f>1</xm:f>
              </x14:cfvo>
              <x14:cfIcon iconSet="NoIcons" iconId="0"/>
              <x14:cfIcon iconSet="3TrafficLights1" iconId="2"/>
              <x14:cfIcon iconSet="3TrafficLights1" iconId="0"/>
            </x14:iconSet>
          </x14:cfRule>
          <xm:sqref>B135</xm:sqref>
        </x14:conditionalFormatting>
        <x14:conditionalFormatting xmlns:xm="http://schemas.microsoft.com/office/excel/2006/main">
          <x14:cfRule type="iconSet" priority="687" id="{E87E13C2-AFA7-4A99-A717-354AE9343880}">
            <x14:iconSet custom="1">
              <x14:cfvo type="percent">
                <xm:f>0</xm:f>
              </x14:cfvo>
              <x14:cfvo type="percent">
                <xm:f>0</xm:f>
              </x14:cfvo>
              <x14:cfvo type="percent" gte="0">
                <xm:f>5</xm:f>
              </x14:cfvo>
              <x14:cfIcon iconSet="NoIcons" iconId="0"/>
              <x14:cfIcon iconSet="3TrafficLights1" iconId="2"/>
              <x14:cfIcon iconSet="3TrafficLights1" iconId="0"/>
            </x14:iconSet>
          </x14:cfRule>
          <xm:sqref>C136</xm:sqref>
        </x14:conditionalFormatting>
        <x14:conditionalFormatting xmlns:xm="http://schemas.microsoft.com/office/excel/2006/main">
          <x14:cfRule type="iconSet" priority="688" id="{E2443697-80BF-4951-9820-ED7DA095008B}">
            <x14:iconSet custom="1">
              <x14:cfvo type="percent">
                <xm:f>0</xm:f>
              </x14:cfvo>
              <x14:cfvo type="num">
                <xm:f>0</xm:f>
              </x14:cfvo>
              <x14:cfvo type="num">
                <xm:f>1</xm:f>
              </x14:cfvo>
              <x14:cfIcon iconSet="NoIcons" iconId="0"/>
              <x14:cfIcon iconSet="3TrafficLights1" iconId="2"/>
              <x14:cfIcon iconSet="3TrafficLights1" iconId="0"/>
            </x14:iconSet>
          </x14:cfRule>
          <xm:sqref>B136</xm:sqref>
        </x14:conditionalFormatting>
        <x14:conditionalFormatting xmlns:xm="http://schemas.microsoft.com/office/excel/2006/main">
          <x14:cfRule type="iconSet" priority="685" id="{39573A24-73A9-470B-8E7E-4F90CD7A5332}">
            <x14:iconSet custom="1">
              <x14:cfvo type="percent">
                <xm:f>0</xm:f>
              </x14:cfvo>
              <x14:cfvo type="percent">
                <xm:f>0</xm:f>
              </x14:cfvo>
              <x14:cfvo type="percent" gte="0">
                <xm:f>5</xm:f>
              </x14:cfvo>
              <x14:cfIcon iconSet="NoIcons" iconId="0"/>
              <x14:cfIcon iconSet="3TrafficLights1" iconId="2"/>
              <x14:cfIcon iconSet="3TrafficLights1" iconId="0"/>
            </x14:iconSet>
          </x14:cfRule>
          <xm:sqref>C137</xm:sqref>
        </x14:conditionalFormatting>
        <x14:conditionalFormatting xmlns:xm="http://schemas.microsoft.com/office/excel/2006/main">
          <x14:cfRule type="iconSet" priority="686" id="{84C44AE8-7B50-4356-90C8-629B7BA6787E}">
            <x14:iconSet custom="1">
              <x14:cfvo type="percent">
                <xm:f>0</xm:f>
              </x14:cfvo>
              <x14:cfvo type="num">
                <xm:f>0</xm:f>
              </x14:cfvo>
              <x14:cfvo type="num">
                <xm:f>1</xm:f>
              </x14:cfvo>
              <x14:cfIcon iconSet="NoIcons" iconId="0"/>
              <x14:cfIcon iconSet="3TrafficLights1" iconId="2"/>
              <x14:cfIcon iconSet="3TrafficLights1" iconId="0"/>
            </x14:iconSet>
          </x14:cfRule>
          <xm:sqref>B137</xm:sqref>
        </x14:conditionalFormatting>
        <x14:conditionalFormatting xmlns:xm="http://schemas.microsoft.com/office/excel/2006/main">
          <x14:cfRule type="iconSet" priority="683" id="{8A1379F8-28D3-4023-94A8-860D83B70BD4}">
            <x14:iconSet custom="1">
              <x14:cfvo type="percent">
                <xm:f>0</xm:f>
              </x14:cfvo>
              <x14:cfvo type="percent">
                <xm:f>0</xm:f>
              </x14:cfvo>
              <x14:cfvo type="percent" gte="0">
                <xm:f>5</xm:f>
              </x14:cfvo>
              <x14:cfIcon iconSet="NoIcons" iconId="0"/>
              <x14:cfIcon iconSet="3TrafficLights1" iconId="2"/>
              <x14:cfIcon iconSet="3TrafficLights1" iconId="0"/>
            </x14:iconSet>
          </x14:cfRule>
          <xm:sqref>C138</xm:sqref>
        </x14:conditionalFormatting>
        <x14:conditionalFormatting xmlns:xm="http://schemas.microsoft.com/office/excel/2006/main">
          <x14:cfRule type="iconSet" priority="684" id="{DB6AFC3B-C63A-49D6-B7DB-1BBC7138C7A1}">
            <x14:iconSet custom="1">
              <x14:cfvo type="percent">
                <xm:f>0</xm:f>
              </x14:cfvo>
              <x14:cfvo type="num">
                <xm:f>0</xm:f>
              </x14:cfvo>
              <x14:cfvo type="num">
                <xm:f>1</xm:f>
              </x14:cfvo>
              <x14:cfIcon iconSet="NoIcons" iconId="0"/>
              <x14:cfIcon iconSet="3TrafficLights1" iconId="2"/>
              <x14:cfIcon iconSet="3TrafficLights1" iconId="0"/>
            </x14:iconSet>
          </x14:cfRule>
          <xm:sqref>B138</xm:sqref>
        </x14:conditionalFormatting>
        <x14:conditionalFormatting xmlns:xm="http://schemas.microsoft.com/office/excel/2006/main">
          <x14:cfRule type="iconSet" priority="681" id="{1B383A57-5563-43C7-82E6-6D3F283C4E68}">
            <x14:iconSet custom="1">
              <x14:cfvo type="percent">
                <xm:f>0</xm:f>
              </x14:cfvo>
              <x14:cfvo type="percent">
                <xm:f>0</xm:f>
              </x14:cfvo>
              <x14:cfvo type="percent" gte="0">
                <xm:f>5</xm:f>
              </x14:cfvo>
              <x14:cfIcon iconSet="NoIcons" iconId="0"/>
              <x14:cfIcon iconSet="3TrafficLights1" iconId="2"/>
              <x14:cfIcon iconSet="3TrafficLights1" iconId="0"/>
            </x14:iconSet>
          </x14:cfRule>
          <xm:sqref>C139</xm:sqref>
        </x14:conditionalFormatting>
        <x14:conditionalFormatting xmlns:xm="http://schemas.microsoft.com/office/excel/2006/main">
          <x14:cfRule type="iconSet" priority="682" id="{50E33B3F-37DB-4C28-85D8-74A7B7277826}">
            <x14:iconSet custom="1">
              <x14:cfvo type="percent">
                <xm:f>0</xm:f>
              </x14:cfvo>
              <x14:cfvo type="num">
                <xm:f>0</xm:f>
              </x14:cfvo>
              <x14:cfvo type="num">
                <xm:f>1</xm:f>
              </x14:cfvo>
              <x14:cfIcon iconSet="NoIcons" iconId="0"/>
              <x14:cfIcon iconSet="3TrafficLights1" iconId="2"/>
              <x14:cfIcon iconSet="3TrafficLights1" iconId="0"/>
            </x14:iconSet>
          </x14:cfRule>
          <xm:sqref>B139</xm:sqref>
        </x14:conditionalFormatting>
        <x14:conditionalFormatting xmlns:xm="http://schemas.microsoft.com/office/excel/2006/main">
          <x14:cfRule type="iconSet" priority="679" id="{3C290460-3D2C-4AA0-80D8-4EBE731D509F}">
            <x14:iconSet custom="1">
              <x14:cfvo type="percent">
                <xm:f>0</xm:f>
              </x14:cfvo>
              <x14:cfvo type="percent">
                <xm:f>0</xm:f>
              </x14:cfvo>
              <x14:cfvo type="percent" gte="0">
                <xm:f>5</xm:f>
              </x14:cfvo>
              <x14:cfIcon iconSet="NoIcons" iconId="0"/>
              <x14:cfIcon iconSet="3TrafficLights1" iconId="2"/>
              <x14:cfIcon iconSet="3TrafficLights1" iconId="0"/>
            </x14:iconSet>
          </x14:cfRule>
          <xm:sqref>C140</xm:sqref>
        </x14:conditionalFormatting>
        <x14:conditionalFormatting xmlns:xm="http://schemas.microsoft.com/office/excel/2006/main">
          <x14:cfRule type="iconSet" priority="680" id="{70A33755-393C-4981-AE0C-24F3C582EFF5}">
            <x14:iconSet custom="1">
              <x14:cfvo type="percent">
                <xm:f>0</xm:f>
              </x14:cfvo>
              <x14:cfvo type="num">
                <xm:f>0</xm:f>
              </x14:cfvo>
              <x14:cfvo type="num">
                <xm:f>1</xm:f>
              </x14:cfvo>
              <x14:cfIcon iconSet="NoIcons" iconId="0"/>
              <x14:cfIcon iconSet="3TrafficLights1" iconId="2"/>
              <x14:cfIcon iconSet="3TrafficLights1" iconId="0"/>
            </x14:iconSet>
          </x14:cfRule>
          <xm:sqref>B140</xm:sqref>
        </x14:conditionalFormatting>
        <x14:conditionalFormatting xmlns:xm="http://schemas.microsoft.com/office/excel/2006/main">
          <x14:cfRule type="iconSet" priority="677" id="{569FF691-660A-4501-BD05-6A4A2B5005E9}">
            <x14:iconSet custom="1">
              <x14:cfvo type="percent">
                <xm:f>0</xm:f>
              </x14:cfvo>
              <x14:cfvo type="percent">
                <xm:f>0</xm:f>
              </x14:cfvo>
              <x14:cfvo type="percent" gte="0">
                <xm:f>5</xm:f>
              </x14:cfvo>
              <x14:cfIcon iconSet="NoIcons" iconId="0"/>
              <x14:cfIcon iconSet="3TrafficLights1" iconId="2"/>
              <x14:cfIcon iconSet="3TrafficLights1" iconId="0"/>
            </x14:iconSet>
          </x14:cfRule>
          <xm:sqref>C141</xm:sqref>
        </x14:conditionalFormatting>
        <x14:conditionalFormatting xmlns:xm="http://schemas.microsoft.com/office/excel/2006/main">
          <x14:cfRule type="iconSet" priority="678" id="{11B86E5D-60D0-489F-84D4-311C0078B198}">
            <x14:iconSet custom="1">
              <x14:cfvo type="percent">
                <xm:f>0</xm:f>
              </x14:cfvo>
              <x14:cfvo type="num">
                <xm:f>0</xm:f>
              </x14:cfvo>
              <x14:cfvo type="num">
                <xm:f>1</xm:f>
              </x14:cfvo>
              <x14:cfIcon iconSet="NoIcons" iconId="0"/>
              <x14:cfIcon iconSet="3TrafficLights1" iconId="2"/>
              <x14:cfIcon iconSet="3TrafficLights1" iconId="0"/>
            </x14:iconSet>
          </x14:cfRule>
          <xm:sqref>B141</xm:sqref>
        </x14:conditionalFormatting>
        <x14:conditionalFormatting xmlns:xm="http://schemas.microsoft.com/office/excel/2006/main">
          <x14:cfRule type="iconSet" priority="673" id="{31B440C1-D820-4E2C-B5D8-3FDC5469D42F}">
            <x14:iconSet custom="1">
              <x14:cfvo type="percent">
                <xm:f>0</xm:f>
              </x14:cfvo>
              <x14:cfvo type="percent">
                <xm:f>0</xm:f>
              </x14:cfvo>
              <x14:cfvo type="percent" gte="0">
                <xm:f>5</xm:f>
              </x14:cfvo>
              <x14:cfIcon iconSet="NoIcons" iconId="0"/>
              <x14:cfIcon iconSet="3TrafficLights1" iconId="2"/>
              <x14:cfIcon iconSet="3TrafficLights1" iconId="0"/>
            </x14:iconSet>
          </x14:cfRule>
          <xm:sqref>C142</xm:sqref>
        </x14:conditionalFormatting>
        <x14:conditionalFormatting xmlns:xm="http://schemas.microsoft.com/office/excel/2006/main">
          <x14:cfRule type="iconSet" priority="674" id="{F8EDFBA3-CE47-44E1-9D30-F5EF416C376B}">
            <x14:iconSet custom="1">
              <x14:cfvo type="percent">
                <xm:f>0</xm:f>
              </x14:cfvo>
              <x14:cfvo type="num">
                <xm:f>0</xm:f>
              </x14:cfvo>
              <x14:cfvo type="num">
                <xm:f>1</xm:f>
              </x14:cfvo>
              <x14:cfIcon iconSet="NoIcons" iconId="0"/>
              <x14:cfIcon iconSet="3TrafficLights1" iconId="2"/>
              <x14:cfIcon iconSet="3TrafficLights1" iconId="0"/>
            </x14:iconSet>
          </x14:cfRule>
          <xm:sqref>B142</xm:sqref>
        </x14:conditionalFormatting>
        <x14:conditionalFormatting xmlns:xm="http://schemas.microsoft.com/office/excel/2006/main">
          <x14:cfRule type="iconSet" priority="671" id="{2BEF1F22-9D20-4EFA-8104-03BDFC1CBEF8}">
            <x14:iconSet custom="1">
              <x14:cfvo type="percent">
                <xm:f>0</xm:f>
              </x14:cfvo>
              <x14:cfvo type="percent">
                <xm:f>0</xm:f>
              </x14:cfvo>
              <x14:cfvo type="percent" gte="0">
                <xm:f>5</xm:f>
              </x14:cfvo>
              <x14:cfIcon iconSet="NoIcons" iconId="0"/>
              <x14:cfIcon iconSet="3TrafficLights1" iconId="2"/>
              <x14:cfIcon iconSet="3TrafficLights1" iconId="0"/>
            </x14:iconSet>
          </x14:cfRule>
          <xm:sqref>C143</xm:sqref>
        </x14:conditionalFormatting>
        <x14:conditionalFormatting xmlns:xm="http://schemas.microsoft.com/office/excel/2006/main">
          <x14:cfRule type="iconSet" priority="672" id="{7A4E5414-CF08-4C87-91DA-6A4BD8802A99}">
            <x14:iconSet custom="1">
              <x14:cfvo type="percent">
                <xm:f>0</xm:f>
              </x14:cfvo>
              <x14:cfvo type="num">
                <xm:f>0</xm:f>
              </x14:cfvo>
              <x14:cfvo type="num">
                <xm:f>1</xm:f>
              </x14:cfvo>
              <x14:cfIcon iconSet="NoIcons" iconId="0"/>
              <x14:cfIcon iconSet="3TrafficLights1" iconId="2"/>
              <x14:cfIcon iconSet="3TrafficLights1" iconId="0"/>
            </x14:iconSet>
          </x14:cfRule>
          <xm:sqref>B143</xm:sqref>
        </x14:conditionalFormatting>
        <x14:conditionalFormatting xmlns:xm="http://schemas.microsoft.com/office/excel/2006/main">
          <x14:cfRule type="iconSet" priority="669" id="{2EE7D928-2BD8-4E3C-A680-E0B34A434DF6}">
            <x14:iconSet custom="1">
              <x14:cfvo type="percent">
                <xm:f>0</xm:f>
              </x14:cfvo>
              <x14:cfvo type="percent">
                <xm:f>0</xm:f>
              </x14:cfvo>
              <x14:cfvo type="percent" gte="0">
                <xm:f>5</xm:f>
              </x14:cfvo>
              <x14:cfIcon iconSet="NoIcons" iconId="0"/>
              <x14:cfIcon iconSet="3TrafficLights1" iconId="2"/>
              <x14:cfIcon iconSet="3TrafficLights1" iconId="0"/>
            </x14:iconSet>
          </x14:cfRule>
          <xm:sqref>C144</xm:sqref>
        </x14:conditionalFormatting>
        <x14:conditionalFormatting xmlns:xm="http://schemas.microsoft.com/office/excel/2006/main">
          <x14:cfRule type="iconSet" priority="670" id="{BAC1B86A-A7FB-420D-8381-8A209D21F657}">
            <x14:iconSet custom="1">
              <x14:cfvo type="percent">
                <xm:f>0</xm:f>
              </x14:cfvo>
              <x14:cfvo type="num">
                <xm:f>0</xm:f>
              </x14:cfvo>
              <x14:cfvo type="num">
                <xm:f>1</xm:f>
              </x14:cfvo>
              <x14:cfIcon iconSet="NoIcons" iconId="0"/>
              <x14:cfIcon iconSet="3TrafficLights1" iconId="2"/>
              <x14:cfIcon iconSet="3TrafficLights1" iconId="0"/>
            </x14:iconSet>
          </x14:cfRule>
          <xm:sqref>B144</xm:sqref>
        </x14:conditionalFormatting>
        <x14:conditionalFormatting xmlns:xm="http://schemas.microsoft.com/office/excel/2006/main">
          <x14:cfRule type="iconSet" priority="667" id="{3DC093A6-A875-4A41-85A1-C337A551096E}">
            <x14:iconSet custom="1">
              <x14:cfvo type="percent">
                <xm:f>0</xm:f>
              </x14:cfvo>
              <x14:cfvo type="percent">
                <xm:f>0</xm:f>
              </x14:cfvo>
              <x14:cfvo type="percent" gte="0">
                <xm:f>5</xm:f>
              </x14:cfvo>
              <x14:cfIcon iconSet="NoIcons" iconId="0"/>
              <x14:cfIcon iconSet="3TrafficLights1" iconId="2"/>
              <x14:cfIcon iconSet="3TrafficLights1" iconId="0"/>
            </x14:iconSet>
          </x14:cfRule>
          <xm:sqref>C145</xm:sqref>
        </x14:conditionalFormatting>
        <x14:conditionalFormatting xmlns:xm="http://schemas.microsoft.com/office/excel/2006/main">
          <x14:cfRule type="iconSet" priority="668" id="{14DA5A85-5347-421C-9104-5AD614158C41}">
            <x14:iconSet custom="1">
              <x14:cfvo type="percent">
                <xm:f>0</xm:f>
              </x14:cfvo>
              <x14:cfvo type="num">
                <xm:f>0</xm:f>
              </x14:cfvo>
              <x14:cfvo type="num">
                <xm:f>1</xm:f>
              </x14:cfvo>
              <x14:cfIcon iconSet="NoIcons" iconId="0"/>
              <x14:cfIcon iconSet="3TrafficLights1" iconId="2"/>
              <x14:cfIcon iconSet="3TrafficLights1" iconId="0"/>
            </x14:iconSet>
          </x14:cfRule>
          <xm:sqref>B145</xm:sqref>
        </x14:conditionalFormatting>
        <x14:conditionalFormatting xmlns:xm="http://schemas.microsoft.com/office/excel/2006/main">
          <x14:cfRule type="iconSet" priority="665" id="{DED65D32-B793-460E-B8F0-D4DDB9E74236}">
            <x14:iconSet custom="1">
              <x14:cfvo type="percent">
                <xm:f>0</xm:f>
              </x14:cfvo>
              <x14:cfvo type="percent">
                <xm:f>0</xm:f>
              </x14:cfvo>
              <x14:cfvo type="percent" gte="0">
                <xm:f>5</xm:f>
              </x14:cfvo>
              <x14:cfIcon iconSet="NoIcons" iconId="0"/>
              <x14:cfIcon iconSet="3TrafficLights1" iconId="2"/>
              <x14:cfIcon iconSet="3TrafficLights1" iconId="0"/>
            </x14:iconSet>
          </x14:cfRule>
          <xm:sqref>C146</xm:sqref>
        </x14:conditionalFormatting>
        <x14:conditionalFormatting xmlns:xm="http://schemas.microsoft.com/office/excel/2006/main">
          <x14:cfRule type="iconSet" priority="666" id="{86FA48FD-0E7F-4451-9D33-25C997B0761F}">
            <x14:iconSet custom="1">
              <x14:cfvo type="percent">
                <xm:f>0</xm:f>
              </x14:cfvo>
              <x14:cfvo type="num">
                <xm:f>0</xm:f>
              </x14:cfvo>
              <x14:cfvo type="num">
                <xm:f>1</xm:f>
              </x14:cfvo>
              <x14:cfIcon iconSet="NoIcons" iconId="0"/>
              <x14:cfIcon iconSet="3TrafficLights1" iconId="2"/>
              <x14:cfIcon iconSet="3TrafficLights1" iconId="0"/>
            </x14:iconSet>
          </x14:cfRule>
          <xm:sqref>B146</xm:sqref>
        </x14:conditionalFormatting>
        <x14:conditionalFormatting xmlns:xm="http://schemas.microsoft.com/office/excel/2006/main">
          <x14:cfRule type="iconSet" priority="661" id="{65B74829-D0EB-4196-B26C-FAC499A1044B}">
            <x14:iconSet custom="1">
              <x14:cfvo type="percent">
                <xm:f>0</xm:f>
              </x14:cfvo>
              <x14:cfvo type="percent">
                <xm:f>0</xm:f>
              </x14:cfvo>
              <x14:cfvo type="percent" gte="0">
                <xm:f>5</xm:f>
              </x14:cfvo>
              <x14:cfIcon iconSet="NoIcons" iconId="0"/>
              <x14:cfIcon iconSet="3TrafficLights1" iconId="2"/>
              <x14:cfIcon iconSet="3TrafficLights1" iconId="0"/>
            </x14:iconSet>
          </x14:cfRule>
          <xm:sqref>C147</xm:sqref>
        </x14:conditionalFormatting>
        <x14:conditionalFormatting xmlns:xm="http://schemas.microsoft.com/office/excel/2006/main">
          <x14:cfRule type="iconSet" priority="662" id="{BDE53C05-F089-4073-88CD-C19214C56AE3}">
            <x14:iconSet custom="1">
              <x14:cfvo type="percent">
                <xm:f>0</xm:f>
              </x14:cfvo>
              <x14:cfvo type="num">
                <xm:f>0</xm:f>
              </x14:cfvo>
              <x14:cfvo type="num">
                <xm:f>1</xm:f>
              </x14:cfvo>
              <x14:cfIcon iconSet="NoIcons" iconId="0"/>
              <x14:cfIcon iconSet="3TrafficLights1" iconId="2"/>
              <x14:cfIcon iconSet="3TrafficLights1" iconId="0"/>
            </x14:iconSet>
          </x14:cfRule>
          <xm:sqref>B147</xm:sqref>
        </x14:conditionalFormatting>
        <x14:conditionalFormatting xmlns:xm="http://schemas.microsoft.com/office/excel/2006/main">
          <x14:cfRule type="iconSet" priority="659" id="{5DE0D2B9-5F34-4958-A78A-B4B63E328EB2}">
            <x14:iconSet custom="1">
              <x14:cfvo type="percent">
                <xm:f>0</xm:f>
              </x14:cfvo>
              <x14:cfvo type="percent">
                <xm:f>0</xm:f>
              </x14:cfvo>
              <x14:cfvo type="percent" gte="0">
                <xm:f>5</xm:f>
              </x14:cfvo>
              <x14:cfIcon iconSet="NoIcons" iconId="0"/>
              <x14:cfIcon iconSet="3TrafficLights1" iconId="2"/>
              <x14:cfIcon iconSet="3TrafficLights1" iconId="0"/>
            </x14:iconSet>
          </x14:cfRule>
          <xm:sqref>C148</xm:sqref>
        </x14:conditionalFormatting>
        <x14:conditionalFormatting xmlns:xm="http://schemas.microsoft.com/office/excel/2006/main">
          <x14:cfRule type="iconSet" priority="660" id="{8F91A77E-6334-436A-BFC1-CB416175EC44}">
            <x14:iconSet custom="1">
              <x14:cfvo type="percent">
                <xm:f>0</xm:f>
              </x14:cfvo>
              <x14:cfvo type="num">
                <xm:f>0</xm:f>
              </x14:cfvo>
              <x14:cfvo type="num">
                <xm:f>1</xm:f>
              </x14:cfvo>
              <x14:cfIcon iconSet="NoIcons" iconId="0"/>
              <x14:cfIcon iconSet="3TrafficLights1" iconId="2"/>
              <x14:cfIcon iconSet="3TrafficLights1" iconId="0"/>
            </x14:iconSet>
          </x14:cfRule>
          <xm:sqref>B148</xm:sqref>
        </x14:conditionalFormatting>
        <x14:conditionalFormatting xmlns:xm="http://schemas.microsoft.com/office/excel/2006/main">
          <x14:cfRule type="iconSet" priority="657" id="{1A1B9F50-0D5C-4E28-A86F-FCA70B5840E9}">
            <x14:iconSet custom="1">
              <x14:cfvo type="percent">
                <xm:f>0</xm:f>
              </x14:cfvo>
              <x14:cfvo type="percent">
                <xm:f>0</xm:f>
              </x14:cfvo>
              <x14:cfvo type="percent" gte="0">
                <xm:f>5</xm:f>
              </x14:cfvo>
              <x14:cfIcon iconSet="NoIcons" iconId="0"/>
              <x14:cfIcon iconSet="3TrafficLights1" iconId="2"/>
              <x14:cfIcon iconSet="3TrafficLights1" iconId="0"/>
            </x14:iconSet>
          </x14:cfRule>
          <xm:sqref>C149</xm:sqref>
        </x14:conditionalFormatting>
        <x14:conditionalFormatting xmlns:xm="http://schemas.microsoft.com/office/excel/2006/main">
          <x14:cfRule type="iconSet" priority="658" id="{0E5C817B-3E26-43A5-ADE3-3F04B48B9513}">
            <x14:iconSet custom="1">
              <x14:cfvo type="percent">
                <xm:f>0</xm:f>
              </x14:cfvo>
              <x14:cfvo type="num">
                <xm:f>0</xm:f>
              </x14:cfvo>
              <x14:cfvo type="num">
                <xm:f>1</xm:f>
              </x14:cfvo>
              <x14:cfIcon iconSet="NoIcons" iconId="0"/>
              <x14:cfIcon iconSet="3TrafficLights1" iconId="2"/>
              <x14:cfIcon iconSet="3TrafficLights1" iconId="0"/>
            </x14:iconSet>
          </x14:cfRule>
          <xm:sqref>B149</xm:sqref>
        </x14:conditionalFormatting>
        <x14:conditionalFormatting xmlns:xm="http://schemas.microsoft.com/office/excel/2006/main">
          <x14:cfRule type="iconSet" priority="649" id="{0F5E5B7C-2E95-448C-BAD6-C59E754BC863}">
            <x14:iconSet custom="1">
              <x14:cfvo type="percent">
                <xm:f>0</xm:f>
              </x14:cfvo>
              <x14:cfvo type="percent">
                <xm:f>0</xm:f>
              </x14:cfvo>
              <x14:cfvo type="percent" gte="0">
                <xm:f>5</xm:f>
              </x14:cfvo>
              <x14:cfIcon iconSet="NoIcons" iconId="0"/>
              <x14:cfIcon iconSet="3TrafficLights1" iconId="2"/>
              <x14:cfIcon iconSet="3TrafficLights1" iconId="0"/>
            </x14:iconSet>
          </x14:cfRule>
          <xm:sqref>C150</xm:sqref>
        </x14:conditionalFormatting>
        <x14:conditionalFormatting xmlns:xm="http://schemas.microsoft.com/office/excel/2006/main">
          <x14:cfRule type="iconSet" priority="650" id="{62C692CA-203D-4030-A12E-46D139F2A94D}">
            <x14:iconSet custom="1">
              <x14:cfvo type="percent">
                <xm:f>0</xm:f>
              </x14:cfvo>
              <x14:cfvo type="num">
                <xm:f>0</xm:f>
              </x14:cfvo>
              <x14:cfvo type="num">
                <xm:f>1</xm:f>
              </x14:cfvo>
              <x14:cfIcon iconSet="NoIcons" iconId="0"/>
              <x14:cfIcon iconSet="3TrafficLights1" iconId="2"/>
              <x14:cfIcon iconSet="3TrafficLights1" iconId="0"/>
            </x14:iconSet>
          </x14:cfRule>
          <xm:sqref>B150</xm:sqref>
        </x14:conditionalFormatting>
        <x14:conditionalFormatting xmlns:xm="http://schemas.microsoft.com/office/excel/2006/main">
          <x14:cfRule type="iconSet" priority="647" id="{B9A12BEE-06BF-4866-A9E8-ECAEBA318210}">
            <x14:iconSet custom="1">
              <x14:cfvo type="percent">
                <xm:f>0</xm:f>
              </x14:cfvo>
              <x14:cfvo type="percent">
                <xm:f>0</xm:f>
              </x14:cfvo>
              <x14:cfvo type="percent" gte="0">
                <xm:f>5</xm:f>
              </x14:cfvo>
              <x14:cfIcon iconSet="NoIcons" iconId="0"/>
              <x14:cfIcon iconSet="3TrafficLights1" iconId="2"/>
              <x14:cfIcon iconSet="3TrafficLights1" iconId="0"/>
            </x14:iconSet>
          </x14:cfRule>
          <xm:sqref>C151</xm:sqref>
        </x14:conditionalFormatting>
        <x14:conditionalFormatting xmlns:xm="http://schemas.microsoft.com/office/excel/2006/main">
          <x14:cfRule type="iconSet" priority="648" id="{A455C35B-8887-4198-B211-C5561A76A7CC}">
            <x14:iconSet custom="1">
              <x14:cfvo type="percent">
                <xm:f>0</xm:f>
              </x14:cfvo>
              <x14:cfvo type="num">
                <xm:f>0</xm:f>
              </x14:cfvo>
              <x14:cfvo type="num">
                <xm:f>1</xm:f>
              </x14:cfvo>
              <x14:cfIcon iconSet="NoIcons" iconId="0"/>
              <x14:cfIcon iconSet="3TrafficLights1" iconId="2"/>
              <x14:cfIcon iconSet="3TrafficLights1" iconId="0"/>
            </x14:iconSet>
          </x14:cfRule>
          <xm:sqref>B151</xm:sqref>
        </x14:conditionalFormatting>
        <x14:conditionalFormatting xmlns:xm="http://schemas.microsoft.com/office/excel/2006/main">
          <x14:cfRule type="iconSet" priority="645" id="{7E2F0EE0-6C28-4527-88C4-2C8822949853}">
            <x14:iconSet custom="1">
              <x14:cfvo type="percent">
                <xm:f>0</xm:f>
              </x14:cfvo>
              <x14:cfvo type="percent">
                <xm:f>0</xm:f>
              </x14:cfvo>
              <x14:cfvo type="percent" gte="0">
                <xm:f>5</xm:f>
              </x14:cfvo>
              <x14:cfIcon iconSet="NoIcons" iconId="0"/>
              <x14:cfIcon iconSet="3TrafficLights1" iconId="2"/>
              <x14:cfIcon iconSet="3TrafficLights1" iconId="0"/>
            </x14:iconSet>
          </x14:cfRule>
          <xm:sqref>C152</xm:sqref>
        </x14:conditionalFormatting>
        <x14:conditionalFormatting xmlns:xm="http://schemas.microsoft.com/office/excel/2006/main">
          <x14:cfRule type="iconSet" priority="646" id="{2317766E-F9D5-46C8-A6C4-9DD99B745428}">
            <x14:iconSet custom="1">
              <x14:cfvo type="percent">
                <xm:f>0</xm:f>
              </x14:cfvo>
              <x14:cfvo type="num">
                <xm:f>0</xm:f>
              </x14:cfvo>
              <x14:cfvo type="num">
                <xm:f>1</xm:f>
              </x14:cfvo>
              <x14:cfIcon iconSet="NoIcons" iconId="0"/>
              <x14:cfIcon iconSet="3TrafficLights1" iconId="2"/>
              <x14:cfIcon iconSet="3TrafficLights1" iconId="0"/>
            </x14:iconSet>
          </x14:cfRule>
          <xm:sqref>B152</xm:sqref>
        </x14:conditionalFormatting>
        <x14:conditionalFormatting xmlns:xm="http://schemas.microsoft.com/office/excel/2006/main">
          <x14:cfRule type="iconSet" priority="641" id="{44113FDE-68A1-43D3-8CEE-210C9D5E2851}">
            <x14:iconSet custom="1">
              <x14:cfvo type="percent">
                <xm:f>0</xm:f>
              </x14:cfvo>
              <x14:cfvo type="num">
                <xm:f>0</xm:f>
              </x14:cfvo>
              <x14:cfvo type="num" gte="0">
                <xm:f>0.03</xm:f>
              </x14:cfvo>
              <x14:cfIcon iconSet="NoIcons" iconId="0"/>
              <x14:cfIcon iconSet="3TrafficLights1" iconId="2"/>
              <x14:cfIcon iconSet="3TrafficLights1" iconId="0"/>
            </x14:iconSet>
          </x14:cfRule>
          <xm:sqref>C153</xm:sqref>
        </x14:conditionalFormatting>
        <x14:conditionalFormatting xmlns:xm="http://schemas.microsoft.com/office/excel/2006/main">
          <x14:cfRule type="iconSet" priority="642" id="{C7C90804-AFBF-44A4-9C62-7E1AB3DDBC70}">
            <x14:iconSet custom="1">
              <x14:cfvo type="percent">
                <xm:f>0</xm:f>
              </x14:cfvo>
              <x14:cfvo type="num">
                <xm:f>0</xm:f>
              </x14:cfvo>
              <x14:cfvo type="num">
                <xm:f>1</xm:f>
              </x14:cfvo>
              <x14:cfIcon iconSet="NoIcons" iconId="0"/>
              <x14:cfIcon iconSet="3TrafficLights1" iconId="2"/>
              <x14:cfIcon iconSet="3TrafficLights1" iconId="0"/>
            </x14:iconSet>
          </x14:cfRule>
          <xm:sqref>B153</xm:sqref>
        </x14:conditionalFormatting>
        <x14:conditionalFormatting xmlns:xm="http://schemas.microsoft.com/office/excel/2006/main">
          <x14:cfRule type="iconSet" priority="639" id="{8B64F092-CF44-4FBF-94A8-EECEF72B8D84}">
            <x14:iconSet custom="1">
              <x14:cfvo type="percent">
                <xm:f>0</xm:f>
              </x14:cfvo>
              <x14:cfvo type="num">
                <xm:f>0</xm:f>
              </x14:cfvo>
              <x14:cfvo type="num" gte="0">
                <xm:f>0.03</xm:f>
              </x14:cfvo>
              <x14:cfIcon iconSet="NoIcons" iconId="0"/>
              <x14:cfIcon iconSet="3TrafficLights1" iconId="2"/>
              <x14:cfIcon iconSet="3TrafficLights1" iconId="0"/>
            </x14:iconSet>
          </x14:cfRule>
          <xm:sqref>C154</xm:sqref>
        </x14:conditionalFormatting>
        <x14:conditionalFormatting xmlns:xm="http://schemas.microsoft.com/office/excel/2006/main">
          <x14:cfRule type="iconSet" priority="640" id="{B37E2D11-2403-4983-B939-93DA7F2CFAE8}">
            <x14:iconSet custom="1">
              <x14:cfvo type="percent">
                <xm:f>0</xm:f>
              </x14:cfvo>
              <x14:cfvo type="num">
                <xm:f>0</xm:f>
              </x14:cfvo>
              <x14:cfvo type="num">
                <xm:f>1</xm:f>
              </x14:cfvo>
              <x14:cfIcon iconSet="NoIcons" iconId="0"/>
              <x14:cfIcon iconSet="3TrafficLights1" iconId="2"/>
              <x14:cfIcon iconSet="3TrafficLights1" iconId="0"/>
            </x14:iconSet>
          </x14:cfRule>
          <xm:sqref>B154</xm:sqref>
        </x14:conditionalFormatting>
        <x14:conditionalFormatting xmlns:xm="http://schemas.microsoft.com/office/excel/2006/main">
          <x14:cfRule type="iconSet" priority="635" id="{3B932174-B17B-42E8-9874-C293ABF73309}">
            <x14:iconSet custom="1">
              <x14:cfvo type="percent">
                <xm:f>0</xm:f>
              </x14:cfvo>
              <x14:cfvo type="num">
                <xm:f>0</xm:f>
              </x14:cfvo>
              <x14:cfvo type="num" gte="0">
                <xm:f>0.03</xm:f>
              </x14:cfvo>
              <x14:cfIcon iconSet="NoIcons" iconId="0"/>
              <x14:cfIcon iconSet="3TrafficLights1" iconId="2"/>
              <x14:cfIcon iconSet="3TrafficLights1" iconId="0"/>
            </x14:iconSet>
          </x14:cfRule>
          <xm:sqref>C155</xm:sqref>
        </x14:conditionalFormatting>
        <x14:conditionalFormatting xmlns:xm="http://schemas.microsoft.com/office/excel/2006/main">
          <x14:cfRule type="iconSet" priority="636" id="{D9F62B5B-9609-43E4-BAB4-7CB1A572A78C}">
            <x14:iconSet custom="1">
              <x14:cfvo type="percent">
                <xm:f>0</xm:f>
              </x14:cfvo>
              <x14:cfvo type="num">
                <xm:f>0</xm:f>
              </x14:cfvo>
              <x14:cfvo type="num">
                <xm:f>1</xm:f>
              </x14:cfvo>
              <x14:cfIcon iconSet="NoIcons" iconId="0"/>
              <x14:cfIcon iconSet="3TrafficLights1" iconId="2"/>
              <x14:cfIcon iconSet="3TrafficLights1" iconId="0"/>
            </x14:iconSet>
          </x14:cfRule>
          <xm:sqref>B155</xm:sqref>
        </x14:conditionalFormatting>
        <x14:conditionalFormatting xmlns:xm="http://schemas.microsoft.com/office/excel/2006/main">
          <x14:cfRule type="iconSet" priority="633" id="{2325C8E3-90FF-4765-8B84-F577A6F60FF0}">
            <x14:iconSet custom="1">
              <x14:cfvo type="percent">
                <xm:f>0</xm:f>
              </x14:cfvo>
              <x14:cfvo type="num">
                <xm:f>0</xm:f>
              </x14:cfvo>
              <x14:cfvo type="num" gte="0">
                <xm:f>0.03</xm:f>
              </x14:cfvo>
              <x14:cfIcon iconSet="NoIcons" iconId="0"/>
              <x14:cfIcon iconSet="3TrafficLights1" iconId="2"/>
              <x14:cfIcon iconSet="3TrafficLights1" iconId="0"/>
            </x14:iconSet>
          </x14:cfRule>
          <xm:sqref>C156</xm:sqref>
        </x14:conditionalFormatting>
        <x14:conditionalFormatting xmlns:xm="http://schemas.microsoft.com/office/excel/2006/main">
          <x14:cfRule type="iconSet" priority="634" id="{FF6BBD10-BE05-4574-A08D-B579D1126CB0}">
            <x14:iconSet custom="1">
              <x14:cfvo type="percent">
                <xm:f>0</xm:f>
              </x14:cfvo>
              <x14:cfvo type="num">
                <xm:f>0</xm:f>
              </x14:cfvo>
              <x14:cfvo type="num">
                <xm:f>1</xm:f>
              </x14:cfvo>
              <x14:cfIcon iconSet="NoIcons" iconId="0"/>
              <x14:cfIcon iconSet="3TrafficLights1" iconId="2"/>
              <x14:cfIcon iconSet="3TrafficLights1" iconId="0"/>
            </x14:iconSet>
          </x14:cfRule>
          <xm:sqref>B156</xm:sqref>
        </x14:conditionalFormatting>
        <x14:conditionalFormatting xmlns:xm="http://schemas.microsoft.com/office/excel/2006/main">
          <x14:cfRule type="iconSet" priority="631" id="{91E946D8-F834-4CD4-A4A1-E3EE3E0606A1}">
            <x14:iconSet custom="1">
              <x14:cfvo type="percent">
                <xm:f>0</xm:f>
              </x14:cfvo>
              <x14:cfvo type="num">
                <xm:f>0</xm:f>
              </x14:cfvo>
              <x14:cfvo type="num" gte="0">
                <xm:f>0.03</xm:f>
              </x14:cfvo>
              <x14:cfIcon iconSet="NoIcons" iconId="0"/>
              <x14:cfIcon iconSet="3TrafficLights1" iconId="2"/>
              <x14:cfIcon iconSet="3TrafficLights1" iconId="0"/>
            </x14:iconSet>
          </x14:cfRule>
          <xm:sqref>C157</xm:sqref>
        </x14:conditionalFormatting>
        <x14:conditionalFormatting xmlns:xm="http://schemas.microsoft.com/office/excel/2006/main">
          <x14:cfRule type="iconSet" priority="632" id="{B77BC7BF-B849-4E38-A040-DA4894C0E54B}">
            <x14:iconSet custom="1">
              <x14:cfvo type="percent">
                <xm:f>0</xm:f>
              </x14:cfvo>
              <x14:cfvo type="num">
                <xm:f>0</xm:f>
              </x14:cfvo>
              <x14:cfvo type="num">
                <xm:f>1</xm:f>
              </x14:cfvo>
              <x14:cfIcon iconSet="NoIcons" iconId="0"/>
              <x14:cfIcon iconSet="3TrafficLights1" iconId="2"/>
              <x14:cfIcon iconSet="3TrafficLights1" iconId="0"/>
            </x14:iconSet>
          </x14:cfRule>
          <xm:sqref>B157</xm:sqref>
        </x14:conditionalFormatting>
        <x14:conditionalFormatting xmlns:xm="http://schemas.microsoft.com/office/excel/2006/main">
          <x14:cfRule type="iconSet" priority="629" id="{5BCA543B-F8F4-466B-88B3-327A70EB1FC5}">
            <x14:iconSet custom="1">
              <x14:cfvo type="percent">
                <xm:f>0</xm:f>
              </x14:cfvo>
              <x14:cfvo type="num">
                <xm:f>0</xm:f>
              </x14:cfvo>
              <x14:cfvo type="num" gte="0">
                <xm:f>0.03</xm:f>
              </x14:cfvo>
              <x14:cfIcon iconSet="NoIcons" iconId="0"/>
              <x14:cfIcon iconSet="3TrafficLights1" iconId="2"/>
              <x14:cfIcon iconSet="3TrafficLights1" iconId="0"/>
            </x14:iconSet>
          </x14:cfRule>
          <xm:sqref>C158</xm:sqref>
        </x14:conditionalFormatting>
        <x14:conditionalFormatting xmlns:xm="http://schemas.microsoft.com/office/excel/2006/main">
          <x14:cfRule type="iconSet" priority="630" id="{5973C4B7-C960-41FA-B772-5C49E47EE1ED}">
            <x14:iconSet custom="1">
              <x14:cfvo type="percent">
                <xm:f>0</xm:f>
              </x14:cfvo>
              <x14:cfvo type="num">
                <xm:f>0</xm:f>
              </x14:cfvo>
              <x14:cfvo type="num">
                <xm:f>1</xm:f>
              </x14:cfvo>
              <x14:cfIcon iconSet="NoIcons" iconId="0"/>
              <x14:cfIcon iconSet="3TrafficLights1" iconId="2"/>
              <x14:cfIcon iconSet="3TrafficLights1" iconId="0"/>
            </x14:iconSet>
          </x14:cfRule>
          <xm:sqref>B158</xm:sqref>
        </x14:conditionalFormatting>
        <x14:conditionalFormatting xmlns:xm="http://schemas.microsoft.com/office/excel/2006/main">
          <x14:cfRule type="iconSet" priority="623" id="{E408ED6A-EDE7-4698-A56F-4EF3EB884FDE}">
            <x14:iconSet custom="1">
              <x14:cfvo type="percent">
                <xm:f>0</xm:f>
              </x14:cfvo>
              <x14:cfvo type="num">
                <xm:f>0</xm:f>
              </x14:cfvo>
              <x14:cfvo type="num" gte="0">
                <xm:f>0.03</xm:f>
              </x14:cfvo>
              <x14:cfIcon iconSet="NoIcons" iconId="0"/>
              <x14:cfIcon iconSet="3TrafficLights1" iconId="2"/>
              <x14:cfIcon iconSet="3TrafficLights1" iconId="0"/>
            </x14:iconSet>
          </x14:cfRule>
          <xm:sqref>C159</xm:sqref>
        </x14:conditionalFormatting>
        <x14:conditionalFormatting xmlns:xm="http://schemas.microsoft.com/office/excel/2006/main">
          <x14:cfRule type="iconSet" priority="624" id="{F1D8E041-7155-4064-8ECD-805C81DE9F4E}">
            <x14:iconSet custom="1">
              <x14:cfvo type="percent">
                <xm:f>0</xm:f>
              </x14:cfvo>
              <x14:cfvo type="num">
                <xm:f>0</xm:f>
              </x14:cfvo>
              <x14:cfvo type="num">
                <xm:f>1</xm:f>
              </x14:cfvo>
              <x14:cfIcon iconSet="NoIcons" iconId="0"/>
              <x14:cfIcon iconSet="3TrafficLights1" iconId="2"/>
              <x14:cfIcon iconSet="3TrafficLights1" iconId="0"/>
            </x14:iconSet>
          </x14:cfRule>
          <xm:sqref>B159</xm:sqref>
        </x14:conditionalFormatting>
        <x14:conditionalFormatting xmlns:xm="http://schemas.microsoft.com/office/excel/2006/main">
          <x14:cfRule type="iconSet" priority="617" id="{8F91A09F-E6CB-40D6-9C25-DC5778994D78}">
            <x14:iconSet custom="1">
              <x14:cfvo type="percent">
                <xm:f>0</xm:f>
              </x14:cfvo>
              <x14:cfvo type="num">
                <xm:f>0</xm:f>
              </x14:cfvo>
              <x14:cfvo type="num" gte="0">
                <xm:f>0.03</xm:f>
              </x14:cfvo>
              <x14:cfIcon iconSet="NoIcons" iconId="0"/>
              <x14:cfIcon iconSet="3TrafficLights1" iconId="2"/>
              <x14:cfIcon iconSet="3TrafficLights1" iconId="0"/>
            </x14:iconSet>
          </x14:cfRule>
          <xm:sqref>C160</xm:sqref>
        </x14:conditionalFormatting>
        <x14:conditionalFormatting xmlns:xm="http://schemas.microsoft.com/office/excel/2006/main">
          <x14:cfRule type="iconSet" priority="618" id="{9E9D5DF5-C1EE-45A9-AA5A-013890C22C4C}">
            <x14:iconSet custom="1">
              <x14:cfvo type="percent">
                <xm:f>0</xm:f>
              </x14:cfvo>
              <x14:cfvo type="num">
                <xm:f>0</xm:f>
              </x14:cfvo>
              <x14:cfvo type="num">
                <xm:f>1</xm:f>
              </x14:cfvo>
              <x14:cfIcon iconSet="NoIcons" iconId="0"/>
              <x14:cfIcon iconSet="3TrafficLights1" iconId="2"/>
              <x14:cfIcon iconSet="3TrafficLights1" iconId="0"/>
            </x14:iconSet>
          </x14:cfRule>
          <xm:sqref>B160</xm:sqref>
        </x14:conditionalFormatting>
        <x14:conditionalFormatting xmlns:xm="http://schemas.microsoft.com/office/excel/2006/main">
          <x14:cfRule type="iconSet" priority="613" id="{2DD9F5DB-E917-45A7-B2FC-71377BFF38E5}">
            <x14:iconSet custom="1">
              <x14:cfvo type="percent">
                <xm:f>0</xm:f>
              </x14:cfvo>
              <x14:cfvo type="num">
                <xm:f>0</xm:f>
              </x14:cfvo>
              <x14:cfvo type="num" gte="0">
                <xm:f>0.03</xm:f>
              </x14:cfvo>
              <x14:cfIcon iconSet="NoIcons" iconId="0"/>
              <x14:cfIcon iconSet="3TrafficLights1" iconId="2"/>
              <x14:cfIcon iconSet="3TrafficLights1" iconId="0"/>
            </x14:iconSet>
          </x14:cfRule>
          <xm:sqref>C161</xm:sqref>
        </x14:conditionalFormatting>
        <x14:conditionalFormatting xmlns:xm="http://schemas.microsoft.com/office/excel/2006/main">
          <x14:cfRule type="iconSet" priority="614" id="{6B67425E-CF32-4F48-8771-C0CC52503545}">
            <x14:iconSet custom="1">
              <x14:cfvo type="percent">
                <xm:f>0</xm:f>
              </x14:cfvo>
              <x14:cfvo type="num">
                <xm:f>0</xm:f>
              </x14:cfvo>
              <x14:cfvo type="num">
                <xm:f>1</xm:f>
              </x14:cfvo>
              <x14:cfIcon iconSet="NoIcons" iconId="0"/>
              <x14:cfIcon iconSet="3TrafficLights1" iconId="2"/>
              <x14:cfIcon iconSet="3TrafficLights1" iconId="0"/>
            </x14:iconSet>
          </x14:cfRule>
          <xm:sqref>B161</xm:sqref>
        </x14:conditionalFormatting>
        <x14:conditionalFormatting xmlns:xm="http://schemas.microsoft.com/office/excel/2006/main">
          <x14:cfRule type="iconSet" priority="611" id="{F1920D6D-EA23-49B4-9079-4B6C608B3F30}">
            <x14:iconSet custom="1">
              <x14:cfvo type="percent">
                <xm:f>0</xm:f>
              </x14:cfvo>
              <x14:cfvo type="num">
                <xm:f>0</xm:f>
              </x14:cfvo>
              <x14:cfvo type="num" gte="0">
                <xm:f>0.03</xm:f>
              </x14:cfvo>
              <x14:cfIcon iconSet="NoIcons" iconId="0"/>
              <x14:cfIcon iconSet="3TrafficLights1" iconId="2"/>
              <x14:cfIcon iconSet="3TrafficLights1" iconId="0"/>
            </x14:iconSet>
          </x14:cfRule>
          <xm:sqref>C162</xm:sqref>
        </x14:conditionalFormatting>
        <x14:conditionalFormatting xmlns:xm="http://schemas.microsoft.com/office/excel/2006/main">
          <x14:cfRule type="iconSet" priority="612" id="{E5374848-6908-4106-9F1A-4254BC2FA0D6}">
            <x14:iconSet custom="1">
              <x14:cfvo type="percent">
                <xm:f>0</xm:f>
              </x14:cfvo>
              <x14:cfvo type="num">
                <xm:f>0</xm:f>
              </x14:cfvo>
              <x14:cfvo type="num">
                <xm:f>1</xm:f>
              </x14:cfvo>
              <x14:cfIcon iconSet="NoIcons" iconId="0"/>
              <x14:cfIcon iconSet="3TrafficLights1" iconId="2"/>
              <x14:cfIcon iconSet="3TrafficLights1" iconId="0"/>
            </x14:iconSet>
          </x14:cfRule>
          <xm:sqref>B162</xm:sqref>
        </x14:conditionalFormatting>
        <x14:conditionalFormatting xmlns:xm="http://schemas.microsoft.com/office/excel/2006/main">
          <x14:cfRule type="iconSet" priority="609" id="{867E6ACD-C1D8-4679-B623-42DBA77F127F}">
            <x14:iconSet custom="1">
              <x14:cfvo type="percent">
                <xm:f>0</xm:f>
              </x14:cfvo>
              <x14:cfvo type="num">
                <xm:f>0</xm:f>
              </x14:cfvo>
              <x14:cfvo type="num" gte="0">
                <xm:f>0.03</xm:f>
              </x14:cfvo>
              <x14:cfIcon iconSet="NoIcons" iconId="0"/>
              <x14:cfIcon iconSet="3TrafficLights1" iconId="2"/>
              <x14:cfIcon iconSet="3TrafficLights1" iconId="0"/>
            </x14:iconSet>
          </x14:cfRule>
          <xm:sqref>C163</xm:sqref>
        </x14:conditionalFormatting>
        <x14:conditionalFormatting xmlns:xm="http://schemas.microsoft.com/office/excel/2006/main">
          <x14:cfRule type="iconSet" priority="610" id="{028AEFAC-38B8-4655-8A90-7DB756DAFA3B}">
            <x14:iconSet custom="1">
              <x14:cfvo type="percent">
                <xm:f>0</xm:f>
              </x14:cfvo>
              <x14:cfvo type="num">
                <xm:f>0</xm:f>
              </x14:cfvo>
              <x14:cfvo type="num">
                <xm:f>1</xm:f>
              </x14:cfvo>
              <x14:cfIcon iconSet="NoIcons" iconId="0"/>
              <x14:cfIcon iconSet="3TrafficLights1" iconId="2"/>
              <x14:cfIcon iconSet="3TrafficLights1" iconId="0"/>
            </x14:iconSet>
          </x14:cfRule>
          <xm:sqref>B163</xm:sqref>
        </x14:conditionalFormatting>
        <x14:conditionalFormatting xmlns:xm="http://schemas.microsoft.com/office/excel/2006/main">
          <x14:cfRule type="iconSet" priority="607" id="{3009E5F7-29E9-4951-B25C-1592EF6813E3}">
            <x14:iconSet custom="1">
              <x14:cfvo type="percent">
                <xm:f>0</xm:f>
              </x14:cfvo>
              <x14:cfvo type="num">
                <xm:f>0</xm:f>
              </x14:cfvo>
              <x14:cfvo type="num" gte="0">
                <xm:f>0.03</xm:f>
              </x14:cfvo>
              <x14:cfIcon iconSet="NoIcons" iconId="0"/>
              <x14:cfIcon iconSet="3TrafficLights1" iconId="2"/>
              <x14:cfIcon iconSet="3TrafficLights1" iconId="0"/>
            </x14:iconSet>
          </x14:cfRule>
          <xm:sqref>C164</xm:sqref>
        </x14:conditionalFormatting>
        <x14:conditionalFormatting xmlns:xm="http://schemas.microsoft.com/office/excel/2006/main">
          <x14:cfRule type="iconSet" priority="608" id="{80B11CE4-1761-4403-AEA8-42D5365F9B02}">
            <x14:iconSet custom="1">
              <x14:cfvo type="percent">
                <xm:f>0</xm:f>
              </x14:cfvo>
              <x14:cfvo type="num">
                <xm:f>0</xm:f>
              </x14:cfvo>
              <x14:cfvo type="num">
                <xm:f>1</xm:f>
              </x14:cfvo>
              <x14:cfIcon iconSet="NoIcons" iconId="0"/>
              <x14:cfIcon iconSet="3TrafficLights1" iconId="2"/>
              <x14:cfIcon iconSet="3TrafficLights1" iconId="0"/>
            </x14:iconSet>
          </x14:cfRule>
          <xm:sqref>B164</xm:sqref>
        </x14:conditionalFormatting>
        <x14:conditionalFormatting xmlns:xm="http://schemas.microsoft.com/office/excel/2006/main">
          <x14:cfRule type="iconSet" priority="605" id="{F1327E68-3E52-4DAC-8C2E-7C5B436BF598}">
            <x14:iconSet custom="1">
              <x14:cfvo type="percent">
                <xm:f>0</xm:f>
              </x14:cfvo>
              <x14:cfvo type="num">
                <xm:f>0</xm:f>
              </x14:cfvo>
              <x14:cfvo type="num" gte="0">
                <xm:f>0.03</xm:f>
              </x14:cfvo>
              <x14:cfIcon iconSet="NoIcons" iconId="0"/>
              <x14:cfIcon iconSet="3TrafficLights1" iconId="2"/>
              <x14:cfIcon iconSet="3TrafficLights1" iconId="0"/>
            </x14:iconSet>
          </x14:cfRule>
          <xm:sqref>C165</xm:sqref>
        </x14:conditionalFormatting>
        <x14:conditionalFormatting xmlns:xm="http://schemas.microsoft.com/office/excel/2006/main">
          <x14:cfRule type="iconSet" priority="606" id="{39769856-9D77-414E-B749-38A6C50BEC8C}">
            <x14:iconSet custom="1">
              <x14:cfvo type="percent">
                <xm:f>0</xm:f>
              </x14:cfvo>
              <x14:cfvo type="num">
                <xm:f>0</xm:f>
              </x14:cfvo>
              <x14:cfvo type="num">
                <xm:f>1</xm:f>
              </x14:cfvo>
              <x14:cfIcon iconSet="NoIcons" iconId="0"/>
              <x14:cfIcon iconSet="3TrafficLights1" iconId="2"/>
              <x14:cfIcon iconSet="3TrafficLights1" iconId="0"/>
            </x14:iconSet>
          </x14:cfRule>
          <xm:sqref>B165</xm:sqref>
        </x14:conditionalFormatting>
        <x14:conditionalFormatting xmlns:xm="http://schemas.microsoft.com/office/excel/2006/main">
          <x14:cfRule type="iconSet" priority="603" id="{3FED688A-7209-423F-9408-3E5DC2D73917}">
            <x14:iconSet custom="1">
              <x14:cfvo type="percent">
                <xm:f>0</xm:f>
              </x14:cfvo>
              <x14:cfvo type="num">
                <xm:f>0</xm:f>
              </x14:cfvo>
              <x14:cfvo type="num" gte="0">
                <xm:f>0.03</xm:f>
              </x14:cfvo>
              <x14:cfIcon iconSet="NoIcons" iconId="0"/>
              <x14:cfIcon iconSet="3TrafficLights1" iconId="2"/>
              <x14:cfIcon iconSet="3TrafficLights1" iconId="0"/>
            </x14:iconSet>
          </x14:cfRule>
          <xm:sqref>C166</xm:sqref>
        </x14:conditionalFormatting>
        <x14:conditionalFormatting xmlns:xm="http://schemas.microsoft.com/office/excel/2006/main">
          <x14:cfRule type="iconSet" priority="604" id="{43D706D9-6E2B-48B6-9935-43D668612AE5}">
            <x14:iconSet custom="1">
              <x14:cfvo type="percent">
                <xm:f>0</xm:f>
              </x14:cfvo>
              <x14:cfvo type="num">
                <xm:f>0</xm:f>
              </x14:cfvo>
              <x14:cfvo type="num">
                <xm:f>1</xm:f>
              </x14:cfvo>
              <x14:cfIcon iconSet="NoIcons" iconId="0"/>
              <x14:cfIcon iconSet="3TrafficLights1" iconId="2"/>
              <x14:cfIcon iconSet="3TrafficLights1" iconId="0"/>
            </x14:iconSet>
          </x14:cfRule>
          <xm:sqref>B166</xm:sqref>
        </x14:conditionalFormatting>
        <x14:conditionalFormatting xmlns:xm="http://schemas.microsoft.com/office/excel/2006/main">
          <x14:cfRule type="iconSet" priority="601" id="{46EFC98A-92D4-4E10-B3FE-BF8FFF0C6CAB}">
            <x14:iconSet custom="1">
              <x14:cfvo type="percent">
                <xm:f>0</xm:f>
              </x14:cfvo>
              <x14:cfvo type="num">
                <xm:f>0</xm:f>
              </x14:cfvo>
              <x14:cfvo type="num" gte="0">
                <xm:f>0.03</xm:f>
              </x14:cfvo>
              <x14:cfIcon iconSet="NoIcons" iconId="0"/>
              <x14:cfIcon iconSet="3TrafficLights1" iconId="2"/>
              <x14:cfIcon iconSet="3TrafficLights1" iconId="0"/>
            </x14:iconSet>
          </x14:cfRule>
          <xm:sqref>C167</xm:sqref>
        </x14:conditionalFormatting>
        <x14:conditionalFormatting xmlns:xm="http://schemas.microsoft.com/office/excel/2006/main">
          <x14:cfRule type="iconSet" priority="602" id="{444B8B62-3A06-4F6E-AA9B-E67899D4B6F3}">
            <x14:iconSet custom="1">
              <x14:cfvo type="percent">
                <xm:f>0</xm:f>
              </x14:cfvo>
              <x14:cfvo type="num">
                <xm:f>0</xm:f>
              </x14:cfvo>
              <x14:cfvo type="num">
                <xm:f>1</xm:f>
              </x14:cfvo>
              <x14:cfIcon iconSet="NoIcons" iconId="0"/>
              <x14:cfIcon iconSet="3TrafficLights1" iconId="2"/>
              <x14:cfIcon iconSet="3TrafficLights1" iconId="0"/>
            </x14:iconSet>
          </x14:cfRule>
          <xm:sqref>B167</xm:sqref>
        </x14:conditionalFormatting>
        <x14:conditionalFormatting xmlns:xm="http://schemas.microsoft.com/office/excel/2006/main">
          <x14:cfRule type="iconSet" priority="599" id="{DE198D91-E3C7-4186-A504-EF0492C54531}">
            <x14:iconSet custom="1">
              <x14:cfvo type="percent">
                <xm:f>0</xm:f>
              </x14:cfvo>
              <x14:cfvo type="num">
                <xm:f>0</xm:f>
              </x14:cfvo>
              <x14:cfvo type="num" gte="0">
                <xm:f>0.03</xm:f>
              </x14:cfvo>
              <x14:cfIcon iconSet="NoIcons" iconId="0"/>
              <x14:cfIcon iconSet="3TrafficLights1" iconId="2"/>
              <x14:cfIcon iconSet="3TrafficLights1" iconId="0"/>
            </x14:iconSet>
          </x14:cfRule>
          <xm:sqref>C168</xm:sqref>
        </x14:conditionalFormatting>
        <x14:conditionalFormatting xmlns:xm="http://schemas.microsoft.com/office/excel/2006/main">
          <x14:cfRule type="iconSet" priority="600" id="{EB5F269E-CF35-4292-A92E-2FCD35C82232}">
            <x14:iconSet custom="1">
              <x14:cfvo type="percent">
                <xm:f>0</xm:f>
              </x14:cfvo>
              <x14:cfvo type="num">
                <xm:f>0</xm:f>
              </x14:cfvo>
              <x14:cfvo type="num">
                <xm:f>1</xm:f>
              </x14:cfvo>
              <x14:cfIcon iconSet="NoIcons" iconId="0"/>
              <x14:cfIcon iconSet="3TrafficLights1" iconId="2"/>
              <x14:cfIcon iconSet="3TrafficLights1" iconId="0"/>
            </x14:iconSet>
          </x14:cfRule>
          <xm:sqref>B168</xm:sqref>
        </x14:conditionalFormatting>
        <x14:conditionalFormatting xmlns:xm="http://schemas.microsoft.com/office/excel/2006/main">
          <x14:cfRule type="iconSet" priority="593" id="{CC8660EC-77FF-4659-A2C9-A368B3F2D18F}">
            <x14:iconSet custom="1">
              <x14:cfvo type="percent">
                <xm:f>0</xm:f>
              </x14:cfvo>
              <x14:cfvo type="num">
                <xm:f>0</xm:f>
              </x14:cfvo>
              <x14:cfvo type="num" gte="0">
                <xm:f>0.03</xm:f>
              </x14:cfvo>
              <x14:cfIcon iconSet="NoIcons" iconId="0"/>
              <x14:cfIcon iconSet="3TrafficLights1" iconId="2"/>
              <x14:cfIcon iconSet="3TrafficLights1" iconId="0"/>
            </x14:iconSet>
          </x14:cfRule>
          <xm:sqref>C169</xm:sqref>
        </x14:conditionalFormatting>
        <x14:conditionalFormatting xmlns:xm="http://schemas.microsoft.com/office/excel/2006/main">
          <x14:cfRule type="iconSet" priority="594" id="{2B4B9883-3E7C-4DAF-8529-21DBD9C55495}">
            <x14:iconSet custom="1">
              <x14:cfvo type="percent">
                <xm:f>0</xm:f>
              </x14:cfvo>
              <x14:cfvo type="num">
                <xm:f>0</xm:f>
              </x14:cfvo>
              <x14:cfvo type="num">
                <xm:f>1</xm:f>
              </x14:cfvo>
              <x14:cfIcon iconSet="NoIcons" iconId="0"/>
              <x14:cfIcon iconSet="3TrafficLights1" iconId="2"/>
              <x14:cfIcon iconSet="3TrafficLights1" iconId="0"/>
            </x14:iconSet>
          </x14:cfRule>
          <xm:sqref>B169</xm:sqref>
        </x14:conditionalFormatting>
        <x14:conditionalFormatting xmlns:xm="http://schemas.microsoft.com/office/excel/2006/main">
          <x14:cfRule type="iconSet" priority="589" id="{321C2525-4383-455A-A935-D2197407DA0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C170</xm:sqref>
        </x14:conditionalFormatting>
        <x14:conditionalFormatting xmlns:xm="http://schemas.microsoft.com/office/excel/2006/main">
          <x14:cfRule type="iconSet" priority="590" id="{71964E77-2E0A-461E-90AF-65A9F5609479}">
            <x14:iconSet custom="1">
              <x14:cfvo type="percent">
                <xm:f>0</xm:f>
              </x14:cfvo>
              <x14:cfvo type="num">
                <xm:f>0</xm:f>
              </x14:cfvo>
              <x14:cfvo type="num">
                <xm:f>1</xm:f>
              </x14:cfvo>
              <x14:cfIcon iconSet="NoIcons" iconId="0"/>
              <x14:cfIcon iconSet="3TrafficLights1" iconId="2"/>
              <x14:cfIcon iconSet="3TrafficLights1" iconId="0"/>
            </x14:iconSet>
          </x14:cfRule>
          <xm:sqref>B170</xm:sqref>
        </x14:conditionalFormatting>
        <x14:conditionalFormatting xmlns:xm="http://schemas.microsoft.com/office/excel/2006/main">
          <x14:cfRule type="iconSet" priority="587" id="{C70F29D3-F36A-4011-90EF-2F8AD359493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C171</xm:sqref>
        </x14:conditionalFormatting>
        <x14:conditionalFormatting xmlns:xm="http://schemas.microsoft.com/office/excel/2006/main">
          <x14:cfRule type="iconSet" priority="588" id="{ED8A6969-F7D4-4D79-89AB-266EFD20AC95}">
            <x14:iconSet custom="1">
              <x14:cfvo type="percent">
                <xm:f>0</xm:f>
              </x14:cfvo>
              <x14:cfvo type="num">
                <xm:f>0</xm:f>
              </x14:cfvo>
              <x14:cfvo type="num">
                <xm:f>1</xm:f>
              </x14:cfvo>
              <x14:cfIcon iconSet="NoIcons" iconId="0"/>
              <x14:cfIcon iconSet="3TrafficLights1" iconId="2"/>
              <x14:cfIcon iconSet="3TrafficLights1" iconId="0"/>
            </x14:iconSet>
          </x14:cfRule>
          <xm:sqref>B171</xm:sqref>
        </x14:conditionalFormatting>
        <x14:conditionalFormatting xmlns:xm="http://schemas.microsoft.com/office/excel/2006/main">
          <x14:cfRule type="iconSet" priority="585" id="{26425DA1-D785-4235-B021-7C8F22CDD1F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C172</xm:sqref>
        </x14:conditionalFormatting>
        <x14:conditionalFormatting xmlns:xm="http://schemas.microsoft.com/office/excel/2006/main">
          <x14:cfRule type="iconSet" priority="586" id="{10A784D9-A856-42C2-8D4A-FC17AF423B5C}">
            <x14:iconSet custom="1">
              <x14:cfvo type="percent">
                <xm:f>0</xm:f>
              </x14:cfvo>
              <x14:cfvo type="num">
                <xm:f>0</xm:f>
              </x14:cfvo>
              <x14:cfvo type="num">
                <xm:f>1</xm:f>
              </x14:cfvo>
              <x14:cfIcon iconSet="NoIcons" iconId="0"/>
              <x14:cfIcon iconSet="3TrafficLights1" iconId="2"/>
              <x14:cfIcon iconSet="3TrafficLights1" iconId="0"/>
            </x14:iconSet>
          </x14:cfRule>
          <xm:sqref>B172</xm:sqref>
        </x14:conditionalFormatting>
        <x14:conditionalFormatting xmlns:xm="http://schemas.microsoft.com/office/excel/2006/main">
          <x14:cfRule type="iconSet" priority="583" id="{7FF203A4-2C71-422B-B19B-8E6BCFA689A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C173</xm:sqref>
        </x14:conditionalFormatting>
        <x14:conditionalFormatting xmlns:xm="http://schemas.microsoft.com/office/excel/2006/main">
          <x14:cfRule type="iconSet" priority="584" id="{D7693DE4-E046-40BC-9BF3-756016CB1183}">
            <x14:iconSet custom="1">
              <x14:cfvo type="percent">
                <xm:f>0</xm:f>
              </x14:cfvo>
              <x14:cfvo type="num">
                <xm:f>0</xm:f>
              </x14:cfvo>
              <x14:cfvo type="num">
                <xm:f>1</xm:f>
              </x14:cfvo>
              <x14:cfIcon iconSet="NoIcons" iconId="0"/>
              <x14:cfIcon iconSet="3TrafficLights1" iconId="2"/>
              <x14:cfIcon iconSet="3TrafficLights1" iconId="0"/>
            </x14:iconSet>
          </x14:cfRule>
          <xm:sqref>B173</xm:sqref>
        </x14:conditionalFormatting>
        <x14:conditionalFormatting xmlns:xm="http://schemas.microsoft.com/office/excel/2006/main">
          <x14:cfRule type="iconSet" priority="581" id="{8B148347-6371-448A-AC36-B2214C87893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C174</xm:sqref>
        </x14:conditionalFormatting>
        <x14:conditionalFormatting xmlns:xm="http://schemas.microsoft.com/office/excel/2006/main">
          <x14:cfRule type="iconSet" priority="582" id="{D79AC498-C869-44B5-A9B8-0B16C0A605B9}">
            <x14:iconSet custom="1">
              <x14:cfvo type="percent">
                <xm:f>0</xm:f>
              </x14:cfvo>
              <x14:cfvo type="num">
                <xm:f>0</xm:f>
              </x14:cfvo>
              <x14:cfvo type="num">
                <xm:f>1</xm:f>
              </x14:cfvo>
              <x14:cfIcon iconSet="NoIcons" iconId="0"/>
              <x14:cfIcon iconSet="3TrafficLights1" iconId="2"/>
              <x14:cfIcon iconSet="3TrafficLights1" iconId="0"/>
            </x14:iconSet>
          </x14:cfRule>
          <xm:sqref>B174</xm:sqref>
        </x14:conditionalFormatting>
        <x14:conditionalFormatting xmlns:xm="http://schemas.microsoft.com/office/excel/2006/main">
          <x14:cfRule type="iconSet" priority="579" id="{696F248B-5E4C-4C3F-B80B-246952E1352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C175</xm:sqref>
        </x14:conditionalFormatting>
        <x14:conditionalFormatting xmlns:xm="http://schemas.microsoft.com/office/excel/2006/main">
          <x14:cfRule type="iconSet" priority="580" id="{B7CF5642-FD8D-4651-9BB1-1A7CFBFF9FD7}">
            <x14:iconSet custom="1">
              <x14:cfvo type="percent">
                <xm:f>0</xm:f>
              </x14:cfvo>
              <x14:cfvo type="num">
                <xm:f>0</xm:f>
              </x14:cfvo>
              <x14:cfvo type="num">
                <xm:f>1</xm:f>
              </x14:cfvo>
              <x14:cfIcon iconSet="NoIcons" iconId="0"/>
              <x14:cfIcon iconSet="3TrafficLights1" iconId="2"/>
              <x14:cfIcon iconSet="3TrafficLights1" iconId="0"/>
            </x14:iconSet>
          </x14:cfRule>
          <xm:sqref>B175</xm:sqref>
        </x14:conditionalFormatting>
        <x14:conditionalFormatting xmlns:xm="http://schemas.microsoft.com/office/excel/2006/main">
          <x14:cfRule type="iconSet" priority="577" id="{94ED9435-BA59-4E33-BFE6-12E5603DCE0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C176</xm:sqref>
        </x14:conditionalFormatting>
        <x14:conditionalFormatting xmlns:xm="http://schemas.microsoft.com/office/excel/2006/main">
          <x14:cfRule type="iconSet" priority="578" id="{EA86931F-8B89-4FA0-840E-BF4653770263}">
            <x14:iconSet custom="1">
              <x14:cfvo type="percent">
                <xm:f>0</xm:f>
              </x14:cfvo>
              <x14:cfvo type="num">
                <xm:f>0</xm:f>
              </x14:cfvo>
              <x14:cfvo type="num">
                <xm:f>1</xm:f>
              </x14:cfvo>
              <x14:cfIcon iconSet="NoIcons" iconId="0"/>
              <x14:cfIcon iconSet="3TrafficLights1" iconId="2"/>
              <x14:cfIcon iconSet="3TrafficLights1" iconId="0"/>
            </x14:iconSet>
          </x14:cfRule>
          <xm:sqref>B176</xm:sqref>
        </x14:conditionalFormatting>
        <x14:conditionalFormatting xmlns:xm="http://schemas.microsoft.com/office/excel/2006/main">
          <x14:cfRule type="iconSet" priority="573" id="{FAA6FAB9-5A1A-4F30-8A34-E0DFE423D2E7}">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C177</xm:sqref>
        </x14:conditionalFormatting>
        <x14:conditionalFormatting xmlns:xm="http://schemas.microsoft.com/office/excel/2006/main">
          <x14:cfRule type="iconSet" priority="574" id="{57A24284-9602-45C8-8F35-EC676585A3E3}">
            <x14:iconSet custom="1">
              <x14:cfvo type="percent">
                <xm:f>0</xm:f>
              </x14:cfvo>
              <x14:cfvo type="num">
                <xm:f>0</xm:f>
              </x14:cfvo>
              <x14:cfvo type="num">
                <xm:f>1</xm:f>
              </x14:cfvo>
              <x14:cfIcon iconSet="NoIcons" iconId="0"/>
              <x14:cfIcon iconSet="3TrafficLights1" iconId="2"/>
              <x14:cfIcon iconSet="3TrafficLights1" iconId="0"/>
            </x14:iconSet>
          </x14:cfRule>
          <xm:sqref>B177</xm:sqref>
        </x14:conditionalFormatting>
        <x14:conditionalFormatting xmlns:xm="http://schemas.microsoft.com/office/excel/2006/main">
          <x14:cfRule type="iconSet" priority="571" id="{3C524F9C-5F88-446D-AEFC-865759EC212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C178</xm:sqref>
        </x14:conditionalFormatting>
        <x14:conditionalFormatting xmlns:xm="http://schemas.microsoft.com/office/excel/2006/main">
          <x14:cfRule type="iconSet" priority="572" id="{12E9AD5F-9C69-4EA7-A68F-B8A8CE7AFEF3}">
            <x14:iconSet custom="1">
              <x14:cfvo type="percent">
                <xm:f>0</xm:f>
              </x14:cfvo>
              <x14:cfvo type="num">
                <xm:f>0</xm:f>
              </x14:cfvo>
              <x14:cfvo type="num">
                <xm:f>1</xm:f>
              </x14:cfvo>
              <x14:cfIcon iconSet="NoIcons" iconId="0"/>
              <x14:cfIcon iconSet="3TrafficLights1" iconId="2"/>
              <x14:cfIcon iconSet="3TrafficLights1" iconId="0"/>
            </x14:iconSet>
          </x14:cfRule>
          <xm:sqref>B178</xm:sqref>
        </x14:conditionalFormatting>
        <x14:conditionalFormatting xmlns:xm="http://schemas.microsoft.com/office/excel/2006/main">
          <x14:cfRule type="iconSet" priority="565" id="{4EB33DFD-DC02-49F9-B76B-C689908EBBE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C179</xm:sqref>
        </x14:conditionalFormatting>
        <x14:conditionalFormatting xmlns:xm="http://schemas.microsoft.com/office/excel/2006/main">
          <x14:cfRule type="iconSet" priority="566" id="{E3256EAB-214A-4406-B360-65A2DF866151}">
            <x14:iconSet custom="1">
              <x14:cfvo type="percent">
                <xm:f>0</xm:f>
              </x14:cfvo>
              <x14:cfvo type="num">
                <xm:f>0</xm:f>
              </x14:cfvo>
              <x14:cfvo type="num">
                <xm:f>1</xm:f>
              </x14:cfvo>
              <x14:cfIcon iconSet="NoIcons" iconId="0"/>
              <x14:cfIcon iconSet="3TrafficLights1" iconId="2"/>
              <x14:cfIcon iconSet="3TrafficLights1" iconId="0"/>
            </x14:iconSet>
          </x14:cfRule>
          <xm:sqref>B179</xm:sqref>
        </x14:conditionalFormatting>
        <x14:conditionalFormatting xmlns:xm="http://schemas.microsoft.com/office/excel/2006/main">
          <x14:cfRule type="iconSet" priority="563" id="{42D568E9-A4B0-44E3-9C88-6A5CBBF6AE4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C180</xm:sqref>
        </x14:conditionalFormatting>
        <x14:conditionalFormatting xmlns:xm="http://schemas.microsoft.com/office/excel/2006/main">
          <x14:cfRule type="iconSet" priority="564" id="{A395C8C4-80D1-439D-AED5-708C7EB9D00E}">
            <x14:iconSet custom="1">
              <x14:cfvo type="percent">
                <xm:f>0</xm:f>
              </x14:cfvo>
              <x14:cfvo type="num">
                <xm:f>0</xm:f>
              </x14:cfvo>
              <x14:cfvo type="num">
                <xm:f>1</xm:f>
              </x14:cfvo>
              <x14:cfIcon iconSet="NoIcons" iconId="0"/>
              <x14:cfIcon iconSet="3TrafficLights1" iconId="2"/>
              <x14:cfIcon iconSet="3TrafficLights1" iconId="0"/>
            </x14:iconSet>
          </x14:cfRule>
          <xm:sqref>B180</xm:sqref>
        </x14:conditionalFormatting>
        <x14:conditionalFormatting xmlns:xm="http://schemas.microsoft.com/office/excel/2006/main">
          <x14:cfRule type="iconSet" priority="561" id="{A64AF639-CA5D-4E6C-B8D6-62829EE4F99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C181</xm:sqref>
        </x14:conditionalFormatting>
        <x14:conditionalFormatting xmlns:xm="http://schemas.microsoft.com/office/excel/2006/main">
          <x14:cfRule type="iconSet" priority="562" id="{44D0CE9B-0ACB-45E2-ABF5-42ECFA3B5459}">
            <x14:iconSet custom="1">
              <x14:cfvo type="percent">
                <xm:f>0</xm:f>
              </x14:cfvo>
              <x14:cfvo type="num">
                <xm:f>0</xm:f>
              </x14:cfvo>
              <x14:cfvo type="num">
                <xm:f>1</xm:f>
              </x14:cfvo>
              <x14:cfIcon iconSet="NoIcons" iconId="0"/>
              <x14:cfIcon iconSet="3TrafficLights1" iconId="2"/>
              <x14:cfIcon iconSet="3TrafficLights1" iconId="0"/>
            </x14:iconSet>
          </x14:cfRule>
          <xm:sqref>B181</xm:sqref>
        </x14:conditionalFormatting>
        <x14:conditionalFormatting xmlns:xm="http://schemas.microsoft.com/office/excel/2006/main">
          <x14:cfRule type="iconSet" priority="557" id="{4E26D163-8E7E-4DDF-B783-F4147974764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C182</xm:sqref>
        </x14:conditionalFormatting>
        <x14:conditionalFormatting xmlns:xm="http://schemas.microsoft.com/office/excel/2006/main">
          <x14:cfRule type="iconSet" priority="558" id="{0853A890-3BE0-48FB-AE9E-3A340EFF60FA}">
            <x14:iconSet custom="1">
              <x14:cfvo type="percent">
                <xm:f>0</xm:f>
              </x14:cfvo>
              <x14:cfvo type="num">
                <xm:f>0</xm:f>
              </x14:cfvo>
              <x14:cfvo type="num">
                <xm:f>1</xm:f>
              </x14:cfvo>
              <x14:cfIcon iconSet="NoIcons" iconId="0"/>
              <x14:cfIcon iconSet="3TrafficLights1" iconId="2"/>
              <x14:cfIcon iconSet="3TrafficLights1" iconId="0"/>
            </x14:iconSet>
          </x14:cfRule>
          <xm:sqref>B182</xm:sqref>
        </x14:conditionalFormatting>
        <x14:conditionalFormatting xmlns:xm="http://schemas.microsoft.com/office/excel/2006/main">
          <x14:cfRule type="iconSet" priority="555" id="{6F89DB81-4FA5-418B-807F-11AB61855D2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C183</xm:sqref>
        </x14:conditionalFormatting>
        <x14:conditionalFormatting xmlns:xm="http://schemas.microsoft.com/office/excel/2006/main">
          <x14:cfRule type="iconSet" priority="556" id="{EC6B40E1-F409-40B7-88E6-AF651082B5AA}">
            <x14:iconSet custom="1">
              <x14:cfvo type="percent">
                <xm:f>0</xm:f>
              </x14:cfvo>
              <x14:cfvo type="num">
                <xm:f>0</xm:f>
              </x14:cfvo>
              <x14:cfvo type="num">
                <xm:f>1</xm:f>
              </x14:cfvo>
              <x14:cfIcon iconSet="NoIcons" iconId="0"/>
              <x14:cfIcon iconSet="3TrafficLights1" iconId="2"/>
              <x14:cfIcon iconSet="3TrafficLights1" iconId="0"/>
            </x14:iconSet>
          </x14:cfRule>
          <xm:sqref>B183</xm:sqref>
        </x14:conditionalFormatting>
        <x14:conditionalFormatting xmlns:xm="http://schemas.microsoft.com/office/excel/2006/main">
          <x14:cfRule type="iconSet" priority="553" id="{AE4AFF5C-5306-47B7-9890-9E93B3F2BB2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C184</xm:sqref>
        </x14:conditionalFormatting>
        <x14:conditionalFormatting xmlns:xm="http://schemas.microsoft.com/office/excel/2006/main">
          <x14:cfRule type="iconSet" priority="554" id="{3541AE6E-343C-426D-9BF5-DD6D5A90FA7B}">
            <x14:iconSet custom="1">
              <x14:cfvo type="percent">
                <xm:f>0</xm:f>
              </x14:cfvo>
              <x14:cfvo type="num">
                <xm:f>0</xm:f>
              </x14:cfvo>
              <x14:cfvo type="num">
                <xm:f>1</xm:f>
              </x14:cfvo>
              <x14:cfIcon iconSet="NoIcons" iconId="0"/>
              <x14:cfIcon iconSet="3TrafficLights1" iconId="2"/>
              <x14:cfIcon iconSet="3TrafficLights1" iconId="0"/>
            </x14:iconSet>
          </x14:cfRule>
          <xm:sqref>B184</xm:sqref>
        </x14:conditionalFormatting>
        <x14:conditionalFormatting xmlns:xm="http://schemas.microsoft.com/office/excel/2006/main">
          <x14:cfRule type="iconSet" priority="549" id="{AF387572-151D-405C-9382-92B42E154A9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C185</xm:sqref>
        </x14:conditionalFormatting>
        <x14:conditionalFormatting xmlns:xm="http://schemas.microsoft.com/office/excel/2006/main">
          <x14:cfRule type="iconSet" priority="550" id="{9DE5C985-0AE3-4C5D-A2ED-1102C97EE7D1}">
            <x14:iconSet custom="1">
              <x14:cfvo type="percent">
                <xm:f>0</xm:f>
              </x14:cfvo>
              <x14:cfvo type="num">
                <xm:f>0</xm:f>
              </x14:cfvo>
              <x14:cfvo type="num">
                <xm:f>1</xm:f>
              </x14:cfvo>
              <x14:cfIcon iconSet="NoIcons" iconId="0"/>
              <x14:cfIcon iconSet="3TrafficLights1" iconId="2"/>
              <x14:cfIcon iconSet="3TrafficLights1" iconId="0"/>
            </x14:iconSet>
          </x14:cfRule>
          <xm:sqref>B185</xm:sqref>
        </x14:conditionalFormatting>
        <x14:conditionalFormatting xmlns:xm="http://schemas.microsoft.com/office/excel/2006/main">
          <x14:cfRule type="iconSet" priority="547" id="{2395B231-25AA-45E8-8D0D-21E02641FB3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C186</xm:sqref>
        </x14:conditionalFormatting>
        <x14:conditionalFormatting xmlns:xm="http://schemas.microsoft.com/office/excel/2006/main">
          <x14:cfRule type="iconSet" priority="548" id="{559E7423-1B66-4E43-9366-9DFE20B4CF6D}">
            <x14:iconSet custom="1">
              <x14:cfvo type="percent">
                <xm:f>0</xm:f>
              </x14:cfvo>
              <x14:cfvo type="num">
                <xm:f>0</xm:f>
              </x14:cfvo>
              <x14:cfvo type="num">
                <xm:f>1</xm:f>
              </x14:cfvo>
              <x14:cfIcon iconSet="NoIcons" iconId="0"/>
              <x14:cfIcon iconSet="3TrafficLights1" iconId="2"/>
              <x14:cfIcon iconSet="3TrafficLights1" iconId="0"/>
            </x14:iconSet>
          </x14:cfRule>
          <xm:sqref>B186</xm:sqref>
        </x14:conditionalFormatting>
        <x14:conditionalFormatting xmlns:xm="http://schemas.microsoft.com/office/excel/2006/main">
          <x14:cfRule type="iconSet" priority="545" id="{475D3EFB-C350-4BE5-A3E8-C8881D62678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C187</xm:sqref>
        </x14:conditionalFormatting>
        <x14:conditionalFormatting xmlns:xm="http://schemas.microsoft.com/office/excel/2006/main">
          <x14:cfRule type="iconSet" priority="546" id="{D662E510-0E24-4D93-A7DB-20D8B576FA74}">
            <x14:iconSet custom="1">
              <x14:cfvo type="percent">
                <xm:f>0</xm:f>
              </x14:cfvo>
              <x14:cfvo type="num">
                <xm:f>0</xm:f>
              </x14:cfvo>
              <x14:cfvo type="num">
                <xm:f>1</xm:f>
              </x14:cfvo>
              <x14:cfIcon iconSet="NoIcons" iconId="0"/>
              <x14:cfIcon iconSet="3TrafficLights1" iconId="2"/>
              <x14:cfIcon iconSet="3TrafficLights1" iconId="0"/>
            </x14:iconSet>
          </x14:cfRule>
          <xm:sqref>B187</xm:sqref>
        </x14:conditionalFormatting>
        <x14:conditionalFormatting xmlns:xm="http://schemas.microsoft.com/office/excel/2006/main">
          <x14:cfRule type="iconSet" priority="543" id="{AEE789CE-9CE1-4A44-96B3-4A67B78BD8A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C188</xm:sqref>
        </x14:conditionalFormatting>
        <x14:conditionalFormatting xmlns:xm="http://schemas.microsoft.com/office/excel/2006/main">
          <x14:cfRule type="iconSet" priority="544" id="{46667C1F-3A61-407C-AF8B-111E01A49455}">
            <x14:iconSet custom="1">
              <x14:cfvo type="percent">
                <xm:f>0</xm:f>
              </x14:cfvo>
              <x14:cfvo type="num">
                <xm:f>0</xm:f>
              </x14:cfvo>
              <x14:cfvo type="num">
                <xm:f>1</xm:f>
              </x14:cfvo>
              <x14:cfIcon iconSet="NoIcons" iconId="0"/>
              <x14:cfIcon iconSet="3TrafficLights1" iconId="2"/>
              <x14:cfIcon iconSet="3TrafficLights1" iconId="0"/>
            </x14:iconSet>
          </x14:cfRule>
          <xm:sqref>B188</xm:sqref>
        </x14:conditionalFormatting>
        <x14:conditionalFormatting xmlns:xm="http://schemas.microsoft.com/office/excel/2006/main">
          <x14:cfRule type="iconSet" priority="541" id="{47214572-E124-47CA-B2F6-D6838240620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C189</xm:sqref>
        </x14:conditionalFormatting>
        <x14:conditionalFormatting xmlns:xm="http://schemas.microsoft.com/office/excel/2006/main">
          <x14:cfRule type="iconSet" priority="542" id="{E60ED077-E24A-4DE7-96CB-3AC1E7D30ADD}">
            <x14:iconSet custom="1">
              <x14:cfvo type="percent">
                <xm:f>0</xm:f>
              </x14:cfvo>
              <x14:cfvo type="num">
                <xm:f>0</xm:f>
              </x14:cfvo>
              <x14:cfvo type="num">
                <xm:f>1</xm:f>
              </x14:cfvo>
              <x14:cfIcon iconSet="NoIcons" iconId="0"/>
              <x14:cfIcon iconSet="3TrafficLights1" iconId="2"/>
              <x14:cfIcon iconSet="3TrafficLights1" iconId="0"/>
            </x14:iconSet>
          </x14:cfRule>
          <xm:sqref>B189</xm:sqref>
        </x14:conditionalFormatting>
        <x14:conditionalFormatting xmlns:xm="http://schemas.microsoft.com/office/excel/2006/main">
          <x14:cfRule type="iconSet" priority="539" id="{7A7C63CA-75CA-42DC-802C-2B2C9599606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C190</xm:sqref>
        </x14:conditionalFormatting>
        <x14:conditionalFormatting xmlns:xm="http://schemas.microsoft.com/office/excel/2006/main">
          <x14:cfRule type="iconSet" priority="540" id="{7893D270-D631-4D64-8FA2-E2912ED42C0B}">
            <x14:iconSet custom="1">
              <x14:cfvo type="percent">
                <xm:f>0</xm:f>
              </x14:cfvo>
              <x14:cfvo type="num">
                <xm:f>0</xm:f>
              </x14:cfvo>
              <x14:cfvo type="num">
                <xm:f>1</xm:f>
              </x14:cfvo>
              <x14:cfIcon iconSet="NoIcons" iconId="0"/>
              <x14:cfIcon iconSet="3TrafficLights1" iconId="2"/>
              <x14:cfIcon iconSet="3TrafficLights1" iconId="0"/>
            </x14:iconSet>
          </x14:cfRule>
          <xm:sqref>B190</xm:sqref>
        </x14:conditionalFormatting>
        <x14:conditionalFormatting xmlns:xm="http://schemas.microsoft.com/office/excel/2006/main">
          <x14:cfRule type="iconSet" priority="537" id="{809341C8-0829-486D-BC32-16878C5C070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C191</xm:sqref>
        </x14:conditionalFormatting>
        <x14:conditionalFormatting xmlns:xm="http://schemas.microsoft.com/office/excel/2006/main">
          <x14:cfRule type="iconSet" priority="538" id="{9259DC48-C87E-47F5-A5CD-C45637B1953B}">
            <x14:iconSet custom="1">
              <x14:cfvo type="percent">
                <xm:f>0</xm:f>
              </x14:cfvo>
              <x14:cfvo type="num">
                <xm:f>0</xm:f>
              </x14:cfvo>
              <x14:cfvo type="num">
                <xm:f>1</xm:f>
              </x14:cfvo>
              <x14:cfIcon iconSet="NoIcons" iconId="0"/>
              <x14:cfIcon iconSet="3TrafficLights1" iconId="2"/>
              <x14:cfIcon iconSet="3TrafficLights1" iconId="0"/>
            </x14:iconSet>
          </x14:cfRule>
          <xm:sqref>B191</xm:sqref>
        </x14:conditionalFormatting>
        <x14:conditionalFormatting xmlns:xm="http://schemas.microsoft.com/office/excel/2006/main">
          <x14:cfRule type="iconSet" priority="535" id="{CD3EEAF4-0B3A-4DD1-A278-70ACE4774B7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C192</xm:sqref>
        </x14:conditionalFormatting>
        <x14:conditionalFormatting xmlns:xm="http://schemas.microsoft.com/office/excel/2006/main">
          <x14:cfRule type="iconSet" priority="536" id="{E7F5EFC6-80AE-48D2-99F5-9EE35F312E68}">
            <x14:iconSet custom="1">
              <x14:cfvo type="percent">
                <xm:f>0</xm:f>
              </x14:cfvo>
              <x14:cfvo type="num">
                <xm:f>0</xm:f>
              </x14:cfvo>
              <x14:cfvo type="num">
                <xm:f>1</xm:f>
              </x14:cfvo>
              <x14:cfIcon iconSet="NoIcons" iconId="0"/>
              <x14:cfIcon iconSet="3TrafficLights1" iconId="2"/>
              <x14:cfIcon iconSet="3TrafficLights1" iconId="0"/>
            </x14:iconSet>
          </x14:cfRule>
          <xm:sqref>B192</xm:sqref>
        </x14:conditionalFormatting>
        <x14:conditionalFormatting xmlns:xm="http://schemas.microsoft.com/office/excel/2006/main">
          <x14:cfRule type="iconSet" priority="531" id="{46AE9662-6B25-4C73-93FB-10DF935C317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C193</xm:sqref>
        </x14:conditionalFormatting>
        <x14:conditionalFormatting xmlns:xm="http://schemas.microsoft.com/office/excel/2006/main">
          <x14:cfRule type="iconSet" priority="532" id="{37AC4424-5FDC-40B5-8CAF-AC808326A79F}">
            <x14:iconSet custom="1">
              <x14:cfvo type="percent">
                <xm:f>0</xm:f>
              </x14:cfvo>
              <x14:cfvo type="num">
                <xm:f>0</xm:f>
              </x14:cfvo>
              <x14:cfvo type="num">
                <xm:f>1</xm:f>
              </x14:cfvo>
              <x14:cfIcon iconSet="NoIcons" iconId="0"/>
              <x14:cfIcon iconSet="3TrafficLights1" iconId="2"/>
              <x14:cfIcon iconSet="3TrafficLights1" iconId="0"/>
            </x14:iconSet>
          </x14:cfRule>
          <xm:sqref>B193</xm:sqref>
        </x14:conditionalFormatting>
        <x14:conditionalFormatting xmlns:xm="http://schemas.microsoft.com/office/excel/2006/main">
          <x14:cfRule type="iconSet" priority="529" id="{26247160-A22C-4ABA-BACE-54B2CC46DF2A}">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C194</xm:sqref>
        </x14:conditionalFormatting>
        <x14:conditionalFormatting xmlns:xm="http://schemas.microsoft.com/office/excel/2006/main">
          <x14:cfRule type="iconSet" priority="530" id="{E7624EE7-5AF6-43D4-BBF9-6E1EE3FE373E}">
            <x14:iconSet custom="1">
              <x14:cfvo type="percent">
                <xm:f>0</xm:f>
              </x14:cfvo>
              <x14:cfvo type="num">
                <xm:f>0</xm:f>
              </x14:cfvo>
              <x14:cfvo type="num">
                <xm:f>1</xm:f>
              </x14:cfvo>
              <x14:cfIcon iconSet="NoIcons" iconId="0"/>
              <x14:cfIcon iconSet="3TrafficLights1" iconId="2"/>
              <x14:cfIcon iconSet="3TrafficLights1" iconId="0"/>
            </x14:iconSet>
          </x14:cfRule>
          <xm:sqref>B194</xm:sqref>
        </x14:conditionalFormatting>
        <x14:conditionalFormatting xmlns:xm="http://schemas.microsoft.com/office/excel/2006/main">
          <x14:cfRule type="iconSet" priority="525" id="{9F486585-251C-4B2A-B8A8-D53D3B42155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C195</xm:sqref>
        </x14:conditionalFormatting>
        <x14:conditionalFormatting xmlns:xm="http://schemas.microsoft.com/office/excel/2006/main">
          <x14:cfRule type="iconSet" priority="526" id="{9DDC8D90-BFDC-4000-8FD0-07872DBB33C9}">
            <x14:iconSet custom="1">
              <x14:cfvo type="percent">
                <xm:f>0</xm:f>
              </x14:cfvo>
              <x14:cfvo type="num">
                <xm:f>0</xm:f>
              </x14:cfvo>
              <x14:cfvo type="num">
                <xm:f>1</xm:f>
              </x14:cfvo>
              <x14:cfIcon iconSet="NoIcons" iconId="0"/>
              <x14:cfIcon iconSet="3TrafficLights1" iconId="2"/>
              <x14:cfIcon iconSet="3TrafficLights1" iconId="0"/>
            </x14:iconSet>
          </x14:cfRule>
          <xm:sqref>B195</xm:sqref>
        </x14:conditionalFormatting>
        <x14:conditionalFormatting xmlns:xm="http://schemas.microsoft.com/office/excel/2006/main">
          <x14:cfRule type="iconSet" priority="523" id="{AC054501-F2FC-4BF3-AC1B-91BC3A799D1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C196</xm:sqref>
        </x14:conditionalFormatting>
        <x14:conditionalFormatting xmlns:xm="http://schemas.microsoft.com/office/excel/2006/main">
          <x14:cfRule type="iconSet" priority="524" id="{19802046-3FCB-44EF-B446-88F474CE4775}">
            <x14:iconSet custom="1">
              <x14:cfvo type="percent">
                <xm:f>0</xm:f>
              </x14:cfvo>
              <x14:cfvo type="num">
                <xm:f>0</xm:f>
              </x14:cfvo>
              <x14:cfvo type="num">
                <xm:f>1</xm:f>
              </x14:cfvo>
              <x14:cfIcon iconSet="NoIcons" iconId="0"/>
              <x14:cfIcon iconSet="3TrafficLights1" iconId="2"/>
              <x14:cfIcon iconSet="3TrafficLights1" iconId="0"/>
            </x14:iconSet>
          </x14:cfRule>
          <xm:sqref>B196</xm:sqref>
        </x14:conditionalFormatting>
        <x14:conditionalFormatting xmlns:xm="http://schemas.microsoft.com/office/excel/2006/main">
          <x14:cfRule type="iconSet" priority="521" id="{48F03D7B-A5CD-4E4B-8271-E12F4431736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C197</xm:sqref>
        </x14:conditionalFormatting>
        <x14:conditionalFormatting xmlns:xm="http://schemas.microsoft.com/office/excel/2006/main">
          <x14:cfRule type="iconSet" priority="522" id="{ADA6850A-2DB2-4CB3-A28B-79C605B68E5F}">
            <x14:iconSet custom="1">
              <x14:cfvo type="percent">
                <xm:f>0</xm:f>
              </x14:cfvo>
              <x14:cfvo type="num">
                <xm:f>0</xm:f>
              </x14:cfvo>
              <x14:cfvo type="num">
                <xm:f>1</xm:f>
              </x14:cfvo>
              <x14:cfIcon iconSet="NoIcons" iconId="0"/>
              <x14:cfIcon iconSet="3TrafficLights1" iconId="2"/>
              <x14:cfIcon iconSet="3TrafficLights1" iconId="0"/>
            </x14:iconSet>
          </x14:cfRule>
          <xm:sqref>B197</xm:sqref>
        </x14:conditionalFormatting>
        <x14:conditionalFormatting xmlns:xm="http://schemas.microsoft.com/office/excel/2006/main">
          <x14:cfRule type="iconSet" priority="517" id="{FD0E015B-078E-400B-97BB-588AAF33A13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C198</xm:sqref>
        </x14:conditionalFormatting>
        <x14:conditionalFormatting xmlns:xm="http://schemas.microsoft.com/office/excel/2006/main">
          <x14:cfRule type="iconSet" priority="518" id="{B9FB75AB-B6D1-4239-B442-658332249649}">
            <x14:iconSet custom="1">
              <x14:cfvo type="percent">
                <xm:f>0</xm:f>
              </x14:cfvo>
              <x14:cfvo type="num">
                <xm:f>0</xm:f>
              </x14:cfvo>
              <x14:cfvo type="num">
                <xm:f>1</xm:f>
              </x14:cfvo>
              <x14:cfIcon iconSet="NoIcons" iconId="0"/>
              <x14:cfIcon iconSet="3TrafficLights1" iconId="2"/>
              <x14:cfIcon iconSet="3TrafficLights1" iconId="0"/>
            </x14:iconSet>
          </x14:cfRule>
          <xm:sqref>B198</xm:sqref>
        </x14:conditionalFormatting>
        <x14:conditionalFormatting xmlns:xm="http://schemas.microsoft.com/office/excel/2006/main">
          <x14:cfRule type="iconSet" priority="513" id="{E3C245F3-373D-48F2-918A-CA4E50A2649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C199</xm:sqref>
        </x14:conditionalFormatting>
        <x14:conditionalFormatting xmlns:xm="http://schemas.microsoft.com/office/excel/2006/main">
          <x14:cfRule type="iconSet" priority="514" id="{0DB1D9F5-48FF-427C-963F-A3A7D07EAC0A}">
            <x14:iconSet custom="1">
              <x14:cfvo type="percent">
                <xm:f>0</xm:f>
              </x14:cfvo>
              <x14:cfvo type="num">
                <xm:f>0</xm:f>
              </x14:cfvo>
              <x14:cfvo type="num">
                <xm:f>1</xm:f>
              </x14:cfvo>
              <x14:cfIcon iconSet="NoIcons" iconId="0"/>
              <x14:cfIcon iconSet="3TrafficLights1" iconId="2"/>
              <x14:cfIcon iconSet="3TrafficLights1" iconId="0"/>
            </x14:iconSet>
          </x14:cfRule>
          <xm:sqref>B199</xm:sqref>
        </x14:conditionalFormatting>
        <x14:conditionalFormatting xmlns:xm="http://schemas.microsoft.com/office/excel/2006/main">
          <x14:cfRule type="iconSet" priority="511" id="{62FDBE06-5BE1-4003-87E5-1FBD3FFD07E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C200</xm:sqref>
        </x14:conditionalFormatting>
        <x14:conditionalFormatting xmlns:xm="http://schemas.microsoft.com/office/excel/2006/main">
          <x14:cfRule type="iconSet" priority="512" id="{C77303AB-4532-4353-A79D-DB928F0B919F}">
            <x14:iconSet custom="1">
              <x14:cfvo type="percent">
                <xm:f>0</xm:f>
              </x14:cfvo>
              <x14:cfvo type="num">
                <xm:f>0</xm:f>
              </x14:cfvo>
              <x14:cfvo type="num">
                <xm:f>1</xm:f>
              </x14:cfvo>
              <x14:cfIcon iconSet="NoIcons" iconId="0"/>
              <x14:cfIcon iconSet="3TrafficLights1" iconId="2"/>
              <x14:cfIcon iconSet="3TrafficLights1" iconId="0"/>
            </x14:iconSet>
          </x14:cfRule>
          <xm:sqref>B200</xm:sqref>
        </x14:conditionalFormatting>
        <x14:conditionalFormatting xmlns:xm="http://schemas.microsoft.com/office/excel/2006/main">
          <x14:cfRule type="iconSet" priority="507" id="{2AE84223-EF5F-483C-9889-694171009B4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C201</xm:sqref>
        </x14:conditionalFormatting>
        <x14:conditionalFormatting xmlns:xm="http://schemas.microsoft.com/office/excel/2006/main">
          <x14:cfRule type="iconSet" priority="508" id="{67BC76C4-FD7E-4138-AA9C-3DEE233CB610}">
            <x14:iconSet custom="1">
              <x14:cfvo type="percent">
                <xm:f>0</xm:f>
              </x14:cfvo>
              <x14:cfvo type="num">
                <xm:f>0</xm:f>
              </x14:cfvo>
              <x14:cfvo type="num">
                <xm:f>1</xm:f>
              </x14:cfvo>
              <x14:cfIcon iconSet="NoIcons" iconId="0"/>
              <x14:cfIcon iconSet="3TrafficLights1" iconId="2"/>
              <x14:cfIcon iconSet="3TrafficLights1" iconId="0"/>
            </x14:iconSet>
          </x14:cfRule>
          <xm:sqref>B201</xm:sqref>
        </x14:conditionalFormatting>
        <x14:conditionalFormatting xmlns:xm="http://schemas.microsoft.com/office/excel/2006/main">
          <x14:cfRule type="iconSet" priority="505" id="{77569751-B012-469D-8650-B9B4F29610A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C202</xm:sqref>
        </x14:conditionalFormatting>
        <x14:conditionalFormatting xmlns:xm="http://schemas.microsoft.com/office/excel/2006/main">
          <x14:cfRule type="iconSet" priority="506" id="{03594A8A-4D91-4D75-AE72-A79527F24335}">
            <x14:iconSet custom="1">
              <x14:cfvo type="percent">
                <xm:f>0</xm:f>
              </x14:cfvo>
              <x14:cfvo type="num">
                <xm:f>0</xm:f>
              </x14:cfvo>
              <x14:cfvo type="num">
                <xm:f>1</xm:f>
              </x14:cfvo>
              <x14:cfIcon iconSet="NoIcons" iconId="0"/>
              <x14:cfIcon iconSet="3TrafficLights1" iconId="2"/>
              <x14:cfIcon iconSet="3TrafficLights1" iconId="0"/>
            </x14:iconSet>
          </x14:cfRule>
          <xm:sqref>B202</xm:sqref>
        </x14:conditionalFormatting>
        <x14:conditionalFormatting xmlns:xm="http://schemas.microsoft.com/office/excel/2006/main">
          <x14:cfRule type="iconSet" priority="503" id="{DF4CE5C4-F546-4785-B714-98E2783773B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C203</xm:sqref>
        </x14:conditionalFormatting>
        <x14:conditionalFormatting xmlns:xm="http://schemas.microsoft.com/office/excel/2006/main">
          <x14:cfRule type="iconSet" priority="504" id="{FE8EC76C-6A34-43FF-962A-EF62FED01D55}">
            <x14:iconSet custom="1">
              <x14:cfvo type="percent">
                <xm:f>0</xm:f>
              </x14:cfvo>
              <x14:cfvo type="num">
                <xm:f>0</xm:f>
              </x14:cfvo>
              <x14:cfvo type="num">
                <xm:f>1</xm:f>
              </x14:cfvo>
              <x14:cfIcon iconSet="NoIcons" iconId="0"/>
              <x14:cfIcon iconSet="3TrafficLights1" iconId="2"/>
              <x14:cfIcon iconSet="3TrafficLights1" iconId="0"/>
            </x14:iconSet>
          </x14:cfRule>
          <xm:sqref>B203</xm:sqref>
        </x14:conditionalFormatting>
        <x14:conditionalFormatting xmlns:xm="http://schemas.microsoft.com/office/excel/2006/main">
          <x14:cfRule type="iconSet" priority="501" id="{8BF59D45-44FB-46C2-9A4B-A27D6596799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C204</xm:sqref>
        </x14:conditionalFormatting>
        <x14:conditionalFormatting xmlns:xm="http://schemas.microsoft.com/office/excel/2006/main">
          <x14:cfRule type="iconSet" priority="502" id="{25F0BE3C-1BA2-497D-BA21-B56A6802908F}">
            <x14:iconSet custom="1">
              <x14:cfvo type="percent">
                <xm:f>0</xm:f>
              </x14:cfvo>
              <x14:cfvo type="num">
                <xm:f>0</xm:f>
              </x14:cfvo>
              <x14:cfvo type="num">
                <xm:f>1</xm:f>
              </x14:cfvo>
              <x14:cfIcon iconSet="NoIcons" iconId="0"/>
              <x14:cfIcon iconSet="3TrafficLights1" iconId="2"/>
              <x14:cfIcon iconSet="3TrafficLights1" iconId="0"/>
            </x14:iconSet>
          </x14:cfRule>
          <xm:sqref>B204</xm:sqref>
        </x14:conditionalFormatting>
        <x14:conditionalFormatting xmlns:xm="http://schemas.microsoft.com/office/excel/2006/main">
          <x14:cfRule type="iconSet" priority="499" id="{91D6EF8C-650A-4504-8F1F-9AB49A983ED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C205</xm:sqref>
        </x14:conditionalFormatting>
        <x14:conditionalFormatting xmlns:xm="http://schemas.microsoft.com/office/excel/2006/main">
          <x14:cfRule type="iconSet" priority="500" id="{72613851-F940-444F-8BB9-925493A17F96}">
            <x14:iconSet custom="1">
              <x14:cfvo type="percent">
                <xm:f>0</xm:f>
              </x14:cfvo>
              <x14:cfvo type="num">
                <xm:f>0</xm:f>
              </x14:cfvo>
              <x14:cfvo type="num">
                <xm:f>1</xm:f>
              </x14:cfvo>
              <x14:cfIcon iconSet="NoIcons" iconId="0"/>
              <x14:cfIcon iconSet="3TrafficLights1" iconId="2"/>
              <x14:cfIcon iconSet="3TrafficLights1" iconId="0"/>
            </x14:iconSet>
          </x14:cfRule>
          <xm:sqref>B205</xm:sqref>
        </x14:conditionalFormatting>
        <x14:conditionalFormatting xmlns:xm="http://schemas.microsoft.com/office/excel/2006/main">
          <x14:cfRule type="iconSet" priority="497" id="{7E62EA02-9F3C-4537-AFA2-C5FDC66DE67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C206</xm:sqref>
        </x14:conditionalFormatting>
        <x14:conditionalFormatting xmlns:xm="http://schemas.microsoft.com/office/excel/2006/main">
          <x14:cfRule type="iconSet" priority="498" id="{16F91F6C-924E-42EF-9A35-0495B6904C8E}">
            <x14:iconSet custom="1">
              <x14:cfvo type="percent">
                <xm:f>0</xm:f>
              </x14:cfvo>
              <x14:cfvo type="num">
                <xm:f>0</xm:f>
              </x14:cfvo>
              <x14:cfvo type="num">
                <xm:f>1</xm:f>
              </x14:cfvo>
              <x14:cfIcon iconSet="NoIcons" iconId="0"/>
              <x14:cfIcon iconSet="3TrafficLights1" iconId="2"/>
              <x14:cfIcon iconSet="3TrafficLights1" iconId="0"/>
            </x14:iconSet>
          </x14:cfRule>
          <xm:sqref>B206</xm:sqref>
        </x14:conditionalFormatting>
        <x14:conditionalFormatting xmlns:xm="http://schemas.microsoft.com/office/excel/2006/main">
          <x14:cfRule type="iconSet" priority="495" id="{09652467-4ABD-4CA4-B738-EB4FD6ABAB3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C207</xm:sqref>
        </x14:conditionalFormatting>
        <x14:conditionalFormatting xmlns:xm="http://schemas.microsoft.com/office/excel/2006/main">
          <x14:cfRule type="iconSet" priority="496" id="{D1A40E13-F073-4022-BE6D-E4F3C57C679A}">
            <x14:iconSet custom="1">
              <x14:cfvo type="percent">
                <xm:f>0</xm:f>
              </x14:cfvo>
              <x14:cfvo type="num">
                <xm:f>0</xm:f>
              </x14:cfvo>
              <x14:cfvo type="num">
                <xm:f>1</xm:f>
              </x14:cfvo>
              <x14:cfIcon iconSet="NoIcons" iconId="0"/>
              <x14:cfIcon iconSet="3TrafficLights1" iconId="2"/>
              <x14:cfIcon iconSet="3TrafficLights1" iconId="0"/>
            </x14:iconSet>
          </x14:cfRule>
          <xm:sqref>B207</xm:sqref>
        </x14:conditionalFormatting>
        <x14:conditionalFormatting xmlns:xm="http://schemas.microsoft.com/office/excel/2006/main">
          <x14:cfRule type="iconSet" priority="493" id="{45D5631E-4463-49A8-9703-58D916BE885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C208</xm:sqref>
        </x14:conditionalFormatting>
        <x14:conditionalFormatting xmlns:xm="http://schemas.microsoft.com/office/excel/2006/main">
          <x14:cfRule type="iconSet" priority="494" id="{285B835F-2FE3-49C5-BDBA-58CE8BBED3ED}">
            <x14:iconSet custom="1">
              <x14:cfvo type="percent">
                <xm:f>0</xm:f>
              </x14:cfvo>
              <x14:cfvo type="num">
                <xm:f>0</xm:f>
              </x14:cfvo>
              <x14:cfvo type="num">
                <xm:f>1</xm:f>
              </x14:cfvo>
              <x14:cfIcon iconSet="NoIcons" iconId="0"/>
              <x14:cfIcon iconSet="3TrafficLights1" iconId="2"/>
              <x14:cfIcon iconSet="3TrafficLights1" iconId="0"/>
            </x14:iconSet>
          </x14:cfRule>
          <xm:sqref>B208</xm:sqref>
        </x14:conditionalFormatting>
        <x14:conditionalFormatting xmlns:xm="http://schemas.microsoft.com/office/excel/2006/main">
          <x14:cfRule type="iconSet" priority="491" id="{F75D352F-2FF6-4F8A-AE2A-6759FCF76E08}">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C209</xm:sqref>
        </x14:conditionalFormatting>
        <x14:conditionalFormatting xmlns:xm="http://schemas.microsoft.com/office/excel/2006/main">
          <x14:cfRule type="iconSet" priority="492" id="{F214A072-47F0-4D99-810E-B216C136230D}">
            <x14:iconSet custom="1">
              <x14:cfvo type="percent">
                <xm:f>0</xm:f>
              </x14:cfvo>
              <x14:cfvo type="num">
                <xm:f>0</xm:f>
              </x14:cfvo>
              <x14:cfvo type="num">
                <xm:f>1</xm:f>
              </x14:cfvo>
              <x14:cfIcon iconSet="NoIcons" iconId="0"/>
              <x14:cfIcon iconSet="3TrafficLights1" iconId="2"/>
              <x14:cfIcon iconSet="3TrafficLights1" iconId="0"/>
            </x14:iconSet>
          </x14:cfRule>
          <xm:sqref>B209</xm:sqref>
        </x14:conditionalFormatting>
        <x14:conditionalFormatting xmlns:xm="http://schemas.microsoft.com/office/excel/2006/main">
          <x14:cfRule type="iconSet" priority="489" id="{1FA2D70E-79AE-4F26-899D-32D1035D54C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C210</xm:sqref>
        </x14:conditionalFormatting>
        <x14:conditionalFormatting xmlns:xm="http://schemas.microsoft.com/office/excel/2006/main">
          <x14:cfRule type="iconSet" priority="490" id="{BD66597C-D060-4E73-A6B9-FE89C58FC73E}">
            <x14:iconSet custom="1">
              <x14:cfvo type="percent">
                <xm:f>0</xm:f>
              </x14:cfvo>
              <x14:cfvo type="num">
                <xm:f>0</xm:f>
              </x14:cfvo>
              <x14:cfvo type="num">
                <xm:f>1</xm:f>
              </x14:cfvo>
              <x14:cfIcon iconSet="NoIcons" iconId="0"/>
              <x14:cfIcon iconSet="3TrafficLights1" iconId="2"/>
              <x14:cfIcon iconSet="3TrafficLights1" iconId="0"/>
            </x14:iconSet>
          </x14:cfRule>
          <xm:sqref>B210</xm:sqref>
        </x14:conditionalFormatting>
        <x14:conditionalFormatting xmlns:xm="http://schemas.microsoft.com/office/excel/2006/main">
          <x14:cfRule type="iconSet" priority="487" id="{379BC1AE-9087-4815-988C-CDBFBF455AF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C211</xm:sqref>
        </x14:conditionalFormatting>
        <x14:conditionalFormatting xmlns:xm="http://schemas.microsoft.com/office/excel/2006/main">
          <x14:cfRule type="iconSet" priority="488" id="{DC3B377A-7014-4411-A341-90CD97D9FD8F}">
            <x14:iconSet custom="1">
              <x14:cfvo type="percent">
                <xm:f>0</xm:f>
              </x14:cfvo>
              <x14:cfvo type="num">
                <xm:f>0</xm:f>
              </x14:cfvo>
              <x14:cfvo type="num">
                <xm:f>1</xm:f>
              </x14:cfvo>
              <x14:cfIcon iconSet="NoIcons" iconId="0"/>
              <x14:cfIcon iconSet="3TrafficLights1" iconId="2"/>
              <x14:cfIcon iconSet="3TrafficLights1" iconId="0"/>
            </x14:iconSet>
          </x14:cfRule>
          <xm:sqref>B211</xm:sqref>
        </x14:conditionalFormatting>
        <x14:conditionalFormatting xmlns:xm="http://schemas.microsoft.com/office/excel/2006/main">
          <x14:cfRule type="iconSet" priority="485" id="{2AC20051-6933-419C-9888-3F1FFF6EC5D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C212</xm:sqref>
        </x14:conditionalFormatting>
        <x14:conditionalFormatting xmlns:xm="http://schemas.microsoft.com/office/excel/2006/main">
          <x14:cfRule type="iconSet" priority="486" id="{4FE277EA-4D25-44A1-928C-FD77BD46BB80}">
            <x14:iconSet custom="1">
              <x14:cfvo type="percent">
                <xm:f>0</xm:f>
              </x14:cfvo>
              <x14:cfvo type="num">
                <xm:f>0</xm:f>
              </x14:cfvo>
              <x14:cfvo type="num">
                <xm:f>1</xm:f>
              </x14:cfvo>
              <x14:cfIcon iconSet="NoIcons" iconId="0"/>
              <x14:cfIcon iconSet="3TrafficLights1" iconId="2"/>
              <x14:cfIcon iconSet="3TrafficLights1" iconId="0"/>
            </x14:iconSet>
          </x14:cfRule>
          <xm:sqref>B212</xm:sqref>
        </x14:conditionalFormatting>
        <x14:conditionalFormatting xmlns:xm="http://schemas.microsoft.com/office/excel/2006/main">
          <x14:cfRule type="iconSet" priority="483" id="{EA259437-EBB9-4D5B-8C61-94E4D2AE8EF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C213</xm:sqref>
        </x14:conditionalFormatting>
        <x14:conditionalFormatting xmlns:xm="http://schemas.microsoft.com/office/excel/2006/main">
          <x14:cfRule type="iconSet" priority="484" id="{21B22295-28A0-40BB-9396-5DC3F4510AB4}">
            <x14:iconSet custom="1">
              <x14:cfvo type="percent">
                <xm:f>0</xm:f>
              </x14:cfvo>
              <x14:cfvo type="num">
                <xm:f>0</xm:f>
              </x14:cfvo>
              <x14:cfvo type="num">
                <xm:f>1</xm:f>
              </x14:cfvo>
              <x14:cfIcon iconSet="NoIcons" iconId="0"/>
              <x14:cfIcon iconSet="3TrafficLights1" iconId="2"/>
              <x14:cfIcon iconSet="3TrafficLights1" iconId="0"/>
            </x14:iconSet>
          </x14:cfRule>
          <xm:sqref>B213</xm:sqref>
        </x14:conditionalFormatting>
        <x14:conditionalFormatting xmlns:xm="http://schemas.microsoft.com/office/excel/2006/main">
          <x14:cfRule type="iconSet" priority="481" id="{BC5E418D-079D-41A8-BFD3-8F6DEA927EC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C214</xm:sqref>
        </x14:conditionalFormatting>
        <x14:conditionalFormatting xmlns:xm="http://schemas.microsoft.com/office/excel/2006/main">
          <x14:cfRule type="iconSet" priority="482" id="{E005F8EE-B735-4632-B46E-2C4DCE3AAAEF}">
            <x14:iconSet custom="1">
              <x14:cfvo type="percent">
                <xm:f>0</xm:f>
              </x14:cfvo>
              <x14:cfvo type="num">
                <xm:f>0</xm:f>
              </x14:cfvo>
              <x14:cfvo type="num">
                <xm:f>1</xm:f>
              </x14:cfvo>
              <x14:cfIcon iconSet="NoIcons" iconId="0"/>
              <x14:cfIcon iconSet="3TrafficLights1" iconId="2"/>
              <x14:cfIcon iconSet="3TrafficLights1" iconId="0"/>
            </x14:iconSet>
          </x14:cfRule>
          <xm:sqref>B214</xm:sqref>
        </x14:conditionalFormatting>
        <x14:conditionalFormatting xmlns:xm="http://schemas.microsoft.com/office/excel/2006/main">
          <x14:cfRule type="iconSet" priority="479" id="{AA7E8D5F-F16E-41FD-BFE3-EEAAD72EA67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C215</xm:sqref>
        </x14:conditionalFormatting>
        <x14:conditionalFormatting xmlns:xm="http://schemas.microsoft.com/office/excel/2006/main">
          <x14:cfRule type="iconSet" priority="480" id="{24105474-8A93-4B41-B3B8-B6BFC6CD6B68}">
            <x14:iconSet custom="1">
              <x14:cfvo type="percent">
                <xm:f>0</xm:f>
              </x14:cfvo>
              <x14:cfvo type="num">
                <xm:f>0</xm:f>
              </x14:cfvo>
              <x14:cfvo type="num">
                <xm:f>1</xm:f>
              </x14:cfvo>
              <x14:cfIcon iconSet="NoIcons" iconId="0"/>
              <x14:cfIcon iconSet="3TrafficLights1" iconId="2"/>
              <x14:cfIcon iconSet="3TrafficLights1" iconId="0"/>
            </x14:iconSet>
          </x14:cfRule>
          <xm:sqref>B215</xm:sqref>
        </x14:conditionalFormatting>
        <x14:conditionalFormatting xmlns:xm="http://schemas.microsoft.com/office/excel/2006/main">
          <x14:cfRule type="iconSet" priority="477" id="{8588208D-D50F-46BC-9E4F-90B6D1047288}">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C216</xm:sqref>
        </x14:conditionalFormatting>
        <x14:conditionalFormatting xmlns:xm="http://schemas.microsoft.com/office/excel/2006/main">
          <x14:cfRule type="iconSet" priority="478" id="{62E901C4-9058-4055-A4D3-195C265DC01B}">
            <x14:iconSet custom="1">
              <x14:cfvo type="percent">
                <xm:f>0</xm:f>
              </x14:cfvo>
              <x14:cfvo type="num">
                <xm:f>0</xm:f>
              </x14:cfvo>
              <x14:cfvo type="num">
                <xm:f>1</xm:f>
              </x14:cfvo>
              <x14:cfIcon iconSet="NoIcons" iconId="0"/>
              <x14:cfIcon iconSet="3TrafficLights1" iconId="2"/>
              <x14:cfIcon iconSet="3TrafficLights1" iconId="0"/>
            </x14:iconSet>
          </x14:cfRule>
          <xm:sqref>B216</xm:sqref>
        </x14:conditionalFormatting>
        <x14:conditionalFormatting xmlns:xm="http://schemas.microsoft.com/office/excel/2006/main">
          <x14:cfRule type="iconSet" priority="475" id="{C9200C9C-F2D8-40B5-96C5-AFFBFCEA6D98}">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C217</xm:sqref>
        </x14:conditionalFormatting>
        <x14:conditionalFormatting xmlns:xm="http://schemas.microsoft.com/office/excel/2006/main">
          <x14:cfRule type="iconSet" priority="476" id="{1AA1DF61-0AC9-4315-B5CF-EAEFC4C58387}">
            <x14:iconSet custom="1">
              <x14:cfvo type="percent">
                <xm:f>0</xm:f>
              </x14:cfvo>
              <x14:cfvo type="num">
                <xm:f>0</xm:f>
              </x14:cfvo>
              <x14:cfvo type="num">
                <xm:f>1</xm:f>
              </x14:cfvo>
              <x14:cfIcon iconSet="NoIcons" iconId="0"/>
              <x14:cfIcon iconSet="3TrafficLights1" iconId="2"/>
              <x14:cfIcon iconSet="3TrafficLights1" iconId="0"/>
            </x14:iconSet>
          </x14:cfRule>
          <xm:sqref>B217</xm:sqref>
        </x14:conditionalFormatting>
        <x14:conditionalFormatting xmlns:xm="http://schemas.microsoft.com/office/excel/2006/main">
          <x14:cfRule type="iconSet" priority="469" id="{A3D9C805-82EF-4A2C-9CE6-328D5346611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C218</xm:sqref>
        </x14:conditionalFormatting>
        <x14:conditionalFormatting xmlns:xm="http://schemas.microsoft.com/office/excel/2006/main">
          <x14:cfRule type="iconSet" priority="470" id="{BC861AE9-39FB-426C-978C-4A1B80D05FB2}">
            <x14:iconSet custom="1">
              <x14:cfvo type="percent">
                <xm:f>0</xm:f>
              </x14:cfvo>
              <x14:cfvo type="num">
                <xm:f>0</xm:f>
              </x14:cfvo>
              <x14:cfvo type="num">
                <xm:f>1</xm:f>
              </x14:cfvo>
              <x14:cfIcon iconSet="NoIcons" iconId="0"/>
              <x14:cfIcon iconSet="3TrafficLights1" iconId="2"/>
              <x14:cfIcon iconSet="3TrafficLights1" iconId="0"/>
            </x14:iconSet>
          </x14:cfRule>
          <xm:sqref>B218</xm:sqref>
        </x14:conditionalFormatting>
        <x14:conditionalFormatting xmlns:xm="http://schemas.microsoft.com/office/excel/2006/main">
          <x14:cfRule type="iconSet" priority="467" id="{590802F8-65B9-46F5-830F-525A4A884DC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C219</xm:sqref>
        </x14:conditionalFormatting>
        <x14:conditionalFormatting xmlns:xm="http://schemas.microsoft.com/office/excel/2006/main">
          <x14:cfRule type="iconSet" priority="468" id="{F1D082C1-28C4-4ABC-BF27-B221D310C485}">
            <x14:iconSet custom="1">
              <x14:cfvo type="percent">
                <xm:f>0</xm:f>
              </x14:cfvo>
              <x14:cfvo type="num">
                <xm:f>0</xm:f>
              </x14:cfvo>
              <x14:cfvo type="num">
                <xm:f>1</xm:f>
              </x14:cfvo>
              <x14:cfIcon iconSet="NoIcons" iconId="0"/>
              <x14:cfIcon iconSet="3TrafficLights1" iconId="2"/>
              <x14:cfIcon iconSet="3TrafficLights1" iconId="0"/>
            </x14:iconSet>
          </x14:cfRule>
          <xm:sqref>B219</xm:sqref>
        </x14:conditionalFormatting>
        <x14:conditionalFormatting xmlns:xm="http://schemas.microsoft.com/office/excel/2006/main">
          <x14:cfRule type="iconSet" priority="463" id="{14E9B1E6-641C-4B0A-AD98-24B8E2D9634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C220</xm:sqref>
        </x14:conditionalFormatting>
        <x14:conditionalFormatting xmlns:xm="http://schemas.microsoft.com/office/excel/2006/main">
          <x14:cfRule type="iconSet" priority="464" id="{5F035CA3-6A9E-4F9F-ABB9-C7CDFDB581D6}">
            <x14:iconSet custom="1">
              <x14:cfvo type="percent">
                <xm:f>0</xm:f>
              </x14:cfvo>
              <x14:cfvo type="num">
                <xm:f>0</xm:f>
              </x14:cfvo>
              <x14:cfvo type="num">
                <xm:f>1</xm:f>
              </x14:cfvo>
              <x14:cfIcon iconSet="NoIcons" iconId="0"/>
              <x14:cfIcon iconSet="3TrafficLights1" iconId="2"/>
              <x14:cfIcon iconSet="3TrafficLights1" iconId="0"/>
            </x14:iconSet>
          </x14:cfRule>
          <xm:sqref>B220</xm:sqref>
        </x14:conditionalFormatting>
        <x14:conditionalFormatting xmlns:xm="http://schemas.microsoft.com/office/excel/2006/main">
          <x14:cfRule type="iconSet" priority="461" id="{08F4B94A-7F4E-4A03-B6B3-D412755937D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C221</xm:sqref>
        </x14:conditionalFormatting>
        <x14:conditionalFormatting xmlns:xm="http://schemas.microsoft.com/office/excel/2006/main">
          <x14:cfRule type="iconSet" priority="462" id="{6BF9EEFE-DF83-4B59-A926-1485074E4709}">
            <x14:iconSet custom="1">
              <x14:cfvo type="percent">
                <xm:f>0</xm:f>
              </x14:cfvo>
              <x14:cfvo type="num">
                <xm:f>0</xm:f>
              </x14:cfvo>
              <x14:cfvo type="num">
                <xm:f>1</xm:f>
              </x14:cfvo>
              <x14:cfIcon iconSet="NoIcons" iconId="0"/>
              <x14:cfIcon iconSet="3TrafficLights1" iconId="2"/>
              <x14:cfIcon iconSet="3TrafficLights1" iconId="0"/>
            </x14:iconSet>
          </x14:cfRule>
          <xm:sqref>B221</xm:sqref>
        </x14:conditionalFormatting>
        <x14:conditionalFormatting xmlns:xm="http://schemas.microsoft.com/office/excel/2006/main">
          <x14:cfRule type="iconSet" priority="459" id="{D364FD5E-1AA9-49AD-A598-3F621525BEB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C222</xm:sqref>
        </x14:conditionalFormatting>
        <x14:conditionalFormatting xmlns:xm="http://schemas.microsoft.com/office/excel/2006/main">
          <x14:cfRule type="iconSet" priority="460" id="{6FBA1F38-E1B9-4D97-804E-98EBA72CF110}">
            <x14:iconSet custom="1">
              <x14:cfvo type="percent">
                <xm:f>0</xm:f>
              </x14:cfvo>
              <x14:cfvo type="num">
                <xm:f>0</xm:f>
              </x14:cfvo>
              <x14:cfvo type="num">
                <xm:f>1</xm:f>
              </x14:cfvo>
              <x14:cfIcon iconSet="NoIcons" iconId="0"/>
              <x14:cfIcon iconSet="3TrafficLights1" iconId="2"/>
              <x14:cfIcon iconSet="3TrafficLights1" iconId="0"/>
            </x14:iconSet>
          </x14:cfRule>
          <xm:sqref>B222</xm:sqref>
        </x14:conditionalFormatting>
        <x14:conditionalFormatting xmlns:xm="http://schemas.microsoft.com/office/excel/2006/main">
          <x14:cfRule type="iconSet" priority="455" id="{4581AD8E-9C5F-4335-B01A-3B0F114F8787}">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C223</xm:sqref>
        </x14:conditionalFormatting>
        <x14:conditionalFormatting xmlns:xm="http://schemas.microsoft.com/office/excel/2006/main">
          <x14:cfRule type="iconSet" priority="456" id="{1CD54C53-5FFD-4853-B2D4-BA3A41D38F8C}">
            <x14:iconSet custom="1">
              <x14:cfvo type="percent">
                <xm:f>0</xm:f>
              </x14:cfvo>
              <x14:cfvo type="num">
                <xm:f>0</xm:f>
              </x14:cfvo>
              <x14:cfvo type="num">
                <xm:f>1</xm:f>
              </x14:cfvo>
              <x14:cfIcon iconSet="NoIcons" iconId="0"/>
              <x14:cfIcon iconSet="3TrafficLights1" iconId="2"/>
              <x14:cfIcon iconSet="3TrafficLights1" iconId="0"/>
            </x14:iconSet>
          </x14:cfRule>
          <xm:sqref>B223</xm:sqref>
        </x14:conditionalFormatting>
        <x14:conditionalFormatting xmlns:xm="http://schemas.microsoft.com/office/excel/2006/main">
          <x14:cfRule type="iconSet" priority="451" id="{3DCE0858-D52C-4C4A-91DF-1C1172A8E6E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C224</xm:sqref>
        </x14:conditionalFormatting>
        <x14:conditionalFormatting xmlns:xm="http://schemas.microsoft.com/office/excel/2006/main">
          <x14:cfRule type="iconSet" priority="452" id="{10C86F2E-B6BC-4AC8-BB4E-08C725C17016}">
            <x14:iconSet custom="1">
              <x14:cfvo type="percent">
                <xm:f>0</xm:f>
              </x14:cfvo>
              <x14:cfvo type="num">
                <xm:f>0</xm:f>
              </x14:cfvo>
              <x14:cfvo type="num">
                <xm:f>1</xm:f>
              </x14:cfvo>
              <x14:cfIcon iconSet="NoIcons" iconId="0"/>
              <x14:cfIcon iconSet="3TrafficLights1" iconId="2"/>
              <x14:cfIcon iconSet="3TrafficLights1" iconId="0"/>
            </x14:iconSet>
          </x14:cfRule>
          <xm:sqref>B224</xm:sqref>
        </x14:conditionalFormatting>
        <x14:conditionalFormatting xmlns:xm="http://schemas.microsoft.com/office/excel/2006/main">
          <x14:cfRule type="iconSet" priority="449" id="{A18F5591-F5BC-4FF0-9C87-698CF6DC1FC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C225</xm:sqref>
        </x14:conditionalFormatting>
        <x14:conditionalFormatting xmlns:xm="http://schemas.microsoft.com/office/excel/2006/main">
          <x14:cfRule type="iconSet" priority="450" id="{7DD725ED-D20C-4F10-8E4D-5F389E4AD6CA}">
            <x14:iconSet custom="1">
              <x14:cfvo type="percent">
                <xm:f>0</xm:f>
              </x14:cfvo>
              <x14:cfvo type="num">
                <xm:f>0</xm:f>
              </x14:cfvo>
              <x14:cfvo type="num">
                <xm:f>1</xm:f>
              </x14:cfvo>
              <x14:cfIcon iconSet="NoIcons" iconId="0"/>
              <x14:cfIcon iconSet="3TrafficLights1" iconId="2"/>
              <x14:cfIcon iconSet="3TrafficLights1" iconId="0"/>
            </x14:iconSet>
          </x14:cfRule>
          <xm:sqref>B225</xm:sqref>
        </x14:conditionalFormatting>
        <x14:conditionalFormatting xmlns:xm="http://schemas.microsoft.com/office/excel/2006/main">
          <x14:cfRule type="iconSet" priority="445" id="{32C885E6-9405-4A2D-A806-34D3798D0ED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C226</xm:sqref>
        </x14:conditionalFormatting>
        <x14:conditionalFormatting xmlns:xm="http://schemas.microsoft.com/office/excel/2006/main">
          <x14:cfRule type="iconSet" priority="446" id="{12C4065C-6EF8-4E41-BCC2-AC99711EA14D}">
            <x14:iconSet custom="1">
              <x14:cfvo type="percent">
                <xm:f>0</xm:f>
              </x14:cfvo>
              <x14:cfvo type="num">
                <xm:f>0</xm:f>
              </x14:cfvo>
              <x14:cfvo type="num">
                <xm:f>1</xm:f>
              </x14:cfvo>
              <x14:cfIcon iconSet="NoIcons" iconId="0"/>
              <x14:cfIcon iconSet="3TrafficLights1" iconId="2"/>
              <x14:cfIcon iconSet="3TrafficLights1" iconId="0"/>
            </x14:iconSet>
          </x14:cfRule>
          <xm:sqref>B226</xm:sqref>
        </x14:conditionalFormatting>
        <x14:conditionalFormatting xmlns:xm="http://schemas.microsoft.com/office/excel/2006/main">
          <x14:cfRule type="iconSet" priority="443" id="{AE477C92-1F8B-4E57-A7E3-944B64C21BD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C227</xm:sqref>
        </x14:conditionalFormatting>
        <x14:conditionalFormatting xmlns:xm="http://schemas.microsoft.com/office/excel/2006/main">
          <x14:cfRule type="iconSet" priority="444" id="{1B38F00A-79CA-463A-945C-35E016D7C7A2}">
            <x14:iconSet custom="1">
              <x14:cfvo type="percent">
                <xm:f>0</xm:f>
              </x14:cfvo>
              <x14:cfvo type="num">
                <xm:f>0</xm:f>
              </x14:cfvo>
              <x14:cfvo type="num">
                <xm:f>1</xm:f>
              </x14:cfvo>
              <x14:cfIcon iconSet="NoIcons" iconId="0"/>
              <x14:cfIcon iconSet="3TrafficLights1" iconId="2"/>
              <x14:cfIcon iconSet="3TrafficLights1" iconId="0"/>
            </x14:iconSet>
          </x14:cfRule>
          <xm:sqref>B227</xm:sqref>
        </x14:conditionalFormatting>
        <x14:conditionalFormatting xmlns:xm="http://schemas.microsoft.com/office/excel/2006/main">
          <x14:cfRule type="iconSet" priority="441" id="{37B58CE2-EF09-442C-9B12-AB22391917A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C228</xm:sqref>
        </x14:conditionalFormatting>
        <x14:conditionalFormatting xmlns:xm="http://schemas.microsoft.com/office/excel/2006/main">
          <x14:cfRule type="iconSet" priority="442" id="{3881FCFE-DCBA-459F-ADEA-81C34C8458F0}">
            <x14:iconSet custom="1">
              <x14:cfvo type="percent">
                <xm:f>0</xm:f>
              </x14:cfvo>
              <x14:cfvo type="num">
                <xm:f>0</xm:f>
              </x14:cfvo>
              <x14:cfvo type="num">
                <xm:f>1</xm:f>
              </x14:cfvo>
              <x14:cfIcon iconSet="NoIcons" iconId="0"/>
              <x14:cfIcon iconSet="3TrafficLights1" iconId="2"/>
              <x14:cfIcon iconSet="3TrafficLights1" iconId="0"/>
            </x14:iconSet>
          </x14:cfRule>
          <xm:sqref>B228</xm:sqref>
        </x14:conditionalFormatting>
        <x14:conditionalFormatting xmlns:xm="http://schemas.microsoft.com/office/excel/2006/main">
          <x14:cfRule type="iconSet" priority="437" id="{7074D005-B91B-4518-987C-56ED5E72B54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C229</xm:sqref>
        </x14:conditionalFormatting>
        <x14:conditionalFormatting xmlns:xm="http://schemas.microsoft.com/office/excel/2006/main">
          <x14:cfRule type="iconSet" priority="438" id="{823F342D-3C4C-4026-9DF2-8A44A6BF79AF}">
            <x14:iconSet custom="1">
              <x14:cfvo type="percent">
                <xm:f>0</xm:f>
              </x14:cfvo>
              <x14:cfvo type="num">
                <xm:f>0</xm:f>
              </x14:cfvo>
              <x14:cfvo type="num">
                <xm:f>1</xm:f>
              </x14:cfvo>
              <x14:cfIcon iconSet="NoIcons" iconId="0"/>
              <x14:cfIcon iconSet="3TrafficLights1" iconId="2"/>
              <x14:cfIcon iconSet="3TrafficLights1" iconId="0"/>
            </x14:iconSet>
          </x14:cfRule>
          <xm:sqref>B229</xm:sqref>
        </x14:conditionalFormatting>
        <x14:conditionalFormatting xmlns:xm="http://schemas.microsoft.com/office/excel/2006/main">
          <x14:cfRule type="iconSet" priority="435" id="{2DE1FE72-281A-43CD-83BC-BABA73EBB59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C230</xm:sqref>
        </x14:conditionalFormatting>
        <x14:conditionalFormatting xmlns:xm="http://schemas.microsoft.com/office/excel/2006/main">
          <x14:cfRule type="iconSet" priority="436" id="{813FF741-B910-4E24-A311-97326090A8DC}">
            <x14:iconSet custom="1">
              <x14:cfvo type="percent">
                <xm:f>0</xm:f>
              </x14:cfvo>
              <x14:cfvo type="num">
                <xm:f>0</xm:f>
              </x14:cfvo>
              <x14:cfvo type="num">
                <xm:f>1</xm:f>
              </x14:cfvo>
              <x14:cfIcon iconSet="NoIcons" iconId="0"/>
              <x14:cfIcon iconSet="3TrafficLights1" iconId="2"/>
              <x14:cfIcon iconSet="3TrafficLights1" iconId="0"/>
            </x14:iconSet>
          </x14:cfRule>
          <xm:sqref>B230</xm:sqref>
        </x14:conditionalFormatting>
        <x14:conditionalFormatting xmlns:xm="http://schemas.microsoft.com/office/excel/2006/main">
          <x14:cfRule type="iconSet" priority="433" id="{6CE6F426-B794-4068-8DC3-78E978B29D0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C231</xm:sqref>
        </x14:conditionalFormatting>
        <x14:conditionalFormatting xmlns:xm="http://schemas.microsoft.com/office/excel/2006/main">
          <x14:cfRule type="iconSet" priority="434" id="{4808B4C8-4A22-496A-9DD1-CE7737446C22}">
            <x14:iconSet custom="1">
              <x14:cfvo type="percent">
                <xm:f>0</xm:f>
              </x14:cfvo>
              <x14:cfvo type="num">
                <xm:f>0</xm:f>
              </x14:cfvo>
              <x14:cfvo type="num">
                <xm:f>1</xm:f>
              </x14:cfvo>
              <x14:cfIcon iconSet="NoIcons" iconId="0"/>
              <x14:cfIcon iconSet="3TrafficLights1" iconId="2"/>
              <x14:cfIcon iconSet="3TrafficLights1" iconId="0"/>
            </x14:iconSet>
          </x14:cfRule>
          <xm:sqref>B231</xm:sqref>
        </x14:conditionalFormatting>
        <x14:conditionalFormatting xmlns:xm="http://schemas.microsoft.com/office/excel/2006/main">
          <x14:cfRule type="iconSet" priority="431" id="{258CFB55-DA29-44FE-9690-014CAA324B8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C232</xm:sqref>
        </x14:conditionalFormatting>
        <x14:conditionalFormatting xmlns:xm="http://schemas.microsoft.com/office/excel/2006/main">
          <x14:cfRule type="iconSet" priority="432" id="{5D18C1D1-8443-4960-A01B-51CB318378DE}">
            <x14:iconSet custom="1">
              <x14:cfvo type="percent">
                <xm:f>0</xm:f>
              </x14:cfvo>
              <x14:cfvo type="num">
                <xm:f>0</xm:f>
              </x14:cfvo>
              <x14:cfvo type="num">
                <xm:f>1</xm:f>
              </x14:cfvo>
              <x14:cfIcon iconSet="NoIcons" iconId="0"/>
              <x14:cfIcon iconSet="3TrafficLights1" iconId="2"/>
              <x14:cfIcon iconSet="3TrafficLights1" iconId="0"/>
            </x14:iconSet>
          </x14:cfRule>
          <xm:sqref>B232</xm:sqref>
        </x14:conditionalFormatting>
        <x14:conditionalFormatting xmlns:xm="http://schemas.microsoft.com/office/excel/2006/main">
          <x14:cfRule type="iconSet" priority="429" id="{289E36C7-8C48-4108-B3F2-5C020FC0CC6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C233</xm:sqref>
        </x14:conditionalFormatting>
        <x14:conditionalFormatting xmlns:xm="http://schemas.microsoft.com/office/excel/2006/main">
          <x14:cfRule type="iconSet" priority="430" id="{5635F241-CECE-4AD2-8B74-C614BF5BD2E8}">
            <x14:iconSet custom="1">
              <x14:cfvo type="percent">
                <xm:f>0</xm:f>
              </x14:cfvo>
              <x14:cfvo type="num">
                <xm:f>0</xm:f>
              </x14:cfvo>
              <x14:cfvo type="num">
                <xm:f>1</xm:f>
              </x14:cfvo>
              <x14:cfIcon iconSet="NoIcons" iconId="0"/>
              <x14:cfIcon iconSet="3TrafficLights1" iconId="2"/>
              <x14:cfIcon iconSet="3TrafficLights1" iconId="0"/>
            </x14:iconSet>
          </x14:cfRule>
          <xm:sqref>B233</xm:sqref>
        </x14:conditionalFormatting>
        <x14:conditionalFormatting xmlns:xm="http://schemas.microsoft.com/office/excel/2006/main">
          <x14:cfRule type="iconSet" priority="423" id="{362BBA70-8E7B-4A8B-9E23-DFE07040EA27}">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C234</xm:sqref>
        </x14:conditionalFormatting>
        <x14:conditionalFormatting xmlns:xm="http://schemas.microsoft.com/office/excel/2006/main">
          <x14:cfRule type="iconSet" priority="424" id="{90309179-352A-4F1A-8FEE-B767F0EA31EC}">
            <x14:iconSet custom="1">
              <x14:cfvo type="percent">
                <xm:f>0</xm:f>
              </x14:cfvo>
              <x14:cfvo type="num">
                <xm:f>0</xm:f>
              </x14:cfvo>
              <x14:cfvo type="num">
                <xm:f>1</xm:f>
              </x14:cfvo>
              <x14:cfIcon iconSet="NoIcons" iconId="0"/>
              <x14:cfIcon iconSet="3TrafficLights1" iconId="2"/>
              <x14:cfIcon iconSet="3TrafficLights1" iconId="0"/>
            </x14:iconSet>
          </x14:cfRule>
          <xm:sqref>B234</xm:sqref>
        </x14:conditionalFormatting>
        <x14:conditionalFormatting xmlns:xm="http://schemas.microsoft.com/office/excel/2006/main">
          <x14:cfRule type="iconSet" priority="421" id="{7E0D180D-F671-4709-A2C2-FF445F188B7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C235</xm:sqref>
        </x14:conditionalFormatting>
        <x14:conditionalFormatting xmlns:xm="http://schemas.microsoft.com/office/excel/2006/main">
          <x14:cfRule type="iconSet" priority="422" id="{1FA308A4-3AC5-4FB8-9D4D-099CF0BBA28E}">
            <x14:iconSet custom="1">
              <x14:cfvo type="percent">
                <xm:f>0</xm:f>
              </x14:cfvo>
              <x14:cfvo type="num">
                <xm:f>0</xm:f>
              </x14:cfvo>
              <x14:cfvo type="num">
                <xm:f>1</xm:f>
              </x14:cfvo>
              <x14:cfIcon iconSet="NoIcons" iconId="0"/>
              <x14:cfIcon iconSet="3TrafficLights1" iconId="2"/>
              <x14:cfIcon iconSet="3TrafficLights1" iconId="0"/>
            </x14:iconSet>
          </x14:cfRule>
          <xm:sqref>B235</xm:sqref>
        </x14:conditionalFormatting>
        <x14:conditionalFormatting xmlns:xm="http://schemas.microsoft.com/office/excel/2006/main">
          <x14:cfRule type="iconSet" priority="419" id="{794CDB59-636A-4758-987E-F3A43D79CFE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C236</xm:sqref>
        </x14:conditionalFormatting>
        <x14:conditionalFormatting xmlns:xm="http://schemas.microsoft.com/office/excel/2006/main">
          <x14:cfRule type="iconSet" priority="420" id="{C88C7C23-864D-4FAB-B9B7-01BFD8635696}">
            <x14:iconSet custom="1">
              <x14:cfvo type="percent">
                <xm:f>0</xm:f>
              </x14:cfvo>
              <x14:cfvo type="num">
                <xm:f>0</xm:f>
              </x14:cfvo>
              <x14:cfvo type="num">
                <xm:f>1</xm:f>
              </x14:cfvo>
              <x14:cfIcon iconSet="NoIcons" iconId="0"/>
              <x14:cfIcon iconSet="3TrafficLights1" iconId="2"/>
              <x14:cfIcon iconSet="3TrafficLights1" iconId="0"/>
            </x14:iconSet>
          </x14:cfRule>
          <xm:sqref>B236</xm:sqref>
        </x14:conditionalFormatting>
        <x14:conditionalFormatting xmlns:xm="http://schemas.microsoft.com/office/excel/2006/main">
          <x14:cfRule type="iconSet" priority="417" id="{0C3763DD-30A3-4916-AB75-FF74CB6CD45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C237</xm:sqref>
        </x14:conditionalFormatting>
        <x14:conditionalFormatting xmlns:xm="http://schemas.microsoft.com/office/excel/2006/main">
          <x14:cfRule type="iconSet" priority="418" id="{470CDC69-DD8E-4D4D-BBD0-B47B89EA4759}">
            <x14:iconSet custom="1">
              <x14:cfvo type="percent">
                <xm:f>0</xm:f>
              </x14:cfvo>
              <x14:cfvo type="num">
                <xm:f>0</xm:f>
              </x14:cfvo>
              <x14:cfvo type="num">
                <xm:f>1</xm:f>
              </x14:cfvo>
              <x14:cfIcon iconSet="NoIcons" iconId="0"/>
              <x14:cfIcon iconSet="3TrafficLights1" iconId="2"/>
              <x14:cfIcon iconSet="3TrafficLights1" iconId="0"/>
            </x14:iconSet>
          </x14:cfRule>
          <xm:sqref>B237</xm:sqref>
        </x14:conditionalFormatting>
        <x14:conditionalFormatting xmlns:xm="http://schemas.microsoft.com/office/excel/2006/main">
          <x14:cfRule type="iconSet" priority="415" id="{5DE4604B-91F4-44B1-9594-F18B2C8301C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C238</xm:sqref>
        </x14:conditionalFormatting>
        <x14:conditionalFormatting xmlns:xm="http://schemas.microsoft.com/office/excel/2006/main">
          <x14:cfRule type="iconSet" priority="416" id="{1C4FA83B-E429-46C9-976D-B8B949D2A11C}">
            <x14:iconSet custom="1">
              <x14:cfvo type="percent">
                <xm:f>0</xm:f>
              </x14:cfvo>
              <x14:cfvo type="num">
                <xm:f>0</xm:f>
              </x14:cfvo>
              <x14:cfvo type="num">
                <xm:f>1</xm:f>
              </x14:cfvo>
              <x14:cfIcon iconSet="NoIcons" iconId="0"/>
              <x14:cfIcon iconSet="3TrafficLights1" iconId="2"/>
              <x14:cfIcon iconSet="3TrafficLights1" iconId="0"/>
            </x14:iconSet>
          </x14:cfRule>
          <xm:sqref>B238</xm:sqref>
        </x14:conditionalFormatting>
        <x14:conditionalFormatting xmlns:xm="http://schemas.microsoft.com/office/excel/2006/main">
          <x14:cfRule type="iconSet" priority="413" id="{D12CDA24-42DB-412F-8B7C-F9E4C8531E3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C239</xm:sqref>
        </x14:conditionalFormatting>
        <x14:conditionalFormatting xmlns:xm="http://schemas.microsoft.com/office/excel/2006/main">
          <x14:cfRule type="iconSet" priority="414" id="{29AAD1D1-29B2-49D8-AFC8-0D641129554F}">
            <x14:iconSet custom="1">
              <x14:cfvo type="percent">
                <xm:f>0</xm:f>
              </x14:cfvo>
              <x14:cfvo type="num">
                <xm:f>0</xm:f>
              </x14:cfvo>
              <x14:cfvo type="num">
                <xm:f>1</xm:f>
              </x14:cfvo>
              <x14:cfIcon iconSet="NoIcons" iconId="0"/>
              <x14:cfIcon iconSet="3TrafficLights1" iconId="2"/>
              <x14:cfIcon iconSet="3TrafficLights1" iconId="0"/>
            </x14:iconSet>
          </x14:cfRule>
          <xm:sqref>B239</xm:sqref>
        </x14:conditionalFormatting>
        <x14:conditionalFormatting xmlns:xm="http://schemas.microsoft.com/office/excel/2006/main">
          <x14:cfRule type="iconSet" priority="411" id="{B3FF8D54-5C14-4031-8DAD-1C13305BDBB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C240</xm:sqref>
        </x14:conditionalFormatting>
        <x14:conditionalFormatting xmlns:xm="http://schemas.microsoft.com/office/excel/2006/main">
          <x14:cfRule type="iconSet" priority="412" id="{675C1987-EE04-41F5-8B49-C30C5801D94F}">
            <x14:iconSet custom="1">
              <x14:cfvo type="percent">
                <xm:f>0</xm:f>
              </x14:cfvo>
              <x14:cfvo type="num">
                <xm:f>0</xm:f>
              </x14:cfvo>
              <x14:cfvo type="num">
                <xm:f>1</xm:f>
              </x14:cfvo>
              <x14:cfIcon iconSet="NoIcons" iconId="0"/>
              <x14:cfIcon iconSet="3TrafficLights1" iconId="2"/>
              <x14:cfIcon iconSet="3TrafficLights1" iconId="0"/>
            </x14:iconSet>
          </x14:cfRule>
          <xm:sqref>B240</xm:sqref>
        </x14:conditionalFormatting>
        <x14:conditionalFormatting xmlns:xm="http://schemas.microsoft.com/office/excel/2006/main">
          <x14:cfRule type="iconSet" priority="409" id="{D23B5CBA-D214-49CB-B454-1265F93BE71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C241</xm:sqref>
        </x14:conditionalFormatting>
        <x14:conditionalFormatting xmlns:xm="http://schemas.microsoft.com/office/excel/2006/main">
          <x14:cfRule type="iconSet" priority="410" id="{E8060D51-CD37-437D-BD4D-1FB2175EB484}">
            <x14:iconSet custom="1">
              <x14:cfvo type="percent">
                <xm:f>0</xm:f>
              </x14:cfvo>
              <x14:cfvo type="num">
                <xm:f>0</xm:f>
              </x14:cfvo>
              <x14:cfvo type="num">
                <xm:f>1</xm:f>
              </x14:cfvo>
              <x14:cfIcon iconSet="NoIcons" iconId="0"/>
              <x14:cfIcon iconSet="3TrafficLights1" iconId="2"/>
              <x14:cfIcon iconSet="3TrafficLights1" iconId="0"/>
            </x14:iconSet>
          </x14:cfRule>
          <xm:sqref>B241</xm:sqref>
        </x14:conditionalFormatting>
        <x14:conditionalFormatting xmlns:xm="http://schemas.microsoft.com/office/excel/2006/main">
          <x14:cfRule type="iconSet" priority="407" id="{DA76867A-BFD1-445A-86AA-49B8DDFFB55A}">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C242</xm:sqref>
        </x14:conditionalFormatting>
        <x14:conditionalFormatting xmlns:xm="http://schemas.microsoft.com/office/excel/2006/main">
          <x14:cfRule type="iconSet" priority="408" id="{2D89B761-43B8-4B0C-87C0-520504884243}">
            <x14:iconSet custom="1">
              <x14:cfvo type="percent">
                <xm:f>0</xm:f>
              </x14:cfvo>
              <x14:cfvo type="num">
                <xm:f>0</xm:f>
              </x14:cfvo>
              <x14:cfvo type="num">
                <xm:f>1</xm:f>
              </x14:cfvo>
              <x14:cfIcon iconSet="NoIcons" iconId="0"/>
              <x14:cfIcon iconSet="3TrafficLights1" iconId="2"/>
              <x14:cfIcon iconSet="3TrafficLights1" iconId="0"/>
            </x14:iconSet>
          </x14:cfRule>
          <xm:sqref>B242</xm:sqref>
        </x14:conditionalFormatting>
        <x14:conditionalFormatting xmlns:xm="http://schemas.microsoft.com/office/excel/2006/main">
          <x14:cfRule type="iconSet" priority="405" id="{E8A20DA6-1805-4AD5-AC8C-79869065A65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C243</xm:sqref>
        </x14:conditionalFormatting>
        <x14:conditionalFormatting xmlns:xm="http://schemas.microsoft.com/office/excel/2006/main">
          <x14:cfRule type="iconSet" priority="406" id="{A14B286C-92F7-4F9D-8E15-0AD5059E64D3}">
            <x14:iconSet custom="1">
              <x14:cfvo type="percent">
                <xm:f>0</xm:f>
              </x14:cfvo>
              <x14:cfvo type="num">
                <xm:f>0</xm:f>
              </x14:cfvo>
              <x14:cfvo type="num">
                <xm:f>1</xm:f>
              </x14:cfvo>
              <x14:cfIcon iconSet="NoIcons" iconId="0"/>
              <x14:cfIcon iconSet="3TrafficLights1" iconId="2"/>
              <x14:cfIcon iconSet="3TrafficLights1" iconId="0"/>
            </x14:iconSet>
          </x14:cfRule>
          <xm:sqref>B243</xm:sqref>
        </x14:conditionalFormatting>
        <x14:conditionalFormatting xmlns:xm="http://schemas.microsoft.com/office/excel/2006/main">
          <x14:cfRule type="iconSet" priority="403" id="{6BB54D07-3B3A-400F-9D45-29BE8D35601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C244</xm:sqref>
        </x14:conditionalFormatting>
        <x14:conditionalFormatting xmlns:xm="http://schemas.microsoft.com/office/excel/2006/main">
          <x14:cfRule type="iconSet" priority="404" id="{BD3662EC-85C9-404B-8EB5-E99748B54A8F}">
            <x14:iconSet custom="1">
              <x14:cfvo type="percent">
                <xm:f>0</xm:f>
              </x14:cfvo>
              <x14:cfvo type="num">
                <xm:f>0</xm:f>
              </x14:cfvo>
              <x14:cfvo type="num">
                <xm:f>1</xm:f>
              </x14:cfvo>
              <x14:cfIcon iconSet="NoIcons" iconId="0"/>
              <x14:cfIcon iconSet="3TrafficLights1" iconId="2"/>
              <x14:cfIcon iconSet="3TrafficLights1" iconId="0"/>
            </x14:iconSet>
          </x14:cfRule>
          <xm:sqref>B244</xm:sqref>
        </x14:conditionalFormatting>
        <x14:conditionalFormatting xmlns:xm="http://schemas.microsoft.com/office/excel/2006/main">
          <x14:cfRule type="iconSet" priority="401" id="{767FBFE7-FFBB-4674-9721-2F0B666C373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C245</xm:sqref>
        </x14:conditionalFormatting>
        <x14:conditionalFormatting xmlns:xm="http://schemas.microsoft.com/office/excel/2006/main">
          <x14:cfRule type="iconSet" priority="402" id="{30DCE4DB-0B05-46EA-9C4E-3B8014E3BBB1}">
            <x14:iconSet custom="1">
              <x14:cfvo type="percent">
                <xm:f>0</xm:f>
              </x14:cfvo>
              <x14:cfvo type="num">
                <xm:f>0</xm:f>
              </x14:cfvo>
              <x14:cfvo type="num">
                <xm:f>1</xm:f>
              </x14:cfvo>
              <x14:cfIcon iconSet="NoIcons" iconId="0"/>
              <x14:cfIcon iconSet="3TrafficLights1" iconId="2"/>
              <x14:cfIcon iconSet="3TrafficLights1" iconId="0"/>
            </x14:iconSet>
          </x14:cfRule>
          <xm:sqref>B245</xm:sqref>
        </x14:conditionalFormatting>
        <x14:conditionalFormatting xmlns:xm="http://schemas.microsoft.com/office/excel/2006/main">
          <x14:cfRule type="iconSet" priority="399" id="{C36D3FBC-222E-426C-892A-2030280B6D8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C246</xm:sqref>
        </x14:conditionalFormatting>
        <x14:conditionalFormatting xmlns:xm="http://schemas.microsoft.com/office/excel/2006/main">
          <x14:cfRule type="iconSet" priority="400" id="{767FAD44-5E49-4704-8E0F-84981D646B98}">
            <x14:iconSet custom="1">
              <x14:cfvo type="percent">
                <xm:f>0</xm:f>
              </x14:cfvo>
              <x14:cfvo type="num">
                <xm:f>0</xm:f>
              </x14:cfvo>
              <x14:cfvo type="num">
                <xm:f>1</xm:f>
              </x14:cfvo>
              <x14:cfIcon iconSet="NoIcons" iconId="0"/>
              <x14:cfIcon iconSet="3TrafficLights1" iconId="2"/>
              <x14:cfIcon iconSet="3TrafficLights1" iconId="0"/>
            </x14:iconSet>
          </x14:cfRule>
          <xm:sqref>B246</xm:sqref>
        </x14:conditionalFormatting>
        <x14:conditionalFormatting xmlns:xm="http://schemas.microsoft.com/office/excel/2006/main">
          <x14:cfRule type="iconSet" priority="397" id="{FAAA8CD2-0366-4361-916F-FFA0B673F037}">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C247</xm:sqref>
        </x14:conditionalFormatting>
        <x14:conditionalFormatting xmlns:xm="http://schemas.microsoft.com/office/excel/2006/main">
          <x14:cfRule type="iconSet" priority="398" id="{8E6DCC01-E43A-4855-8C9D-DC0620E3CF8D}">
            <x14:iconSet custom="1">
              <x14:cfvo type="percent">
                <xm:f>0</xm:f>
              </x14:cfvo>
              <x14:cfvo type="num">
                <xm:f>0</xm:f>
              </x14:cfvo>
              <x14:cfvo type="num">
                <xm:f>1</xm:f>
              </x14:cfvo>
              <x14:cfIcon iconSet="NoIcons" iconId="0"/>
              <x14:cfIcon iconSet="3TrafficLights1" iconId="2"/>
              <x14:cfIcon iconSet="3TrafficLights1" iconId="0"/>
            </x14:iconSet>
          </x14:cfRule>
          <xm:sqref>B247</xm:sqref>
        </x14:conditionalFormatting>
        <x14:conditionalFormatting xmlns:xm="http://schemas.microsoft.com/office/excel/2006/main">
          <x14:cfRule type="iconSet" priority="391" id="{1B1B2B20-7FF0-4127-B436-D9E80CDDAAF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C248</xm:sqref>
        </x14:conditionalFormatting>
        <x14:conditionalFormatting xmlns:xm="http://schemas.microsoft.com/office/excel/2006/main">
          <x14:cfRule type="iconSet" priority="392" id="{2B6A74F9-8E08-4C61-B677-B5BD9265C3E2}">
            <x14:iconSet custom="1">
              <x14:cfvo type="percent">
                <xm:f>0</xm:f>
              </x14:cfvo>
              <x14:cfvo type="num">
                <xm:f>0</xm:f>
              </x14:cfvo>
              <x14:cfvo type="num">
                <xm:f>1</xm:f>
              </x14:cfvo>
              <x14:cfIcon iconSet="NoIcons" iconId="0"/>
              <x14:cfIcon iconSet="3TrafficLights1" iconId="2"/>
              <x14:cfIcon iconSet="3TrafficLights1" iconId="0"/>
            </x14:iconSet>
          </x14:cfRule>
          <xm:sqref>B248</xm:sqref>
        </x14:conditionalFormatting>
        <x14:conditionalFormatting xmlns:xm="http://schemas.microsoft.com/office/excel/2006/main">
          <x14:cfRule type="iconSet" priority="389" id="{AC7F3B6B-EDEE-4652-AE7D-64632291190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C249</xm:sqref>
        </x14:conditionalFormatting>
        <x14:conditionalFormatting xmlns:xm="http://schemas.microsoft.com/office/excel/2006/main">
          <x14:cfRule type="iconSet" priority="390" id="{4863E8EC-4CFD-4537-912C-564EB523316F}">
            <x14:iconSet custom="1">
              <x14:cfvo type="percent">
                <xm:f>0</xm:f>
              </x14:cfvo>
              <x14:cfvo type="num">
                <xm:f>0</xm:f>
              </x14:cfvo>
              <x14:cfvo type="num">
                <xm:f>1</xm:f>
              </x14:cfvo>
              <x14:cfIcon iconSet="NoIcons" iconId="0"/>
              <x14:cfIcon iconSet="3TrafficLights1" iconId="2"/>
              <x14:cfIcon iconSet="3TrafficLights1" iconId="0"/>
            </x14:iconSet>
          </x14:cfRule>
          <xm:sqref>B249</xm:sqref>
        </x14:conditionalFormatting>
        <x14:conditionalFormatting xmlns:xm="http://schemas.microsoft.com/office/excel/2006/main">
          <x14:cfRule type="iconSet" priority="387" id="{EF3B09A0-27DE-4DCC-9565-596A1C5A728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C250</xm:sqref>
        </x14:conditionalFormatting>
        <x14:conditionalFormatting xmlns:xm="http://schemas.microsoft.com/office/excel/2006/main">
          <x14:cfRule type="iconSet" priority="388" id="{C9BFC031-0903-4453-BB1B-13765DD23E1B}">
            <x14:iconSet custom="1">
              <x14:cfvo type="percent">
                <xm:f>0</xm:f>
              </x14:cfvo>
              <x14:cfvo type="num">
                <xm:f>0</xm:f>
              </x14:cfvo>
              <x14:cfvo type="num">
                <xm:f>1</xm:f>
              </x14:cfvo>
              <x14:cfIcon iconSet="NoIcons" iconId="0"/>
              <x14:cfIcon iconSet="3TrafficLights1" iconId="2"/>
              <x14:cfIcon iconSet="3TrafficLights1" iconId="0"/>
            </x14:iconSet>
          </x14:cfRule>
          <xm:sqref>B250</xm:sqref>
        </x14:conditionalFormatting>
        <x14:conditionalFormatting xmlns:xm="http://schemas.microsoft.com/office/excel/2006/main">
          <x14:cfRule type="iconSet" priority="385" id="{0B5AE700-9109-4DA1-8BBD-FE0979D6F07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C251</xm:sqref>
        </x14:conditionalFormatting>
        <x14:conditionalFormatting xmlns:xm="http://schemas.microsoft.com/office/excel/2006/main">
          <x14:cfRule type="iconSet" priority="386" id="{BE70C3A1-2E7D-4BA7-8940-AA0078958DA3}">
            <x14:iconSet custom="1">
              <x14:cfvo type="percent">
                <xm:f>0</xm:f>
              </x14:cfvo>
              <x14:cfvo type="num">
                <xm:f>0</xm:f>
              </x14:cfvo>
              <x14:cfvo type="num">
                <xm:f>1</xm:f>
              </x14:cfvo>
              <x14:cfIcon iconSet="NoIcons" iconId="0"/>
              <x14:cfIcon iconSet="3TrafficLights1" iconId="2"/>
              <x14:cfIcon iconSet="3TrafficLights1" iconId="0"/>
            </x14:iconSet>
          </x14:cfRule>
          <xm:sqref>B251</xm:sqref>
        </x14:conditionalFormatting>
        <x14:conditionalFormatting xmlns:xm="http://schemas.microsoft.com/office/excel/2006/main">
          <x14:cfRule type="iconSet" priority="383" id="{004B95D8-AD89-42E3-A1B8-F805666729A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C252</xm:sqref>
        </x14:conditionalFormatting>
        <x14:conditionalFormatting xmlns:xm="http://schemas.microsoft.com/office/excel/2006/main">
          <x14:cfRule type="iconSet" priority="384" id="{F0D72206-E4A4-4DD9-886E-88E690B8937B}">
            <x14:iconSet custom="1">
              <x14:cfvo type="percent">
                <xm:f>0</xm:f>
              </x14:cfvo>
              <x14:cfvo type="num">
                <xm:f>0</xm:f>
              </x14:cfvo>
              <x14:cfvo type="num">
                <xm:f>1</xm:f>
              </x14:cfvo>
              <x14:cfIcon iconSet="NoIcons" iconId="0"/>
              <x14:cfIcon iconSet="3TrafficLights1" iconId="2"/>
              <x14:cfIcon iconSet="3TrafficLights1" iconId="0"/>
            </x14:iconSet>
          </x14:cfRule>
          <xm:sqref>B252</xm:sqref>
        </x14:conditionalFormatting>
        <x14:conditionalFormatting xmlns:xm="http://schemas.microsoft.com/office/excel/2006/main">
          <x14:cfRule type="iconSet" priority="381" id="{FA159B25-D474-4B05-B9D6-B52CF93C7F9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C253</xm:sqref>
        </x14:conditionalFormatting>
        <x14:conditionalFormatting xmlns:xm="http://schemas.microsoft.com/office/excel/2006/main">
          <x14:cfRule type="iconSet" priority="382" id="{EB9A2CEB-EC8F-41CE-B7D9-0841460EA1B3}">
            <x14:iconSet custom="1">
              <x14:cfvo type="percent">
                <xm:f>0</xm:f>
              </x14:cfvo>
              <x14:cfvo type="num">
                <xm:f>0</xm:f>
              </x14:cfvo>
              <x14:cfvo type="num">
                <xm:f>1</xm:f>
              </x14:cfvo>
              <x14:cfIcon iconSet="NoIcons" iconId="0"/>
              <x14:cfIcon iconSet="3TrafficLights1" iconId="2"/>
              <x14:cfIcon iconSet="3TrafficLights1" iconId="0"/>
            </x14:iconSet>
          </x14:cfRule>
          <xm:sqref>B253</xm:sqref>
        </x14:conditionalFormatting>
        <x14:conditionalFormatting xmlns:xm="http://schemas.microsoft.com/office/excel/2006/main">
          <x14:cfRule type="iconSet" priority="379" id="{ABF9B026-D0AC-41F7-9EDB-CE92E772CBA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C254</xm:sqref>
        </x14:conditionalFormatting>
        <x14:conditionalFormatting xmlns:xm="http://schemas.microsoft.com/office/excel/2006/main">
          <x14:cfRule type="iconSet" priority="380" id="{17730F50-EC70-433C-A904-D4BD4175A66C}">
            <x14:iconSet custom="1">
              <x14:cfvo type="percent">
                <xm:f>0</xm:f>
              </x14:cfvo>
              <x14:cfvo type="num">
                <xm:f>0</xm:f>
              </x14:cfvo>
              <x14:cfvo type="num">
                <xm:f>1</xm:f>
              </x14:cfvo>
              <x14:cfIcon iconSet="NoIcons" iconId="0"/>
              <x14:cfIcon iconSet="3TrafficLights1" iconId="2"/>
              <x14:cfIcon iconSet="3TrafficLights1" iconId="0"/>
            </x14:iconSet>
          </x14:cfRule>
          <xm:sqref>B254</xm:sqref>
        </x14:conditionalFormatting>
        <x14:conditionalFormatting xmlns:xm="http://schemas.microsoft.com/office/excel/2006/main">
          <x14:cfRule type="iconSet" priority="377" id="{54EFF0AE-2868-4307-9AE2-6558BC28939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C255</xm:sqref>
        </x14:conditionalFormatting>
        <x14:conditionalFormatting xmlns:xm="http://schemas.microsoft.com/office/excel/2006/main">
          <x14:cfRule type="iconSet" priority="378" id="{20DA498D-2E68-44B2-9EB4-77337658BCA9}">
            <x14:iconSet custom="1">
              <x14:cfvo type="percent">
                <xm:f>0</xm:f>
              </x14:cfvo>
              <x14:cfvo type="num">
                <xm:f>0</xm:f>
              </x14:cfvo>
              <x14:cfvo type="num">
                <xm:f>1</xm:f>
              </x14:cfvo>
              <x14:cfIcon iconSet="NoIcons" iconId="0"/>
              <x14:cfIcon iconSet="3TrafficLights1" iconId="2"/>
              <x14:cfIcon iconSet="3TrafficLights1" iconId="0"/>
            </x14:iconSet>
          </x14:cfRule>
          <xm:sqref>B255</xm:sqref>
        </x14:conditionalFormatting>
        <x14:conditionalFormatting xmlns:xm="http://schemas.microsoft.com/office/excel/2006/main">
          <x14:cfRule type="iconSet" priority="373" id="{49D7ECEF-2B49-4D6B-A028-57B070963AC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C256</xm:sqref>
        </x14:conditionalFormatting>
        <x14:conditionalFormatting xmlns:xm="http://schemas.microsoft.com/office/excel/2006/main">
          <x14:cfRule type="iconSet" priority="374" id="{DD7DC6C6-84ED-4BDD-862B-9FD83D038C39}">
            <x14:iconSet custom="1">
              <x14:cfvo type="percent">
                <xm:f>0</xm:f>
              </x14:cfvo>
              <x14:cfvo type="num">
                <xm:f>0</xm:f>
              </x14:cfvo>
              <x14:cfvo type="num">
                <xm:f>1</xm:f>
              </x14:cfvo>
              <x14:cfIcon iconSet="NoIcons" iconId="0"/>
              <x14:cfIcon iconSet="3TrafficLights1" iconId="2"/>
              <x14:cfIcon iconSet="3TrafficLights1" iconId="0"/>
            </x14:iconSet>
          </x14:cfRule>
          <xm:sqref>B256</xm:sqref>
        </x14:conditionalFormatting>
        <x14:conditionalFormatting xmlns:xm="http://schemas.microsoft.com/office/excel/2006/main">
          <x14:cfRule type="iconSet" priority="371" id="{5B27A446-B3CB-4F29-9B35-3162B2F4D77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C257</xm:sqref>
        </x14:conditionalFormatting>
        <x14:conditionalFormatting xmlns:xm="http://schemas.microsoft.com/office/excel/2006/main">
          <x14:cfRule type="iconSet" priority="372" id="{1336D226-5F35-4482-BD8C-65B53EF81EEB}">
            <x14:iconSet custom="1">
              <x14:cfvo type="percent">
                <xm:f>0</xm:f>
              </x14:cfvo>
              <x14:cfvo type="num">
                <xm:f>0</xm:f>
              </x14:cfvo>
              <x14:cfvo type="num">
                <xm:f>1</xm:f>
              </x14:cfvo>
              <x14:cfIcon iconSet="NoIcons" iconId="0"/>
              <x14:cfIcon iconSet="3TrafficLights1" iconId="2"/>
              <x14:cfIcon iconSet="3TrafficLights1" iconId="0"/>
            </x14:iconSet>
          </x14:cfRule>
          <xm:sqref>B257</xm:sqref>
        </x14:conditionalFormatting>
        <x14:conditionalFormatting xmlns:xm="http://schemas.microsoft.com/office/excel/2006/main">
          <x14:cfRule type="iconSet" priority="369" id="{B8A27759-B830-4451-A27D-652C67D7411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C258</xm:sqref>
        </x14:conditionalFormatting>
        <x14:conditionalFormatting xmlns:xm="http://schemas.microsoft.com/office/excel/2006/main">
          <x14:cfRule type="iconSet" priority="370" id="{CDFADFD0-95A1-46A0-AFE9-5B2EF79717F8}">
            <x14:iconSet custom="1">
              <x14:cfvo type="percent">
                <xm:f>0</xm:f>
              </x14:cfvo>
              <x14:cfvo type="num">
                <xm:f>0</xm:f>
              </x14:cfvo>
              <x14:cfvo type="num">
                <xm:f>1</xm:f>
              </x14:cfvo>
              <x14:cfIcon iconSet="NoIcons" iconId="0"/>
              <x14:cfIcon iconSet="3TrafficLights1" iconId="2"/>
              <x14:cfIcon iconSet="3TrafficLights1" iconId="0"/>
            </x14:iconSet>
          </x14:cfRule>
          <xm:sqref>B258</xm:sqref>
        </x14:conditionalFormatting>
        <x14:conditionalFormatting xmlns:xm="http://schemas.microsoft.com/office/excel/2006/main">
          <x14:cfRule type="iconSet" priority="367" id="{8F4825A8-7A16-49CB-A2F2-BB061468246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C259</xm:sqref>
        </x14:conditionalFormatting>
        <x14:conditionalFormatting xmlns:xm="http://schemas.microsoft.com/office/excel/2006/main">
          <x14:cfRule type="iconSet" priority="368" id="{D12198DB-C6EF-4699-B458-FDD8DA56B90A}">
            <x14:iconSet custom="1">
              <x14:cfvo type="percent">
                <xm:f>0</xm:f>
              </x14:cfvo>
              <x14:cfvo type="num">
                <xm:f>0</xm:f>
              </x14:cfvo>
              <x14:cfvo type="num">
                <xm:f>1</xm:f>
              </x14:cfvo>
              <x14:cfIcon iconSet="NoIcons" iconId="0"/>
              <x14:cfIcon iconSet="3TrafficLights1" iconId="2"/>
              <x14:cfIcon iconSet="3TrafficLights1" iconId="0"/>
            </x14:iconSet>
          </x14:cfRule>
          <xm:sqref>B259</xm:sqref>
        </x14:conditionalFormatting>
        <x14:conditionalFormatting xmlns:xm="http://schemas.microsoft.com/office/excel/2006/main">
          <x14:cfRule type="iconSet" priority="363" id="{1A689863-E0B7-421F-A931-347A49F69DBA}">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C260</xm:sqref>
        </x14:conditionalFormatting>
        <x14:conditionalFormatting xmlns:xm="http://schemas.microsoft.com/office/excel/2006/main">
          <x14:cfRule type="iconSet" priority="364" id="{0B5CF97B-E172-4DDC-88AD-0D71F5247B7B}">
            <x14:iconSet custom="1">
              <x14:cfvo type="percent">
                <xm:f>0</xm:f>
              </x14:cfvo>
              <x14:cfvo type="num">
                <xm:f>0</xm:f>
              </x14:cfvo>
              <x14:cfvo type="num">
                <xm:f>1</xm:f>
              </x14:cfvo>
              <x14:cfIcon iconSet="NoIcons" iconId="0"/>
              <x14:cfIcon iconSet="3TrafficLights1" iconId="2"/>
              <x14:cfIcon iconSet="3TrafficLights1" iconId="0"/>
            </x14:iconSet>
          </x14:cfRule>
          <xm:sqref>B260</xm:sqref>
        </x14:conditionalFormatting>
        <x14:conditionalFormatting xmlns:xm="http://schemas.microsoft.com/office/excel/2006/main">
          <x14:cfRule type="iconSet" priority="361" id="{69DB392D-30D0-490B-8226-43F0293DCC7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C261</xm:sqref>
        </x14:conditionalFormatting>
        <x14:conditionalFormatting xmlns:xm="http://schemas.microsoft.com/office/excel/2006/main">
          <x14:cfRule type="iconSet" priority="362" id="{A459A317-F54F-4EF6-92AD-3D835033DF10}">
            <x14:iconSet custom="1">
              <x14:cfvo type="percent">
                <xm:f>0</xm:f>
              </x14:cfvo>
              <x14:cfvo type="num">
                <xm:f>0</xm:f>
              </x14:cfvo>
              <x14:cfvo type="num">
                <xm:f>1</xm:f>
              </x14:cfvo>
              <x14:cfIcon iconSet="NoIcons" iconId="0"/>
              <x14:cfIcon iconSet="3TrafficLights1" iconId="2"/>
              <x14:cfIcon iconSet="3TrafficLights1" iconId="0"/>
            </x14:iconSet>
          </x14:cfRule>
          <xm:sqref>B261</xm:sqref>
        </x14:conditionalFormatting>
        <x14:conditionalFormatting xmlns:xm="http://schemas.microsoft.com/office/excel/2006/main">
          <x14:cfRule type="iconSet" priority="359" id="{E4667124-5011-4009-B573-3FA082B77F4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C262</xm:sqref>
        </x14:conditionalFormatting>
        <x14:conditionalFormatting xmlns:xm="http://schemas.microsoft.com/office/excel/2006/main">
          <x14:cfRule type="iconSet" priority="360" id="{1102CD9A-57BA-41A3-BE7E-6B60F764EEC5}">
            <x14:iconSet custom="1">
              <x14:cfvo type="percent">
                <xm:f>0</xm:f>
              </x14:cfvo>
              <x14:cfvo type="num">
                <xm:f>0</xm:f>
              </x14:cfvo>
              <x14:cfvo type="num">
                <xm:f>1</xm:f>
              </x14:cfvo>
              <x14:cfIcon iconSet="NoIcons" iconId="0"/>
              <x14:cfIcon iconSet="3TrafficLights1" iconId="2"/>
              <x14:cfIcon iconSet="3TrafficLights1" iconId="0"/>
            </x14:iconSet>
          </x14:cfRule>
          <xm:sqref>B262</xm:sqref>
        </x14:conditionalFormatting>
        <x14:conditionalFormatting xmlns:xm="http://schemas.microsoft.com/office/excel/2006/main">
          <x14:cfRule type="iconSet" priority="357" id="{8261F664-BAC7-456A-8F20-5A87FF02137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C263</xm:sqref>
        </x14:conditionalFormatting>
        <x14:conditionalFormatting xmlns:xm="http://schemas.microsoft.com/office/excel/2006/main">
          <x14:cfRule type="iconSet" priority="358" id="{B3E98186-3843-4AF2-800A-C107B224F5A6}">
            <x14:iconSet custom="1">
              <x14:cfvo type="percent">
                <xm:f>0</xm:f>
              </x14:cfvo>
              <x14:cfvo type="num">
                <xm:f>0</xm:f>
              </x14:cfvo>
              <x14:cfvo type="num">
                <xm:f>1</xm:f>
              </x14:cfvo>
              <x14:cfIcon iconSet="NoIcons" iconId="0"/>
              <x14:cfIcon iconSet="3TrafficLights1" iconId="2"/>
              <x14:cfIcon iconSet="3TrafficLights1" iconId="0"/>
            </x14:iconSet>
          </x14:cfRule>
          <xm:sqref>B263</xm:sqref>
        </x14:conditionalFormatting>
        <x14:conditionalFormatting xmlns:xm="http://schemas.microsoft.com/office/excel/2006/main">
          <x14:cfRule type="iconSet" priority="355" id="{42279F7C-B914-4E07-9A89-010E6A52B39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C264</xm:sqref>
        </x14:conditionalFormatting>
        <x14:conditionalFormatting xmlns:xm="http://schemas.microsoft.com/office/excel/2006/main">
          <x14:cfRule type="iconSet" priority="356" id="{7497D1A6-9587-4DC5-85BC-FFCE6301E34B}">
            <x14:iconSet custom="1">
              <x14:cfvo type="percent">
                <xm:f>0</xm:f>
              </x14:cfvo>
              <x14:cfvo type="num">
                <xm:f>0</xm:f>
              </x14:cfvo>
              <x14:cfvo type="num">
                <xm:f>1</xm:f>
              </x14:cfvo>
              <x14:cfIcon iconSet="NoIcons" iconId="0"/>
              <x14:cfIcon iconSet="3TrafficLights1" iconId="2"/>
              <x14:cfIcon iconSet="3TrafficLights1" iconId="0"/>
            </x14:iconSet>
          </x14:cfRule>
          <xm:sqref>B264</xm:sqref>
        </x14:conditionalFormatting>
        <x14:conditionalFormatting xmlns:xm="http://schemas.microsoft.com/office/excel/2006/main">
          <x14:cfRule type="iconSet" priority="353" id="{5177B796-7632-4463-9FFD-5617A5E057C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C265</xm:sqref>
        </x14:conditionalFormatting>
        <x14:conditionalFormatting xmlns:xm="http://schemas.microsoft.com/office/excel/2006/main">
          <x14:cfRule type="iconSet" priority="354" id="{3E1EF29D-D1F0-4467-B094-1F8CF98E0188}">
            <x14:iconSet custom="1">
              <x14:cfvo type="percent">
                <xm:f>0</xm:f>
              </x14:cfvo>
              <x14:cfvo type="num">
                <xm:f>0</xm:f>
              </x14:cfvo>
              <x14:cfvo type="num">
                <xm:f>1</xm:f>
              </x14:cfvo>
              <x14:cfIcon iconSet="NoIcons" iconId="0"/>
              <x14:cfIcon iconSet="3TrafficLights1" iconId="2"/>
              <x14:cfIcon iconSet="3TrafficLights1" iconId="0"/>
            </x14:iconSet>
          </x14:cfRule>
          <xm:sqref>B265</xm:sqref>
        </x14:conditionalFormatting>
        <x14:conditionalFormatting xmlns:xm="http://schemas.microsoft.com/office/excel/2006/main">
          <x14:cfRule type="iconSet" priority="351" id="{A3B9FE02-4B8D-4641-BFB5-C7512A15628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C266</xm:sqref>
        </x14:conditionalFormatting>
        <x14:conditionalFormatting xmlns:xm="http://schemas.microsoft.com/office/excel/2006/main">
          <x14:cfRule type="iconSet" priority="352" id="{4517A385-EE66-421E-BC23-4620A9F732C6}">
            <x14:iconSet custom="1">
              <x14:cfvo type="percent">
                <xm:f>0</xm:f>
              </x14:cfvo>
              <x14:cfvo type="num">
                <xm:f>0</xm:f>
              </x14:cfvo>
              <x14:cfvo type="num">
                <xm:f>1</xm:f>
              </x14:cfvo>
              <x14:cfIcon iconSet="NoIcons" iconId="0"/>
              <x14:cfIcon iconSet="3TrafficLights1" iconId="2"/>
              <x14:cfIcon iconSet="3TrafficLights1" iconId="0"/>
            </x14:iconSet>
          </x14:cfRule>
          <xm:sqref>B266</xm:sqref>
        </x14:conditionalFormatting>
        <x14:conditionalFormatting xmlns:xm="http://schemas.microsoft.com/office/excel/2006/main">
          <x14:cfRule type="iconSet" priority="349" id="{C8626188-6B71-4563-9CA0-4FF4A1418FF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C267</xm:sqref>
        </x14:conditionalFormatting>
        <x14:conditionalFormatting xmlns:xm="http://schemas.microsoft.com/office/excel/2006/main">
          <x14:cfRule type="iconSet" priority="350" id="{6BB3C9C9-B06D-40C7-B743-4FF98F852928}">
            <x14:iconSet custom="1">
              <x14:cfvo type="percent">
                <xm:f>0</xm:f>
              </x14:cfvo>
              <x14:cfvo type="num">
                <xm:f>0</xm:f>
              </x14:cfvo>
              <x14:cfvo type="num">
                <xm:f>1</xm:f>
              </x14:cfvo>
              <x14:cfIcon iconSet="NoIcons" iconId="0"/>
              <x14:cfIcon iconSet="3TrafficLights1" iconId="2"/>
              <x14:cfIcon iconSet="3TrafficLights1" iconId="0"/>
            </x14:iconSet>
          </x14:cfRule>
          <xm:sqref>B267</xm:sqref>
        </x14:conditionalFormatting>
        <x14:conditionalFormatting xmlns:xm="http://schemas.microsoft.com/office/excel/2006/main">
          <x14:cfRule type="iconSet" priority="347" id="{6F4413F2-67E4-4DEC-91D5-C2E668EEA1F8}">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C268</xm:sqref>
        </x14:conditionalFormatting>
        <x14:conditionalFormatting xmlns:xm="http://schemas.microsoft.com/office/excel/2006/main">
          <x14:cfRule type="iconSet" priority="348" id="{F862E52B-E0C2-4C47-BE35-597166A7DAC7}">
            <x14:iconSet custom="1">
              <x14:cfvo type="percent">
                <xm:f>0</xm:f>
              </x14:cfvo>
              <x14:cfvo type="num">
                <xm:f>0</xm:f>
              </x14:cfvo>
              <x14:cfvo type="num">
                <xm:f>1</xm:f>
              </x14:cfvo>
              <x14:cfIcon iconSet="NoIcons" iconId="0"/>
              <x14:cfIcon iconSet="3TrafficLights1" iconId="2"/>
              <x14:cfIcon iconSet="3TrafficLights1" iconId="0"/>
            </x14:iconSet>
          </x14:cfRule>
          <xm:sqref>B268</xm:sqref>
        </x14:conditionalFormatting>
        <x14:conditionalFormatting xmlns:xm="http://schemas.microsoft.com/office/excel/2006/main">
          <x14:cfRule type="iconSet" priority="343" id="{A0AA755C-FA48-4097-90F0-EFE440B9CEC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C269</xm:sqref>
        </x14:conditionalFormatting>
        <x14:conditionalFormatting xmlns:xm="http://schemas.microsoft.com/office/excel/2006/main">
          <x14:cfRule type="iconSet" priority="344" id="{C75708F5-2397-4DEF-9017-220D21B7C234}">
            <x14:iconSet custom="1">
              <x14:cfvo type="percent">
                <xm:f>0</xm:f>
              </x14:cfvo>
              <x14:cfvo type="num">
                <xm:f>0</xm:f>
              </x14:cfvo>
              <x14:cfvo type="num">
                <xm:f>1</xm:f>
              </x14:cfvo>
              <x14:cfIcon iconSet="NoIcons" iconId="0"/>
              <x14:cfIcon iconSet="3TrafficLights1" iconId="2"/>
              <x14:cfIcon iconSet="3TrafficLights1" iconId="0"/>
            </x14:iconSet>
          </x14:cfRule>
          <xm:sqref>B269</xm:sqref>
        </x14:conditionalFormatting>
        <x14:conditionalFormatting xmlns:xm="http://schemas.microsoft.com/office/excel/2006/main">
          <x14:cfRule type="iconSet" priority="341" id="{B11BE8B2-F248-4E15-9843-C314107296D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C270</xm:sqref>
        </x14:conditionalFormatting>
        <x14:conditionalFormatting xmlns:xm="http://schemas.microsoft.com/office/excel/2006/main">
          <x14:cfRule type="iconSet" priority="342" id="{AAFDA2B3-8141-458B-AADA-7415E4804401}">
            <x14:iconSet custom="1">
              <x14:cfvo type="percent">
                <xm:f>0</xm:f>
              </x14:cfvo>
              <x14:cfvo type="num">
                <xm:f>0</xm:f>
              </x14:cfvo>
              <x14:cfvo type="num">
                <xm:f>1</xm:f>
              </x14:cfvo>
              <x14:cfIcon iconSet="NoIcons" iconId="0"/>
              <x14:cfIcon iconSet="3TrafficLights1" iconId="2"/>
              <x14:cfIcon iconSet="3TrafficLights1" iconId="0"/>
            </x14:iconSet>
          </x14:cfRule>
          <xm:sqref>B270</xm:sqref>
        </x14:conditionalFormatting>
        <x14:conditionalFormatting xmlns:xm="http://schemas.microsoft.com/office/excel/2006/main">
          <x14:cfRule type="iconSet" priority="339" id="{C840C0DD-A051-4C18-BB69-154D27E5C90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C271</xm:sqref>
        </x14:conditionalFormatting>
        <x14:conditionalFormatting xmlns:xm="http://schemas.microsoft.com/office/excel/2006/main">
          <x14:cfRule type="iconSet" priority="340" id="{DE40E1B0-85A8-46EA-9751-B7E45018230B}">
            <x14:iconSet custom="1">
              <x14:cfvo type="percent">
                <xm:f>0</xm:f>
              </x14:cfvo>
              <x14:cfvo type="num">
                <xm:f>0</xm:f>
              </x14:cfvo>
              <x14:cfvo type="num">
                <xm:f>1</xm:f>
              </x14:cfvo>
              <x14:cfIcon iconSet="NoIcons" iconId="0"/>
              <x14:cfIcon iconSet="3TrafficLights1" iconId="2"/>
              <x14:cfIcon iconSet="3TrafficLights1" iconId="0"/>
            </x14:iconSet>
          </x14:cfRule>
          <xm:sqref>B271</xm:sqref>
        </x14:conditionalFormatting>
        <x14:conditionalFormatting xmlns:xm="http://schemas.microsoft.com/office/excel/2006/main">
          <x14:cfRule type="iconSet" priority="337" id="{20A627B4-E83F-4D08-B992-DB8DC0AD8A8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C272</xm:sqref>
        </x14:conditionalFormatting>
        <x14:conditionalFormatting xmlns:xm="http://schemas.microsoft.com/office/excel/2006/main">
          <x14:cfRule type="iconSet" priority="338" id="{E065FAB0-5F40-48C3-9C66-DA7AB39EBA3E}">
            <x14:iconSet custom="1">
              <x14:cfvo type="percent">
                <xm:f>0</xm:f>
              </x14:cfvo>
              <x14:cfvo type="num">
                <xm:f>0</xm:f>
              </x14:cfvo>
              <x14:cfvo type="num">
                <xm:f>1</xm:f>
              </x14:cfvo>
              <x14:cfIcon iconSet="NoIcons" iconId="0"/>
              <x14:cfIcon iconSet="3TrafficLights1" iconId="2"/>
              <x14:cfIcon iconSet="3TrafficLights1" iconId="0"/>
            </x14:iconSet>
          </x14:cfRule>
          <xm:sqref>B272</xm:sqref>
        </x14:conditionalFormatting>
        <x14:conditionalFormatting xmlns:xm="http://schemas.microsoft.com/office/excel/2006/main">
          <x14:cfRule type="iconSet" priority="333" id="{3BED0752-0046-479F-96FE-ECA137D0493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C273</xm:sqref>
        </x14:conditionalFormatting>
        <x14:conditionalFormatting xmlns:xm="http://schemas.microsoft.com/office/excel/2006/main">
          <x14:cfRule type="iconSet" priority="334" id="{91790363-23AB-4620-A790-3509D5D913E4}">
            <x14:iconSet custom="1">
              <x14:cfvo type="percent">
                <xm:f>0</xm:f>
              </x14:cfvo>
              <x14:cfvo type="num">
                <xm:f>0</xm:f>
              </x14:cfvo>
              <x14:cfvo type="num">
                <xm:f>1</xm:f>
              </x14:cfvo>
              <x14:cfIcon iconSet="NoIcons" iconId="0"/>
              <x14:cfIcon iconSet="3TrafficLights1" iconId="2"/>
              <x14:cfIcon iconSet="3TrafficLights1" iconId="0"/>
            </x14:iconSet>
          </x14:cfRule>
          <xm:sqref>B273</xm:sqref>
        </x14:conditionalFormatting>
        <x14:conditionalFormatting xmlns:xm="http://schemas.microsoft.com/office/excel/2006/main">
          <x14:cfRule type="iconSet" priority="331" id="{D6EFB3C7-AA19-497E-BB92-422184A2391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C274</xm:sqref>
        </x14:conditionalFormatting>
        <x14:conditionalFormatting xmlns:xm="http://schemas.microsoft.com/office/excel/2006/main">
          <x14:cfRule type="iconSet" priority="332" id="{774EF903-C6D4-463D-8F5F-0759B506A9F2}">
            <x14:iconSet custom="1">
              <x14:cfvo type="percent">
                <xm:f>0</xm:f>
              </x14:cfvo>
              <x14:cfvo type="num">
                <xm:f>0</xm:f>
              </x14:cfvo>
              <x14:cfvo type="num">
                <xm:f>1</xm:f>
              </x14:cfvo>
              <x14:cfIcon iconSet="NoIcons" iconId="0"/>
              <x14:cfIcon iconSet="3TrafficLights1" iconId="2"/>
              <x14:cfIcon iconSet="3TrafficLights1" iconId="0"/>
            </x14:iconSet>
          </x14:cfRule>
          <xm:sqref>B274</xm:sqref>
        </x14:conditionalFormatting>
        <x14:conditionalFormatting xmlns:xm="http://schemas.microsoft.com/office/excel/2006/main">
          <x14:cfRule type="iconSet" priority="327" id="{41EFA180-D203-452B-885F-5901B1D34A7A}">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C275</xm:sqref>
        </x14:conditionalFormatting>
        <x14:conditionalFormatting xmlns:xm="http://schemas.microsoft.com/office/excel/2006/main">
          <x14:cfRule type="iconSet" priority="328" id="{3B100CB2-A70C-46AB-AB17-E7996AFB8E3D}">
            <x14:iconSet custom="1">
              <x14:cfvo type="percent">
                <xm:f>0</xm:f>
              </x14:cfvo>
              <x14:cfvo type="num">
                <xm:f>0</xm:f>
              </x14:cfvo>
              <x14:cfvo type="num">
                <xm:f>1</xm:f>
              </x14:cfvo>
              <x14:cfIcon iconSet="NoIcons" iconId="0"/>
              <x14:cfIcon iconSet="3TrafficLights1" iconId="2"/>
              <x14:cfIcon iconSet="3TrafficLights1" iconId="0"/>
            </x14:iconSet>
          </x14:cfRule>
          <xm:sqref>B275</xm:sqref>
        </x14:conditionalFormatting>
        <x14:conditionalFormatting xmlns:xm="http://schemas.microsoft.com/office/excel/2006/main">
          <x14:cfRule type="iconSet" priority="305" id="{086C858F-AC40-4970-AA2E-AAF7068508C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C276</xm:sqref>
        </x14:conditionalFormatting>
        <x14:conditionalFormatting xmlns:xm="http://schemas.microsoft.com/office/excel/2006/main">
          <x14:cfRule type="iconSet" priority="306" id="{A5B5603C-999E-41B7-9643-F8DBA1400575}">
            <x14:iconSet custom="1">
              <x14:cfvo type="percent">
                <xm:f>0</xm:f>
              </x14:cfvo>
              <x14:cfvo type="num">
                <xm:f>0</xm:f>
              </x14:cfvo>
              <x14:cfvo type="num">
                <xm:f>1</xm:f>
              </x14:cfvo>
              <x14:cfIcon iconSet="NoIcons" iconId="0"/>
              <x14:cfIcon iconSet="3TrafficLights1" iconId="2"/>
              <x14:cfIcon iconSet="3TrafficLights1" iconId="0"/>
            </x14:iconSet>
          </x14:cfRule>
          <xm:sqref>B276</xm:sqref>
        </x14:conditionalFormatting>
        <x14:conditionalFormatting xmlns:xm="http://schemas.microsoft.com/office/excel/2006/main">
          <x14:cfRule type="iconSet" priority="295" id="{17042A4A-2DCE-4AC4-ADFE-5100B65D249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C277</xm:sqref>
        </x14:conditionalFormatting>
        <x14:conditionalFormatting xmlns:xm="http://schemas.microsoft.com/office/excel/2006/main">
          <x14:cfRule type="iconSet" priority="296" id="{4FDDF086-96AC-4694-A39B-ACCF675DC32A}">
            <x14:iconSet custom="1">
              <x14:cfvo type="percent">
                <xm:f>0</xm:f>
              </x14:cfvo>
              <x14:cfvo type="num">
                <xm:f>0</xm:f>
              </x14:cfvo>
              <x14:cfvo type="num">
                <xm:f>1</xm:f>
              </x14:cfvo>
              <x14:cfIcon iconSet="NoIcons" iconId="0"/>
              <x14:cfIcon iconSet="3TrafficLights1" iconId="2"/>
              <x14:cfIcon iconSet="3TrafficLights1" iconId="0"/>
            </x14:iconSet>
          </x14:cfRule>
          <xm:sqref>B277</xm:sqref>
        </x14:conditionalFormatting>
        <x14:conditionalFormatting xmlns:xm="http://schemas.microsoft.com/office/excel/2006/main">
          <x14:cfRule type="iconSet" priority="289" id="{07296258-1B72-4D4E-9EE9-BB260725DCE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C278</xm:sqref>
        </x14:conditionalFormatting>
        <x14:conditionalFormatting xmlns:xm="http://schemas.microsoft.com/office/excel/2006/main">
          <x14:cfRule type="iconSet" priority="290" id="{8E10DBF2-5FCC-44BA-8629-BEFCF70E7F05}">
            <x14:iconSet custom="1">
              <x14:cfvo type="percent">
                <xm:f>0</xm:f>
              </x14:cfvo>
              <x14:cfvo type="num">
                <xm:f>0</xm:f>
              </x14:cfvo>
              <x14:cfvo type="num">
                <xm:f>1</xm:f>
              </x14:cfvo>
              <x14:cfIcon iconSet="NoIcons" iconId="0"/>
              <x14:cfIcon iconSet="3TrafficLights1" iconId="2"/>
              <x14:cfIcon iconSet="3TrafficLights1" iconId="0"/>
            </x14:iconSet>
          </x14:cfRule>
          <xm:sqref>B278</xm:sqref>
        </x14:conditionalFormatting>
        <x14:conditionalFormatting xmlns:xm="http://schemas.microsoft.com/office/excel/2006/main">
          <x14:cfRule type="iconSet" priority="283" id="{03F810B3-1442-4702-995B-F19491BB496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C279</xm:sqref>
        </x14:conditionalFormatting>
        <x14:conditionalFormatting xmlns:xm="http://schemas.microsoft.com/office/excel/2006/main">
          <x14:cfRule type="iconSet" priority="284" id="{DD35BA1F-561C-4E60-9B19-363362C18113}">
            <x14:iconSet custom="1">
              <x14:cfvo type="percent">
                <xm:f>0</xm:f>
              </x14:cfvo>
              <x14:cfvo type="num">
                <xm:f>0</xm:f>
              </x14:cfvo>
              <x14:cfvo type="num">
                <xm:f>1</xm:f>
              </x14:cfvo>
              <x14:cfIcon iconSet="NoIcons" iconId="0"/>
              <x14:cfIcon iconSet="3TrafficLights1" iconId="2"/>
              <x14:cfIcon iconSet="3TrafficLights1" iconId="0"/>
            </x14:iconSet>
          </x14:cfRule>
          <xm:sqref>B279</xm:sqref>
        </x14:conditionalFormatting>
        <x14:conditionalFormatting xmlns:xm="http://schemas.microsoft.com/office/excel/2006/main">
          <x14:cfRule type="iconSet" priority="281" id="{019F8EB8-AC53-4330-9B63-8738F5BF76A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C280</xm:sqref>
        </x14:conditionalFormatting>
        <x14:conditionalFormatting xmlns:xm="http://schemas.microsoft.com/office/excel/2006/main">
          <x14:cfRule type="iconSet" priority="282" id="{83107BCF-4D74-441E-8195-AC0744D345A7}">
            <x14:iconSet custom="1">
              <x14:cfvo type="percent">
                <xm:f>0</xm:f>
              </x14:cfvo>
              <x14:cfvo type="num">
                <xm:f>0</xm:f>
              </x14:cfvo>
              <x14:cfvo type="num">
                <xm:f>1</xm:f>
              </x14:cfvo>
              <x14:cfIcon iconSet="NoIcons" iconId="0"/>
              <x14:cfIcon iconSet="3TrafficLights1" iconId="2"/>
              <x14:cfIcon iconSet="3TrafficLights1" iconId="0"/>
            </x14:iconSet>
          </x14:cfRule>
          <xm:sqref>B280</xm:sqref>
        </x14:conditionalFormatting>
        <x14:conditionalFormatting xmlns:xm="http://schemas.microsoft.com/office/excel/2006/main">
          <x14:cfRule type="iconSet" priority="277" id="{51014BB3-D23C-4D59-979E-22FA484F7FCA}">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C281</xm:sqref>
        </x14:conditionalFormatting>
        <x14:conditionalFormatting xmlns:xm="http://schemas.microsoft.com/office/excel/2006/main">
          <x14:cfRule type="iconSet" priority="278" id="{B85BAC65-8F1C-4A60-A156-E88E40A94CD1}">
            <x14:iconSet custom="1">
              <x14:cfvo type="percent">
                <xm:f>0</xm:f>
              </x14:cfvo>
              <x14:cfvo type="num">
                <xm:f>0</xm:f>
              </x14:cfvo>
              <x14:cfvo type="num">
                <xm:f>1</xm:f>
              </x14:cfvo>
              <x14:cfIcon iconSet="NoIcons" iconId="0"/>
              <x14:cfIcon iconSet="3TrafficLights1" iconId="2"/>
              <x14:cfIcon iconSet="3TrafficLights1" iconId="0"/>
            </x14:iconSet>
          </x14:cfRule>
          <xm:sqref>B281</xm:sqref>
        </x14:conditionalFormatting>
        <x14:conditionalFormatting xmlns:xm="http://schemas.microsoft.com/office/excel/2006/main">
          <x14:cfRule type="iconSet" priority="269" id="{21D11AEB-C401-47AA-A9A1-8C28BF4805E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C282</xm:sqref>
        </x14:conditionalFormatting>
        <x14:conditionalFormatting xmlns:xm="http://schemas.microsoft.com/office/excel/2006/main">
          <x14:cfRule type="iconSet" priority="270" id="{06F84AD7-C4FC-4779-A3E8-51F3907064B3}">
            <x14:iconSet custom="1">
              <x14:cfvo type="percent">
                <xm:f>0</xm:f>
              </x14:cfvo>
              <x14:cfvo type="num">
                <xm:f>0</xm:f>
              </x14:cfvo>
              <x14:cfvo type="num">
                <xm:f>1</xm:f>
              </x14:cfvo>
              <x14:cfIcon iconSet="NoIcons" iconId="0"/>
              <x14:cfIcon iconSet="3TrafficLights1" iconId="2"/>
              <x14:cfIcon iconSet="3TrafficLights1" iconId="0"/>
            </x14:iconSet>
          </x14:cfRule>
          <xm:sqref>B282</xm:sqref>
        </x14:conditionalFormatting>
        <x14:conditionalFormatting xmlns:xm="http://schemas.microsoft.com/office/excel/2006/main">
          <x14:cfRule type="iconSet" priority="263" id="{CE1D2E88-D39D-4A70-9FA0-A99692AB6E0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C283</xm:sqref>
        </x14:conditionalFormatting>
        <x14:conditionalFormatting xmlns:xm="http://schemas.microsoft.com/office/excel/2006/main">
          <x14:cfRule type="iconSet" priority="264" id="{2E5EB7A0-2D7E-44FA-8401-C9577A663BAB}">
            <x14:iconSet custom="1">
              <x14:cfvo type="percent">
                <xm:f>0</xm:f>
              </x14:cfvo>
              <x14:cfvo type="num">
                <xm:f>0</xm:f>
              </x14:cfvo>
              <x14:cfvo type="num">
                <xm:f>1</xm:f>
              </x14:cfvo>
              <x14:cfIcon iconSet="NoIcons" iconId="0"/>
              <x14:cfIcon iconSet="3TrafficLights1" iconId="2"/>
              <x14:cfIcon iconSet="3TrafficLights1" iconId="0"/>
            </x14:iconSet>
          </x14:cfRule>
          <xm:sqref>B283</xm:sqref>
        </x14:conditionalFormatting>
        <x14:conditionalFormatting xmlns:xm="http://schemas.microsoft.com/office/excel/2006/main">
          <x14:cfRule type="iconSet" priority="261" id="{78751EE0-8E72-4467-9217-178EDAC0E22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C284</xm:sqref>
        </x14:conditionalFormatting>
        <x14:conditionalFormatting xmlns:xm="http://schemas.microsoft.com/office/excel/2006/main">
          <x14:cfRule type="iconSet" priority="262" id="{6121A448-5214-449E-B50D-4D4974FF8EA5}">
            <x14:iconSet custom="1">
              <x14:cfvo type="percent">
                <xm:f>0</xm:f>
              </x14:cfvo>
              <x14:cfvo type="num">
                <xm:f>0</xm:f>
              </x14:cfvo>
              <x14:cfvo type="num">
                <xm:f>1</xm:f>
              </x14:cfvo>
              <x14:cfIcon iconSet="NoIcons" iconId="0"/>
              <x14:cfIcon iconSet="3TrafficLights1" iconId="2"/>
              <x14:cfIcon iconSet="3TrafficLights1" iconId="0"/>
            </x14:iconSet>
          </x14:cfRule>
          <xm:sqref>B284</xm:sqref>
        </x14:conditionalFormatting>
        <x14:conditionalFormatting xmlns:xm="http://schemas.microsoft.com/office/excel/2006/main">
          <x14:cfRule type="iconSet" priority="259" id="{FDEBBDD3-2FF1-4601-A97E-6E32354D99FA}">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C285</xm:sqref>
        </x14:conditionalFormatting>
        <x14:conditionalFormatting xmlns:xm="http://schemas.microsoft.com/office/excel/2006/main">
          <x14:cfRule type="iconSet" priority="260" id="{471A3D6D-1FBF-4ABE-96E0-1137C60E853A}">
            <x14:iconSet custom="1">
              <x14:cfvo type="percent">
                <xm:f>0</xm:f>
              </x14:cfvo>
              <x14:cfvo type="num">
                <xm:f>0</xm:f>
              </x14:cfvo>
              <x14:cfvo type="num">
                <xm:f>1</xm:f>
              </x14:cfvo>
              <x14:cfIcon iconSet="NoIcons" iconId="0"/>
              <x14:cfIcon iconSet="3TrafficLights1" iconId="2"/>
              <x14:cfIcon iconSet="3TrafficLights1" iconId="0"/>
            </x14:iconSet>
          </x14:cfRule>
          <xm:sqref>B285</xm:sqref>
        </x14:conditionalFormatting>
        <x14:conditionalFormatting xmlns:xm="http://schemas.microsoft.com/office/excel/2006/main">
          <x14:cfRule type="iconSet" priority="255" id="{33936BD9-B30C-4BB1-9E31-F165E3E6FCF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C286</xm:sqref>
        </x14:conditionalFormatting>
        <x14:conditionalFormatting xmlns:xm="http://schemas.microsoft.com/office/excel/2006/main">
          <x14:cfRule type="iconSet" priority="256" id="{CA0B5FDD-0C30-453A-9A87-8D60FE7E1086}">
            <x14:iconSet custom="1">
              <x14:cfvo type="percent">
                <xm:f>0</xm:f>
              </x14:cfvo>
              <x14:cfvo type="num">
                <xm:f>0</xm:f>
              </x14:cfvo>
              <x14:cfvo type="num">
                <xm:f>1</xm:f>
              </x14:cfvo>
              <x14:cfIcon iconSet="NoIcons" iconId="0"/>
              <x14:cfIcon iconSet="3TrafficLights1" iconId="2"/>
              <x14:cfIcon iconSet="3TrafficLights1" iconId="0"/>
            </x14:iconSet>
          </x14:cfRule>
          <xm:sqref>B286</xm:sqref>
        </x14:conditionalFormatting>
        <x14:conditionalFormatting xmlns:xm="http://schemas.microsoft.com/office/excel/2006/main">
          <x14:cfRule type="iconSet" priority="251" id="{2C1E9082-43F8-40BB-BCEA-71B3AB081EE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C287</xm:sqref>
        </x14:conditionalFormatting>
        <x14:conditionalFormatting xmlns:xm="http://schemas.microsoft.com/office/excel/2006/main">
          <x14:cfRule type="iconSet" priority="252" id="{8A536838-DCCA-45DB-8A10-17AD90A4D9A9}">
            <x14:iconSet custom="1">
              <x14:cfvo type="percent">
                <xm:f>0</xm:f>
              </x14:cfvo>
              <x14:cfvo type="num">
                <xm:f>0</xm:f>
              </x14:cfvo>
              <x14:cfvo type="num">
                <xm:f>1</xm:f>
              </x14:cfvo>
              <x14:cfIcon iconSet="NoIcons" iconId="0"/>
              <x14:cfIcon iconSet="3TrafficLights1" iconId="2"/>
              <x14:cfIcon iconSet="3TrafficLights1" iconId="0"/>
            </x14:iconSet>
          </x14:cfRule>
          <xm:sqref>B287</xm:sqref>
        </x14:conditionalFormatting>
        <x14:conditionalFormatting xmlns:xm="http://schemas.microsoft.com/office/excel/2006/main">
          <x14:cfRule type="iconSet" priority="247" id="{78EAB148-3F1F-4D6A-886E-0A169D4F7D1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C288</xm:sqref>
        </x14:conditionalFormatting>
        <x14:conditionalFormatting xmlns:xm="http://schemas.microsoft.com/office/excel/2006/main">
          <x14:cfRule type="iconSet" priority="248" id="{14BB556D-7C89-4A76-A782-67C52E17AEE4}">
            <x14:iconSet custom="1">
              <x14:cfvo type="percent">
                <xm:f>0</xm:f>
              </x14:cfvo>
              <x14:cfvo type="num">
                <xm:f>0</xm:f>
              </x14:cfvo>
              <x14:cfvo type="num">
                <xm:f>1</xm:f>
              </x14:cfvo>
              <x14:cfIcon iconSet="NoIcons" iconId="0"/>
              <x14:cfIcon iconSet="3TrafficLights1" iconId="2"/>
              <x14:cfIcon iconSet="3TrafficLights1" iconId="0"/>
            </x14:iconSet>
          </x14:cfRule>
          <xm:sqref>B288</xm:sqref>
        </x14:conditionalFormatting>
        <x14:conditionalFormatting xmlns:xm="http://schemas.microsoft.com/office/excel/2006/main">
          <x14:cfRule type="iconSet" priority="245" id="{113C3576-55A7-4129-9057-F2B5FD888CD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C289</xm:sqref>
        </x14:conditionalFormatting>
        <x14:conditionalFormatting xmlns:xm="http://schemas.microsoft.com/office/excel/2006/main">
          <x14:cfRule type="iconSet" priority="246" id="{3C462194-4F4A-4DF6-9272-BCA51CA30B8E}">
            <x14:iconSet custom="1">
              <x14:cfvo type="percent">
                <xm:f>0</xm:f>
              </x14:cfvo>
              <x14:cfvo type="num">
                <xm:f>0</xm:f>
              </x14:cfvo>
              <x14:cfvo type="num">
                <xm:f>1</xm:f>
              </x14:cfvo>
              <x14:cfIcon iconSet="NoIcons" iconId="0"/>
              <x14:cfIcon iconSet="3TrafficLights1" iconId="2"/>
              <x14:cfIcon iconSet="3TrafficLights1" iconId="0"/>
            </x14:iconSet>
          </x14:cfRule>
          <xm:sqref>B289</xm:sqref>
        </x14:conditionalFormatting>
        <x14:conditionalFormatting xmlns:xm="http://schemas.microsoft.com/office/excel/2006/main">
          <x14:cfRule type="iconSet" priority="243" id="{B99FFE71-B7ED-4235-94A4-C3208B705E6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C290</xm:sqref>
        </x14:conditionalFormatting>
        <x14:conditionalFormatting xmlns:xm="http://schemas.microsoft.com/office/excel/2006/main">
          <x14:cfRule type="iconSet" priority="244" id="{528B2462-D9D2-403B-ADCD-2448BE3B1DA4}">
            <x14:iconSet custom="1">
              <x14:cfvo type="percent">
                <xm:f>0</xm:f>
              </x14:cfvo>
              <x14:cfvo type="num">
                <xm:f>0</xm:f>
              </x14:cfvo>
              <x14:cfvo type="num">
                <xm:f>1</xm:f>
              </x14:cfvo>
              <x14:cfIcon iconSet="NoIcons" iconId="0"/>
              <x14:cfIcon iconSet="3TrafficLights1" iconId="2"/>
              <x14:cfIcon iconSet="3TrafficLights1" iconId="0"/>
            </x14:iconSet>
          </x14:cfRule>
          <xm:sqref>B290</xm:sqref>
        </x14:conditionalFormatting>
        <x14:conditionalFormatting xmlns:xm="http://schemas.microsoft.com/office/excel/2006/main">
          <x14:cfRule type="iconSet" priority="233" id="{FECBA93A-436C-4793-9031-6BF7118ED6C8}">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C291</xm:sqref>
        </x14:conditionalFormatting>
        <x14:conditionalFormatting xmlns:xm="http://schemas.microsoft.com/office/excel/2006/main">
          <x14:cfRule type="iconSet" priority="234" id="{7638AAF9-7633-4B75-87CB-E36C6BDBD1DC}">
            <x14:iconSet custom="1">
              <x14:cfvo type="percent">
                <xm:f>0</xm:f>
              </x14:cfvo>
              <x14:cfvo type="num">
                <xm:f>0</xm:f>
              </x14:cfvo>
              <x14:cfvo type="num">
                <xm:f>1</xm:f>
              </x14:cfvo>
              <x14:cfIcon iconSet="NoIcons" iconId="0"/>
              <x14:cfIcon iconSet="3TrafficLights1" iconId="2"/>
              <x14:cfIcon iconSet="3TrafficLights1" iconId="0"/>
            </x14:iconSet>
          </x14:cfRule>
          <xm:sqref>B291</xm:sqref>
        </x14:conditionalFormatting>
        <x14:conditionalFormatting xmlns:xm="http://schemas.microsoft.com/office/excel/2006/main">
          <x14:cfRule type="iconSet" priority="229" id="{27A85DA9-7F1B-4651-8C96-98088B700EE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C292</xm:sqref>
        </x14:conditionalFormatting>
        <x14:conditionalFormatting xmlns:xm="http://schemas.microsoft.com/office/excel/2006/main">
          <x14:cfRule type="iconSet" priority="230" id="{6D91494A-2829-4447-A2A1-E52868D207A7}">
            <x14:iconSet custom="1">
              <x14:cfvo type="percent">
                <xm:f>0</xm:f>
              </x14:cfvo>
              <x14:cfvo type="num">
                <xm:f>0</xm:f>
              </x14:cfvo>
              <x14:cfvo type="num">
                <xm:f>1</xm:f>
              </x14:cfvo>
              <x14:cfIcon iconSet="NoIcons" iconId="0"/>
              <x14:cfIcon iconSet="3TrafficLights1" iconId="2"/>
              <x14:cfIcon iconSet="3TrafficLights1" iconId="0"/>
            </x14:iconSet>
          </x14:cfRule>
          <xm:sqref>B292</xm:sqref>
        </x14:conditionalFormatting>
        <x14:conditionalFormatting xmlns:xm="http://schemas.microsoft.com/office/excel/2006/main">
          <x14:cfRule type="iconSet" priority="205" id="{EA1A43EC-C6D1-4EA7-B9A3-6B189023ADDA}">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C293</xm:sqref>
        </x14:conditionalFormatting>
        <x14:conditionalFormatting xmlns:xm="http://schemas.microsoft.com/office/excel/2006/main">
          <x14:cfRule type="iconSet" priority="206" id="{8CD8FD73-B090-4B74-8627-9A4E2AC39C53}">
            <x14:iconSet custom="1">
              <x14:cfvo type="percent">
                <xm:f>0</xm:f>
              </x14:cfvo>
              <x14:cfvo type="num">
                <xm:f>0</xm:f>
              </x14:cfvo>
              <x14:cfvo type="num">
                <xm:f>1</xm:f>
              </x14:cfvo>
              <x14:cfIcon iconSet="NoIcons" iconId="0"/>
              <x14:cfIcon iconSet="3TrafficLights1" iconId="2"/>
              <x14:cfIcon iconSet="3TrafficLights1" iconId="0"/>
            </x14:iconSet>
          </x14:cfRule>
          <xm:sqref>B293</xm:sqref>
        </x14:conditionalFormatting>
        <x14:conditionalFormatting xmlns:xm="http://schemas.microsoft.com/office/excel/2006/main">
          <x14:cfRule type="iconSet" priority="199" id="{7C65E802-2EF2-4DFA-AF05-B31600467F4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C294</xm:sqref>
        </x14:conditionalFormatting>
        <x14:conditionalFormatting xmlns:xm="http://schemas.microsoft.com/office/excel/2006/main">
          <x14:cfRule type="iconSet" priority="200" id="{3B4A4387-689C-419B-9C9F-D651CCD56B73}">
            <x14:iconSet custom="1">
              <x14:cfvo type="percent">
                <xm:f>0</xm:f>
              </x14:cfvo>
              <x14:cfvo type="num">
                <xm:f>0</xm:f>
              </x14:cfvo>
              <x14:cfvo type="num">
                <xm:f>1</xm:f>
              </x14:cfvo>
              <x14:cfIcon iconSet="NoIcons" iconId="0"/>
              <x14:cfIcon iconSet="3TrafficLights1" iconId="2"/>
              <x14:cfIcon iconSet="3TrafficLights1" iconId="0"/>
            </x14:iconSet>
          </x14:cfRule>
          <xm:sqref>B294</xm:sqref>
        </x14:conditionalFormatting>
        <x14:conditionalFormatting xmlns:xm="http://schemas.microsoft.com/office/excel/2006/main">
          <x14:cfRule type="iconSet" priority="193" id="{54360BB2-EC2A-4111-87BB-E2F3BB703C3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C295</xm:sqref>
        </x14:conditionalFormatting>
        <x14:conditionalFormatting xmlns:xm="http://schemas.microsoft.com/office/excel/2006/main">
          <x14:cfRule type="iconSet" priority="194" id="{1A342002-A75B-462C-84A7-F4280C29A815}">
            <x14:iconSet custom="1">
              <x14:cfvo type="percent">
                <xm:f>0</xm:f>
              </x14:cfvo>
              <x14:cfvo type="num">
                <xm:f>0</xm:f>
              </x14:cfvo>
              <x14:cfvo type="num">
                <xm:f>1</xm:f>
              </x14:cfvo>
              <x14:cfIcon iconSet="NoIcons" iconId="0"/>
              <x14:cfIcon iconSet="3TrafficLights1" iconId="2"/>
              <x14:cfIcon iconSet="3TrafficLights1" iconId="0"/>
            </x14:iconSet>
          </x14:cfRule>
          <xm:sqref>B295</xm:sqref>
        </x14:conditionalFormatting>
        <x14:conditionalFormatting xmlns:xm="http://schemas.microsoft.com/office/excel/2006/main">
          <x14:cfRule type="iconSet" priority="191" id="{F7B4ABCF-7D58-4471-8582-1D73043C5C6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C296</xm:sqref>
        </x14:conditionalFormatting>
        <x14:conditionalFormatting xmlns:xm="http://schemas.microsoft.com/office/excel/2006/main">
          <x14:cfRule type="iconSet" priority="192" id="{32BDC19A-C1CC-4382-8487-F0D1C2F2A96B}">
            <x14:iconSet custom="1">
              <x14:cfvo type="percent">
                <xm:f>0</xm:f>
              </x14:cfvo>
              <x14:cfvo type="num">
                <xm:f>0</xm:f>
              </x14:cfvo>
              <x14:cfvo type="num">
                <xm:f>1</xm:f>
              </x14:cfvo>
              <x14:cfIcon iconSet="NoIcons" iconId="0"/>
              <x14:cfIcon iconSet="3TrafficLights1" iconId="2"/>
              <x14:cfIcon iconSet="3TrafficLights1" iconId="0"/>
            </x14:iconSet>
          </x14:cfRule>
          <xm:sqref>B296</xm:sqref>
        </x14:conditionalFormatting>
        <x14:conditionalFormatting xmlns:xm="http://schemas.microsoft.com/office/excel/2006/main">
          <x14:cfRule type="iconSet" priority="189" id="{059A391E-C891-4303-B431-9EA367AD9DC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C297</xm:sqref>
        </x14:conditionalFormatting>
        <x14:conditionalFormatting xmlns:xm="http://schemas.microsoft.com/office/excel/2006/main">
          <x14:cfRule type="iconSet" priority="190" id="{B98089DE-208B-4638-8896-8659EB4D3F23}">
            <x14:iconSet custom="1">
              <x14:cfvo type="percent">
                <xm:f>0</xm:f>
              </x14:cfvo>
              <x14:cfvo type="num">
                <xm:f>0</xm:f>
              </x14:cfvo>
              <x14:cfvo type="num">
                <xm:f>1</xm:f>
              </x14:cfvo>
              <x14:cfIcon iconSet="NoIcons" iconId="0"/>
              <x14:cfIcon iconSet="3TrafficLights1" iconId="2"/>
              <x14:cfIcon iconSet="3TrafficLights1" iconId="0"/>
            </x14:iconSet>
          </x14:cfRule>
          <xm:sqref>B297</xm:sqref>
        </x14:conditionalFormatting>
        <x14:conditionalFormatting xmlns:xm="http://schemas.microsoft.com/office/excel/2006/main">
          <x14:cfRule type="iconSet" priority="183" id="{E337F943-2B5B-43CD-BD39-521F25AE3D9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C298</xm:sqref>
        </x14:conditionalFormatting>
        <x14:conditionalFormatting xmlns:xm="http://schemas.microsoft.com/office/excel/2006/main">
          <x14:cfRule type="iconSet" priority="184" id="{EF0A58AD-3AE6-489D-9B06-3F50EE02F232}">
            <x14:iconSet custom="1">
              <x14:cfvo type="percent">
                <xm:f>0</xm:f>
              </x14:cfvo>
              <x14:cfvo type="num">
                <xm:f>0</xm:f>
              </x14:cfvo>
              <x14:cfvo type="num">
                <xm:f>1</xm:f>
              </x14:cfvo>
              <x14:cfIcon iconSet="NoIcons" iconId="0"/>
              <x14:cfIcon iconSet="3TrafficLights1" iconId="2"/>
              <x14:cfIcon iconSet="3TrafficLights1" iconId="0"/>
            </x14:iconSet>
          </x14:cfRule>
          <xm:sqref>B298</xm:sqref>
        </x14:conditionalFormatting>
        <x14:conditionalFormatting xmlns:xm="http://schemas.microsoft.com/office/excel/2006/main">
          <x14:cfRule type="iconSet" priority="181" id="{8597D6FB-5BDB-4D45-BCA3-4967692E526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C299</xm:sqref>
        </x14:conditionalFormatting>
        <x14:conditionalFormatting xmlns:xm="http://schemas.microsoft.com/office/excel/2006/main">
          <x14:cfRule type="iconSet" priority="182" id="{492C357C-4F22-42BD-9A65-24C6E12C64E1}">
            <x14:iconSet custom="1">
              <x14:cfvo type="percent">
                <xm:f>0</xm:f>
              </x14:cfvo>
              <x14:cfvo type="num">
                <xm:f>0</xm:f>
              </x14:cfvo>
              <x14:cfvo type="num">
                <xm:f>1</xm:f>
              </x14:cfvo>
              <x14:cfIcon iconSet="NoIcons" iconId="0"/>
              <x14:cfIcon iconSet="3TrafficLights1" iconId="2"/>
              <x14:cfIcon iconSet="3TrafficLights1" iconId="0"/>
            </x14:iconSet>
          </x14:cfRule>
          <xm:sqref>B299</xm:sqref>
        </x14:conditionalFormatting>
        <x14:conditionalFormatting xmlns:xm="http://schemas.microsoft.com/office/excel/2006/main">
          <x14:cfRule type="iconSet" priority="179" id="{C14EB4D4-3E42-43C1-B862-B41F9E17130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C300</xm:sqref>
        </x14:conditionalFormatting>
        <x14:conditionalFormatting xmlns:xm="http://schemas.microsoft.com/office/excel/2006/main">
          <x14:cfRule type="iconSet" priority="180" id="{F25B7394-7A74-4814-9349-A9C2972703DC}">
            <x14:iconSet custom="1">
              <x14:cfvo type="percent">
                <xm:f>0</xm:f>
              </x14:cfvo>
              <x14:cfvo type="num">
                <xm:f>0</xm:f>
              </x14:cfvo>
              <x14:cfvo type="num">
                <xm:f>1</xm:f>
              </x14:cfvo>
              <x14:cfIcon iconSet="NoIcons" iconId="0"/>
              <x14:cfIcon iconSet="3TrafficLights1" iconId="2"/>
              <x14:cfIcon iconSet="3TrafficLights1" iconId="0"/>
            </x14:iconSet>
          </x14:cfRule>
          <xm:sqref>B300</xm:sqref>
        </x14:conditionalFormatting>
        <x14:conditionalFormatting xmlns:xm="http://schemas.microsoft.com/office/excel/2006/main">
          <x14:cfRule type="iconSet" priority="177" id="{2C7DBAD4-BA0E-4897-985B-A8AEEC4B46B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C301</xm:sqref>
        </x14:conditionalFormatting>
        <x14:conditionalFormatting xmlns:xm="http://schemas.microsoft.com/office/excel/2006/main">
          <x14:cfRule type="iconSet" priority="178" id="{6B08DD36-F169-4F97-B9ED-5E3A2FDB2642}">
            <x14:iconSet custom="1">
              <x14:cfvo type="percent">
                <xm:f>0</xm:f>
              </x14:cfvo>
              <x14:cfvo type="num">
                <xm:f>0</xm:f>
              </x14:cfvo>
              <x14:cfvo type="num">
                <xm:f>1</xm:f>
              </x14:cfvo>
              <x14:cfIcon iconSet="NoIcons" iconId="0"/>
              <x14:cfIcon iconSet="3TrafficLights1" iconId="2"/>
              <x14:cfIcon iconSet="3TrafficLights1" iconId="0"/>
            </x14:iconSet>
          </x14:cfRule>
          <xm:sqref>B301</xm:sqref>
        </x14:conditionalFormatting>
        <x14:conditionalFormatting xmlns:xm="http://schemas.microsoft.com/office/excel/2006/main">
          <x14:cfRule type="iconSet" priority="175" id="{D4B22D27-EC6D-4B0D-B515-BB446808E788}">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C302</xm:sqref>
        </x14:conditionalFormatting>
        <x14:conditionalFormatting xmlns:xm="http://schemas.microsoft.com/office/excel/2006/main">
          <x14:cfRule type="iconSet" priority="176" id="{5B6FD94D-6556-4E86-9628-C07C234B41BC}">
            <x14:iconSet custom="1">
              <x14:cfvo type="percent">
                <xm:f>0</xm:f>
              </x14:cfvo>
              <x14:cfvo type="num">
                <xm:f>0</xm:f>
              </x14:cfvo>
              <x14:cfvo type="num">
                <xm:f>1</xm:f>
              </x14:cfvo>
              <x14:cfIcon iconSet="NoIcons" iconId="0"/>
              <x14:cfIcon iconSet="3TrafficLights1" iconId="2"/>
              <x14:cfIcon iconSet="3TrafficLights1" iconId="0"/>
            </x14:iconSet>
          </x14:cfRule>
          <xm:sqref>B302</xm:sqref>
        </x14:conditionalFormatting>
        <x14:conditionalFormatting xmlns:xm="http://schemas.microsoft.com/office/excel/2006/main">
          <x14:cfRule type="iconSet" priority="173" id="{3C237C1A-3A6D-4692-9251-0F1FFD0E97C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C303</xm:sqref>
        </x14:conditionalFormatting>
        <x14:conditionalFormatting xmlns:xm="http://schemas.microsoft.com/office/excel/2006/main">
          <x14:cfRule type="iconSet" priority="174" id="{067DE992-53F8-4F5B-8221-20FE35456345}">
            <x14:iconSet custom="1">
              <x14:cfvo type="percent">
                <xm:f>0</xm:f>
              </x14:cfvo>
              <x14:cfvo type="num">
                <xm:f>0</xm:f>
              </x14:cfvo>
              <x14:cfvo type="num">
                <xm:f>1</xm:f>
              </x14:cfvo>
              <x14:cfIcon iconSet="NoIcons" iconId="0"/>
              <x14:cfIcon iconSet="3TrafficLights1" iconId="2"/>
              <x14:cfIcon iconSet="3TrafficLights1" iconId="0"/>
            </x14:iconSet>
          </x14:cfRule>
          <xm:sqref>B303</xm:sqref>
        </x14:conditionalFormatting>
        <x14:conditionalFormatting xmlns:xm="http://schemas.microsoft.com/office/excel/2006/main">
          <x14:cfRule type="iconSet" priority="171" id="{7A0FD6FC-085F-485F-8463-BE7E70CA1CE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C304</xm:sqref>
        </x14:conditionalFormatting>
        <x14:conditionalFormatting xmlns:xm="http://schemas.microsoft.com/office/excel/2006/main">
          <x14:cfRule type="iconSet" priority="172" id="{24C050BA-DC8F-46D3-ADB7-77D012D31508}">
            <x14:iconSet custom="1">
              <x14:cfvo type="percent">
                <xm:f>0</xm:f>
              </x14:cfvo>
              <x14:cfvo type="num">
                <xm:f>0</xm:f>
              </x14:cfvo>
              <x14:cfvo type="num">
                <xm:f>1</xm:f>
              </x14:cfvo>
              <x14:cfIcon iconSet="NoIcons" iconId="0"/>
              <x14:cfIcon iconSet="3TrafficLights1" iconId="2"/>
              <x14:cfIcon iconSet="3TrafficLights1" iconId="0"/>
            </x14:iconSet>
          </x14:cfRule>
          <xm:sqref>B304</xm:sqref>
        </x14:conditionalFormatting>
        <x14:conditionalFormatting xmlns:xm="http://schemas.microsoft.com/office/excel/2006/main">
          <x14:cfRule type="iconSet" priority="167" id="{468B01FC-2E8D-4747-B46B-4C687CCB3D5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C305</xm:sqref>
        </x14:conditionalFormatting>
        <x14:conditionalFormatting xmlns:xm="http://schemas.microsoft.com/office/excel/2006/main">
          <x14:cfRule type="iconSet" priority="168" id="{F5A8CD23-DFE7-48F9-BDE7-8BD7482A826A}">
            <x14:iconSet custom="1">
              <x14:cfvo type="percent">
                <xm:f>0</xm:f>
              </x14:cfvo>
              <x14:cfvo type="num">
                <xm:f>0</xm:f>
              </x14:cfvo>
              <x14:cfvo type="num">
                <xm:f>1</xm:f>
              </x14:cfvo>
              <x14:cfIcon iconSet="NoIcons" iconId="0"/>
              <x14:cfIcon iconSet="3TrafficLights1" iconId="2"/>
              <x14:cfIcon iconSet="3TrafficLights1" iconId="0"/>
            </x14:iconSet>
          </x14:cfRule>
          <xm:sqref>B305</xm:sqref>
        </x14:conditionalFormatting>
        <x14:conditionalFormatting xmlns:xm="http://schemas.microsoft.com/office/excel/2006/main">
          <x14:cfRule type="iconSet" priority="165" id="{EF3D0C7A-9617-4368-A13E-13C61408F7D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C306</xm:sqref>
        </x14:conditionalFormatting>
        <x14:conditionalFormatting xmlns:xm="http://schemas.microsoft.com/office/excel/2006/main">
          <x14:cfRule type="iconSet" priority="166" id="{B76C91B6-7BD0-4F65-8B45-BCE724130A8C}">
            <x14:iconSet custom="1">
              <x14:cfvo type="percent">
                <xm:f>0</xm:f>
              </x14:cfvo>
              <x14:cfvo type="num">
                <xm:f>0</xm:f>
              </x14:cfvo>
              <x14:cfvo type="num">
                <xm:f>1</xm:f>
              </x14:cfvo>
              <x14:cfIcon iconSet="NoIcons" iconId="0"/>
              <x14:cfIcon iconSet="3TrafficLights1" iconId="2"/>
              <x14:cfIcon iconSet="3TrafficLights1" iconId="0"/>
            </x14:iconSet>
          </x14:cfRule>
          <xm:sqref>B306</xm:sqref>
        </x14:conditionalFormatting>
        <x14:conditionalFormatting xmlns:xm="http://schemas.microsoft.com/office/excel/2006/main">
          <x14:cfRule type="iconSet" priority="163" id="{780C6F24-A312-48B0-9752-A75EDA869D7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C307</xm:sqref>
        </x14:conditionalFormatting>
        <x14:conditionalFormatting xmlns:xm="http://schemas.microsoft.com/office/excel/2006/main">
          <x14:cfRule type="iconSet" priority="164" id="{7BB18828-6499-4491-AB31-AF9CD47AC9CB}">
            <x14:iconSet custom="1">
              <x14:cfvo type="percent">
                <xm:f>0</xm:f>
              </x14:cfvo>
              <x14:cfvo type="num">
                <xm:f>0</xm:f>
              </x14:cfvo>
              <x14:cfvo type="num">
                <xm:f>1</xm:f>
              </x14:cfvo>
              <x14:cfIcon iconSet="NoIcons" iconId="0"/>
              <x14:cfIcon iconSet="3TrafficLights1" iconId="2"/>
              <x14:cfIcon iconSet="3TrafficLights1" iconId="0"/>
            </x14:iconSet>
          </x14:cfRule>
          <xm:sqref>B307</xm:sqref>
        </x14:conditionalFormatting>
        <x14:conditionalFormatting xmlns:xm="http://schemas.microsoft.com/office/excel/2006/main">
          <x14:cfRule type="iconSet" priority="161" id="{414B7BDA-B9F3-44ED-9EFB-C20A27925FE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C308</xm:sqref>
        </x14:conditionalFormatting>
        <x14:conditionalFormatting xmlns:xm="http://schemas.microsoft.com/office/excel/2006/main">
          <x14:cfRule type="iconSet" priority="162" id="{961DEBC5-F27C-410F-A533-B4063667212F}">
            <x14:iconSet custom="1">
              <x14:cfvo type="percent">
                <xm:f>0</xm:f>
              </x14:cfvo>
              <x14:cfvo type="num">
                <xm:f>0</xm:f>
              </x14:cfvo>
              <x14:cfvo type="num">
                <xm:f>1</xm:f>
              </x14:cfvo>
              <x14:cfIcon iconSet="NoIcons" iconId="0"/>
              <x14:cfIcon iconSet="3TrafficLights1" iconId="2"/>
              <x14:cfIcon iconSet="3TrafficLights1" iconId="0"/>
            </x14:iconSet>
          </x14:cfRule>
          <xm:sqref>B308</xm:sqref>
        </x14:conditionalFormatting>
        <x14:conditionalFormatting xmlns:xm="http://schemas.microsoft.com/office/excel/2006/main">
          <x14:cfRule type="iconSet" priority="159" id="{3183DD92-2301-4EF6-93A8-EB88CA9C77B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C309</xm:sqref>
        </x14:conditionalFormatting>
        <x14:conditionalFormatting xmlns:xm="http://schemas.microsoft.com/office/excel/2006/main">
          <x14:cfRule type="iconSet" priority="160" id="{C55E3B8A-E045-4BDC-9BF5-067886A009CF}">
            <x14:iconSet custom="1">
              <x14:cfvo type="percent">
                <xm:f>0</xm:f>
              </x14:cfvo>
              <x14:cfvo type="num">
                <xm:f>0</xm:f>
              </x14:cfvo>
              <x14:cfvo type="num">
                <xm:f>1</xm:f>
              </x14:cfvo>
              <x14:cfIcon iconSet="NoIcons" iconId="0"/>
              <x14:cfIcon iconSet="3TrafficLights1" iconId="2"/>
              <x14:cfIcon iconSet="3TrafficLights1" iconId="0"/>
            </x14:iconSet>
          </x14:cfRule>
          <xm:sqref>B309</xm:sqref>
        </x14:conditionalFormatting>
        <x14:conditionalFormatting xmlns:xm="http://schemas.microsoft.com/office/excel/2006/main">
          <x14:cfRule type="iconSet" priority="155" id="{6B34EE5B-9682-43B0-AD8C-CA118873124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C310</xm:sqref>
        </x14:conditionalFormatting>
        <x14:conditionalFormatting xmlns:xm="http://schemas.microsoft.com/office/excel/2006/main">
          <x14:cfRule type="iconSet" priority="156" id="{F1179734-4E22-453B-8580-AD1B66494D8E}">
            <x14:iconSet custom="1">
              <x14:cfvo type="percent">
                <xm:f>0</xm:f>
              </x14:cfvo>
              <x14:cfvo type="num">
                <xm:f>0</xm:f>
              </x14:cfvo>
              <x14:cfvo type="num">
                <xm:f>1</xm:f>
              </x14:cfvo>
              <x14:cfIcon iconSet="NoIcons" iconId="0"/>
              <x14:cfIcon iconSet="3TrafficLights1" iconId="2"/>
              <x14:cfIcon iconSet="3TrafficLights1" iconId="0"/>
            </x14:iconSet>
          </x14:cfRule>
          <xm:sqref>B310</xm:sqref>
        </x14:conditionalFormatting>
        <x14:conditionalFormatting xmlns:xm="http://schemas.microsoft.com/office/excel/2006/main">
          <x14:cfRule type="iconSet" priority="149" id="{664FAE15-5B07-4DC9-8A70-DAE3BE46021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C311</xm:sqref>
        </x14:conditionalFormatting>
        <x14:conditionalFormatting xmlns:xm="http://schemas.microsoft.com/office/excel/2006/main">
          <x14:cfRule type="iconSet" priority="150" id="{BA5EF84E-8615-4211-A4A2-55C84EF5FEAA}">
            <x14:iconSet custom="1">
              <x14:cfvo type="percent">
                <xm:f>0</xm:f>
              </x14:cfvo>
              <x14:cfvo type="num">
                <xm:f>0</xm:f>
              </x14:cfvo>
              <x14:cfvo type="num">
                <xm:f>1</xm:f>
              </x14:cfvo>
              <x14:cfIcon iconSet="NoIcons" iconId="0"/>
              <x14:cfIcon iconSet="3TrafficLights1" iconId="2"/>
              <x14:cfIcon iconSet="3TrafficLights1" iconId="0"/>
            </x14:iconSet>
          </x14:cfRule>
          <xm:sqref>B311</xm:sqref>
        </x14:conditionalFormatting>
        <x14:conditionalFormatting xmlns:xm="http://schemas.microsoft.com/office/excel/2006/main">
          <x14:cfRule type="iconSet" priority="141" id="{508BBBD0-2171-4EAA-A915-F1922993480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C312</xm:sqref>
        </x14:conditionalFormatting>
        <x14:conditionalFormatting xmlns:xm="http://schemas.microsoft.com/office/excel/2006/main">
          <x14:cfRule type="iconSet" priority="142" id="{F76F7B2A-FCEC-44D9-9C68-3E3BD004A22A}">
            <x14:iconSet custom="1">
              <x14:cfvo type="percent">
                <xm:f>0</xm:f>
              </x14:cfvo>
              <x14:cfvo type="num">
                <xm:f>0</xm:f>
              </x14:cfvo>
              <x14:cfvo type="num">
                <xm:f>1</xm:f>
              </x14:cfvo>
              <x14:cfIcon iconSet="NoIcons" iconId="0"/>
              <x14:cfIcon iconSet="3TrafficLights1" iconId="2"/>
              <x14:cfIcon iconSet="3TrafficLights1" iconId="0"/>
            </x14:iconSet>
          </x14:cfRule>
          <xm:sqref>B312</xm:sqref>
        </x14:conditionalFormatting>
        <x14:conditionalFormatting xmlns:xm="http://schemas.microsoft.com/office/excel/2006/main">
          <x14:cfRule type="iconSet" priority="139" id="{B5E2D974-F47D-4E47-A419-07E2083AD328}">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C313</xm:sqref>
        </x14:conditionalFormatting>
        <x14:conditionalFormatting xmlns:xm="http://schemas.microsoft.com/office/excel/2006/main">
          <x14:cfRule type="iconSet" priority="140" id="{97FEEF1E-BB55-41E2-A017-0A3875F792C1}">
            <x14:iconSet custom="1">
              <x14:cfvo type="percent">
                <xm:f>0</xm:f>
              </x14:cfvo>
              <x14:cfvo type="num">
                <xm:f>0</xm:f>
              </x14:cfvo>
              <x14:cfvo type="num">
                <xm:f>1</xm:f>
              </x14:cfvo>
              <x14:cfIcon iconSet="NoIcons" iconId="0"/>
              <x14:cfIcon iconSet="3TrafficLights1" iconId="2"/>
              <x14:cfIcon iconSet="3TrafficLights1" iconId="0"/>
            </x14:iconSet>
          </x14:cfRule>
          <xm:sqref>B313</xm:sqref>
        </x14:conditionalFormatting>
        <x14:conditionalFormatting xmlns:xm="http://schemas.microsoft.com/office/excel/2006/main">
          <x14:cfRule type="iconSet" priority="137" id="{B4B40333-78AF-4762-BBD0-AE3E01DB4E0A}">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C314</xm:sqref>
        </x14:conditionalFormatting>
        <x14:conditionalFormatting xmlns:xm="http://schemas.microsoft.com/office/excel/2006/main">
          <x14:cfRule type="iconSet" priority="138" id="{283AB3DE-4A7E-4D1F-88F2-3D1A39F88F50}">
            <x14:iconSet custom="1">
              <x14:cfvo type="percent">
                <xm:f>0</xm:f>
              </x14:cfvo>
              <x14:cfvo type="num">
                <xm:f>0</xm:f>
              </x14:cfvo>
              <x14:cfvo type="num">
                <xm:f>1</xm:f>
              </x14:cfvo>
              <x14:cfIcon iconSet="NoIcons" iconId="0"/>
              <x14:cfIcon iconSet="3TrafficLights1" iconId="2"/>
              <x14:cfIcon iconSet="3TrafficLights1" iconId="0"/>
            </x14:iconSet>
          </x14:cfRule>
          <xm:sqref>B314</xm:sqref>
        </x14:conditionalFormatting>
        <x14:conditionalFormatting xmlns:xm="http://schemas.microsoft.com/office/excel/2006/main">
          <x14:cfRule type="iconSet" priority="135" id="{577240B4-F342-48AC-A88D-962836E57CF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C315</xm:sqref>
        </x14:conditionalFormatting>
        <x14:conditionalFormatting xmlns:xm="http://schemas.microsoft.com/office/excel/2006/main">
          <x14:cfRule type="iconSet" priority="136" id="{E3830644-C3A4-4503-A8E3-ADEA598F5DC5}">
            <x14:iconSet custom="1">
              <x14:cfvo type="percent">
                <xm:f>0</xm:f>
              </x14:cfvo>
              <x14:cfvo type="num">
                <xm:f>0</xm:f>
              </x14:cfvo>
              <x14:cfvo type="num">
                <xm:f>1</xm:f>
              </x14:cfvo>
              <x14:cfIcon iconSet="NoIcons" iconId="0"/>
              <x14:cfIcon iconSet="3TrafficLights1" iconId="2"/>
              <x14:cfIcon iconSet="3TrafficLights1" iconId="0"/>
            </x14:iconSet>
          </x14:cfRule>
          <xm:sqref>B315</xm:sqref>
        </x14:conditionalFormatting>
        <x14:conditionalFormatting xmlns:xm="http://schemas.microsoft.com/office/excel/2006/main">
          <x14:cfRule type="iconSet" priority="133" id="{DE163C3B-5DD5-411F-8625-02C9EC8FD70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C316</xm:sqref>
        </x14:conditionalFormatting>
        <x14:conditionalFormatting xmlns:xm="http://schemas.microsoft.com/office/excel/2006/main">
          <x14:cfRule type="iconSet" priority="134" id="{9F32452F-0641-4644-8AA4-7C438CF76509}">
            <x14:iconSet custom="1">
              <x14:cfvo type="percent">
                <xm:f>0</xm:f>
              </x14:cfvo>
              <x14:cfvo type="num">
                <xm:f>0</xm:f>
              </x14:cfvo>
              <x14:cfvo type="num">
                <xm:f>1</xm:f>
              </x14:cfvo>
              <x14:cfIcon iconSet="NoIcons" iconId="0"/>
              <x14:cfIcon iconSet="3TrafficLights1" iconId="2"/>
              <x14:cfIcon iconSet="3TrafficLights1" iconId="0"/>
            </x14:iconSet>
          </x14:cfRule>
          <xm:sqref>B316</xm:sqref>
        </x14:conditionalFormatting>
        <x14:conditionalFormatting xmlns:xm="http://schemas.microsoft.com/office/excel/2006/main">
          <x14:cfRule type="iconSet" priority="131" id="{34F69DE2-8AAF-4300-97F2-F724E3D308B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C317</xm:sqref>
        </x14:conditionalFormatting>
        <x14:conditionalFormatting xmlns:xm="http://schemas.microsoft.com/office/excel/2006/main">
          <x14:cfRule type="iconSet" priority="132" id="{2DFC7C67-3096-4CDA-BA5D-675B4F260AEE}">
            <x14:iconSet custom="1">
              <x14:cfvo type="percent">
                <xm:f>0</xm:f>
              </x14:cfvo>
              <x14:cfvo type="num">
                <xm:f>0</xm:f>
              </x14:cfvo>
              <x14:cfvo type="num">
                <xm:f>1</xm:f>
              </x14:cfvo>
              <x14:cfIcon iconSet="NoIcons" iconId="0"/>
              <x14:cfIcon iconSet="3TrafficLights1" iconId="2"/>
              <x14:cfIcon iconSet="3TrafficLights1" iconId="0"/>
            </x14:iconSet>
          </x14:cfRule>
          <xm:sqref>B317</xm:sqref>
        </x14:conditionalFormatting>
        <x14:conditionalFormatting xmlns:xm="http://schemas.microsoft.com/office/excel/2006/main">
          <x14:cfRule type="iconSet" priority="129" id="{DD6CABF4-C072-4116-89F6-6B817BD122A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C318</xm:sqref>
        </x14:conditionalFormatting>
        <x14:conditionalFormatting xmlns:xm="http://schemas.microsoft.com/office/excel/2006/main">
          <x14:cfRule type="iconSet" priority="130" id="{00E312F1-3A5D-45C0-9837-ADF341F57F24}">
            <x14:iconSet custom="1">
              <x14:cfvo type="percent">
                <xm:f>0</xm:f>
              </x14:cfvo>
              <x14:cfvo type="num">
                <xm:f>0</xm:f>
              </x14:cfvo>
              <x14:cfvo type="num">
                <xm:f>1</xm:f>
              </x14:cfvo>
              <x14:cfIcon iconSet="NoIcons" iconId="0"/>
              <x14:cfIcon iconSet="3TrafficLights1" iconId="2"/>
              <x14:cfIcon iconSet="3TrafficLights1" iconId="0"/>
            </x14:iconSet>
          </x14:cfRule>
          <xm:sqref>B318</xm:sqref>
        </x14:conditionalFormatting>
        <x14:conditionalFormatting xmlns:xm="http://schemas.microsoft.com/office/excel/2006/main">
          <x14:cfRule type="iconSet" priority="127" id="{A955B3E1-7A89-4D11-9E99-0B0CED1C5BF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C319</xm:sqref>
        </x14:conditionalFormatting>
        <x14:conditionalFormatting xmlns:xm="http://schemas.microsoft.com/office/excel/2006/main">
          <x14:cfRule type="iconSet" priority="128" id="{EB3E26A5-ED87-4942-AE89-85D13A1BCBBB}">
            <x14:iconSet custom="1">
              <x14:cfvo type="percent">
                <xm:f>0</xm:f>
              </x14:cfvo>
              <x14:cfvo type="num">
                <xm:f>0</xm:f>
              </x14:cfvo>
              <x14:cfvo type="num">
                <xm:f>1</xm:f>
              </x14:cfvo>
              <x14:cfIcon iconSet="NoIcons" iconId="0"/>
              <x14:cfIcon iconSet="3TrafficLights1" iconId="2"/>
              <x14:cfIcon iconSet="3TrafficLights1" iconId="0"/>
            </x14:iconSet>
          </x14:cfRule>
          <xm:sqref>B319</xm:sqref>
        </x14:conditionalFormatting>
        <x14:conditionalFormatting xmlns:xm="http://schemas.microsoft.com/office/excel/2006/main">
          <x14:cfRule type="iconSet" priority="125" id="{E8BDFF61-57A8-4FC6-97ED-F2F3F1817977}">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C320</xm:sqref>
        </x14:conditionalFormatting>
        <x14:conditionalFormatting xmlns:xm="http://schemas.microsoft.com/office/excel/2006/main">
          <x14:cfRule type="iconSet" priority="126" id="{03CEECFD-E4CC-41B2-B61A-985191958892}">
            <x14:iconSet custom="1">
              <x14:cfvo type="percent">
                <xm:f>0</xm:f>
              </x14:cfvo>
              <x14:cfvo type="num">
                <xm:f>0</xm:f>
              </x14:cfvo>
              <x14:cfvo type="num">
                <xm:f>1</xm:f>
              </x14:cfvo>
              <x14:cfIcon iconSet="NoIcons" iconId="0"/>
              <x14:cfIcon iconSet="3TrafficLights1" iconId="2"/>
              <x14:cfIcon iconSet="3TrafficLights1" iconId="0"/>
            </x14:iconSet>
          </x14:cfRule>
          <xm:sqref>B320</xm:sqref>
        </x14:conditionalFormatting>
        <x14:conditionalFormatting xmlns:xm="http://schemas.microsoft.com/office/excel/2006/main">
          <x14:cfRule type="iconSet" priority="123" id="{3E9458B6-4657-4D21-9E9C-490F59395EF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C321</xm:sqref>
        </x14:conditionalFormatting>
        <x14:conditionalFormatting xmlns:xm="http://schemas.microsoft.com/office/excel/2006/main">
          <x14:cfRule type="iconSet" priority="124" id="{05610E2E-E1EE-4C87-8965-57738799794A}">
            <x14:iconSet custom="1">
              <x14:cfvo type="percent">
                <xm:f>0</xm:f>
              </x14:cfvo>
              <x14:cfvo type="num">
                <xm:f>0</xm:f>
              </x14:cfvo>
              <x14:cfvo type="num">
                <xm:f>1</xm:f>
              </x14:cfvo>
              <x14:cfIcon iconSet="NoIcons" iconId="0"/>
              <x14:cfIcon iconSet="3TrafficLights1" iconId="2"/>
              <x14:cfIcon iconSet="3TrafficLights1" iconId="0"/>
            </x14:iconSet>
          </x14:cfRule>
          <xm:sqref>B321</xm:sqref>
        </x14:conditionalFormatting>
        <x14:conditionalFormatting xmlns:xm="http://schemas.microsoft.com/office/excel/2006/main">
          <x14:cfRule type="iconSet" priority="119" id="{97F66C49-736C-4BBA-9FC0-706D9F13EBB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C322</xm:sqref>
        </x14:conditionalFormatting>
        <x14:conditionalFormatting xmlns:xm="http://schemas.microsoft.com/office/excel/2006/main">
          <x14:cfRule type="iconSet" priority="120" id="{FDBA5C80-6877-47C0-B713-EF4E3BE24E53}">
            <x14:iconSet custom="1">
              <x14:cfvo type="percent">
                <xm:f>0</xm:f>
              </x14:cfvo>
              <x14:cfvo type="num">
                <xm:f>0</xm:f>
              </x14:cfvo>
              <x14:cfvo type="num">
                <xm:f>1</xm:f>
              </x14:cfvo>
              <x14:cfIcon iconSet="NoIcons" iconId="0"/>
              <x14:cfIcon iconSet="3TrafficLights1" iconId="2"/>
              <x14:cfIcon iconSet="3TrafficLights1" iconId="0"/>
            </x14:iconSet>
          </x14:cfRule>
          <xm:sqref>B322</xm:sqref>
        </x14:conditionalFormatting>
        <x14:conditionalFormatting xmlns:xm="http://schemas.microsoft.com/office/excel/2006/main">
          <x14:cfRule type="iconSet" priority="117" id="{B2DF3A0E-3440-4AFD-8FA0-6A6101BF12F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C323</xm:sqref>
        </x14:conditionalFormatting>
        <x14:conditionalFormatting xmlns:xm="http://schemas.microsoft.com/office/excel/2006/main">
          <x14:cfRule type="iconSet" priority="118" id="{5CDB4579-0866-4FB1-9934-3D56E2BD88EA}">
            <x14:iconSet custom="1">
              <x14:cfvo type="percent">
                <xm:f>0</xm:f>
              </x14:cfvo>
              <x14:cfvo type="num">
                <xm:f>0</xm:f>
              </x14:cfvo>
              <x14:cfvo type="num">
                <xm:f>1</xm:f>
              </x14:cfvo>
              <x14:cfIcon iconSet="NoIcons" iconId="0"/>
              <x14:cfIcon iconSet="3TrafficLights1" iconId="2"/>
              <x14:cfIcon iconSet="3TrafficLights1" iconId="0"/>
            </x14:iconSet>
          </x14:cfRule>
          <xm:sqref>B323</xm:sqref>
        </x14:conditionalFormatting>
        <x14:conditionalFormatting xmlns:xm="http://schemas.microsoft.com/office/excel/2006/main">
          <x14:cfRule type="iconSet" priority="115" id="{0F3F07DE-66DA-4736-BF28-264B125C00E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C324</xm:sqref>
        </x14:conditionalFormatting>
        <x14:conditionalFormatting xmlns:xm="http://schemas.microsoft.com/office/excel/2006/main">
          <x14:cfRule type="iconSet" priority="116" id="{EDDA732E-C7DB-4EEF-927E-3CE404ED54DD}">
            <x14:iconSet custom="1">
              <x14:cfvo type="percent">
                <xm:f>0</xm:f>
              </x14:cfvo>
              <x14:cfvo type="num">
                <xm:f>0</xm:f>
              </x14:cfvo>
              <x14:cfvo type="num">
                <xm:f>1</xm:f>
              </x14:cfvo>
              <x14:cfIcon iconSet="NoIcons" iconId="0"/>
              <x14:cfIcon iconSet="3TrafficLights1" iconId="2"/>
              <x14:cfIcon iconSet="3TrafficLights1" iconId="0"/>
            </x14:iconSet>
          </x14:cfRule>
          <xm:sqref>B324</xm:sqref>
        </x14:conditionalFormatting>
        <x14:conditionalFormatting xmlns:xm="http://schemas.microsoft.com/office/excel/2006/main">
          <x14:cfRule type="iconSet" priority="113" id="{D1F83618-4BCD-4B8A-A669-4A278B73B580}">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C325</xm:sqref>
        </x14:conditionalFormatting>
        <x14:conditionalFormatting xmlns:xm="http://schemas.microsoft.com/office/excel/2006/main">
          <x14:cfRule type="iconSet" priority="114" id="{4867D23C-FD60-4F58-852D-23033D6A6480}">
            <x14:iconSet custom="1">
              <x14:cfvo type="percent">
                <xm:f>0</xm:f>
              </x14:cfvo>
              <x14:cfvo type="num">
                <xm:f>0</xm:f>
              </x14:cfvo>
              <x14:cfvo type="num">
                <xm:f>1</xm:f>
              </x14:cfvo>
              <x14:cfIcon iconSet="NoIcons" iconId="0"/>
              <x14:cfIcon iconSet="3TrafficLights1" iconId="2"/>
              <x14:cfIcon iconSet="3TrafficLights1" iconId="0"/>
            </x14:iconSet>
          </x14:cfRule>
          <xm:sqref>B325</xm:sqref>
        </x14:conditionalFormatting>
        <x14:conditionalFormatting xmlns:xm="http://schemas.microsoft.com/office/excel/2006/main">
          <x14:cfRule type="iconSet" priority="111" id="{BE0DFE53-A2CB-45B4-8C22-A85F70326BF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C326</xm:sqref>
        </x14:conditionalFormatting>
        <x14:conditionalFormatting xmlns:xm="http://schemas.microsoft.com/office/excel/2006/main">
          <x14:cfRule type="iconSet" priority="112" id="{09979713-B224-4DE2-B2BC-45215E1DCB30}">
            <x14:iconSet custom="1">
              <x14:cfvo type="percent">
                <xm:f>0</xm:f>
              </x14:cfvo>
              <x14:cfvo type="num">
                <xm:f>0</xm:f>
              </x14:cfvo>
              <x14:cfvo type="num">
                <xm:f>1</xm:f>
              </x14:cfvo>
              <x14:cfIcon iconSet="NoIcons" iconId="0"/>
              <x14:cfIcon iconSet="3TrafficLights1" iconId="2"/>
              <x14:cfIcon iconSet="3TrafficLights1" iconId="0"/>
            </x14:iconSet>
          </x14:cfRule>
          <xm:sqref>B326</xm:sqref>
        </x14:conditionalFormatting>
        <x14:conditionalFormatting xmlns:xm="http://schemas.microsoft.com/office/excel/2006/main">
          <x14:cfRule type="iconSet" priority="109" id="{06B5B85C-796D-45EA-A2AB-DAFAC22E42F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C327</xm:sqref>
        </x14:conditionalFormatting>
        <x14:conditionalFormatting xmlns:xm="http://schemas.microsoft.com/office/excel/2006/main">
          <x14:cfRule type="iconSet" priority="110" id="{EB2DB79C-2EAC-415F-81D2-5FA9CC62BA00}">
            <x14:iconSet custom="1">
              <x14:cfvo type="percent">
                <xm:f>0</xm:f>
              </x14:cfvo>
              <x14:cfvo type="num">
                <xm:f>0</xm:f>
              </x14:cfvo>
              <x14:cfvo type="num">
                <xm:f>1</xm:f>
              </x14:cfvo>
              <x14:cfIcon iconSet="NoIcons" iconId="0"/>
              <x14:cfIcon iconSet="3TrafficLights1" iconId="2"/>
              <x14:cfIcon iconSet="3TrafficLights1" iconId="0"/>
            </x14:iconSet>
          </x14:cfRule>
          <xm:sqref>B327</xm:sqref>
        </x14:conditionalFormatting>
        <x14:conditionalFormatting xmlns:xm="http://schemas.microsoft.com/office/excel/2006/main">
          <x14:cfRule type="iconSet" priority="107" id="{BC2649BC-BF6A-4566-AC0F-7899923D333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C328</xm:sqref>
        </x14:conditionalFormatting>
        <x14:conditionalFormatting xmlns:xm="http://schemas.microsoft.com/office/excel/2006/main">
          <x14:cfRule type="iconSet" priority="108" id="{EC755AC3-7430-4BB2-AD5A-C369DA689AED}">
            <x14:iconSet custom="1">
              <x14:cfvo type="percent">
                <xm:f>0</xm:f>
              </x14:cfvo>
              <x14:cfvo type="num">
                <xm:f>0</xm:f>
              </x14:cfvo>
              <x14:cfvo type="num">
                <xm:f>1</xm:f>
              </x14:cfvo>
              <x14:cfIcon iconSet="NoIcons" iconId="0"/>
              <x14:cfIcon iconSet="3TrafficLights1" iconId="2"/>
              <x14:cfIcon iconSet="3TrafficLights1" iconId="0"/>
            </x14:iconSet>
          </x14:cfRule>
          <xm:sqref>B328</xm:sqref>
        </x14:conditionalFormatting>
        <x14:conditionalFormatting xmlns:xm="http://schemas.microsoft.com/office/excel/2006/main">
          <x14:cfRule type="iconSet" priority="105" id="{A5B610E9-C43F-4387-B298-88EEBC57593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C329</xm:sqref>
        </x14:conditionalFormatting>
        <x14:conditionalFormatting xmlns:xm="http://schemas.microsoft.com/office/excel/2006/main">
          <x14:cfRule type="iconSet" priority="106" id="{30F7C33D-9F5B-4E4F-8178-636841F55EBE}">
            <x14:iconSet custom="1">
              <x14:cfvo type="percent">
                <xm:f>0</xm:f>
              </x14:cfvo>
              <x14:cfvo type="num">
                <xm:f>0</xm:f>
              </x14:cfvo>
              <x14:cfvo type="num">
                <xm:f>1</xm:f>
              </x14:cfvo>
              <x14:cfIcon iconSet="NoIcons" iconId="0"/>
              <x14:cfIcon iconSet="3TrafficLights1" iconId="2"/>
              <x14:cfIcon iconSet="3TrafficLights1" iconId="0"/>
            </x14:iconSet>
          </x14:cfRule>
          <xm:sqref>B329</xm:sqref>
        </x14:conditionalFormatting>
        <x14:conditionalFormatting xmlns:xm="http://schemas.microsoft.com/office/excel/2006/main">
          <x14:cfRule type="iconSet" priority="103" id="{9EB7D7C7-DAD1-41EC-810E-D800101D688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C330</xm:sqref>
        </x14:conditionalFormatting>
        <x14:conditionalFormatting xmlns:xm="http://schemas.microsoft.com/office/excel/2006/main">
          <x14:cfRule type="iconSet" priority="104" id="{13E7692E-486D-4829-92D8-9ED57F369B58}">
            <x14:iconSet custom="1">
              <x14:cfvo type="percent">
                <xm:f>0</xm:f>
              </x14:cfvo>
              <x14:cfvo type="num">
                <xm:f>0</xm:f>
              </x14:cfvo>
              <x14:cfvo type="num">
                <xm:f>1</xm:f>
              </x14:cfvo>
              <x14:cfIcon iconSet="NoIcons" iconId="0"/>
              <x14:cfIcon iconSet="3TrafficLights1" iconId="2"/>
              <x14:cfIcon iconSet="3TrafficLights1" iconId="0"/>
            </x14:iconSet>
          </x14:cfRule>
          <xm:sqref>B330</xm:sqref>
        </x14:conditionalFormatting>
        <x14:conditionalFormatting xmlns:xm="http://schemas.microsoft.com/office/excel/2006/main">
          <x14:cfRule type="iconSet" priority="101" id="{D4E2FC82-4236-4149-BDD1-F0E12CAD85B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C331</xm:sqref>
        </x14:conditionalFormatting>
        <x14:conditionalFormatting xmlns:xm="http://schemas.microsoft.com/office/excel/2006/main">
          <x14:cfRule type="iconSet" priority="102" id="{BA092A15-CEDA-4435-AD5E-0EEAD911A558}">
            <x14:iconSet custom="1">
              <x14:cfvo type="percent">
                <xm:f>0</xm:f>
              </x14:cfvo>
              <x14:cfvo type="num">
                <xm:f>0</xm:f>
              </x14:cfvo>
              <x14:cfvo type="num">
                <xm:f>1</xm:f>
              </x14:cfvo>
              <x14:cfIcon iconSet="NoIcons" iconId="0"/>
              <x14:cfIcon iconSet="3TrafficLights1" iconId="2"/>
              <x14:cfIcon iconSet="3TrafficLights1" iconId="0"/>
            </x14:iconSet>
          </x14:cfRule>
          <xm:sqref>B331</xm:sqref>
        </x14:conditionalFormatting>
        <x14:conditionalFormatting xmlns:xm="http://schemas.microsoft.com/office/excel/2006/main">
          <x14:cfRule type="iconSet" priority="99" id="{2BD41A61-FD80-4F16-9072-3124D92E596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C332</xm:sqref>
        </x14:conditionalFormatting>
        <x14:conditionalFormatting xmlns:xm="http://schemas.microsoft.com/office/excel/2006/main">
          <x14:cfRule type="iconSet" priority="100" id="{BC8ED68A-DDA4-448A-A460-BFE56C6D9FD5}">
            <x14:iconSet custom="1">
              <x14:cfvo type="percent">
                <xm:f>0</xm:f>
              </x14:cfvo>
              <x14:cfvo type="num">
                <xm:f>0</xm:f>
              </x14:cfvo>
              <x14:cfvo type="num">
                <xm:f>1</xm:f>
              </x14:cfvo>
              <x14:cfIcon iconSet="NoIcons" iconId="0"/>
              <x14:cfIcon iconSet="3TrafficLights1" iconId="2"/>
              <x14:cfIcon iconSet="3TrafficLights1" iconId="0"/>
            </x14:iconSet>
          </x14:cfRule>
          <xm:sqref>B332</xm:sqref>
        </x14:conditionalFormatting>
        <x14:conditionalFormatting xmlns:xm="http://schemas.microsoft.com/office/excel/2006/main">
          <x14:cfRule type="iconSet" priority="97" id="{8C362A6F-A771-4002-BE4F-448E481506A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C333</xm:sqref>
        </x14:conditionalFormatting>
        <x14:conditionalFormatting xmlns:xm="http://schemas.microsoft.com/office/excel/2006/main">
          <x14:cfRule type="iconSet" priority="98" id="{86E26830-0609-4D49-B4C0-40A01E3390DB}">
            <x14:iconSet custom="1">
              <x14:cfvo type="percent">
                <xm:f>0</xm:f>
              </x14:cfvo>
              <x14:cfvo type="num">
                <xm:f>0</xm:f>
              </x14:cfvo>
              <x14:cfvo type="num">
                <xm:f>1</xm:f>
              </x14:cfvo>
              <x14:cfIcon iconSet="NoIcons" iconId="0"/>
              <x14:cfIcon iconSet="3TrafficLights1" iconId="2"/>
              <x14:cfIcon iconSet="3TrafficLights1" iconId="0"/>
            </x14:iconSet>
          </x14:cfRule>
          <xm:sqref>B333</xm:sqref>
        </x14:conditionalFormatting>
        <x14:conditionalFormatting xmlns:xm="http://schemas.microsoft.com/office/excel/2006/main">
          <x14:cfRule type="iconSet" priority="95" id="{10ECD1C6-E50D-409B-A31C-6B016A35DCB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C334</xm:sqref>
        </x14:conditionalFormatting>
        <x14:conditionalFormatting xmlns:xm="http://schemas.microsoft.com/office/excel/2006/main">
          <x14:cfRule type="iconSet" priority="96" id="{A80FCB4C-1757-40B9-AFEA-77172966B37B}">
            <x14:iconSet custom="1">
              <x14:cfvo type="percent">
                <xm:f>0</xm:f>
              </x14:cfvo>
              <x14:cfvo type="num">
                <xm:f>0</xm:f>
              </x14:cfvo>
              <x14:cfvo type="num">
                <xm:f>1</xm:f>
              </x14:cfvo>
              <x14:cfIcon iconSet="NoIcons" iconId="0"/>
              <x14:cfIcon iconSet="3TrafficLights1" iconId="2"/>
              <x14:cfIcon iconSet="3TrafficLights1" iconId="0"/>
            </x14:iconSet>
          </x14:cfRule>
          <xm:sqref>B334</xm:sqref>
        </x14:conditionalFormatting>
        <x14:conditionalFormatting xmlns:xm="http://schemas.microsoft.com/office/excel/2006/main">
          <x14:cfRule type="iconSet" priority="93" id="{DD2313E9-9B83-44FC-B927-3744A62D2F37}">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C335</xm:sqref>
        </x14:conditionalFormatting>
        <x14:conditionalFormatting xmlns:xm="http://schemas.microsoft.com/office/excel/2006/main">
          <x14:cfRule type="iconSet" priority="94" id="{80C471E6-23E5-4AFF-B77C-5DAAAA5B10AC}">
            <x14:iconSet custom="1">
              <x14:cfvo type="percent">
                <xm:f>0</xm:f>
              </x14:cfvo>
              <x14:cfvo type="num">
                <xm:f>0</xm:f>
              </x14:cfvo>
              <x14:cfvo type="num">
                <xm:f>1</xm:f>
              </x14:cfvo>
              <x14:cfIcon iconSet="NoIcons" iconId="0"/>
              <x14:cfIcon iconSet="3TrafficLights1" iconId="2"/>
              <x14:cfIcon iconSet="3TrafficLights1" iconId="0"/>
            </x14:iconSet>
          </x14:cfRule>
          <xm:sqref>B335</xm:sqref>
        </x14:conditionalFormatting>
        <x14:conditionalFormatting xmlns:xm="http://schemas.microsoft.com/office/excel/2006/main">
          <x14:cfRule type="iconSet" priority="91" id="{BE591731-FD73-4C0D-9847-D2D8F36518C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C336</xm:sqref>
        </x14:conditionalFormatting>
        <x14:conditionalFormatting xmlns:xm="http://schemas.microsoft.com/office/excel/2006/main">
          <x14:cfRule type="iconSet" priority="92" id="{153F8E46-1271-4BFA-9731-174CE0859B65}">
            <x14:iconSet custom="1">
              <x14:cfvo type="percent">
                <xm:f>0</xm:f>
              </x14:cfvo>
              <x14:cfvo type="num">
                <xm:f>0</xm:f>
              </x14:cfvo>
              <x14:cfvo type="num">
                <xm:f>1</xm:f>
              </x14:cfvo>
              <x14:cfIcon iconSet="NoIcons" iconId="0"/>
              <x14:cfIcon iconSet="3TrafficLights1" iconId="2"/>
              <x14:cfIcon iconSet="3TrafficLights1" iconId="0"/>
            </x14:iconSet>
          </x14:cfRule>
          <xm:sqref>B336</xm:sqref>
        </x14:conditionalFormatting>
        <x14:conditionalFormatting xmlns:xm="http://schemas.microsoft.com/office/excel/2006/main">
          <x14:cfRule type="iconSet" priority="89" id="{A50D9DF8-D7CB-447D-9649-7667885A55B7}">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C337</xm:sqref>
        </x14:conditionalFormatting>
        <x14:conditionalFormatting xmlns:xm="http://schemas.microsoft.com/office/excel/2006/main">
          <x14:cfRule type="iconSet" priority="90" id="{B0CD334B-4B4A-4F4D-9B76-D1EF0DC0814C}">
            <x14:iconSet custom="1">
              <x14:cfvo type="percent">
                <xm:f>0</xm:f>
              </x14:cfvo>
              <x14:cfvo type="num">
                <xm:f>0</xm:f>
              </x14:cfvo>
              <x14:cfvo type="num">
                <xm:f>1</xm:f>
              </x14:cfvo>
              <x14:cfIcon iconSet="NoIcons" iconId="0"/>
              <x14:cfIcon iconSet="3TrafficLights1" iconId="2"/>
              <x14:cfIcon iconSet="3TrafficLights1" iconId="0"/>
            </x14:iconSet>
          </x14:cfRule>
          <xm:sqref>B337</xm:sqref>
        </x14:conditionalFormatting>
        <x14:conditionalFormatting xmlns:xm="http://schemas.microsoft.com/office/excel/2006/main">
          <x14:cfRule type="iconSet" priority="85" id="{C76BCF84-429D-46A6-9BC0-67A12965870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C338</xm:sqref>
        </x14:conditionalFormatting>
        <x14:conditionalFormatting xmlns:xm="http://schemas.microsoft.com/office/excel/2006/main">
          <x14:cfRule type="iconSet" priority="86" id="{1775B33B-986D-4345-ADC2-756F745A2708}">
            <x14:iconSet custom="1">
              <x14:cfvo type="percent">
                <xm:f>0</xm:f>
              </x14:cfvo>
              <x14:cfvo type="num">
                <xm:f>0</xm:f>
              </x14:cfvo>
              <x14:cfvo type="num">
                <xm:f>1</xm:f>
              </x14:cfvo>
              <x14:cfIcon iconSet="NoIcons" iconId="0"/>
              <x14:cfIcon iconSet="3TrafficLights1" iconId="2"/>
              <x14:cfIcon iconSet="3TrafficLights1" iconId="0"/>
            </x14:iconSet>
          </x14:cfRule>
          <xm:sqref>B338</xm:sqref>
        </x14:conditionalFormatting>
        <x14:conditionalFormatting xmlns:xm="http://schemas.microsoft.com/office/excel/2006/main">
          <x14:cfRule type="iconSet" priority="83" id="{27C810D6-170D-4614-B1B6-B711FE378DAA}">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C339</xm:sqref>
        </x14:conditionalFormatting>
        <x14:conditionalFormatting xmlns:xm="http://schemas.microsoft.com/office/excel/2006/main">
          <x14:cfRule type="iconSet" priority="84" id="{035D48DF-64D2-465F-BDA3-977B1526C49A}">
            <x14:iconSet custom="1">
              <x14:cfvo type="percent">
                <xm:f>0</xm:f>
              </x14:cfvo>
              <x14:cfvo type="num">
                <xm:f>0</xm:f>
              </x14:cfvo>
              <x14:cfvo type="num">
                <xm:f>1</xm:f>
              </x14:cfvo>
              <x14:cfIcon iconSet="NoIcons" iconId="0"/>
              <x14:cfIcon iconSet="3TrafficLights1" iconId="2"/>
              <x14:cfIcon iconSet="3TrafficLights1" iconId="0"/>
            </x14:iconSet>
          </x14:cfRule>
          <xm:sqref>B339</xm:sqref>
        </x14:conditionalFormatting>
        <x14:conditionalFormatting xmlns:xm="http://schemas.microsoft.com/office/excel/2006/main">
          <x14:cfRule type="iconSet" priority="81" id="{AD96B8B0-624A-4B83-8F3A-C4A35296B68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C340</xm:sqref>
        </x14:conditionalFormatting>
        <x14:conditionalFormatting xmlns:xm="http://schemas.microsoft.com/office/excel/2006/main">
          <x14:cfRule type="iconSet" priority="82" id="{A5A147EF-B428-427D-BAD9-5A12E6E37562}">
            <x14:iconSet custom="1">
              <x14:cfvo type="percent">
                <xm:f>0</xm:f>
              </x14:cfvo>
              <x14:cfvo type="num">
                <xm:f>0</xm:f>
              </x14:cfvo>
              <x14:cfvo type="num">
                <xm:f>1</xm:f>
              </x14:cfvo>
              <x14:cfIcon iconSet="NoIcons" iconId="0"/>
              <x14:cfIcon iconSet="3TrafficLights1" iconId="2"/>
              <x14:cfIcon iconSet="3TrafficLights1" iconId="0"/>
            </x14:iconSet>
          </x14:cfRule>
          <xm:sqref>B340</xm:sqref>
        </x14:conditionalFormatting>
        <x14:conditionalFormatting xmlns:xm="http://schemas.microsoft.com/office/excel/2006/main">
          <x14:cfRule type="iconSet" priority="79" id="{A5A1D283-AE7B-4B75-9A02-C353A1B93348}">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C341</xm:sqref>
        </x14:conditionalFormatting>
        <x14:conditionalFormatting xmlns:xm="http://schemas.microsoft.com/office/excel/2006/main">
          <x14:cfRule type="iconSet" priority="80" id="{B5AE57A3-2A52-40D0-8D4D-0F41D9D07443}">
            <x14:iconSet custom="1">
              <x14:cfvo type="percent">
                <xm:f>0</xm:f>
              </x14:cfvo>
              <x14:cfvo type="num">
                <xm:f>0</xm:f>
              </x14:cfvo>
              <x14:cfvo type="num">
                <xm:f>1</xm:f>
              </x14:cfvo>
              <x14:cfIcon iconSet="NoIcons" iconId="0"/>
              <x14:cfIcon iconSet="3TrafficLights1" iconId="2"/>
              <x14:cfIcon iconSet="3TrafficLights1" iconId="0"/>
            </x14:iconSet>
          </x14:cfRule>
          <xm:sqref>B341</xm:sqref>
        </x14:conditionalFormatting>
        <x14:conditionalFormatting xmlns:xm="http://schemas.microsoft.com/office/excel/2006/main">
          <x14:cfRule type="iconSet" priority="77" id="{34230C45-C03D-4A5C-B4E6-A6EA2C76C86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C342</xm:sqref>
        </x14:conditionalFormatting>
        <x14:conditionalFormatting xmlns:xm="http://schemas.microsoft.com/office/excel/2006/main">
          <x14:cfRule type="iconSet" priority="78" id="{A4C282B3-A7D2-4892-BC56-E5E3C0C25931}">
            <x14:iconSet custom="1">
              <x14:cfvo type="percent">
                <xm:f>0</xm:f>
              </x14:cfvo>
              <x14:cfvo type="num">
                <xm:f>0</xm:f>
              </x14:cfvo>
              <x14:cfvo type="num">
                <xm:f>1</xm:f>
              </x14:cfvo>
              <x14:cfIcon iconSet="NoIcons" iconId="0"/>
              <x14:cfIcon iconSet="3TrafficLights1" iconId="2"/>
              <x14:cfIcon iconSet="3TrafficLights1" iconId="0"/>
            </x14:iconSet>
          </x14:cfRule>
          <xm:sqref>B342</xm:sqref>
        </x14:conditionalFormatting>
        <x14:conditionalFormatting xmlns:xm="http://schemas.microsoft.com/office/excel/2006/main">
          <x14:cfRule type="iconSet" priority="75" id="{EC285565-230E-4ADE-AF48-905CFC5AF7F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C343</xm:sqref>
        </x14:conditionalFormatting>
        <x14:conditionalFormatting xmlns:xm="http://schemas.microsoft.com/office/excel/2006/main">
          <x14:cfRule type="iconSet" priority="76" id="{AF20A3A0-D816-4762-B69F-2E87E4598750}">
            <x14:iconSet custom="1">
              <x14:cfvo type="percent">
                <xm:f>0</xm:f>
              </x14:cfvo>
              <x14:cfvo type="num">
                <xm:f>0</xm:f>
              </x14:cfvo>
              <x14:cfvo type="num">
                <xm:f>1</xm:f>
              </x14:cfvo>
              <x14:cfIcon iconSet="NoIcons" iconId="0"/>
              <x14:cfIcon iconSet="3TrafficLights1" iconId="2"/>
              <x14:cfIcon iconSet="3TrafficLights1" iconId="0"/>
            </x14:iconSet>
          </x14:cfRule>
          <xm:sqref>B343</xm:sqref>
        </x14:conditionalFormatting>
        <x14:conditionalFormatting xmlns:xm="http://schemas.microsoft.com/office/excel/2006/main">
          <x14:cfRule type="iconSet" priority="73" id="{75E94B01-8566-4737-8033-836CE91BEC8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C344</xm:sqref>
        </x14:conditionalFormatting>
        <x14:conditionalFormatting xmlns:xm="http://schemas.microsoft.com/office/excel/2006/main">
          <x14:cfRule type="iconSet" priority="74" id="{12D88D57-DD52-4B7B-A527-B2905F8D2ECE}">
            <x14:iconSet custom="1">
              <x14:cfvo type="percent">
                <xm:f>0</xm:f>
              </x14:cfvo>
              <x14:cfvo type="num">
                <xm:f>0</xm:f>
              </x14:cfvo>
              <x14:cfvo type="num">
                <xm:f>1</xm:f>
              </x14:cfvo>
              <x14:cfIcon iconSet="NoIcons" iconId="0"/>
              <x14:cfIcon iconSet="3TrafficLights1" iconId="2"/>
              <x14:cfIcon iconSet="3TrafficLights1" iconId="0"/>
            </x14:iconSet>
          </x14:cfRule>
          <xm:sqref>B344</xm:sqref>
        </x14:conditionalFormatting>
        <x14:conditionalFormatting xmlns:xm="http://schemas.microsoft.com/office/excel/2006/main">
          <x14:cfRule type="iconSet" priority="71" id="{CDA4518D-3015-4FEA-AF53-5D0D4BBAF858}">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C345</xm:sqref>
        </x14:conditionalFormatting>
        <x14:conditionalFormatting xmlns:xm="http://schemas.microsoft.com/office/excel/2006/main">
          <x14:cfRule type="iconSet" priority="72" id="{81EF4233-FD9E-4E4B-A3AF-4C905D4F7926}">
            <x14:iconSet custom="1">
              <x14:cfvo type="percent">
                <xm:f>0</xm:f>
              </x14:cfvo>
              <x14:cfvo type="num">
                <xm:f>0</xm:f>
              </x14:cfvo>
              <x14:cfvo type="num">
                <xm:f>1</xm:f>
              </x14:cfvo>
              <x14:cfIcon iconSet="NoIcons" iconId="0"/>
              <x14:cfIcon iconSet="3TrafficLights1" iconId="2"/>
              <x14:cfIcon iconSet="3TrafficLights1" iconId="0"/>
            </x14:iconSet>
          </x14:cfRule>
          <xm:sqref>B345</xm:sqref>
        </x14:conditionalFormatting>
        <x14:conditionalFormatting xmlns:xm="http://schemas.microsoft.com/office/excel/2006/main">
          <x14:cfRule type="iconSet" priority="69" id="{8FA02FAE-764B-4167-ADF2-F1E1EE26776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C346</xm:sqref>
        </x14:conditionalFormatting>
        <x14:conditionalFormatting xmlns:xm="http://schemas.microsoft.com/office/excel/2006/main">
          <x14:cfRule type="iconSet" priority="70" id="{4227378E-1446-40C6-8ED1-94F362B29EA5}">
            <x14:iconSet custom="1">
              <x14:cfvo type="percent">
                <xm:f>0</xm:f>
              </x14:cfvo>
              <x14:cfvo type="num">
                <xm:f>0</xm:f>
              </x14:cfvo>
              <x14:cfvo type="num">
                <xm:f>1</xm:f>
              </x14:cfvo>
              <x14:cfIcon iconSet="NoIcons" iconId="0"/>
              <x14:cfIcon iconSet="3TrafficLights1" iconId="2"/>
              <x14:cfIcon iconSet="3TrafficLights1" iconId="0"/>
            </x14:iconSet>
          </x14:cfRule>
          <xm:sqref>B346</xm:sqref>
        </x14:conditionalFormatting>
        <x14:conditionalFormatting xmlns:xm="http://schemas.microsoft.com/office/excel/2006/main">
          <x14:cfRule type="iconSet" priority="67" id="{7E23831B-1C4D-47D2-BD78-EA5861D607F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C347</xm:sqref>
        </x14:conditionalFormatting>
        <x14:conditionalFormatting xmlns:xm="http://schemas.microsoft.com/office/excel/2006/main">
          <x14:cfRule type="iconSet" priority="68" id="{DD0F049B-6FF7-4638-9AE2-FF81F823E4FF}">
            <x14:iconSet custom="1">
              <x14:cfvo type="percent">
                <xm:f>0</xm:f>
              </x14:cfvo>
              <x14:cfvo type="num">
                <xm:f>0</xm:f>
              </x14:cfvo>
              <x14:cfvo type="num">
                <xm:f>1</xm:f>
              </x14:cfvo>
              <x14:cfIcon iconSet="NoIcons" iconId="0"/>
              <x14:cfIcon iconSet="3TrafficLights1" iconId="2"/>
              <x14:cfIcon iconSet="3TrafficLights1" iconId="0"/>
            </x14:iconSet>
          </x14:cfRule>
          <xm:sqref>B347</xm:sqref>
        </x14:conditionalFormatting>
        <x14:conditionalFormatting xmlns:xm="http://schemas.microsoft.com/office/excel/2006/main">
          <x14:cfRule type="iconSet" priority="65" id="{93D2C55D-4616-4931-8ECB-BF93FEFE801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C348</xm:sqref>
        </x14:conditionalFormatting>
        <x14:conditionalFormatting xmlns:xm="http://schemas.microsoft.com/office/excel/2006/main">
          <x14:cfRule type="iconSet" priority="66" id="{B5CFC460-5EB0-4B5D-B30A-8A6049E29BFF}">
            <x14:iconSet custom="1">
              <x14:cfvo type="percent">
                <xm:f>0</xm:f>
              </x14:cfvo>
              <x14:cfvo type="num">
                <xm:f>0</xm:f>
              </x14:cfvo>
              <x14:cfvo type="num">
                <xm:f>1</xm:f>
              </x14:cfvo>
              <x14:cfIcon iconSet="NoIcons" iconId="0"/>
              <x14:cfIcon iconSet="3TrafficLights1" iconId="2"/>
              <x14:cfIcon iconSet="3TrafficLights1" iconId="0"/>
            </x14:iconSet>
          </x14:cfRule>
          <xm:sqref>B348</xm:sqref>
        </x14:conditionalFormatting>
        <x14:conditionalFormatting xmlns:xm="http://schemas.microsoft.com/office/excel/2006/main">
          <x14:cfRule type="iconSet" priority="63" id="{4B18C2E0-DA8C-4B85-8EBD-914E5FED8DC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C349</xm:sqref>
        </x14:conditionalFormatting>
        <x14:conditionalFormatting xmlns:xm="http://schemas.microsoft.com/office/excel/2006/main">
          <x14:cfRule type="iconSet" priority="64" id="{AA675B56-9D66-4654-9AA9-E73ED45A7BA7}">
            <x14:iconSet custom="1">
              <x14:cfvo type="percent">
                <xm:f>0</xm:f>
              </x14:cfvo>
              <x14:cfvo type="num">
                <xm:f>0</xm:f>
              </x14:cfvo>
              <x14:cfvo type="num">
                <xm:f>1</xm:f>
              </x14:cfvo>
              <x14:cfIcon iconSet="NoIcons" iconId="0"/>
              <x14:cfIcon iconSet="3TrafficLights1" iconId="2"/>
              <x14:cfIcon iconSet="3TrafficLights1" iconId="0"/>
            </x14:iconSet>
          </x14:cfRule>
          <xm:sqref>B349</xm:sqref>
        </x14:conditionalFormatting>
        <x14:conditionalFormatting xmlns:xm="http://schemas.microsoft.com/office/excel/2006/main">
          <x14:cfRule type="iconSet" priority="59" id="{FEFCBD09-82CD-4794-AD10-37C1F3A54B44}">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C350</xm:sqref>
        </x14:conditionalFormatting>
        <x14:conditionalFormatting xmlns:xm="http://schemas.microsoft.com/office/excel/2006/main">
          <x14:cfRule type="iconSet" priority="60" id="{D446511F-069D-4A0B-ADA1-D05B54DED53E}">
            <x14:iconSet custom="1">
              <x14:cfvo type="percent">
                <xm:f>0</xm:f>
              </x14:cfvo>
              <x14:cfvo type="num">
                <xm:f>0</xm:f>
              </x14:cfvo>
              <x14:cfvo type="num">
                <xm:f>1</xm:f>
              </x14:cfvo>
              <x14:cfIcon iconSet="NoIcons" iconId="0"/>
              <x14:cfIcon iconSet="3TrafficLights1" iconId="2"/>
              <x14:cfIcon iconSet="3TrafficLights1" iconId="0"/>
            </x14:iconSet>
          </x14:cfRule>
          <xm:sqref>B350</xm:sqref>
        </x14:conditionalFormatting>
        <x14:conditionalFormatting xmlns:xm="http://schemas.microsoft.com/office/excel/2006/main">
          <x14:cfRule type="iconSet" priority="55" id="{116866CE-9260-4790-9D78-A99401F8374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C351</xm:sqref>
        </x14:conditionalFormatting>
        <x14:conditionalFormatting xmlns:xm="http://schemas.microsoft.com/office/excel/2006/main">
          <x14:cfRule type="iconSet" priority="56" id="{893482FB-1044-4975-9033-2E212F6E2C9B}">
            <x14:iconSet custom="1">
              <x14:cfvo type="percent">
                <xm:f>0</xm:f>
              </x14:cfvo>
              <x14:cfvo type="num">
                <xm:f>0</xm:f>
              </x14:cfvo>
              <x14:cfvo type="num">
                <xm:f>1</xm:f>
              </x14:cfvo>
              <x14:cfIcon iconSet="NoIcons" iconId="0"/>
              <x14:cfIcon iconSet="3TrafficLights1" iconId="2"/>
              <x14:cfIcon iconSet="3TrafficLights1" iconId="0"/>
            </x14:iconSet>
          </x14:cfRule>
          <xm:sqref>B351</xm:sqref>
        </x14:conditionalFormatting>
        <x14:conditionalFormatting xmlns:xm="http://schemas.microsoft.com/office/excel/2006/main">
          <x14:cfRule type="iconSet" priority="53" id="{6980A31B-6D0D-4AAF-B07A-EE6BD03A51F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C352</xm:sqref>
        </x14:conditionalFormatting>
        <x14:conditionalFormatting xmlns:xm="http://schemas.microsoft.com/office/excel/2006/main">
          <x14:cfRule type="iconSet" priority="54" id="{C264845C-B380-4A3E-A8BE-95E1D9A13CD0}">
            <x14:iconSet custom="1">
              <x14:cfvo type="percent">
                <xm:f>0</xm:f>
              </x14:cfvo>
              <x14:cfvo type="num">
                <xm:f>0</xm:f>
              </x14:cfvo>
              <x14:cfvo type="num">
                <xm:f>1</xm:f>
              </x14:cfvo>
              <x14:cfIcon iconSet="NoIcons" iconId="0"/>
              <x14:cfIcon iconSet="3TrafficLights1" iconId="2"/>
              <x14:cfIcon iconSet="3TrafficLights1" iconId="0"/>
            </x14:iconSet>
          </x14:cfRule>
          <xm:sqref>B352</xm:sqref>
        </x14:conditionalFormatting>
        <x14:conditionalFormatting xmlns:xm="http://schemas.microsoft.com/office/excel/2006/main">
          <x14:cfRule type="iconSet" priority="51" id="{2F63F0B1-93FC-48F2-BC1A-DBB5A3C6F4C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C353</xm:sqref>
        </x14:conditionalFormatting>
        <x14:conditionalFormatting xmlns:xm="http://schemas.microsoft.com/office/excel/2006/main">
          <x14:cfRule type="iconSet" priority="52" id="{82D771CD-584A-44ED-B816-25180411F060}">
            <x14:iconSet custom="1">
              <x14:cfvo type="percent">
                <xm:f>0</xm:f>
              </x14:cfvo>
              <x14:cfvo type="num">
                <xm:f>0</xm:f>
              </x14:cfvo>
              <x14:cfvo type="num">
                <xm:f>1</xm:f>
              </x14:cfvo>
              <x14:cfIcon iconSet="NoIcons" iconId="0"/>
              <x14:cfIcon iconSet="3TrafficLights1" iconId="2"/>
              <x14:cfIcon iconSet="3TrafficLights1" iconId="0"/>
            </x14:iconSet>
          </x14:cfRule>
          <xm:sqref>B353</xm:sqref>
        </x14:conditionalFormatting>
        <x14:conditionalFormatting xmlns:xm="http://schemas.microsoft.com/office/excel/2006/main">
          <x14:cfRule type="iconSet" priority="47" id="{C4BAD343-B7CD-4F5E-A209-383DBAC70037}">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C354</xm:sqref>
        </x14:conditionalFormatting>
        <x14:conditionalFormatting xmlns:xm="http://schemas.microsoft.com/office/excel/2006/main">
          <x14:cfRule type="iconSet" priority="48" id="{7B9ED69C-0E0D-44E6-A8AA-288BD874ACB7}">
            <x14:iconSet custom="1">
              <x14:cfvo type="percent">
                <xm:f>0</xm:f>
              </x14:cfvo>
              <x14:cfvo type="num">
                <xm:f>0</xm:f>
              </x14:cfvo>
              <x14:cfvo type="num">
                <xm:f>1</xm:f>
              </x14:cfvo>
              <x14:cfIcon iconSet="NoIcons" iconId="0"/>
              <x14:cfIcon iconSet="3TrafficLights1" iconId="2"/>
              <x14:cfIcon iconSet="3TrafficLights1" iconId="0"/>
            </x14:iconSet>
          </x14:cfRule>
          <xm:sqref>B354</xm:sqref>
        </x14:conditionalFormatting>
        <x14:conditionalFormatting xmlns:xm="http://schemas.microsoft.com/office/excel/2006/main">
          <x14:cfRule type="iconSet" priority="45" id="{8E4380D1-5A71-4EB2-8BD8-561F50035381}">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C355</xm:sqref>
        </x14:conditionalFormatting>
        <x14:conditionalFormatting xmlns:xm="http://schemas.microsoft.com/office/excel/2006/main">
          <x14:cfRule type="iconSet" priority="46" id="{A22C4373-DF89-403D-B970-9054B55390A8}">
            <x14:iconSet custom="1">
              <x14:cfvo type="percent">
                <xm:f>0</xm:f>
              </x14:cfvo>
              <x14:cfvo type="num">
                <xm:f>0</xm:f>
              </x14:cfvo>
              <x14:cfvo type="num">
                <xm:f>1</xm:f>
              </x14:cfvo>
              <x14:cfIcon iconSet="NoIcons" iconId="0"/>
              <x14:cfIcon iconSet="3TrafficLights1" iconId="2"/>
              <x14:cfIcon iconSet="3TrafficLights1" iconId="0"/>
            </x14:iconSet>
          </x14:cfRule>
          <xm:sqref>B355</xm:sqref>
        </x14:conditionalFormatting>
        <x14:conditionalFormatting xmlns:xm="http://schemas.microsoft.com/office/excel/2006/main">
          <x14:cfRule type="iconSet" priority="43" id="{036FC2B1-55A1-4DE6-B21A-998126579ED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C357</xm:sqref>
        </x14:conditionalFormatting>
        <x14:conditionalFormatting xmlns:xm="http://schemas.microsoft.com/office/excel/2006/main">
          <x14:cfRule type="iconSet" priority="44" id="{30F3EF89-7B9C-46B7-BFEF-F28C27494DBE}">
            <x14:iconSet custom="1">
              <x14:cfvo type="percent">
                <xm:f>0</xm:f>
              </x14:cfvo>
              <x14:cfvo type="num">
                <xm:f>0</xm:f>
              </x14:cfvo>
              <x14:cfvo type="num">
                <xm:f>1</xm:f>
              </x14:cfvo>
              <x14:cfIcon iconSet="NoIcons" iconId="0"/>
              <x14:cfIcon iconSet="3TrafficLights1" iconId="2"/>
              <x14:cfIcon iconSet="3TrafficLights1" iconId="0"/>
            </x14:iconSet>
          </x14:cfRule>
          <xm:sqref>B357</xm:sqref>
        </x14:conditionalFormatting>
        <x14:conditionalFormatting xmlns:xm="http://schemas.microsoft.com/office/excel/2006/main">
          <x14:cfRule type="iconSet" priority="41" id="{A296A834-345E-4DCD-BD13-92782212D19F}">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C358</xm:sqref>
        </x14:conditionalFormatting>
        <x14:conditionalFormatting xmlns:xm="http://schemas.microsoft.com/office/excel/2006/main">
          <x14:cfRule type="iconSet" priority="42" id="{05840EEF-59B5-4E7F-B9FB-DF74B4AE48AF}">
            <x14:iconSet custom="1">
              <x14:cfvo type="percent">
                <xm:f>0</xm:f>
              </x14:cfvo>
              <x14:cfvo type="num">
                <xm:f>0</xm:f>
              </x14:cfvo>
              <x14:cfvo type="num">
                <xm:f>1</xm:f>
              </x14:cfvo>
              <x14:cfIcon iconSet="NoIcons" iconId="0"/>
              <x14:cfIcon iconSet="3TrafficLights1" iconId="2"/>
              <x14:cfIcon iconSet="3TrafficLights1" iconId="0"/>
            </x14:iconSet>
          </x14:cfRule>
          <xm:sqref>B358</xm:sqref>
        </x14:conditionalFormatting>
        <x14:conditionalFormatting xmlns:xm="http://schemas.microsoft.com/office/excel/2006/main">
          <x14:cfRule type="iconSet" priority="39" id="{2D72C8E9-54B7-4E0F-9AB3-EE167A6F20C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C359</xm:sqref>
        </x14:conditionalFormatting>
        <x14:conditionalFormatting xmlns:xm="http://schemas.microsoft.com/office/excel/2006/main">
          <x14:cfRule type="iconSet" priority="40" id="{818AC23E-ED1E-47A8-9784-20EFBA44869D}">
            <x14:iconSet custom="1">
              <x14:cfvo type="percent">
                <xm:f>0</xm:f>
              </x14:cfvo>
              <x14:cfvo type="num">
                <xm:f>0</xm:f>
              </x14:cfvo>
              <x14:cfvo type="num">
                <xm:f>1</xm:f>
              </x14:cfvo>
              <x14:cfIcon iconSet="NoIcons" iconId="0"/>
              <x14:cfIcon iconSet="3TrafficLights1" iconId="2"/>
              <x14:cfIcon iconSet="3TrafficLights1" iconId="0"/>
            </x14:iconSet>
          </x14:cfRule>
          <xm:sqref>B359</xm:sqref>
        </x14:conditionalFormatting>
        <x14:conditionalFormatting xmlns:xm="http://schemas.microsoft.com/office/excel/2006/main">
          <x14:cfRule type="iconSet" priority="37" id="{E95D092E-7BAA-473C-91F3-12BA66C6BAA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C360</xm:sqref>
        </x14:conditionalFormatting>
        <x14:conditionalFormatting xmlns:xm="http://schemas.microsoft.com/office/excel/2006/main">
          <x14:cfRule type="iconSet" priority="38" id="{63C4D6AF-BC21-4ADE-B3EF-2ECB0E3005A8}">
            <x14:iconSet custom="1">
              <x14:cfvo type="percent">
                <xm:f>0</xm:f>
              </x14:cfvo>
              <x14:cfvo type="num">
                <xm:f>0</xm:f>
              </x14:cfvo>
              <x14:cfvo type="num">
                <xm:f>1</xm:f>
              </x14:cfvo>
              <x14:cfIcon iconSet="NoIcons" iconId="0"/>
              <x14:cfIcon iconSet="3TrafficLights1" iconId="2"/>
              <x14:cfIcon iconSet="3TrafficLights1" iconId="0"/>
            </x14:iconSet>
          </x14:cfRule>
          <xm:sqref>B360</xm:sqref>
        </x14:conditionalFormatting>
        <x14:conditionalFormatting xmlns:xm="http://schemas.microsoft.com/office/excel/2006/main">
          <x14:cfRule type="iconSet" priority="35" id="{A755BCFA-157F-49D2-8B23-73B5921CFB0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C361</xm:sqref>
        </x14:conditionalFormatting>
        <x14:conditionalFormatting xmlns:xm="http://schemas.microsoft.com/office/excel/2006/main">
          <x14:cfRule type="iconSet" priority="36" id="{5834696A-2ADC-44A4-A414-2DD6A1B6603A}">
            <x14:iconSet custom="1">
              <x14:cfvo type="percent">
                <xm:f>0</xm:f>
              </x14:cfvo>
              <x14:cfvo type="num">
                <xm:f>0</xm:f>
              </x14:cfvo>
              <x14:cfvo type="num">
                <xm:f>1</xm:f>
              </x14:cfvo>
              <x14:cfIcon iconSet="NoIcons" iconId="0"/>
              <x14:cfIcon iconSet="3TrafficLights1" iconId="2"/>
              <x14:cfIcon iconSet="3TrafficLights1" iconId="0"/>
            </x14:iconSet>
          </x14:cfRule>
          <xm:sqref>B361</xm:sqref>
        </x14:conditionalFormatting>
        <x14:conditionalFormatting xmlns:xm="http://schemas.microsoft.com/office/excel/2006/main">
          <x14:cfRule type="iconSet" priority="31" id="{E8E24DC9-E7C9-4016-AF2D-74A62660AA8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C362</xm:sqref>
        </x14:conditionalFormatting>
        <x14:conditionalFormatting xmlns:xm="http://schemas.microsoft.com/office/excel/2006/main">
          <x14:cfRule type="iconSet" priority="32" id="{135649F6-D270-4C55-A966-7732675833AE}">
            <x14:iconSet custom="1">
              <x14:cfvo type="percent">
                <xm:f>0</xm:f>
              </x14:cfvo>
              <x14:cfvo type="num">
                <xm:f>0</xm:f>
              </x14:cfvo>
              <x14:cfvo type="num">
                <xm:f>1</xm:f>
              </x14:cfvo>
              <x14:cfIcon iconSet="NoIcons" iconId="0"/>
              <x14:cfIcon iconSet="3TrafficLights1" iconId="2"/>
              <x14:cfIcon iconSet="3TrafficLights1" iconId="0"/>
            </x14:iconSet>
          </x14:cfRule>
          <xm:sqref>B362</xm:sqref>
        </x14:conditionalFormatting>
        <x14:conditionalFormatting xmlns:xm="http://schemas.microsoft.com/office/excel/2006/main">
          <x14:cfRule type="iconSet" priority="27" id="{8DDD1AD2-E97E-4D4D-AAA9-52AFC98D30FC}">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C363</xm:sqref>
        </x14:conditionalFormatting>
        <x14:conditionalFormatting xmlns:xm="http://schemas.microsoft.com/office/excel/2006/main">
          <x14:cfRule type="iconSet" priority="28" id="{8DE8B808-4F6D-4A3B-BF23-87ED3CCB9B88}">
            <x14:iconSet custom="1">
              <x14:cfvo type="percent">
                <xm:f>0</xm:f>
              </x14:cfvo>
              <x14:cfvo type="num">
                <xm:f>0</xm:f>
              </x14:cfvo>
              <x14:cfvo type="num">
                <xm:f>1</xm:f>
              </x14:cfvo>
              <x14:cfIcon iconSet="NoIcons" iconId="0"/>
              <x14:cfIcon iconSet="3TrafficLights1" iconId="2"/>
              <x14:cfIcon iconSet="3TrafficLights1" iconId="0"/>
            </x14:iconSet>
          </x14:cfRule>
          <xm:sqref>B363</xm:sqref>
        </x14:conditionalFormatting>
        <x14:conditionalFormatting xmlns:xm="http://schemas.microsoft.com/office/excel/2006/main">
          <x14:cfRule type="iconSet" priority="23" id="{C2478D5D-1156-435A-907D-EBBEF4DBE50E}">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C365</xm:sqref>
        </x14:conditionalFormatting>
        <x14:conditionalFormatting xmlns:xm="http://schemas.microsoft.com/office/excel/2006/main">
          <x14:cfRule type="iconSet" priority="24" id="{B3CBBE48-595E-4FFD-9E78-88AD45C1AC3D}">
            <x14:iconSet custom="1">
              <x14:cfvo type="percent">
                <xm:f>0</xm:f>
              </x14:cfvo>
              <x14:cfvo type="num">
                <xm:f>0</xm:f>
              </x14:cfvo>
              <x14:cfvo type="num">
                <xm:f>1</xm:f>
              </x14:cfvo>
              <x14:cfIcon iconSet="NoIcons" iconId="0"/>
              <x14:cfIcon iconSet="3TrafficLights1" iconId="2"/>
              <x14:cfIcon iconSet="3TrafficLights1" iconId="0"/>
            </x14:iconSet>
          </x14:cfRule>
          <xm:sqref>B365</xm:sqref>
        </x14:conditionalFormatting>
        <x14:conditionalFormatting xmlns:xm="http://schemas.microsoft.com/office/excel/2006/main">
          <x14:cfRule type="iconSet" priority="19" id="{C7897766-5D27-4282-A501-5653FB70D063}">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C366</xm:sqref>
        </x14:conditionalFormatting>
        <x14:conditionalFormatting xmlns:xm="http://schemas.microsoft.com/office/excel/2006/main">
          <x14:cfRule type="iconSet" priority="20" id="{3069EF8F-D338-42B4-9BA4-3FC2F5FE6669}">
            <x14:iconSet custom="1">
              <x14:cfvo type="percent">
                <xm:f>0</xm:f>
              </x14:cfvo>
              <x14:cfvo type="num">
                <xm:f>0</xm:f>
              </x14:cfvo>
              <x14:cfvo type="num">
                <xm:f>1</xm:f>
              </x14:cfvo>
              <x14:cfIcon iconSet="NoIcons" iconId="0"/>
              <x14:cfIcon iconSet="3TrafficLights1" iconId="2"/>
              <x14:cfIcon iconSet="3TrafficLights1" iconId="0"/>
            </x14:iconSet>
          </x14:cfRule>
          <xm:sqref>B366</xm:sqref>
        </x14:conditionalFormatting>
        <x14:conditionalFormatting xmlns:xm="http://schemas.microsoft.com/office/excel/2006/main">
          <x14:cfRule type="iconSet" priority="17" id="{45F51269-AAF7-4A9D-8533-4064CCA7FECB}">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C367</xm:sqref>
        </x14:conditionalFormatting>
        <x14:conditionalFormatting xmlns:xm="http://schemas.microsoft.com/office/excel/2006/main">
          <x14:cfRule type="iconSet" priority="18" id="{90F5CF6C-B266-4D06-A4FB-A98DF9DB81EA}">
            <x14:iconSet custom="1">
              <x14:cfvo type="percent">
                <xm:f>0</xm:f>
              </x14:cfvo>
              <x14:cfvo type="num">
                <xm:f>0</xm:f>
              </x14:cfvo>
              <x14:cfvo type="num">
                <xm:f>1</xm:f>
              </x14:cfvo>
              <x14:cfIcon iconSet="NoIcons" iconId="0"/>
              <x14:cfIcon iconSet="3TrafficLights1" iconId="2"/>
              <x14:cfIcon iconSet="3TrafficLights1" iconId="0"/>
            </x14:iconSet>
          </x14:cfRule>
          <xm:sqref>B367</xm:sqref>
        </x14:conditionalFormatting>
        <x14:conditionalFormatting xmlns:xm="http://schemas.microsoft.com/office/excel/2006/main">
          <x14:cfRule type="iconSet" priority="11" id="{65E211C4-25FC-49A4-BAFB-B6228ADCDF72}">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C368</xm:sqref>
        </x14:conditionalFormatting>
        <x14:conditionalFormatting xmlns:xm="http://schemas.microsoft.com/office/excel/2006/main">
          <x14:cfRule type="iconSet" priority="12" id="{1035331F-2DD1-4D4F-8AA7-FF26A5FCAD8F}">
            <x14:iconSet custom="1">
              <x14:cfvo type="percent">
                <xm:f>0</xm:f>
              </x14:cfvo>
              <x14:cfvo type="num">
                <xm:f>0</xm:f>
              </x14:cfvo>
              <x14:cfvo type="num">
                <xm:f>1</xm:f>
              </x14:cfvo>
              <x14:cfIcon iconSet="NoIcons" iconId="0"/>
              <x14:cfIcon iconSet="3TrafficLights1" iconId="2"/>
              <x14:cfIcon iconSet="3TrafficLights1" iconId="0"/>
            </x14:iconSet>
          </x14:cfRule>
          <xm:sqref>B368</xm:sqref>
        </x14:conditionalFormatting>
        <x14:conditionalFormatting xmlns:xm="http://schemas.microsoft.com/office/excel/2006/main">
          <x14:cfRule type="iconSet" priority="9" id="{B638E80A-F567-47B3-A566-1599D8B6104D}">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C369</xm:sqref>
        </x14:conditionalFormatting>
        <x14:conditionalFormatting xmlns:xm="http://schemas.microsoft.com/office/excel/2006/main">
          <x14:cfRule type="iconSet" priority="10" id="{FD365D2C-869F-407C-A771-1C96334ADAE6}">
            <x14:iconSet custom="1">
              <x14:cfvo type="percent">
                <xm:f>0</xm:f>
              </x14:cfvo>
              <x14:cfvo type="num">
                <xm:f>0</xm:f>
              </x14:cfvo>
              <x14:cfvo type="num">
                <xm:f>1</xm:f>
              </x14:cfvo>
              <x14:cfIcon iconSet="NoIcons" iconId="0"/>
              <x14:cfIcon iconSet="3TrafficLights1" iconId="2"/>
              <x14:cfIcon iconSet="3TrafficLights1" iconId="0"/>
            </x14:iconSet>
          </x14:cfRule>
          <xm:sqref>B369</xm:sqref>
        </x14:conditionalFormatting>
        <x14:conditionalFormatting xmlns:xm="http://schemas.microsoft.com/office/excel/2006/main">
          <x14:cfRule type="iconSet" priority="5" id="{B98D64C3-9F4D-489E-B60A-DE788C2B3066}">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C370</xm:sqref>
        </x14:conditionalFormatting>
        <x14:conditionalFormatting xmlns:xm="http://schemas.microsoft.com/office/excel/2006/main">
          <x14:cfRule type="iconSet" priority="6" id="{3BA8739F-03D1-4066-9571-2BFB6562C42C}">
            <x14:iconSet custom="1">
              <x14:cfvo type="percent">
                <xm:f>0</xm:f>
              </x14:cfvo>
              <x14:cfvo type="num">
                <xm:f>0</xm:f>
              </x14:cfvo>
              <x14:cfvo type="num">
                <xm:f>1</xm:f>
              </x14:cfvo>
              <x14:cfIcon iconSet="NoIcons" iconId="0"/>
              <x14:cfIcon iconSet="3TrafficLights1" iconId="2"/>
              <x14:cfIcon iconSet="3TrafficLights1" iconId="0"/>
            </x14:iconSet>
          </x14:cfRule>
          <xm:sqref>B370</xm:sqref>
        </x14:conditionalFormatting>
        <x14:conditionalFormatting xmlns:xm="http://schemas.microsoft.com/office/excel/2006/main">
          <x14:cfRule type="iconSet" priority="3" id="{45239767-D82B-4941-AD33-F382782896D9}">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C371</xm:sqref>
        </x14:conditionalFormatting>
        <x14:conditionalFormatting xmlns:xm="http://schemas.microsoft.com/office/excel/2006/main">
          <x14:cfRule type="iconSet" priority="4" id="{566D651F-C5C9-42C7-ADFC-AFE77C40F1B2}">
            <x14:iconSet custom="1">
              <x14:cfvo type="percent">
                <xm:f>0</xm:f>
              </x14:cfvo>
              <x14:cfvo type="num">
                <xm:f>0</xm:f>
              </x14:cfvo>
              <x14:cfvo type="num">
                <xm:f>1</xm:f>
              </x14:cfvo>
              <x14:cfIcon iconSet="NoIcons" iconId="0"/>
              <x14:cfIcon iconSet="3TrafficLights1" iconId="2"/>
              <x14:cfIcon iconSet="3TrafficLights1" iconId="0"/>
            </x14:iconSet>
          </x14:cfRule>
          <xm:sqref>B371</xm:sqref>
        </x14:conditionalFormatting>
        <x14:conditionalFormatting xmlns:xm="http://schemas.microsoft.com/office/excel/2006/main">
          <x14:cfRule type="iconSet" priority="1" id="{D4B4D02F-23C7-44C9-B1E5-F2C049A0EAC5}">
            <x14:iconSet custom="1">
              <x14:cfvo type="percent">
                <xm:f>0</xm:f>
              </x14:cfvo>
              <x14:cfvo type="num" gte="0">
                <xm:f>0</xm:f>
              </x14:cfvo>
              <x14:cfvo type="num">
                <xm:f>0.02</xm:f>
              </x14:cfvo>
              <x14:cfIcon iconSet="3TrafficLights1" iconId="2"/>
              <x14:cfIcon iconSet="3TrafficLights1" iconId="1"/>
              <x14:cfIcon iconSet="3TrafficLights1" iconId="0"/>
            </x14:iconSet>
          </x14:cfRule>
          <xm:sqref>C372</xm:sqref>
        </x14:conditionalFormatting>
        <x14:conditionalFormatting xmlns:xm="http://schemas.microsoft.com/office/excel/2006/main">
          <x14:cfRule type="iconSet" priority="2" id="{FB7A8304-93C4-414E-9424-7B3B4F31AF32}">
            <x14:iconSet custom="1">
              <x14:cfvo type="percent">
                <xm:f>0</xm:f>
              </x14:cfvo>
              <x14:cfvo type="num">
                <xm:f>0</xm:f>
              </x14:cfvo>
              <x14:cfvo type="num">
                <xm:f>1</xm:f>
              </x14:cfvo>
              <x14:cfIcon iconSet="NoIcons" iconId="0"/>
              <x14:cfIcon iconSet="3TrafficLights1" iconId="2"/>
              <x14:cfIcon iconSet="3TrafficLights1" iconId="0"/>
            </x14:iconSet>
          </x14:cfRule>
          <xm:sqref>B372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2"/>
  <sheetViews>
    <sheetView zoomScale="50" zoomScaleNormal="50" workbookViewId="0">
      <selection activeCell="K6" sqref="K6"/>
    </sheetView>
  </sheetViews>
  <sheetFormatPr baseColWidth="10" defaultColWidth="8.7265625" defaultRowHeight="12.5"/>
  <cols>
    <col min="1" max="1" width="16.26953125" customWidth="1"/>
    <col min="2" max="2" width="40.1796875" customWidth="1"/>
    <col min="3" max="3" width="19.1796875" customWidth="1"/>
    <col min="4" max="4" width="14.81640625" customWidth="1"/>
    <col min="5" max="5" width="22.26953125" customWidth="1"/>
    <col min="6" max="7" width="12.26953125" customWidth="1"/>
    <col min="8" max="8" width="13" customWidth="1"/>
    <col min="9" max="9" width="34" customWidth="1"/>
    <col min="10" max="10" width="32.54296875" customWidth="1"/>
    <col min="11" max="11" width="26.7265625" customWidth="1"/>
    <col min="12" max="12" width="30.1796875" customWidth="1"/>
    <col min="13" max="13" width="18.1796875" customWidth="1"/>
    <col min="14" max="14" width="14.54296875" customWidth="1"/>
    <col min="15" max="15" width="25.1796875" customWidth="1"/>
    <col min="16" max="16" width="31" customWidth="1"/>
  </cols>
  <sheetData>
    <row r="1" spans="1:16" s="254" customFormat="1" ht="51.75" customHeight="1">
      <c r="A1" s="256" t="s">
        <v>38</v>
      </c>
      <c r="B1" s="256" t="s">
        <v>15</v>
      </c>
      <c r="C1" s="256" t="s">
        <v>24</v>
      </c>
      <c r="D1" s="256" t="s">
        <v>25</v>
      </c>
      <c r="E1" s="256" t="s">
        <v>16</v>
      </c>
      <c r="F1" s="256" t="s">
        <v>17</v>
      </c>
      <c r="G1" s="256" t="s">
        <v>34</v>
      </c>
      <c r="H1" s="257" t="s">
        <v>37</v>
      </c>
      <c r="I1" s="257" t="s">
        <v>18</v>
      </c>
      <c r="J1" s="258" t="s">
        <v>19</v>
      </c>
      <c r="K1" s="255" t="s">
        <v>20</v>
      </c>
      <c r="L1" s="255" t="s">
        <v>4041</v>
      </c>
      <c r="M1" s="259" t="s">
        <v>4326</v>
      </c>
      <c r="N1" s="260" t="s">
        <v>4048</v>
      </c>
      <c r="O1" s="260" t="s">
        <v>4049</v>
      </c>
      <c r="P1" s="260" t="s">
        <v>4050</v>
      </c>
    </row>
    <row r="2" spans="1:16" s="254" customFormat="1" ht="59.15" customHeight="1">
      <c r="A2" s="324"/>
      <c r="B2" s="325"/>
      <c r="C2" s="325"/>
      <c r="D2" s="325"/>
      <c r="E2" s="325"/>
      <c r="F2" s="325"/>
      <c r="G2" s="325"/>
      <c r="H2" s="326"/>
      <c r="I2" s="325"/>
      <c r="J2" s="325"/>
      <c r="K2" s="327"/>
      <c r="L2" s="327"/>
      <c r="M2" s="325"/>
      <c r="N2" s="325"/>
      <c r="O2" s="328"/>
      <c r="P2" s="3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18</vt:i4>
      </vt:variant>
      <vt:variant>
        <vt:lpstr>Plages nommées</vt:lpstr>
      </vt:variant>
      <vt:variant>
        <vt:i4>18</vt:i4>
      </vt:variant>
    </vt:vector>
  </HeadingPairs>
  <TitlesOfParts>
    <vt:vector size="36" baseType="lpstr">
      <vt:lpstr>Menu</vt:lpstr>
      <vt:lpstr>Supplier Control Review</vt:lpstr>
      <vt:lpstr>QMS Data</vt:lpstr>
      <vt:lpstr>NAA Data</vt:lpstr>
      <vt:lpstr>QMS Analysis</vt:lpstr>
      <vt:lpstr>NAA Analysis</vt:lpstr>
      <vt:lpstr>Feuil1</vt:lpstr>
      <vt:lpstr>GROUP Data</vt:lpstr>
      <vt:lpstr>Supplier Control Review Report</vt:lpstr>
      <vt:lpstr>Synchro and Block</vt:lpstr>
      <vt:lpstr>Fixed Parameters</vt:lpstr>
      <vt:lpstr>People</vt:lpstr>
      <vt:lpstr>Calculation</vt:lpstr>
      <vt:lpstr>SCR Format</vt:lpstr>
      <vt:lpstr>QMS Format</vt:lpstr>
      <vt:lpstr>NAA Format</vt:lpstr>
      <vt:lpstr>Update Log</vt:lpstr>
      <vt:lpstr>Block Format</vt:lpstr>
      <vt:lpstr>Actionnees</vt:lpstr>
      <vt:lpstr>Alert_LD</vt:lpstr>
      <vt:lpstr>ARP_Extract_Date</vt:lpstr>
      <vt:lpstr>Calc_History</vt:lpstr>
      <vt:lpstr>Calc_Origin</vt:lpstr>
      <vt:lpstr>Calc_Origin_Data</vt:lpstr>
      <vt:lpstr>Calc_Person</vt:lpstr>
      <vt:lpstr>Calc_Person_Data</vt:lpstr>
      <vt:lpstr>Chart_3M</vt:lpstr>
      <vt:lpstr>Chart_Interval</vt:lpstr>
      <vt:lpstr>Chart_Start</vt:lpstr>
      <vt:lpstr>Menu!Impression_des_titres</vt:lpstr>
      <vt:lpstr>Project</vt:lpstr>
      <vt:lpstr>Red_Overdue</vt:lpstr>
      <vt:lpstr>Severity</vt:lpstr>
      <vt:lpstr>Test</vt:lpstr>
      <vt:lpstr>'SCR Format'!Zone_d_impression</vt:lpstr>
      <vt:lpstr>'Supplier Control Review'!Zone_d_impression</vt:lpstr>
    </vt:vector>
  </TitlesOfParts>
  <Company>Airbus SAS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Advanced Actions Follow-up</dc:title>
  <dc:creator>Alain MENAUGE</dc:creator>
  <cp:lastModifiedBy>BENDADA Fatima</cp:lastModifiedBy>
  <cp:lastPrinted>2014-01-10T08:36:45Z</cp:lastPrinted>
  <dcterms:created xsi:type="dcterms:W3CDTF">2001-11-14T13:34:49Z</dcterms:created>
  <dcterms:modified xsi:type="dcterms:W3CDTF">2022-08-01T07:16:07Z</dcterms:modified>
</cp:coreProperties>
</file>